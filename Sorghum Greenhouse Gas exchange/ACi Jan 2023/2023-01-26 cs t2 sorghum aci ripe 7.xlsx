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T2 homozygous (top 3 events) GH Jan 2023\ACi 28C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concurrentCalc="0"/>
</workbook>
</file>

<file path=xl/calcChain.xml><?xml version="1.0" encoding="utf-8"?>
<calcChain xmlns="http://schemas.openxmlformats.org/spreadsheetml/2006/main">
  <c r="CY30" i="1" l="1"/>
  <c r="CX30" i="1"/>
  <c r="CV30" i="1"/>
  <c r="CW30" i="1"/>
  <c r="BF30" i="1"/>
  <c r="BH30" i="1"/>
  <c r="BL30" i="1"/>
  <c r="BM30" i="1"/>
  <c r="BK30" i="1"/>
  <c r="BJ30" i="1"/>
  <c r="BI30" i="1"/>
  <c r="BG30" i="1"/>
  <c r="AP30" i="1"/>
  <c r="BC30" i="1"/>
  <c r="BB30" i="1"/>
  <c r="AK30" i="1"/>
  <c r="AI30" i="1"/>
  <c r="L30" i="1"/>
  <c r="AY30" i="1"/>
  <c r="AX30" i="1"/>
  <c r="BA30" i="1"/>
  <c r="AV30" i="1"/>
  <c r="AZ30" i="1"/>
  <c r="AJ30" i="1"/>
  <c r="U30" i="1"/>
  <c r="K30" i="1"/>
  <c r="J30" i="1"/>
  <c r="R30" i="1"/>
  <c r="V30" i="1"/>
  <c r="W30" i="1"/>
  <c r="AE30" i="1"/>
  <c r="AC30" i="1"/>
  <c r="AD30" i="1"/>
  <c r="AF30" i="1"/>
  <c r="X30" i="1"/>
  <c r="AB30" i="1"/>
  <c r="AA30" i="1"/>
  <c r="Z30" i="1"/>
  <c r="Y30" i="1"/>
  <c r="S30" i="1"/>
  <c r="Q30" i="1"/>
  <c r="T30" i="1"/>
  <c r="P30" i="1"/>
  <c r="M30" i="1"/>
  <c r="N30" i="1"/>
  <c r="O30" i="1"/>
  <c r="CY29" i="1"/>
  <c r="CX29" i="1"/>
  <c r="CV29" i="1"/>
  <c r="CW29" i="1"/>
  <c r="BF29" i="1"/>
  <c r="BH29" i="1"/>
  <c r="BL29" i="1"/>
  <c r="BM29" i="1"/>
  <c r="BK29" i="1"/>
  <c r="BJ29" i="1"/>
  <c r="BI29" i="1"/>
  <c r="BG29" i="1"/>
  <c r="AP29" i="1"/>
  <c r="BC29" i="1"/>
  <c r="BB29" i="1"/>
  <c r="AK29" i="1"/>
  <c r="AI29" i="1"/>
  <c r="L29" i="1"/>
  <c r="AY29" i="1"/>
  <c r="AX29" i="1"/>
  <c r="BA29" i="1"/>
  <c r="AV29" i="1"/>
  <c r="AZ29" i="1"/>
  <c r="AJ29" i="1"/>
  <c r="U29" i="1"/>
  <c r="K29" i="1"/>
  <c r="J29" i="1"/>
  <c r="R29" i="1"/>
  <c r="V29" i="1"/>
  <c r="W29" i="1"/>
  <c r="AE29" i="1"/>
  <c r="AC29" i="1"/>
  <c r="AD29" i="1"/>
  <c r="AF29" i="1"/>
  <c r="X29" i="1"/>
  <c r="AB29" i="1"/>
  <c r="AA29" i="1"/>
  <c r="Z29" i="1"/>
  <c r="Y29" i="1"/>
  <c r="S29" i="1"/>
  <c r="Q29" i="1"/>
  <c r="T29" i="1"/>
  <c r="P29" i="1"/>
  <c r="M29" i="1"/>
  <c r="N29" i="1"/>
  <c r="O29" i="1"/>
  <c r="CY28" i="1"/>
  <c r="CX28" i="1"/>
  <c r="CV28" i="1"/>
  <c r="CW28" i="1"/>
  <c r="BF28" i="1"/>
  <c r="BH28" i="1"/>
  <c r="BL28" i="1"/>
  <c r="BM28" i="1"/>
  <c r="BK28" i="1"/>
  <c r="BJ28" i="1"/>
  <c r="BI28" i="1"/>
  <c r="BG28" i="1"/>
  <c r="AP28" i="1"/>
  <c r="BC28" i="1"/>
  <c r="BB28" i="1"/>
  <c r="AK28" i="1"/>
  <c r="AI28" i="1"/>
  <c r="L28" i="1"/>
  <c r="AY28" i="1"/>
  <c r="AX28" i="1"/>
  <c r="BA28" i="1"/>
  <c r="AV28" i="1"/>
  <c r="AZ28" i="1"/>
  <c r="AJ28" i="1"/>
  <c r="U28" i="1"/>
  <c r="K28" i="1"/>
  <c r="J28" i="1"/>
  <c r="R28" i="1"/>
  <c r="V28" i="1"/>
  <c r="W28" i="1"/>
  <c r="AE28" i="1"/>
  <c r="AC28" i="1"/>
  <c r="AD28" i="1"/>
  <c r="AF28" i="1"/>
  <c r="X28" i="1"/>
  <c r="AB28" i="1"/>
  <c r="AA28" i="1"/>
  <c r="Z28" i="1"/>
  <c r="Y28" i="1"/>
  <c r="S28" i="1"/>
  <c r="Q28" i="1"/>
  <c r="T28" i="1"/>
  <c r="P28" i="1"/>
  <c r="M28" i="1"/>
  <c r="N28" i="1"/>
  <c r="O28" i="1"/>
  <c r="CY27" i="1"/>
  <c r="CX27" i="1"/>
  <c r="CV27" i="1"/>
  <c r="CW27" i="1"/>
  <c r="BF27" i="1"/>
  <c r="BH27" i="1"/>
  <c r="BL27" i="1"/>
  <c r="BM27" i="1"/>
  <c r="BK27" i="1"/>
  <c r="BJ27" i="1"/>
  <c r="BI27" i="1"/>
  <c r="BG27" i="1"/>
  <c r="AP27" i="1"/>
  <c r="BC27" i="1"/>
  <c r="BB27" i="1"/>
  <c r="AK27" i="1"/>
  <c r="AI27" i="1"/>
  <c r="L27" i="1"/>
  <c r="AY27" i="1"/>
  <c r="AX27" i="1"/>
  <c r="BA27" i="1"/>
  <c r="AV27" i="1"/>
  <c r="AZ27" i="1"/>
  <c r="AJ27" i="1"/>
  <c r="U27" i="1"/>
  <c r="K27" i="1"/>
  <c r="J27" i="1"/>
  <c r="R27" i="1"/>
  <c r="V27" i="1"/>
  <c r="W27" i="1"/>
  <c r="AE27" i="1"/>
  <c r="AC27" i="1"/>
  <c r="AD27" i="1"/>
  <c r="AF27" i="1"/>
  <c r="X27" i="1"/>
  <c r="AB27" i="1"/>
  <c r="AA27" i="1"/>
  <c r="Z27" i="1"/>
  <c r="Y27" i="1"/>
  <c r="S27" i="1"/>
  <c r="Q27" i="1"/>
  <c r="T27" i="1"/>
  <c r="P27" i="1"/>
  <c r="M27" i="1"/>
  <c r="N27" i="1"/>
  <c r="O27" i="1"/>
  <c r="CY26" i="1"/>
  <c r="CX26" i="1"/>
  <c r="CV26" i="1"/>
  <c r="CW26" i="1"/>
  <c r="BF26" i="1"/>
  <c r="BH26" i="1"/>
  <c r="BL26" i="1"/>
  <c r="BM26" i="1"/>
  <c r="BK26" i="1"/>
  <c r="BJ26" i="1"/>
  <c r="BI26" i="1"/>
  <c r="BG26" i="1"/>
  <c r="AP26" i="1"/>
  <c r="BC26" i="1"/>
  <c r="BB26" i="1"/>
  <c r="AK26" i="1"/>
  <c r="AI26" i="1"/>
  <c r="L26" i="1"/>
  <c r="AY26" i="1"/>
  <c r="AX26" i="1"/>
  <c r="BA26" i="1"/>
  <c r="AV26" i="1"/>
  <c r="AZ26" i="1"/>
  <c r="AJ26" i="1"/>
  <c r="U26" i="1"/>
  <c r="K26" i="1"/>
  <c r="J26" i="1"/>
  <c r="R26" i="1"/>
  <c r="V26" i="1"/>
  <c r="W26" i="1"/>
  <c r="AE26" i="1"/>
  <c r="AC26" i="1"/>
  <c r="AD26" i="1"/>
  <c r="AF26" i="1"/>
  <c r="X26" i="1"/>
  <c r="AB26" i="1"/>
  <c r="AA26" i="1"/>
  <c r="Z26" i="1"/>
  <c r="Y26" i="1"/>
  <c r="S26" i="1"/>
  <c r="Q26" i="1"/>
  <c r="T26" i="1"/>
  <c r="P26" i="1"/>
  <c r="M26" i="1"/>
  <c r="N26" i="1"/>
  <c r="O26" i="1"/>
  <c r="CY25" i="1"/>
  <c r="CX25" i="1"/>
  <c r="CV25" i="1"/>
  <c r="CW25" i="1"/>
  <c r="BF25" i="1"/>
  <c r="BH25" i="1"/>
  <c r="BL25" i="1"/>
  <c r="BM25" i="1"/>
  <c r="BK25" i="1"/>
  <c r="BJ25" i="1"/>
  <c r="BI25" i="1"/>
  <c r="BG25" i="1"/>
  <c r="AP25" i="1"/>
  <c r="BC25" i="1"/>
  <c r="BB25" i="1"/>
  <c r="AK25" i="1"/>
  <c r="AI25" i="1"/>
  <c r="L25" i="1"/>
  <c r="AY25" i="1"/>
  <c r="AX25" i="1"/>
  <c r="BA25" i="1"/>
  <c r="AV25" i="1"/>
  <c r="AZ25" i="1"/>
  <c r="AJ25" i="1"/>
  <c r="U25" i="1"/>
  <c r="K25" i="1"/>
  <c r="J25" i="1"/>
  <c r="R25" i="1"/>
  <c r="V25" i="1"/>
  <c r="W25" i="1"/>
  <c r="AE25" i="1"/>
  <c r="AC25" i="1"/>
  <c r="AD25" i="1"/>
  <c r="AF25" i="1"/>
  <c r="X25" i="1"/>
  <c r="AB25" i="1"/>
  <c r="AA25" i="1"/>
  <c r="Z25" i="1"/>
  <c r="Y25" i="1"/>
  <c r="S25" i="1"/>
  <c r="Q25" i="1"/>
  <c r="T25" i="1"/>
  <c r="P25" i="1"/>
  <c r="M25" i="1"/>
  <c r="N25" i="1"/>
  <c r="O25" i="1"/>
  <c r="CY24" i="1"/>
  <c r="CX24" i="1"/>
  <c r="CV24" i="1"/>
  <c r="CW24" i="1"/>
  <c r="BF24" i="1"/>
  <c r="BH24" i="1"/>
  <c r="BL24" i="1"/>
  <c r="BM24" i="1"/>
  <c r="BK24" i="1"/>
  <c r="BJ24" i="1"/>
  <c r="BI24" i="1"/>
  <c r="BG24" i="1"/>
  <c r="AP24" i="1"/>
  <c r="BC24" i="1"/>
  <c r="BB24" i="1"/>
  <c r="AK24" i="1"/>
  <c r="AI24" i="1"/>
  <c r="L24" i="1"/>
  <c r="AY24" i="1"/>
  <c r="AX24" i="1"/>
  <c r="BA24" i="1"/>
  <c r="AV24" i="1"/>
  <c r="AZ24" i="1"/>
  <c r="AJ24" i="1"/>
  <c r="U24" i="1"/>
  <c r="K24" i="1"/>
  <c r="J24" i="1"/>
  <c r="R24" i="1"/>
  <c r="V24" i="1"/>
  <c r="W24" i="1"/>
  <c r="AE24" i="1"/>
  <c r="AC24" i="1"/>
  <c r="AD24" i="1"/>
  <c r="AF24" i="1"/>
  <c r="X24" i="1"/>
  <c r="AB24" i="1"/>
  <c r="AA24" i="1"/>
  <c r="Z24" i="1"/>
  <c r="Y24" i="1"/>
  <c r="S24" i="1"/>
  <c r="Q24" i="1"/>
  <c r="T24" i="1"/>
  <c r="P24" i="1"/>
  <c r="M24" i="1"/>
  <c r="N24" i="1"/>
  <c r="O24" i="1"/>
  <c r="CY23" i="1"/>
  <c r="CX23" i="1"/>
  <c r="CV23" i="1"/>
  <c r="CW23" i="1"/>
  <c r="BF23" i="1"/>
  <c r="BH23" i="1"/>
  <c r="BL23" i="1"/>
  <c r="BM23" i="1"/>
  <c r="BK23" i="1"/>
  <c r="BJ23" i="1"/>
  <c r="BI23" i="1"/>
  <c r="BG23" i="1"/>
  <c r="AP23" i="1"/>
  <c r="BC23" i="1"/>
  <c r="BB23" i="1"/>
  <c r="AK23" i="1"/>
  <c r="AI23" i="1"/>
  <c r="L23" i="1"/>
  <c r="AY23" i="1"/>
  <c r="AX23" i="1"/>
  <c r="BA23" i="1"/>
  <c r="AV23" i="1"/>
  <c r="AZ23" i="1"/>
  <c r="AJ23" i="1"/>
  <c r="U23" i="1"/>
  <c r="K23" i="1"/>
  <c r="J23" i="1"/>
  <c r="R23" i="1"/>
  <c r="V23" i="1"/>
  <c r="W23" i="1"/>
  <c r="AE23" i="1"/>
  <c r="AC23" i="1"/>
  <c r="AD23" i="1"/>
  <c r="AF23" i="1"/>
  <c r="X23" i="1"/>
  <c r="AB23" i="1"/>
  <c r="AA23" i="1"/>
  <c r="Z23" i="1"/>
  <c r="Y23" i="1"/>
  <c r="S23" i="1"/>
  <c r="Q23" i="1"/>
  <c r="T23" i="1"/>
  <c r="P23" i="1"/>
  <c r="M23" i="1"/>
  <c r="N23" i="1"/>
  <c r="O23" i="1"/>
  <c r="CY22" i="1"/>
  <c r="CX22" i="1"/>
  <c r="CV22" i="1"/>
  <c r="CW22" i="1"/>
  <c r="BF22" i="1"/>
  <c r="BH22" i="1"/>
  <c r="BL22" i="1"/>
  <c r="BM22" i="1"/>
  <c r="BK22" i="1"/>
  <c r="BJ22" i="1"/>
  <c r="BI22" i="1"/>
  <c r="BG22" i="1"/>
  <c r="AP22" i="1"/>
  <c r="BC22" i="1"/>
  <c r="BB22" i="1"/>
  <c r="AK22" i="1"/>
  <c r="AI22" i="1"/>
  <c r="L22" i="1"/>
  <c r="AY22" i="1"/>
  <c r="AX22" i="1"/>
  <c r="BA22" i="1"/>
  <c r="AV22" i="1"/>
  <c r="AZ22" i="1"/>
  <c r="AJ22" i="1"/>
  <c r="U22" i="1"/>
  <c r="K22" i="1"/>
  <c r="J22" i="1"/>
  <c r="R22" i="1"/>
  <c r="V22" i="1"/>
  <c r="W22" i="1"/>
  <c r="AE22" i="1"/>
  <c r="AC22" i="1"/>
  <c r="AD22" i="1"/>
  <c r="AF22" i="1"/>
  <c r="X22" i="1"/>
  <c r="AB22" i="1"/>
  <c r="AA22" i="1"/>
  <c r="Z22" i="1"/>
  <c r="Y22" i="1"/>
  <c r="S22" i="1"/>
  <c r="Q22" i="1"/>
  <c r="T22" i="1"/>
  <c r="P22" i="1"/>
  <c r="M22" i="1"/>
  <c r="N22" i="1"/>
  <c r="O22" i="1"/>
  <c r="CY21" i="1"/>
  <c r="CX21" i="1"/>
  <c r="CV21" i="1"/>
  <c r="CW21" i="1"/>
  <c r="BF21" i="1"/>
  <c r="BH21" i="1"/>
  <c r="BL21" i="1"/>
  <c r="BM21" i="1"/>
  <c r="BK21" i="1"/>
  <c r="BJ21" i="1"/>
  <c r="BI21" i="1"/>
  <c r="BG21" i="1"/>
  <c r="AP21" i="1"/>
  <c r="BC21" i="1"/>
  <c r="BB21" i="1"/>
  <c r="AK21" i="1"/>
  <c r="AI21" i="1"/>
  <c r="L21" i="1"/>
  <c r="AY21" i="1"/>
  <c r="AX21" i="1"/>
  <c r="BA21" i="1"/>
  <c r="AV21" i="1"/>
  <c r="AZ21" i="1"/>
  <c r="AJ21" i="1"/>
  <c r="U21" i="1"/>
  <c r="K21" i="1"/>
  <c r="J21" i="1"/>
  <c r="R21" i="1"/>
  <c r="V21" i="1"/>
  <c r="W21" i="1"/>
  <c r="AE21" i="1"/>
  <c r="AC21" i="1"/>
  <c r="AD21" i="1"/>
  <c r="AF21" i="1"/>
  <c r="X21" i="1"/>
  <c r="AB21" i="1"/>
  <c r="AA21" i="1"/>
  <c r="Z21" i="1"/>
  <c r="Y21" i="1"/>
  <c r="S21" i="1"/>
  <c r="Q21" i="1"/>
  <c r="T21" i="1"/>
  <c r="P21" i="1"/>
  <c r="M21" i="1"/>
  <c r="N21" i="1"/>
  <c r="O21" i="1"/>
  <c r="CY20" i="1"/>
  <c r="CX20" i="1"/>
  <c r="CV20" i="1"/>
  <c r="CW20" i="1"/>
  <c r="BF20" i="1"/>
  <c r="BH20" i="1"/>
  <c r="BL20" i="1"/>
  <c r="BM20" i="1"/>
  <c r="BK20" i="1"/>
  <c r="BJ20" i="1"/>
  <c r="BI20" i="1"/>
  <c r="BG20" i="1"/>
  <c r="AP20" i="1"/>
  <c r="BC20" i="1"/>
  <c r="BB20" i="1"/>
  <c r="AK20" i="1"/>
  <c r="AI20" i="1"/>
  <c r="L20" i="1"/>
  <c r="AY20" i="1"/>
  <c r="AX20" i="1"/>
  <c r="BA20" i="1"/>
  <c r="AV20" i="1"/>
  <c r="AZ20" i="1"/>
  <c r="AJ20" i="1"/>
  <c r="U20" i="1"/>
  <c r="K20" i="1"/>
  <c r="J20" i="1"/>
  <c r="R20" i="1"/>
  <c r="V20" i="1"/>
  <c r="W20" i="1"/>
  <c r="AE20" i="1"/>
  <c r="AC20" i="1"/>
  <c r="AD20" i="1"/>
  <c r="AF20" i="1"/>
  <c r="X20" i="1"/>
  <c r="AB20" i="1"/>
  <c r="AA20" i="1"/>
  <c r="Z20" i="1"/>
  <c r="Y20" i="1"/>
  <c r="S20" i="1"/>
  <c r="Q20" i="1"/>
  <c r="T20" i="1"/>
  <c r="P20" i="1"/>
  <c r="M20" i="1"/>
  <c r="N20" i="1"/>
  <c r="O20" i="1"/>
  <c r="CY19" i="1"/>
  <c r="CX19" i="1"/>
  <c r="CV19" i="1"/>
  <c r="CW19" i="1"/>
  <c r="BF19" i="1"/>
  <c r="BH19" i="1"/>
  <c r="BL19" i="1"/>
  <c r="BM19" i="1"/>
  <c r="BK19" i="1"/>
  <c r="BJ19" i="1"/>
  <c r="BI19" i="1"/>
  <c r="BG19" i="1"/>
  <c r="AP19" i="1"/>
  <c r="BC19" i="1"/>
  <c r="BB19" i="1"/>
  <c r="AK19" i="1"/>
  <c r="AI19" i="1"/>
  <c r="L19" i="1"/>
  <c r="AY19" i="1"/>
  <c r="AX19" i="1"/>
  <c r="BA19" i="1"/>
  <c r="AV19" i="1"/>
  <c r="AZ19" i="1"/>
  <c r="AJ19" i="1"/>
  <c r="U19" i="1"/>
  <c r="K19" i="1"/>
  <c r="J19" i="1"/>
  <c r="R19" i="1"/>
  <c r="V19" i="1"/>
  <c r="W19" i="1"/>
  <c r="AE19" i="1"/>
  <c r="AC19" i="1"/>
  <c r="AD19" i="1"/>
  <c r="AF19" i="1"/>
  <c r="X19" i="1"/>
  <c r="AB19" i="1"/>
  <c r="AA19" i="1"/>
  <c r="Z19" i="1"/>
  <c r="Y19" i="1"/>
  <c r="S19" i="1"/>
  <c r="Q19" i="1"/>
  <c r="T19" i="1"/>
  <c r="P19" i="1"/>
  <c r="M19" i="1"/>
  <c r="N19" i="1"/>
  <c r="O19" i="1"/>
  <c r="CY18" i="1"/>
  <c r="CX18" i="1"/>
  <c r="CV18" i="1"/>
  <c r="CW18" i="1"/>
  <c r="BF18" i="1"/>
  <c r="BH18" i="1"/>
  <c r="BL18" i="1"/>
  <c r="BM18" i="1"/>
  <c r="BK18" i="1"/>
  <c r="BJ18" i="1"/>
  <c r="BI18" i="1"/>
  <c r="BG18" i="1"/>
  <c r="AP18" i="1"/>
  <c r="BC18" i="1"/>
  <c r="BB18" i="1"/>
  <c r="AK18" i="1"/>
  <c r="AI18" i="1"/>
  <c r="L18" i="1"/>
  <c r="AY18" i="1"/>
  <c r="AX18" i="1"/>
  <c r="BA18" i="1"/>
  <c r="AV18" i="1"/>
  <c r="AZ18" i="1"/>
  <c r="AJ18" i="1"/>
  <c r="U18" i="1"/>
  <c r="K18" i="1"/>
  <c r="J18" i="1"/>
  <c r="R18" i="1"/>
  <c r="V18" i="1"/>
  <c r="W18" i="1"/>
  <c r="AE18" i="1"/>
  <c r="AC18" i="1"/>
  <c r="AD18" i="1"/>
  <c r="AF18" i="1"/>
  <c r="X18" i="1"/>
  <c r="AB18" i="1"/>
  <c r="AA18" i="1"/>
  <c r="Z18" i="1"/>
  <c r="Y18" i="1"/>
  <c r="S18" i="1"/>
  <c r="Q18" i="1"/>
  <c r="T18" i="1"/>
  <c r="P18" i="1"/>
  <c r="M18" i="1"/>
  <c r="N18" i="1"/>
  <c r="O18" i="1"/>
  <c r="CY17" i="1"/>
  <c r="CX17" i="1"/>
  <c r="CV17" i="1"/>
  <c r="CW17" i="1"/>
  <c r="BF17" i="1"/>
  <c r="BH17" i="1"/>
  <c r="BL17" i="1"/>
  <c r="BM17" i="1"/>
  <c r="BK17" i="1"/>
  <c r="BJ17" i="1"/>
  <c r="BI17" i="1"/>
  <c r="BG17" i="1"/>
  <c r="AP17" i="1"/>
  <c r="BC17" i="1"/>
  <c r="BB17" i="1"/>
  <c r="AK17" i="1"/>
  <c r="AI17" i="1"/>
  <c r="L17" i="1"/>
  <c r="AY17" i="1"/>
  <c r="AX17" i="1"/>
  <c r="BA17" i="1"/>
  <c r="AV17" i="1"/>
  <c r="AZ17" i="1"/>
  <c r="AJ17" i="1"/>
  <c r="U17" i="1"/>
  <c r="K17" i="1"/>
  <c r="J17" i="1"/>
  <c r="R17" i="1"/>
  <c r="V17" i="1"/>
  <c r="W17" i="1"/>
  <c r="AE17" i="1"/>
  <c r="AC17" i="1"/>
  <c r="AD17" i="1"/>
  <c r="AF17" i="1"/>
  <c r="X17" i="1"/>
  <c r="AB17" i="1"/>
  <c r="AA17" i="1"/>
  <c r="Z17" i="1"/>
  <c r="Y17" i="1"/>
  <c r="S17" i="1"/>
  <c r="Q17" i="1"/>
  <c r="T17" i="1"/>
  <c r="P17" i="1"/>
  <c r="M17" i="1"/>
  <c r="N17" i="1"/>
  <c r="O17" i="1"/>
</calcChain>
</file>

<file path=xl/sharedStrings.xml><?xml version="1.0" encoding="utf-8"?>
<sst xmlns="http://schemas.openxmlformats.org/spreadsheetml/2006/main" count="1076" uniqueCount="490">
  <si>
    <t>File opened</t>
  </si>
  <si>
    <t>2023-01-26 12:17:31</t>
  </si>
  <si>
    <t>Console s/n</t>
  </si>
  <si>
    <t>68C-812069</t>
  </si>
  <si>
    <t>Console ver</t>
  </si>
  <si>
    <t>Bluestem v.2.1.08</t>
  </si>
  <si>
    <t>Scripts ver</t>
  </si>
  <si>
    <t>2022.05  2.1.08, Aug 2022</t>
  </si>
  <si>
    <t>Head s/n</t>
  </si>
  <si>
    <t>68H-712059</t>
  </si>
  <si>
    <t>Head ver</t>
  </si>
  <si>
    <t>1.4.22</t>
  </si>
  <si>
    <t>Head cal</t>
  </si>
  <si>
    <t>{"oxygen": "21", "co2azero": "0.94363", "co2aspan1": "1.00103", "co2aspan2": "-0.0216606", "co2aspan2a": "0.320839", "co2aspan2b": "0.318938", "co2aspanconc1": "2490", "co2aspanconc2": "303.6", "co2bzero": "0.89717", "co2bspan1": "1.00087", "co2bspan2": "-0.0214807", "co2bspan2a": "0.324139", "co2bspan2b": "0.322165", "co2bspanconc1": "2490", "co2bspanconc2": "303.6", "h2oazero": "1.03545", "h2oaspan1": "1.00799", "h2oaspan2": "0", "h2oaspan2a": "0.068529", "h2oaspan2b": "0.0690768", "h2oaspanconc1": "12.1", "h2oaspanconc2": "0", "h2obzero": "1.02589", "h2obspan1": "1.00375", "h2obspan2": "0", "h2obspan2a": "0.0695537", "h2obspan2b": "0.0698146", "h2obspanconc1": "12.1", "h2obspanconc2": "0", "tazero": "-0.0720329", "tbzero": "-0.0343723", "flowmeterzero": "1.00802", "flowazero": "0.312", "flowbzero": "0.30578", "chamberpressurezero": "2.65847", "ssa_ref": "35252", "ssb_ref": "32437.2"}</t>
  </si>
  <si>
    <t>CO2 rangematch</t>
  </si>
  <si>
    <t>Tue Jan 10 14:12</t>
  </si>
  <si>
    <t>H2O rangematch</t>
  </si>
  <si>
    <t>Tue Jan 10 14:28</t>
  </si>
  <si>
    <t>Chamber type</t>
  </si>
  <si>
    <t>6800-01A</t>
  </si>
  <si>
    <t>Chamber s/n</t>
  </si>
  <si>
    <t>MPF-281818</t>
  </si>
  <si>
    <t>Chamber rev</t>
  </si>
  <si>
    <t>0</t>
  </si>
  <si>
    <t>Chamber cal</t>
  </si>
  <si>
    <t>Fluorometer</t>
  </si>
  <si>
    <t>Flr. Version</t>
  </si>
  <si>
    <t>12:17:31</t>
  </si>
  <si>
    <t>Stability Definition:	A (GasEx): Slp&lt;0.7 Std&lt;0.2 Per=20	gsw (GasEx): Slp&lt;0.05 Std&lt;0.05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</si>
  <si>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</si>
  <si>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</si>
  <si>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</si>
  <si>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</si>
  <si>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</si>
  <si>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</si>
  <si>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</si>
  <si>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</si>
  <si>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</si>
  <si>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</si>
  <si>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</si>
  <si>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</si>
  <si>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</si>
  <si>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</si>
  <si>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</si>
  <si>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</si>
  <si>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</si>
  <si>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</si>
  <si>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</si>
  <si>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</si>
  <si>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</si>
  <si>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</si>
  <si>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</si>
  <si>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</si>
  <si>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</si>
  <si>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</si>
  <si>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</si>
  <si>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</si>
  <si>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</si>
  <si>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</si>
  <si>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</si>
  <si>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</si>
  <si>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</si>
  <si>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</si>
  <si>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</si>
  <si>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</si>
  <si>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</si>
  <si>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</si>
  <si>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</si>
  <si>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</si>
  <si>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</si>
  <si>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</si>
  <si>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</si>
  <si>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</si>
  <si>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</si>
  <si>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</si>
  <si>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</si>
  <si>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</si>
  <si>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</si>
  <si>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</si>
  <si>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</si>
  <si>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</si>
  <si>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1.24043 69.6157 352.845 583.555 812.2 999.245 1201.01 1372.3</t>
  </si>
  <si>
    <t>Fs_true</t>
  </si>
  <si>
    <t>-0.0622619 103.487 400.857 600.958 800.162 1000.34 1200.47 1401.47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</si>
  <si>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</si>
  <si>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</si>
  <si>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</si>
  <si>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</si>
  <si>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</si>
  <si>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</si>
  <si>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</si>
  <si>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</si>
  <si>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</si>
  <si>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</si>
  <si>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</si>
  <si>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</si>
  <si>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</si>
  <si>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</si>
  <si>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</si>
  <si>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</si>
  <si>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</si>
  <si>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</si>
  <si>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</si>
  <si>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</si>
  <si>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</si>
  <si>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</si>
  <si>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</si>
  <si>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</si>
  <si>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</si>
  <si>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</si>
  <si>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</si>
  <si>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</si>
  <si>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</si>
  <si>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</si>
  <si>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</si>
  <si>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</si>
  <si>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</si>
  <si>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</si>
  <si>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</si>
  <si>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</si>
  <si>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</si>
  <si>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</si>
  <si>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</si>
  <si>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</si>
  <si>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</si>
  <si>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</si>
  <si>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</si>
  <si>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</si>
  <si>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</si>
  <si>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</si>
  <si>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</si>
  <si>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</si>
  <si>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</si>
  <si>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</si>
  <si>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</si>
  <si>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</si>
  <si>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</si>
  <si>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</si>
  <si>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</si>
  <si>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</si>
  <si>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</si>
  <si>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</si>
  <si>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</si>
  <si>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</si>
  <si>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</si>
  <si>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</si>
  <si>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</si>
  <si>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</si>
  <si>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</si>
  <si>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</si>
  <si>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</si>
  <si>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</si>
  <si>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</si>
  <si>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</si>
  <si>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</si>
  <si>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</si>
  <si>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</si>
  <si>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</si>
  <si>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</si>
  <si>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</si>
  <si>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</si>
  <si>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</si>
  <si>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</si>
  <si>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</si>
  <si>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</si>
  <si>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</si>
  <si>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</si>
  <si>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</si>
  <si>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</si>
  <si>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</si>
  <si>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</si>
  <si>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</si>
  <si>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</si>
  <si>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</si>
  <si>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</si>
  <si>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</si>
  <si>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</si>
  <si>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</si>
  <si>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</si>
  <si>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</si>
  <si>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</si>
  <si>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</si>
  <si>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</si>
  <si>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</si>
  <si>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</si>
  <si>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</si>
  <si>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</si>
  <si>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</si>
  <si>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</si>
  <si>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</si>
  <si>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</si>
  <si>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</si>
  <si>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</si>
  <si>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</si>
  <si>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</si>
  <si>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</si>
  <si>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</si>
  <si>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</si>
  <si>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</si>
  <si>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</si>
  <si>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</si>
  <si>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</si>
  <si>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</si>
  <si>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</si>
  <si>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</si>
  <si>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</si>
  <si>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</si>
  <si>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</si>
  <si>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</si>
  <si>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</si>
  <si>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</si>
  <si>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</si>
  <si>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</si>
  <si>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</si>
  <si>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</si>
  <si>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</si>
  <si>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</si>
  <si>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</si>
  <si>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</si>
  <si>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</si>
  <si>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</si>
  <si>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</si>
  <si>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</si>
  <si>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</si>
  <si>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</si>
  <si>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</si>
  <si>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</si>
  <si>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</si>
  <si>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</si>
  <si>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</si>
  <si>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</si>
  <si>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</si>
  <si>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</si>
  <si>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</si>
  <si>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</si>
  <si>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</si>
  <si>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</si>
  <si>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</si>
  <si>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</si>
  <si>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</si>
  <si>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</si>
  <si>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</si>
  <si>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</si>
  <si>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</si>
  <si>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</si>
  <si>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</si>
  <si>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</si>
  <si>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</si>
  <si>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</si>
  <si>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</si>
  <si>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</si>
  <si>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</si>
  <si>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</si>
  <si>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</si>
  <si>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</si>
  <si>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</si>
  <si>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</si>
  <si>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</si>
  <si>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</si>
  <si>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</si>
  <si>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</si>
  <si>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</si>
  <si>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</si>
  <si>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</si>
  <si>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</si>
  <si>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</si>
  <si>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</si>
  <si>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</si>
  <si>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</si>
  <si>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</si>
  <si>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</si>
  <si>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</si>
  <si>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</si>
  <si>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</si>
  <si>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</si>
  <si>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</si>
  <si>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</si>
  <si>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</si>
  <si>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</si>
  <si>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</si>
  <si>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</si>
  <si>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</si>
  <si>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</si>
  <si>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</si>
  <si>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</si>
  <si>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</si>
  <si>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</si>
  <si>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</si>
  <si>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</si>
  <si>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</si>
  <si>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</si>
  <si>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</si>
  <si>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</si>
  <si>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</si>
  <si>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</si>
  <si>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</si>
  <si>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</si>
  <si>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</si>
  <si>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</si>
  <si>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</si>
  <si>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</si>
  <si>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</si>
  <si>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</si>
  <si>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</si>
  <si>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</si>
  <si>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</si>
  <si>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</si>
  <si>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</si>
  <si>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</si>
  <si>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</si>
  <si>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</si>
  <si>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</si>
  <si>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</si>
  <si>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</si>
  <si>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</si>
  <si>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</si>
  <si>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</si>
  <si>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</si>
  <si>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</si>
  <si>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</si>
  <si>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</si>
  <si>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</si>
  <si>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</si>
  <si>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</si>
  <si>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</si>
  <si>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</si>
  <si>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</si>
  <si>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</si>
  <si>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</si>
  <si>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</si>
  <si>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</si>
  <si>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</si>
  <si>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</si>
  <si>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</si>
  <si>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</si>
  <si>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</si>
  <si>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</si>
  <si>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</si>
  <si>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</si>
  <si>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</si>
  <si>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</si>
  <si>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</si>
  <si>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</si>
  <si>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</si>
  <si>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</si>
  <si>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</si>
  <si>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</si>
  <si>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</si>
  <si>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</si>
  <si>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</si>
  <si>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</si>
  <si>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</si>
  <si>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</si>
  <si>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</si>
  <si>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</si>
  <si>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</si>
  <si>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</si>
  <si>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</si>
  <si>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</si>
  <si>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</si>
  <si>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</si>
  <si>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</si>
  <si>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</si>
  <si>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</si>
  <si>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</si>
  <si>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</si>
  <si>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</si>
  <si>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</si>
  <si>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</si>
  <si>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</si>
  <si>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</si>
  <si>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</si>
  <si>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</si>
  <si>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</si>
  <si>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</si>
  <si>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</si>
  <si>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</si>
  <si>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</si>
  <si>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</si>
  <si>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</si>
  <si>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</si>
  <si>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</si>
  <si>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</si>
  <si>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</si>
  <si>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</si>
  <si>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</si>
  <si>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</si>
  <si>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</si>
  <si>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</si>
  <si>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</si>
  <si>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</si>
  <si>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</si>
  <si>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</si>
  <si>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</si>
  <si>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</si>
  <si>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</si>
  <si>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</si>
  <si>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</si>
  <si>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</si>
  <si>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</si>
  <si>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</si>
  <si>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</si>
  <si>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</si>
  <si>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</si>
  <si>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</si>
  <si>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</si>
  <si>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</si>
  <si>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</si>
  <si>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</si>
  <si>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</si>
  <si>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20230126 12:34:39</t>
  </si>
  <si>
    <t>12:34:39</t>
  </si>
  <si>
    <t>none</t>
  </si>
  <si>
    <t>9</t>
  </si>
  <si>
    <t>zg12a</t>
  </si>
  <si>
    <t>MPF-9869-20220831-11_08_06</t>
  </si>
  <si>
    <t>MPF-225-20230126-12_34_03</t>
  </si>
  <si>
    <t>DARK-226-20230126-12_34_10</t>
  </si>
  <si>
    <t>0: Broadleaf</t>
  </si>
  <si>
    <t>12:33:58</t>
  </si>
  <si>
    <t>2/2</t>
  </si>
  <si>
    <t>11111111</t>
  </si>
  <si>
    <t>oooooooo</t>
  </si>
  <si>
    <t>off</t>
  </si>
  <si>
    <t>20230126 12:36:51</t>
  </si>
  <si>
    <t>12:36:51</t>
  </si>
  <si>
    <t>MPF-227-20230126-12_36_15</t>
  </si>
  <si>
    <t>DARK-228-20230126-12_36_22</t>
  </si>
  <si>
    <t>12:36:12</t>
  </si>
  <si>
    <t>20230126 12:39:42</t>
  </si>
  <si>
    <t>12:39:42</t>
  </si>
  <si>
    <t>MPF-229-20230126-12_39_06</t>
  </si>
  <si>
    <t>DARK-230-20230126-12_39_13</t>
  </si>
  <si>
    <t>12:39:04</t>
  </si>
  <si>
    <t>20230126 12:41:48</t>
  </si>
  <si>
    <t>12:41:48</t>
  </si>
  <si>
    <t>MPF-231-20230126-12_41_12</t>
  </si>
  <si>
    <t>DARK-232-20230126-12_41_19</t>
  </si>
  <si>
    <t>12:41:09</t>
  </si>
  <si>
    <t>20230126 12:43:46</t>
  </si>
  <si>
    <t>12:43:46</t>
  </si>
  <si>
    <t>MPF-233-20230126-12_43_09</t>
  </si>
  <si>
    <t>DARK-234-20230126-12_43_17</t>
  </si>
  <si>
    <t>12:43:05</t>
  </si>
  <si>
    <t>20230126 12:46:01</t>
  </si>
  <si>
    <t>12:46:01</t>
  </si>
  <si>
    <t>MPF-235-20230126-12_45_24</t>
  </si>
  <si>
    <t>DARK-236-20230126-12_45_32</t>
  </si>
  <si>
    <t>12:45:20</t>
  </si>
  <si>
    <t>20230126 12:48:06</t>
  </si>
  <si>
    <t>12:48:06</t>
  </si>
  <si>
    <t>MPF-237-20230126-12_47_30</t>
  </si>
  <si>
    <t>DARK-238-20230126-12_47_37</t>
  </si>
  <si>
    <t>12:47:25</t>
  </si>
  <si>
    <t>20230126 12:51:16</t>
  </si>
  <si>
    <t>12:51:16</t>
  </si>
  <si>
    <t>MPF-239-20230126-12_50_39</t>
  </si>
  <si>
    <t>DARK-240-20230126-12_50_47</t>
  </si>
  <si>
    <t>12:49:26</t>
  </si>
  <si>
    <t>1/2</t>
  </si>
  <si>
    <t>20230126 12:54:25</t>
  </si>
  <si>
    <t>12:54:25</t>
  </si>
  <si>
    <t>MPF-241-20230126-12_53_49</t>
  </si>
  <si>
    <t>DARK-242-20230126-12_53_56</t>
  </si>
  <si>
    <t>12:52:29</t>
  </si>
  <si>
    <t>20230126 12:56:23</t>
  </si>
  <si>
    <t>12:56:23</t>
  </si>
  <si>
    <t>MPF-243-20230126-12_55_47</t>
  </si>
  <si>
    <t>DARK-244-20230126-12_55_54</t>
  </si>
  <si>
    <t>12:55:44</t>
  </si>
  <si>
    <t>20230126 12:58:31</t>
  </si>
  <si>
    <t>12:58:31</t>
  </si>
  <si>
    <t>MPF-245-20230126-12_57_55</t>
  </si>
  <si>
    <t>DARK-246-20230126-12_58_02</t>
  </si>
  <si>
    <t>12:57:51</t>
  </si>
  <si>
    <t>20230126 13:00:34</t>
  </si>
  <si>
    <t>13:00:34</t>
  </si>
  <si>
    <t>MPF-247-20230126-12_59_57</t>
  </si>
  <si>
    <t>DARK-248-20230126-13_00_05</t>
  </si>
  <si>
    <t>12:59:49</t>
  </si>
  <si>
    <t>20230126 13:02:38</t>
  </si>
  <si>
    <t>13:02:38</t>
  </si>
  <si>
    <t>MPF-249-20230126-13_02_02</t>
  </si>
  <si>
    <t>DARK-250-20230126-13_02_09</t>
  </si>
  <si>
    <t>13:01:54</t>
  </si>
  <si>
    <t>20230126 13:04:49</t>
  </si>
  <si>
    <t>13:04:49</t>
  </si>
  <si>
    <t>MPF-251-20230126-13_04_13</t>
  </si>
  <si>
    <t>DARK-252-20230126-13_04_20</t>
  </si>
  <si>
    <t>13:04:06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</si>
</sst>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30"/>
  <sheetViews>
    <sheetView tabSelected="1" workbookViewId="0"/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1674758079.5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1674758079.5</v>
      </c>
      <c r="J17">
        <f t="shared" ref="J17:J30" si="0">(K17)/1000</f>
        <v>5.5302711133456374E-3</v>
      </c>
      <c r="K17">
        <f t="shared" ref="K17:K30" si="1">1000*DK17*AI17*(DG17-DH17)/(100*CZ17*(1000-AI17*DG17))</f>
        <v>5.5302711133456377</v>
      </c>
      <c r="L17">
        <f t="shared" ref="L17:L30" si="2">DK17*AI17*(DF17-DE17*(1000-AI17*DH17)/(1000-AI17*DG17))/(100*CZ17)</f>
        <v>50.807078272758424</v>
      </c>
      <c r="M17">
        <f t="shared" ref="M17:M30" si="3">DE17 - IF(AI17&gt;1, L17*CZ17*100/(AK17*DS17), 0)</f>
        <v>336.86</v>
      </c>
      <c r="N17">
        <f t="shared" ref="N17:N30" si="4">((T17-J17/2)*M17-L17)/(T17+J17/2)</f>
        <v>151.90721423485294</v>
      </c>
      <c r="O17">
        <f t="shared" ref="O17:O30" si="5">N17*(DL17+DM17)/1000</f>
        <v>15.077396013671287</v>
      </c>
      <c r="P17">
        <f t="shared" ref="P17:P30" si="6">(DE17 - IF(AI17&gt;1, L17*CZ17*100/(AK17*DS17), 0))*(DL17+DM17)/1000</f>
        <v>33.434696612322</v>
      </c>
      <c r="Q17">
        <f t="shared" ref="Q17:Q30" si="7">2/((1/S17-1/R17)+SIGN(S17)*SQRT((1/S17-1/R17)*(1/S17-1/R17) + 4*DA17/((DA17+1)*(DA17+1))*(2*1/S17*1/R17-1/R17*1/R17)))</f>
        <v>0.48680920527833793</v>
      </c>
      <c r="R17">
        <f t="shared" ref="R17:R30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2.9181644076505644</v>
      </c>
      <c r="S17">
        <f t="shared" ref="S17:S30" si="9">J17*(1000-(1000*0.61365*EXP(17.502*W17/(240.97+W17))/(DL17+DM17)+DG17)/2)/(1000*0.61365*EXP(17.502*W17/(240.97+W17))/(DL17+DM17)-DG17)</f>
        <v>0.44578035500038582</v>
      </c>
      <c r="T17">
        <f t="shared" ref="T17:T30" si="10">1/((DA17+1)/(Q17/1.6)+1/(R17/1.37)) + DA17/((DA17+1)/(Q17/1.6) + DA17/(R17/1.37))</f>
        <v>0.28201027446002386</v>
      </c>
      <c r="U17">
        <f t="shared" ref="U17:U30" si="11">(CV17*CY17)</f>
        <v>344.3687996578401</v>
      </c>
      <c r="V17">
        <f t="shared" ref="V17:V30" si="12">(DN17+(U17+2*0.95*0.0000000567*(((DN17+$B$7)+273)^4-(DN17+273)^4)-44100*J17)/(1.84*29.3*R17+8*0.95*0.0000000567*(DN17+273)^3))</f>
        <v>28.591813929259999</v>
      </c>
      <c r="W17">
        <f t="shared" ref="W17:W30" si="13">($C$7*DO17+$D$7*DP17+$E$7*V17)</f>
        <v>27.447500000000002</v>
      </c>
      <c r="X17">
        <f t="shared" ref="X17:X30" si="14">0.61365*EXP(17.502*W17/(240.97+W17))</f>
        <v>3.674316080362809</v>
      </c>
      <c r="Y17">
        <f t="shared" ref="Y17:Y30" si="15">(Z17/AA17*100)</f>
        <v>65.39228950269063</v>
      </c>
      <c r="Z17">
        <f t="shared" ref="Z17:Z30" si="16">DG17*(DL17+DM17)/1000</f>
        <v>2.4811709103311399</v>
      </c>
      <c r="AA17">
        <f t="shared" ref="AA17:AA30" si="17">0.61365*EXP(17.502*DN17/(240.97+DN17))</f>
        <v>3.794286649390139</v>
      </c>
      <c r="AB17">
        <f t="shared" ref="AB17:AB30" si="18">(X17-DG17*(DL17+DM17)/1000)</f>
        <v>1.1931451700316691</v>
      </c>
      <c r="AC17">
        <f t="shared" ref="AC17:AC30" si="19">(-J17*44100)</f>
        <v>-243.8849560985426</v>
      </c>
      <c r="AD17">
        <f t="shared" ref="AD17:AD30" si="20">2*29.3*R17*0.92*(DN17-W17)</f>
        <v>86.528243749891033</v>
      </c>
      <c r="AE17">
        <f t="shared" ref="AE17:AE30" si="21">2*0.95*0.0000000567*(((DN17+$B$7)+273)^4-(W17+273)^4)</f>
        <v>6.4455127716121492</v>
      </c>
      <c r="AF17">
        <f t="shared" ref="AF17:AF30" si="22">U17+AE17+AC17+AD17</f>
        <v>193.45760008080066</v>
      </c>
      <c r="AG17">
        <v>0</v>
      </c>
      <c r="AH17">
        <v>0</v>
      </c>
      <c r="AI17">
        <f t="shared" ref="AI17:AI30" si="23">IF(AG17*$H$13&gt;=AK17,1,(AK17/(AK17-AG17*$H$13)))</f>
        <v>1</v>
      </c>
      <c r="AJ17">
        <f t="shared" ref="AJ17:AJ30" si="24">(AI17-1)*100</f>
        <v>0</v>
      </c>
      <c r="AK17">
        <f t="shared" ref="AK17:AK30" si="25">MAX(0,($B$13+$C$13*DS17)/(1+$D$13*DS17)*DL17/(DN17+273)*$E$13)</f>
        <v>52356.343085838525</v>
      </c>
      <c r="AL17" t="s">
        <v>415</v>
      </c>
      <c r="AM17">
        <v>10297.6</v>
      </c>
      <c r="AN17">
        <v>785.57400000000007</v>
      </c>
      <c r="AO17">
        <v>3597.65</v>
      </c>
      <c r="AP17">
        <f t="shared" ref="AP17:AP30" si="26">1-AN17/AO17</f>
        <v>0.7816424610509638</v>
      </c>
      <c r="AQ17">
        <v>-0.62398835798131469</v>
      </c>
      <c r="AR17" t="s">
        <v>416</v>
      </c>
      <c r="AS17">
        <v>10233.4</v>
      </c>
      <c r="AT17">
        <v>760.03419999999994</v>
      </c>
      <c r="AU17">
        <v>1118.5290297800279</v>
      </c>
      <c r="AV17">
        <f t="shared" ref="AV17:AV30" si="27">1-AT17/AU17</f>
        <v>0.32050561070420347</v>
      </c>
      <c r="AW17">
        <v>0.5</v>
      </c>
      <c r="AX17">
        <f t="shared" ref="AX17:AX30" si="28">CW17</f>
        <v>1513.18439982892</v>
      </c>
      <c r="AY17">
        <f t="shared" ref="AY17:AY30" si="29">L17</f>
        <v>50.807078272758424</v>
      </c>
      <c r="AZ17">
        <f t="shared" ref="AZ17:AZ30" si="30">AV17*AW17*AX17</f>
        <v>242.49204508762082</v>
      </c>
      <c r="BA17">
        <f t="shared" ref="BA17:BA30" si="31">(AY17-AQ17)/AX17</f>
        <v>3.3988631284167688E-2</v>
      </c>
      <c r="BB17">
        <f t="shared" ref="BB17:BB30" si="32">(AO17-AU17)/AU17</f>
        <v>2.2164118267967714</v>
      </c>
      <c r="BC17">
        <f t="shared" ref="BC17:BC30" si="33">AN17/(AP17+AN17/AU17)</f>
        <v>529.37315261963158</v>
      </c>
      <c r="BD17" t="s">
        <v>417</v>
      </c>
      <c r="BE17">
        <v>568.75</v>
      </c>
      <c r="BF17">
        <f t="shared" ref="BF17:BF30" si="34">IF(BE17&lt;&gt;0, BE17, BC17)</f>
        <v>568.75</v>
      </c>
      <c r="BG17">
        <f t="shared" ref="BG17:BG30" si="35">1-BF17/AU17</f>
        <v>0.49151967909867167</v>
      </c>
      <c r="BH17">
        <f t="shared" ref="BH17:BH30" si="36">(AU17-AT17)/(AU17-BF17)</f>
        <v>0.65207075999873143</v>
      </c>
      <c r="BI17">
        <f t="shared" ref="BI17:BI30" si="37">(AO17-AU17)/(AO17-BF17)</f>
        <v>0.81848888052427349</v>
      </c>
      <c r="BJ17">
        <f t="shared" ref="BJ17:BJ30" si="38">(AU17-AT17)/(AU17-AN17)</f>
        <v>1.0767064549734342</v>
      </c>
      <c r="BK17">
        <f t="shared" ref="BK17:BK30" si="39">(AO17-AU17)/(AO17-AN17)</f>
        <v>0.88159813967331324</v>
      </c>
      <c r="BL17">
        <f t="shared" ref="BL17:BL30" si="40">(BH17*BF17/AT17)</f>
        <v>0.48795862705820148</v>
      </c>
      <c r="BM17">
        <f t="shared" ref="BM17:BM30" si="41">(1-BL17)</f>
        <v>0.51204137294179852</v>
      </c>
      <c r="BN17">
        <v>225</v>
      </c>
      <c r="BO17">
        <v>290.00000000000011</v>
      </c>
      <c r="BP17">
        <v>1034.19</v>
      </c>
      <c r="BQ17">
        <v>235</v>
      </c>
      <c r="BR17">
        <v>10233.4</v>
      </c>
      <c r="BS17">
        <v>1034.29</v>
      </c>
      <c r="BT17">
        <v>-0.1</v>
      </c>
      <c r="BU17">
        <v>300.00000000000011</v>
      </c>
      <c r="BV17">
        <v>24.1</v>
      </c>
      <c r="BW17">
        <v>1118.5290297800279</v>
      </c>
      <c r="BX17">
        <v>2.2477834736000881</v>
      </c>
      <c r="BY17">
        <v>-86.207544249668899</v>
      </c>
      <c r="BZ17">
        <v>2.0482551532082751</v>
      </c>
      <c r="CA17">
        <v>0.98443946192537823</v>
      </c>
      <c r="CB17">
        <v>-6.9732460511679629E-3</v>
      </c>
      <c r="CC17">
        <v>289.99999999999989</v>
      </c>
      <c r="CD17">
        <v>1033.3699999999999</v>
      </c>
      <c r="CE17">
        <v>645</v>
      </c>
      <c r="CF17">
        <v>10213.299999999999</v>
      </c>
      <c r="CG17">
        <v>1034.1199999999999</v>
      </c>
      <c r="CH17">
        <v>-0.75</v>
      </c>
      <c r="CV17">
        <f t="shared" ref="CV17:CV30" si="42">$B$11*DT17+$C$11*DU17+$F$11*EF17*(1-EI17)</f>
        <v>1800</v>
      </c>
      <c r="CW17">
        <f t="shared" ref="CW17:CW30" si="43">CV17*CX17</f>
        <v>1513.18439982892</v>
      </c>
      <c r="CX17">
        <f t="shared" ref="CX17:CX30" si="44">($B$11*$D$9+$C$11*$D$9+$F$11*((ES17+EK17)/MAX(ES17+EK17+ET17, 0.1)*$I$9+ET17/MAX(ES17+EK17+ET17, 0.1)*$J$9))/($B$11+$C$11+$F$11)</f>
        <v>0.8406579999049556</v>
      </c>
      <c r="CY17">
        <f t="shared" ref="CY17:CY30" si="45">($B$11*$K$9+$C$11*$K$9+$F$11*((ES17+EK17)/MAX(ES17+EK17+ET17, 0.1)*$P$9+ET17/MAX(ES17+EK17+ET17, 0.1)*$Q$9))/($B$11+$C$11+$F$11)</f>
        <v>0.19131599980991115</v>
      </c>
      <c r="CZ17">
        <v>6</v>
      </c>
      <c r="DA17">
        <v>0.5</v>
      </c>
      <c r="DB17" t="s">
        <v>418</v>
      </c>
      <c r="DC17">
        <v>2</v>
      </c>
      <c r="DD17">
        <v>1674758079.5</v>
      </c>
      <c r="DE17">
        <v>336.86</v>
      </c>
      <c r="DF17">
        <v>400.05200000000002</v>
      </c>
      <c r="DG17">
        <v>24.998200000000001</v>
      </c>
      <c r="DH17">
        <v>18.529</v>
      </c>
      <c r="DI17">
        <v>337.17899999999997</v>
      </c>
      <c r="DJ17">
        <v>24.761800000000001</v>
      </c>
      <c r="DK17">
        <v>500.09500000000003</v>
      </c>
      <c r="DL17">
        <v>99.1541</v>
      </c>
      <c r="DM17">
        <v>9.9882700000000005E-2</v>
      </c>
      <c r="DN17">
        <v>27.997499999999999</v>
      </c>
      <c r="DO17">
        <v>27.447500000000002</v>
      </c>
      <c r="DP17">
        <v>999.9</v>
      </c>
      <c r="DQ17">
        <v>0</v>
      </c>
      <c r="DR17">
        <v>0</v>
      </c>
      <c r="DS17">
        <v>10020</v>
      </c>
      <c r="DT17">
        <v>0</v>
      </c>
      <c r="DU17">
        <v>453.73500000000001</v>
      </c>
      <c r="DV17">
        <v>-63.192700000000002</v>
      </c>
      <c r="DW17">
        <v>345.49599999999998</v>
      </c>
      <c r="DX17">
        <v>407.60500000000002</v>
      </c>
      <c r="DY17">
        <v>6.4692100000000003</v>
      </c>
      <c r="DZ17">
        <v>400.05200000000002</v>
      </c>
      <c r="EA17">
        <v>18.529</v>
      </c>
      <c r="EB17">
        <v>2.4786700000000002</v>
      </c>
      <c r="EC17">
        <v>1.8372200000000001</v>
      </c>
      <c r="ED17">
        <v>20.8871</v>
      </c>
      <c r="EE17">
        <v>16.107099999999999</v>
      </c>
      <c r="EF17">
        <v>1800</v>
      </c>
      <c r="EG17">
        <v>0.97800699999999996</v>
      </c>
      <c r="EH17">
        <v>2.1993200000000001E-2</v>
      </c>
      <c r="EI17">
        <v>0</v>
      </c>
      <c r="EJ17">
        <v>760.51900000000001</v>
      </c>
      <c r="EK17">
        <v>5.0002599999999999</v>
      </c>
      <c r="EL17">
        <v>13991.9</v>
      </c>
      <c r="EM17">
        <v>17103.400000000001</v>
      </c>
      <c r="EN17">
        <v>48.5</v>
      </c>
      <c r="EO17">
        <v>50.061999999999998</v>
      </c>
      <c r="EP17">
        <v>49.5</v>
      </c>
      <c r="EQ17">
        <v>49.061999999999998</v>
      </c>
      <c r="ER17">
        <v>49.811999999999998</v>
      </c>
      <c r="ES17">
        <v>1755.52</v>
      </c>
      <c r="ET17">
        <v>39.479999999999997</v>
      </c>
      <c r="EU17">
        <v>0</v>
      </c>
      <c r="EV17">
        <v>1674758074.5</v>
      </c>
      <c r="EW17">
        <v>0</v>
      </c>
      <c r="EX17">
        <v>760.03419999999994</v>
      </c>
      <c r="EY17">
        <v>1.2056153727903021</v>
      </c>
      <c r="EZ17">
        <v>16.176923056114891</v>
      </c>
      <c r="FA17">
        <v>13990.548000000001</v>
      </c>
      <c r="FB17">
        <v>15</v>
      </c>
      <c r="FC17">
        <v>1674758038.5</v>
      </c>
      <c r="FD17" t="s">
        <v>419</v>
      </c>
      <c r="FE17">
        <v>1674758034</v>
      </c>
      <c r="FF17">
        <v>1674758038.5</v>
      </c>
      <c r="FG17">
        <v>6</v>
      </c>
      <c r="FH17">
        <v>5.8999999999999997E-2</v>
      </c>
      <c r="FI17">
        <v>1E-3</v>
      </c>
      <c r="FJ17">
        <v>-0.32900000000000001</v>
      </c>
      <c r="FK17">
        <v>7.9000000000000001E-2</v>
      </c>
      <c r="FL17">
        <v>400</v>
      </c>
      <c r="FM17">
        <v>18</v>
      </c>
      <c r="FN17">
        <v>0.03</v>
      </c>
      <c r="FO17">
        <v>0.02</v>
      </c>
      <c r="FP17">
        <v>50.823047356565297</v>
      </c>
      <c r="FQ17">
        <v>-0.56916129049055753</v>
      </c>
      <c r="FR17">
        <v>7.1944703629784237E-2</v>
      </c>
      <c r="FS17">
        <v>1</v>
      </c>
      <c r="FT17">
        <v>0.48966509616853071</v>
      </c>
      <c r="FU17">
        <v>-4.4343927689146634E-3</v>
      </c>
      <c r="FV17">
        <v>3.7330492529668679E-3</v>
      </c>
      <c r="FW17">
        <v>1</v>
      </c>
      <c r="FX17">
        <v>2</v>
      </c>
      <c r="FY17">
        <v>2</v>
      </c>
      <c r="FZ17" t="s">
        <v>420</v>
      </c>
      <c r="GA17">
        <v>2.9280900000000001</v>
      </c>
      <c r="GB17">
        <v>2.8069600000000001</v>
      </c>
      <c r="GC17">
        <v>8.5131999999999999E-2</v>
      </c>
      <c r="GD17">
        <v>9.8666699999999996E-2</v>
      </c>
      <c r="GE17">
        <v>0.114674</v>
      </c>
      <c r="GF17">
        <v>9.4428899999999996E-2</v>
      </c>
      <c r="GG17">
        <v>27159.200000000001</v>
      </c>
      <c r="GH17">
        <v>27220.799999999999</v>
      </c>
      <c r="GI17">
        <v>28199.5</v>
      </c>
      <c r="GJ17">
        <v>27215.8</v>
      </c>
      <c r="GK17">
        <v>35839.1</v>
      </c>
      <c r="GL17">
        <v>32548.7</v>
      </c>
      <c r="GM17">
        <v>41990.9</v>
      </c>
      <c r="GN17">
        <v>36931.300000000003</v>
      </c>
      <c r="GO17">
        <v>1.9187700000000001</v>
      </c>
      <c r="GP17">
        <v>1.9038999999999999</v>
      </c>
      <c r="GQ17">
        <v>4.52474E-2</v>
      </c>
      <c r="GR17">
        <v>0</v>
      </c>
      <c r="GS17">
        <v>26.707599999999999</v>
      </c>
      <c r="GT17">
        <v>999.9</v>
      </c>
      <c r="GU17">
        <v>41.5</v>
      </c>
      <c r="GV17">
        <v>34.5</v>
      </c>
      <c r="GW17">
        <v>22.994800000000001</v>
      </c>
      <c r="GX17">
        <v>61.7592</v>
      </c>
      <c r="GY17">
        <v>25.929500000000001</v>
      </c>
      <c r="GZ17">
        <v>1</v>
      </c>
      <c r="HA17">
        <v>0.42834899999999998</v>
      </c>
      <c r="HB17">
        <v>3.2032699999999998</v>
      </c>
      <c r="HC17">
        <v>20.368500000000001</v>
      </c>
      <c r="HD17">
        <v>5.2406499999999996</v>
      </c>
      <c r="HE17">
        <v>11.9381</v>
      </c>
      <c r="HF17">
        <v>4.9736000000000002</v>
      </c>
      <c r="HG17">
        <v>3.2989999999999999</v>
      </c>
      <c r="HH17">
        <v>9999</v>
      </c>
      <c r="HI17">
        <v>9999</v>
      </c>
      <c r="HJ17">
        <v>9999</v>
      </c>
      <c r="HK17">
        <v>999.9</v>
      </c>
      <c r="HL17">
        <v>1.8730100000000001</v>
      </c>
      <c r="HM17">
        <v>1.8806499999999999</v>
      </c>
      <c r="HN17">
        <v>1.8843000000000001</v>
      </c>
      <c r="HO17">
        <v>1.8809499999999999</v>
      </c>
      <c r="HP17">
        <v>1.8783300000000001</v>
      </c>
      <c r="HQ17">
        <v>1.8730199999999999</v>
      </c>
      <c r="HR17">
        <v>1.8758900000000001</v>
      </c>
      <c r="HS17">
        <v>1.88012</v>
      </c>
      <c r="HT17">
        <v>5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423</v>
      </c>
      <c r="IB17" t="s">
        <v>423</v>
      </c>
      <c r="IC17" t="s">
        <v>423</v>
      </c>
      <c r="ID17">
        <v>0</v>
      </c>
      <c r="IE17">
        <v>100</v>
      </c>
      <c r="IF17">
        <v>100</v>
      </c>
      <c r="IG17">
        <v>-0.31900000000000001</v>
      </c>
      <c r="IH17">
        <v>0.2364</v>
      </c>
      <c r="II17">
        <v>-0.45150244114882693</v>
      </c>
      <c r="IJ17">
        <v>9.4905977090923709E-4</v>
      </c>
      <c r="IK17">
        <v>-1.9106666302146479E-6</v>
      </c>
      <c r="IL17">
        <v>7.5819610513223293E-10</v>
      </c>
      <c r="IM17">
        <v>-6.4360774107043911E-2</v>
      </c>
      <c r="IN17">
        <v>-1.0595840490420019E-2</v>
      </c>
      <c r="IO17">
        <v>1.2407080968752471E-3</v>
      </c>
      <c r="IP17">
        <v>-1.3015442653884381E-5</v>
      </c>
      <c r="IQ17">
        <v>33</v>
      </c>
      <c r="IR17">
        <v>2014</v>
      </c>
      <c r="IS17">
        <v>1</v>
      </c>
      <c r="IT17">
        <v>26</v>
      </c>
      <c r="IU17">
        <v>0.8</v>
      </c>
      <c r="IV17">
        <v>0.7</v>
      </c>
      <c r="IW17">
        <v>1.02417</v>
      </c>
      <c r="IX17">
        <v>2.5122100000000001</v>
      </c>
      <c r="IY17">
        <v>1.5991200000000001</v>
      </c>
      <c r="IZ17">
        <v>2.2936999999999999</v>
      </c>
      <c r="JA17">
        <v>1.5502899999999999</v>
      </c>
      <c r="JB17">
        <v>2.2863799999999999</v>
      </c>
      <c r="JC17">
        <v>37.771099999999997</v>
      </c>
      <c r="JD17">
        <v>16.277200000000001</v>
      </c>
      <c r="JE17">
        <v>18</v>
      </c>
      <c r="JF17">
        <v>483.89800000000002</v>
      </c>
      <c r="JG17">
        <v>509.62799999999999</v>
      </c>
      <c r="JH17">
        <v>22.639399999999998</v>
      </c>
      <c r="JI17">
        <v>32.6023</v>
      </c>
      <c r="JJ17">
        <v>30.0001</v>
      </c>
      <c r="JK17">
        <v>32.656700000000001</v>
      </c>
      <c r="JL17">
        <v>32.618899999999996</v>
      </c>
      <c r="JM17">
        <v>20.549700000000001</v>
      </c>
      <c r="JN17">
        <v>19.389800000000001</v>
      </c>
      <c r="JO17">
        <v>24.7318</v>
      </c>
      <c r="JP17">
        <v>22.641400000000001</v>
      </c>
      <c r="JQ17">
        <v>400</v>
      </c>
      <c r="JR17">
        <v>18.442900000000002</v>
      </c>
      <c r="JS17">
        <v>99.555300000000003</v>
      </c>
      <c r="JT17">
        <v>98.878900000000002</v>
      </c>
    </row>
    <row r="18" spans="1:280" x14ac:dyDescent="0.25">
      <c r="A18">
        <v>2</v>
      </c>
      <c r="B18">
        <v>1674758211.5</v>
      </c>
      <c r="C18">
        <v>132</v>
      </c>
      <c r="D18" t="s">
        <v>424</v>
      </c>
      <c r="E18" t="s">
        <v>425</v>
      </c>
      <c r="F18" t="s">
        <v>412</v>
      </c>
      <c r="G18" t="s">
        <v>413</v>
      </c>
      <c r="H18" t="s">
        <v>414</v>
      </c>
      <c r="I18">
        <v>1674758211.5</v>
      </c>
      <c r="J18">
        <f t="shared" si="0"/>
        <v>5.6652310003485161E-3</v>
      </c>
      <c r="K18">
        <f t="shared" si="1"/>
        <v>5.6652310003485162</v>
      </c>
      <c r="L18">
        <f t="shared" si="2"/>
        <v>44.531981952172629</v>
      </c>
      <c r="M18">
        <f t="shared" si="3"/>
        <v>244.88200000000001</v>
      </c>
      <c r="N18">
        <f t="shared" si="4"/>
        <v>88.050238302765095</v>
      </c>
      <c r="O18">
        <f t="shared" si="5"/>
        <v>8.7385266525758283</v>
      </c>
      <c r="P18">
        <f t="shared" si="6"/>
        <v>24.303260558794797</v>
      </c>
      <c r="Q18">
        <f t="shared" si="7"/>
        <v>0.50163953765192737</v>
      </c>
      <c r="R18">
        <f t="shared" si="8"/>
        <v>2.9183374195321896</v>
      </c>
      <c r="S18">
        <f t="shared" si="9"/>
        <v>0.45819449302482124</v>
      </c>
      <c r="T18">
        <f t="shared" si="10"/>
        <v>0.28996072274369228</v>
      </c>
      <c r="U18">
        <f t="shared" si="11"/>
        <v>344.36689965783813</v>
      </c>
      <c r="V18">
        <f t="shared" si="12"/>
        <v>28.556970048847266</v>
      </c>
      <c r="W18">
        <f t="shared" si="13"/>
        <v>27.430900000000001</v>
      </c>
      <c r="X18">
        <f t="shared" si="14"/>
        <v>3.6707472207590959</v>
      </c>
      <c r="Y18">
        <f t="shared" si="15"/>
        <v>65.404580992691152</v>
      </c>
      <c r="Z18">
        <f t="shared" si="16"/>
        <v>2.4816951547321202</v>
      </c>
      <c r="AA18">
        <f t="shared" si="17"/>
        <v>3.7943751294874057</v>
      </c>
      <c r="AB18">
        <f t="shared" si="18"/>
        <v>1.1890520660269757</v>
      </c>
      <c r="AC18">
        <f t="shared" si="19"/>
        <v>-249.83668711536956</v>
      </c>
      <c r="AD18">
        <f t="shared" si="20"/>
        <v>89.208041747351629</v>
      </c>
      <c r="AE18">
        <f t="shared" si="21"/>
        <v>6.6442011447401139</v>
      </c>
      <c r="AF18">
        <f t="shared" si="22"/>
        <v>190.38245543456031</v>
      </c>
      <c r="AG18">
        <v>0</v>
      </c>
      <c r="AH18">
        <v>0</v>
      </c>
      <c r="AI18">
        <f t="shared" si="23"/>
        <v>1</v>
      </c>
      <c r="AJ18">
        <f t="shared" si="24"/>
        <v>0</v>
      </c>
      <c r="AK18">
        <f t="shared" si="25"/>
        <v>52361.037400732486</v>
      </c>
      <c r="AL18" t="s">
        <v>415</v>
      </c>
      <c r="AM18">
        <v>10297.6</v>
      </c>
      <c r="AN18">
        <v>785.57400000000007</v>
      </c>
      <c r="AO18">
        <v>3597.65</v>
      </c>
      <c r="AP18">
        <f t="shared" si="26"/>
        <v>0.7816424610509638</v>
      </c>
      <c r="AQ18">
        <v>-0.62398835798131469</v>
      </c>
      <c r="AR18" t="s">
        <v>426</v>
      </c>
      <c r="AS18">
        <v>10251.5</v>
      </c>
      <c r="AT18">
        <v>755.57938461538458</v>
      </c>
      <c r="AU18">
        <v>1077.207782689311</v>
      </c>
      <c r="AV18">
        <f t="shared" si="27"/>
        <v>0.29857600663723638</v>
      </c>
      <c r="AW18">
        <v>0.5</v>
      </c>
      <c r="AX18">
        <f t="shared" si="28"/>
        <v>1513.175999828919</v>
      </c>
      <c r="AY18">
        <f t="shared" si="29"/>
        <v>44.531981952172629</v>
      </c>
      <c r="AZ18">
        <f t="shared" si="30"/>
        <v>225.89902368411305</v>
      </c>
      <c r="BA18">
        <f t="shared" si="31"/>
        <v>2.9841849404999368E-2</v>
      </c>
      <c r="BB18">
        <f t="shared" si="32"/>
        <v>2.3397920603750753</v>
      </c>
      <c r="BC18">
        <f t="shared" si="33"/>
        <v>519.93391888633698</v>
      </c>
      <c r="BD18" t="s">
        <v>427</v>
      </c>
      <c r="BE18">
        <v>567.41</v>
      </c>
      <c r="BF18">
        <f t="shared" si="34"/>
        <v>567.41</v>
      </c>
      <c r="BG18">
        <f t="shared" si="35"/>
        <v>0.4732585401644348</v>
      </c>
      <c r="BH18">
        <f t="shared" si="36"/>
        <v>0.63089407014925802</v>
      </c>
      <c r="BI18">
        <f t="shared" si="37"/>
        <v>0.83176323238776095</v>
      </c>
      <c r="BJ18">
        <f t="shared" si="38"/>
        <v>1.1028502771798903</v>
      </c>
      <c r="BK18">
        <f t="shared" si="39"/>
        <v>0.89629235387332673</v>
      </c>
      <c r="BL18">
        <f t="shared" si="40"/>
        <v>0.47377629886714306</v>
      </c>
      <c r="BM18">
        <f t="shared" si="41"/>
        <v>0.52622370113285699</v>
      </c>
      <c r="BN18">
        <v>227</v>
      </c>
      <c r="BO18">
        <v>290.00000000000011</v>
      </c>
      <c r="BP18">
        <v>996.3</v>
      </c>
      <c r="BQ18">
        <v>115</v>
      </c>
      <c r="BR18">
        <v>10251.5</v>
      </c>
      <c r="BS18">
        <v>995.12</v>
      </c>
      <c r="BT18">
        <v>1.18</v>
      </c>
      <c r="BU18">
        <v>300.00000000000011</v>
      </c>
      <c r="BV18">
        <v>24.1</v>
      </c>
      <c r="BW18">
        <v>1077.207782689311</v>
      </c>
      <c r="BX18">
        <v>1.846185305044342</v>
      </c>
      <c r="BY18">
        <v>-84.150695791189122</v>
      </c>
      <c r="BZ18">
        <v>1.6822204427848331</v>
      </c>
      <c r="CA18">
        <v>0.98893437635671555</v>
      </c>
      <c r="CB18">
        <v>-6.9729090100111371E-3</v>
      </c>
      <c r="CC18">
        <v>289.99999999999989</v>
      </c>
      <c r="CD18">
        <v>993.74</v>
      </c>
      <c r="CE18">
        <v>635</v>
      </c>
      <c r="CF18">
        <v>10213.5</v>
      </c>
      <c r="CG18">
        <v>994.82</v>
      </c>
      <c r="CH18">
        <v>-1.08</v>
      </c>
      <c r="CV18">
        <f t="shared" si="42"/>
        <v>1799.99</v>
      </c>
      <c r="CW18">
        <f t="shared" si="43"/>
        <v>1513.175999828919</v>
      </c>
      <c r="CX18">
        <f t="shared" si="44"/>
        <v>0.84065800356053033</v>
      </c>
      <c r="CY18">
        <f t="shared" si="45"/>
        <v>0.19131600712106075</v>
      </c>
      <c r="CZ18">
        <v>6</v>
      </c>
      <c r="DA18">
        <v>0.5</v>
      </c>
      <c r="DB18" t="s">
        <v>418</v>
      </c>
      <c r="DC18">
        <v>2</v>
      </c>
      <c r="DD18">
        <v>1674758211.5</v>
      </c>
      <c r="DE18">
        <v>244.88200000000001</v>
      </c>
      <c r="DF18">
        <v>299.97699999999998</v>
      </c>
      <c r="DG18">
        <v>25.005800000000001</v>
      </c>
      <c r="DH18">
        <v>18.378499999999999</v>
      </c>
      <c r="DI18">
        <v>245.24700000000001</v>
      </c>
      <c r="DJ18">
        <v>24.766400000000001</v>
      </c>
      <c r="DK18">
        <v>500.07400000000001</v>
      </c>
      <c r="DL18">
        <v>99.145099999999999</v>
      </c>
      <c r="DM18">
        <v>9.9681400000000003E-2</v>
      </c>
      <c r="DN18">
        <v>27.997900000000001</v>
      </c>
      <c r="DO18">
        <v>27.430900000000001</v>
      </c>
      <c r="DP18">
        <v>999.9</v>
      </c>
      <c r="DQ18">
        <v>0</v>
      </c>
      <c r="DR18">
        <v>0</v>
      </c>
      <c r="DS18">
        <v>10021.9</v>
      </c>
      <c r="DT18">
        <v>0</v>
      </c>
      <c r="DU18">
        <v>465.99900000000002</v>
      </c>
      <c r="DV18">
        <v>-55.095300000000002</v>
      </c>
      <c r="DW18">
        <v>251.16200000000001</v>
      </c>
      <c r="DX18">
        <v>305.59300000000002</v>
      </c>
      <c r="DY18">
        <v>6.6273200000000001</v>
      </c>
      <c r="DZ18">
        <v>299.97699999999998</v>
      </c>
      <c r="EA18">
        <v>18.378499999999999</v>
      </c>
      <c r="EB18">
        <v>2.4792100000000001</v>
      </c>
      <c r="EC18">
        <v>1.8221400000000001</v>
      </c>
      <c r="ED18">
        <v>20.890599999999999</v>
      </c>
      <c r="EE18">
        <v>15.978</v>
      </c>
      <c r="EF18">
        <v>1799.99</v>
      </c>
      <c r="EG18">
        <v>0.97800699999999996</v>
      </c>
      <c r="EH18">
        <v>2.1993200000000001E-2</v>
      </c>
      <c r="EI18">
        <v>0</v>
      </c>
      <c r="EJ18">
        <v>755.13400000000001</v>
      </c>
      <c r="EK18">
        <v>5.0002599999999999</v>
      </c>
      <c r="EL18">
        <v>13927.7</v>
      </c>
      <c r="EM18">
        <v>17103.3</v>
      </c>
      <c r="EN18">
        <v>48.561999999999998</v>
      </c>
      <c r="EO18">
        <v>50.125</v>
      </c>
      <c r="EP18">
        <v>49.561999999999998</v>
      </c>
      <c r="EQ18">
        <v>49.125</v>
      </c>
      <c r="ER18">
        <v>49.875</v>
      </c>
      <c r="ES18">
        <v>1755.51</v>
      </c>
      <c r="ET18">
        <v>39.479999999999997</v>
      </c>
      <c r="EU18">
        <v>0</v>
      </c>
      <c r="EV18">
        <v>130.20000004768369</v>
      </c>
      <c r="EW18">
        <v>0</v>
      </c>
      <c r="EX18">
        <v>755.57938461538458</v>
      </c>
      <c r="EY18">
        <v>4.7863171679893707E-3</v>
      </c>
      <c r="EZ18">
        <v>-19.976068371777529</v>
      </c>
      <c r="FA18">
        <v>13930.25769230769</v>
      </c>
      <c r="FB18">
        <v>15</v>
      </c>
      <c r="FC18">
        <v>1674758172.5</v>
      </c>
      <c r="FD18" t="s">
        <v>428</v>
      </c>
      <c r="FE18">
        <v>1674758166</v>
      </c>
      <c r="FF18">
        <v>1674758172.5</v>
      </c>
      <c r="FG18">
        <v>7</v>
      </c>
      <c r="FH18">
        <v>-4.2999999999999997E-2</v>
      </c>
      <c r="FI18">
        <v>3.0000000000000001E-3</v>
      </c>
      <c r="FJ18">
        <v>-0.36099999999999999</v>
      </c>
      <c r="FK18">
        <v>7.8E-2</v>
      </c>
      <c r="FL18">
        <v>300</v>
      </c>
      <c r="FM18">
        <v>18</v>
      </c>
      <c r="FN18">
        <v>0.03</v>
      </c>
      <c r="FO18">
        <v>0.02</v>
      </c>
      <c r="FP18">
        <v>44.570330568818868</v>
      </c>
      <c r="FQ18">
        <v>-0.58542526869624156</v>
      </c>
      <c r="FR18">
        <v>7.6935877754106985E-2</v>
      </c>
      <c r="FS18">
        <v>1</v>
      </c>
      <c r="FT18">
        <v>0.50402858677122064</v>
      </c>
      <c r="FU18">
        <v>8.3549732471304584E-3</v>
      </c>
      <c r="FV18">
        <v>3.6330293184399002E-3</v>
      </c>
      <c r="FW18">
        <v>1</v>
      </c>
      <c r="FX18">
        <v>2</v>
      </c>
      <c r="FY18">
        <v>2</v>
      </c>
      <c r="FZ18" t="s">
        <v>420</v>
      </c>
      <c r="GA18">
        <v>2.9280200000000001</v>
      </c>
      <c r="GB18">
        <v>2.8067799999999998</v>
      </c>
      <c r="GC18">
        <v>6.5238099999999993E-2</v>
      </c>
      <c r="GD18">
        <v>7.8381199999999998E-2</v>
      </c>
      <c r="GE18">
        <v>0.114677</v>
      </c>
      <c r="GF18">
        <v>9.3872300000000006E-2</v>
      </c>
      <c r="GG18">
        <v>27750.2</v>
      </c>
      <c r="GH18">
        <v>27834.1</v>
      </c>
      <c r="GI18">
        <v>28199.5</v>
      </c>
      <c r="GJ18">
        <v>27216</v>
      </c>
      <c r="GK18">
        <v>35838.699999999997</v>
      </c>
      <c r="GL18">
        <v>32569.4</v>
      </c>
      <c r="GM18">
        <v>41990.8</v>
      </c>
      <c r="GN18">
        <v>36932.300000000003</v>
      </c>
      <c r="GO18">
        <v>1.9187000000000001</v>
      </c>
      <c r="GP18">
        <v>1.90265</v>
      </c>
      <c r="GQ18">
        <v>5.05298E-2</v>
      </c>
      <c r="GR18">
        <v>0</v>
      </c>
      <c r="GS18">
        <v>26.604600000000001</v>
      </c>
      <c r="GT18">
        <v>999.9</v>
      </c>
      <c r="GU18">
        <v>41.2</v>
      </c>
      <c r="GV18">
        <v>34.5</v>
      </c>
      <c r="GW18">
        <v>22.828600000000002</v>
      </c>
      <c r="GX18">
        <v>61.9392</v>
      </c>
      <c r="GY18">
        <v>25.761199999999999</v>
      </c>
      <c r="GZ18">
        <v>1</v>
      </c>
      <c r="HA18">
        <v>0.428643</v>
      </c>
      <c r="HB18">
        <v>3.0675599999999998</v>
      </c>
      <c r="HC18">
        <v>20.3703</v>
      </c>
      <c r="HD18">
        <v>5.2403500000000003</v>
      </c>
      <c r="HE18">
        <v>11.9381</v>
      </c>
      <c r="HF18">
        <v>4.9737</v>
      </c>
      <c r="HG18">
        <v>3.2989999999999999</v>
      </c>
      <c r="HH18">
        <v>9999</v>
      </c>
      <c r="HI18">
        <v>9999</v>
      </c>
      <c r="HJ18">
        <v>9999</v>
      </c>
      <c r="HK18">
        <v>999.9</v>
      </c>
      <c r="HL18">
        <v>1.8729800000000001</v>
      </c>
      <c r="HM18">
        <v>1.8806499999999999</v>
      </c>
      <c r="HN18">
        <v>1.88426</v>
      </c>
      <c r="HO18">
        <v>1.8809499999999999</v>
      </c>
      <c r="HP18">
        <v>1.8783000000000001</v>
      </c>
      <c r="HQ18">
        <v>1.8730199999999999</v>
      </c>
      <c r="HR18">
        <v>1.8758900000000001</v>
      </c>
      <c r="HS18">
        <v>1.88012</v>
      </c>
      <c r="HT18">
        <v>5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423</v>
      </c>
      <c r="IB18" t="s">
        <v>423</v>
      </c>
      <c r="IC18" t="s">
        <v>423</v>
      </c>
      <c r="ID18">
        <v>0</v>
      </c>
      <c r="IE18">
        <v>100</v>
      </c>
      <c r="IF18">
        <v>100</v>
      </c>
      <c r="IG18">
        <v>-0.36499999999999999</v>
      </c>
      <c r="IH18">
        <v>0.2394</v>
      </c>
      <c r="II18">
        <v>-0.49451726980238148</v>
      </c>
      <c r="IJ18">
        <v>9.4905977090923709E-4</v>
      </c>
      <c r="IK18">
        <v>-1.9106666302146479E-6</v>
      </c>
      <c r="IL18">
        <v>7.5819610513223293E-10</v>
      </c>
      <c r="IM18">
        <v>-6.1450316426142321E-2</v>
      </c>
      <c r="IN18">
        <v>-1.0595840490420019E-2</v>
      </c>
      <c r="IO18">
        <v>1.2407080968752471E-3</v>
      </c>
      <c r="IP18">
        <v>-1.3015442653884381E-5</v>
      </c>
      <c r="IQ18">
        <v>33</v>
      </c>
      <c r="IR18">
        <v>2014</v>
      </c>
      <c r="IS18">
        <v>1</v>
      </c>
      <c r="IT18">
        <v>26</v>
      </c>
      <c r="IU18">
        <v>0.8</v>
      </c>
      <c r="IV18">
        <v>0.7</v>
      </c>
      <c r="IW18">
        <v>0.81420899999999996</v>
      </c>
      <c r="IX18">
        <v>2.5158700000000001</v>
      </c>
      <c r="IY18">
        <v>1.5991200000000001</v>
      </c>
      <c r="IZ18">
        <v>2.2936999999999999</v>
      </c>
      <c r="JA18">
        <v>1.5502899999999999</v>
      </c>
      <c r="JB18">
        <v>2.323</v>
      </c>
      <c r="JC18">
        <v>37.843699999999998</v>
      </c>
      <c r="JD18">
        <v>16.2422</v>
      </c>
      <c r="JE18">
        <v>18</v>
      </c>
      <c r="JF18">
        <v>483.96199999999999</v>
      </c>
      <c r="JG18">
        <v>508.85399999999998</v>
      </c>
      <c r="JH18">
        <v>22.7423</v>
      </c>
      <c r="JI18">
        <v>32.606900000000003</v>
      </c>
      <c r="JJ18">
        <v>29.9998</v>
      </c>
      <c r="JK18">
        <v>32.671199999999999</v>
      </c>
      <c r="JL18">
        <v>32.633400000000002</v>
      </c>
      <c r="JM18">
        <v>16.3447</v>
      </c>
      <c r="JN18">
        <v>20.040600000000001</v>
      </c>
      <c r="JO18">
        <v>24.479199999999999</v>
      </c>
      <c r="JP18">
        <v>22.754300000000001</v>
      </c>
      <c r="JQ18">
        <v>300</v>
      </c>
      <c r="JR18">
        <v>18.276</v>
      </c>
      <c r="JS18">
        <v>99.555099999999996</v>
      </c>
      <c r="JT18">
        <v>98.880700000000004</v>
      </c>
    </row>
    <row r="19" spans="1:280" x14ac:dyDescent="0.25">
      <c r="A19">
        <v>3</v>
      </c>
      <c r="B19">
        <v>1674758382.5999999</v>
      </c>
      <c r="C19">
        <v>303.09999990463263</v>
      </c>
      <c r="D19" t="s">
        <v>429</v>
      </c>
      <c r="E19" t="s">
        <v>430</v>
      </c>
      <c r="F19" t="s">
        <v>412</v>
      </c>
      <c r="G19" t="s">
        <v>413</v>
      </c>
      <c r="H19" t="s">
        <v>414</v>
      </c>
      <c r="I19">
        <v>1674758382.5999999</v>
      </c>
      <c r="J19">
        <f t="shared" si="0"/>
        <v>6.1891512557763172E-3</v>
      </c>
      <c r="K19">
        <f t="shared" si="1"/>
        <v>6.1891512557763173</v>
      </c>
      <c r="L19">
        <f t="shared" si="2"/>
        <v>32.677603302013004</v>
      </c>
      <c r="M19">
        <f t="shared" si="3"/>
        <v>159.75800000000001</v>
      </c>
      <c r="N19">
        <f t="shared" si="4"/>
        <v>55.742302303843807</v>
      </c>
      <c r="O19">
        <f t="shared" si="5"/>
        <v>5.5321770669380124</v>
      </c>
      <c r="P19">
        <f t="shared" si="6"/>
        <v>15.855275209882</v>
      </c>
      <c r="Q19">
        <f t="shared" si="7"/>
        <v>0.55945719763528146</v>
      </c>
      <c r="R19">
        <f t="shared" si="8"/>
        <v>2.9128747760974116</v>
      </c>
      <c r="S19">
        <f t="shared" si="9"/>
        <v>0.50590108886318719</v>
      </c>
      <c r="T19">
        <f t="shared" si="10"/>
        <v>0.32057166393027259</v>
      </c>
      <c r="U19">
        <f t="shared" si="11"/>
        <v>344.36309965783437</v>
      </c>
      <c r="V19">
        <f t="shared" si="12"/>
        <v>28.388347402268085</v>
      </c>
      <c r="W19">
        <f t="shared" si="13"/>
        <v>27.386199999999999</v>
      </c>
      <c r="X19">
        <f t="shared" si="14"/>
        <v>3.6611521356730705</v>
      </c>
      <c r="Y19">
        <f t="shared" si="15"/>
        <v>65.605659311238213</v>
      </c>
      <c r="Z19">
        <f t="shared" si="16"/>
        <v>2.4845832965913002</v>
      </c>
      <c r="AA19">
        <f t="shared" si="17"/>
        <v>3.7871478202882609</v>
      </c>
      <c r="AB19">
        <f t="shared" si="18"/>
        <v>1.1765688390817703</v>
      </c>
      <c r="AC19">
        <f t="shared" si="19"/>
        <v>-272.94157037973559</v>
      </c>
      <c r="AD19">
        <f t="shared" si="20"/>
        <v>90.925525953870078</v>
      </c>
      <c r="AE19">
        <f t="shared" si="21"/>
        <v>6.7822002678081255</v>
      </c>
      <c r="AF19">
        <f t="shared" si="22"/>
        <v>169.129255499777</v>
      </c>
      <c r="AG19">
        <v>0</v>
      </c>
      <c r="AH19">
        <v>0</v>
      </c>
      <c r="AI19">
        <f t="shared" si="23"/>
        <v>1</v>
      </c>
      <c r="AJ19">
        <f t="shared" si="24"/>
        <v>0</v>
      </c>
      <c r="AK19">
        <f t="shared" si="25"/>
        <v>52210.186893572325</v>
      </c>
      <c r="AL19" t="s">
        <v>415</v>
      </c>
      <c r="AM19">
        <v>10297.6</v>
      </c>
      <c r="AN19">
        <v>785.57400000000007</v>
      </c>
      <c r="AO19">
        <v>3597.65</v>
      </c>
      <c r="AP19">
        <f t="shared" si="26"/>
        <v>0.7816424610509638</v>
      </c>
      <c r="AQ19">
        <v>-0.62398835798131469</v>
      </c>
      <c r="AR19" t="s">
        <v>431</v>
      </c>
      <c r="AS19">
        <v>10249.200000000001</v>
      </c>
      <c r="AT19">
        <v>765.08576923076919</v>
      </c>
      <c r="AU19">
        <v>1007.957344215129</v>
      </c>
      <c r="AV19">
        <f t="shared" si="27"/>
        <v>0.24095421932113381</v>
      </c>
      <c r="AW19">
        <v>0.5</v>
      </c>
      <c r="AX19">
        <f t="shared" si="28"/>
        <v>1513.1591998289168</v>
      </c>
      <c r="AY19">
        <f t="shared" si="29"/>
        <v>32.677603302013004</v>
      </c>
      <c r="AZ19">
        <f t="shared" si="30"/>
        <v>182.30104685168408</v>
      </c>
      <c r="BA19">
        <f t="shared" si="31"/>
        <v>2.2007989419592811E-2</v>
      </c>
      <c r="BB19">
        <f t="shared" si="32"/>
        <v>2.5692482629821995</v>
      </c>
      <c r="BC19">
        <f t="shared" si="33"/>
        <v>503.24573246062539</v>
      </c>
      <c r="BD19" t="s">
        <v>432</v>
      </c>
      <c r="BE19">
        <v>554.14</v>
      </c>
      <c r="BF19">
        <f t="shared" si="34"/>
        <v>554.14</v>
      </c>
      <c r="BG19">
        <f t="shared" si="35"/>
        <v>0.45023467195281475</v>
      </c>
      <c r="BH19">
        <f t="shared" si="36"/>
        <v>0.53517473071551047</v>
      </c>
      <c r="BI19">
        <f t="shared" si="37"/>
        <v>0.85089014190354917</v>
      </c>
      <c r="BJ19">
        <f t="shared" si="38"/>
        <v>1.0921302395264414</v>
      </c>
      <c r="BK19">
        <f t="shared" si="39"/>
        <v>0.92091844451745652</v>
      </c>
      <c r="BL19">
        <f t="shared" si="40"/>
        <v>0.38761892745288073</v>
      </c>
      <c r="BM19">
        <f t="shared" si="41"/>
        <v>0.61238107254711927</v>
      </c>
      <c r="BN19">
        <v>229</v>
      </c>
      <c r="BO19">
        <v>290.00000000000011</v>
      </c>
      <c r="BP19">
        <v>944.3</v>
      </c>
      <c r="BQ19">
        <v>125</v>
      </c>
      <c r="BR19">
        <v>10249.200000000001</v>
      </c>
      <c r="BS19">
        <v>941.95</v>
      </c>
      <c r="BT19">
        <v>2.35</v>
      </c>
      <c r="BU19">
        <v>300.00000000000011</v>
      </c>
      <c r="BV19">
        <v>24.1</v>
      </c>
      <c r="BW19">
        <v>1007.957344215129</v>
      </c>
      <c r="BX19">
        <v>2.1956890511388441</v>
      </c>
      <c r="BY19">
        <v>-67.651202613237416</v>
      </c>
      <c r="BZ19">
        <v>2.0005735248421059</v>
      </c>
      <c r="CA19">
        <v>0.9760993320346858</v>
      </c>
      <c r="CB19">
        <v>-6.9724533926585211E-3</v>
      </c>
      <c r="CC19">
        <v>289.99999999999989</v>
      </c>
      <c r="CD19">
        <v>940.71</v>
      </c>
      <c r="CE19">
        <v>665</v>
      </c>
      <c r="CF19">
        <v>10210.9</v>
      </c>
      <c r="CG19">
        <v>941.7</v>
      </c>
      <c r="CH19">
        <v>-0.99</v>
      </c>
      <c r="CV19">
        <f t="shared" si="42"/>
        <v>1799.97</v>
      </c>
      <c r="CW19">
        <f t="shared" si="43"/>
        <v>1513.1591998289168</v>
      </c>
      <c r="CX19">
        <f t="shared" si="44"/>
        <v>0.8406580108718017</v>
      </c>
      <c r="CY19">
        <f t="shared" si="45"/>
        <v>0.19131602174360371</v>
      </c>
      <c r="CZ19">
        <v>6</v>
      </c>
      <c r="DA19">
        <v>0.5</v>
      </c>
      <c r="DB19" t="s">
        <v>418</v>
      </c>
      <c r="DC19">
        <v>2</v>
      </c>
      <c r="DD19">
        <v>1674758382.5999999</v>
      </c>
      <c r="DE19">
        <v>159.75800000000001</v>
      </c>
      <c r="DF19">
        <v>200.149</v>
      </c>
      <c r="DG19">
        <v>25.034700000000001</v>
      </c>
      <c r="DH19">
        <v>17.795200000000001</v>
      </c>
      <c r="DI19">
        <v>160.233</v>
      </c>
      <c r="DJ19">
        <v>24.791899999999998</v>
      </c>
      <c r="DK19">
        <v>500.10700000000003</v>
      </c>
      <c r="DL19">
        <v>99.145499999999998</v>
      </c>
      <c r="DM19">
        <v>0.100079</v>
      </c>
      <c r="DN19">
        <v>27.965199999999999</v>
      </c>
      <c r="DO19">
        <v>27.386199999999999</v>
      </c>
      <c r="DP19">
        <v>999.9</v>
      </c>
      <c r="DQ19">
        <v>0</v>
      </c>
      <c r="DR19">
        <v>0</v>
      </c>
      <c r="DS19">
        <v>9990.6200000000008</v>
      </c>
      <c r="DT19">
        <v>0</v>
      </c>
      <c r="DU19">
        <v>466.291</v>
      </c>
      <c r="DV19">
        <v>-40.390799999999999</v>
      </c>
      <c r="DW19">
        <v>163.86</v>
      </c>
      <c r="DX19">
        <v>203.77500000000001</v>
      </c>
      <c r="DY19">
        <v>7.2394499999999997</v>
      </c>
      <c r="DZ19">
        <v>200.149</v>
      </c>
      <c r="EA19">
        <v>17.795200000000001</v>
      </c>
      <c r="EB19">
        <v>2.4820799999999998</v>
      </c>
      <c r="EC19">
        <v>1.7643200000000001</v>
      </c>
      <c r="ED19">
        <v>20.909400000000002</v>
      </c>
      <c r="EE19">
        <v>15.4742</v>
      </c>
      <c r="EF19">
        <v>1799.97</v>
      </c>
      <c r="EG19">
        <v>0.97800699999999996</v>
      </c>
      <c r="EH19">
        <v>2.1993200000000001E-2</v>
      </c>
      <c r="EI19">
        <v>0</v>
      </c>
      <c r="EJ19">
        <v>764.75599999999997</v>
      </c>
      <c r="EK19">
        <v>5.0002599999999999</v>
      </c>
      <c r="EL19">
        <v>14114.4</v>
      </c>
      <c r="EM19">
        <v>17103.2</v>
      </c>
      <c r="EN19">
        <v>48.625</v>
      </c>
      <c r="EO19">
        <v>50.186999999999998</v>
      </c>
      <c r="EP19">
        <v>49.686999999999998</v>
      </c>
      <c r="EQ19">
        <v>49.186999999999998</v>
      </c>
      <c r="ER19">
        <v>49.936999999999998</v>
      </c>
      <c r="ES19">
        <v>1755.49</v>
      </c>
      <c r="ET19">
        <v>39.479999999999997</v>
      </c>
      <c r="EU19">
        <v>0</v>
      </c>
      <c r="EV19">
        <v>169.20000004768369</v>
      </c>
      <c r="EW19">
        <v>0</v>
      </c>
      <c r="EX19">
        <v>765.08576923076919</v>
      </c>
      <c r="EY19">
        <v>-1.155145299109734</v>
      </c>
      <c r="EZ19">
        <v>-27.87008546102005</v>
      </c>
      <c r="FA19">
        <v>14118.06923076923</v>
      </c>
      <c r="FB19">
        <v>15</v>
      </c>
      <c r="FC19">
        <v>1674758344.0999999</v>
      </c>
      <c r="FD19" t="s">
        <v>433</v>
      </c>
      <c r="FE19">
        <v>1674758333.0999999</v>
      </c>
      <c r="FF19">
        <v>1674758344.0999999</v>
      </c>
      <c r="FG19">
        <v>8</v>
      </c>
      <c r="FH19">
        <v>-8.5999999999999993E-2</v>
      </c>
      <c r="FI19">
        <v>3.0000000000000001E-3</v>
      </c>
      <c r="FJ19">
        <v>-0.46100000000000002</v>
      </c>
      <c r="FK19">
        <v>7.1999999999999995E-2</v>
      </c>
      <c r="FL19">
        <v>200</v>
      </c>
      <c r="FM19">
        <v>18</v>
      </c>
      <c r="FN19">
        <v>0.06</v>
      </c>
      <c r="FO19">
        <v>0.02</v>
      </c>
      <c r="FP19">
        <v>32.665126842089123</v>
      </c>
      <c r="FQ19">
        <v>-0.5548456865883491</v>
      </c>
      <c r="FR19">
        <v>8.4884063944199215E-2</v>
      </c>
      <c r="FS19">
        <v>1</v>
      </c>
      <c r="FT19">
        <v>0.55809551624553999</v>
      </c>
      <c r="FU19">
        <v>1.8829037409385709E-2</v>
      </c>
      <c r="FV19">
        <v>3.0317822687498199E-3</v>
      </c>
      <c r="FW19">
        <v>1</v>
      </c>
      <c r="FX19">
        <v>2</v>
      </c>
      <c r="FY19">
        <v>2</v>
      </c>
      <c r="FZ19" t="s">
        <v>420</v>
      </c>
      <c r="GA19">
        <v>2.9281199999999998</v>
      </c>
      <c r="GB19">
        <v>2.8069099999999998</v>
      </c>
      <c r="GC19">
        <v>4.44733E-2</v>
      </c>
      <c r="GD19">
        <v>5.5284800000000002E-2</v>
      </c>
      <c r="GE19">
        <v>0.11476</v>
      </c>
      <c r="GF19">
        <v>9.1734800000000005E-2</v>
      </c>
      <c r="GG19">
        <v>28366.2</v>
      </c>
      <c r="GH19">
        <v>28532.7</v>
      </c>
      <c r="GI19">
        <v>28198.6</v>
      </c>
      <c r="GJ19">
        <v>27216.6</v>
      </c>
      <c r="GK19">
        <v>35833.800000000003</v>
      </c>
      <c r="GL19">
        <v>32646.5</v>
      </c>
      <c r="GM19">
        <v>41989.2</v>
      </c>
      <c r="GN19">
        <v>36932.699999999997</v>
      </c>
      <c r="GO19">
        <v>1.9196</v>
      </c>
      <c r="GP19">
        <v>1.90157</v>
      </c>
      <c r="GQ19">
        <v>4.8071099999999999E-2</v>
      </c>
      <c r="GR19">
        <v>0</v>
      </c>
      <c r="GS19">
        <v>26.600100000000001</v>
      </c>
      <c r="GT19">
        <v>999.9</v>
      </c>
      <c r="GU19">
        <v>40.9</v>
      </c>
      <c r="GV19">
        <v>34.6</v>
      </c>
      <c r="GW19">
        <v>22.7881</v>
      </c>
      <c r="GX19">
        <v>61.606499999999997</v>
      </c>
      <c r="GY19">
        <v>25.921500000000002</v>
      </c>
      <c r="GZ19">
        <v>1</v>
      </c>
      <c r="HA19">
        <v>0.42769299999999999</v>
      </c>
      <c r="HB19">
        <v>3.0487600000000001</v>
      </c>
      <c r="HC19">
        <v>20.371099999999998</v>
      </c>
      <c r="HD19">
        <v>5.2394499999999997</v>
      </c>
      <c r="HE19">
        <v>11.9381</v>
      </c>
      <c r="HF19">
        <v>4.9734499999999997</v>
      </c>
      <c r="HG19">
        <v>3.2989999999999999</v>
      </c>
      <c r="HH19">
        <v>9999</v>
      </c>
      <c r="HI19">
        <v>9999</v>
      </c>
      <c r="HJ19">
        <v>9999</v>
      </c>
      <c r="HK19">
        <v>999.9</v>
      </c>
      <c r="HL19">
        <v>1.8730199999999999</v>
      </c>
      <c r="HM19">
        <v>1.8806499999999999</v>
      </c>
      <c r="HN19">
        <v>1.8843099999999999</v>
      </c>
      <c r="HO19">
        <v>1.88097</v>
      </c>
      <c r="HP19">
        <v>1.87835</v>
      </c>
      <c r="HQ19">
        <v>1.87303</v>
      </c>
      <c r="HR19">
        <v>1.87591</v>
      </c>
      <c r="HS19">
        <v>1.88012</v>
      </c>
      <c r="HT19">
        <v>5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423</v>
      </c>
      <c r="IB19" t="s">
        <v>423</v>
      </c>
      <c r="IC19" t="s">
        <v>423</v>
      </c>
      <c r="ID19">
        <v>0</v>
      </c>
      <c r="IE19">
        <v>100</v>
      </c>
      <c r="IF19">
        <v>100</v>
      </c>
      <c r="IG19">
        <v>-0.47499999999999998</v>
      </c>
      <c r="IH19">
        <v>0.24279999999999999</v>
      </c>
      <c r="II19">
        <v>-0.58043094711740151</v>
      </c>
      <c r="IJ19">
        <v>9.4905977090923709E-4</v>
      </c>
      <c r="IK19">
        <v>-1.9106666302146479E-6</v>
      </c>
      <c r="IL19">
        <v>7.5819610513223293E-10</v>
      </c>
      <c r="IM19">
        <v>-5.8733722280886108E-2</v>
      </c>
      <c r="IN19">
        <v>-1.0595840490420019E-2</v>
      </c>
      <c r="IO19">
        <v>1.2407080968752471E-3</v>
      </c>
      <c r="IP19">
        <v>-1.3015442653884381E-5</v>
      </c>
      <c r="IQ19">
        <v>33</v>
      </c>
      <c r="IR19">
        <v>2014</v>
      </c>
      <c r="IS19">
        <v>1</v>
      </c>
      <c r="IT19">
        <v>26</v>
      </c>
      <c r="IU19">
        <v>0.8</v>
      </c>
      <c r="IV19">
        <v>0.6</v>
      </c>
      <c r="IW19">
        <v>0.59326199999999996</v>
      </c>
      <c r="IX19">
        <v>2.5305200000000001</v>
      </c>
      <c r="IY19">
        <v>1.5991200000000001</v>
      </c>
      <c r="IZ19">
        <v>2.2936999999999999</v>
      </c>
      <c r="JA19">
        <v>1.5502899999999999</v>
      </c>
      <c r="JB19">
        <v>2.2717299999999998</v>
      </c>
      <c r="JC19">
        <v>37.940600000000003</v>
      </c>
      <c r="JD19">
        <v>16.2072</v>
      </c>
      <c r="JE19">
        <v>18</v>
      </c>
      <c r="JF19">
        <v>484.536</v>
      </c>
      <c r="JG19">
        <v>508.084</v>
      </c>
      <c r="JH19">
        <v>22.7423</v>
      </c>
      <c r="JI19">
        <v>32.598300000000002</v>
      </c>
      <c r="JJ19">
        <v>30.0001</v>
      </c>
      <c r="JK19">
        <v>32.671199999999999</v>
      </c>
      <c r="JL19">
        <v>32.633400000000002</v>
      </c>
      <c r="JM19">
        <v>11.9277</v>
      </c>
      <c r="JN19">
        <v>21.985800000000001</v>
      </c>
      <c r="JO19">
        <v>23.632100000000001</v>
      </c>
      <c r="JP19">
        <v>22.748999999999999</v>
      </c>
      <c r="JQ19">
        <v>200</v>
      </c>
      <c r="JR19">
        <v>17.746600000000001</v>
      </c>
      <c r="JS19">
        <v>99.551599999999993</v>
      </c>
      <c r="JT19">
        <v>98.882400000000004</v>
      </c>
    </row>
    <row r="20" spans="1:280" x14ac:dyDescent="0.25">
      <c r="A20">
        <v>4</v>
      </c>
      <c r="B20">
        <v>1674758508.5999999</v>
      </c>
      <c r="C20">
        <v>429.09999990463263</v>
      </c>
      <c r="D20" t="s">
        <v>434</v>
      </c>
      <c r="E20" t="s">
        <v>435</v>
      </c>
      <c r="F20" t="s">
        <v>412</v>
      </c>
      <c r="G20" t="s">
        <v>413</v>
      </c>
      <c r="H20" t="s">
        <v>414</v>
      </c>
      <c r="I20">
        <v>1674758508.5999999</v>
      </c>
      <c r="J20">
        <f t="shared" si="0"/>
        <v>6.5045219738843864E-3</v>
      </c>
      <c r="K20">
        <f t="shared" si="1"/>
        <v>6.504521973884386</v>
      </c>
      <c r="L20">
        <f t="shared" si="2"/>
        <v>20.50395305766888</v>
      </c>
      <c r="M20">
        <f t="shared" si="3"/>
        <v>94.687299999999993</v>
      </c>
      <c r="N20">
        <f t="shared" si="4"/>
        <v>33.292815532065049</v>
      </c>
      <c r="O20">
        <f t="shared" si="5"/>
        <v>3.3039203448026049</v>
      </c>
      <c r="P20">
        <f t="shared" si="6"/>
        <v>9.396600794039939</v>
      </c>
      <c r="Q20">
        <f t="shared" si="7"/>
        <v>0.59796418238099391</v>
      </c>
      <c r="R20">
        <f t="shared" si="8"/>
        <v>2.9178854449894911</v>
      </c>
      <c r="S20">
        <f t="shared" si="9"/>
        <v>0.53730271904406779</v>
      </c>
      <c r="T20">
        <f t="shared" si="10"/>
        <v>0.34075011747096506</v>
      </c>
      <c r="U20">
        <f t="shared" si="11"/>
        <v>344.37449965784577</v>
      </c>
      <c r="V20">
        <f t="shared" si="12"/>
        <v>28.328065922987285</v>
      </c>
      <c r="W20">
        <f t="shared" si="13"/>
        <v>27.361999999999998</v>
      </c>
      <c r="X20">
        <f t="shared" si="14"/>
        <v>3.6559666199286625</v>
      </c>
      <c r="Y20">
        <f t="shared" si="15"/>
        <v>65.709904813959113</v>
      </c>
      <c r="Z20">
        <f t="shared" si="16"/>
        <v>2.4918126082153202</v>
      </c>
      <c r="AA20">
        <f t="shared" si="17"/>
        <v>3.7921415580653384</v>
      </c>
      <c r="AB20">
        <f t="shared" si="18"/>
        <v>1.1641540117133422</v>
      </c>
      <c r="AC20">
        <f t="shared" si="19"/>
        <v>-286.84941904830146</v>
      </c>
      <c r="AD20">
        <f t="shared" si="20"/>
        <v>98.443997301009389</v>
      </c>
      <c r="AE20">
        <f t="shared" si="21"/>
        <v>7.3303414704233267</v>
      </c>
      <c r="AF20">
        <f t="shared" si="22"/>
        <v>163.29941938097704</v>
      </c>
      <c r="AG20">
        <v>0</v>
      </c>
      <c r="AH20">
        <v>0</v>
      </c>
      <c r="AI20">
        <f t="shared" si="23"/>
        <v>1</v>
      </c>
      <c r="AJ20">
        <f t="shared" si="24"/>
        <v>0</v>
      </c>
      <c r="AK20">
        <f t="shared" si="25"/>
        <v>52349.687241765896</v>
      </c>
      <c r="AL20" t="s">
        <v>415</v>
      </c>
      <c r="AM20">
        <v>10297.6</v>
      </c>
      <c r="AN20">
        <v>785.57400000000007</v>
      </c>
      <c r="AO20">
        <v>3597.65</v>
      </c>
      <c r="AP20">
        <f t="shared" si="26"/>
        <v>0.7816424610509638</v>
      </c>
      <c r="AQ20">
        <v>-0.62398835798131469</v>
      </c>
      <c r="AR20" t="s">
        <v>436</v>
      </c>
      <c r="AS20">
        <v>10243.9</v>
      </c>
      <c r="AT20">
        <v>794.5484230769232</v>
      </c>
      <c r="AU20">
        <v>962.32428685418847</v>
      </c>
      <c r="AV20">
        <f t="shared" si="27"/>
        <v>0.17434441390409039</v>
      </c>
      <c r="AW20">
        <v>0.5</v>
      </c>
      <c r="AX20">
        <f t="shared" si="28"/>
        <v>1513.2095998289228</v>
      </c>
      <c r="AY20">
        <f t="shared" si="29"/>
        <v>20.50395305766888</v>
      </c>
      <c r="AZ20">
        <f t="shared" si="30"/>
        <v>131.90982039810837</v>
      </c>
      <c r="BA20">
        <f t="shared" si="31"/>
        <v>1.3962336359773843E-2</v>
      </c>
      <c r="BB20">
        <f t="shared" si="32"/>
        <v>2.738500679184372</v>
      </c>
      <c r="BC20">
        <f t="shared" si="33"/>
        <v>491.60677902799245</v>
      </c>
      <c r="BD20" t="s">
        <v>437</v>
      </c>
      <c r="BE20">
        <v>555.27</v>
      </c>
      <c r="BF20">
        <f t="shared" si="34"/>
        <v>555.27</v>
      </c>
      <c r="BG20">
        <f t="shared" si="35"/>
        <v>0.42299076560234983</v>
      </c>
      <c r="BH20">
        <f t="shared" si="36"/>
        <v>0.41217073298472473</v>
      </c>
      <c r="BI20">
        <f t="shared" si="37"/>
        <v>0.86620531069288242</v>
      </c>
      <c r="BJ20">
        <f t="shared" si="38"/>
        <v>0.94922541153029838</v>
      </c>
      <c r="BK20">
        <f t="shared" si="39"/>
        <v>0.93714597796994525</v>
      </c>
      <c r="BL20">
        <f t="shared" si="40"/>
        <v>0.28804543091047169</v>
      </c>
      <c r="BM20">
        <f t="shared" si="41"/>
        <v>0.71195456908952837</v>
      </c>
      <c r="BN20">
        <v>231</v>
      </c>
      <c r="BO20">
        <v>290.00000000000011</v>
      </c>
      <c r="BP20">
        <v>919.67</v>
      </c>
      <c r="BQ20">
        <v>155</v>
      </c>
      <c r="BR20">
        <v>10243.9</v>
      </c>
      <c r="BS20">
        <v>920.03</v>
      </c>
      <c r="BT20">
        <v>-0.36</v>
      </c>
      <c r="BU20">
        <v>300.00000000000011</v>
      </c>
      <c r="BV20">
        <v>24.1</v>
      </c>
      <c r="BW20">
        <v>962.32428685418847</v>
      </c>
      <c r="BX20">
        <v>2.0201569352725599</v>
      </c>
      <c r="BY20">
        <v>-43.328313311397139</v>
      </c>
      <c r="BZ20">
        <v>1.840613585478611</v>
      </c>
      <c r="CA20">
        <v>0.95190147996187902</v>
      </c>
      <c r="CB20">
        <v>-6.9722791991101386E-3</v>
      </c>
      <c r="CC20">
        <v>289.99999999999989</v>
      </c>
      <c r="CD20">
        <v>918.56</v>
      </c>
      <c r="CE20">
        <v>635</v>
      </c>
      <c r="CF20">
        <v>10212.700000000001</v>
      </c>
      <c r="CG20">
        <v>919.9</v>
      </c>
      <c r="CH20">
        <v>-1.34</v>
      </c>
      <c r="CV20">
        <f t="shared" si="42"/>
        <v>1800.03</v>
      </c>
      <c r="CW20">
        <f t="shared" si="43"/>
        <v>1513.2095998289228</v>
      </c>
      <c r="CX20">
        <f t="shared" si="44"/>
        <v>0.84065798893847488</v>
      </c>
      <c r="CY20">
        <f t="shared" si="45"/>
        <v>0.19131597787694971</v>
      </c>
      <c r="CZ20">
        <v>6</v>
      </c>
      <c r="DA20">
        <v>0.5</v>
      </c>
      <c r="DB20" t="s">
        <v>418</v>
      </c>
      <c r="DC20">
        <v>2</v>
      </c>
      <c r="DD20">
        <v>1674758508.5999999</v>
      </c>
      <c r="DE20">
        <v>94.687299999999993</v>
      </c>
      <c r="DF20">
        <v>120.026</v>
      </c>
      <c r="DG20">
        <v>25.109400000000001</v>
      </c>
      <c r="DH20">
        <v>17.5015</v>
      </c>
      <c r="DI20">
        <v>95.149199999999993</v>
      </c>
      <c r="DJ20">
        <v>24.864000000000001</v>
      </c>
      <c r="DK20">
        <v>500.101</v>
      </c>
      <c r="DL20">
        <v>99.138300000000001</v>
      </c>
      <c r="DM20">
        <v>9.9937799999999993E-2</v>
      </c>
      <c r="DN20">
        <v>27.9878</v>
      </c>
      <c r="DO20">
        <v>27.361999999999998</v>
      </c>
      <c r="DP20">
        <v>999.9</v>
      </c>
      <c r="DQ20">
        <v>0</v>
      </c>
      <c r="DR20">
        <v>0</v>
      </c>
      <c r="DS20">
        <v>10020</v>
      </c>
      <c r="DT20">
        <v>0</v>
      </c>
      <c r="DU20">
        <v>470.63499999999999</v>
      </c>
      <c r="DV20">
        <v>-25.338799999999999</v>
      </c>
      <c r="DW20">
        <v>97.126000000000005</v>
      </c>
      <c r="DX20">
        <v>122.164</v>
      </c>
      <c r="DY20">
        <v>7.6078799999999998</v>
      </c>
      <c r="DZ20">
        <v>120.026</v>
      </c>
      <c r="EA20">
        <v>17.5015</v>
      </c>
      <c r="EB20">
        <v>2.4893100000000001</v>
      </c>
      <c r="EC20">
        <v>1.7350699999999999</v>
      </c>
      <c r="ED20">
        <v>20.956700000000001</v>
      </c>
      <c r="EE20">
        <v>15.213800000000001</v>
      </c>
      <c r="EF20">
        <v>1800.03</v>
      </c>
      <c r="EG20">
        <v>0.97800699999999996</v>
      </c>
      <c r="EH20">
        <v>2.1993200000000001E-2</v>
      </c>
      <c r="EI20">
        <v>0</v>
      </c>
      <c r="EJ20">
        <v>794.39400000000001</v>
      </c>
      <c r="EK20">
        <v>5.0002599999999999</v>
      </c>
      <c r="EL20">
        <v>14638.8</v>
      </c>
      <c r="EM20">
        <v>17103.7</v>
      </c>
      <c r="EN20">
        <v>48.686999999999998</v>
      </c>
      <c r="EO20">
        <v>50.25</v>
      </c>
      <c r="EP20">
        <v>49.686999999999998</v>
      </c>
      <c r="EQ20">
        <v>49.186999999999998</v>
      </c>
      <c r="ER20">
        <v>50</v>
      </c>
      <c r="ES20">
        <v>1755.55</v>
      </c>
      <c r="ET20">
        <v>39.479999999999997</v>
      </c>
      <c r="EU20">
        <v>0</v>
      </c>
      <c r="EV20">
        <v>123.7999999523163</v>
      </c>
      <c r="EW20">
        <v>0</v>
      </c>
      <c r="EX20">
        <v>794.5484230769232</v>
      </c>
      <c r="EY20">
        <v>-2.5633162253172892</v>
      </c>
      <c r="EZ20">
        <v>-38.406837615990632</v>
      </c>
      <c r="FA20">
        <v>14642.86153846154</v>
      </c>
      <c r="FB20">
        <v>15</v>
      </c>
      <c r="FC20">
        <v>1674758469.0999999</v>
      </c>
      <c r="FD20" t="s">
        <v>438</v>
      </c>
      <c r="FE20">
        <v>1674758461.5999999</v>
      </c>
      <c r="FF20">
        <v>1674758469.0999999</v>
      </c>
      <c r="FG20">
        <v>9</v>
      </c>
      <c r="FH20">
        <v>4.4999999999999998E-2</v>
      </c>
      <c r="FI20">
        <v>1E-3</v>
      </c>
      <c r="FJ20">
        <v>-0.44800000000000001</v>
      </c>
      <c r="FK20">
        <v>6.8000000000000005E-2</v>
      </c>
      <c r="FL20">
        <v>120</v>
      </c>
      <c r="FM20">
        <v>18</v>
      </c>
      <c r="FN20">
        <v>0.1</v>
      </c>
      <c r="FO20">
        <v>0.01</v>
      </c>
      <c r="FP20">
        <v>20.561013204801739</v>
      </c>
      <c r="FQ20">
        <v>-0.17108466793854929</v>
      </c>
      <c r="FR20">
        <v>3.5098637433693777E-2</v>
      </c>
      <c r="FS20">
        <v>1</v>
      </c>
      <c r="FT20">
        <v>0.59469386795373924</v>
      </c>
      <c r="FU20">
        <v>4.4200861099548433E-2</v>
      </c>
      <c r="FV20">
        <v>4.8279046701512878E-3</v>
      </c>
      <c r="FW20">
        <v>1</v>
      </c>
      <c r="FX20">
        <v>2</v>
      </c>
      <c r="FY20">
        <v>2</v>
      </c>
      <c r="FZ20" t="s">
        <v>420</v>
      </c>
      <c r="GA20">
        <v>2.9281199999999998</v>
      </c>
      <c r="GB20">
        <v>2.8070200000000001</v>
      </c>
      <c r="GC20">
        <v>2.6981499999999999E-2</v>
      </c>
      <c r="GD20">
        <v>3.4320299999999998E-2</v>
      </c>
      <c r="GE20">
        <v>0.11498700000000001</v>
      </c>
      <c r="GF20">
        <v>9.0642100000000003E-2</v>
      </c>
      <c r="GG20">
        <v>28884.5</v>
      </c>
      <c r="GH20">
        <v>29167.9</v>
      </c>
      <c r="GI20">
        <v>28197.599999999999</v>
      </c>
      <c r="GJ20">
        <v>27218.3</v>
      </c>
      <c r="GK20">
        <v>35822.800000000003</v>
      </c>
      <c r="GL20">
        <v>32688.6</v>
      </c>
      <c r="GM20">
        <v>41987.199999999997</v>
      </c>
      <c r="GN20">
        <v>36936</v>
      </c>
      <c r="GO20">
        <v>1.9198200000000001</v>
      </c>
      <c r="GP20">
        <v>1.9005000000000001</v>
      </c>
      <c r="GQ20">
        <v>4.6536300000000003E-2</v>
      </c>
      <c r="GR20">
        <v>0</v>
      </c>
      <c r="GS20">
        <v>26.600899999999999</v>
      </c>
      <c r="GT20">
        <v>999.9</v>
      </c>
      <c r="GU20">
        <v>40.6</v>
      </c>
      <c r="GV20">
        <v>34.6</v>
      </c>
      <c r="GW20">
        <v>22.623799999999999</v>
      </c>
      <c r="GX20">
        <v>61.6965</v>
      </c>
      <c r="GY20">
        <v>25.705100000000002</v>
      </c>
      <c r="GZ20">
        <v>1</v>
      </c>
      <c r="HA20">
        <v>0.42685000000000001</v>
      </c>
      <c r="HB20">
        <v>3.0144899999999999</v>
      </c>
      <c r="HC20">
        <v>20.3719</v>
      </c>
      <c r="HD20">
        <v>5.2394499999999997</v>
      </c>
      <c r="HE20">
        <v>11.9381</v>
      </c>
      <c r="HF20">
        <v>4.9737</v>
      </c>
      <c r="HG20">
        <v>3.2989999999999999</v>
      </c>
      <c r="HH20">
        <v>9999</v>
      </c>
      <c r="HI20">
        <v>9999</v>
      </c>
      <c r="HJ20">
        <v>9999</v>
      </c>
      <c r="HK20">
        <v>999.9</v>
      </c>
      <c r="HL20">
        <v>1.8730199999999999</v>
      </c>
      <c r="HM20">
        <v>1.88066</v>
      </c>
      <c r="HN20">
        <v>1.8843099999999999</v>
      </c>
      <c r="HO20">
        <v>1.88097</v>
      </c>
      <c r="HP20">
        <v>1.87836</v>
      </c>
      <c r="HQ20">
        <v>1.8730199999999999</v>
      </c>
      <c r="HR20">
        <v>1.87592</v>
      </c>
      <c r="HS20">
        <v>1.88019</v>
      </c>
      <c r="HT20">
        <v>5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423</v>
      </c>
      <c r="IB20" t="s">
        <v>423</v>
      </c>
      <c r="IC20" t="s">
        <v>423</v>
      </c>
      <c r="ID20">
        <v>0</v>
      </c>
      <c r="IE20">
        <v>100</v>
      </c>
      <c r="IF20">
        <v>100</v>
      </c>
      <c r="IG20">
        <v>-0.46200000000000002</v>
      </c>
      <c r="IH20">
        <v>0.24540000000000001</v>
      </c>
      <c r="II20">
        <v>-0.53554452810173925</v>
      </c>
      <c r="IJ20">
        <v>9.4905977090923709E-4</v>
      </c>
      <c r="IK20">
        <v>-1.9106666302146479E-6</v>
      </c>
      <c r="IL20">
        <v>7.5819610513223293E-10</v>
      </c>
      <c r="IM20">
        <v>-5.8131837006480253E-2</v>
      </c>
      <c r="IN20">
        <v>-1.0595840490420019E-2</v>
      </c>
      <c r="IO20">
        <v>1.2407080968752471E-3</v>
      </c>
      <c r="IP20">
        <v>-1.3015442653884381E-5</v>
      </c>
      <c r="IQ20">
        <v>33</v>
      </c>
      <c r="IR20">
        <v>2014</v>
      </c>
      <c r="IS20">
        <v>1</v>
      </c>
      <c r="IT20">
        <v>26</v>
      </c>
      <c r="IU20">
        <v>0.8</v>
      </c>
      <c r="IV20">
        <v>0.7</v>
      </c>
      <c r="IW20">
        <v>0.41259800000000002</v>
      </c>
      <c r="IX20">
        <v>2.5488300000000002</v>
      </c>
      <c r="IY20">
        <v>1.5991200000000001</v>
      </c>
      <c r="IZ20">
        <v>2.2924799999999999</v>
      </c>
      <c r="JA20">
        <v>1.5490699999999999</v>
      </c>
      <c r="JB20">
        <v>2.2522000000000002</v>
      </c>
      <c r="JC20">
        <v>37.9649</v>
      </c>
      <c r="JD20">
        <v>16.189699999999998</v>
      </c>
      <c r="JE20">
        <v>18</v>
      </c>
      <c r="JF20">
        <v>484.63400000000001</v>
      </c>
      <c r="JG20">
        <v>507.291</v>
      </c>
      <c r="JH20">
        <v>22.765699999999999</v>
      </c>
      <c r="JI20">
        <v>32.589500000000001</v>
      </c>
      <c r="JJ20">
        <v>29.9999</v>
      </c>
      <c r="JK20">
        <v>32.665399999999998</v>
      </c>
      <c r="JL20">
        <v>32.630499999999998</v>
      </c>
      <c r="JM20">
        <v>8.3042400000000001</v>
      </c>
      <c r="JN20">
        <v>23.0198</v>
      </c>
      <c r="JO20">
        <v>22.688400000000001</v>
      </c>
      <c r="JP20">
        <v>22.77</v>
      </c>
      <c r="JQ20">
        <v>120</v>
      </c>
      <c r="JR20">
        <v>17.389299999999999</v>
      </c>
      <c r="JS20">
        <v>99.547200000000004</v>
      </c>
      <c r="JT20">
        <v>98.890100000000004</v>
      </c>
    </row>
    <row r="21" spans="1:280" x14ac:dyDescent="0.25">
      <c r="A21">
        <v>5</v>
      </c>
      <c r="B21">
        <v>1674758626.0999999</v>
      </c>
      <c r="C21">
        <v>546.59999990463257</v>
      </c>
      <c r="D21" t="s">
        <v>439</v>
      </c>
      <c r="E21" t="s">
        <v>440</v>
      </c>
      <c r="F21" t="s">
        <v>412</v>
      </c>
      <c r="G21" t="s">
        <v>413</v>
      </c>
      <c r="H21" t="s">
        <v>414</v>
      </c>
      <c r="I21">
        <v>1674758626.0999999</v>
      </c>
      <c r="J21">
        <f t="shared" si="0"/>
        <v>6.7953102893725777E-3</v>
      </c>
      <c r="K21">
        <f t="shared" si="1"/>
        <v>6.7953102893725781</v>
      </c>
      <c r="L21">
        <f t="shared" si="2"/>
        <v>12.453907558920672</v>
      </c>
      <c r="M21">
        <f t="shared" si="3"/>
        <v>54.657299999999999</v>
      </c>
      <c r="N21">
        <f t="shared" si="4"/>
        <v>18.786888744269646</v>
      </c>
      <c r="O21">
        <f t="shared" si="5"/>
        <v>1.8644390756751021</v>
      </c>
      <c r="P21">
        <f t="shared" si="6"/>
        <v>5.4242726019219001</v>
      </c>
      <c r="Q21">
        <f t="shared" si="7"/>
        <v>0.62393582109910029</v>
      </c>
      <c r="R21">
        <f t="shared" si="8"/>
        <v>2.913024765564856</v>
      </c>
      <c r="S21">
        <f t="shared" si="9"/>
        <v>0.55810249544855695</v>
      </c>
      <c r="T21">
        <f t="shared" si="10"/>
        <v>0.35414831165688282</v>
      </c>
      <c r="U21">
        <f t="shared" si="11"/>
        <v>344.34029965781156</v>
      </c>
      <c r="V21">
        <f t="shared" si="12"/>
        <v>28.263218117700983</v>
      </c>
      <c r="W21">
        <f t="shared" si="13"/>
        <v>27.340900000000001</v>
      </c>
      <c r="X21">
        <f t="shared" si="14"/>
        <v>3.6514505965463058</v>
      </c>
      <c r="Y21">
        <f t="shared" si="15"/>
        <v>65.368890033416235</v>
      </c>
      <c r="Z21">
        <f t="shared" si="16"/>
        <v>2.4804421259819995</v>
      </c>
      <c r="AA21">
        <f t="shared" si="17"/>
        <v>3.7945299739891718</v>
      </c>
      <c r="AB21">
        <f t="shared" si="18"/>
        <v>1.1710084705643062</v>
      </c>
      <c r="AC21">
        <f t="shared" si="19"/>
        <v>-299.67318376133068</v>
      </c>
      <c r="AD21">
        <f t="shared" si="20"/>
        <v>103.28980608667661</v>
      </c>
      <c r="AE21">
        <f t="shared" si="21"/>
        <v>7.7036088249635748</v>
      </c>
      <c r="AF21">
        <f t="shared" si="22"/>
        <v>155.66053080812105</v>
      </c>
      <c r="AG21">
        <v>0</v>
      </c>
      <c r="AH21">
        <v>0</v>
      </c>
      <c r="AI21">
        <f t="shared" si="23"/>
        <v>1</v>
      </c>
      <c r="AJ21">
        <f t="shared" si="24"/>
        <v>0</v>
      </c>
      <c r="AK21">
        <f t="shared" si="25"/>
        <v>52208.603213952971</v>
      </c>
      <c r="AL21" t="s">
        <v>415</v>
      </c>
      <c r="AM21">
        <v>10297.6</v>
      </c>
      <c r="AN21">
        <v>785.57400000000007</v>
      </c>
      <c r="AO21">
        <v>3597.65</v>
      </c>
      <c r="AP21">
        <f t="shared" si="26"/>
        <v>0.7816424610509638</v>
      </c>
      <c r="AQ21">
        <v>-0.62398835798131469</v>
      </c>
      <c r="AR21" t="s">
        <v>441</v>
      </c>
      <c r="AS21">
        <v>10244.1</v>
      </c>
      <c r="AT21">
        <v>815.79484000000002</v>
      </c>
      <c r="AU21">
        <v>927.38613261507669</v>
      </c>
      <c r="AV21">
        <f t="shared" si="27"/>
        <v>0.12032883465747712</v>
      </c>
      <c r="AW21">
        <v>0.5</v>
      </c>
      <c r="AX21">
        <f t="shared" si="28"/>
        <v>1513.0583998289055</v>
      </c>
      <c r="AY21">
        <f t="shared" si="29"/>
        <v>12.453907558920672</v>
      </c>
      <c r="AZ21">
        <f t="shared" si="30"/>
        <v>91.032277010059644</v>
      </c>
      <c r="BA21">
        <f t="shared" si="31"/>
        <v>8.6433517162198218E-3</v>
      </c>
      <c r="BB21">
        <f t="shared" si="32"/>
        <v>2.8793441841266456</v>
      </c>
      <c r="BC21">
        <f t="shared" si="33"/>
        <v>482.32407052826375</v>
      </c>
      <c r="BD21" t="s">
        <v>442</v>
      </c>
      <c r="BE21">
        <v>565.71</v>
      </c>
      <c r="BF21">
        <f t="shared" si="34"/>
        <v>565.71</v>
      </c>
      <c r="BG21">
        <f t="shared" si="35"/>
        <v>0.38999519174953512</v>
      </c>
      <c r="BH21">
        <f t="shared" si="36"/>
        <v>0.30853927741436188</v>
      </c>
      <c r="BI21">
        <f t="shared" si="37"/>
        <v>0.88071131598412999</v>
      </c>
      <c r="BJ21">
        <f t="shared" si="38"/>
        <v>0.78689524342723938</v>
      </c>
      <c r="BK21">
        <f t="shared" si="39"/>
        <v>0.94957030584696978</v>
      </c>
      <c r="BL21">
        <f t="shared" si="40"/>
        <v>0.21395545309661271</v>
      </c>
      <c r="BM21">
        <f t="shared" si="41"/>
        <v>0.78604454690338732</v>
      </c>
      <c r="BN21">
        <v>233</v>
      </c>
      <c r="BO21">
        <v>290.00000000000011</v>
      </c>
      <c r="BP21">
        <v>896.91</v>
      </c>
      <c r="BQ21">
        <v>155</v>
      </c>
      <c r="BR21">
        <v>10244.1</v>
      </c>
      <c r="BS21">
        <v>895.41</v>
      </c>
      <c r="BT21">
        <v>1.5</v>
      </c>
      <c r="BU21">
        <v>300.00000000000011</v>
      </c>
      <c r="BV21">
        <v>24.1</v>
      </c>
      <c r="BW21">
        <v>927.38613261507669</v>
      </c>
      <c r="BX21">
        <v>2.0383541008928492</v>
      </c>
      <c r="BY21">
        <v>-32.760039301918553</v>
      </c>
      <c r="BZ21">
        <v>1.8572422751790749</v>
      </c>
      <c r="CA21">
        <v>0.91743750395256052</v>
      </c>
      <c r="CB21">
        <v>-6.9723368186874407E-3</v>
      </c>
      <c r="CC21">
        <v>289.99999999999989</v>
      </c>
      <c r="CD21">
        <v>891.19</v>
      </c>
      <c r="CE21">
        <v>715</v>
      </c>
      <c r="CF21">
        <v>10208</v>
      </c>
      <c r="CG21">
        <v>895.29</v>
      </c>
      <c r="CH21">
        <v>-4.0999999999999996</v>
      </c>
      <c r="CV21">
        <f t="shared" si="42"/>
        <v>1799.85</v>
      </c>
      <c r="CW21">
        <f t="shared" si="43"/>
        <v>1513.0583998289055</v>
      </c>
      <c r="CX21">
        <f t="shared" si="44"/>
        <v>0.84065805474284283</v>
      </c>
      <c r="CY21">
        <f t="shared" si="45"/>
        <v>0.19131610948568578</v>
      </c>
      <c r="CZ21">
        <v>6</v>
      </c>
      <c r="DA21">
        <v>0.5</v>
      </c>
      <c r="DB21" t="s">
        <v>418</v>
      </c>
      <c r="DC21">
        <v>2</v>
      </c>
      <c r="DD21">
        <v>1674758626.0999999</v>
      </c>
      <c r="DE21">
        <v>54.657299999999999</v>
      </c>
      <c r="DF21">
        <v>70.043499999999995</v>
      </c>
      <c r="DG21">
        <v>24.994</v>
      </c>
      <c r="DH21">
        <v>17.0456</v>
      </c>
      <c r="DI21">
        <v>55.098500000000001</v>
      </c>
      <c r="DJ21">
        <v>24.754100000000001</v>
      </c>
      <c r="DK21">
        <v>500.13600000000002</v>
      </c>
      <c r="DL21">
        <v>99.141499999999994</v>
      </c>
      <c r="DM21">
        <v>0.10000299999999999</v>
      </c>
      <c r="DN21">
        <v>27.9986</v>
      </c>
      <c r="DO21">
        <v>27.340900000000001</v>
      </c>
      <c r="DP21">
        <v>999.9</v>
      </c>
      <c r="DQ21">
        <v>0</v>
      </c>
      <c r="DR21">
        <v>0</v>
      </c>
      <c r="DS21">
        <v>9991.8799999999992</v>
      </c>
      <c r="DT21">
        <v>0</v>
      </c>
      <c r="DU21">
        <v>460.98</v>
      </c>
      <c r="DV21">
        <v>-15.386200000000001</v>
      </c>
      <c r="DW21">
        <v>56.058399999999999</v>
      </c>
      <c r="DX21">
        <v>71.258099999999999</v>
      </c>
      <c r="DY21">
        <v>7.9483300000000003</v>
      </c>
      <c r="DZ21">
        <v>70.043499999999995</v>
      </c>
      <c r="EA21">
        <v>17.0456</v>
      </c>
      <c r="EB21">
        <v>2.4779399999999998</v>
      </c>
      <c r="EC21">
        <v>1.6899299999999999</v>
      </c>
      <c r="ED21">
        <v>20.882300000000001</v>
      </c>
      <c r="EE21">
        <v>14.8042</v>
      </c>
      <c r="EF21">
        <v>1799.85</v>
      </c>
      <c r="EG21">
        <v>0.97800299999999996</v>
      </c>
      <c r="EH21">
        <v>2.19969E-2</v>
      </c>
      <c r="EI21">
        <v>0</v>
      </c>
      <c r="EJ21">
        <v>815.678</v>
      </c>
      <c r="EK21">
        <v>5.0002599999999999</v>
      </c>
      <c r="EL21">
        <v>14990.3</v>
      </c>
      <c r="EM21">
        <v>17101.900000000001</v>
      </c>
      <c r="EN21">
        <v>48.625</v>
      </c>
      <c r="EO21">
        <v>50.186999999999998</v>
      </c>
      <c r="EP21">
        <v>49.686999999999998</v>
      </c>
      <c r="EQ21">
        <v>49.186999999999998</v>
      </c>
      <c r="ER21">
        <v>49.936999999999998</v>
      </c>
      <c r="ES21">
        <v>1755.37</v>
      </c>
      <c r="ET21">
        <v>39.479999999999997</v>
      </c>
      <c r="EU21">
        <v>0</v>
      </c>
      <c r="EV21">
        <v>115.7999999523163</v>
      </c>
      <c r="EW21">
        <v>0</v>
      </c>
      <c r="EX21">
        <v>815.79484000000002</v>
      </c>
      <c r="EY21">
        <v>-1.3730769310519331</v>
      </c>
      <c r="EZ21">
        <v>-40.107692262801883</v>
      </c>
      <c r="FA21">
        <v>14996.791999999999</v>
      </c>
      <c r="FB21">
        <v>15</v>
      </c>
      <c r="FC21">
        <v>1674758585.5999999</v>
      </c>
      <c r="FD21" t="s">
        <v>443</v>
      </c>
      <c r="FE21">
        <v>1674758575.0999999</v>
      </c>
      <c r="FF21">
        <v>1674758585.5999999</v>
      </c>
      <c r="FG21">
        <v>10</v>
      </c>
      <c r="FH21">
        <v>4.8000000000000001E-2</v>
      </c>
      <c r="FI21">
        <v>-3.0000000000000001E-3</v>
      </c>
      <c r="FJ21">
        <v>-0.43</v>
      </c>
      <c r="FK21">
        <v>5.5E-2</v>
      </c>
      <c r="FL21">
        <v>70</v>
      </c>
      <c r="FM21">
        <v>17</v>
      </c>
      <c r="FN21">
        <v>0.08</v>
      </c>
      <c r="FO21">
        <v>0.02</v>
      </c>
      <c r="FP21">
        <v>12.48233415515994</v>
      </c>
      <c r="FQ21">
        <v>-0.48639367506205472</v>
      </c>
      <c r="FR21">
        <v>6.7237593838831405E-2</v>
      </c>
      <c r="FS21">
        <v>1</v>
      </c>
      <c r="FT21">
        <v>0.62565196797675238</v>
      </c>
      <c r="FU21">
        <v>-3.568632269793173E-3</v>
      </c>
      <c r="FV21">
        <v>2.0035581124524041E-3</v>
      </c>
      <c r="FW21">
        <v>1</v>
      </c>
      <c r="FX21">
        <v>2</v>
      </c>
      <c r="FY21">
        <v>2</v>
      </c>
      <c r="FZ21" t="s">
        <v>420</v>
      </c>
      <c r="GA21">
        <v>2.9282699999999999</v>
      </c>
      <c r="GB21">
        <v>2.8068399999999998</v>
      </c>
      <c r="GC21">
        <v>1.57021E-2</v>
      </c>
      <c r="GD21">
        <v>2.0258700000000001E-2</v>
      </c>
      <c r="GE21">
        <v>0.11464000000000001</v>
      </c>
      <c r="GF21">
        <v>8.8947100000000001E-2</v>
      </c>
      <c r="GG21">
        <v>29221.8</v>
      </c>
      <c r="GH21">
        <v>29595.7</v>
      </c>
      <c r="GI21">
        <v>28199.7</v>
      </c>
      <c r="GJ21">
        <v>27221</v>
      </c>
      <c r="GK21">
        <v>35839.300000000003</v>
      </c>
      <c r="GL21">
        <v>32752.5</v>
      </c>
      <c r="GM21">
        <v>41990.2</v>
      </c>
      <c r="GN21">
        <v>36939.5</v>
      </c>
      <c r="GO21">
        <v>1.92038</v>
      </c>
      <c r="GP21">
        <v>1.8997200000000001</v>
      </c>
      <c r="GQ21">
        <v>5.0105200000000003E-2</v>
      </c>
      <c r="GR21">
        <v>0</v>
      </c>
      <c r="GS21">
        <v>26.5214</v>
      </c>
      <c r="GT21">
        <v>999.9</v>
      </c>
      <c r="GU21">
        <v>40.200000000000003</v>
      </c>
      <c r="GV21">
        <v>34.700000000000003</v>
      </c>
      <c r="GW21">
        <v>22.525200000000002</v>
      </c>
      <c r="GX21">
        <v>62.106499999999997</v>
      </c>
      <c r="GY21">
        <v>25.416699999999999</v>
      </c>
      <c r="GZ21">
        <v>1</v>
      </c>
      <c r="HA21">
        <v>0.424954</v>
      </c>
      <c r="HB21">
        <v>2.9733299999999998</v>
      </c>
      <c r="HC21">
        <v>20.3718</v>
      </c>
      <c r="HD21">
        <v>5.24125</v>
      </c>
      <c r="HE21">
        <v>11.9381</v>
      </c>
      <c r="HF21">
        <v>4.9737</v>
      </c>
      <c r="HG21">
        <v>3.2989999999999999</v>
      </c>
      <c r="HH21">
        <v>9999</v>
      </c>
      <c r="HI21">
        <v>9999</v>
      </c>
      <c r="HJ21">
        <v>9999</v>
      </c>
      <c r="HK21">
        <v>999.9</v>
      </c>
      <c r="HL21">
        <v>1.8730199999999999</v>
      </c>
      <c r="HM21">
        <v>1.88066</v>
      </c>
      <c r="HN21">
        <v>1.8843099999999999</v>
      </c>
      <c r="HO21">
        <v>1.8810199999999999</v>
      </c>
      <c r="HP21">
        <v>1.8783399999999999</v>
      </c>
      <c r="HQ21">
        <v>1.87304</v>
      </c>
      <c r="HR21">
        <v>1.87592</v>
      </c>
      <c r="HS21">
        <v>1.88019</v>
      </c>
      <c r="HT21">
        <v>5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423</v>
      </c>
      <c r="IB21" t="s">
        <v>423</v>
      </c>
      <c r="IC21" t="s">
        <v>423</v>
      </c>
      <c r="ID21">
        <v>0</v>
      </c>
      <c r="IE21">
        <v>100</v>
      </c>
      <c r="IF21">
        <v>100</v>
      </c>
      <c r="IG21">
        <v>-0.441</v>
      </c>
      <c r="IH21">
        <v>0.2399</v>
      </c>
      <c r="II21">
        <v>-0.48788946578630532</v>
      </c>
      <c r="IJ21">
        <v>9.4905977090923709E-4</v>
      </c>
      <c r="IK21">
        <v>-1.9106666302146479E-6</v>
      </c>
      <c r="IL21">
        <v>7.5819610513223293E-10</v>
      </c>
      <c r="IM21">
        <v>-6.0693496303048058E-2</v>
      </c>
      <c r="IN21">
        <v>-1.0595840490420019E-2</v>
      </c>
      <c r="IO21">
        <v>1.2407080968752471E-3</v>
      </c>
      <c r="IP21">
        <v>-1.3015442653884381E-5</v>
      </c>
      <c r="IQ21">
        <v>33</v>
      </c>
      <c r="IR21">
        <v>2014</v>
      </c>
      <c r="IS21">
        <v>1</v>
      </c>
      <c r="IT21">
        <v>26</v>
      </c>
      <c r="IU21">
        <v>0.8</v>
      </c>
      <c r="IV21">
        <v>0.7</v>
      </c>
      <c r="IW21">
        <v>0.299072</v>
      </c>
      <c r="IX21">
        <v>2.5647000000000002</v>
      </c>
      <c r="IY21">
        <v>1.5991200000000001</v>
      </c>
      <c r="IZ21">
        <v>2.2924799999999999</v>
      </c>
      <c r="JA21">
        <v>1.5502899999999999</v>
      </c>
      <c r="JB21">
        <v>2.2814899999999998</v>
      </c>
      <c r="JC21">
        <v>38.013399999999997</v>
      </c>
      <c r="JD21">
        <v>16.1722</v>
      </c>
      <c r="JE21">
        <v>18</v>
      </c>
      <c r="JF21">
        <v>484.83800000000002</v>
      </c>
      <c r="JG21">
        <v>506.59100000000001</v>
      </c>
      <c r="JH21">
        <v>22.867100000000001</v>
      </c>
      <c r="JI21">
        <v>32.560699999999997</v>
      </c>
      <c r="JJ21">
        <v>29.9999</v>
      </c>
      <c r="JK21">
        <v>32.6464</v>
      </c>
      <c r="JL21">
        <v>32.613100000000003</v>
      </c>
      <c r="JM21">
        <v>6.0322500000000003</v>
      </c>
      <c r="JN21">
        <v>24.102599999999999</v>
      </c>
      <c r="JO21">
        <v>21.7715</v>
      </c>
      <c r="JP21">
        <v>22.887599999999999</v>
      </c>
      <c r="JQ21">
        <v>70</v>
      </c>
      <c r="JR21">
        <v>17.026900000000001</v>
      </c>
      <c r="JS21">
        <v>99.554599999999994</v>
      </c>
      <c r="JT21">
        <v>98.899600000000007</v>
      </c>
    </row>
    <row r="22" spans="1:280" x14ac:dyDescent="0.25">
      <c r="A22">
        <v>6</v>
      </c>
      <c r="B22">
        <v>1674758761.0999999</v>
      </c>
      <c r="C22">
        <v>681.59999990463257</v>
      </c>
      <c r="D22" t="s">
        <v>444</v>
      </c>
      <c r="E22" t="s">
        <v>445</v>
      </c>
      <c r="F22" t="s">
        <v>412</v>
      </c>
      <c r="G22" t="s">
        <v>413</v>
      </c>
      <c r="H22" t="s">
        <v>414</v>
      </c>
      <c r="I22">
        <v>1674758761.0999999</v>
      </c>
      <c r="J22">
        <f t="shared" si="0"/>
        <v>6.9812854377487958E-3</v>
      </c>
      <c r="K22">
        <f t="shared" si="1"/>
        <v>6.9812854377487961</v>
      </c>
      <c r="L22">
        <f t="shared" si="2"/>
        <v>5.4662634876524603</v>
      </c>
      <c r="M22">
        <f t="shared" si="3"/>
        <v>23.264199999999999</v>
      </c>
      <c r="N22">
        <f t="shared" si="4"/>
        <v>8.0861321934701778</v>
      </c>
      <c r="O22">
        <f t="shared" si="5"/>
        <v>0.80244448699152759</v>
      </c>
      <c r="P22">
        <f t="shared" si="6"/>
        <v>2.3086722536324</v>
      </c>
      <c r="Q22">
        <f t="shared" si="7"/>
        <v>0.6496271476427079</v>
      </c>
      <c r="R22">
        <f t="shared" si="8"/>
        <v>2.9130538979248342</v>
      </c>
      <c r="S22">
        <f t="shared" si="9"/>
        <v>0.57859080213240566</v>
      </c>
      <c r="T22">
        <f t="shared" si="10"/>
        <v>0.36735217996978153</v>
      </c>
      <c r="U22">
        <f t="shared" si="11"/>
        <v>344.41249965788376</v>
      </c>
      <c r="V22">
        <f t="shared" si="12"/>
        <v>28.212456654642331</v>
      </c>
      <c r="W22">
        <f t="shared" si="13"/>
        <v>27.309100000000001</v>
      </c>
      <c r="X22">
        <f t="shared" si="14"/>
        <v>3.6446536550793911</v>
      </c>
      <c r="Y22">
        <f t="shared" si="15"/>
        <v>65.478708485510325</v>
      </c>
      <c r="Z22">
        <f t="shared" si="16"/>
        <v>2.4842326461625999</v>
      </c>
      <c r="AA22">
        <f t="shared" si="17"/>
        <v>3.7939548650571373</v>
      </c>
      <c r="AB22">
        <f t="shared" si="18"/>
        <v>1.1604210089167912</v>
      </c>
      <c r="AC22">
        <f t="shared" si="19"/>
        <v>-307.87468780472187</v>
      </c>
      <c r="AD22">
        <f t="shared" si="20"/>
        <v>107.87665706258773</v>
      </c>
      <c r="AE22">
        <f t="shared" si="21"/>
        <v>8.0442472247523416</v>
      </c>
      <c r="AF22">
        <f t="shared" si="22"/>
        <v>152.45871614050193</v>
      </c>
      <c r="AG22">
        <v>0</v>
      </c>
      <c r="AH22">
        <v>0</v>
      </c>
      <c r="AI22">
        <f t="shared" si="23"/>
        <v>1</v>
      </c>
      <c r="AJ22">
        <f t="shared" si="24"/>
        <v>0</v>
      </c>
      <c r="AK22">
        <f t="shared" si="25"/>
        <v>52209.792084997782</v>
      </c>
      <c r="AL22" t="s">
        <v>415</v>
      </c>
      <c r="AM22">
        <v>10297.6</v>
      </c>
      <c r="AN22">
        <v>785.57400000000007</v>
      </c>
      <c r="AO22">
        <v>3597.65</v>
      </c>
      <c r="AP22">
        <f t="shared" si="26"/>
        <v>0.7816424610509638</v>
      </c>
      <c r="AQ22">
        <v>-0.62398835798131469</v>
      </c>
      <c r="AR22" t="s">
        <v>446</v>
      </c>
      <c r="AS22">
        <v>10259.299999999999</v>
      </c>
      <c r="AT22">
        <v>835.08207999999979</v>
      </c>
      <c r="AU22">
        <v>911.69564018092171</v>
      </c>
      <c r="AV22">
        <f t="shared" si="27"/>
        <v>8.403414122471653E-2</v>
      </c>
      <c r="AW22">
        <v>0.5</v>
      </c>
      <c r="AX22">
        <f t="shared" si="28"/>
        <v>1513.3775998289418</v>
      </c>
      <c r="AY22">
        <f t="shared" si="29"/>
        <v>5.4662634876524603</v>
      </c>
      <c r="AZ22">
        <f t="shared" si="30"/>
        <v>63.587693475173914</v>
      </c>
      <c r="BA22">
        <f t="shared" si="31"/>
        <v>4.0242777786073753E-3</v>
      </c>
      <c r="BB22">
        <f t="shared" si="32"/>
        <v>2.9461085930893161</v>
      </c>
      <c r="BC22">
        <f t="shared" si="33"/>
        <v>478.04515263339221</v>
      </c>
      <c r="BD22" t="s">
        <v>447</v>
      </c>
      <c r="BE22">
        <v>581.48</v>
      </c>
      <c r="BF22">
        <f t="shared" si="34"/>
        <v>581.48</v>
      </c>
      <c r="BG22">
        <f t="shared" si="35"/>
        <v>0.36219942887452217</v>
      </c>
      <c r="BH22">
        <f t="shared" si="36"/>
        <v>0.23201069500810487</v>
      </c>
      <c r="BI22">
        <f t="shared" si="37"/>
        <v>0.89051822669779168</v>
      </c>
      <c r="BJ22">
        <f t="shared" si="38"/>
        <v>0.60745768982245774</v>
      </c>
      <c r="BK22">
        <f t="shared" si="39"/>
        <v>0.95514998876953483</v>
      </c>
      <c r="BL22">
        <f t="shared" si="40"/>
        <v>0.161552477492168</v>
      </c>
      <c r="BM22">
        <f t="shared" si="41"/>
        <v>0.83844752250783205</v>
      </c>
      <c r="BN22">
        <v>235</v>
      </c>
      <c r="BO22">
        <v>290.00000000000011</v>
      </c>
      <c r="BP22">
        <v>888.26</v>
      </c>
      <c r="BQ22">
        <v>75</v>
      </c>
      <c r="BR22">
        <v>10259.299999999999</v>
      </c>
      <c r="BS22">
        <v>884.18</v>
      </c>
      <c r="BT22">
        <v>4.08</v>
      </c>
      <c r="BU22">
        <v>300.00000000000011</v>
      </c>
      <c r="BV22">
        <v>24.1</v>
      </c>
      <c r="BW22">
        <v>911.69564018092171</v>
      </c>
      <c r="BX22">
        <v>2.1841797416725242</v>
      </c>
      <c r="BY22">
        <v>-28.224801692911122</v>
      </c>
      <c r="BZ22">
        <v>1.990182714233633</v>
      </c>
      <c r="CA22">
        <v>0.87779839377615276</v>
      </c>
      <c r="CB22">
        <v>-6.9725875417130144E-3</v>
      </c>
      <c r="CC22">
        <v>289.99999999999989</v>
      </c>
      <c r="CD22">
        <v>880.05</v>
      </c>
      <c r="CE22">
        <v>635</v>
      </c>
      <c r="CF22">
        <v>10213.299999999999</v>
      </c>
      <c r="CG22">
        <v>884.06</v>
      </c>
      <c r="CH22">
        <v>-4.01</v>
      </c>
      <c r="CV22">
        <f t="shared" si="42"/>
        <v>1800.23</v>
      </c>
      <c r="CW22">
        <f t="shared" si="43"/>
        <v>1513.3775998289418</v>
      </c>
      <c r="CX22">
        <f t="shared" si="44"/>
        <v>0.84065791583794391</v>
      </c>
      <c r="CY22">
        <f t="shared" si="45"/>
        <v>0.19131583167588795</v>
      </c>
      <c r="CZ22">
        <v>6</v>
      </c>
      <c r="DA22">
        <v>0.5</v>
      </c>
      <c r="DB22" t="s">
        <v>418</v>
      </c>
      <c r="DC22">
        <v>2</v>
      </c>
      <c r="DD22">
        <v>1674758761.0999999</v>
      </c>
      <c r="DE22">
        <v>23.264199999999999</v>
      </c>
      <c r="DF22">
        <v>30.017600000000002</v>
      </c>
      <c r="DG22">
        <v>25.033300000000001</v>
      </c>
      <c r="DH22">
        <v>16.866700000000002</v>
      </c>
      <c r="DI22">
        <v>23.5809</v>
      </c>
      <c r="DJ22">
        <v>24.788799999999998</v>
      </c>
      <c r="DK22">
        <v>500.07499999999999</v>
      </c>
      <c r="DL22">
        <v>99.137</v>
      </c>
      <c r="DM22">
        <v>0.100122</v>
      </c>
      <c r="DN22">
        <v>27.995999999999999</v>
      </c>
      <c r="DO22">
        <v>27.309100000000001</v>
      </c>
      <c r="DP22">
        <v>999.9</v>
      </c>
      <c r="DQ22">
        <v>0</v>
      </c>
      <c r="DR22">
        <v>0</v>
      </c>
      <c r="DS22">
        <v>9992.5</v>
      </c>
      <c r="DT22">
        <v>0</v>
      </c>
      <c r="DU22">
        <v>463.34500000000003</v>
      </c>
      <c r="DV22">
        <v>-6.7534799999999997</v>
      </c>
      <c r="DW22">
        <v>23.861499999999999</v>
      </c>
      <c r="DX22">
        <v>30.532599999999999</v>
      </c>
      <c r="DY22">
        <v>8.1666000000000007</v>
      </c>
      <c r="DZ22">
        <v>30.017600000000002</v>
      </c>
      <c r="EA22">
        <v>16.866700000000002</v>
      </c>
      <c r="EB22">
        <v>2.4817200000000001</v>
      </c>
      <c r="EC22">
        <v>1.67211</v>
      </c>
      <c r="ED22">
        <v>20.9071</v>
      </c>
      <c r="EE22">
        <v>14.639900000000001</v>
      </c>
      <c r="EF22">
        <v>1800.23</v>
      </c>
      <c r="EG22">
        <v>0.97800699999999996</v>
      </c>
      <c r="EH22">
        <v>2.1993200000000001E-2</v>
      </c>
      <c r="EI22">
        <v>0</v>
      </c>
      <c r="EJ22">
        <v>835.01099999999997</v>
      </c>
      <c r="EK22">
        <v>5.0002599999999999</v>
      </c>
      <c r="EL22">
        <v>15314</v>
      </c>
      <c r="EM22">
        <v>17105.599999999999</v>
      </c>
      <c r="EN22">
        <v>48.625</v>
      </c>
      <c r="EO22">
        <v>50.125</v>
      </c>
      <c r="EP22">
        <v>49.686999999999998</v>
      </c>
      <c r="EQ22">
        <v>49.125</v>
      </c>
      <c r="ER22">
        <v>50</v>
      </c>
      <c r="ES22">
        <v>1755.75</v>
      </c>
      <c r="ET22">
        <v>39.479999999999997</v>
      </c>
      <c r="EU22">
        <v>0</v>
      </c>
      <c r="EV22">
        <v>133.20000004768369</v>
      </c>
      <c r="EW22">
        <v>0</v>
      </c>
      <c r="EX22">
        <v>835.08207999999979</v>
      </c>
      <c r="EY22">
        <v>0.2349230879705341</v>
      </c>
      <c r="EZ22">
        <v>-20.776923072767111</v>
      </c>
      <c r="FA22">
        <v>15315.415999999999</v>
      </c>
      <c r="FB22">
        <v>15</v>
      </c>
      <c r="FC22">
        <v>1674758720.0999999</v>
      </c>
      <c r="FD22" t="s">
        <v>448</v>
      </c>
      <c r="FE22">
        <v>1674758700.5999999</v>
      </c>
      <c r="FF22">
        <v>1674758720.0999999</v>
      </c>
      <c r="FG22">
        <v>11</v>
      </c>
      <c r="FH22">
        <v>0.15</v>
      </c>
      <c r="FI22">
        <v>4.0000000000000001E-3</v>
      </c>
      <c r="FJ22">
        <v>-0.311</v>
      </c>
      <c r="FK22">
        <v>5.5E-2</v>
      </c>
      <c r="FL22">
        <v>30</v>
      </c>
      <c r="FM22">
        <v>17</v>
      </c>
      <c r="FN22">
        <v>0.16</v>
      </c>
      <c r="FO22">
        <v>0.01</v>
      </c>
      <c r="FP22">
        <v>5.4991540418641227</v>
      </c>
      <c r="FQ22">
        <v>-0.57781464418133366</v>
      </c>
      <c r="FR22">
        <v>6.6658249735881553E-2</v>
      </c>
      <c r="FS22">
        <v>1</v>
      </c>
      <c r="FT22">
        <v>0.65334654783121482</v>
      </c>
      <c r="FU22">
        <v>-7.4728873843273973E-3</v>
      </c>
      <c r="FV22">
        <v>1.574655107599472E-3</v>
      </c>
      <c r="FW22">
        <v>1</v>
      </c>
      <c r="FX22">
        <v>2</v>
      </c>
      <c r="FY22">
        <v>2</v>
      </c>
      <c r="FZ22" t="s">
        <v>420</v>
      </c>
      <c r="GA22">
        <v>2.9281899999999998</v>
      </c>
      <c r="GB22">
        <v>2.8069600000000001</v>
      </c>
      <c r="GC22">
        <v>6.7071600000000002E-3</v>
      </c>
      <c r="GD22">
        <v>8.6867899999999998E-3</v>
      </c>
      <c r="GE22">
        <v>0.114757</v>
      </c>
      <c r="GF22">
        <v>8.8277599999999998E-2</v>
      </c>
      <c r="GG22">
        <v>29491</v>
      </c>
      <c r="GH22">
        <v>29949.8</v>
      </c>
      <c r="GI22">
        <v>28201.5</v>
      </c>
      <c r="GJ22">
        <v>27225.1</v>
      </c>
      <c r="GK22">
        <v>35836.5</v>
      </c>
      <c r="GL22">
        <v>32781.300000000003</v>
      </c>
      <c r="GM22">
        <v>41992.6</v>
      </c>
      <c r="GN22">
        <v>36944.9</v>
      </c>
      <c r="GO22">
        <v>1.921</v>
      </c>
      <c r="GP22">
        <v>1.89995</v>
      </c>
      <c r="GQ22">
        <v>4.9941199999999998E-2</v>
      </c>
      <c r="GR22">
        <v>0</v>
      </c>
      <c r="GS22">
        <v>26.4923</v>
      </c>
      <c r="GT22">
        <v>999.9</v>
      </c>
      <c r="GU22">
        <v>39.799999999999997</v>
      </c>
      <c r="GV22">
        <v>34.700000000000003</v>
      </c>
      <c r="GW22">
        <v>22.3003</v>
      </c>
      <c r="GX22">
        <v>62.1965</v>
      </c>
      <c r="GY22">
        <v>25.652999999999999</v>
      </c>
      <c r="GZ22">
        <v>1</v>
      </c>
      <c r="HA22">
        <v>0.420074</v>
      </c>
      <c r="HB22">
        <v>2.8757799999999998</v>
      </c>
      <c r="HC22">
        <v>20.373999999999999</v>
      </c>
      <c r="HD22">
        <v>5.2409499999999998</v>
      </c>
      <c r="HE22">
        <v>11.9381</v>
      </c>
      <c r="HF22">
        <v>4.9736000000000002</v>
      </c>
      <c r="HG22">
        <v>3.2989999999999999</v>
      </c>
      <c r="HH22">
        <v>9999</v>
      </c>
      <c r="HI22">
        <v>9999</v>
      </c>
      <c r="HJ22">
        <v>9999</v>
      </c>
      <c r="HK22">
        <v>999.9</v>
      </c>
      <c r="HL22">
        <v>1.8730199999999999</v>
      </c>
      <c r="HM22">
        <v>1.8806700000000001</v>
      </c>
      <c r="HN22">
        <v>1.8843099999999999</v>
      </c>
      <c r="HO22">
        <v>1.8809800000000001</v>
      </c>
      <c r="HP22">
        <v>1.87836</v>
      </c>
      <c r="HQ22">
        <v>1.87304</v>
      </c>
      <c r="HR22">
        <v>1.87592</v>
      </c>
      <c r="HS22">
        <v>1.88019</v>
      </c>
      <c r="HT22">
        <v>5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423</v>
      </c>
      <c r="IB22" t="s">
        <v>423</v>
      </c>
      <c r="IC22" t="s">
        <v>423</v>
      </c>
      <c r="ID22">
        <v>0</v>
      </c>
      <c r="IE22">
        <v>100</v>
      </c>
      <c r="IF22">
        <v>100</v>
      </c>
      <c r="IG22">
        <v>-0.317</v>
      </c>
      <c r="IH22">
        <v>0.2445</v>
      </c>
      <c r="II22">
        <v>-0.33811770524942381</v>
      </c>
      <c r="IJ22">
        <v>9.4905977090923709E-4</v>
      </c>
      <c r="IK22">
        <v>-1.9106666302146479E-6</v>
      </c>
      <c r="IL22">
        <v>7.5819610513223293E-10</v>
      </c>
      <c r="IM22">
        <v>-5.7054941237461188E-2</v>
      </c>
      <c r="IN22">
        <v>-1.0595840490420019E-2</v>
      </c>
      <c r="IO22">
        <v>1.2407080968752471E-3</v>
      </c>
      <c r="IP22">
        <v>-1.3015442653884381E-5</v>
      </c>
      <c r="IQ22">
        <v>33</v>
      </c>
      <c r="IR22">
        <v>2014</v>
      </c>
      <c r="IS22">
        <v>1</v>
      </c>
      <c r="IT22">
        <v>26</v>
      </c>
      <c r="IU22">
        <v>1</v>
      </c>
      <c r="IV22">
        <v>0.7</v>
      </c>
      <c r="IW22">
        <v>0.21240200000000001</v>
      </c>
      <c r="IX22">
        <v>2.5878899999999998</v>
      </c>
      <c r="IY22">
        <v>1.5991200000000001</v>
      </c>
      <c r="IZ22">
        <v>2.2924799999999999</v>
      </c>
      <c r="JA22">
        <v>1.5502899999999999</v>
      </c>
      <c r="JB22">
        <v>2.2412100000000001</v>
      </c>
      <c r="JC22">
        <v>38.013399999999997</v>
      </c>
      <c r="JD22">
        <v>16.163399999999999</v>
      </c>
      <c r="JE22">
        <v>18</v>
      </c>
      <c r="JF22">
        <v>484.94799999999998</v>
      </c>
      <c r="JG22">
        <v>506.46</v>
      </c>
      <c r="JH22">
        <v>22.915299999999998</v>
      </c>
      <c r="JI22">
        <v>32.514400000000002</v>
      </c>
      <c r="JJ22">
        <v>29.9999</v>
      </c>
      <c r="JK22">
        <v>32.609299999999998</v>
      </c>
      <c r="JL22">
        <v>32.578299999999999</v>
      </c>
      <c r="JM22">
        <v>4.2866200000000001</v>
      </c>
      <c r="JN22">
        <v>23.8322</v>
      </c>
      <c r="JO22">
        <v>20.580100000000002</v>
      </c>
      <c r="JP22">
        <v>22.921199999999999</v>
      </c>
      <c r="JQ22">
        <v>30</v>
      </c>
      <c r="JR22">
        <v>16.790700000000001</v>
      </c>
      <c r="JS22">
        <v>99.560500000000005</v>
      </c>
      <c r="JT22">
        <v>98.914100000000005</v>
      </c>
    </row>
    <row r="23" spans="1:280" x14ac:dyDescent="0.25">
      <c r="A23">
        <v>7</v>
      </c>
      <c r="B23">
        <v>1674758886.5999999</v>
      </c>
      <c r="C23">
        <v>807.09999990463257</v>
      </c>
      <c r="D23" t="s">
        <v>449</v>
      </c>
      <c r="E23" t="s">
        <v>450</v>
      </c>
      <c r="F23" t="s">
        <v>412</v>
      </c>
      <c r="G23" t="s">
        <v>413</v>
      </c>
      <c r="H23" t="s">
        <v>414</v>
      </c>
      <c r="I23">
        <v>1674758886.5999999</v>
      </c>
      <c r="J23">
        <f t="shared" si="0"/>
        <v>7.0646544036286219E-3</v>
      </c>
      <c r="K23">
        <f t="shared" si="1"/>
        <v>7.0646544036286221</v>
      </c>
      <c r="L23">
        <f t="shared" si="2"/>
        <v>1.7998112208547077</v>
      </c>
      <c r="M23">
        <f t="shared" si="3"/>
        <v>7.7814899999999998</v>
      </c>
      <c r="N23">
        <f t="shared" si="4"/>
        <v>2.8321850614006396</v>
      </c>
      <c r="O23">
        <f t="shared" si="5"/>
        <v>0.28106360556596904</v>
      </c>
      <c r="P23">
        <f t="shared" si="6"/>
        <v>0.77222836384636495</v>
      </c>
      <c r="Q23">
        <f t="shared" si="7"/>
        <v>0.65714231553935865</v>
      </c>
      <c r="R23">
        <f t="shared" si="8"/>
        <v>2.9153844709954875</v>
      </c>
      <c r="S23">
        <f t="shared" si="9"/>
        <v>0.58460211256914851</v>
      </c>
      <c r="T23">
        <f t="shared" si="10"/>
        <v>0.37122428639550797</v>
      </c>
      <c r="U23">
        <f t="shared" si="11"/>
        <v>344.35739965782864</v>
      </c>
      <c r="V23">
        <f t="shared" si="12"/>
        <v>28.182805993485943</v>
      </c>
      <c r="W23">
        <f t="shared" si="13"/>
        <v>27.321000000000002</v>
      </c>
      <c r="X23">
        <f t="shared" si="14"/>
        <v>3.6471958705561027</v>
      </c>
      <c r="Y23">
        <f t="shared" si="15"/>
        <v>65.526874067867851</v>
      </c>
      <c r="Z23">
        <f t="shared" si="16"/>
        <v>2.4849877236954003</v>
      </c>
      <c r="AA23">
        <f t="shared" si="17"/>
        <v>3.7923184327725372</v>
      </c>
      <c r="AB23">
        <f t="shared" si="18"/>
        <v>1.1622081468607024</v>
      </c>
      <c r="AC23">
        <f t="shared" si="19"/>
        <v>-311.55125920002223</v>
      </c>
      <c r="AD23">
        <f t="shared" si="20"/>
        <v>104.92950099396614</v>
      </c>
      <c r="AE23">
        <f t="shared" si="21"/>
        <v>7.8184009755913477</v>
      </c>
      <c r="AF23">
        <f t="shared" si="22"/>
        <v>145.55404242736392</v>
      </c>
      <c r="AG23">
        <v>0</v>
      </c>
      <c r="AH23">
        <v>0</v>
      </c>
      <c r="AI23">
        <f t="shared" si="23"/>
        <v>1</v>
      </c>
      <c r="AJ23">
        <f t="shared" si="24"/>
        <v>0</v>
      </c>
      <c r="AK23">
        <f t="shared" si="25"/>
        <v>52277.885804191028</v>
      </c>
      <c r="AL23" t="s">
        <v>415</v>
      </c>
      <c r="AM23">
        <v>10297.6</v>
      </c>
      <c r="AN23">
        <v>785.57400000000007</v>
      </c>
      <c r="AO23">
        <v>3597.65</v>
      </c>
      <c r="AP23">
        <f t="shared" si="26"/>
        <v>0.7816424610509638</v>
      </c>
      <c r="AQ23">
        <v>-0.62398835798131469</v>
      </c>
      <c r="AR23" t="s">
        <v>451</v>
      </c>
      <c r="AS23">
        <v>10261.5</v>
      </c>
      <c r="AT23">
        <v>844.00008000000003</v>
      </c>
      <c r="AU23">
        <v>906.25039939368605</v>
      </c>
      <c r="AV23">
        <f t="shared" si="27"/>
        <v>6.8689977334447261E-2</v>
      </c>
      <c r="AW23">
        <v>0.5</v>
      </c>
      <c r="AX23">
        <f t="shared" si="28"/>
        <v>1513.1339998289145</v>
      </c>
      <c r="AY23">
        <f t="shared" si="29"/>
        <v>1.7998112208547077</v>
      </c>
      <c r="AZ23">
        <f t="shared" si="30"/>
        <v>51.96857007611483</v>
      </c>
      <c r="BA23">
        <f t="shared" si="31"/>
        <v>1.6018406691740944E-3</v>
      </c>
      <c r="BB23">
        <f t="shared" si="32"/>
        <v>2.9698189401151787</v>
      </c>
      <c r="BC23">
        <f t="shared" si="33"/>
        <v>476.54377231928288</v>
      </c>
      <c r="BD23" t="s">
        <v>452</v>
      </c>
      <c r="BE23">
        <v>594.89</v>
      </c>
      <c r="BF23">
        <f t="shared" si="34"/>
        <v>594.89</v>
      </c>
      <c r="BG23">
        <f t="shared" si="35"/>
        <v>0.34356994446788358</v>
      </c>
      <c r="BH23">
        <f t="shared" si="36"/>
        <v>0.199930111584217</v>
      </c>
      <c r="BI23">
        <f t="shared" si="37"/>
        <v>0.89630859629351456</v>
      </c>
      <c r="BJ23">
        <f t="shared" si="38"/>
        <v>0.51584501780339898</v>
      </c>
      <c r="BK23">
        <f t="shared" si="39"/>
        <v>0.95708636630244481</v>
      </c>
      <c r="BL23">
        <f t="shared" si="40"/>
        <v>0.14091992038713413</v>
      </c>
      <c r="BM23">
        <f t="shared" si="41"/>
        <v>0.85908007961286592</v>
      </c>
      <c r="BN23">
        <v>237</v>
      </c>
      <c r="BO23">
        <v>290.00000000000011</v>
      </c>
      <c r="BP23">
        <v>885.72</v>
      </c>
      <c r="BQ23">
        <v>65</v>
      </c>
      <c r="BR23">
        <v>10261.5</v>
      </c>
      <c r="BS23">
        <v>881.18</v>
      </c>
      <c r="BT23">
        <v>4.54</v>
      </c>
      <c r="BU23">
        <v>300.00000000000011</v>
      </c>
      <c r="BV23">
        <v>24.1</v>
      </c>
      <c r="BW23">
        <v>906.25039939368605</v>
      </c>
      <c r="BX23">
        <v>1.809556329388734</v>
      </c>
      <c r="BY23">
        <v>-25.7218055021909</v>
      </c>
      <c r="BZ23">
        <v>1.6488445267773211</v>
      </c>
      <c r="CA23">
        <v>0.89681482091118414</v>
      </c>
      <c r="CB23">
        <v>-6.9727285873192523E-3</v>
      </c>
      <c r="CC23">
        <v>289.99999999999989</v>
      </c>
      <c r="CD23">
        <v>877.68</v>
      </c>
      <c r="CE23">
        <v>635</v>
      </c>
      <c r="CF23">
        <v>10213.4</v>
      </c>
      <c r="CG23">
        <v>881.07</v>
      </c>
      <c r="CH23">
        <v>-3.39</v>
      </c>
      <c r="CV23">
        <f t="shared" si="42"/>
        <v>1799.94</v>
      </c>
      <c r="CW23">
        <f t="shared" si="43"/>
        <v>1513.1339998289145</v>
      </c>
      <c r="CX23">
        <f t="shared" si="44"/>
        <v>0.84065802183901372</v>
      </c>
      <c r="CY23">
        <f t="shared" si="45"/>
        <v>0.1913160436780274</v>
      </c>
      <c r="CZ23">
        <v>6</v>
      </c>
      <c r="DA23">
        <v>0.5</v>
      </c>
      <c r="DB23" t="s">
        <v>418</v>
      </c>
      <c r="DC23">
        <v>2</v>
      </c>
      <c r="DD23">
        <v>1674758886.5999999</v>
      </c>
      <c r="DE23">
        <v>7.7814899999999998</v>
      </c>
      <c r="DF23">
        <v>10.0068</v>
      </c>
      <c r="DG23">
        <v>25.040400000000002</v>
      </c>
      <c r="DH23">
        <v>16.776700000000002</v>
      </c>
      <c r="DI23">
        <v>8.0745299999999993</v>
      </c>
      <c r="DJ23">
        <v>24.793800000000001</v>
      </c>
      <c r="DK23">
        <v>500.09699999999998</v>
      </c>
      <c r="DL23">
        <v>99.139200000000002</v>
      </c>
      <c r="DM23">
        <v>9.99385E-2</v>
      </c>
      <c r="DN23">
        <v>27.988600000000002</v>
      </c>
      <c r="DO23">
        <v>27.321000000000002</v>
      </c>
      <c r="DP23">
        <v>999.9</v>
      </c>
      <c r="DQ23">
        <v>0</v>
      </c>
      <c r="DR23">
        <v>0</v>
      </c>
      <c r="DS23">
        <v>10005.6</v>
      </c>
      <c r="DT23">
        <v>0</v>
      </c>
      <c r="DU23">
        <v>447.02600000000001</v>
      </c>
      <c r="DV23">
        <v>-2.22533</v>
      </c>
      <c r="DW23">
        <v>7.9813499999999999</v>
      </c>
      <c r="DX23">
        <v>10.1776</v>
      </c>
      <c r="DY23">
        <v>8.2637300000000007</v>
      </c>
      <c r="DZ23">
        <v>10.0068</v>
      </c>
      <c r="EA23">
        <v>16.776700000000002</v>
      </c>
      <c r="EB23">
        <v>2.4824899999999999</v>
      </c>
      <c r="EC23">
        <v>1.66323</v>
      </c>
      <c r="ED23">
        <v>20.912199999999999</v>
      </c>
      <c r="EE23">
        <v>14.557499999999999</v>
      </c>
      <c r="EF23">
        <v>1799.94</v>
      </c>
      <c r="EG23">
        <v>0.97800299999999996</v>
      </c>
      <c r="EH23">
        <v>2.19969E-2</v>
      </c>
      <c r="EI23">
        <v>0</v>
      </c>
      <c r="EJ23">
        <v>843.73099999999999</v>
      </c>
      <c r="EK23">
        <v>5.0002599999999999</v>
      </c>
      <c r="EL23">
        <v>15427.1</v>
      </c>
      <c r="EM23">
        <v>17102.8</v>
      </c>
      <c r="EN23">
        <v>48.561999999999998</v>
      </c>
      <c r="EO23">
        <v>50.186999999999998</v>
      </c>
      <c r="EP23">
        <v>49.625</v>
      </c>
      <c r="EQ23">
        <v>49.186999999999998</v>
      </c>
      <c r="ER23">
        <v>49.936999999999998</v>
      </c>
      <c r="ES23">
        <v>1755.46</v>
      </c>
      <c r="ET23">
        <v>39.479999999999997</v>
      </c>
      <c r="EU23">
        <v>0</v>
      </c>
      <c r="EV23">
        <v>123.6000001430511</v>
      </c>
      <c r="EW23">
        <v>0</v>
      </c>
      <c r="EX23">
        <v>844.00008000000003</v>
      </c>
      <c r="EY23">
        <v>-0.79246154303186356</v>
      </c>
      <c r="EZ23">
        <v>-4.7692308389685101</v>
      </c>
      <c r="FA23">
        <v>15430.468000000001</v>
      </c>
      <c r="FB23">
        <v>15</v>
      </c>
      <c r="FC23">
        <v>1674758845.5999999</v>
      </c>
      <c r="FD23" t="s">
        <v>453</v>
      </c>
      <c r="FE23">
        <v>1674758823.5999999</v>
      </c>
      <c r="FF23">
        <v>1674758845.5999999</v>
      </c>
      <c r="FG23">
        <v>12</v>
      </c>
      <c r="FH23">
        <v>3.7999999999999999E-2</v>
      </c>
      <c r="FI23">
        <v>2E-3</v>
      </c>
      <c r="FJ23">
        <v>-0.29099999999999998</v>
      </c>
      <c r="FK23">
        <v>5.2999999999999999E-2</v>
      </c>
      <c r="FL23">
        <v>10</v>
      </c>
      <c r="FM23">
        <v>17</v>
      </c>
      <c r="FN23">
        <v>0.27</v>
      </c>
      <c r="FO23">
        <v>0.01</v>
      </c>
      <c r="FP23">
        <v>1.8221023270708041</v>
      </c>
      <c r="FQ23">
        <v>-0.48542183052817928</v>
      </c>
      <c r="FR23">
        <v>5.9120877498737408E-2</v>
      </c>
      <c r="FS23">
        <v>1</v>
      </c>
      <c r="FT23">
        <v>0.66055447309082582</v>
      </c>
      <c r="FU23">
        <v>-9.7481699789107971E-3</v>
      </c>
      <c r="FV23">
        <v>2.9218490094491622E-3</v>
      </c>
      <c r="FW23">
        <v>1</v>
      </c>
      <c r="FX23">
        <v>2</v>
      </c>
      <c r="FY23">
        <v>2</v>
      </c>
      <c r="FZ23" t="s">
        <v>420</v>
      </c>
      <c r="GA23">
        <v>2.9282599999999999</v>
      </c>
      <c r="GB23">
        <v>2.8069000000000002</v>
      </c>
      <c r="GC23">
        <v>2.28977E-3</v>
      </c>
      <c r="GD23">
        <v>2.8870200000000001E-3</v>
      </c>
      <c r="GE23">
        <v>0.11477900000000001</v>
      </c>
      <c r="GF23">
        <v>8.7943400000000005E-2</v>
      </c>
      <c r="GG23">
        <v>29621.4</v>
      </c>
      <c r="GH23">
        <v>30124.799999999999</v>
      </c>
      <c r="GI23">
        <v>28200.799999999999</v>
      </c>
      <c r="GJ23">
        <v>27224.9</v>
      </c>
      <c r="GK23">
        <v>35834.400000000001</v>
      </c>
      <c r="GL23">
        <v>32793.199999999997</v>
      </c>
      <c r="GM23">
        <v>41991.199999999997</v>
      </c>
      <c r="GN23">
        <v>36944.699999999997</v>
      </c>
      <c r="GO23">
        <v>1.9212199999999999</v>
      </c>
      <c r="GP23">
        <v>1.89975</v>
      </c>
      <c r="GQ23">
        <v>4.3943500000000003E-2</v>
      </c>
      <c r="GR23">
        <v>0</v>
      </c>
      <c r="GS23">
        <v>26.6023</v>
      </c>
      <c r="GT23">
        <v>999.9</v>
      </c>
      <c r="GU23">
        <v>39.4</v>
      </c>
      <c r="GV23">
        <v>34.700000000000003</v>
      </c>
      <c r="GW23">
        <v>22.078099999999999</v>
      </c>
      <c r="GX23">
        <v>61.8765</v>
      </c>
      <c r="GY23">
        <v>25.352599999999999</v>
      </c>
      <c r="GZ23">
        <v>1</v>
      </c>
      <c r="HA23">
        <v>0.41930400000000001</v>
      </c>
      <c r="HB23">
        <v>2.7518199999999999</v>
      </c>
      <c r="HC23">
        <v>20.3765</v>
      </c>
      <c r="HD23">
        <v>5.2367600000000003</v>
      </c>
      <c r="HE23">
        <v>11.9381</v>
      </c>
      <c r="HF23">
        <v>4.9737</v>
      </c>
      <c r="HG23">
        <v>3.2989999999999999</v>
      </c>
      <c r="HH23">
        <v>9999</v>
      </c>
      <c r="HI23">
        <v>9999</v>
      </c>
      <c r="HJ23">
        <v>9999</v>
      </c>
      <c r="HK23">
        <v>999.9</v>
      </c>
      <c r="HL23">
        <v>1.8730199999999999</v>
      </c>
      <c r="HM23">
        <v>1.8806700000000001</v>
      </c>
      <c r="HN23">
        <v>1.8843099999999999</v>
      </c>
      <c r="HO23">
        <v>1.8809899999999999</v>
      </c>
      <c r="HP23">
        <v>1.87835</v>
      </c>
      <c r="HQ23">
        <v>1.87304</v>
      </c>
      <c r="HR23">
        <v>1.87592</v>
      </c>
      <c r="HS23">
        <v>1.88019</v>
      </c>
      <c r="HT23">
        <v>5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423</v>
      </c>
      <c r="IB23" t="s">
        <v>423</v>
      </c>
      <c r="IC23" t="s">
        <v>423</v>
      </c>
      <c r="ID23">
        <v>0</v>
      </c>
      <c r="IE23">
        <v>100</v>
      </c>
      <c r="IF23">
        <v>100</v>
      </c>
      <c r="IG23">
        <v>-0.29299999999999998</v>
      </c>
      <c r="IH23">
        <v>0.24660000000000001</v>
      </c>
      <c r="II23">
        <v>-0.30057050333760399</v>
      </c>
      <c r="IJ23">
        <v>9.4905977090923709E-4</v>
      </c>
      <c r="IK23">
        <v>-1.9106666302146479E-6</v>
      </c>
      <c r="IL23">
        <v>7.5819610513223293E-10</v>
      </c>
      <c r="IM23">
        <v>-5.4983634719738911E-2</v>
      </c>
      <c r="IN23">
        <v>-1.0595840490420019E-2</v>
      </c>
      <c r="IO23">
        <v>1.2407080968752471E-3</v>
      </c>
      <c r="IP23">
        <v>-1.3015442653884381E-5</v>
      </c>
      <c r="IQ23">
        <v>33</v>
      </c>
      <c r="IR23">
        <v>2014</v>
      </c>
      <c r="IS23">
        <v>1</v>
      </c>
      <c r="IT23">
        <v>26</v>
      </c>
      <c r="IU23">
        <v>1.1000000000000001</v>
      </c>
      <c r="IV23">
        <v>0.7</v>
      </c>
      <c r="IW23">
        <v>0.169678</v>
      </c>
      <c r="IX23">
        <v>2.5988799999999999</v>
      </c>
      <c r="IY23">
        <v>1.5979000000000001</v>
      </c>
      <c r="IZ23">
        <v>2.2924799999999999</v>
      </c>
      <c r="JA23">
        <v>1.5490699999999999</v>
      </c>
      <c r="JB23">
        <v>2.33521</v>
      </c>
      <c r="JC23">
        <v>38.037700000000001</v>
      </c>
      <c r="JD23">
        <v>16.154599999999999</v>
      </c>
      <c r="JE23">
        <v>18</v>
      </c>
      <c r="JF23">
        <v>484.98500000000001</v>
      </c>
      <c r="JG23">
        <v>506.197</v>
      </c>
      <c r="JH23">
        <v>22.7822</v>
      </c>
      <c r="JI23">
        <v>32.508800000000001</v>
      </c>
      <c r="JJ23">
        <v>29.999099999999999</v>
      </c>
      <c r="JK23">
        <v>32.595700000000001</v>
      </c>
      <c r="JL23">
        <v>32.563899999999997</v>
      </c>
      <c r="JM23">
        <v>3.4406400000000001</v>
      </c>
      <c r="JN23">
        <v>23.400500000000001</v>
      </c>
      <c r="JO23">
        <v>19.5533</v>
      </c>
      <c r="JP23">
        <v>22.831299999999999</v>
      </c>
      <c r="JQ23">
        <v>10</v>
      </c>
      <c r="JR23">
        <v>16.7073</v>
      </c>
      <c r="JS23">
        <v>99.557500000000005</v>
      </c>
      <c r="JT23">
        <v>98.913600000000002</v>
      </c>
    </row>
    <row r="24" spans="1:280" x14ac:dyDescent="0.25">
      <c r="A24">
        <v>8</v>
      </c>
      <c r="B24">
        <v>1674759076.0999999</v>
      </c>
      <c r="C24">
        <v>996.59999990463257</v>
      </c>
      <c r="D24" t="s">
        <v>454</v>
      </c>
      <c r="E24" t="s">
        <v>455</v>
      </c>
      <c r="F24" t="s">
        <v>412</v>
      </c>
      <c r="G24" t="s">
        <v>413</v>
      </c>
      <c r="H24" t="s">
        <v>414</v>
      </c>
      <c r="I24">
        <v>1674759076.0999999</v>
      </c>
      <c r="J24">
        <f t="shared" si="0"/>
        <v>6.6576941906197088E-3</v>
      </c>
      <c r="K24">
        <f t="shared" si="1"/>
        <v>6.6576941906197087</v>
      </c>
      <c r="L24">
        <f t="shared" si="2"/>
        <v>36.694153162344158</v>
      </c>
      <c r="M24">
        <f t="shared" si="3"/>
        <v>353.08600000000001</v>
      </c>
      <c r="N24">
        <f t="shared" si="4"/>
        <v>240.9523605262855</v>
      </c>
      <c r="O24">
        <f t="shared" si="5"/>
        <v>23.913052213786987</v>
      </c>
      <c r="P24">
        <f t="shared" si="6"/>
        <v>35.041632028486006</v>
      </c>
      <c r="Q24">
        <f t="shared" si="7"/>
        <v>0.60603009063177993</v>
      </c>
      <c r="R24">
        <f t="shared" si="8"/>
        <v>2.9114195070307982</v>
      </c>
      <c r="S24">
        <f t="shared" si="9"/>
        <v>0.54368902716516787</v>
      </c>
      <c r="T24">
        <f t="shared" si="10"/>
        <v>0.34487078288714412</v>
      </c>
      <c r="U24">
        <f t="shared" si="11"/>
        <v>344.35549965782673</v>
      </c>
      <c r="V24">
        <f t="shared" si="12"/>
        <v>28.286318490415972</v>
      </c>
      <c r="W24">
        <f t="shared" si="13"/>
        <v>27.277200000000001</v>
      </c>
      <c r="X24">
        <f t="shared" si="14"/>
        <v>3.6378464367715946</v>
      </c>
      <c r="Y24">
        <f t="shared" si="15"/>
        <v>64.877032499101091</v>
      </c>
      <c r="Z24">
        <f t="shared" si="16"/>
        <v>2.4598990277464003</v>
      </c>
      <c r="AA24">
        <f t="shared" si="17"/>
        <v>3.791633083372739</v>
      </c>
      <c r="AB24">
        <f t="shared" si="18"/>
        <v>1.1779474090251942</v>
      </c>
      <c r="AC24">
        <f t="shared" si="19"/>
        <v>-293.60431380632917</v>
      </c>
      <c r="AD24">
        <f t="shared" si="20"/>
        <v>111.17508564637399</v>
      </c>
      <c r="AE24">
        <f t="shared" si="21"/>
        <v>8.2931075361470743</v>
      </c>
      <c r="AF24">
        <f t="shared" si="22"/>
        <v>170.21937903401863</v>
      </c>
      <c r="AG24">
        <v>0</v>
      </c>
      <c r="AH24">
        <v>0</v>
      </c>
      <c r="AI24">
        <f t="shared" si="23"/>
        <v>1</v>
      </c>
      <c r="AJ24">
        <f t="shared" si="24"/>
        <v>0</v>
      </c>
      <c r="AK24">
        <f t="shared" si="25"/>
        <v>52164.954144027171</v>
      </c>
      <c r="AL24" t="s">
        <v>415</v>
      </c>
      <c r="AM24">
        <v>10297.6</v>
      </c>
      <c r="AN24">
        <v>785.57400000000007</v>
      </c>
      <c r="AO24">
        <v>3597.65</v>
      </c>
      <c r="AP24">
        <f t="shared" si="26"/>
        <v>0.7816424610509638</v>
      </c>
      <c r="AQ24">
        <v>-0.62398835798131469</v>
      </c>
      <c r="AR24" t="s">
        <v>456</v>
      </c>
      <c r="AS24">
        <v>10230</v>
      </c>
      <c r="AT24">
        <v>745.27096153846162</v>
      </c>
      <c r="AU24">
        <v>961.85382571451157</v>
      </c>
      <c r="AV24">
        <f t="shared" si="27"/>
        <v>0.2251723270063013</v>
      </c>
      <c r="AW24">
        <v>0.5</v>
      </c>
      <c r="AX24">
        <f t="shared" si="28"/>
        <v>1513.1255998289134</v>
      </c>
      <c r="AY24">
        <f t="shared" si="29"/>
        <v>36.694153162344158</v>
      </c>
      <c r="AZ24">
        <f t="shared" si="30"/>
        <v>170.35700618314095</v>
      </c>
      <c r="BA24">
        <f t="shared" si="31"/>
        <v>2.466295033574541E-2</v>
      </c>
      <c r="BB24">
        <f t="shared" si="32"/>
        <v>2.7403292515133386</v>
      </c>
      <c r="BC24">
        <f t="shared" si="33"/>
        <v>491.48397278190185</v>
      </c>
      <c r="BD24" t="s">
        <v>457</v>
      </c>
      <c r="BE24">
        <v>560.47</v>
      </c>
      <c r="BF24">
        <f t="shared" si="34"/>
        <v>560.47</v>
      </c>
      <c r="BG24">
        <f t="shared" si="35"/>
        <v>0.41730231245516358</v>
      </c>
      <c r="BH24">
        <f t="shared" si="36"/>
        <v>0.53959041271906349</v>
      </c>
      <c r="BI24">
        <f t="shared" si="37"/>
        <v>0.86784325403350748</v>
      </c>
      <c r="BJ24">
        <f t="shared" si="38"/>
        <v>1.2286310319299383</v>
      </c>
      <c r="BK24">
        <f t="shared" si="39"/>
        <v>0.93731327826327904</v>
      </c>
      <c r="BL24">
        <f t="shared" si="40"/>
        <v>0.40579098639823519</v>
      </c>
      <c r="BM24">
        <f t="shared" si="41"/>
        <v>0.59420901360176481</v>
      </c>
      <c r="BN24">
        <v>239</v>
      </c>
      <c r="BO24">
        <v>290.00000000000011</v>
      </c>
      <c r="BP24">
        <v>907.09</v>
      </c>
      <c r="BQ24">
        <v>265</v>
      </c>
      <c r="BR24">
        <v>10230</v>
      </c>
      <c r="BS24">
        <v>908.19</v>
      </c>
      <c r="BT24">
        <v>-1.1000000000000001</v>
      </c>
      <c r="BU24">
        <v>300.00000000000011</v>
      </c>
      <c r="BV24">
        <v>24.1</v>
      </c>
      <c r="BW24">
        <v>961.85382571451157</v>
      </c>
      <c r="BX24">
        <v>2.4946477852342501</v>
      </c>
      <c r="BY24">
        <v>-54.896127175088047</v>
      </c>
      <c r="BZ24">
        <v>2.2732446671836581</v>
      </c>
      <c r="CA24">
        <v>0.95418581797860635</v>
      </c>
      <c r="CB24">
        <v>-6.9733441601779831E-3</v>
      </c>
      <c r="CC24">
        <v>289.99999999999989</v>
      </c>
      <c r="CD24">
        <v>905.95</v>
      </c>
      <c r="CE24">
        <v>625</v>
      </c>
      <c r="CF24">
        <v>10214.9</v>
      </c>
      <c r="CG24">
        <v>908.11</v>
      </c>
      <c r="CH24">
        <v>-2.16</v>
      </c>
      <c r="CV24">
        <f t="shared" si="42"/>
        <v>1799.93</v>
      </c>
      <c r="CW24">
        <f t="shared" si="43"/>
        <v>1513.1255998289134</v>
      </c>
      <c r="CX24">
        <f t="shared" si="44"/>
        <v>0.84065802549483226</v>
      </c>
      <c r="CY24">
        <f t="shared" si="45"/>
        <v>0.19131605098966445</v>
      </c>
      <c r="CZ24">
        <v>6</v>
      </c>
      <c r="DA24">
        <v>0.5</v>
      </c>
      <c r="DB24" t="s">
        <v>418</v>
      </c>
      <c r="DC24">
        <v>2</v>
      </c>
      <c r="DD24">
        <v>1674759076.0999999</v>
      </c>
      <c r="DE24">
        <v>353.08600000000001</v>
      </c>
      <c r="DF24">
        <v>399.93200000000002</v>
      </c>
      <c r="DG24">
        <v>24.7864</v>
      </c>
      <c r="DH24">
        <v>16.996500000000001</v>
      </c>
      <c r="DI24">
        <v>353.28</v>
      </c>
      <c r="DJ24">
        <v>24.5473</v>
      </c>
      <c r="DK24">
        <v>500.084</v>
      </c>
      <c r="DL24">
        <v>99.143600000000006</v>
      </c>
      <c r="DM24">
        <v>0.100301</v>
      </c>
      <c r="DN24">
        <v>27.985499999999998</v>
      </c>
      <c r="DO24">
        <v>27.277200000000001</v>
      </c>
      <c r="DP24">
        <v>999.9</v>
      </c>
      <c r="DQ24">
        <v>0</v>
      </c>
      <c r="DR24">
        <v>0</v>
      </c>
      <c r="DS24">
        <v>9982.5</v>
      </c>
      <c r="DT24">
        <v>0</v>
      </c>
      <c r="DU24">
        <v>447.29300000000001</v>
      </c>
      <c r="DV24">
        <v>-46.845700000000001</v>
      </c>
      <c r="DW24">
        <v>362.06</v>
      </c>
      <c r="DX24">
        <v>406.84699999999998</v>
      </c>
      <c r="DY24">
        <v>7.7898899999999998</v>
      </c>
      <c r="DZ24">
        <v>399.93200000000002</v>
      </c>
      <c r="EA24">
        <v>16.996500000000001</v>
      </c>
      <c r="EB24">
        <v>2.4574099999999999</v>
      </c>
      <c r="EC24">
        <v>1.68509</v>
      </c>
      <c r="ED24">
        <v>20.7471</v>
      </c>
      <c r="EE24">
        <v>14.7598</v>
      </c>
      <c r="EF24">
        <v>1799.93</v>
      </c>
      <c r="EG24">
        <v>0.97800299999999996</v>
      </c>
      <c r="EH24">
        <v>2.19969E-2</v>
      </c>
      <c r="EI24">
        <v>0</v>
      </c>
      <c r="EJ24">
        <v>743.56100000000004</v>
      </c>
      <c r="EK24">
        <v>5.0002599999999999</v>
      </c>
      <c r="EL24">
        <v>13696.7</v>
      </c>
      <c r="EM24">
        <v>17102.7</v>
      </c>
      <c r="EN24">
        <v>48.686999999999998</v>
      </c>
      <c r="EO24">
        <v>50.186999999999998</v>
      </c>
      <c r="EP24">
        <v>49.686999999999998</v>
      </c>
      <c r="EQ24">
        <v>49.125</v>
      </c>
      <c r="ER24">
        <v>49.936999999999998</v>
      </c>
      <c r="ES24">
        <v>1755.45</v>
      </c>
      <c r="ET24">
        <v>39.479999999999997</v>
      </c>
      <c r="EU24">
        <v>0</v>
      </c>
      <c r="EV24">
        <v>187.4000000953674</v>
      </c>
      <c r="EW24">
        <v>0</v>
      </c>
      <c r="EX24">
        <v>745.27096153846162</v>
      </c>
      <c r="EY24">
        <v>-13.54246156122781</v>
      </c>
      <c r="EZ24">
        <v>-199.61367544146771</v>
      </c>
      <c r="FA24">
        <v>13721.711538461541</v>
      </c>
      <c r="FB24">
        <v>15</v>
      </c>
      <c r="FC24">
        <v>1674758966.0999999</v>
      </c>
      <c r="FD24" t="s">
        <v>458</v>
      </c>
      <c r="FE24">
        <v>1674758961.0999999</v>
      </c>
      <c r="FF24">
        <v>1674758966.0999999</v>
      </c>
      <c r="FG24">
        <v>13</v>
      </c>
      <c r="FH24">
        <v>-2.4E-2</v>
      </c>
      <c r="FI24">
        <v>-1E-3</v>
      </c>
      <c r="FJ24">
        <v>-0.20200000000000001</v>
      </c>
      <c r="FK24">
        <v>4.9000000000000002E-2</v>
      </c>
      <c r="FL24">
        <v>400</v>
      </c>
      <c r="FM24">
        <v>17</v>
      </c>
      <c r="FN24">
        <v>0.03</v>
      </c>
      <c r="FO24">
        <v>0.01</v>
      </c>
      <c r="FP24">
        <v>35.485866029036927</v>
      </c>
      <c r="FQ24">
        <v>6.481338824455869</v>
      </c>
      <c r="FR24">
        <v>0.63948528523504466</v>
      </c>
      <c r="FS24">
        <v>0</v>
      </c>
      <c r="FT24">
        <v>0.61065143367693286</v>
      </c>
      <c r="FU24">
        <v>-3.7019103798948502E-2</v>
      </c>
      <c r="FV24">
        <v>4.2445004248590611E-3</v>
      </c>
      <c r="FW24">
        <v>1</v>
      </c>
      <c r="FX24">
        <v>1</v>
      </c>
      <c r="FY24">
        <v>2</v>
      </c>
      <c r="FZ24" t="s">
        <v>459</v>
      </c>
      <c r="GA24">
        <v>2.92821</v>
      </c>
      <c r="GB24">
        <v>2.8070499999999998</v>
      </c>
      <c r="GC24">
        <v>8.8380899999999998E-2</v>
      </c>
      <c r="GD24">
        <v>9.8635899999999999E-2</v>
      </c>
      <c r="GE24">
        <v>0.113986</v>
      </c>
      <c r="GF24">
        <v>8.8775400000000004E-2</v>
      </c>
      <c r="GG24">
        <v>27063.7</v>
      </c>
      <c r="GH24">
        <v>27231.9</v>
      </c>
      <c r="GI24">
        <v>28200.1</v>
      </c>
      <c r="GJ24">
        <v>27225.7</v>
      </c>
      <c r="GK24">
        <v>35866.6</v>
      </c>
      <c r="GL24">
        <v>32764.9</v>
      </c>
      <c r="GM24">
        <v>41990.400000000001</v>
      </c>
      <c r="GN24">
        <v>36945.800000000003</v>
      </c>
      <c r="GO24">
        <v>1.9211</v>
      </c>
      <c r="GP24">
        <v>1.9012</v>
      </c>
      <c r="GQ24">
        <v>4.4323500000000002E-2</v>
      </c>
      <c r="GR24">
        <v>0</v>
      </c>
      <c r="GS24">
        <v>26.552299999999999</v>
      </c>
      <c r="GT24">
        <v>999.9</v>
      </c>
      <c r="GU24">
        <v>38.700000000000003</v>
      </c>
      <c r="GV24">
        <v>34.799999999999997</v>
      </c>
      <c r="GW24">
        <v>21.806100000000001</v>
      </c>
      <c r="GX24">
        <v>62.226500000000001</v>
      </c>
      <c r="GY24">
        <v>25.8734</v>
      </c>
      <c r="GZ24">
        <v>1</v>
      </c>
      <c r="HA24">
        <v>0.42025899999999999</v>
      </c>
      <c r="HB24">
        <v>2.8693499999999998</v>
      </c>
      <c r="HC24">
        <v>20.374199999999998</v>
      </c>
      <c r="HD24">
        <v>5.2408000000000001</v>
      </c>
      <c r="HE24">
        <v>11.9381</v>
      </c>
      <c r="HF24">
        <v>4.9737</v>
      </c>
      <c r="HG24">
        <v>3.2989999999999999</v>
      </c>
      <c r="HH24">
        <v>9999</v>
      </c>
      <c r="HI24">
        <v>9999</v>
      </c>
      <c r="HJ24">
        <v>9999</v>
      </c>
      <c r="HK24">
        <v>999.9</v>
      </c>
      <c r="HL24">
        <v>1.8730199999999999</v>
      </c>
      <c r="HM24">
        <v>1.8807100000000001</v>
      </c>
      <c r="HN24">
        <v>1.8843099999999999</v>
      </c>
      <c r="HO24">
        <v>1.8809899999999999</v>
      </c>
      <c r="HP24">
        <v>1.87836</v>
      </c>
      <c r="HQ24">
        <v>1.8730500000000001</v>
      </c>
      <c r="HR24">
        <v>1.87592</v>
      </c>
      <c r="HS24">
        <v>1.88018</v>
      </c>
      <c r="HT24">
        <v>5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423</v>
      </c>
      <c r="IB24" t="s">
        <v>423</v>
      </c>
      <c r="IC24" t="s">
        <v>423</v>
      </c>
      <c r="ID24">
        <v>0</v>
      </c>
      <c r="IE24">
        <v>100</v>
      </c>
      <c r="IF24">
        <v>100</v>
      </c>
      <c r="IG24">
        <v>-0.19400000000000001</v>
      </c>
      <c r="IH24">
        <v>0.23910000000000001</v>
      </c>
      <c r="II24">
        <v>-0.3242585158654665</v>
      </c>
      <c r="IJ24">
        <v>9.4905977090923709E-4</v>
      </c>
      <c r="IK24">
        <v>-1.9106666302146479E-6</v>
      </c>
      <c r="IL24">
        <v>7.5819610513223293E-10</v>
      </c>
      <c r="IM24">
        <v>-5.5901153841802838E-2</v>
      </c>
      <c r="IN24">
        <v>-1.0595840490420019E-2</v>
      </c>
      <c r="IO24">
        <v>1.2407080968752471E-3</v>
      </c>
      <c r="IP24">
        <v>-1.3015442653884381E-5</v>
      </c>
      <c r="IQ24">
        <v>33</v>
      </c>
      <c r="IR24">
        <v>2014</v>
      </c>
      <c r="IS24">
        <v>1</v>
      </c>
      <c r="IT24">
        <v>26</v>
      </c>
      <c r="IU24">
        <v>1.9</v>
      </c>
      <c r="IV24">
        <v>1.8</v>
      </c>
      <c r="IW24">
        <v>1.02295</v>
      </c>
      <c r="IX24">
        <v>2.5293000000000001</v>
      </c>
      <c r="IY24">
        <v>1.5991200000000001</v>
      </c>
      <c r="IZ24">
        <v>2.2924799999999999</v>
      </c>
      <c r="JA24">
        <v>1.5502899999999999</v>
      </c>
      <c r="JB24">
        <v>2.32056</v>
      </c>
      <c r="JC24">
        <v>38.037700000000001</v>
      </c>
      <c r="JD24">
        <v>16.145900000000001</v>
      </c>
      <c r="JE24">
        <v>18</v>
      </c>
      <c r="JF24">
        <v>484.88299999999998</v>
      </c>
      <c r="JG24">
        <v>507.20800000000003</v>
      </c>
      <c r="JH24">
        <v>22.9148</v>
      </c>
      <c r="JI24">
        <v>32.519399999999997</v>
      </c>
      <c r="JJ24">
        <v>29.9999</v>
      </c>
      <c r="JK24">
        <v>32.592799999999997</v>
      </c>
      <c r="JL24">
        <v>32.561</v>
      </c>
      <c r="JM24">
        <v>20.540199999999999</v>
      </c>
      <c r="JN24">
        <v>20.239999999999998</v>
      </c>
      <c r="JO24">
        <v>18.1449</v>
      </c>
      <c r="JP24">
        <v>22.922699999999999</v>
      </c>
      <c r="JQ24">
        <v>400</v>
      </c>
      <c r="JR24">
        <v>17.070900000000002</v>
      </c>
      <c r="JS24">
        <v>99.555400000000006</v>
      </c>
      <c r="JT24">
        <v>98.916499999999999</v>
      </c>
    </row>
    <row r="25" spans="1:280" x14ac:dyDescent="0.25">
      <c r="A25">
        <v>9</v>
      </c>
      <c r="B25">
        <v>1674759265.5999999</v>
      </c>
      <c r="C25">
        <v>1186.099999904633</v>
      </c>
      <c r="D25" t="s">
        <v>460</v>
      </c>
      <c r="E25" t="s">
        <v>461</v>
      </c>
      <c r="F25" t="s">
        <v>412</v>
      </c>
      <c r="G25" t="s">
        <v>413</v>
      </c>
      <c r="H25" t="s">
        <v>414</v>
      </c>
      <c r="I25">
        <v>1674759265.5999999</v>
      </c>
      <c r="J25">
        <f t="shared" si="0"/>
        <v>6.3070799111310076E-3</v>
      </c>
      <c r="K25">
        <f t="shared" si="1"/>
        <v>6.3070799111310079</v>
      </c>
      <c r="L25">
        <f t="shared" si="2"/>
        <v>47.928033204005693</v>
      </c>
      <c r="M25">
        <f t="shared" si="3"/>
        <v>339.89</v>
      </c>
      <c r="N25">
        <f t="shared" si="4"/>
        <v>187.50723489299216</v>
      </c>
      <c r="O25">
        <f t="shared" si="5"/>
        <v>18.609582293421624</v>
      </c>
      <c r="P25">
        <f t="shared" si="6"/>
        <v>33.733156639640001</v>
      </c>
      <c r="Q25">
        <f t="shared" si="7"/>
        <v>0.56873381243589616</v>
      </c>
      <c r="R25">
        <f t="shared" si="8"/>
        <v>2.912575639225218</v>
      </c>
      <c r="S25">
        <f t="shared" si="9"/>
        <v>0.5134755649991658</v>
      </c>
      <c r="T25">
        <f t="shared" si="10"/>
        <v>0.32543838813970233</v>
      </c>
      <c r="U25">
        <f t="shared" si="11"/>
        <v>344.37071281783818</v>
      </c>
      <c r="V25">
        <f t="shared" si="12"/>
        <v>28.388409574114391</v>
      </c>
      <c r="W25">
        <f t="shared" si="13"/>
        <v>27.3063</v>
      </c>
      <c r="X25">
        <f t="shared" si="14"/>
        <v>3.644055711541935</v>
      </c>
      <c r="Y25">
        <f t="shared" si="15"/>
        <v>64.905717793564605</v>
      </c>
      <c r="Z25">
        <f t="shared" si="16"/>
        <v>2.4624936379292</v>
      </c>
      <c r="AA25">
        <f t="shared" si="17"/>
        <v>3.7939548650571373</v>
      </c>
      <c r="AB25">
        <f t="shared" si="18"/>
        <v>1.181562073612735</v>
      </c>
      <c r="AC25">
        <f t="shared" si="19"/>
        <v>-278.14222408087744</v>
      </c>
      <c r="AD25">
        <f t="shared" si="20"/>
        <v>108.29860989135905</v>
      </c>
      <c r="AE25">
        <f t="shared" si="21"/>
        <v>8.0769251207296602</v>
      </c>
      <c r="AF25">
        <f t="shared" si="22"/>
        <v>182.60402374904942</v>
      </c>
      <c r="AG25">
        <v>0</v>
      </c>
      <c r="AH25">
        <v>0</v>
      </c>
      <c r="AI25">
        <f t="shared" si="23"/>
        <v>1</v>
      </c>
      <c r="AJ25">
        <f t="shared" si="24"/>
        <v>0</v>
      </c>
      <c r="AK25">
        <f t="shared" si="25"/>
        <v>52196.312161044145</v>
      </c>
      <c r="AL25" t="s">
        <v>415</v>
      </c>
      <c r="AM25">
        <v>10297.6</v>
      </c>
      <c r="AN25">
        <v>785.57400000000007</v>
      </c>
      <c r="AO25">
        <v>3597.65</v>
      </c>
      <c r="AP25">
        <f t="shared" si="26"/>
        <v>0.7816424610509638</v>
      </c>
      <c r="AQ25">
        <v>-0.62398835798131469</v>
      </c>
      <c r="AR25" t="s">
        <v>462</v>
      </c>
      <c r="AS25">
        <v>10234.6</v>
      </c>
      <c r="AT25">
        <v>735.12723076923078</v>
      </c>
      <c r="AU25">
        <v>1039.0872786642319</v>
      </c>
      <c r="AV25">
        <f t="shared" si="27"/>
        <v>0.2925260025180445</v>
      </c>
      <c r="AW25">
        <v>0.5</v>
      </c>
      <c r="AX25">
        <f t="shared" si="28"/>
        <v>1513.1928064089191</v>
      </c>
      <c r="AY25">
        <f t="shared" si="29"/>
        <v>47.928033204005693</v>
      </c>
      <c r="AZ25">
        <f t="shared" si="30"/>
        <v>221.32412134893116</v>
      </c>
      <c r="BA25">
        <f t="shared" si="31"/>
        <v>3.2085813094241286E-2</v>
      </c>
      <c r="BB25">
        <f t="shared" si="32"/>
        <v>2.4623174336470113</v>
      </c>
      <c r="BC25">
        <f t="shared" si="33"/>
        <v>510.88742104381845</v>
      </c>
      <c r="BD25" t="s">
        <v>463</v>
      </c>
      <c r="BE25">
        <v>564.29</v>
      </c>
      <c r="BF25">
        <f t="shared" si="34"/>
        <v>564.29</v>
      </c>
      <c r="BG25">
        <f t="shared" si="35"/>
        <v>0.45693686027471492</v>
      </c>
      <c r="BH25">
        <f t="shared" si="36"/>
        <v>0.64018911134062373</v>
      </c>
      <c r="BI25">
        <f t="shared" si="37"/>
        <v>0.84347480066189584</v>
      </c>
      <c r="BJ25">
        <f t="shared" si="38"/>
        <v>1.1989906386623006</v>
      </c>
      <c r="BK25">
        <f t="shared" si="39"/>
        <v>0.90984835450242751</v>
      </c>
      <c r="BL25">
        <f t="shared" si="40"/>
        <v>0.49141468104832581</v>
      </c>
      <c r="BM25">
        <f t="shared" si="41"/>
        <v>0.50858531895167425</v>
      </c>
      <c r="BN25">
        <v>241</v>
      </c>
      <c r="BO25">
        <v>290.00000000000011</v>
      </c>
      <c r="BP25">
        <v>964.89</v>
      </c>
      <c r="BQ25">
        <v>235</v>
      </c>
      <c r="BR25">
        <v>10234.6</v>
      </c>
      <c r="BS25">
        <v>965.93</v>
      </c>
      <c r="BT25">
        <v>-1.04</v>
      </c>
      <c r="BU25">
        <v>300.00000000000011</v>
      </c>
      <c r="BV25">
        <v>24.1</v>
      </c>
      <c r="BW25">
        <v>1039.0872786642319</v>
      </c>
      <c r="BX25">
        <v>2.408734565399806</v>
      </c>
      <c r="BY25">
        <v>-74.878380576564197</v>
      </c>
      <c r="BZ25">
        <v>2.1951689962527818</v>
      </c>
      <c r="CA25">
        <v>0.97650076875235414</v>
      </c>
      <c r="CB25">
        <v>-6.9740002224694111E-3</v>
      </c>
      <c r="CC25">
        <v>289.99999999999989</v>
      </c>
      <c r="CD25">
        <v>964.35</v>
      </c>
      <c r="CE25">
        <v>625</v>
      </c>
      <c r="CF25">
        <v>10215.9</v>
      </c>
      <c r="CG25">
        <v>965.79</v>
      </c>
      <c r="CH25">
        <v>-1.44</v>
      </c>
      <c r="CV25">
        <f t="shared" si="42"/>
        <v>1800.01</v>
      </c>
      <c r="CW25">
        <f t="shared" si="43"/>
        <v>1513.1928064089191</v>
      </c>
      <c r="CX25">
        <f t="shared" si="44"/>
        <v>0.8406579999049556</v>
      </c>
      <c r="CY25">
        <f t="shared" si="45"/>
        <v>0.19131599980991115</v>
      </c>
      <c r="CZ25">
        <v>6</v>
      </c>
      <c r="DA25">
        <v>0.5</v>
      </c>
      <c r="DB25" t="s">
        <v>418</v>
      </c>
      <c r="DC25">
        <v>2</v>
      </c>
      <c r="DD25">
        <v>1674759265.5999999</v>
      </c>
      <c r="DE25">
        <v>339.89</v>
      </c>
      <c r="DF25">
        <v>399.96300000000002</v>
      </c>
      <c r="DG25">
        <v>24.811699999999998</v>
      </c>
      <c r="DH25">
        <v>17.432600000000001</v>
      </c>
      <c r="DI25">
        <v>340.16</v>
      </c>
      <c r="DJ25">
        <v>24.569299999999998</v>
      </c>
      <c r="DK25">
        <v>500.10899999999998</v>
      </c>
      <c r="DL25">
        <v>99.147099999999995</v>
      </c>
      <c r="DM25">
        <v>0.100176</v>
      </c>
      <c r="DN25">
        <v>27.995999999999999</v>
      </c>
      <c r="DO25">
        <v>27.3063</v>
      </c>
      <c r="DP25">
        <v>999.9</v>
      </c>
      <c r="DQ25">
        <v>0</v>
      </c>
      <c r="DR25">
        <v>0</v>
      </c>
      <c r="DS25">
        <v>9988.75</v>
      </c>
      <c r="DT25">
        <v>0</v>
      </c>
      <c r="DU25">
        <v>490.51600000000002</v>
      </c>
      <c r="DV25">
        <v>-60.072699999999998</v>
      </c>
      <c r="DW25">
        <v>348.53800000000001</v>
      </c>
      <c r="DX25">
        <v>407.05900000000003</v>
      </c>
      <c r="DY25">
        <v>7.3790899999999997</v>
      </c>
      <c r="DZ25">
        <v>399.96300000000002</v>
      </c>
      <c r="EA25">
        <v>17.432600000000001</v>
      </c>
      <c r="EB25">
        <v>2.46001</v>
      </c>
      <c r="EC25">
        <v>1.7283900000000001</v>
      </c>
      <c r="ED25">
        <v>20.764299999999999</v>
      </c>
      <c r="EE25">
        <v>15.1538</v>
      </c>
      <c r="EF25">
        <v>1800.01</v>
      </c>
      <c r="EG25">
        <v>0.97800299999999996</v>
      </c>
      <c r="EH25">
        <v>2.19969E-2</v>
      </c>
      <c r="EI25">
        <v>0</v>
      </c>
      <c r="EJ25">
        <v>735.82799999999997</v>
      </c>
      <c r="EK25">
        <v>5.0002599999999999</v>
      </c>
      <c r="EL25">
        <v>13633.4</v>
      </c>
      <c r="EM25">
        <v>17103.5</v>
      </c>
      <c r="EN25">
        <v>48.5</v>
      </c>
      <c r="EO25">
        <v>50.061999999999998</v>
      </c>
      <c r="EP25">
        <v>49.625</v>
      </c>
      <c r="EQ25">
        <v>49.061999999999998</v>
      </c>
      <c r="ER25">
        <v>49.875</v>
      </c>
      <c r="ES25">
        <v>1755.52</v>
      </c>
      <c r="ET25">
        <v>39.479999999999997</v>
      </c>
      <c r="EU25">
        <v>0</v>
      </c>
      <c r="EV25">
        <v>187.4000000953674</v>
      </c>
      <c r="EW25">
        <v>0</v>
      </c>
      <c r="EX25">
        <v>735.12723076923078</v>
      </c>
      <c r="EY25">
        <v>3.5757264968939309</v>
      </c>
      <c r="EZ25">
        <v>89.425641086372337</v>
      </c>
      <c r="FA25">
        <v>13622.48076923077</v>
      </c>
      <c r="FB25">
        <v>15</v>
      </c>
      <c r="FC25">
        <v>1674759149.5999999</v>
      </c>
      <c r="FD25" t="s">
        <v>464</v>
      </c>
      <c r="FE25">
        <v>1674759144.5999999</v>
      </c>
      <c r="FF25">
        <v>1674759149.5999999</v>
      </c>
      <c r="FG25">
        <v>14</v>
      </c>
      <c r="FH25">
        <v>-7.6999999999999999E-2</v>
      </c>
      <c r="FI25">
        <v>3.0000000000000001E-3</v>
      </c>
      <c r="FJ25">
        <v>-0.27900000000000003</v>
      </c>
      <c r="FK25">
        <v>0.06</v>
      </c>
      <c r="FL25">
        <v>400</v>
      </c>
      <c r="FM25">
        <v>17</v>
      </c>
      <c r="FN25">
        <v>0.03</v>
      </c>
      <c r="FO25">
        <v>0.01</v>
      </c>
      <c r="FP25">
        <v>47.720881675631112</v>
      </c>
      <c r="FQ25">
        <v>1.680946028319912</v>
      </c>
      <c r="FR25">
        <v>0.16401662648953191</v>
      </c>
      <c r="FS25">
        <v>0</v>
      </c>
      <c r="FT25">
        <v>0.57018011067089036</v>
      </c>
      <c r="FU25">
        <v>-1.677394092072294E-2</v>
      </c>
      <c r="FV25">
        <v>1.714223564565237E-3</v>
      </c>
      <c r="FW25">
        <v>1</v>
      </c>
      <c r="FX25">
        <v>1</v>
      </c>
      <c r="FY25">
        <v>2</v>
      </c>
      <c r="FZ25" t="s">
        <v>459</v>
      </c>
      <c r="GA25">
        <v>2.9283899999999998</v>
      </c>
      <c r="GB25">
        <v>2.8069799999999998</v>
      </c>
      <c r="GC25">
        <v>8.5756799999999994E-2</v>
      </c>
      <c r="GD25">
        <v>9.8659300000000005E-2</v>
      </c>
      <c r="GE25">
        <v>0.11407299999999999</v>
      </c>
      <c r="GF25">
        <v>9.04171E-2</v>
      </c>
      <c r="GG25">
        <v>27145.3</v>
      </c>
      <c r="GH25">
        <v>27235.5</v>
      </c>
      <c r="GI25">
        <v>28203.5</v>
      </c>
      <c r="GJ25">
        <v>27229.7</v>
      </c>
      <c r="GK25">
        <v>35867.1</v>
      </c>
      <c r="GL25">
        <v>32710.5</v>
      </c>
      <c r="GM25">
        <v>41995.199999999997</v>
      </c>
      <c r="GN25">
        <v>36951</v>
      </c>
      <c r="GO25">
        <v>1.9213800000000001</v>
      </c>
      <c r="GP25">
        <v>1.9029499999999999</v>
      </c>
      <c r="GQ25">
        <v>5.05894E-2</v>
      </c>
      <c r="GR25">
        <v>0</v>
      </c>
      <c r="GS25">
        <v>26.478899999999999</v>
      </c>
      <c r="GT25">
        <v>999.9</v>
      </c>
      <c r="GU25">
        <v>38.299999999999997</v>
      </c>
      <c r="GV25">
        <v>34.799999999999997</v>
      </c>
      <c r="GW25">
        <v>21.5806</v>
      </c>
      <c r="GX25">
        <v>62.2866</v>
      </c>
      <c r="GY25">
        <v>25.673100000000002</v>
      </c>
      <c r="GZ25">
        <v>1</v>
      </c>
      <c r="HA25">
        <v>0.41472599999999998</v>
      </c>
      <c r="HB25">
        <v>2.8371900000000001</v>
      </c>
      <c r="HC25">
        <v>20.374600000000001</v>
      </c>
      <c r="HD25">
        <v>5.2400500000000001</v>
      </c>
      <c r="HE25">
        <v>11.9381</v>
      </c>
      <c r="HF25">
        <v>4.9737</v>
      </c>
      <c r="HG25">
        <v>3.2989999999999999</v>
      </c>
      <c r="HH25">
        <v>9999</v>
      </c>
      <c r="HI25">
        <v>9999</v>
      </c>
      <c r="HJ25">
        <v>9999</v>
      </c>
      <c r="HK25">
        <v>999.9</v>
      </c>
      <c r="HL25">
        <v>1.8730199999999999</v>
      </c>
      <c r="HM25">
        <v>1.88066</v>
      </c>
      <c r="HN25">
        <v>1.8843099999999999</v>
      </c>
      <c r="HO25">
        <v>1.881</v>
      </c>
      <c r="HP25">
        <v>1.87836</v>
      </c>
      <c r="HQ25">
        <v>1.87304</v>
      </c>
      <c r="HR25">
        <v>1.87592</v>
      </c>
      <c r="HS25">
        <v>1.88018</v>
      </c>
      <c r="HT25">
        <v>5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423</v>
      </c>
      <c r="IB25" t="s">
        <v>423</v>
      </c>
      <c r="IC25" t="s">
        <v>423</v>
      </c>
      <c r="ID25">
        <v>0</v>
      </c>
      <c r="IE25">
        <v>100</v>
      </c>
      <c r="IF25">
        <v>100</v>
      </c>
      <c r="IG25">
        <v>-0.27</v>
      </c>
      <c r="IH25">
        <v>0.2424</v>
      </c>
      <c r="II25">
        <v>-0.40176054910154668</v>
      </c>
      <c r="IJ25">
        <v>9.4905977090923709E-4</v>
      </c>
      <c r="IK25">
        <v>-1.9106666302146479E-6</v>
      </c>
      <c r="IL25">
        <v>7.5819610513223293E-10</v>
      </c>
      <c r="IM25">
        <v>-5.3169063688067737E-2</v>
      </c>
      <c r="IN25">
        <v>-1.0595840490420019E-2</v>
      </c>
      <c r="IO25">
        <v>1.2407080968752471E-3</v>
      </c>
      <c r="IP25">
        <v>-1.3015442653884381E-5</v>
      </c>
      <c r="IQ25">
        <v>33</v>
      </c>
      <c r="IR25">
        <v>2014</v>
      </c>
      <c r="IS25">
        <v>1</v>
      </c>
      <c r="IT25">
        <v>26</v>
      </c>
      <c r="IU25">
        <v>2</v>
      </c>
      <c r="IV25">
        <v>1.9</v>
      </c>
      <c r="IW25">
        <v>1.02417</v>
      </c>
      <c r="IX25">
        <v>2.52319</v>
      </c>
      <c r="IY25">
        <v>1.5991200000000001</v>
      </c>
      <c r="IZ25">
        <v>2.2936999999999999</v>
      </c>
      <c r="JA25">
        <v>1.5502899999999999</v>
      </c>
      <c r="JB25">
        <v>2.3767100000000001</v>
      </c>
      <c r="JC25">
        <v>37.989100000000001</v>
      </c>
      <c r="JD25">
        <v>16.128399999999999</v>
      </c>
      <c r="JE25">
        <v>18</v>
      </c>
      <c r="JF25">
        <v>484.69799999999998</v>
      </c>
      <c r="JG25">
        <v>508.11900000000003</v>
      </c>
      <c r="JH25">
        <v>22.955300000000001</v>
      </c>
      <c r="JI25">
        <v>32.456400000000002</v>
      </c>
      <c r="JJ25">
        <v>29.9999</v>
      </c>
      <c r="JK25">
        <v>32.546599999999998</v>
      </c>
      <c r="JL25">
        <v>32.520499999999998</v>
      </c>
      <c r="JM25">
        <v>20.5595</v>
      </c>
      <c r="JN25">
        <v>17.0288</v>
      </c>
      <c r="JO25">
        <v>17.651900000000001</v>
      </c>
      <c r="JP25">
        <v>22.958200000000001</v>
      </c>
      <c r="JQ25">
        <v>400</v>
      </c>
      <c r="JR25">
        <v>17.471299999999999</v>
      </c>
      <c r="JS25">
        <v>99.566900000000004</v>
      </c>
      <c r="JT25">
        <v>98.930700000000002</v>
      </c>
    </row>
    <row r="26" spans="1:280" x14ac:dyDescent="0.25">
      <c r="A26">
        <v>10</v>
      </c>
      <c r="B26">
        <v>1674759383.5999999</v>
      </c>
      <c r="C26">
        <v>1304.099999904633</v>
      </c>
      <c r="D26" t="s">
        <v>465</v>
      </c>
      <c r="E26" t="s">
        <v>466</v>
      </c>
      <c r="F26" t="s">
        <v>412</v>
      </c>
      <c r="G26" t="s">
        <v>413</v>
      </c>
      <c r="H26" t="s">
        <v>414</v>
      </c>
      <c r="I26">
        <v>1674759383.5999999</v>
      </c>
      <c r="J26">
        <f t="shared" si="0"/>
        <v>6.2901076482980885E-3</v>
      </c>
      <c r="K26">
        <f t="shared" si="1"/>
        <v>6.2901076482980889</v>
      </c>
      <c r="L26">
        <f t="shared" si="2"/>
        <v>50.65702876189733</v>
      </c>
      <c r="M26">
        <f t="shared" si="3"/>
        <v>436.03199999999998</v>
      </c>
      <c r="N26">
        <f t="shared" si="4"/>
        <v>275.24540358108743</v>
      </c>
      <c r="O26">
        <f t="shared" si="5"/>
        <v>27.318433296962382</v>
      </c>
      <c r="P26">
        <f t="shared" si="6"/>
        <v>43.276694006016001</v>
      </c>
      <c r="Q26">
        <f t="shared" si="7"/>
        <v>0.57549717623813756</v>
      </c>
      <c r="R26">
        <f t="shared" si="8"/>
        <v>2.9115499985937143</v>
      </c>
      <c r="S26">
        <f t="shared" si="9"/>
        <v>0.51896882251990128</v>
      </c>
      <c r="T26">
        <f t="shared" si="10"/>
        <v>0.3289704220260436</v>
      </c>
      <c r="U26">
        <f t="shared" si="11"/>
        <v>344.42199965789325</v>
      </c>
      <c r="V26">
        <f t="shared" si="12"/>
        <v>28.408874098826427</v>
      </c>
      <c r="W26">
        <f t="shared" si="13"/>
        <v>27.338000000000001</v>
      </c>
      <c r="X26">
        <f t="shared" si="14"/>
        <v>3.6508302915849953</v>
      </c>
      <c r="Y26">
        <f t="shared" si="15"/>
        <v>65.440745957814357</v>
      </c>
      <c r="Z26">
        <f t="shared" si="16"/>
        <v>2.4850512451440001</v>
      </c>
      <c r="AA26">
        <f t="shared" si="17"/>
        <v>3.7974066596764664</v>
      </c>
      <c r="AB26">
        <f t="shared" si="18"/>
        <v>1.1657790464409952</v>
      </c>
      <c r="AC26">
        <f t="shared" si="19"/>
        <v>-277.39374728994568</v>
      </c>
      <c r="AD26">
        <f t="shared" si="20"/>
        <v>105.73329690189065</v>
      </c>
      <c r="AE26">
        <f t="shared" si="21"/>
        <v>7.8902427867336584</v>
      </c>
      <c r="AF26">
        <f t="shared" si="22"/>
        <v>180.65179205657188</v>
      </c>
      <c r="AG26">
        <v>0</v>
      </c>
      <c r="AH26">
        <v>0</v>
      </c>
      <c r="AI26">
        <f t="shared" si="23"/>
        <v>1</v>
      </c>
      <c r="AJ26">
        <f t="shared" si="24"/>
        <v>0</v>
      </c>
      <c r="AK26">
        <f t="shared" si="25"/>
        <v>52164.324258283559</v>
      </c>
      <c r="AL26" t="s">
        <v>415</v>
      </c>
      <c r="AM26">
        <v>10297.6</v>
      </c>
      <c r="AN26">
        <v>785.57400000000007</v>
      </c>
      <c r="AO26">
        <v>3597.65</v>
      </c>
      <c r="AP26">
        <f t="shared" si="26"/>
        <v>0.7816424610509638</v>
      </c>
      <c r="AQ26">
        <v>-0.62398835798131469</v>
      </c>
      <c r="AR26" t="s">
        <v>467</v>
      </c>
      <c r="AS26">
        <v>10232.200000000001</v>
      </c>
      <c r="AT26">
        <v>740.33742307692296</v>
      </c>
      <c r="AU26">
        <v>1065.673852538127</v>
      </c>
      <c r="AV26">
        <f t="shared" si="27"/>
        <v>0.30528705258775635</v>
      </c>
      <c r="AW26">
        <v>0.5</v>
      </c>
      <c r="AX26">
        <f t="shared" si="28"/>
        <v>1513.4195998289465</v>
      </c>
      <c r="AY26">
        <f t="shared" si="29"/>
        <v>50.65702876189733</v>
      </c>
      <c r="AZ26">
        <f t="shared" si="30"/>
        <v>231.01370448016038</v>
      </c>
      <c r="BA26">
        <f t="shared" si="31"/>
        <v>3.3884203115695517E-2</v>
      </c>
      <c r="BB26">
        <f t="shared" si="32"/>
        <v>2.3759390750100868</v>
      </c>
      <c r="BC26">
        <f t="shared" si="33"/>
        <v>517.23190868642325</v>
      </c>
      <c r="BD26" t="s">
        <v>468</v>
      </c>
      <c r="BE26">
        <v>569.08000000000004</v>
      </c>
      <c r="BF26">
        <f t="shared" si="34"/>
        <v>569.08000000000004</v>
      </c>
      <c r="BG26">
        <f t="shared" si="35"/>
        <v>0.46599046355072327</v>
      </c>
      <c r="BH26">
        <f t="shared" si="36"/>
        <v>0.65513583746231674</v>
      </c>
      <c r="BI26">
        <f t="shared" si="37"/>
        <v>0.83603025436488931</v>
      </c>
      <c r="BJ26">
        <f t="shared" si="38"/>
        <v>1.1615016092053085</v>
      </c>
      <c r="BK26">
        <f t="shared" si="39"/>
        <v>0.90039392515062644</v>
      </c>
      <c r="BL26">
        <f t="shared" si="40"/>
        <v>0.50358754098037506</v>
      </c>
      <c r="BM26">
        <f t="shared" si="41"/>
        <v>0.49641245901962494</v>
      </c>
      <c r="BN26">
        <v>243</v>
      </c>
      <c r="BO26">
        <v>290.00000000000011</v>
      </c>
      <c r="BP26">
        <v>987.39</v>
      </c>
      <c r="BQ26">
        <v>255</v>
      </c>
      <c r="BR26">
        <v>10232.200000000001</v>
      </c>
      <c r="BS26">
        <v>987.53</v>
      </c>
      <c r="BT26">
        <v>-0.14000000000000001</v>
      </c>
      <c r="BU26">
        <v>300.00000000000011</v>
      </c>
      <c r="BV26">
        <v>24.1</v>
      </c>
      <c r="BW26">
        <v>1065.673852538127</v>
      </c>
      <c r="BX26">
        <v>2.8355704449098909</v>
      </c>
      <c r="BY26">
        <v>-79.957557034883266</v>
      </c>
      <c r="BZ26">
        <v>2.584165108990383</v>
      </c>
      <c r="CA26">
        <v>0.97158419546464347</v>
      </c>
      <c r="CB26">
        <v>-6.9741312569521624E-3</v>
      </c>
      <c r="CC26">
        <v>289.99999999999989</v>
      </c>
      <c r="CD26">
        <v>986.47</v>
      </c>
      <c r="CE26">
        <v>685</v>
      </c>
      <c r="CF26">
        <v>10212</v>
      </c>
      <c r="CG26">
        <v>987.38</v>
      </c>
      <c r="CH26">
        <v>-0.91</v>
      </c>
      <c r="CV26">
        <f t="shared" si="42"/>
        <v>1800.28</v>
      </c>
      <c r="CW26">
        <f t="shared" si="43"/>
        <v>1513.4195998289465</v>
      </c>
      <c r="CX26">
        <f t="shared" si="44"/>
        <v>0.84065789756534903</v>
      </c>
      <c r="CY26">
        <f t="shared" si="45"/>
        <v>0.19131579513069816</v>
      </c>
      <c r="CZ26">
        <v>6</v>
      </c>
      <c r="DA26">
        <v>0.5</v>
      </c>
      <c r="DB26" t="s">
        <v>418</v>
      </c>
      <c r="DC26">
        <v>2</v>
      </c>
      <c r="DD26">
        <v>1674759383.5999999</v>
      </c>
      <c r="DE26">
        <v>436.03199999999998</v>
      </c>
      <c r="DF26">
        <v>500.1</v>
      </c>
      <c r="DG26">
        <v>25.038</v>
      </c>
      <c r="DH26">
        <v>17.680199999999999</v>
      </c>
      <c r="DI26">
        <v>436.25200000000001</v>
      </c>
      <c r="DJ26">
        <v>24.791599999999999</v>
      </c>
      <c r="DK26">
        <v>500.09100000000001</v>
      </c>
      <c r="DL26">
        <v>99.150999999999996</v>
      </c>
      <c r="DM26">
        <v>0.100188</v>
      </c>
      <c r="DN26">
        <v>28.011600000000001</v>
      </c>
      <c r="DO26">
        <v>27.338000000000001</v>
      </c>
      <c r="DP26">
        <v>999.9</v>
      </c>
      <c r="DQ26">
        <v>0</v>
      </c>
      <c r="DR26">
        <v>0</v>
      </c>
      <c r="DS26">
        <v>9982.5</v>
      </c>
      <c r="DT26">
        <v>0</v>
      </c>
      <c r="DU26">
        <v>467.154</v>
      </c>
      <c r="DV26">
        <v>-64.068399999999997</v>
      </c>
      <c r="DW26">
        <v>447.22899999999998</v>
      </c>
      <c r="DX26">
        <v>509.101</v>
      </c>
      <c r="DY26">
        <v>7.3578599999999996</v>
      </c>
      <c r="DZ26">
        <v>500.1</v>
      </c>
      <c r="EA26">
        <v>17.680199999999999</v>
      </c>
      <c r="EB26">
        <v>2.4825499999999998</v>
      </c>
      <c r="EC26">
        <v>1.75301</v>
      </c>
      <c r="ED26">
        <v>20.912500000000001</v>
      </c>
      <c r="EE26">
        <v>15.373900000000001</v>
      </c>
      <c r="EF26">
        <v>1800.28</v>
      </c>
      <c r="EG26">
        <v>0.97800699999999996</v>
      </c>
      <c r="EH26">
        <v>2.1993200000000001E-2</v>
      </c>
      <c r="EI26">
        <v>0</v>
      </c>
      <c r="EJ26">
        <v>740.47900000000004</v>
      </c>
      <c r="EK26">
        <v>5.0002599999999999</v>
      </c>
      <c r="EL26">
        <v>13672.1</v>
      </c>
      <c r="EM26">
        <v>17106.099999999999</v>
      </c>
      <c r="EN26">
        <v>48.561999999999998</v>
      </c>
      <c r="EO26">
        <v>50.061999999999998</v>
      </c>
      <c r="EP26">
        <v>49.561999999999998</v>
      </c>
      <c r="EQ26">
        <v>49.061999999999998</v>
      </c>
      <c r="ER26">
        <v>49.875</v>
      </c>
      <c r="ES26">
        <v>1755.8</v>
      </c>
      <c r="ET26">
        <v>39.479999999999997</v>
      </c>
      <c r="EU26">
        <v>0</v>
      </c>
      <c r="EV26">
        <v>116</v>
      </c>
      <c r="EW26">
        <v>0</v>
      </c>
      <c r="EX26">
        <v>740.33742307692296</v>
      </c>
      <c r="EY26">
        <v>2.4470769211957522</v>
      </c>
      <c r="EZ26">
        <v>-12.9333333301495</v>
      </c>
      <c r="FA26">
        <v>13671.41923076923</v>
      </c>
      <c r="FB26">
        <v>15</v>
      </c>
      <c r="FC26">
        <v>1674759344.0999999</v>
      </c>
      <c r="FD26" t="s">
        <v>469</v>
      </c>
      <c r="FE26">
        <v>1674759334.0999999</v>
      </c>
      <c r="FF26">
        <v>1674759344.0999999</v>
      </c>
      <c r="FG26">
        <v>15</v>
      </c>
      <c r="FH26">
        <v>6.8000000000000005E-2</v>
      </c>
      <c r="FI26">
        <v>-2E-3</v>
      </c>
      <c r="FJ26">
        <v>-0.24199999999999999</v>
      </c>
      <c r="FK26">
        <v>6.8000000000000005E-2</v>
      </c>
      <c r="FL26">
        <v>500</v>
      </c>
      <c r="FM26">
        <v>17</v>
      </c>
      <c r="FN26">
        <v>0.02</v>
      </c>
      <c r="FO26">
        <v>0.02</v>
      </c>
      <c r="FP26">
        <v>50.649855366832092</v>
      </c>
      <c r="FQ26">
        <v>-0.58554047612759663</v>
      </c>
      <c r="FR26">
        <v>8.673409710802793E-2</v>
      </c>
      <c r="FS26">
        <v>1</v>
      </c>
      <c r="FT26">
        <v>0.57592732371860678</v>
      </c>
      <c r="FU26">
        <v>1.3545273715184811E-2</v>
      </c>
      <c r="FV26">
        <v>3.0921419263875908E-3</v>
      </c>
      <c r="FW26">
        <v>1</v>
      </c>
      <c r="FX26">
        <v>2</v>
      </c>
      <c r="FY26">
        <v>2</v>
      </c>
      <c r="FZ26" t="s">
        <v>420</v>
      </c>
      <c r="GA26">
        <v>2.9283800000000002</v>
      </c>
      <c r="GB26">
        <v>2.80694</v>
      </c>
      <c r="GC26">
        <v>0.10416400000000001</v>
      </c>
      <c r="GD26">
        <v>0.116747</v>
      </c>
      <c r="GE26">
        <v>0.114803</v>
      </c>
      <c r="GF26">
        <v>9.1343499999999994E-2</v>
      </c>
      <c r="GG26">
        <v>26597.5</v>
      </c>
      <c r="GH26">
        <v>26689.200000000001</v>
      </c>
      <c r="GI26">
        <v>28202.6</v>
      </c>
      <c r="GJ26">
        <v>27230.5</v>
      </c>
      <c r="GK26">
        <v>35835.800000000003</v>
      </c>
      <c r="GL26">
        <v>32678.2</v>
      </c>
      <c r="GM26">
        <v>41993.2</v>
      </c>
      <c r="GN26">
        <v>36952</v>
      </c>
      <c r="GO26">
        <v>1.9210499999999999</v>
      </c>
      <c r="GP26">
        <v>1.90405</v>
      </c>
      <c r="GQ26">
        <v>4.6372400000000001E-2</v>
      </c>
      <c r="GR26">
        <v>0</v>
      </c>
      <c r="GS26">
        <v>26.579599999999999</v>
      </c>
      <c r="GT26">
        <v>999.9</v>
      </c>
      <c r="GU26">
        <v>38.200000000000003</v>
      </c>
      <c r="GV26">
        <v>34.799999999999997</v>
      </c>
      <c r="GW26">
        <v>21.520800000000001</v>
      </c>
      <c r="GX26">
        <v>61.826599999999999</v>
      </c>
      <c r="GY26">
        <v>25.849399999999999</v>
      </c>
      <c r="GZ26">
        <v>1</v>
      </c>
      <c r="HA26">
        <v>0.41524899999999998</v>
      </c>
      <c r="HB26">
        <v>3.2117900000000001</v>
      </c>
      <c r="HC26">
        <v>20.367999999999999</v>
      </c>
      <c r="HD26">
        <v>5.2397499999999999</v>
      </c>
      <c r="HE26">
        <v>11.9381</v>
      </c>
      <c r="HF26">
        <v>4.9735500000000004</v>
      </c>
      <c r="HG26">
        <v>3.2989999999999999</v>
      </c>
      <c r="HH26">
        <v>9999</v>
      </c>
      <c r="HI26">
        <v>9999</v>
      </c>
      <c r="HJ26">
        <v>9999</v>
      </c>
      <c r="HK26">
        <v>999.9</v>
      </c>
      <c r="HL26">
        <v>1.8730199999999999</v>
      </c>
      <c r="HM26">
        <v>1.88066</v>
      </c>
      <c r="HN26">
        <v>1.8843099999999999</v>
      </c>
      <c r="HO26">
        <v>1.88097</v>
      </c>
      <c r="HP26">
        <v>1.87836</v>
      </c>
      <c r="HQ26">
        <v>1.8730199999999999</v>
      </c>
      <c r="HR26">
        <v>1.87592</v>
      </c>
      <c r="HS26">
        <v>1.88018</v>
      </c>
      <c r="HT26">
        <v>5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423</v>
      </c>
      <c r="IB26" t="s">
        <v>423</v>
      </c>
      <c r="IC26" t="s">
        <v>423</v>
      </c>
      <c r="ID26">
        <v>0</v>
      </c>
      <c r="IE26">
        <v>100</v>
      </c>
      <c r="IF26">
        <v>100</v>
      </c>
      <c r="IG26">
        <v>-0.22</v>
      </c>
      <c r="IH26">
        <v>0.24640000000000001</v>
      </c>
      <c r="II26">
        <v>-0.33337578910996829</v>
      </c>
      <c r="IJ26">
        <v>9.4905977090923709E-4</v>
      </c>
      <c r="IK26">
        <v>-1.9106666302146479E-6</v>
      </c>
      <c r="IL26">
        <v>7.5819610513223293E-10</v>
      </c>
      <c r="IM26">
        <v>-5.5103053742594978E-2</v>
      </c>
      <c r="IN26">
        <v>-1.0595840490420019E-2</v>
      </c>
      <c r="IO26">
        <v>1.2407080968752471E-3</v>
      </c>
      <c r="IP26">
        <v>-1.3015442653884381E-5</v>
      </c>
      <c r="IQ26">
        <v>33</v>
      </c>
      <c r="IR26">
        <v>2014</v>
      </c>
      <c r="IS26">
        <v>1</v>
      </c>
      <c r="IT26">
        <v>26</v>
      </c>
      <c r="IU26">
        <v>0.8</v>
      </c>
      <c r="IV26">
        <v>0.7</v>
      </c>
      <c r="IW26">
        <v>1.22559</v>
      </c>
      <c r="IX26">
        <v>2.52563</v>
      </c>
      <c r="IY26">
        <v>1.5991200000000001</v>
      </c>
      <c r="IZ26">
        <v>2.2924799999999999</v>
      </c>
      <c r="JA26">
        <v>1.5502899999999999</v>
      </c>
      <c r="JB26">
        <v>2.2668499999999998</v>
      </c>
      <c r="JC26">
        <v>37.9649</v>
      </c>
      <c r="JD26">
        <v>16.110900000000001</v>
      </c>
      <c r="JE26">
        <v>18</v>
      </c>
      <c r="JF26">
        <v>484.35500000000002</v>
      </c>
      <c r="JG26">
        <v>508.73599999999999</v>
      </c>
      <c r="JH26">
        <v>22.726700000000001</v>
      </c>
      <c r="JI26">
        <v>32.439799999999998</v>
      </c>
      <c r="JJ26">
        <v>30.0001</v>
      </c>
      <c r="JK26">
        <v>32.5291</v>
      </c>
      <c r="JL26">
        <v>32.500300000000003</v>
      </c>
      <c r="JM26">
        <v>24.5868</v>
      </c>
      <c r="JN26">
        <v>15.9239</v>
      </c>
      <c r="JO26">
        <v>17.957000000000001</v>
      </c>
      <c r="JP26">
        <v>22.719000000000001</v>
      </c>
      <c r="JQ26">
        <v>500</v>
      </c>
      <c r="JR26">
        <v>17.587299999999999</v>
      </c>
      <c r="JS26">
        <v>99.562799999999996</v>
      </c>
      <c r="JT26">
        <v>98.933400000000006</v>
      </c>
    </row>
    <row r="27" spans="1:280" x14ac:dyDescent="0.25">
      <c r="A27">
        <v>11</v>
      </c>
      <c r="B27">
        <v>1674759511.5999999</v>
      </c>
      <c r="C27">
        <v>1432.099999904633</v>
      </c>
      <c r="D27" t="s">
        <v>470</v>
      </c>
      <c r="E27" t="s">
        <v>471</v>
      </c>
      <c r="F27" t="s">
        <v>412</v>
      </c>
      <c r="G27" t="s">
        <v>413</v>
      </c>
      <c r="H27" t="s">
        <v>414</v>
      </c>
      <c r="I27">
        <v>1674759511.5999999</v>
      </c>
      <c r="J27">
        <f t="shared" si="0"/>
        <v>6.0461762672953234E-3</v>
      </c>
      <c r="K27">
        <f t="shared" si="1"/>
        <v>6.0461762672953236</v>
      </c>
      <c r="L27">
        <f t="shared" si="2"/>
        <v>51.779944670136899</v>
      </c>
      <c r="M27">
        <f t="shared" si="3"/>
        <v>534.048</v>
      </c>
      <c r="N27">
        <f t="shared" si="4"/>
        <v>360.31991856356024</v>
      </c>
      <c r="O27">
        <f t="shared" si="5"/>
        <v>35.759383534608631</v>
      </c>
      <c r="P27">
        <f t="shared" si="6"/>
        <v>53.000753702495999</v>
      </c>
      <c r="Q27">
        <f t="shared" si="7"/>
        <v>0.54627379781294316</v>
      </c>
      <c r="R27">
        <f t="shared" si="8"/>
        <v>2.9113021005270401</v>
      </c>
      <c r="S27">
        <f t="shared" si="9"/>
        <v>0.495063686801478</v>
      </c>
      <c r="T27">
        <f t="shared" si="10"/>
        <v>0.31361480113849644</v>
      </c>
      <c r="U27">
        <f t="shared" si="11"/>
        <v>344.35739965782864</v>
      </c>
      <c r="V27">
        <f t="shared" si="12"/>
        <v>28.452492619111428</v>
      </c>
      <c r="W27">
        <f t="shared" si="13"/>
        <v>27.327000000000002</v>
      </c>
      <c r="X27">
        <f t="shared" si="14"/>
        <v>3.6484782466501073</v>
      </c>
      <c r="Y27">
        <f t="shared" si="15"/>
        <v>65.219988723151616</v>
      </c>
      <c r="Z27">
        <f t="shared" si="16"/>
        <v>2.4738111318009</v>
      </c>
      <c r="AA27">
        <f t="shared" si="17"/>
        <v>3.7930260035797172</v>
      </c>
      <c r="AB27">
        <f t="shared" si="18"/>
        <v>1.1746671148492074</v>
      </c>
      <c r="AC27">
        <f t="shared" si="19"/>
        <v>-266.63637338772378</v>
      </c>
      <c r="AD27">
        <f t="shared" si="20"/>
        <v>104.34309820723439</v>
      </c>
      <c r="AE27">
        <f t="shared" si="21"/>
        <v>7.7859668823097108</v>
      </c>
      <c r="AF27">
        <f t="shared" si="22"/>
        <v>189.85009135964896</v>
      </c>
      <c r="AG27">
        <v>0</v>
      </c>
      <c r="AH27">
        <v>0</v>
      </c>
      <c r="AI27">
        <f t="shared" si="23"/>
        <v>1</v>
      </c>
      <c r="AJ27">
        <f t="shared" si="24"/>
        <v>0</v>
      </c>
      <c r="AK27">
        <f t="shared" si="25"/>
        <v>52160.490429799444</v>
      </c>
      <c r="AL27" t="s">
        <v>415</v>
      </c>
      <c r="AM27">
        <v>10297.6</v>
      </c>
      <c r="AN27">
        <v>785.57400000000007</v>
      </c>
      <c r="AO27">
        <v>3597.65</v>
      </c>
      <c r="AP27">
        <f t="shared" si="26"/>
        <v>0.7816424610509638</v>
      </c>
      <c r="AQ27">
        <v>-0.62398835798131469</v>
      </c>
      <c r="AR27" t="s">
        <v>472</v>
      </c>
      <c r="AS27">
        <v>10251.299999999999</v>
      </c>
      <c r="AT27">
        <v>743.99399999999991</v>
      </c>
      <c r="AU27">
        <v>1084.626060912032</v>
      </c>
      <c r="AV27">
        <f t="shared" si="27"/>
        <v>0.31405483713493298</v>
      </c>
      <c r="AW27">
        <v>0.5</v>
      </c>
      <c r="AX27">
        <f t="shared" si="28"/>
        <v>1513.1339998289145</v>
      </c>
      <c r="AY27">
        <f t="shared" si="29"/>
        <v>51.779944670136899</v>
      </c>
      <c r="AZ27">
        <f t="shared" si="30"/>
        <v>237.60352593979974</v>
      </c>
      <c r="BA27">
        <f t="shared" si="31"/>
        <v>3.463271133557462E-2</v>
      </c>
      <c r="BB27">
        <f t="shared" si="32"/>
        <v>2.3169496194613246</v>
      </c>
      <c r="BC27">
        <f t="shared" si="33"/>
        <v>521.65600936242265</v>
      </c>
      <c r="BD27" t="s">
        <v>473</v>
      </c>
      <c r="BE27">
        <v>571.04999999999995</v>
      </c>
      <c r="BF27">
        <f t="shared" si="34"/>
        <v>571.04999999999995</v>
      </c>
      <c r="BG27">
        <f t="shared" si="35"/>
        <v>0.47350518249596563</v>
      </c>
      <c r="BH27">
        <f t="shared" si="36"/>
        <v>0.66325533224255429</v>
      </c>
      <c r="BI27">
        <f t="shared" si="37"/>
        <v>0.83031254182513958</v>
      </c>
      <c r="BJ27">
        <f t="shared" si="38"/>
        <v>1.1390393360714246</v>
      </c>
      <c r="BK27">
        <f t="shared" si="39"/>
        <v>0.89365434614426065</v>
      </c>
      <c r="BL27">
        <f t="shared" si="40"/>
        <v>0.50907931714114718</v>
      </c>
      <c r="BM27">
        <f t="shared" si="41"/>
        <v>0.49092068285885282</v>
      </c>
      <c r="BN27">
        <v>245</v>
      </c>
      <c r="BO27">
        <v>290.00000000000011</v>
      </c>
      <c r="BP27">
        <v>997.94</v>
      </c>
      <c r="BQ27">
        <v>125</v>
      </c>
      <c r="BR27">
        <v>10251.299999999999</v>
      </c>
      <c r="BS27">
        <v>998.83</v>
      </c>
      <c r="BT27">
        <v>-0.89</v>
      </c>
      <c r="BU27">
        <v>300.00000000000011</v>
      </c>
      <c r="BV27">
        <v>24.1</v>
      </c>
      <c r="BW27">
        <v>1084.626060912032</v>
      </c>
      <c r="BX27">
        <v>2.879861436229942</v>
      </c>
      <c r="BY27">
        <v>-87.956230025939092</v>
      </c>
      <c r="BZ27">
        <v>2.6244871442356059</v>
      </c>
      <c r="CA27">
        <v>0.97567685543381966</v>
      </c>
      <c r="CB27">
        <v>-6.9739150166852086E-3</v>
      </c>
      <c r="CC27">
        <v>289.99999999999989</v>
      </c>
      <c r="CD27">
        <v>996.78</v>
      </c>
      <c r="CE27">
        <v>625</v>
      </c>
      <c r="CF27">
        <v>10215.700000000001</v>
      </c>
      <c r="CG27">
        <v>998.53</v>
      </c>
      <c r="CH27">
        <v>-1.75</v>
      </c>
      <c r="CV27">
        <f t="shared" si="42"/>
        <v>1799.94</v>
      </c>
      <c r="CW27">
        <f t="shared" si="43"/>
        <v>1513.1339998289145</v>
      </c>
      <c r="CX27">
        <f t="shared" si="44"/>
        <v>0.84065802183901372</v>
      </c>
      <c r="CY27">
        <f t="shared" si="45"/>
        <v>0.1913160436780274</v>
      </c>
      <c r="CZ27">
        <v>6</v>
      </c>
      <c r="DA27">
        <v>0.5</v>
      </c>
      <c r="DB27" t="s">
        <v>418</v>
      </c>
      <c r="DC27">
        <v>2</v>
      </c>
      <c r="DD27">
        <v>1674759511.5999999</v>
      </c>
      <c r="DE27">
        <v>534.048</v>
      </c>
      <c r="DF27">
        <v>600.04600000000005</v>
      </c>
      <c r="DG27">
        <v>24.9267</v>
      </c>
      <c r="DH27">
        <v>17.8535</v>
      </c>
      <c r="DI27">
        <v>534.47</v>
      </c>
      <c r="DJ27">
        <v>24.682700000000001</v>
      </c>
      <c r="DK27">
        <v>500.096</v>
      </c>
      <c r="DL27">
        <v>99.143100000000004</v>
      </c>
      <c r="DM27">
        <v>0.100327</v>
      </c>
      <c r="DN27">
        <v>27.991800000000001</v>
      </c>
      <c r="DO27">
        <v>27.327000000000002</v>
      </c>
      <c r="DP27">
        <v>999.9</v>
      </c>
      <c r="DQ27">
        <v>0</v>
      </c>
      <c r="DR27">
        <v>0</v>
      </c>
      <c r="DS27">
        <v>9981.8799999999992</v>
      </c>
      <c r="DT27">
        <v>0</v>
      </c>
      <c r="DU27">
        <v>481.495</v>
      </c>
      <c r="DV27">
        <v>-65.998599999999996</v>
      </c>
      <c r="DW27">
        <v>547.70000000000005</v>
      </c>
      <c r="DX27">
        <v>610.95399999999995</v>
      </c>
      <c r="DY27">
        <v>7.0732600000000003</v>
      </c>
      <c r="DZ27">
        <v>600.04600000000005</v>
      </c>
      <c r="EA27">
        <v>17.8535</v>
      </c>
      <c r="EB27">
        <v>2.4713099999999999</v>
      </c>
      <c r="EC27">
        <v>1.7700499999999999</v>
      </c>
      <c r="ED27">
        <v>20.838799999999999</v>
      </c>
      <c r="EE27">
        <v>15.524800000000001</v>
      </c>
      <c r="EF27">
        <v>1799.94</v>
      </c>
      <c r="EG27">
        <v>0.97800299999999996</v>
      </c>
      <c r="EH27">
        <v>2.19969E-2</v>
      </c>
      <c r="EI27">
        <v>0</v>
      </c>
      <c r="EJ27">
        <v>744.41499999999996</v>
      </c>
      <c r="EK27">
        <v>5.0002599999999999</v>
      </c>
      <c r="EL27">
        <v>13785.4</v>
      </c>
      <c r="EM27">
        <v>17102.8</v>
      </c>
      <c r="EN27">
        <v>48.625</v>
      </c>
      <c r="EO27">
        <v>50.125</v>
      </c>
      <c r="EP27">
        <v>49.625</v>
      </c>
      <c r="EQ27">
        <v>49.125</v>
      </c>
      <c r="ER27">
        <v>49.936999999999998</v>
      </c>
      <c r="ES27">
        <v>1755.46</v>
      </c>
      <c r="ET27">
        <v>39.479999999999997</v>
      </c>
      <c r="EU27">
        <v>0</v>
      </c>
      <c r="EV27">
        <v>126.19999980926509</v>
      </c>
      <c r="EW27">
        <v>0</v>
      </c>
      <c r="EX27">
        <v>743.99399999999991</v>
      </c>
      <c r="EY27">
        <v>2.0332307631634361</v>
      </c>
      <c r="EZ27">
        <v>108.00769246789601</v>
      </c>
      <c r="FA27">
        <v>13773.028</v>
      </c>
      <c r="FB27">
        <v>15</v>
      </c>
      <c r="FC27">
        <v>1674759471.0999999</v>
      </c>
      <c r="FD27" t="s">
        <v>474</v>
      </c>
      <c r="FE27">
        <v>1674759467.5999999</v>
      </c>
      <c r="FF27">
        <v>1674759471.0999999</v>
      </c>
      <c r="FG27">
        <v>16</v>
      </c>
      <c r="FH27">
        <v>-0.16600000000000001</v>
      </c>
      <c r="FI27">
        <v>1E-3</v>
      </c>
      <c r="FJ27">
        <v>-0.45400000000000001</v>
      </c>
      <c r="FK27">
        <v>6.8000000000000005E-2</v>
      </c>
      <c r="FL27">
        <v>600</v>
      </c>
      <c r="FM27">
        <v>17</v>
      </c>
      <c r="FN27">
        <v>0.04</v>
      </c>
      <c r="FO27">
        <v>0.01</v>
      </c>
      <c r="FP27">
        <v>51.801176454568868</v>
      </c>
      <c r="FQ27">
        <v>-0.69360531148720661</v>
      </c>
      <c r="FR27">
        <v>9.5207734895283558E-2</v>
      </c>
      <c r="FS27">
        <v>1</v>
      </c>
      <c r="FT27">
        <v>0.54912575230042182</v>
      </c>
      <c r="FU27">
        <v>1.224075525939692E-2</v>
      </c>
      <c r="FV27">
        <v>2.848594493816292E-3</v>
      </c>
      <c r="FW27">
        <v>1</v>
      </c>
      <c r="FX27">
        <v>2</v>
      </c>
      <c r="FY27">
        <v>2</v>
      </c>
      <c r="FZ27" t="s">
        <v>420</v>
      </c>
      <c r="GA27">
        <v>2.9283899999999998</v>
      </c>
      <c r="GB27">
        <v>2.80708</v>
      </c>
      <c r="GC27">
        <v>0.12107900000000001</v>
      </c>
      <c r="GD27">
        <v>0.133102</v>
      </c>
      <c r="GE27">
        <v>0.114443</v>
      </c>
      <c r="GF27">
        <v>9.1977900000000001E-2</v>
      </c>
      <c r="GG27">
        <v>26094.9</v>
      </c>
      <c r="GH27">
        <v>26194.6</v>
      </c>
      <c r="GI27">
        <v>28202.9</v>
      </c>
      <c r="GJ27">
        <v>27230.7</v>
      </c>
      <c r="GK27">
        <v>35850.9</v>
      </c>
      <c r="GL27">
        <v>32656.5</v>
      </c>
      <c r="GM27">
        <v>41993.599999999999</v>
      </c>
      <c r="GN27">
        <v>36953.199999999997</v>
      </c>
      <c r="GO27">
        <v>1.9210499999999999</v>
      </c>
      <c r="GP27">
        <v>1.9043000000000001</v>
      </c>
      <c r="GQ27">
        <v>4.8622499999999999E-2</v>
      </c>
      <c r="GR27">
        <v>0</v>
      </c>
      <c r="GS27">
        <v>26.5318</v>
      </c>
      <c r="GT27">
        <v>999.9</v>
      </c>
      <c r="GU27">
        <v>38.1</v>
      </c>
      <c r="GV27">
        <v>34.799999999999997</v>
      </c>
      <c r="GW27">
        <v>21.4682</v>
      </c>
      <c r="GX27">
        <v>61.956600000000002</v>
      </c>
      <c r="GY27">
        <v>25.284500000000001</v>
      </c>
      <c r="GZ27">
        <v>1</v>
      </c>
      <c r="HA27">
        <v>0.41389199999999998</v>
      </c>
      <c r="HB27">
        <v>2.8741300000000001</v>
      </c>
      <c r="HC27">
        <v>20.373699999999999</v>
      </c>
      <c r="HD27">
        <v>5.2406499999999996</v>
      </c>
      <c r="HE27">
        <v>11.9381</v>
      </c>
      <c r="HF27">
        <v>4.9736500000000001</v>
      </c>
      <c r="HG27">
        <v>3.2989999999999999</v>
      </c>
      <c r="HH27">
        <v>9999</v>
      </c>
      <c r="HI27">
        <v>9999</v>
      </c>
      <c r="HJ27">
        <v>9999</v>
      </c>
      <c r="HK27">
        <v>999.9</v>
      </c>
      <c r="HL27">
        <v>1.8730199999999999</v>
      </c>
      <c r="HM27">
        <v>1.8806700000000001</v>
      </c>
      <c r="HN27">
        <v>1.8843099999999999</v>
      </c>
      <c r="HO27">
        <v>1.8809499999999999</v>
      </c>
      <c r="HP27">
        <v>1.87836</v>
      </c>
      <c r="HQ27">
        <v>1.8730199999999999</v>
      </c>
      <c r="HR27">
        <v>1.87592</v>
      </c>
      <c r="HS27">
        <v>1.88019</v>
      </c>
      <c r="HT27">
        <v>5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423</v>
      </c>
      <c r="IB27" t="s">
        <v>423</v>
      </c>
      <c r="IC27" t="s">
        <v>423</v>
      </c>
      <c r="ID27">
        <v>0</v>
      </c>
      <c r="IE27">
        <v>100</v>
      </c>
      <c r="IF27">
        <v>100</v>
      </c>
      <c r="IG27">
        <v>-0.42199999999999999</v>
      </c>
      <c r="IH27">
        <v>0.24399999999999999</v>
      </c>
      <c r="II27">
        <v>-0.49946056018881479</v>
      </c>
      <c r="IJ27">
        <v>9.4905977090923709E-4</v>
      </c>
      <c r="IK27">
        <v>-1.9106666302146479E-6</v>
      </c>
      <c r="IL27">
        <v>7.5819610513223293E-10</v>
      </c>
      <c r="IM27">
        <v>-5.4592130205394933E-2</v>
      </c>
      <c r="IN27">
        <v>-1.0595840490420019E-2</v>
      </c>
      <c r="IO27">
        <v>1.2407080968752471E-3</v>
      </c>
      <c r="IP27">
        <v>-1.3015442653884381E-5</v>
      </c>
      <c r="IQ27">
        <v>33</v>
      </c>
      <c r="IR27">
        <v>2014</v>
      </c>
      <c r="IS27">
        <v>1</v>
      </c>
      <c r="IT27">
        <v>26</v>
      </c>
      <c r="IU27">
        <v>0.7</v>
      </c>
      <c r="IV27">
        <v>0.7</v>
      </c>
      <c r="IW27">
        <v>1.4196800000000001</v>
      </c>
      <c r="IX27">
        <v>2.52563</v>
      </c>
      <c r="IY27">
        <v>1.5991200000000001</v>
      </c>
      <c r="IZ27">
        <v>2.2924799999999999</v>
      </c>
      <c r="JA27">
        <v>1.5502899999999999</v>
      </c>
      <c r="JB27">
        <v>2.2460900000000001</v>
      </c>
      <c r="JC27">
        <v>37.9649</v>
      </c>
      <c r="JD27">
        <v>16.1021</v>
      </c>
      <c r="JE27">
        <v>18</v>
      </c>
      <c r="JF27">
        <v>484.31</v>
      </c>
      <c r="JG27">
        <v>508.84199999999998</v>
      </c>
      <c r="JH27">
        <v>22.9054</v>
      </c>
      <c r="JI27">
        <v>32.439799999999998</v>
      </c>
      <c r="JJ27">
        <v>30</v>
      </c>
      <c r="JK27">
        <v>32.523299999999999</v>
      </c>
      <c r="JL27">
        <v>32.491700000000002</v>
      </c>
      <c r="JM27">
        <v>28.471900000000002</v>
      </c>
      <c r="JN27">
        <v>14.5588</v>
      </c>
      <c r="JO27">
        <v>18.232099999999999</v>
      </c>
      <c r="JP27">
        <v>22.912600000000001</v>
      </c>
      <c r="JQ27">
        <v>600</v>
      </c>
      <c r="JR27">
        <v>17.815999999999999</v>
      </c>
      <c r="JS27">
        <v>99.563800000000001</v>
      </c>
      <c r="JT27">
        <v>98.935500000000005</v>
      </c>
    </row>
    <row r="28" spans="1:280" x14ac:dyDescent="0.25">
      <c r="A28">
        <v>12</v>
      </c>
      <c r="B28">
        <v>1674759634.0999999</v>
      </c>
      <c r="C28">
        <v>1554.599999904633</v>
      </c>
      <c r="D28" t="s">
        <v>475</v>
      </c>
      <c r="E28" t="s">
        <v>476</v>
      </c>
      <c r="F28" t="s">
        <v>412</v>
      </c>
      <c r="G28" t="s">
        <v>413</v>
      </c>
      <c r="H28" t="s">
        <v>414</v>
      </c>
      <c r="I28">
        <v>1674759634.0999999</v>
      </c>
      <c r="J28">
        <f t="shared" si="0"/>
        <v>5.8193405973242162E-3</v>
      </c>
      <c r="K28">
        <f t="shared" si="1"/>
        <v>5.8193405973242163</v>
      </c>
      <c r="L28">
        <f t="shared" si="2"/>
        <v>52.424688874098514</v>
      </c>
      <c r="M28">
        <f t="shared" si="3"/>
        <v>732.04499999999996</v>
      </c>
      <c r="N28">
        <f t="shared" si="4"/>
        <v>543.70634637238072</v>
      </c>
      <c r="O28">
        <f t="shared" si="5"/>
        <v>53.959305018723327</v>
      </c>
      <c r="P28">
        <f t="shared" si="6"/>
        <v>72.650686728194998</v>
      </c>
      <c r="Q28">
        <f t="shared" si="7"/>
        <v>0.51689499893218516</v>
      </c>
      <c r="R28">
        <f t="shared" si="8"/>
        <v>2.9133855679154221</v>
      </c>
      <c r="S28">
        <f t="shared" si="9"/>
        <v>0.4708262321410116</v>
      </c>
      <c r="T28">
        <f t="shared" si="10"/>
        <v>0.29806257820080423</v>
      </c>
      <c r="U28">
        <f t="shared" si="11"/>
        <v>344.35929965783055</v>
      </c>
      <c r="V28">
        <f t="shared" si="12"/>
        <v>28.524448835339978</v>
      </c>
      <c r="W28">
        <f t="shared" si="13"/>
        <v>27.364699999999999</v>
      </c>
      <c r="X28">
        <f t="shared" si="14"/>
        <v>3.6565448513395786</v>
      </c>
      <c r="Y28">
        <f t="shared" si="15"/>
        <v>65.011124508140654</v>
      </c>
      <c r="Z28">
        <f t="shared" si="16"/>
        <v>2.4677583768447002</v>
      </c>
      <c r="AA28">
        <f t="shared" si="17"/>
        <v>3.7959016945410462</v>
      </c>
      <c r="AB28">
        <f t="shared" si="18"/>
        <v>1.1887864744948784</v>
      </c>
      <c r="AC28">
        <f t="shared" si="19"/>
        <v>-256.63292034199793</v>
      </c>
      <c r="AD28">
        <f t="shared" si="20"/>
        <v>100.53822999624582</v>
      </c>
      <c r="AE28">
        <f t="shared" si="21"/>
        <v>7.4985825573724059</v>
      </c>
      <c r="AF28">
        <f t="shared" si="22"/>
        <v>195.76319186945085</v>
      </c>
      <c r="AG28">
        <v>0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52217.901590345085</v>
      </c>
      <c r="AL28" t="s">
        <v>415</v>
      </c>
      <c r="AM28">
        <v>10297.6</v>
      </c>
      <c r="AN28">
        <v>785.57400000000007</v>
      </c>
      <c r="AO28">
        <v>3597.65</v>
      </c>
      <c r="AP28">
        <f t="shared" si="26"/>
        <v>0.7816424610509638</v>
      </c>
      <c r="AQ28">
        <v>-0.62398835798131469</v>
      </c>
      <c r="AR28" t="s">
        <v>477</v>
      </c>
      <c r="AS28">
        <v>10237.200000000001</v>
      </c>
      <c r="AT28">
        <v>747.39384615384608</v>
      </c>
      <c r="AU28">
        <v>1098.567743525979</v>
      </c>
      <c r="AV28">
        <f t="shared" si="27"/>
        <v>0.31966521813666227</v>
      </c>
      <c r="AW28">
        <v>0.5</v>
      </c>
      <c r="AX28">
        <f t="shared" si="28"/>
        <v>1513.1423998289151</v>
      </c>
      <c r="AY28">
        <f t="shared" si="29"/>
        <v>52.424688874098514</v>
      </c>
      <c r="AZ28">
        <f t="shared" si="30"/>
        <v>241.8494976565714</v>
      </c>
      <c r="BA28">
        <f t="shared" si="31"/>
        <v>3.5058615261906498E-2</v>
      </c>
      <c r="BB28">
        <f t="shared" si="32"/>
        <v>2.274854938351758</v>
      </c>
      <c r="BC28">
        <f t="shared" si="33"/>
        <v>524.85959003623282</v>
      </c>
      <c r="BD28" t="s">
        <v>478</v>
      </c>
      <c r="BE28">
        <v>573.66999999999996</v>
      </c>
      <c r="BF28">
        <f t="shared" si="34"/>
        <v>573.66999999999996</v>
      </c>
      <c r="BG28">
        <f t="shared" si="35"/>
        <v>0.47780188943219803</v>
      </c>
      <c r="BH28">
        <f t="shared" si="36"/>
        <v>0.66903297204734902</v>
      </c>
      <c r="BI28">
        <f t="shared" si="37"/>
        <v>0.82642155585487376</v>
      </c>
      <c r="BJ28">
        <f t="shared" si="38"/>
        <v>1.1219837604932348</v>
      </c>
      <c r="BK28">
        <f t="shared" si="39"/>
        <v>0.88869655602267539</v>
      </c>
      <c r="BL28">
        <f t="shared" si="40"/>
        <v>0.51352328768759914</v>
      </c>
      <c r="BM28">
        <f t="shared" si="41"/>
        <v>0.48647671231240086</v>
      </c>
      <c r="BN28">
        <v>247</v>
      </c>
      <c r="BO28">
        <v>290.00000000000011</v>
      </c>
      <c r="BP28">
        <v>1008.76</v>
      </c>
      <c r="BQ28">
        <v>215</v>
      </c>
      <c r="BR28">
        <v>10237.200000000001</v>
      </c>
      <c r="BS28">
        <v>1008.32</v>
      </c>
      <c r="BT28">
        <v>0.44</v>
      </c>
      <c r="BU28">
        <v>300.00000000000011</v>
      </c>
      <c r="BV28">
        <v>24.1</v>
      </c>
      <c r="BW28">
        <v>1098.567743525979</v>
      </c>
      <c r="BX28">
        <v>2.1413209804631581</v>
      </c>
      <c r="BY28">
        <v>-92.390355058679361</v>
      </c>
      <c r="BZ28">
        <v>1.951454641604137</v>
      </c>
      <c r="CA28">
        <v>0.98766241356650264</v>
      </c>
      <c r="CB28">
        <v>-6.9739886540600643E-3</v>
      </c>
      <c r="CC28">
        <v>289.99999999999989</v>
      </c>
      <c r="CD28">
        <v>1005.58</v>
      </c>
      <c r="CE28">
        <v>635</v>
      </c>
      <c r="CF28">
        <v>10215.1</v>
      </c>
      <c r="CG28">
        <v>1008.12</v>
      </c>
      <c r="CH28">
        <v>-2.54</v>
      </c>
      <c r="CV28">
        <f t="shared" si="42"/>
        <v>1799.95</v>
      </c>
      <c r="CW28">
        <f t="shared" si="43"/>
        <v>1513.1423998289151</v>
      </c>
      <c r="CX28">
        <f t="shared" si="44"/>
        <v>0.84065801818323571</v>
      </c>
      <c r="CY28">
        <f t="shared" si="45"/>
        <v>0.1913160363664716</v>
      </c>
      <c r="CZ28">
        <v>6</v>
      </c>
      <c r="DA28">
        <v>0.5</v>
      </c>
      <c r="DB28" t="s">
        <v>418</v>
      </c>
      <c r="DC28">
        <v>2</v>
      </c>
      <c r="DD28">
        <v>1674759634.0999999</v>
      </c>
      <c r="DE28">
        <v>732.04499999999996</v>
      </c>
      <c r="DF28">
        <v>800.05399999999997</v>
      </c>
      <c r="DG28">
        <v>24.8657</v>
      </c>
      <c r="DH28">
        <v>18.057400000000001</v>
      </c>
      <c r="DI28">
        <v>732.61300000000006</v>
      </c>
      <c r="DJ28">
        <v>24.624199999999998</v>
      </c>
      <c r="DK28">
        <v>500.09300000000002</v>
      </c>
      <c r="DL28">
        <v>99.1434</v>
      </c>
      <c r="DM28">
        <v>0.10007099999999999</v>
      </c>
      <c r="DN28">
        <v>28.004799999999999</v>
      </c>
      <c r="DO28">
        <v>27.364699999999999</v>
      </c>
      <c r="DP28">
        <v>999.9</v>
      </c>
      <c r="DQ28">
        <v>0</v>
      </c>
      <c r="DR28">
        <v>0</v>
      </c>
      <c r="DS28">
        <v>9993.75</v>
      </c>
      <c r="DT28">
        <v>0</v>
      </c>
      <c r="DU28">
        <v>491.48700000000002</v>
      </c>
      <c r="DV28">
        <v>-68.008899999999997</v>
      </c>
      <c r="DW28">
        <v>750.71199999999999</v>
      </c>
      <c r="DX28">
        <v>814.76599999999996</v>
      </c>
      <c r="DY28">
        <v>6.8083799999999997</v>
      </c>
      <c r="DZ28">
        <v>800.05399999999997</v>
      </c>
      <c r="EA28">
        <v>18.057400000000001</v>
      </c>
      <c r="EB28">
        <v>2.4652799999999999</v>
      </c>
      <c r="EC28">
        <v>1.79027</v>
      </c>
      <c r="ED28">
        <v>20.798999999999999</v>
      </c>
      <c r="EE28">
        <v>15.7021</v>
      </c>
      <c r="EF28">
        <v>1799.95</v>
      </c>
      <c r="EG28">
        <v>0.97800299999999996</v>
      </c>
      <c r="EH28">
        <v>2.19969E-2</v>
      </c>
      <c r="EI28">
        <v>0</v>
      </c>
      <c r="EJ28">
        <v>747.68</v>
      </c>
      <c r="EK28">
        <v>5.0002599999999999</v>
      </c>
      <c r="EL28">
        <v>13904.3</v>
      </c>
      <c r="EM28">
        <v>17102.900000000001</v>
      </c>
      <c r="EN28">
        <v>48.625</v>
      </c>
      <c r="EO28">
        <v>50.061999999999998</v>
      </c>
      <c r="EP28">
        <v>49.561999999999998</v>
      </c>
      <c r="EQ28">
        <v>49.061999999999998</v>
      </c>
      <c r="ER28">
        <v>49.811999999999998</v>
      </c>
      <c r="ES28">
        <v>1755.47</v>
      </c>
      <c r="ET28">
        <v>39.479999999999997</v>
      </c>
      <c r="EU28">
        <v>0</v>
      </c>
      <c r="EV28">
        <v>120.6000001430511</v>
      </c>
      <c r="EW28">
        <v>0</v>
      </c>
      <c r="EX28">
        <v>747.39384615384608</v>
      </c>
      <c r="EY28">
        <v>2.4934016973379749</v>
      </c>
      <c r="EZ28">
        <v>26.502564129510269</v>
      </c>
      <c r="FA28">
        <v>13902.42307692308</v>
      </c>
      <c r="FB28">
        <v>15</v>
      </c>
      <c r="FC28">
        <v>1674759589.5999999</v>
      </c>
      <c r="FD28" t="s">
        <v>479</v>
      </c>
      <c r="FE28">
        <v>1674759587.0999999</v>
      </c>
      <c r="FF28">
        <v>1674759589.5999999</v>
      </c>
      <c r="FG28">
        <v>17</v>
      </c>
      <c r="FH28">
        <v>-3.6999999999999998E-2</v>
      </c>
      <c r="FI28">
        <v>-1E-3</v>
      </c>
      <c r="FJ28">
        <v>-0.61199999999999999</v>
      </c>
      <c r="FK28">
        <v>7.5999999999999998E-2</v>
      </c>
      <c r="FL28">
        <v>800</v>
      </c>
      <c r="FM28">
        <v>18</v>
      </c>
      <c r="FN28">
        <v>0.04</v>
      </c>
      <c r="FO28">
        <v>0.01</v>
      </c>
      <c r="FP28">
        <v>52.34732281080241</v>
      </c>
      <c r="FQ28">
        <v>-0.54165869260400834</v>
      </c>
      <c r="FR28">
        <v>0.11806688769418019</v>
      </c>
      <c r="FS28">
        <v>1</v>
      </c>
      <c r="FT28">
        <v>0.52896025808784286</v>
      </c>
      <c r="FU28">
        <v>-4.4202998864278441E-2</v>
      </c>
      <c r="FV28">
        <v>5.0735265685504091E-3</v>
      </c>
      <c r="FW28">
        <v>1</v>
      </c>
      <c r="FX28">
        <v>2</v>
      </c>
      <c r="FY28">
        <v>2</v>
      </c>
      <c r="FZ28" t="s">
        <v>420</v>
      </c>
      <c r="GA28">
        <v>2.9284300000000001</v>
      </c>
      <c r="GB28">
        <v>2.8069199999999999</v>
      </c>
      <c r="GC28">
        <v>0.151089</v>
      </c>
      <c r="GD28">
        <v>0.16219800000000001</v>
      </c>
      <c r="GE28">
        <v>0.11426</v>
      </c>
      <c r="GF28">
        <v>9.2732700000000001E-2</v>
      </c>
      <c r="GG28">
        <v>25204</v>
      </c>
      <c r="GH28">
        <v>25317.3</v>
      </c>
      <c r="GI28">
        <v>28204.1</v>
      </c>
      <c r="GJ28">
        <v>27234</v>
      </c>
      <c r="GK28">
        <v>35860.400000000001</v>
      </c>
      <c r="GL28">
        <v>32633.1</v>
      </c>
      <c r="GM28">
        <v>41995.6</v>
      </c>
      <c r="GN28">
        <v>36957.199999999997</v>
      </c>
      <c r="GO28">
        <v>1.9208000000000001</v>
      </c>
      <c r="GP28">
        <v>1.90605</v>
      </c>
      <c r="GQ28">
        <v>5.4024200000000001E-2</v>
      </c>
      <c r="GR28">
        <v>0</v>
      </c>
      <c r="GS28">
        <v>26.481100000000001</v>
      </c>
      <c r="GT28">
        <v>999.9</v>
      </c>
      <c r="GU28">
        <v>38.1</v>
      </c>
      <c r="GV28">
        <v>34.9</v>
      </c>
      <c r="GW28">
        <v>21.587800000000001</v>
      </c>
      <c r="GX28">
        <v>62.226599999999998</v>
      </c>
      <c r="GY28">
        <v>25.364599999999999</v>
      </c>
      <c r="GZ28">
        <v>1</v>
      </c>
      <c r="HA28">
        <v>0.41100100000000001</v>
      </c>
      <c r="HB28">
        <v>2.8204699999999998</v>
      </c>
      <c r="HC28">
        <v>20.374400000000001</v>
      </c>
      <c r="HD28">
        <v>5.2400500000000001</v>
      </c>
      <c r="HE28">
        <v>11.9381</v>
      </c>
      <c r="HF28">
        <v>4.9737499999999999</v>
      </c>
      <c r="HG28">
        <v>3.2989999999999999</v>
      </c>
      <c r="HH28">
        <v>9999</v>
      </c>
      <c r="HI28">
        <v>9999</v>
      </c>
      <c r="HJ28">
        <v>9999</v>
      </c>
      <c r="HK28">
        <v>999.9</v>
      </c>
      <c r="HL28">
        <v>1.8730199999999999</v>
      </c>
      <c r="HM28">
        <v>1.88066</v>
      </c>
      <c r="HN28">
        <v>1.8843099999999999</v>
      </c>
      <c r="HO28">
        <v>1.8809899999999999</v>
      </c>
      <c r="HP28">
        <v>1.8783399999999999</v>
      </c>
      <c r="HQ28">
        <v>1.87303</v>
      </c>
      <c r="HR28">
        <v>1.87592</v>
      </c>
      <c r="HS28">
        <v>1.88018</v>
      </c>
      <c r="HT28">
        <v>5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423</v>
      </c>
      <c r="IB28" t="s">
        <v>423</v>
      </c>
      <c r="IC28" t="s">
        <v>423</v>
      </c>
      <c r="ID28">
        <v>0</v>
      </c>
      <c r="IE28">
        <v>100</v>
      </c>
      <c r="IF28">
        <v>100</v>
      </c>
      <c r="IG28">
        <v>-0.56799999999999995</v>
      </c>
      <c r="IH28">
        <v>0.24149999999999999</v>
      </c>
      <c r="II28">
        <v>-0.53621967323238284</v>
      </c>
      <c r="IJ28">
        <v>9.4905977090923709E-4</v>
      </c>
      <c r="IK28">
        <v>-1.9106666302146479E-6</v>
      </c>
      <c r="IL28">
        <v>7.5819610513223293E-10</v>
      </c>
      <c r="IM28">
        <v>-5.5487890690830273E-2</v>
      </c>
      <c r="IN28">
        <v>-1.0595840490420019E-2</v>
      </c>
      <c r="IO28">
        <v>1.2407080968752471E-3</v>
      </c>
      <c r="IP28">
        <v>-1.3015442653884381E-5</v>
      </c>
      <c r="IQ28">
        <v>33</v>
      </c>
      <c r="IR28">
        <v>2014</v>
      </c>
      <c r="IS28">
        <v>1</v>
      </c>
      <c r="IT28">
        <v>26</v>
      </c>
      <c r="IU28">
        <v>0.8</v>
      </c>
      <c r="IV28">
        <v>0.7</v>
      </c>
      <c r="IW28">
        <v>1.79443</v>
      </c>
      <c r="IX28">
        <v>2.5158700000000001</v>
      </c>
      <c r="IY28">
        <v>1.5991200000000001</v>
      </c>
      <c r="IZ28">
        <v>2.2936999999999999</v>
      </c>
      <c r="JA28">
        <v>1.5502899999999999</v>
      </c>
      <c r="JB28">
        <v>2.2936999999999999</v>
      </c>
      <c r="JC28">
        <v>37.916400000000003</v>
      </c>
      <c r="JD28">
        <v>16.1021</v>
      </c>
      <c r="JE28">
        <v>18</v>
      </c>
      <c r="JF28">
        <v>483.97</v>
      </c>
      <c r="JG28">
        <v>509.90199999999999</v>
      </c>
      <c r="JH28">
        <v>22.956700000000001</v>
      </c>
      <c r="JI28">
        <v>32.411000000000001</v>
      </c>
      <c r="JJ28">
        <v>29.9999</v>
      </c>
      <c r="JK28">
        <v>32.500100000000003</v>
      </c>
      <c r="JL28">
        <v>32.468699999999998</v>
      </c>
      <c r="JM28">
        <v>35.957299999999996</v>
      </c>
      <c r="JN28">
        <v>13.507199999999999</v>
      </c>
      <c r="JO28">
        <v>18.647600000000001</v>
      </c>
      <c r="JP28">
        <v>22.9558</v>
      </c>
      <c r="JQ28">
        <v>800</v>
      </c>
      <c r="JR28">
        <v>18.066800000000001</v>
      </c>
      <c r="JS28">
        <v>99.5685</v>
      </c>
      <c r="JT28">
        <v>98.946899999999999</v>
      </c>
    </row>
    <row r="29" spans="1:280" x14ac:dyDescent="0.25">
      <c r="A29">
        <v>13</v>
      </c>
      <c r="B29">
        <v>1674759758.5999999</v>
      </c>
      <c r="C29">
        <v>1679.099999904633</v>
      </c>
      <c r="D29" t="s">
        <v>480</v>
      </c>
      <c r="E29" t="s">
        <v>481</v>
      </c>
      <c r="F29" t="s">
        <v>412</v>
      </c>
      <c r="G29" t="s">
        <v>413</v>
      </c>
      <c r="H29" t="s">
        <v>414</v>
      </c>
      <c r="I29">
        <v>1674759758.5999999</v>
      </c>
      <c r="J29">
        <f t="shared" si="0"/>
        <v>5.4826000213030216E-3</v>
      </c>
      <c r="K29">
        <f t="shared" si="1"/>
        <v>5.4826000213030213</v>
      </c>
      <c r="L29">
        <f t="shared" si="2"/>
        <v>51.596560204580605</v>
      </c>
      <c r="M29">
        <f t="shared" si="3"/>
        <v>1130.6300000000001</v>
      </c>
      <c r="N29">
        <f t="shared" si="4"/>
        <v>925.185625893522</v>
      </c>
      <c r="O29">
        <f t="shared" si="5"/>
        <v>91.820086762191679</v>
      </c>
      <c r="P29">
        <f t="shared" si="6"/>
        <v>112.20942240177502</v>
      </c>
      <c r="Q29">
        <f t="shared" si="7"/>
        <v>0.4804465044285024</v>
      </c>
      <c r="R29">
        <f t="shared" si="8"/>
        <v>2.9164676837119501</v>
      </c>
      <c r="S29">
        <f t="shared" si="9"/>
        <v>0.44041478025436548</v>
      </c>
      <c r="T29">
        <f t="shared" si="10"/>
        <v>0.27857743903017629</v>
      </c>
      <c r="U29">
        <f t="shared" si="11"/>
        <v>344.35359965782487</v>
      </c>
      <c r="V29">
        <f t="shared" si="12"/>
        <v>28.601687672083756</v>
      </c>
      <c r="W29">
        <f t="shared" si="13"/>
        <v>27.404</v>
      </c>
      <c r="X29">
        <f t="shared" si="14"/>
        <v>3.66497037132457</v>
      </c>
      <c r="Y29">
        <f t="shared" si="15"/>
        <v>65.0470432474972</v>
      </c>
      <c r="Z29">
        <f t="shared" si="16"/>
        <v>2.4676684347369999</v>
      </c>
      <c r="AA29">
        <f t="shared" si="17"/>
        <v>3.7936673391099105</v>
      </c>
      <c r="AB29">
        <f t="shared" si="18"/>
        <v>1.1973019365875701</v>
      </c>
      <c r="AC29">
        <f t="shared" si="19"/>
        <v>-241.78266093946326</v>
      </c>
      <c r="AD29">
        <f t="shared" si="20"/>
        <v>92.877300224959697</v>
      </c>
      <c r="AE29">
        <f t="shared" si="21"/>
        <v>6.9208830249828583</v>
      </c>
      <c r="AF29">
        <f t="shared" si="22"/>
        <v>202.36912196830417</v>
      </c>
      <c r="AG29">
        <v>0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52307.995637322972</v>
      </c>
      <c r="AL29" t="s">
        <v>415</v>
      </c>
      <c r="AM29">
        <v>10297.6</v>
      </c>
      <c r="AN29">
        <v>785.57400000000007</v>
      </c>
      <c r="AO29">
        <v>3597.65</v>
      </c>
      <c r="AP29">
        <f t="shared" si="26"/>
        <v>0.7816424610509638</v>
      </c>
      <c r="AQ29">
        <v>-0.62398835798131469</v>
      </c>
      <c r="AR29" t="s">
        <v>482</v>
      </c>
      <c r="AS29">
        <v>10241.4</v>
      </c>
      <c r="AT29">
        <v>750.53419230769225</v>
      </c>
      <c r="AU29">
        <v>1108.774477936536</v>
      </c>
      <c r="AV29">
        <f t="shared" si="27"/>
        <v>0.32309571762108025</v>
      </c>
      <c r="AW29">
        <v>0.5</v>
      </c>
      <c r="AX29">
        <f t="shared" si="28"/>
        <v>1513.1171998289124</v>
      </c>
      <c r="AY29">
        <f t="shared" si="29"/>
        <v>51.596560204580605</v>
      </c>
      <c r="AZ29">
        <f t="shared" si="30"/>
        <v>244.44084376176096</v>
      </c>
      <c r="BA29">
        <f t="shared" si="31"/>
        <v>3.4511899387877215E-2</v>
      </c>
      <c r="BB29">
        <f t="shared" si="32"/>
        <v>2.2447085242215703</v>
      </c>
      <c r="BC29">
        <f t="shared" si="33"/>
        <v>527.17814440580946</v>
      </c>
      <c r="BD29" t="s">
        <v>483</v>
      </c>
      <c r="BE29">
        <v>575.49</v>
      </c>
      <c r="BF29">
        <f t="shared" si="34"/>
        <v>575.49</v>
      </c>
      <c r="BG29">
        <f t="shared" si="35"/>
        <v>0.48096749027718877</v>
      </c>
      <c r="BH29">
        <f t="shared" si="36"/>
        <v>0.6717620715588809</v>
      </c>
      <c r="BI29">
        <f t="shared" si="37"/>
        <v>0.82354194419337956</v>
      </c>
      <c r="BJ29">
        <f t="shared" si="38"/>
        <v>1.1084150862524043</v>
      </c>
      <c r="BK29">
        <f t="shared" si="39"/>
        <v>0.88506694771530492</v>
      </c>
      <c r="BL29">
        <f t="shared" si="40"/>
        <v>0.5150895968813255</v>
      </c>
      <c r="BM29">
        <f t="shared" si="41"/>
        <v>0.4849104031186745</v>
      </c>
      <c r="BN29">
        <v>249</v>
      </c>
      <c r="BO29">
        <v>290.00000000000011</v>
      </c>
      <c r="BP29">
        <v>1016.8</v>
      </c>
      <c r="BQ29">
        <v>185</v>
      </c>
      <c r="BR29">
        <v>10241.4</v>
      </c>
      <c r="BS29">
        <v>1015.96</v>
      </c>
      <c r="BT29">
        <v>0.84</v>
      </c>
      <c r="BU29">
        <v>300.00000000000011</v>
      </c>
      <c r="BV29">
        <v>24.1</v>
      </c>
      <c r="BW29">
        <v>1108.774477936536</v>
      </c>
      <c r="BX29">
        <v>2.0861562518666279</v>
      </c>
      <c r="BY29">
        <v>-95.054722108854577</v>
      </c>
      <c r="BZ29">
        <v>1.901165547924399</v>
      </c>
      <c r="CA29">
        <v>0.98892323125812842</v>
      </c>
      <c r="CB29">
        <v>-6.9739107897664144E-3</v>
      </c>
      <c r="CC29">
        <v>289.99999999999989</v>
      </c>
      <c r="CD29">
        <v>1013.49</v>
      </c>
      <c r="CE29">
        <v>645</v>
      </c>
      <c r="CF29">
        <v>10214.4</v>
      </c>
      <c r="CG29">
        <v>1015.71</v>
      </c>
      <c r="CH29">
        <v>-2.2200000000000002</v>
      </c>
      <c r="CV29">
        <f t="shared" si="42"/>
        <v>1799.92</v>
      </c>
      <c r="CW29">
        <f t="shared" si="43"/>
        <v>1513.1171998289124</v>
      </c>
      <c r="CX29">
        <f t="shared" si="44"/>
        <v>0.84065802915069132</v>
      </c>
      <c r="CY29">
        <f t="shared" si="45"/>
        <v>0.19131605830138276</v>
      </c>
      <c r="CZ29">
        <v>6</v>
      </c>
      <c r="DA29">
        <v>0.5</v>
      </c>
      <c r="DB29" t="s">
        <v>418</v>
      </c>
      <c r="DC29">
        <v>2</v>
      </c>
      <c r="DD29">
        <v>1674759758.5999999</v>
      </c>
      <c r="DE29">
        <v>1130.6300000000001</v>
      </c>
      <c r="DF29">
        <v>1199.97</v>
      </c>
      <c r="DG29">
        <v>24.8644</v>
      </c>
      <c r="DH29">
        <v>18.450199999999999</v>
      </c>
      <c r="DI29">
        <v>1131.43</v>
      </c>
      <c r="DJ29">
        <v>24.621300000000002</v>
      </c>
      <c r="DK29">
        <v>500.10399999999998</v>
      </c>
      <c r="DL29">
        <v>99.145099999999999</v>
      </c>
      <c r="DM29">
        <v>9.9942500000000004E-2</v>
      </c>
      <c r="DN29">
        <v>27.994700000000002</v>
      </c>
      <c r="DO29">
        <v>27.404</v>
      </c>
      <c r="DP29">
        <v>999.9</v>
      </c>
      <c r="DQ29">
        <v>0</v>
      </c>
      <c r="DR29">
        <v>0</v>
      </c>
      <c r="DS29">
        <v>10011.200000000001</v>
      </c>
      <c r="DT29">
        <v>0</v>
      </c>
      <c r="DU29">
        <v>462.51799999999997</v>
      </c>
      <c r="DV29">
        <v>-69.343000000000004</v>
      </c>
      <c r="DW29">
        <v>1159.46</v>
      </c>
      <c r="DX29">
        <v>1222.53</v>
      </c>
      <c r="DY29">
        <v>6.4141700000000004</v>
      </c>
      <c r="DZ29">
        <v>1199.97</v>
      </c>
      <c r="EA29">
        <v>18.450199999999999</v>
      </c>
      <c r="EB29">
        <v>2.4651800000000001</v>
      </c>
      <c r="EC29">
        <v>1.82925</v>
      </c>
      <c r="ED29">
        <v>20.798400000000001</v>
      </c>
      <c r="EE29">
        <v>16.039000000000001</v>
      </c>
      <c r="EF29">
        <v>1799.92</v>
      </c>
      <c r="EG29">
        <v>0.97800299999999996</v>
      </c>
      <c r="EH29">
        <v>2.19969E-2</v>
      </c>
      <c r="EI29">
        <v>0</v>
      </c>
      <c r="EJ29">
        <v>751.072</v>
      </c>
      <c r="EK29">
        <v>5.0002599999999999</v>
      </c>
      <c r="EL29">
        <v>13863.2</v>
      </c>
      <c r="EM29">
        <v>17102.599999999999</v>
      </c>
      <c r="EN29">
        <v>48.5</v>
      </c>
      <c r="EO29">
        <v>50.061999999999998</v>
      </c>
      <c r="EP29">
        <v>49.561999999999998</v>
      </c>
      <c r="EQ29">
        <v>49</v>
      </c>
      <c r="ER29">
        <v>49.811999999999998</v>
      </c>
      <c r="ES29">
        <v>1755.44</v>
      </c>
      <c r="ET29">
        <v>39.479999999999997</v>
      </c>
      <c r="EU29">
        <v>0</v>
      </c>
      <c r="EV29">
        <v>122.6000001430511</v>
      </c>
      <c r="EW29">
        <v>0</v>
      </c>
      <c r="EX29">
        <v>750.53419230769225</v>
      </c>
      <c r="EY29">
        <v>2.1188718046666279</v>
      </c>
      <c r="EZ29">
        <v>12.714529835049779</v>
      </c>
      <c r="FA29">
        <v>13863.365384615379</v>
      </c>
      <c r="FB29">
        <v>15</v>
      </c>
      <c r="FC29">
        <v>1674759714.5999999</v>
      </c>
      <c r="FD29" t="s">
        <v>484</v>
      </c>
      <c r="FE29">
        <v>1674759713.5999999</v>
      </c>
      <c r="FF29">
        <v>1674759714.5999999</v>
      </c>
      <c r="FG29">
        <v>18</v>
      </c>
      <c r="FH29">
        <v>0.01</v>
      </c>
      <c r="FI29">
        <v>2E-3</v>
      </c>
      <c r="FJ29">
        <v>-0.83</v>
      </c>
      <c r="FK29">
        <v>8.5000000000000006E-2</v>
      </c>
      <c r="FL29">
        <v>1200</v>
      </c>
      <c r="FM29">
        <v>18</v>
      </c>
      <c r="FN29">
        <v>0.04</v>
      </c>
      <c r="FO29">
        <v>0.02</v>
      </c>
      <c r="FP29">
        <v>51.585118993535687</v>
      </c>
      <c r="FQ29">
        <v>-0.39864002896409839</v>
      </c>
      <c r="FR29">
        <v>0.10895457109625691</v>
      </c>
      <c r="FS29">
        <v>1</v>
      </c>
      <c r="FT29">
        <v>0.49184860773388378</v>
      </c>
      <c r="FU29">
        <v>-3.9024371611374079E-2</v>
      </c>
      <c r="FV29">
        <v>4.3920335980516161E-3</v>
      </c>
      <c r="FW29">
        <v>1</v>
      </c>
      <c r="FX29">
        <v>2</v>
      </c>
      <c r="FY29">
        <v>2</v>
      </c>
      <c r="FZ29" t="s">
        <v>420</v>
      </c>
      <c r="GA29">
        <v>2.9285100000000002</v>
      </c>
      <c r="GB29">
        <v>2.8069500000000001</v>
      </c>
      <c r="GC29">
        <v>0.201074</v>
      </c>
      <c r="GD29">
        <v>0.21099100000000001</v>
      </c>
      <c r="GE29">
        <v>0.114259</v>
      </c>
      <c r="GF29">
        <v>9.4174300000000002E-2</v>
      </c>
      <c r="GG29">
        <v>23717.5</v>
      </c>
      <c r="GH29">
        <v>23840.7</v>
      </c>
      <c r="GI29">
        <v>28204.400000000001</v>
      </c>
      <c r="GJ29">
        <v>27234.7</v>
      </c>
      <c r="GK29">
        <v>35861.199999999997</v>
      </c>
      <c r="GL29">
        <v>32582.5</v>
      </c>
      <c r="GM29">
        <v>41996.2</v>
      </c>
      <c r="GN29">
        <v>36958.199999999997</v>
      </c>
      <c r="GO29">
        <v>1.9210799999999999</v>
      </c>
      <c r="GP29">
        <v>1.90825</v>
      </c>
      <c r="GQ29">
        <v>5.3964600000000001E-2</v>
      </c>
      <c r="GR29">
        <v>0</v>
      </c>
      <c r="GS29">
        <v>26.5214</v>
      </c>
      <c r="GT29">
        <v>999.9</v>
      </c>
      <c r="GU29">
        <v>38.200000000000003</v>
      </c>
      <c r="GV29">
        <v>34.799999999999997</v>
      </c>
      <c r="GW29">
        <v>21.522200000000002</v>
      </c>
      <c r="GX29">
        <v>61.796599999999998</v>
      </c>
      <c r="GY29">
        <v>25.785299999999999</v>
      </c>
      <c r="GZ29">
        <v>1</v>
      </c>
      <c r="HA29">
        <v>0.40978100000000001</v>
      </c>
      <c r="HB29">
        <v>3.0285199999999999</v>
      </c>
      <c r="HC29">
        <v>20.371099999999998</v>
      </c>
      <c r="HD29">
        <v>5.2398999999999996</v>
      </c>
      <c r="HE29">
        <v>11.9381</v>
      </c>
      <c r="HF29">
        <v>4.9735500000000004</v>
      </c>
      <c r="HG29">
        <v>3.2989999999999999</v>
      </c>
      <c r="HH29">
        <v>9999</v>
      </c>
      <c r="HI29">
        <v>9999</v>
      </c>
      <c r="HJ29">
        <v>9999</v>
      </c>
      <c r="HK29">
        <v>999.9</v>
      </c>
      <c r="HL29">
        <v>1.8730199999999999</v>
      </c>
      <c r="HM29">
        <v>1.8806700000000001</v>
      </c>
      <c r="HN29">
        <v>1.8843099999999999</v>
      </c>
      <c r="HO29">
        <v>1.88097</v>
      </c>
      <c r="HP29">
        <v>1.8783399999999999</v>
      </c>
      <c r="HQ29">
        <v>1.87304</v>
      </c>
      <c r="HR29">
        <v>1.87592</v>
      </c>
      <c r="HS29">
        <v>1.88018</v>
      </c>
      <c r="HT29">
        <v>5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423</v>
      </c>
      <c r="IB29" t="s">
        <v>423</v>
      </c>
      <c r="IC29" t="s">
        <v>423</v>
      </c>
      <c r="ID29">
        <v>0</v>
      </c>
      <c r="IE29">
        <v>100</v>
      </c>
      <c r="IF29">
        <v>100</v>
      </c>
      <c r="IG29">
        <v>-0.8</v>
      </c>
      <c r="IH29">
        <v>0.24310000000000001</v>
      </c>
      <c r="II29">
        <v>-0.52724031317103115</v>
      </c>
      <c r="IJ29">
        <v>9.4905977090923709E-4</v>
      </c>
      <c r="IK29">
        <v>-1.9106666302146479E-6</v>
      </c>
      <c r="IL29">
        <v>7.5819610513223293E-10</v>
      </c>
      <c r="IM29">
        <v>-5.3943688870183998E-2</v>
      </c>
      <c r="IN29">
        <v>-1.0595840490420019E-2</v>
      </c>
      <c r="IO29">
        <v>1.2407080968752471E-3</v>
      </c>
      <c r="IP29">
        <v>-1.3015442653884381E-5</v>
      </c>
      <c r="IQ29">
        <v>33</v>
      </c>
      <c r="IR29">
        <v>2014</v>
      </c>
      <c r="IS29">
        <v>1</v>
      </c>
      <c r="IT29">
        <v>26</v>
      </c>
      <c r="IU29">
        <v>0.8</v>
      </c>
      <c r="IV29">
        <v>0.7</v>
      </c>
      <c r="IW29">
        <v>2.50122</v>
      </c>
      <c r="IX29">
        <v>2.5109900000000001</v>
      </c>
      <c r="IY29">
        <v>1.5991200000000001</v>
      </c>
      <c r="IZ29">
        <v>2.2924799999999999</v>
      </c>
      <c r="JA29">
        <v>1.5502899999999999</v>
      </c>
      <c r="JB29">
        <v>2.2229000000000001</v>
      </c>
      <c r="JC29">
        <v>37.892099999999999</v>
      </c>
      <c r="JD29">
        <v>16.084599999999998</v>
      </c>
      <c r="JE29">
        <v>18</v>
      </c>
      <c r="JF29">
        <v>483.94600000000003</v>
      </c>
      <c r="JG29">
        <v>511.28699999999998</v>
      </c>
      <c r="JH29">
        <v>22.793600000000001</v>
      </c>
      <c r="JI29">
        <v>32.385199999999998</v>
      </c>
      <c r="JJ29">
        <v>29.9999</v>
      </c>
      <c r="JK29">
        <v>32.474400000000003</v>
      </c>
      <c r="JL29">
        <v>32.445599999999999</v>
      </c>
      <c r="JM29">
        <v>50.102400000000003</v>
      </c>
      <c r="JN29">
        <v>12.170999999999999</v>
      </c>
      <c r="JO29">
        <v>19.9587</v>
      </c>
      <c r="JP29">
        <v>22.793900000000001</v>
      </c>
      <c r="JQ29">
        <v>1200</v>
      </c>
      <c r="JR29">
        <v>18.416799999999999</v>
      </c>
      <c r="JS29">
        <v>99.569599999999994</v>
      </c>
      <c r="JT29">
        <v>98.949600000000004</v>
      </c>
    </row>
    <row r="30" spans="1:280" x14ac:dyDescent="0.25">
      <c r="A30">
        <v>14</v>
      </c>
      <c r="B30">
        <v>1674759889.5999999</v>
      </c>
      <c r="C30">
        <v>1810.099999904633</v>
      </c>
      <c r="D30" t="s">
        <v>485</v>
      </c>
      <c r="E30" t="s">
        <v>486</v>
      </c>
      <c r="F30" t="s">
        <v>412</v>
      </c>
      <c r="G30" t="s">
        <v>413</v>
      </c>
      <c r="H30" t="s">
        <v>414</v>
      </c>
      <c r="I30">
        <v>1674759889.5999999</v>
      </c>
      <c r="J30">
        <f t="shared" si="0"/>
        <v>5.0892456428992486E-3</v>
      </c>
      <c r="K30">
        <f t="shared" si="1"/>
        <v>5.0892456428992485</v>
      </c>
      <c r="L30">
        <f t="shared" si="2"/>
        <v>51.091375338551487</v>
      </c>
      <c r="M30">
        <f t="shared" si="3"/>
        <v>1429.9</v>
      </c>
      <c r="N30">
        <f t="shared" si="4"/>
        <v>1203.219730138155</v>
      </c>
      <c r="O30">
        <f t="shared" si="5"/>
        <v>119.41337607323842</v>
      </c>
      <c r="P30">
        <f t="shared" si="6"/>
        <v>141.91022817380002</v>
      </c>
      <c r="Q30">
        <f t="shared" si="7"/>
        <v>0.43686050156832062</v>
      </c>
      <c r="R30">
        <f t="shared" si="8"/>
        <v>2.9129709415076852</v>
      </c>
      <c r="S30">
        <f t="shared" si="9"/>
        <v>0.4034557907482878</v>
      </c>
      <c r="T30">
        <f t="shared" si="10"/>
        <v>0.25494795789105329</v>
      </c>
      <c r="U30">
        <f t="shared" si="11"/>
        <v>344.34979965782105</v>
      </c>
      <c r="V30">
        <f t="shared" si="12"/>
        <v>28.704812391259701</v>
      </c>
      <c r="W30">
        <f t="shared" si="13"/>
        <v>27.4633</v>
      </c>
      <c r="X30">
        <f t="shared" si="14"/>
        <v>3.6777157591009337</v>
      </c>
      <c r="Y30">
        <f t="shared" si="15"/>
        <v>64.966439900524051</v>
      </c>
      <c r="Z30">
        <f t="shared" si="16"/>
        <v>2.4645675070184003</v>
      </c>
      <c r="AA30">
        <f t="shared" si="17"/>
        <v>3.7936009896680822</v>
      </c>
      <c r="AB30">
        <f t="shared" si="18"/>
        <v>1.2131482520825334</v>
      </c>
      <c r="AC30">
        <f t="shared" si="19"/>
        <v>-224.43573285185687</v>
      </c>
      <c r="AD30">
        <f t="shared" si="20"/>
        <v>83.406115879576234</v>
      </c>
      <c r="AE30">
        <f t="shared" si="21"/>
        <v>6.2244154469022268</v>
      </c>
      <c r="AF30">
        <f t="shared" si="22"/>
        <v>209.54459813244267</v>
      </c>
      <c r="AG30">
        <v>0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52207.85879693149</v>
      </c>
      <c r="AL30" t="s">
        <v>415</v>
      </c>
      <c r="AM30">
        <v>10297.6</v>
      </c>
      <c r="AN30">
        <v>785.57400000000007</v>
      </c>
      <c r="AO30">
        <v>3597.65</v>
      </c>
      <c r="AP30">
        <f t="shared" si="26"/>
        <v>0.7816424610509638</v>
      </c>
      <c r="AQ30">
        <v>-0.62398835798131469</v>
      </c>
      <c r="AR30" t="s">
        <v>487</v>
      </c>
      <c r="AS30">
        <v>10246</v>
      </c>
      <c r="AT30">
        <v>752.9020384615385</v>
      </c>
      <c r="AU30">
        <v>1114.65744469941</v>
      </c>
      <c r="AV30">
        <f t="shared" si="27"/>
        <v>0.3245440183960967</v>
      </c>
      <c r="AW30">
        <v>0.5</v>
      </c>
      <c r="AX30">
        <f t="shared" si="28"/>
        <v>1513.1003998289104</v>
      </c>
      <c r="AY30">
        <f t="shared" si="29"/>
        <v>51.091375338551487</v>
      </c>
      <c r="AZ30">
        <f t="shared" si="30"/>
        <v>245.53384199860758</v>
      </c>
      <c r="BA30">
        <f t="shared" si="31"/>
        <v>3.4178408585696214E-2</v>
      </c>
      <c r="BB30">
        <f t="shared" si="32"/>
        <v>2.2275835209355996</v>
      </c>
      <c r="BC30">
        <f t="shared" si="33"/>
        <v>528.5043710040618</v>
      </c>
      <c r="BD30" t="s">
        <v>488</v>
      </c>
      <c r="BE30">
        <v>572.37</v>
      </c>
      <c r="BF30">
        <f t="shared" si="34"/>
        <v>572.37</v>
      </c>
      <c r="BG30">
        <f t="shared" si="35"/>
        <v>0.48650591917559827</v>
      </c>
      <c r="BH30">
        <f t="shared" si="36"/>
        <v>0.66709161308057308</v>
      </c>
      <c r="BI30">
        <f t="shared" si="37"/>
        <v>0.82074801515912243</v>
      </c>
      <c r="BJ30">
        <f t="shared" si="38"/>
        <v>1.0992816930317011</v>
      </c>
      <c r="BK30">
        <f t="shared" si="39"/>
        <v>0.88297491081343105</v>
      </c>
      <c r="BL30">
        <f t="shared" si="40"/>
        <v>0.50713533378012343</v>
      </c>
      <c r="BM30">
        <f t="shared" si="41"/>
        <v>0.49286466621987657</v>
      </c>
      <c r="BN30">
        <v>251</v>
      </c>
      <c r="BO30">
        <v>290.00000000000011</v>
      </c>
      <c r="BP30">
        <v>1021.53</v>
      </c>
      <c r="BQ30">
        <v>155</v>
      </c>
      <c r="BR30">
        <v>10246</v>
      </c>
      <c r="BS30">
        <v>1021.5</v>
      </c>
      <c r="BT30">
        <v>0.03</v>
      </c>
      <c r="BU30">
        <v>300.00000000000011</v>
      </c>
      <c r="BV30">
        <v>24.1</v>
      </c>
      <c r="BW30">
        <v>1114.65744469941</v>
      </c>
      <c r="BX30">
        <v>1.4188687715652111</v>
      </c>
      <c r="BY30">
        <v>-95.45348185579526</v>
      </c>
      <c r="BZ30">
        <v>1.293041029602553</v>
      </c>
      <c r="CA30">
        <v>0.99488820562656133</v>
      </c>
      <c r="CB30">
        <v>-6.9739481646273627E-3</v>
      </c>
      <c r="CC30">
        <v>289.99999999999989</v>
      </c>
      <c r="CD30">
        <v>1018.45</v>
      </c>
      <c r="CE30">
        <v>645</v>
      </c>
      <c r="CF30">
        <v>10214.200000000001</v>
      </c>
      <c r="CG30">
        <v>1021.21</v>
      </c>
      <c r="CH30">
        <v>-2.76</v>
      </c>
      <c r="CV30">
        <f t="shared" si="42"/>
        <v>1799.9</v>
      </c>
      <c r="CW30">
        <f t="shared" si="43"/>
        <v>1513.1003998289104</v>
      </c>
      <c r="CX30">
        <f t="shared" si="44"/>
        <v>0.84065803646253145</v>
      </c>
      <c r="CY30">
        <f t="shared" si="45"/>
        <v>0.19131607292506309</v>
      </c>
      <c r="CZ30">
        <v>6</v>
      </c>
      <c r="DA30">
        <v>0.5</v>
      </c>
      <c r="DB30" t="s">
        <v>418</v>
      </c>
      <c r="DC30">
        <v>2</v>
      </c>
      <c r="DD30">
        <v>1674759889.5999999</v>
      </c>
      <c r="DE30">
        <v>1429.9</v>
      </c>
      <c r="DF30">
        <v>1499.93</v>
      </c>
      <c r="DG30">
        <v>24.833200000000001</v>
      </c>
      <c r="DH30">
        <v>18.878799999999998</v>
      </c>
      <c r="DI30">
        <v>1430.99</v>
      </c>
      <c r="DJ30">
        <v>24.593</v>
      </c>
      <c r="DK30">
        <v>500.08699999999999</v>
      </c>
      <c r="DL30">
        <v>99.1447</v>
      </c>
      <c r="DM30">
        <v>0.100162</v>
      </c>
      <c r="DN30">
        <v>27.994399999999999</v>
      </c>
      <c r="DO30">
        <v>27.4633</v>
      </c>
      <c r="DP30">
        <v>999.9</v>
      </c>
      <c r="DQ30">
        <v>0</v>
      </c>
      <c r="DR30">
        <v>0</v>
      </c>
      <c r="DS30">
        <v>9991.25</v>
      </c>
      <c r="DT30">
        <v>0</v>
      </c>
      <c r="DU30">
        <v>458.44499999999999</v>
      </c>
      <c r="DV30">
        <v>-70.027100000000004</v>
      </c>
      <c r="DW30">
        <v>1466.31</v>
      </c>
      <c r="DX30">
        <v>1528.79</v>
      </c>
      <c r="DY30">
        <v>5.9544600000000001</v>
      </c>
      <c r="DZ30">
        <v>1499.93</v>
      </c>
      <c r="EA30">
        <v>18.878799999999998</v>
      </c>
      <c r="EB30">
        <v>2.4620799999999998</v>
      </c>
      <c r="EC30">
        <v>1.8717299999999999</v>
      </c>
      <c r="ED30">
        <v>20.777999999999999</v>
      </c>
      <c r="EE30">
        <v>16.399100000000001</v>
      </c>
      <c r="EF30">
        <v>1799.9</v>
      </c>
      <c r="EG30">
        <v>0.97800299999999996</v>
      </c>
      <c r="EH30">
        <v>2.19969E-2</v>
      </c>
      <c r="EI30">
        <v>0</v>
      </c>
      <c r="EJ30">
        <v>753.31</v>
      </c>
      <c r="EK30">
        <v>5.0002599999999999</v>
      </c>
      <c r="EL30">
        <v>13909.8</v>
      </c>
      <c r="EM30">
        <v>17102.400000000001</v>
      </c>
      <c r="EN30">
        <v>48.561999999999998</v>
      </c>
      <c r="EO30">
        <v>50.061999999999998</v>
      </c>
      <c r="EP30">
        <v>49.561999999999998</v>
      </c>
      <c r="EQ30">
        <v>49.061999999999998</v>
      </c>
      <c r="ER30">
        <v>49.875</v>
      </c>
      <c r="ES30">
        <v>1755.42</v>
      </c>
      <c r="ET30">
        <v>39.479999999999997</v>
      </c>
      <c r="EU30">
        <v>0</v>
      </c>
      <c r="EV30">
        <v>129.20000004768369</v>
      </c>
      <c r="EW30">
        <v>0</v>
      </c>
      <c r="EX30">
        <v>752.9020384615385</v>
      </c>
      <c r="EY30">
        <v>2.4098803323789988</v>
      </c>
      <c r="EZ30">
        <v>61.996581142851653</v>
      </c>
      <c r="FA30">
        <v>13902.83076923077</v>
      </c>
      <c r="FB30">
        <v>15</v>
      </c>
      <c r="FC30">
        <v>1674759846.0999999</v>
      </c>
      <c r="FD30" t="s">
        <v>489</v>
      </c>
      <c r="FE30">
        <v>1674759846.0999999</v>
      </c>
      <c r="FF30">
        <v>1674759838.0999999</v>
      </c>
      <c r="FG30">
        <v>19</v>
      </c>
      <c r="FH30">
        <v>-0.23</v>
      </c>
      <c r="FI30">
        <v>-2E-3</v>
      </c>
      <c r="FJ30">
        <v>-1.073</v>
      </c>
      <c r="FK30">
        <v>9.1999999999999998E-2</v>
      </c>
      <c r="FL30">
        <v>1500</v>
      </c>
      <c r="FM30">
        <v>19</v>
      </c>
      <c r="FN30">
        <v>0.06</v>
      </c>
      <c r="FO30">
        <v>0.01</v>
      </c>
      <c r="FP30">
        <v>51.005693004601547</v>
      </c>
      <c r="FQ30">
        <v>-0.53156597377301151</v>
      </c>
      <c r="FR30">
        <v>0.1205368874214137</v>
      </c>
      <c r="FS30">
        <v>1</v>
      </c>
      <c r="FT30">
        <v>0.44980731168398808</v>
      </c>
      <c r="FU30">
        <v>-3.7640510043122112E-2</v>
      </c>
      <c r="FV30">
        <v>4.6032560344171749E-3</v>
      </c>
      <c r="FW30">
        <v>1</v>
      </c>
      <c r="FX30">
        <v>2</v>
      </c>
      <c r="FY30">
        <v>2</v>
      </c>
      <c r="FZ30" t="s">
        <v>420</v>
      </c>
      <c r="GA30">
        <v>2.92849</v>
      </c>
      <c r="GB30">
        <v>2.8069899999999999</v>
      </c>
      <c r="GC30">
        <v>0.232905</v>
      </c>
      <c r="GD30">
        <v>0.24224200000000001</v>
      </c>
      <c r="GE30">
        <v>0.11417099999999999</v>
      </c>
      <c r="GF30">
        <v>9.5729599999999998E-2</v>
      </c>
      <c r="GG30">
        <v>22771.200000000001</v>
      </c>
      <c r="GH30">
        <v>22894.2</v>
      </c>
      <c r="GI30">
        <v>28205.5</v>
      </c>
      <c r="GJ30">
        <v>27234.799999999999</v>
      </c>
      <c r="GK30">
        <v>35866.1</v>
      </c>
      <c r="GL30">
        <v>32527.1</v>
      </c>
      <c r="GM30">
        <v>41997.3</v>
      </c>
      <c r="GN30">
        <v>36958.6</v>
      </c>
      <c r="GO30">
        <v>1.9208700000000001</v>
      </c>
      <c r="GP30">
        <v>1.9106300000000001</v>
      </c>
      <c r="GQ30">
        <v>5.6222099999999997E-2</v>
      </c>
      <c r="GR30">
        <v>0</v>
      </c>
      <c r="GS30">
        <v>26.543900000000001</v>
      </c>
      <c r="GT30">
        <v>999.9</v>
      </c>
      <c r="GU30">
        <v>38.6</v>
      </c>
      <c r="GV30">
        <v>34.9</v>
      </c>
      <c r="GW30">
        <v>21.869900000000001</v>
      </c>
      <c r="GX30">
        <v>62.076599999999999</v>
      </c>
      <c r="GY30">
        <v>25.132200000000001</v>
      </c>
      <c r="GZ30">
        <v>1</v>
      </c>
      <c r="HA30">
        <v>0.40906799999999999</v>
      </c>
      <c r="HB30">
        <v>3.0513599999999999</v>
      </c>
      <c r="HC30">
        <v>20.3704</v>
      </c>
      <c r="HD30">
        <v>5.2396000000000003</v>
      </c>
      <c r="HE30">
        <v>11.9381</v>
      </c>
      <c r="HF30">
        <v>4.9736000000000002</v>
      </c>
      <c r="HG30">
        <v>3.2989999999999999</v>
      </c>
      <c r="HH30">
        <v>9999</v>
      </c>
      <c r="HI30">
        <v>9999</v>
      </c>
      <c r="HJ30">
        <v>9999</v>
      </c>
      <c r="HK30">
        <v>999.9</v>
      </c>
      <c r="HL30">
        <v>1.8730199999999999</v>
      </c>
      <c r="HM30">
        <v>1.8806499999999999</v>
      </c>
      <c r="HN30">
        <v>1.8843000000000001</v>
      </c>
      <c r="HO30">
        <v>1.88096</v>
      </c>
      <c r="HP30">
        <v>1.8783399999999999</v>
      </c>
      <c r="HQ30">
        <v>1.87303</v>
      </c>
      <c r="HR30">
        <v>1.87592</v>
      </c>
      <c r="HS30">
        <v>1.88015</v>
      </c>
      <c r="HT30">
        <v>5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423</v>
      </c>
      <c r="IB30" t="s">
        <v>423</v>
      </c>
      <c r="IC30" t="s">
        <v>423</v>
      </c>
      <c r="ID30">
        <v>0</v>
      </c>
      <c r="IE30">
        <v>100</v>
      </c>
      <c r="IF30">
        <v>100</v>
      </c>
      <c r="IG30">
        <v>-1.0900000000000001</v>
      </c>
      <c r="IH30">
        <v>0.2402</v>
      </c>
      <c r="II30">
        <v>-0.75738345194229695</v>
      </c>
      <c r="IJ30">
        <v>9.4905977090923709E-4</v>
      </c>
      <c r="IK30">
        <v>-1.9106666302146479E-6</v>
      </c>
      <c r="IL30">
        <v>7.5819610513223293E-10</v>
      </c>
      <c r="IM30">
        <v>-5.6036275775942203E-2</v>
      </c>
      <c r="IN30">
        <v>-1.0595840490420019E-2</v>
      </c>
      <c r="IO30">
        <v>1.2407080968752471E-3</v>
      </c>
      <c r="IP30">
        <v>-1.3015442653884381E-5</v>
      </c>
      <c r="IQ30">
        <v>33</v>
      </c>
      <c r="IR30">
        <v>2014</v>
      </c>
      <c r="IS30">
        <v>1</v>
      </c>
      <c r="IT30">
        <v>26</v>
      </c>
      <c r="IU30">
        <v>0.7</v>
      </c>
      <c r="IV30">
        <v>0.9</v>
      </c>
      <c r="IW30">
        <v>3.0029300000000001</v>
      </c>
      <c r="IX30">
        <v>2.49268</v>
      </c>
      <c r="IY30">
        <v>1.5991200000000001</v>
      </c>
      <c r="IZ30">
        <v>2.2936999999999999</v>
      </c>
      <c r="JA30">
        <v>1.5502899999999999</v>
      </c>
      <c r="JB30">
        <v>2.35229</v>
      </c>
      <c r="JC30">
        <v>37.867899999999999</v>
      </c>
      <c r="JD30">
        <v>16.084599999999998</v>
      </c>
      <c r="JE30">
        <v>18</v>
      </c>
      <c r="JF30">
        <v>483.70400000000001</v>
      </c>
      <c r="JG30">
        <v>512.84900000000005</v>
      </c>
      <c r="JH30">
        <v>22.795300000000001</v>
      </c>
      <c r="JI30">
        <v>32.370899999999999</v>
      </c>
      <c r="JJ30">
        <v>30.0002</v>
      </c>
      <c r="JK30">
        <v>32.459800000000001</v>
      </c>
      <c r="JL30">
        <v>32.4283</v>
      </c>
      <c r="JM30">
        <v>60.150399999999998</v>
      </c>
      <c r="JN30">
        <v>11.337999999999999</v>
      </c>
      <c r="JO30">
        <v>22.2118</v>
      </c>
      <c r="JP30">
        <v>22.793399999999998</v>
      </c>
      <c r="JQ30">
        <v>1500</v>
      </c>
      <c r="JR30">
        <v>18.846800000000002</v>
      </c>
      <c r="JS30">
        <v>99.572900000000004</v>
      </c>
      <c r="JT30">
        <v>98.950400000000002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2023-01-26T19:20:34Z</dcterms:created>
  <dcterms:modified xsi:type="dcterms:W3CDTF">2023-01-27T01:00:14Z</dcterms:modified>
</cp:coreProperties>
</file>