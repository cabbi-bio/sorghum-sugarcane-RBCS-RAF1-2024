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28" i="1" l="1"/>
  <c r="CX128" i="1"/>
  <c r="CV128" i="1"/>
  <c r="CW128" i="1"/>
  <c r="BF128" i="1"/>
  <c r="BH128" i="1"/>
  <c r="BL128" i="1"/>
  <c r="BM128" i="1"/>
  <c r="BK128" i="1"/>
  <c r="BJ128" i="1"/>
  <c r="BI128" i="1"/>
  <c r="BG128" i="1"/>
  <c r="AP128" i="1"/>
  <c r="BC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BF127" i="1"/>
  <c r="BH127" i="1"/>
  <c r="BL127" i="1"/>
  <c r="BM127" i="1"/>
  <c r="BK127" i="1"/>
  <c r="BJ127" i="1"/>
  <c r="BI127" i="1"/>
  <c r="BG127" i="1"/>
  <c r="AP127" i="1"/>
  <c r="BC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BF126" i="1"/>
  <c r="BH126" i="1"/>
  <c r="BL126" i="1"/>
  <c r="BM126" i="1"/>
  <c r="BK126" i="1"/>
  <c r="BJ126" i="1"/>
  <c r="BI126" i="1"/>
  <c r="BG126" i="1"/>
  <c r="AP126" i="1"/>
  <c r="BC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BF125" i="1"/>
  <c r="BH125" i="1"/>
  <c r="BL125" i="1"/>
  <c r="BM125" i="1"/>
  <c r="BK125" i="1"/>
  <c r="BJ125" i="1"/>
  <c r="BI125" i="1"/>
  <c r="BG125" i="1"/>
  <c r="AP125" i="1"/>
  <c r="BC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BF124" i="1"/>
  <c r="BH124" i="1"/>
  <c r="BL124" i="1"/>
  <c r="BM124" i="1"/>
  <c r="BK124" i="1"/>
  <c r="BJ124" i="1"/>
  <c r="BI124" i="1"/>
  <c r="BG124" i="1"/>
  <c r="AP124" i="1"/>
  <c r="BC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BF123" i="1"/>
  <c r="BH123" i="1"/>
  <c r="BL123" i="1"/>
  <c r="BM123" i="1"/>
  <c r="BK123" i="1"/>
  <c r="BJ123" i="1"/>
  <c r="BI123" i="1"/>
  <c r="BG123" i="1"/>
  <c r="AP123" i="1"/>
  <c r="BC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BF122" i="1"/>
  <c r="BH122" i="1"/>
  <c r="BL122" i="1"/>
  <c r="BM122" i="1"/>
  <c r="BK122" i="1"/>
  <c r="BJ122" i="1"/>
  <c r="BI122" i="1"/>
  <c r="BG122" i="1"/>
  <c r="AP122" i="1"/>
  <c r="BC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BF121" i="1"/>
  <c r="BH121" i="1"/>
  <c r="BL121" i="1"/>
  <c r="BM121" i="1"/>
  <c r="BK121" i="1"/>
  <c r="BJ121" i="1"/>
  <c r="BI121" i="1"/>
  <c r="BG121" i="1"/>
  <c r="AP121" i="1"/>
  <c r="BC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BF120" i="1"/>
  <c r="BH120" i="1"/>
  <c r="BL120" i="1"/>
  <c r="BM120" i="1"/>
  <c r="BK120" i="1"/>
  <c r="BJ120" i="1"/>
  <c r="BI120" i="1"/>
  <c r="BG120" i="1"/>
  <c r="AP120" i="1"/>
  <c r="BC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BF119" i="1"/>
  <c r="BH119" i="1"/>
  <c r="BL119" i="1"/>
  <c r="BM119" i="1"/>
  <c r="BK119" i="1"/>
  <c r="BJ119" i="1"/>
  <c r="BI119" i="1"/>
  <c r="BG119" i="1"/>
  <c r="AP119" i="1"/>
  <c r="BC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BF118" i="1"/>
  <c r="BH118" i="1"/>
  <c r="BL118" i="1"/>
  <c r="BM118" i="1"/>
  <c r="BK118" i="1"/>
  <c r="BJ118" i="1"/>
  <c r="BI118" i="1"/>
  <c r="BG118" i="1"/>
  <c r="AP118" i="1"/>
  <c r="BC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BF117" i="1"/>
  <c r="BH117" i="1"/>
  <c r="BL117" i="1"/>
  <c r="BM117" i="1"/>
  <c r="BK117" i="1"/>
  <c r="BJ117" i="1"/>
  <c r="BI117" i="1"/>
  <c r="BG117" i="1"/>
  <c r="AP117" i="1"/>
  <c r="BC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BF116" i="1"/>
  <c r="BH116" i="1"/>
  <c r="BL116" i="1"/>
  <c r="BM116" i="1"/>
  <c r="BK116" i="1"/>
  <c r="BJ116" i="1"/>
  <c r="BI116" i="1"/>
  <c r="BG116" i="1"/>
  <c r="AP116" i="1"/>
  <c r="BC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BF115" i="1"/>
  <c r="BH115" i="1"/>
  <c r="BL115" i="1"/>
  <c r="BM115" i="1"/>
  <c r="BK115" i="1"/>
  <c r="BJ115" i="1"/>
  <c r="BI115" i="1"/>
  <c r="BG115" i="1"/>
  <c r="AP115" i="1"/>
  <c r="BC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BF114" i="1"/>
  <c r="BH114" i="1"/>
  <c r="BL114" i="1"/>
  <c r="BM114" i="1"/>
  <c r="BK114" i="1"/>
  <c r="BJ114" i="1"/>
  <c r="BI114" i="1"/>
  <c r="BG114" i="1"/>
  <c r="AP114" i="1"/>
  <c r="BC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BF113" i="1"/>
  <c r="BH113" i="1"/>
  <c r="BL113" i="1"/>
  <c r="BM113" i="1"/>
  <c r="BK113" i="1"/>
  <c r="BJ113" i="1"/>
  <c r="BI113" i="1"/>
  <c r="BG113" i="1"/>
  <c r="AP113" i="1"/>
  <c r="BC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BF112" i="1"/>
  <c r="BH112" i="1"/>
  <c r="BL112" i="1"/>
  <c r="BM112" i="1"/>
  <c r="BK112" i="1"/>
  <c r="BJ112" i="1"/>
  <c r="BI112" i="1"/>
  <c r="BG112" i="1"/>
  <c r="AP112" i="1"/>
  <c r="BC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BF111" i="1"/>
  <c r="BH111" i="1"/>
  <c r="BL111" i="1"/>
  <c r="BM111" i="1"/>
  <c r="BK111" i="1"/>
  <c r="BJ111" i="1"/>
  <c r="BI111" i="1"/>
  <c r="BG111" i="1"/>
  <c r="AP111" i="1"/>
  <c r="BC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BF110" i="1"/>
  <c r="BH110" i="1"/>
  <c r="BL110" i="1"/>
  <c r="BM110" i="1"/>
  <c r="BK110" i="1"/>
  <c r="BJ110" i="1"/>
  <c r="BI110" i="1"/>
  <c r="BG110" i="1"/>
  <c r="AP110" i="1"/>
  <c r="BC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BF109" i="1"/>
  <c r="BH109" i="1"/>
  <c r="BL109" i="1"/>
  <c r="BM109" i="1"/>
  <c r="BK109" i="1"/>
  <c r="BJ109" i="1"/>
  <c r="BI109" i="1"/>
  <c r="BG109" i="1"/>
  <c r="AP109" i="1"/>
  <c r="BC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BF108" i="1"/>
  <c r="BH108" i="1"/>
  <c r="BL108" i="1"/>
  <c r="BM108" i="1"/>
  <c r="BK108" i="1"/>
  <c r="BJ108" i="1"/>
  <c r="BI108" i="1"/>
  <c r="BG108" i="1"/>
  <c r="AP108" i="1"/>
  <c r="BC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BF107" i="1"/>
  <c r="BH107" i="1"/>
  <c r="BL107" i="1"/>
  <c r="BM107" i="1"/>
  <c r="BK107" i="1"/>
  <c r="BJ107" i="1"/>
  <c r="BI107" i="1"/>
  <c r="BG107" i="1"/>
  <c r="AP107" i="1"/>
  <c r="BC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BF106" i="1"/>
  <c r="BH106" i="1"/>
  <c r="BL106" i="1"/>
  <c r="BM106" i="1"/>
  <c r="BK106" i="1"/>
  <c r="BJ106" i="1"/>
  <c r="BI106" i="1"/>
  <c r="BG106" i="1"/>
  <c r="AP106" i="1"/>
  <c r="BC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BF105" i="1"/>
  <c r="BH105" i="1"/>
  <c r="BL105" i="1"/>
  <c r="BM105" i="1"/>
  <c r="BK105" i="1"/>
  <c r="BJ105" i="1"/>
  <c r="BI105" i="1"/>
  <c r="BG105" i="1"/>
  <c r="AP105" i="1"/>
  <c r="BC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BF104" i="1"/>
  <c r="BH104" i="1"/>
  <c r="BL104" i="1"/>
  <c r="BM104" i="1"/>
  <c r="BK104" i="1"/>
  <c r="BJ104" i="1"/>
  <c r="BI104" i="1"/>
  <c r="BG104" i="1"/>
  <c r="AP104" i="1"/>
  <c r="BC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BF103" i="1"/>
  <c r="BH103" i="1"/>
  <c r="BL103" i="1"/>
  <c r="BM103" i="1"/>
  <c r="BK103" i="1"/>
  <c r="BJ103" i="1"/>
  <c r="BI103" i="1"/>
  <c r="BG103" i="1"/>
  <c r="AP103" i="1"/>
  <c r="BC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BF102" i="1"/>
  <c r="BH102" i="1"/>
  <c r="BL102" i="1"/>
  <c r="BM102" i="1"/>
  <c r="BK102" i="1"/>
  <c r="BJ102" i="1"/>
  <c r="BI102" i="1"/>
  <c r="BG102" i="1"/>
  <c r="AP102" i="1"/>
  <c r="BC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BF101" i="1"/>
  <c r="BH101" i="1"/>
  <c r="BL101" i="1"/>
  <c r="BM101" i="1"/>
  <c r="BK101" i="1"/>
  <c r="BJ101" i="1"/>
  <c r="BI101" i="1"/>
  <c r="BG101" i="1"/>
  <c r="AP101" i="1"/>
  <c r="BC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BF100" i="1"/>
  <c r="BH100" i="1"/>
  <c r="BL100" i="1"/>
  <c r="BM100" i="1"/>
  <c r="BK100" i="1"/>
  <c r="BJ100" i="1"/>
  <c r="BI100" i="1"/>
  <c r="BG100" i="1"/>
  <c r="AP100" i="1"/>
  <c r="BC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BF99" i="1"/>
  <c r="BH99" i="1"/>
  <c r="BL99" i="1"/>
  <c r="BM99" i="1"/>
  <c r="BK99" i="1"/>
  <c r="BJ99" i="1"/>
  <c r="BI99" i="1"/>
  <c r="BG99" i="1"/>
  <c r="AP99" i="1"/>
  <c r="BC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BF98" i="1"/>
  <c r="BH98" i="1"/>
  <c r="BL98" i="1"/>
  <c r="BM98" i="1"/>
  <c r="BK98" i="1"/>
  <c r="BJ98" i="1"/>
  <c r="BI98" i="1"/>
  <c r="BG98" i="1"/>
  <c r="AP98" i="1"/>
  <c r="BC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BF97" i="1"/>
  <c r="BH97" i="1"/>
  <c r="BL97" i="1"/>
  <c r="BM97" i="1"/>
  <c r="BK97" i="1"/>
  <c r="BJ97" i="1"/>
  <c r="BI97" i="1"/>
  <c r="BG97" i="1"/>
  <c r="AP97" i="1"/>
  <c r="BC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BF96" i="1"/>
  <c r="BH96" i="1"/>
  <c r="BL96" i="1"/>
  <c r="BM96" i="1"/>
  <c r="BK96" i="1"/>
  <c r="BJ96" i="1"/>
  <c r="BI96" i="1"/>
  <c r="BG96" i="1"/>
  <c r="AP96" i="1"/>
  <c r="BC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BF95" i="1"/>
  <c r="BH95" i="1"/>
  <c r="BL95" i="1"/>
  <c r="BM95" i="1"/>
  <c r="BK95" i="1"/>
  <c r="BJ95" i="1"/>
  <c r="BI95" i="1"/>
  <c r="BG95" i="1"/>
  <c r="AP95" i="1"/>
  <c r="BC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BF94" i="1"/>
  <c r="BH94" i="1"/>
  <c r="BL94" i="1"/>
  <c r="BM94" i="1"/>
  <c r="BK94" i="1"/>
  <c r="BJ94" i="1"/>
  <c r="BI94" i="1"/>
  <c r="BG94" i="1"/>
  <c r="AP94" i="1"/>
  <c r="BC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BF93" i="1"/>
  <c r="BH93" i="1"/>
  <c r="BL93" i="1"/>
  <c r="BM93" i="1"/>
  <c r="BK93" i="1"/>
  <c r="BJ93" i="1"/>
  <c r="BI93" i="1"/>
  <c r="BG93" i="1"/>
  <c r="AP93" i="1"/>
  <c r="BC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BF92" i="1"/>
  <c r="BH92" i="1"/>
  <c r="BL92" i="1"/>
  <c r="BM92" i="1"/>
  <c r="BK92" i="1"/>
  <c r="BJ92" i="1"/>
  <c r="BI92" i="1"/>
  <c r="BG92" i="1"/>
  <c r="AP92" i="1"/>
  <c r="BC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BF91" i="1"/>
  <c r="BH91" i="1"/>
  <c r="BL91" i="1"/>
  <c r="BM91" i="1"/>
  <c r="BK91" i="1"/>
  <c r="BJ91" i="1"/>
  <c r="BI91" i="1"/>
  <c r="BG91" i="1"/>
  <c r="AP91" i="1"/>
  <c r="BC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BF90" i="1"/>
  <c r="BH90" i="1"/>
  <c r="BL90" i="1"/>
  <c r="BM90" i="1"/>
  <c r="BK90" i="1"/>
  <c r="BJ90" i="1"/>
  <c r="BI90" i="1"/>
  <c r="BG90" i="1"/>
  <c r="AP90" i="1"/>
  <c r="BC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BF89" i="1"/>
  <c r="BH89" i="1"/>
  <c r="BL89" i="1"/>
  <c r="BM89" i="1"/>
  <c r="BK89" i="1"/>
  <c r="BJ89" i="1"/>
  <c r="BI89" i="1"/>
  <c r="BG89" i="1"/>
  <c r="AP89" i="1"/>
  <c r="BC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BF88" i="1"/>
  <c r="BH88" i="1"/>
  <c r="BL88" i="1"/>
  <c r="BM88" i="1"/>
  <c r="BK88" i="1"/>
  <c r="BJ88" i="1"/>
  <c r="BI88" i="1"/>
  <c r="BG88" i="1"/>
  <c r="AP88" i="1"/>
  <c r="BC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BF87" i="1"/>
  <c r="BH87" i="1"/>
  <c r="BL87" i="1"/>
  <c r="BM87" i="1"/>
  <c r="BK87" i="1"/>
  <c r="BJ87" i="1"/>
  <c r="BI87" i="1"/>
  <c r="BG87" i="1"/>
  <c r="AP87" i="1"/>
  <c r="BC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BF86" i="1"/>
  <c r="BH86" i="1"/>
  <c r="BL86" i="1"/>
  <c r="BM86" i="1"/>
  <c r="BK86" i="1"/>
  <c r="BJ86" i="1"/>
  <c r="BI86" i="1"/>
  <c r="BG86" i="1"/>
  <c r="AP86" i="1"/>
  <c r="BC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BF85" i="1"/>
  <c r="BH85" i="1"/>
  <c r="BL85" i="1"/>
  <c r="BM85" i="1"/>
  <c r="BK85" i="1"/>
  <c r="BJ85" i="1"/>
  <c r="BI85" i="1"/>
  <c r="BG85" i="1"/>
  <c r="AP85" i="1"/>
  <c r="BC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BF84" i="1"/>
  <c r="BH84" i="1"/>
  <c r="BL84" i="1"/>
  <c r="BM84" i="1"/>
  <c r="BK84" i="1"/>
  <c r="BJ84" i="1"/>
  <c r="BI84" i="1"/>
  <c r="BG84" i="1"/>
  <c r="AP84" i="1"/>
  <c r="BC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BF83" i="1"/>
  <c r="BH83" i="1"/>
  <c r="BL83" i="1"/>
  <c r="BM83" i="1"/>
  <c r="BK83" i="1"/>
  <c r="BJ83" i="1"/>
  <c r="BI83" i="1"/>
  <c r="BG83" i="1"/>
  <c r="AP83" i="1"/>
  <c r="BC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BF82" i="1"/>
  <c r="BH82" i="1"/>
  <c r="BL82" i="1"/>
  <c r="BM82" i="1"/>
  <c r="BK82" i="1"/>
  <c r="BJ82" i="1"/>
  <c r="BI82" i="1"/>
  <c r="BG82" i="1"/>
  <c r="AP82" i="1"/>
  <c r="BC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BF81" i="1"/>
  <c r="BH81" i="1"/>
  <c r="BL81" i="1"/>
  <c r="BM81" i="1"/>
  <c r="BK81" i="1"/>
  <c r="BJ81" i="1"/>
  <c r="BI81" i="1"/>
  <c r="BG81" i="1"/>
  <c r="AP81" i="1"/>
  <c r="BC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BF80" i="1"/>
  <c r="BH80" i="1"/>
  <c r="BL80" i="1"/>
  <c r="BM80" i="1"/>
  <c r="BK80" i="1"/>
  <c r="BJ80" i="1"/>
  <c r="BI80" i="1"/>
  <c r="BG80" i="1"/>
  <c r="AP80" i="1"/>
  <c r="BC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BF79" i="1"/>
  <c r="BH79" i="1"/>
  <c r="BL79" i="1"/>
  <c r="BM79" i="1"/>
  <c r="BK79" i="1"/>
  <c r="BJ79" i="1"/>
  <c r="BI79" i="1"/>
  <c r="BG79" i="1"/>
  <c r="AP79" i="1"/>
  <c r="BC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BF78" i="1"/>
  <c r="BH78" i="1"/>
  <c r="BL78" i="1"/>
  <c r="BM78" i="1"/>
  <c r="BK78" i="1"/>
  <c r="BJ78" i="1"/>
  <c r="BI78" i="1"/>
  <c r="BG78" i="1"/>
  <c r="AP78" i="1"/>
  <c r="BC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BF77" i="1"/>
  <c r="BH77" i="1"/>
  <c r="BL77" i="1"/>
  <c r="BM77" i="1"/>
  <c r="BK77" i="1"/>
  <c r="BJ77" i="1"/>
  <c r="BI77" i="1"/>
  <c r="BG77" i="1"/>
  <c r="AP77" i="1"/>
  <c r="BC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BF76" i="1"/>
  <c r="BH76" i="1"/>
  <c r="BL76" i="1"/>
  <c r="BM76" i="1"/>
  <c r="BK76" i="1"/>
  <c r="BJ76" i="1"/>
  <c r="BI76" i="1"/>
  <c r="BG76" i="1"/>
  <c r="AP76" i="1"/>
  <c r="BC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BF75" i="1"/>
  <c r="BH75" i="1"/>
  <c r="BL75" i="1"/>
  <c r="BM75" i="1"/>
  <c r="BK75" i="1"/>
  <c r="BJ75" i="1"/>
  <c r="BI75" i="1"/>
  <c r="BG75" i="1"/>
  <c r="AP75" i="1"/>
  <c r="BC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BF74" i="1"/>
  <c r="BH74" i="1"/>
  <c r="BL74" i="1"/>
  <c r="BM74" i="1"/>
  <c r="BK74" i="1"/>
  <c r="BJ74" i="1"/>
  <c r="BI74" i="1"/>
  <c r="BG74" i="1"/>
  <c r="AP74" i="1"/>
  <c r="BC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BF73" i="1"/>
  <c r="BH73" i="1"/>
  <c r="BL73" i="1"/>
  <c r="BM73" i="1"/>
  <c r="BK73" i="1"/>
  <c r="BJ73" i="1"/>
  <c r="BI73" i="1"/>
  <c r="BG73" i="1"/>
  <c r="AP73" i="1"/>
  <c r="BC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BF72" i="1"/>
  <c r="BH72" i="1"/>
  <c r="BL72" i="1"/>
  <c r="BM72" i="1"/>
  <c r="BK72" i="1"/>
  <c r="BJ72" i="1"/>
  <c r="BI72" i="1"/>
  <c r="BG72" i="1"/>
  <c r="AP72" i="1"/>
  <c r="BC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BF71" i="1"/>
  <c r="BH71" i="1"/>
  <c r="BL71" i="1"/>
  <c r="BM71" i="1"/>
  <c r="BK71" i="1"/>
  <c r="BJ71" i="1"/>
  <c r="BI71" i="1"/>
  <c r="BG71" i="1"/>
  <c r="AP71" i="1"/>
  <c r="BC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BF70" i="1"/>
  <c r="BH70" i="1"/>
  <c r="BL70" i="1"/>
  <c r="BM70" i="1"/>
  <c r="BK70" i="1"/>
  <c r="BJ70" i="1"/>
  <c r="BI70" i="1"/>
  <c r="BG70" i="1"/>
  <c r="AP70" i="1"/>
  <c r="BC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BF69" i="1"/>
  <c r="BH69" i="1"/>
  <c r="BL69" i="1"/>
  <c r="BM69" i="1"/>
  <c r="BK69" i="1"/>
  <c r="BJ69" i="1"/>
  <c r="BI69" i="1"/>
  <c r="BG69" i="1"/>
  <c r="AP69" i="1"/>
  <c r="BC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BF68" i="1"/>
  <c r="BH68" i="1"/>
  <c r="BL68" i="1"/>
  <c r="BM68" i="1"/>
  <c r="BK68" i="1"/>
  <c r="BJ68" i="1"/>
  <c r="BI68" i="1"/>
  <c r="BG68" i="1"/>
  <c r="AP68" i="1"/>
  <c r="BC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BF67" i="1"/>
  <c r="BH67" i="1"/>
  <c r="BL67" i="1"/>
  <c r="BM67" i="1"/>
  <c r="BK67" i="1"/>
  <c r="BJ67" i="1"/>
  <c r="BI67" i="1"/>
  <c r="BG67" i="1"/>
  <c r="AP67" i="1"/>
  <c r="BC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BF66" i="1"/>
  <c r="BH66" i="1"/>
  <c r="BL66" i="1"/>
  <c r="BM66" i="1"/>
  <c r="BK66" i="1"/>
  <c r="BJ66" i="1"/>
  <c r="BI66" i="1"/>
  <c r="BG66" i="1"/>
  <c r="AP66" i="1"/>
  <c r="BC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BF65" i="1"/>
  <c r="BH65" i="1"/>
  <c r="BL65" i="1"/>
  <c r="BM65" i="1"/>
  <c r="BK65" i="1"/>
  <c r="BJ65" i="1"/>
  <c r="BI65" i="1"/>
  <c r="BG65" i="1"/>
  <c r="AP65" i="1"/>
  <c r="BC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BF64" i="1"/>
  <c r="BH64" i="1"/>
  <c r="BL64" i="1"/>
  <c r="BM64" i="1"/>
  <c r="BK64" i="1"/>
  <c r="BJ64" i="1"/>
  <c r="BI64" i="1"/>
  <c r="BG64" i="1"/>
  <c r="AP64" i="1"/>
  <c r="BC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BF63" i="1"/>
  <c r="BH63" i="1"/>
  <c r="BL63" i="1"/>
  <c r="BM63" i="1"/>
  <c r="BK63" i="1"/>
  <c r="BJ63" i="1"/>
  <c r="BI63" i="1"/>
  <c r="BG63" i="1"/>
  <c r="AP63" i="1"/>
  <c r="BC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BF62" i="1"/>
  <c r="BH62" i="1"/>
  <c r="BL62" i="1"/>
  <c r="BM62" i="1"/>
  <c r="BK62" i="1"/>
  <c r="BJ62" i="1"/>
  <c r="BI62" i="1"/>
  <c r="BG62" i="1"/>
  <c r="AP62" i="1"/>
  <c r="BC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BF61" i="1"/>
  <c r="BH61" i="1"/>
  <c r="BL61" i="1"/>
  <c r="BM61" i="1"/>
  <c r="BK61" i="1"/>
  <c r="BJ61" i="1"/>
  <c r="BI61" i="1"/>
  <c r="BG61" i="1"/>
  <c r="AP61" i="1"/>
  <c r="BC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BF60" i="1"/>
  <c r="BH60" i="1"/>
  <c r="BL60" i="1"/>
  <c r="BM60" i="1"/>
  <c r="BK60" i="1"/>
  <c r="BJ60" i="1"/>
  <c r="BI60" i="1"/>
  <c r="BG60" i="1"/>
  <c r="AP60" i="1"/>
  <c r="BC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BF59" i="1"/>
  <c r="BH59" i="1"/>
  <c r="BL59" i="1"/>
  <c r="BM59" i="1"/>
  <c r="BK59" i="1"/>
  <c r="BJ59" i="1"/>
  <c r="BI59" i="1"/>
  <c r="BG59" i="1"/>
  <c r="AP59" i="1"/>
  <c r="BC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BF58" i="1"/>
  <c r="BH58" i="1"/>
  <c r="BL58" i="1"/>
  <c r="BM58" i="1"/>
  <c r="BK58" i="1"/>
  <c r="BJ58" i="1"/>
  <c r="BI58" i="1"/>
  <c r="BG58" i="1"/>
  <c r="AP58" i="1"/>
  <c r="BC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BF57" i="1"/>
  <c r="BH57" i="1"/>
  <c r="BL57" i="1"/>
  <c r="BM57" i="1"/>
  <c r="BK57" i="1"/>
  <c r="BJ57" i="1"/>
  <c r="BI57" i="1"/>
  <c r="BG57" i="1"/>
  <c r="AP57" i="1"/>
  <c r="BC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BF56" i="1"/>
  <c r="BH56" i="1"/>
  <c r="BL56" i="1"/>
  <c r="BM56" i="1"/>
  <c r="BK56" i="1"/>
  <c r="BJ56" i="1"/>
  <c r="BI56" i="1"/>
  <c r="BG56" i="1"/>
  <c r="AP56" i="1"/>
  <c r="BC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BF55" i="1"/>
  <c r="BH55" i="1"/>
  <c r="BL55" i="1"/>
  <c r="BM55" i="1"/>
  <c r="BK55" i="1"/>
  <c r="BJ55" i="1"/>
  <c r="BI55" i="1"/>
  <c r="BG55" i="1"/>
  <c r="AP55" i="1"/>
  <c r="BC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BF54" i="1"/>
  <c r="BH54" i="1"/>
  <c r="BL54" i="1"/>
  <c r="BM54" i="1"/>
  <c r="BK54" i="1"/>
  <c r="BJ54" i="1"/>
  <c r="BI54" i="1"/>
  <c r="BG54" i="1"/>
  <c r="AP54" i="1"/>
  <c r="BC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BF53" i="1"/>
  <c r="BH53" i="1"/>
  <c r="BL53" i="1"/>
  <c r="BM53" i="1"/>
  <c r="BK53" i="1"/>
  <c r="BJ53" i="1"/>
  <c r="BI53" i="1"/>
  <c r="BG53" i="1"/>
  <c r="AP53" i="1"/>
  <c r="BC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BF52" i="1"/>
  <c r="BH52" i="1"/>
  <c r="BL52" i="1"/>
  <c r="BM52" i="1"/>
  <c r="BK52" i="1"/>
  <c r="BJ52" i="1"/>
  <c r="BI52" i="1"/>
  <c r="BG52" i="1"/>
  <c r="AP52" i="1"/>
  <c r="BC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BF51" i="1"/>
  <c r="BH51" i="1"/>
  <c r="BL51" i="1"/>
  <c r="BM51" i="1"/>
  <c r="BK51" i="1"/>
  <c r="BJ51" i="1"/>
  <c r="BI51" i="1"/>
  <c r="BG51" i="1"/>
  <c r="AP51" i="1"/>
  <c r="BC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BF50" i="1"/>
  <c r="BH50" i="1"/>
  <c r="BL50" i="1"/>
  <c r="BM50" i="1"/>
  <c r="BK50" i="1"/>
  <c r="BJ50" i="1"/>
  <c r="BI50" i="1"/>
  <c r="BG50" i="1"/>
  <c r="AP50" i="1"/>
  <c r="BC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BF49" i="1"/>
  <c r="BH49" i="1"/>
  <c r="BL49" i="1"/>
  <c r="BM49" i="1"/>
  <c r="BK49" i="1"/>
  <c r="BJ49" i="1"/>
  <c r="BI49" i="1"/>
  <c r="BG49" i="1"/>
  <c r="AP49" i="1"/>
  <c r="BC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BF48" i="1"/>
  <c r="BH48" i="1"/>
  <c r="BL48" i="1"/>
  <c r="BM48" i="1"/>
  <c r="BK48" i="1"/>
  <c r="BJ48" i="1"/>
  <c r="BI48" i="1"/>
  <c r="BG48" i="1"/>
  <c r="AP48" i="1"/>
  <c r="BC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BF47" i="1"/>
  <c r="BH47" i="1"/>
  <c r="BL47" i="1"/>
  <c r="BM47" i="1"/>
  <c r="BK47" i="1"/>
  <c r="BJ47" i="1"/>
  <c r="BI47" i="1"/>
  <c r="BG47" i="1"/>
  <c r="AP47" i="1"/>
  <c r="BC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BF46" i="1"/>
  <c r="BH46" i="1"/>
  <c r="BL46" i="1"/>
  <c r="BM46" i="1"/>
  <c r="BK46" i="1"/>
  <c r="BJ46" i="1"/>
  <c r="BI46" i="1"/>
  <c r="BG46" i="1"/>
  <c r="AP46" i="1"/>
  <c r="BC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BF45" i="1"/>
  <c r="BH45" i="1"/>
  <c r="BL45" i="1"/>
  <c r="BM45" i="1"/>
  <c r="BK45" i="1"/>
  <c r="BJ45" i="1"/>
  <c r="BI45" i="1"/>
  <c r="BG45" i="1"/>
  <c r="AP45" i="1"/>
  <c r="BC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BF44" i="1"/>
  <c r="BH44" i="1"/>
  <c r="BL44" i="1"/>
  <c r="BM44" i="1"/>
  <c r="BK44" i="1"/>
  <c r="BJ44" i="1"/>
  <c r="BI44" i="1"/>
  <c r="BG44" i="1"/>
  <c r="AP44" i="1"/>
  <c r="BC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BF43" i="1"/>
  <c r="BH43" i="1"/>
  <c r="BL43" i="1"/>
  <c r="BM43" i="1"/>
  <c r="BK43" i="1"/>
  <c r="BJ43" i="1"/>
  <c r="BI43" i="1"/>
  <c r="BG43" i="1"/>
  <c r="AP43" i="1"/>
  <c r="BC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BF42" i="1"/>
  <c r="BH42" i="1"/>
  <c r="BL42" i="1"/>
  <c r="BM42" i="1"/>
  <c r="BK42" i="1"/>
  <c r="BJ42" i="1"/>
  <c r="BI42" i="1"/>
  <c r="BG42" i="1"/>
  <c r="AP42" i="1"/>
  <c r="BC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BF41" i="1"/>
  <c r="BH41" i="1"/>
  <c r="BL41" i="1"/>
  <c r="BM41" i="1"/>
  <c r="BK41" i="1"/>
  <c r="BJ41" i="1"/>
  <c r="BI41" i="1"/>
  <c r="BG41" i="1"/>
  <c r="AP41" i="1"/>
  <c r="BC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BF40" i="1"/>
  <c r="BH40" i="1"/>
  <c r="BL40" i="1"/>
  <c r="BM40" i="1"/>
  <c r="BK40" i="1"/>
  <c r="BJ40" i="1"/>
  <c r="BI40" i="1"/>
  <c r="BG40" i="1"/>
  <c r="AP40" i="1"/>
  <c r="BC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BF39" i="1"/>
  <c r="BH39" i="1"/>
  <c r="BL39" i="1"/>
  <c r="BM39" i="1"/>
  <c r="BK39" i="1"/>
  <c r="BJ39" i="1"/>
  <c r="BI39" i="1"/>
  <c r="BG39" i="1"/>
  <c r="AP39" i="1"/>
  <c r="BC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BF38" i="1"/>
  <c r="BH38" i="1"/>
  <c r="BL38" i="1"/>
  <c r="BM38" i="1"/>
  <c r="BK38" i="1"/>
  <c r="BJ38" i="1"/>
  <c r="BI38" i="1"/>
  <c r="BG38" i="1"/>
  <c r="AP38" i="1"/>
  <c r="BC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BF37" i="1"/>
  <c r="BH37" i="1"/>
  <c r="BL37" i="1"/>
  <c r="BM37" i="1"/>
  <c r="BK37" i="1"/>
  <c r="BJ37" i="1"/>
  <c r="BI37" i="1"/>
  <c r="BG37" i="1"/>
  <c r="AP37" i="1"/>
  <c r="BC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BF36" i="1"/>
  <c r="BH36" i="1"/>
  <c r="BL36" i="1"/>
  <c r="BM36" i="1"/>
  <c r="BK36" i="1"/>
  <c r="BJ36" i="1"/>
  <c r="BI36" i="1"/>
  <c r="BG36" i="1"/>
  <c r="AP36" i="1"/>
  <c r="BC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BF35" i="1"/>
  <c r="BH35" i="1"/>
  <c r="BL35" i="1"/>
  <c r="BM35" i="1"/>
  <c r="BK35" i="1"/>
  <c r="BJ35" i="1"/>
  <c r="BI35" i="1"/>
  <c r="BG35" i="1"/>
  <c r="AP35" i="1"/>
  <c r="BC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BF34" i="1"/>
  <c r="BH34" i="1"/>
  <c r="BL34" i="1"/>
  <c r="BM34" i="1"/>
  <c r="BK34" i="1"/>
  <c r="BJ34" i="1"/>
  <c r="BI34" i="1"/>
  <c r="BG34" i="1"/>
  <c r="AP34" i="1"/>
  <c r="BC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BF33" i="1"/>
  <c r="BH33" i="1"/>
  <c r="BL33" i="1"/>
  <c r="BM33" i="1"/>
  <c r="BK33" i="1"/>
  <c r="BJ33" i="1"/>
  <c r="BI33" i="1"/>
  <c r="BG33" i="1"/>
  <c r="AP33" i="1"/>
  <c r="BC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BF32" i="1"/>
  <c r="BH32" i="1"/>
  <c r="BL32" i="1"/>
  <c r="BM32" i="1"/>
  <c r="BK32" i="1"/>
  <c r="BJ32" i="1"/>
  <c r="BI32" i="1"/>
  <c r="BG32" i="1"/>
  <c r="AP32" i="1"/>
  <c r="BC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BF31" i="1"/>
  <c r="BH31" i="1"/>
  <c r="BL31" i="1"/>
  <c r="BM31" i="1"/>
  <c r="BK31" i="1"/>
  <c r="BJ31" i="1"/>
  <c r="BI31" i="1"/>
  <c r="BG31" i="1"/>
  <c r="AP31" i="1"/>
  <c r="BC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<sst xmlns="http://schemas.openxmlformats.org/spreadsheetml/2006/main" count="2742" uniqueCount="990">
  <si>
    <t>File opened</t>
  </si>
  <si>
    <t>2023-01-24 09:30:27</t>
  </si>
  <si>
    <t>Console s/n</t>
  </si>
  <si>
    <t>68C-812069</t>
  </si>
  <si>
    <t>Console ver</t>
  </si>
  <si>
    <t>Bluestem v.2.1.08</t>
  </si>
  <si>
    <t>Scripts ver</t>
  </si>
  <si>
    <t>2022.05  2.1.08, Aug 2022</t>
  </si>
  <si>
    <t>Head s/n</t>
  </si>
  <si>
    <t>68H-712059</t>
  </si>
  <si>
    <t>Head ver</t>
  </si>
  <si>
    <t>1.4.22</t>
  </si>
  <si>
    <t>Head cal</t>
  </si>
  <si>
    <t>{"oxygen": "21", "co2azero": "0.94363", "co2aspan1": "1.00103", "co2aspan2": "-0.0216606", "co2aspan2a": "0.320839", "co2aspan2b": "0.318938", "co2aspanconc1": "2490", "co2aspanconc2": "303.6", "co2bzero": "0.89717", "co2bspan1": "1.00087", "co2bspan2": "-0.0214807", "co2bspan2a": "0.324139", "co2bspan2b": "0.322165", "co2bspanconc1": "2490", "co2bspanconc2": "303.6", "h2oazero": "1.03545", "h2oaspan1": "1.00799", "h2oaspan2": "0", "h2oaspan2a": "0.068529", "h2oaspan2b": "0.0690768", "h2oaspanconc1": "12.1", "h2oaspanconc2": "0", "h2obzero": "1.02589", "h2obspan1": "1.00375", "h2obspan2": "0", "h2obspan2a": "0.0695537", "h2obspan2b": "0.0698146", "h2obspanconc1": "12.1", "h2obspanconc2": "0", "tazero": "-0.0720329", "tbzero": "-0.0343723", "flowmeterzero": "1.00802", "flowazero": "0.312", "flowbzero": "0.30578", "chamberpressurezero": "2.65847", "ssa_ref": "35252", "ssb_ref": "32437.2"}</t>
  </si>
  <si>
    <t>CO2 rangematch</t>
  </si>
  <si>
    <t>Tue Jan 10 14:12</t>
  </si>
  <si>
    <t>H2O rangematch</t>
  </si>
  <si>
    <t>Tue Jan 10 14:28</t>
  </si>
  <si>
    <t>Chamber type</t>
  </si>
  <si>
    <t>6800-01A</t>
  </si>
  <si>
    <t>Chamber s/n</t>
  </si>
  <si>
    <t>MPF-281818</t>
  </si>
  <si>
    <t>Chamber rev</t>
  </si>
  <si>
    <t>0</t>
  </si>
  <si>
    <t>Chamber cal</t>
  </si>
  <si>
    <t>Fluorometer</t>
  </si>
  <si>
    <t>Flr. Version</t>
  </si>
  <si>
    <t>09:30:27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</si>
  <si>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</si>
  <si>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</si>
  <si>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</si>
  <si>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</si>
  <si>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</si>
  <si>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</si>
  <si>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</si>
  <si>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</si>
  <si>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</si>
  <si>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</si>
  <si>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</si>
  <si>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</si>
  <si>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</si>
  <si>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</si>
  <si>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</si>
  <si>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</si>
  <si>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</si>
  <si>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</si>
  <si>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</si>
  <si>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</si>
  <si>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</si>
  <si>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</si>
  <si>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</si>
  <si>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</si>
  <si>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</si>
  <si>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</si>
  <si>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</si>
  <si>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</si>
  <si>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</si>
  <si>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</si>
  <si>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</si>
  <si>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</si>
  <si>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</si>
  <si>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</si>
  <si>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</si>
  <si>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</si>
  <si>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</si>
  <si>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</si>
  <si>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</si>
  <si>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</si>
  <si>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</si>
  <si>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</si>
  <si>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</si>
  <si>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</si>
  <si>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</si>
  <si>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</si>
  <si>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</si>
  <si>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</si>
  <si>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</si>
  <si>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</si>
  <si>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</si>
  <si>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</si>
  <si>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</si>
  <si>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2.30582 69.7766 354.618 588.15 817.411 1009.37 1215.74 1377.02</t>
  </si>
  <si>
    <t>Fs_true</t>
  </si>
  <si>
    <t>-0.148847 103.817 401.266 600.733 800.165 1000.94 1200.74 1400.8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</si>
  <si>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</si>
  <si>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</si>
  <si>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</si>
  <si>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</si>
  <si>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</si>
  <si>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</si>
  <si>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</si>
  <si>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</si>
  <si>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</si>
  <si>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</si>
  <si>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</si>
  <si>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</si>
  <si>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</si>
  <si>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</si>
  <si>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</si>
  <si>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</si>
  <si>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</si>
  <si>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</si>
  <si>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</si>
  <si>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</si>
  <si>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</si>
  <si>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</si>
  <si>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</si>
  <si>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</si>
  <si>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</si>
  <si>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</si>
  <si>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</si>
  <si>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</si>
  <si>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</si>
  <si>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</si>
  <si>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</si>
  <si>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</si>
  <si>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</si>
  <si>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</si>
  <si>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</si>
  <si>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</si>
  <si>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</si>
  <si>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</si>
  <si>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</si>
  <si>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</si>
  <si>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</si>
  <si>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</si>
  <si>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</si>
  <si>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</si>
  <si>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</si>
  <si>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</si>
  <si>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</si>
  <si>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</si>
  <si>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</si>
  <si>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</si>
  <si>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</si>
  <si>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</si>
  <si>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</si>
  <si>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</si>
  <si>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</si>
  <si>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</si>
  <si>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</si>
  <si>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</si>
  <si>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</si>
  <si>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</si>
  <si>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</si>
  <si>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</si>
  <si>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</si>
  <si>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</si>
  <si>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</si>
  <si>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</si>
  <si>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</si>
  <si>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</si>
  <si>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</si>
  <si>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</si>
  <si>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</si>
  <si>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</si>
  <si>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</si>
  <si>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</si>
  <si>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</si>
  <si>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</si>
  <si>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</si>
  <si>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</si>
  <si>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</si>
  <si>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</si>
  <si>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</si>
  <si>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</si>
  <si>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</si>
  <si>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</si>
  <si>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</si>
  <si>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</si>
  <si>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</si>
  <si>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</si>
  <si>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</si>
  <si>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</si>
  <si>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</si>
  <si>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</si>
  <si>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</si>
  <si>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</si>
  <si>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</si>
  <si>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</si>
  <si>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</si>
  <si>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</si>
  <si>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</si>
  <si>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</si>
  <si>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</si>
  <si>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</si>
  <si>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</si>
  <si>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</si>
  <si>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</si>
  <si>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</si>
  <si>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</si>
  <si>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</si>
  <si>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</si>
  <si>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</si>
  <si>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</si>
  <si>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</si>
  <si>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</si>
  <si>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</si>
  <si>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</si>
  <si>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</si>
  <si>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</si>
  <si>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</si>
  <si>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</si>
  <si>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</si>
  <si>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</si>
  <si>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</si>
  <si>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</si>
  <si>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</si>
  <si>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</si>
  <si>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</si>
  <si>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</si>
  <si>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</si>
  <si>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</si>
  <si>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</si>
  <si>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</si>
  <si>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</si>
  <si>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</si>
  <si>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</si>
  <si>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</si>
  <si>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</si>
  <si>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</si>
  <si>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</si>
  <si>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</si>
  <si>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</si>
  <si>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</si>
  <si>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</si>
  <si>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</si>
  <si>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</si>
  <si>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</si>
  <si>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</si>
  <si>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</si>
  <si>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</si>
  <si>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</si>
  <si>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</si>
  <si>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</si>
  <si>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</si>
  <si>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</si>
  <si>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</si>
  <si>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</si>
  <si>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</si>
  <si>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</si>
  <si>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</si>
  <si>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</si>
  <si>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</si>
  <si>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</si>
  <si>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</si>
  <si>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</si>
  <si>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</si>
  <si>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</si>
  <si>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</si>
  <si>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</si>
  <si>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</si>
  <si>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</si>
  <si>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</si>
  <si>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</si>
  <si>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</si>
  <si>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</si>
  <si>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</si>
  <si>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</si>
  <si>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</si>
  <si>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</si>
  <si>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</si>
  <si>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</si>
  <si>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</si>
  <si>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</si>
  <si>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</si>
  <si>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</si>
  <si>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</si>
  <si>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</si>
  <si>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</si>
  <si>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</si>
  <si>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</si>
  <si>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</si>
  <si>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</si>
  <si>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</si>
  <si>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</si>
  <si>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</si>
  <si>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</si>
  <si>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</si>
  <si>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</si>
  <si>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</si>
  <si>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</si>
  <si>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</si>
  <si>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</si>
  <si>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</si>
  <si>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</si>
  <si>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</si>
  <si>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</si>
  <si>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</si>
  <si>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</si>
  <si>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</si>
  <si>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</si>
  <si>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</si>
  <si>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</si>
  <si>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</si>
  <si>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</si>
  <si>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</si>
  <si>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</si>
  <si>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</si>
  <si>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</si>
  <si>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</si>
  <si>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</si>
  <si>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</si>
  <si>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</si>
  <si>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</si>
  <si>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</si>
  <si>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</si>
  <si>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</si>
  <si>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</si>
  <si>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</si>
  <si>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</si>
  <si>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</si>
  <si>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</si>
  <si>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</si>
  <si>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</si>
  <si>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</si>
  <si>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</si>
  <si>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</si>
  <si>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</si>
  <si>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</si>
  <si>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</si>
  <si>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</si>
  <si>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</si>
  <si>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</si>
  <si>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</si>
  <si>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</si>
  <si>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</si>
  <si>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</si>
  <si>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</si>
  <si>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</si>
  <si>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</si>
  <si>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</si>
  <si>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</si>
  <si>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</si>
  <si>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</si>
  <si>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</si>
  <si>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</si>
  <si>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</si>
  <si>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</si>
  <si>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</si>
  <si>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</si>
  <si>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</si>
  <si>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</si>
  <si>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</si>
  <si>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</si>
  <si>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</si>
  <si>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</si>
  <si>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</si>
  <si>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</si>
  <si>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</si>
  <si>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</si>
  <si>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</si>
  <si>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</si>
  <si>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</si>
  <si>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</si>
  <si>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</si>
  <si>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</si>
  <si>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</si>
  <si>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</si>
  <si>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</si>
  <si>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</si>
  <si>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</si>
  <si>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</si>
  <si>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</si>
  <si>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</si>
  <si>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</si>
  <si>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</si>
  <si>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</si>
  <si>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</si>
  <si>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</si>
  <si>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</si>
  <si>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</si>
  <si>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</si>
  <si>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</si>
  <si>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</si>
  <si>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</si>
  <si>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</si>
  <si>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</si>
  <si>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</si>
  <si>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</si>
  <si>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</si>
  <si>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</si>
  <si>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</si>
  <si>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</si>
  <si>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</si>
  <si>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</si>
  <si>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</si>
  <si>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</si>
  <si>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</si>
  <si>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</si>
  <si>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</si>
  <si>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</si>
  <si>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</si>
  <si>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</si>
  <si>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</si>
  <si>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</si>
  <si>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</si>
  <si>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</si>
  <si>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</si>
  <si>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</si>
  <si>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</si>
  <si>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</si>
  <si>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</si>
  <si>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</si>
  <si>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</si>
  <si>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</si>
  <si>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</si>
  <si>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</si>
  <si>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</si>
  <si>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</si>
  <si>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20230124 09:50:25</t>
  </si>
  <si>
    <t>09:50:25</t>
  </si>
  <si>
    <t>none</t>
  </si>
  <si>
    <t>1</t>
  </si>
  <si>
    <t>WT</t>
  </si>
  <si>
    <t>MPF-9869-20220831-11_08_06</t>
  </si>
  <si>
    <t>MPF-1-20230124-09_49_54</t>
  </si>
  <si>
    <t>DARK-2-20230124-09_50_01</t>
  </si>
  <si>
    <t>0: Broadleaf</t>
  </si>
  <si>
    <t>09:49:48</t>
  </si>
  <si>
    <t>2/2</t>
  </si>
  <si>
    <t>11111111</t>
  </si>
  <si>
    <t>oooooooo</t>
  </si>
  <si>
    <t>off</t>
  </si>
  <si>
    <t>20230124 09:52:22</t>
  </si>
  <si>
    <t>09:52:22</t>
  </si>
  <si>
    <t>MPF-3-20230124-09_51_51</t>
  </si>
  <si>
    <t>DARK-4-20230124-09_51_58</t>
  </si>
  <si>
    <t>09:51:44</t>
  </si>
  <si>
    <t>20230124 09:54:22</t>
  </si>
  <si>
    <t>09:54:22</t>
  </si>
  <si>
    <t>MPF-5-20230124-09_53_51</t>
  </si>
  <si>
    <t>DARK-6-20230124-09_53_58</t>
  </si>
  <si>
    <t>09:53:43</t>
  </si>
  <si>
    <t>20230124 09:56:24</t>
  </si>
  <si>
    <t>09:56:24</t>
  </si>
  <si>
    <t>MPF-7-20230124-09_55_53</t>
  </si>
  <si>
    <t>DARK-8-20230124-09_56_00</t>
  </si>
  <si>
    <t>09:55:47</t>
  </si>
  <si>
    <t>20230124 09:58:24</t>
  </si>
  <si>
    <t>09:58:24</t>
  </si>
  <si>
    <t>MPF-9-20230124-09_57_52</t>
  </si>
  <si>
    <t>DARK-10-20230124-09_58_00</t>
  </si>
  <si>
    <t>09:57:48</t>
  </si>
  <si>
    <t>20230124 10:00:20</t>
  </si>
  <si>
    <t>10:00:20</t>
  </si>
  <si>
    <t>MPF-11-20230124-09_59_49</t>
  </si>
  <si>
    <t>DARK-12-20230124-09_59_56</t>
  </si>
  <si>
    <t>09:59:44</t>
  </si>
  <si>
    <t>20230124 10:02:07</t>
  </si>
  <si>
    <t>10:02:07</t>
  </si>
  <si>
    <t>MPF-13-20230124-10_01_36</t>
  </si>
  <si>
    <t>DARK-14-20230124-10_01_43</t>
  </si>
  <si>
    <t>10:01:32</t>
  </si>
  <si>
    <t>20230124 10:05:17</t>
  </si>
  <si>
    <t>10:05:17</t>
  </si>
  <si>
    <t>MPF-15-20230124-10_04_46</t>
  </si>
  <si>
    <t>DARK-16-20230124-10_04_53</t>
  </si>
  <si>
    <t>10:03:58</t>
  </si>
  <si>
    <t>1/2</t>
  </si>
  <si>
    <t>20230124 10:08:07</t>
  </si>
  <si>
    <t>10:08:07</t>
  </si>
  <si>
    <t>MPF-17-20230124-10_07_36</t>
  </si>
  <si>
    <t>DARK-18-20230124-10_07_43</t>
  </si>
  <si>
    <t>10:06:45</t>
  </si>
  <si>
    <t>20230124 10:10:04</t>
  </si>
  <si>
    <t>10:10:04</t>
  </si>
  <si>
    <t>MPF-19-20230124-10_09_33</t>
  </si>
  <si>
    <t>DARK-20-20230124-10_09_40</t>
  </si>
  <si>
    <t>10:09:26</t>
  </si>
  <si>
    <t>20230124 10:11:51</t>
  </si>
  <si>
    <t>10:11:51</t>
  </si>
  <si>
    <t>MPF-21-20230124-10_11_20</t>
  </si>
  <si>
    <t>DARK-22-20230124-10_11_27</t>
  </si>
  <si>
    <t>10:11:15</t>
  </si>
  <si>
    <t>20230124 10:13:43</t>
  </si>
  <si>
    <t>10:13:43</t>
  </si>
  <si>
    <t>MPF-23-20230124-10_13_12</t>
  </si>
  <si>
    <t>DARK-24-20230124-10_13_19</t>
  </si>
  <si>
    <t>10:13:07</t>
  </si>
  <si>
    <t>20230124 10:15:46</t>
  </si>
  <si>
    <t>10:15:46</t>
  </si>
  <si>
    <t>MPF-25-20230124-10_15_15</t>
  </si>
  <si>
    <t>DARK-26-20230124-10_15_22</t>
  </si>
  <si>
    <t>10:15:08</t>
  </si>
  <si>
    <t>20230124 10:17:56</t>
  </si>
  <si>
    <t>10:17:56</t>
  </si>
  <si>
    <t>MPF-27-20230124-10_17_25</t>
  </si>
  <si>
    <t>DARK-28-20230124-10_17_32</t>
  </si>
  <si>
    <t>10:17:19</t>
  </si>
  <si>
    <t>20230124 10:37:23</t>
  </si>
  <si>
    <t>10:37:23</t>
  </si>
  <si>
    <t>2</t>
  </si>
  <si>
    <t>zg12a</t>
  </si>
  <si>
    <t>MPF-29-20230124-10_36_52</t>
  </si>
  <si>
    <t>DARK-30-20230124-10_36_59</t>
  </si>
  <si>
    <t>10:36:46</t>
  </si>
  <si>
    <t>20230124 10:39:19</t>
  </si>
  <si>
    <t>10:39:19</t>
  </si>
  <si>
    <t>MPF-31-20230124-10_38_48</t>
  </si>
  <si>
    <t>DARK-32-20230124-10_38_55</t>
  </si>
  <si>
    <t>10:38:42</t>
  </si>
  <si>
    <t>20230124 10:41:18</t>
  </si>
  <si>
    <t>10:41:18</t>
  </si>
  <si>
    <t>MPF-33-20230124-10_40_47</t>
  </si>
  <si>
    <t>DARK-34-20230124-10_40_54</t>
  </si>
  <si>
    <t>10:40:40</t>
  </si>
  <si>
    <t>20230124 10:43:15</t>
  </si>
  <si>
    <t>10:43:15</t>
  </si>
  <si>
    <t>MPF-35-20230124-10_42_44</t>
  </si>
  <si>
    <t>DARK-36-20230124-10_42_51</t>
  </si>
  <si>
    <t>10:42:38</t>
  </si>
  <si>
    <t>20230124 10:45:13</t>
  </si>
  <si>
    <t>10:45:13</t>
  </si>
  <si>
    <t>MPF-37-20230124-10_44_42</t>
  </si>
  <si>
    <t>DARK-38-20230124-10_44_49</t>
  </si>
  <si>
    <t>10:44:39</t>
  </si>
  <si>
    <t>20230124 10:47:06</t>
  </si>
  <si>
    <t>10:47:06</t>
  </si>
  <si>
    <t>MPF-39-20230124-10_46_35</t>
  </si>
  <si>
    <t>DARK-40-20230124-10_46_42</t>
  </si>
  <si>
    <t>10:46:30</t>
  </si>
  <si>
    <t>20230124 10:48:59</t>
  </si>
  <si>
    <t>10:48:59</t>
  </si>
  <si>
    <t>MPF-41-20230124-10_48_28</t>
  </si>
  <si>
    <t>DARK-42-20230124-10_48_35</t>
  </si>
  <si>
    <t>10:48:25</t>
  </si>
  <si>
    <t>20230124 10:52:09</t>
  </si>
  <si>
    <t>10:52:09</t>
  </si>
  <si>
    <t>MPF-43-20230124-10_51_38</t>
  </si>
  <si>
    <t>DARK-44-20230124-10_51_45</t>
  </si>
  <si>
    <t>10:50:14</t>
  </si>
  <si>
    <t>20230124 10:54:41</t>
  </si>
  <si>
    <t>10:54:41</t>
  </si>
  <si>
    <t>MPF-45-20230124-10_54_10</t>
  </si>
  <si>
    <t>DARK-46-20230124-10_54_17</t>
  </si>
  <si>
    <t>10:53:26</t>
  </si>
  <si>
    <t>20230124 10:56:31</t>
  </si>
  <si>
    <t>10:56:31</t>
  </si>
  <si>
    <t>MPF-47-20230124-10_56_00</t>
  </si>
  <si>
    <t>DARK-48-20230124-10_56_07</t>
  </si>
  <si>
    <t>10:55:56</t>
  </si>
  <si>
    <t>20230124 10:58:27</t>
  </si>
  <si>
    <t>10:58:27</t>
  </si>
  <si>
    <t>MPF-49-20230124-10_57_56</t>
  </si>
  <si>
    <t>DARK-50-20230124-10_58_03</t>
  </si>
  <si>
    <t>10:57:52</t>
  </si>
  <si>
    <t>20230124 11:00:13</t>
  </si>
  <si>
    <t>11:00:13</t>
  </si>
  <si>
    <t>MPF-51-20230124-10_59_42</t>
  </si>
  <si>
    <t>DARK-52-20230124-10_59_49</t>
  </si>
  <si>
    <t>10:59:38</t>
  </si>
  <si>
    <t>20230124 11:02:10</t>
  </si>
  <si>
    <t>11:02:10</t>
  </si>
  <si>
    <t>MPF-53-20230124-11_01_39</t>
  </si>
  <si>
    <t>DARK-54-20230124-11_01_46</t>
  </si>
  <si>
    <t>11:01:30</t>
  </si>
  <si>
    <t>20230124 11:04:03</t>
  </si>
  <si>
    <t>11:04:03</t>
  </si>
  <si>
    <t>MPF-55-20230124-11_03_32</t>
  </si>
  <si>
    <t>DARK-56-20230124-11_03_39</t>
  </si>
  <si>
    <t>11:03:26</t>
  </si>
  <si>
    <t>20230124 11:24:54</t>
  </si>
  <si>
    <t>11:24:54</t>
  </si>
  <si>
    <t>3</t>
  </si>
  <si>
    <t>zg5b</t>
  </si>
  <si>
    <t>MPF-57-20230124-11_24_23</t>
  </si>
  <si>
    <t>DARK-58-20230124-11_24_31</t>
  </si>
  <si>
    <t>11:24:19</t>
  </si>
  <si>
    <t>20230124 11:26:50</t>
  </si>
  <si>
    <t>11:26:50</t>
  </si>
  <si>
    <t>MPF-59-20230124-11_26_19</t>
  </si>
  <si>
    <t>DARK-60-20230124-11_26_26</t>
  </si>
  <si>
    <t>11:26:13</t>
  </si>
  <si>
    <t>20230124 11:29:03</t>
  </si>
  <si>
    <t>11:29:03</t>
  </si>
  <si>
    <t>MPF-61-20230124-11_28_32</t>
  </si>
  <si>
    <t>DARK-62-20230124-11_28_39</t>
  </si>
  <si>
    <t>11:28:26</t>
  </si>
  <si>
    <t>20230124 11:31:02</t>
  </si>
  <si>
    <t>11:31:02</t>
  </si>
  <si>
    <t>MPF-63-20230124-11_30_31</t>
  </si>
  <si>
    <t>DARK-64-20230124-11_30_39</t>
  </si>
  <si>
    <t>11:30:25</t>
  </si>
  <si>
    <t>20230124 11:32:55</t>
  </si>
  <si>
    <t>11:32:55</t>
  </si>
  <si>
    <t>MPF-65-20230124-11_32_24</t>
  </si>
  <si>
    <t>DARK-66-20230124-11_32_31</t>
  </si>
  <si>
    <t>11:32:19</t>
  </si>
  <si>
    <t>20230124 11:35:14</t>
  </si>
  <si>
    <t>11:35:14</t>
  </si>
  <si>
    <t>MPF-67-20230124-11_34_43</t>
  </si>
  <si>
    <t>DARK-68-20230124-11_34_50</t>
  </si>
  <si>
    <t>11:34:39</t>
  </si>
  <si>
    <t>20230124 11:37:25</t>
  </si>
  <si>
    <t>11:37:25</t>
  </si>
  <si>
    <t>MPF-69-20230124-11_36_54</t>
  </si>
  <si>
    <t>DARK-70-20230124-11_37_02</t>
  </si>
  <si>
    <t>11:36:50</t>
  </si>
  <si>
    <t>20230124 11:40:35</t>
  </si>
  <si>
    <t>11:40:35</t>
  </si>
  <si>
    <t>MPF-71-20230124-11_40_04</t>
  </si>
  <si>
    <t>DARK-72-20230124-11_40_12</t>
  </si>
  <si>
    <t>11:39:46</t>
  </si>
  <si>
    <t>0/2</t>
  </si>
  <si>
    <t>20230124 11:43:18</t>
  </si>
  <si>
    <t>11:43:18</t>
  </si>
  <si>
    <t>MPF-73-20230124-11_42_47</t>
  </si>
  <si>
    <t>DARK-74-20230124-11_42_54</t>
  </si>
  <si>
    <t>11:42:41</t>
  </si>
  <si>
    <t>20230124 11:45:13</t>
  </si>
  <si>
    <t>11:45:13</t>
  </si>
  <si>
    <t>MPF-75-20230124-11_44_42</t>
  </si>
  <si>
    <t>DARK-76-20230124-11_44_49</t>
  </si>
  <si>
    <t>11:44:40</t>
  </si>
  <si>
    <t>20230124 11:47:41</t>
  </si>
  <si>
    <t>11:47:41</t>
  </si>
  <si>
    <t>MPF-77-20230124-11_47_10</t>
  </si>
  <si>
    <t>DARK-78-20230124-11_47_18</t>
  </si>
  <si>
    <t>11:47:02</t>
  </si>
  <si>
    <t>20230124 11:49:27</t>
  </si>
  <si>
    <t>11:49:27</t>
  </si>
  <si>
    <t>MPF-79-20230124-11_48_56</t>
  </si>
  <si>
    <t>DARK-80-20230124-11_49_04</t>
  </si>
  <si>
    <t>11:48:51</t>
  </si>
  <si>
    <t>20230124 11:51:27</t>
  </si>
  <si>
    <t>11:51:27</t>
  </si>
  <si>
    <t>MPF-81-20230124-11_50_56</t>
  </si>
  <si>
    <t>DARK-82-20230124-11_51_04</t>
  </si>
  <si>
    <t>11:50:53</t>
  </si>
  <si>
    <t>20230124 11:53:25</t>
  </si>
  <si>
    <t>11:53:25</t>
  </si>
  <si>
    <t>MPF-83-20230124-11_52_54</t>
  </si>
  <si>
    <t>DARK-84-20230124-11_53_02</t>
  </si>
  <si>
    <t>11:52:47</t>
  </si>
  <si>
    <t>20230124 12:20:24</t>
  </si>
  <si>
    <t>12:20:24</t>
  </si>
  <si>
    <t>hn1a</t>
  </si>
  <si>
    <t>MPF-85-20230124-12_19_53</t>
  </si>
  <si>
    <t>DARK-86-20230124-12_20_00</t>
  </si>
  <si>
    <t>12:19:47</t>
  </si>
  <si>
    <t>20230124 12:22:24</t>
  </si>
  <si>
    <t>12:22:24</t>
  </si>
  <si>
    <t>MPF-87-20230124-12_21_53</t>
  </si>
  <si>
    <t>DARK-88-20230124-12_22_00</t>
  </si>
  <si>
    <t>12:21:46</t>
  </si>
  <si>
    <t>20230124 12:24:29</t>
  </si>
  <si>
    <t>12:24:29</t>
  </si>
  <si>
    <t>MPF-89-20230124-12_23_58</t>
  </si>
  <si>
    <t>DARK-90-20230124-12_24_05</t>
  </si>
  <si>
    <t>12:23:53</t>
  </si>
  <si>
    <t>20230124 12:26:19</t>
  </si>
  <si>
    <t>12:26:19</t>
  </si>
  <si>
    <t>MPF-91-20230124-12_25_48</t>
  </si>
  <si>
    <t>DARK-92-20230124-12_25_56</t>
  </si>
  <si>
    <t>12:25:44</t>
  </si>
  <si>
    <t>20230124 12:28:30</t>
  </si>
  <si>
    <t>12:28:30</t>
  </si>
  <si>
    <t>MPF-93-20230124-12_27_59</t>
  </si>
  <si>
    <t>DARK-94-20230124-12_28_07</t>
  </si>
  <si>
    <t>12:27:54</t>
  </si>
  <si>
    <t>20230124 12:30:22</t>
  </si>
  <si>
    <t>12:30:22</t>
  </si>
  <si>
    <t>MPF-95-20230124-12_29_51</t>
  </si>
  <si>
    <t>DARK-96-20230124-12_29_58</t>
  </si>
  <si>
    <t>12:29:46</t>
  </si>
  <si>
    <t>20230124 12:32:16</t>
  </si>
  <si>
    <t>12:32:16</t>
  </si>
  <si>
    <t>MPF-97-20230124-12_31_45</t>
  </si>
  <si>
    <t>DARK-98-20230124-12_31_52</t>
  </si>
  <si>
    <t>12:31:40</t>
  </si>
  <si>
    <t>20230124 12:35:25</t>
  </si>
  <si>
    <t>12:35:25</t>
  </si>
  <si>
    <t>MPF-99-20230124-12_34_54</t>
  </si>
  <si>
    <t>DARK-100-20230124-12_35_02</t>
  </si>
  <si>
    <t>12:33:33</t>
  </si>
  <si>
    <t>20230124 12:37:44</t>
  </si>
  <si>
    <t>12:37:44</t>
  </si>
  <si>
    <t>MPF-101-20230124-12_37_13</t>
  </si>
  <si>
    <t>DARK-102-20230124-12_37_20</t>
  </si>
  <si>
    <t>12:36:36</t>
  </si>
  <si>
    <t>20230124 12:39:40</t>
  </si>
  <si>
    <t>12:39:40</t>
  </si>
  <si>
    <t>MPF-103-20230124-12_39_09</t>
  </si>
  <si>
    <t>DARK-104-20230124-12_39_16</t>
  </si>
  <si>
    <t>12:39:04</t>
  </si>
  <si>
    <t>20230124 12:41:33</t>
  </si>
  <si>
    <t>12:41:33</t>
  </si>
  <si>
    <t>MPF-105-20230124-12_41_02</t>
  </si>
  <si>
    <t>DARK-106-20230124-12_41_09</t>
  </si>
  <si>
    <t>12:41:00</t>
  </si>
  <si>
    <t>20230124 12:43:32</t>
  </si>
  <si>
    <t>12:43:32</t>
  </si>
  <si>
    <t>MPF-107-20230124-12_43_01</t>
  </si>
  <si>
    <t>DARK-108-20230124-12_43_08</t>
  </si>
  <si>
    <t>12:42:56</t>
  </si>
  <si>
    <t>20230124 12:45:24</t>
  </si>
  <si>
    <t>12:45:24</t>
  </si>
  <si>
    <t>MPF-109-20230124-12_44_53</t>
  </si>
  <si>
    <t>DARK-110-20230124-12_45_01</t>
  </si>
  <si>
    <t>12:44:47</t>
  </si>
  <si>
    <t>20230124 12:47:12</t>
  </si>
  <si>
    <t>12:47:12</t>
  </si>
  <si>
    <t>MPF-111-20230124-12_46_41</t>
  </si>
  <si>
    <t>DARK-112-20230124-12_46_49</t>
  </si>
  <si>
    <t>12:46:38</t>
  </si>
  <si>
    <t>20230124 13:45:26</t>
  </si>
  <si>
    <t>13:45:26</t>
  </si>
  <si>
    <t>5</t>
  </si>
  <si>
    <t>MPF-113-20230124-13_44_55</t>
  </si>
  <si>
    <t>DARK-114-20230124-13_45_03</t>
  </si>
  <si>
    <t>13:44:50</t>
  </si>
  <si>
    <t>20230124 13:47:22</t>
  </si>
  <si>
    <t>13:47:22</t>
  </si>
  <si>
    <t>MPF-115-20230124-13_46_51</t>
  </si>
  <si>
    <t>DARK-116-20230124-13_46_58</t>
  </si>
  <si>
    <t>13:46:42</t>
  </si>
  <si>
    <t>20230124 13:49:25</t>
  </si>
  <si>
    <t>13:49:25</t>
  </si>
  <si>
    <t>MPF-117-20230124-13_48_54</t>
  </si>
  <si>
    <t>DARK-118-20230124-13_49_02</t>
  </si>
  <si>
    <t>13:48:47</t>
  </si>
  <si>
    <t>20230124 13:51:39</t>
  </si>
  <si>
    <t>13:51:39</t>
  </si>
  <si>
    <t>MPF-119-20230124-13_51_08</t>
  </si>
  <si>
    <t>DARK-120-20230124-13_51_16</t>
  </si>
  <si>
    <t>13:51:04</t>
  </si>
  <si>
    <t>20230124 13:53:57</t>
  </si>
  <si>
    <t>13:53:57</t>
  </si>
  <si>
    <t>MPF-121-20230124-13_53_26</t>
  </si>
  <si>
    <t>DARK-122-20230124-13_53_33</t>
  </si>
  <si>
    <t>13:53:20</t>
  </si>
  <si>
    <t>20230124 13:56:08</t>
  </si>
  <si>
    <t>13:56:08</t>
  </si>
  <si>
    <t>MPF-123-20230124-13_55_37</t>
  </si>
  <si>
    <t>DARK-124-20230124-13_55_44</t>
  </si>
  <si>
    <t>13:55:32</t>
  </si>
  <si>
    <t>20230124 13:57:58</t>
  </si>
  <si>
    <t>13:57:58</t>
  </si>
  <si>
    <t>MPF-125-20230124-13_57_27</t>
  </si>
  <si>
    <t>DARK-126-20230124-13_57_34</t>
  </si>
  <si>
    <t>13:57:21</t>
  </si>
  <si>
    <t>20230124 14:01:07</t>
  </si>
  <si>
    <t>14:01:07</t>
  </si>
  <si>
    <t>MPF-127-20230124-14_00_37</t>
  </si>
  <si>
    <t>DARK-128-20230124-14_00_44</t>
  </si>
  <si>
    <t>13:59:15</t>
  </si>
  <si>
    <t>20230124 14:04:17</t>
  </si>
  <si>
    <t>14:04:17</t>
  </si>
  <si>
    <t>MPF-129-20230124-14_03_46</t>
  </si>
  <si>
    <t>DARK-130-20230124-14_03_53</t>
  </si>
  <si>
    <t>14:02:18</t>
  </si>
  <si>
    <t>20230124 14:06:07</t>
  </si>
  <si>
    <t>14:06:07</t>
  </si>
  <si>
    <t>MPF-131-20230124-14_05_36</t>
  </si>
  <si>
    <t>DARK-132-20230124-14_05_43</t>
  </si>
  <si>
    <t>14:05:31</t>
  </si>
  <si>
    <t>20230124 14:08:00</t>
  </si>
  <si>
    <t>14:08:00</t>
  </si>
  <si>
    <t>MPF-133-20230124-14_07_30</t>
  </si>
  <si>
    <t>DARK-134-20230124-14_07_37</t>
  </si>
  <si>
    <t>14:07:24</t>
  </si>
  <si>
    <t>20230124 14:09:52</t>
  </si>
  <si>
    <t>14:09:52</t>
  </si>
  <si>
    <t>MPF-135-20230124-14_09_21</t>
  </si>
  <si>
    <t>DARK-136-20230124-14_09_28</t>
  </si>
  <si>
    <t>14:09:16</t>
  </si>
  <si>
    <t>20230124 14:11:40</t>
  </si>
  <si>
    <t>14:11:40</t>
  </si>
  <si>
    <t>MPF-137-20230124-14_11_10</t>
  </si>
  <si>
    <t>DARK-138-20230124-14_11_17</t>
  </si>
  <si>
    <t>14:11:05</t>
  </si>
  <si>
    <t>20230124 14:13:26</t>
  </si>
  <si>
    <t>14:13:26</t>
  </si>
  <si>
    <t>MPF-139-20230124-14_12_56</t>
  </si>
  <si>
    <t>DARK-140-20230124-14_13_03</t>
  </si>
  <si>
    <t>14:12:50</t>
  </si>
  <si>
    <t>20230124 14:41:43</t>
  </si>
  <si>
    <t>14:41:43</t>
  </si>
  <si>
    <t>6</t>
  </si>
  <si>
    <t>MPF-141-20230124-14_41_12</t>
  </si>
  <si>
    <t>DARK-142-20230124-14_41_19</t>
  </si>
  <si>
    <t>14:41:04</t>
  </si>
  <si>
    <t>20230124 14:43:49</t>
  </si>
  <si>
    <t>14:43:49</t>
  </si>
  <si>
    <t>MPF-143-20230124-14_43_19</t>
  </si>
  <si>
    <t>DARK-144-20230124-14_43_26</t>
  </si>
  <si>
    <t>14:43:10</t>
  </si>
  <si>
    <t>20230124 14:46:05</t>
  </si>
  <si>
    <t>14:46:05</t>
  </si>
  <si>
    <t>MPF-145-20230124-14_45_34</t>
  </si>
  <si>
    <t>DARK-146-20230124-14_45_41</t>
  </si>
  <si>
    <t>14:45:26</t>
  </si>
  <si>
    <t>20230124 14:47:59</t>
  </si>
  <si>
    <t>14:47:59</t>
  </si>
  <si>
    <t>MPF-147-20230124-14_47_29</t>
  </si>
  <si>
    <t>DARK-148-20230124-14_47_36</t>
  </si>
  <si>
    <t>14:47:23</t>
  </si>
  <si>
    <t>20230124 14:49:55</t>
  </si>
  <si>
    <t>14:49:55</t>
  </si>
  <si>
    <t>MPF-149-20230124-14_49_24</t>
  </si>
  <si>
    <t>DARK-150-20230124-14_49_31</t>
  </si>
  <si>
    <t>14:49:19</t>
  </si>
  <si>
    <t>20230124 14:51:49</t>
  </si>
  <si>
    <t>14:51:49</t>
  </si>
  <si>
    <t>MPF-151-20230124-14_51_19</t>
  </si>
  <si>
    <t>DARK-152-20230124-14_51_26</t>
  </si>
  <si>
    <t>14:51:13</t>
  </si>
  <si>
    <t>20230124 14:53:51</t>
  </si>
  <si>
    <t>14:53:51</t>
  </si>
  <si>
    <t>MPF-153-20230124-14_53_21</t>
  </si>
  <si>
    <t>DARK-154-20230124-14_53_28</t>
  </si>
  <si>
    <t>14:53:16</t>
  </si>
  <si>
    <t>20230124 14:57:01</t>
  </si>
  <si>
    <t>14:57:01</t>
  </si>
  <si>
    <t>MPF-155-20230124-14_56_30</t>
  </si>
  <si>
    <t>DARK-156-20230124-14_56_37</t>
  </si>
  <si>
    <t>14:55:05</t>
  </si>
  <si>
    <t>20230124 15:00:10</t>
  </si>
  <si>
    <t>15:00:10</t>
  </si>
  <si>
    <t>MPF-157-20230124-14_59_40</t>
  </si>
  <si>
    <t>DARK-158-20230124-14_59_47</t>
  </si>
  <si>
    <t>14:58:18</t>
  </si>
  <si>
    <t>20230124 15:02:24</t>
  </si>
  <si>
    <t>15:02:24</t>
  </si>
  <si>
    <t>MPF-159-20230124-15_01_53</t>
  </si>
  <si>
    <t>DARK-160-20230124-15_02_01</t>
  </si>
  <si>
    <t>15:01:46</t>
  </si>
  <si>
    <t>20230124 15:04:22</t>
  </si>
  <si>
    <t>15:04:22</t>
  </si>
  <si>
    <t>MPF-161-20230124-15_03_51</t>
  </si>
  <si>
    <t>DARK-162-20230124-15_03_59</t>
  </si>
  <si>
    <t>15:03:43</t>
  </si>
  <si>
    <t>20230124 15:06:17</t>
  </si>
  <si>
    <t>15:06:17</t>
  </si>
  <si>
    <t>MPF-163-20230124-15_05_47</t>
  </si>
  <si>
    <t>DARK-164-20230124-15_05_54</t>
  </si>
  <si>
    <t>15:05:35</t>
  </si>
  <si>
    <t>20230124 15:08:07</t>
  </si>
  <si>
    <t>15:08:07</t>
  </si>
  <si>
    <t>MPF-165-20230124-15_07_37</t>
  </si>
  <si>
    <t>DARK-166-20230124-15_07_44</t>
  </si>
  <si>
    <t>15:07:31</t>
  </si>
  <si>
    <t>20230124 15:10:06</t>
  </si>
  <si>
    <t>15:10:06</t>
  </si>
  <si>
    <t>MPF-167-20230124-15_09_36</t>
  </si>
  <si>
    <t>DARK-168-20230124-15_09_43</t>
  </si>
  <si>
    <t>15:09:24</t>
  </si>
  <si>
    <t>20230124 15:33:26</t>
  </si>
  <si>
    <t>15:33:26</t>
  </si>
  <si>
    <t>7</t>
  </si>
  <si>
    <t>MPF-169-20230124-15_32_55</t>
  </si>
  <si>
    <t>DARK-170-20230124-15_33_03</t>
  </si>
  <si>
    <t>15:32:48</t>
  </si>
  <si>
    <t>20230124 15:35:24</t>
  </si>
  <si>
    <t>15:35:24</t>
  </si>
  <si>
    <t>MPF-171-20230124-15_34_54</t>
  </si>
  <si>
    <t>DARK-172-20230124-15_35_01</t>
  </si>
  <si>
    <t>15:34:46</t>
  </si>
  <si>
    <t>20230124 15:37:47</t>
  </si>
  <si>
    <t>15:37:47</t>
  </si>
  <si>
    <t>MPF-173-20230124-15_37_16</t>
  </si>
  <si>
    <t>DARK-174-20230124-15_37_24</t>
  </si>
  <si>
    <t>15:38:23</t>
  </si>
  <si>
    <t>20230124 15:40:25</t>
  </si>
  <si>
    <t>15:40:25</t>
  </si>
  <si>
    <t>MPF-175-20230124-15_39_54</t>
  </si>
  <si>
    <t>DARK-176-20230124-15_40_02</t>
  </si>
  <si>
    <t>15:39:49</t>
  </si>
  <si>
    <t>20230124 15:42:32</t>
  </si>
  <si>
    <t>15:42:32</t>
  </si>
  <si>
    <t>MPF-177-20230124-15_42_01</t>
  </si>
  <si>
    <t>DARK-178-20230124-15_42_09</t>
  </si>
  <si>
    <t>15:41:55</t>
  </si>
  <si>
    <t>20230124 15:44:24</t>
  </si>
  <si>
    <t>15:44:24</t>
  </si>
  <si>
    <t>MPF-179-20230124-15_43_53</t>
  </si>
  <si>
    <t>DARK-180-20230124-15_44_01</t>
  </si>
  <si>
    <t>15:43:48</t>
  </si>
  <si>
    <t>20230124 15:46:11</t>
  </si>
  <si>
    <t>15:46:11</t>
  </si>
  <si>
    <t>MPF-181-20230124-15_45_40</t>
  </si>
  <si>
    <t>DARK-182-20230124-15_45_48</t>
  </si>
  <si>
    <t>15:45:33</t>
  </si>
  <si>
    <t>20230124 15:49:20</t>
  </si>
  <si>
    <t>15:49:20</t>
  </si>
  <si>
    <t>MPF-183-20230124-15_48_50</t>
  </si>
  <si>
    <t>DARK-184-20230124-15_48_57</t>
  </si>
  <si>
    <t>15:47:35</t>
  </si>
  <si>
    <t>20230124 15:52:30</t>
  </si>
  <si>
    <t>15:52:30</t>
  </si>
  <si>
    <t>MPF-185-20230124-15_51_59</t>
  </si>
  <si>
    <t>DARK-186-20230124-15_52_07</t>
  </si>
  <si>
    <t>15:50:29</t>
  </si>
  <si>
    <t>20230124 15:54:29</t>
  </si>
  <si>
    <t>15:54:29</t>
  </si>
  <si>
    <t>MPF-187-20230124-15_53_58</t>
  </si>
  <si>
    <t>DARK-188-20230124-15_54_06</t>
  </si>
  <si>
    <t>15:53:52</t>
  </si>
  <si>
    <t>20230124 15:56:24</t>
  </si>
  <si>
    <t>15:56:24</t>
  </si>
  <si>
    <t>MPF-189-20230124-15_55_54</t>
  </si>
  <si>
    <t>DARK-190-20230124-15_56_01</t>
  </si>
  <si>
    <t>15:55:47</t>
  </si>
  <si>
    <t>20230124 15:58:16</t>
  </si>
  <si>
    <t>15:58:16</t>
  </si>
  <si>
    <t>MPF-191-20230124-15_57_46</t>
  </si>
  <si>
    <t>DARK-192-20230124-15_57_53</t>
  </si>
  <si>
    <t>15:57:36</t>
  </si>
  <si>
    <t>20230124 16:00:20</t>
  </si>
  <si>
    <t>16:00:20</t>
  </si>
  <si>
    <t>MPF-193-20230124-15_59_50</t>
  </si>
  <si>
    <t>DARK-194-20230124-15_59_57</t>
  </si>
  <si>
    <t>15:59:40</t>
  </si>
  <si>
    <t>20230124 16:02:14</t>
  </si>
  <si>
    <t>16:02:14</t>
  </si>
  <si>
    <t>MPF-195-20230124-16_01_44</t>
  </si>
  <si>
    <t>DARK-196-20230124-16_01_51</t>
  </si>
  <si>
    <t>16:01:35</t>
  </si>
  <si>
    <t>20230124 16:26:09</t>
  </si>
  <si>
    <t>16:26:09</t>
  </si>
  <si>
    <t>8</t>
  </si>
  <si>
    <t>MPF-197-20230124-16_25_39</t>
  </si>
  <si>
    <t>DARK-198-20230124-16_25_46</t>
  </si>
  <si>
    <t>16:25:31</t>
  </si>
  <si>
    <t>20230124 16:28:03</t>
  </si>
  <si>
    <t>16:28:03</t>
  </si>
  <si>
    <t>MPF-199-20230124-16_27_33</t>
  </si>
  <si>
    <t>DARK-200-20230124-16_27_40</t>
  </si>
  <si>
    <t>16:27:27</t>
  </si>
  <si>
    <t>20230124 16:30:24</t>
  </si>
  <si>
    <t>16:30:24</t>
  </si>
  <si>
    <t>MPF-201-20230124-16_29_54</t>
  </si>
  <si>
    <t>DARK-202-20230124-16_30_01</t>
  </si>
  <si>
    <t>16:29:24</t>
  </si>
  <si>
    <t>20230124 16:32:25</t>
  </si>
  <si>
    <t>16:32:25</t>
  </si>
  <si>
    <t>MPF-203-20230124-16_31_54</t>
  </si>
  <si>
    <t>DARK-204-20230124-16_32_02</t>
  </si>
  <si>
    <t>16:31:47</t>
  </si>
  <si>
    <t>20230124 16:34:19</t>
  </si>
  <si>
    <t>16:34:19</t>
  </si>
  <si>
    <t>MPF-205-20230124-16_33_49</t>
  </si>
  <si>
    <t>DARK-206-20230124-16_33_56</t>
  </si>
  <si>
    <t>16:33:44</t>
  </si>
  <si>
    <t>20230124 16:36:28</t>
  </si>
  <si>
    <t>16:36:28</t>
  </si>
  <si>
    <t>MPF-207-20230124-16_35_57</t>
  </si>
  <si>
    <t>DARK-208-20230124-16_36_05</t>
  </si>
  <si>
    <t>16:35:52</t>
  </si>
  <si>
    <t>20230124 16:38:20</t>
  </si>
  <si>
    <t>16:38:20</t>
  </si>
  <si>
    <t>MPF-209-20230124-16_37_49</t>
  </si>
  <si>
    <t>DARK-210-20230124-16_37_57</t>
  </si>
  <si>
    <t>16:37:42</t>
  </si>
  <si>
    <t>20230124 16:41:29</t>
  </si>
  <si>
    <t>16:41:29</t>
  </si>
  <si>
    <t>MPF-211-20230124-16_40_59</t>
  </si>
  <si>
    <t>DARK-212-20230124-16_41_06</t>
  </si>
  <si>
    <t>16:39:48</t>
  </si>
  <si>
    <t>20230124 16:44:39</t>
  </si>
  <si>
    <t>16:44:39</t>
  </si>
  <si>
    <t>MPF-213-20230124-16_44_08</t>
  </si>
  <si>
    <t>DARK-214-20230124-16_44_16</t>
  </si>
  <si>
    <t>16:42:41</t>
  </si>
  <si>
    <t>20230124 16:46:33</t>
  </si>
  <si>
    <t>16:46:33</t>
  </si>
  <si>
    <t>MPF-215-20230124-16_46_03</t>
  </si>
  <si>
    <t>DARK-216-20230124-16_46_10</t>
  </si>
  <si>
    <t>16:45:56</t>
  </si>
  <si>
    <t>20230124 16:48:26</t>
  </si>
  <si>
    <t>16:48:26</t>
  </si>
  <si>
    <t>MPF-217-20230124-16_47_55</t>
  </si>
  <si>
    <t>DARK-218-20230124-16_48_03</t>
  </si>
  <si>
    <t>16:47:49</t>
  </si>
  <si>
    <t>20230124 16:50:16</t>
  </si>
  <si>
    <t>16:50:16</t>
  </si>
  <si>
    <t>MPF-219-20230124-16_49_46</t>
  </si>
  <si>
    <t>DARK-220-20230124-16_49_53</t>
  </si>
  <si>
    <t>16:49:42</t>
  </si>
  <si>
    <t>20230124 16:52:19</t>
  </si>
  <si>
    <t>16:52:19</t>
  </si>
  <si>
    <t>MPF-221-20230124-16_51_48</t>
  </si>
  <si>
    <t>DARK-222-20230124-16_51_56</t>
  </si>
  <si>
    <t>16:51:40</t>
  </si>
  <si>
    <t>20230124 16:54:21</t>
  </si>
  <si>
    <t>16:54:21</t>
  </si>
  <si>
    <t>MPF-223-20230124-16_53_51</t>
  </si>
  <si>
    <t>DARK-224-20230124-16_53_58</t>
  </si>
  <si>
    <t>16:53:43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</si>
</sst>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28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1674575425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1674575425</v>
      </c>
      <c r="J17">
        <f t="shared" ref="J17:J48" si="0">(K17)/1000</f>
        <v>4.8594410840167761E-3</v>
      </c>
      <c r="K17">
        <f t="shared" ref="K17:K48" si="1">1000*DK17*AI17*(DG17-DH17)/(100*CZ17*(1000-AI17*DG17))</f>
        <v>4.8594410840167761</v>
      </c>
      <c r="L17">
        <f t="shared" ref="L17:L48" si="2">DK17*AI17*(DF17-DE17*(1000-AI17*DH17)/(1000-AI17*DG17))/(100*CZ17)</f>
        <v>45.807220073137472</v>
      </c>
      <c r="M17">
        <f t="shared" ref="M17:M48" si="3">DE17 - IF(AI17&gt;1, L17*CZ17*100/(AK17*DS17), 0)</f>
        <v>343.15199999999999</v>
      </c>
      <c r="N17">
        <f t="shared" ref="N17:N48" si="4">((T17-J17/2)*M17-L17)/(T17+J17/2)</f>
        <v>148.80500941695018</v>
      </c>
      <c r="O17">
        <f t="shared" ref="O17:O48" si="5">N17*(DL17+DM17)/1000</f>
        <v>14.865278189231665</v>
      </c>
      <c r="P17">
        <f t="shared" ref="P17:P48" si="6">(DE17 - IF(AI17&gt;1, L17*CZ17*100/(AK17*DS17), 0))*(DL17+DM17)/1000</f>
        <v>34.280095550399999</v>
      </c>
      <c r="Q17">
        <f t="shared" ref="Q17:Q48" si="7">2/((1/S17-1/R17)+SIGN(S17)*SQRT((1/S17-1/R17)*(1/S17-1/R17) + 4*DA17/((DA17+1)*(DA17+1))*(2*1/S17*1/R17-1/R17*1/R17)))</f>
        <v>0.41277868127013589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2.927645844878064</v>
      </c>
      <c r="S17">
        <f t="shared" ref="S17:S48" si="9">J17*(1000-(1000*0.61365*EXP(17.502*W17/(240.97+W17))/(DL17+DM17)+DG17)/2)/(1000*0.61365*EXP(17.502*W17/(240.97+W17))/(DL17+DM17)-DG17)</f>
        <v>0.38295855749078284</v>
      </c>
      <c r="T17">
        <f t="shared" ref="T17:T48" si="10">1/((DA17+1)/(Q17/1.6)+1/(R17/1.37)) + DA17/((DA17+1)/(Q17/1.6) + DA17/(R17/1.37))</f>
        <v>0.24184855131377697</v>
      </c>
      <c r="U17">
        <f t="shared" ref="U17:U48" si="11">(CV17*CY17)</f>
        <v>344.32949965771343</v>
      </c>
      <c r="V17">
        <f t="shared" ref="V17:V48" si="12">(DN17+(U17+2*0.95*0.0000000567*(((DN17+$B$7)+273)^4-(DN17+273)^4)-44100*J17)/(1.84*29.3*R17+8*0.95*0.0000000567*(DN17+273)^3))</f>
        <v>28.762237370212496</v>
      </c>
      <c r="W17">
        <f t="shared" ref="W17:W48" si="13">($C$7*DO17+$D$7*DP17+$E$7*V17)</f>
        <v>27.6282</v>
      </c>
      <c r="X17">
        <f t="shared" ref="X17:X48" si="14">0.61365*EXP(17.502*W17/(240.97+W17))</f>
        <v>3.7133613810388235</v>
      </c>
      <c r="Y17">
        <f t="shared" ref="Y17:Y48" si="15">(Z17/AA17*100)</f>
        <v>65.502561366400812</v>
      </c>
      <c r="Z17">
        <f t="shared" ref="Z17:Z48" si="16">DG17*(DL17+DM17)/1000</f>
        <v>2.4850651749699999</v>
      </c>
      <c r="AA17">
        <f t="shared" ref="AA17:AA48" si="17">0.61365*EXP(17.502*DN17/(240.97+DN17))</f>
        <v>3.7938442759044544</v>
      </c>
      <c r="AB17">
        <f t="shared" ref="AB17:AB48" si="18">(X17-DG17*(DL17+DM17)/1000)</f>
        <v>1.2282962060688236</v>
      </c>
      <c r="AC17">
        <f t="shared" ref="AC17:AC48" si="19">(-J17*44100)</f>
        <v>-214.30135180513983</v>
      </c>
      <c r="AD17">
        <f t="shared" ref="AD17:AD48" si="20">2*29.3*R17*0.92*(DN17-W17)</f>
        <v>57.972884676424044</v>
      </c>
      <c r="AE17">
        <f t="shared" ref="AE17:AE48" si="21">2*0.95*0.0000000567*(((DN17+$B$7)+273)^4-(W17+273)^4)</f>
        <v>4.3082665316960487</v>
      </c>
      <c r="AF17">
        <f t="shared" ref="AF17:AF48" si="22">U17+AE17+AC17+AD17</f>
        <v>192.30929906069372</v>
      </c>
      <c r="AG17">
        <v>0</v>
      </c>
      <c r="AH17">
        <v>0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52643.083602182021</v>
      </c>
      <c r="AL17" t="s">
        <v>415</v>
      </c>
      <c r="AM17">
        <v>10297.6</v>
      </c>
      <c r="AN17">
        <v>785.57400000000007</v>
      </c>
      <c r="AO17">
        <v>3597.65</v>
      </c>
      <c r="AP17">
        <f t="shared" ref="AP17:AP48" si="26">1-AN17/AO17</f>
        <v>0.7816424610509638</v>
      </c>
      <c r="AQ17">
        <v>-0.62398835798131469</v>
      </c>
      <c r="AR17" t="s">
        <v>416</v>
      </c>
      <c r="AS17">
        <v>10225.799999999999</v>
      </c>
      <c r="AT17">
        <v>828.18155999999999</v>
      </c>
      <c r="AU17">
        <v>1172.7607089164751</v>
      </c>
      <c r="AV17">
        <f t="shared" ref="AV17:AV48" si="27">1-AT17/AU17</f>
        <v>0.29381880403789717</v>
      </c>
      <c r="AW17">
        <v>0.5</v>
      </c>
      <c r="AX17">
        <f t="shared" ref="AX17:AX48" si="28">CW17</f>
        <v>1513.0082998288565</v>
      </c>
      <c r="AY17">
        <f t="shared" ref="AY17:AY48" si="29">L17</f>
        <v>45.807220073137472</v>
      </c>
      <c r="AZ17">
        <f t="shared" ref="AZ17:AZ48" si="30">AV17*AW17*AX17</f>
        <v>222.27514457756337</v>
      </c>
      <c r="BA17">
        <f t="shared" ref="BA17:BA48" si="31">(AY17-AQ17)/AX17</f>
        <v>3.0688006428233636E-2</v>
      </c>
      <c r="BB17">
        <f t="shared" ref="BB17:BB48" si="32">(AO17-AU17)/AU17</f>
        <v>2.0676761019082086</v>
      </c>
      <c r="BC17">
        <f t="shared" ref="BC17:BC48" si="33">AN17/(AP17+AN17/AU17)</f>
        <v>541.21802952658402</v>
      </c>
      <c r="BD17" t="s">
        <v>417</v>
      </c>
      <c r="BE17">
        <v>599.32000000000005</v>
      </c>
      <c r="BF17">
        <f t="shared" ref="BF17:BF48" si="34">IF(BE17&lt;&gt;0, BE17, BC17)</f>
        <v>599.32000000000005</v>
      </c>
      <c r="BG17">
        <f t="shared" ref="BG17:BG48" si="35">1-BF17/AU17</f>
        <v>0.48896650830524702</v>
      </c>
      <c r="BH17">
        <f t="shared" ref="BH17:BH48" si="36">(AU17-AT17)/(AU17-BF17)</f>
        <v>0.60089760555640126</v>
      </c>
      <c r="BI17">
        <f t="shared" ref="BI17:BI48" si="37">(AO17-AU17)/(AO17-BF17)</f>
        <v>0.808746632653352</v>
      </c>
      <c r="BJ17">
        <f t="shared" ref="BJ17:BJ48" si="38">(AU17-AT17)/(AU17-AN17)</f>
        <v>0.88995603666449374</v>
      </c>
      <c r="BK17">
        <f t="shared" ref="BK17:BK48" si="39">(AO17-AU17)/(AO17-AN17)</f>
        <v>0.86231285750581588</v>
      </c>
      <c r="BL17">
        <f t="shared" ref="BL17:BL48" si="40">(BH17*BF17/AT17)</f>
        <v>0.43484420609662261</v>
      </c>
      <c r="BM17">
        <f t="shared" ref="BM17:BM48" si="41">(1-BL17)</f>
        <v>0.56515579390337733</v>
      </c>
      <c r="BN17">
        <v>1</v>
      </c>
      <c r="BO17">
        <v>290.00000000000011</v>
      </c>
      <c r="BP17">
        <v>1086.56</v>
      </c>
      <c r="BQ17">
        <v>135</v>
      </c>
      <c r="BR17">
        <v>10225.799999999999</v>
      </c>
      <c r="BS17">
        <v>1085.1400000000001</v>
      </c>
      <c r="BT17">
        <v>1.42</v>
      </c>
      <c r="BU17">
        <v>300.00000000000011</v>
      </c>
      <c r="BV17">
        <v>24.1</v>
      </c>
      <c r="BW17">
        <v>1172.7607089164751</v>
      </c>
      <c r="BX17">
        <v>2.012078440753748</v>
      </c>
      <c r="BY17">
        <v>-89.596275754710859</v>
      </c>
      <c r="BZ17">
        <v>1.829384376359624</v>
      </c>
      <c r="CA17">
        <v>0.98846154066930947</v>
      </c>
      <c r="CB17">
        <v>-6.9579192436040136E-3</v>
      </c>
      <c r="CC17">
        <v>289.99999999999989</v>
      </c>
      <c r="CD17">
        <v>1083.93</v>
      </c>
      <c r="CE17">
        <v>655</v>
      </c>
      <c r="CF17">
        <v>10189.799999999999</v>
      </c>
      <c r="CG17">
        <v>1084.83</v>
      </c>
      <c r="CH17">
        <v>-0.9</v>
      </c>
      <c r="CV17">
        <f t="shared" ref="CV17:CV48" si="42">$B$11*DT17+$C$11*DU17+$F$11*EF17*(1-EI17)</f>
        <v>1799.79</v>
      </c>
      <c r="CW17">
        <f t="shared" ref="CW17:CW48" si="43">CV17*CX17</f>
        <v>1513.0082998288565</v>
      </c>
      <c r="CX17">
        <f t="shared" ref="CX17:CX48" si="44">($B$11*$D$9+$C$11*$D$9+$F$11*((ES17+EK17)/MAX(ES17+EK17+ET17, 0.1)*$I$9+ET17/MAX(ES17+EK17+ET17, 0.1)*$J$9))/($B$11+$C$11+$F$11)</f>
        <v>0.84065824336664641</v>
      </c>
      <c r="CY17">
        <f t="shared" ref="CY17:CY48" si="45">($B$11*$K$9+$C$11*$K$9+$F$11*((ES17+EK17)/MAX(ES17+EK17+ET17, 0.1)*$P$9+ET17/MAX(ES17+EK17+ET17, 0.1)*$Q$9))/($B$11+$C$11+$F$11)</f>
        <v>0.19131648673329302</v>
      </c>
      <c r="CZ17">
        <v>6</v>
      </c>
      <c r="DA17">
        <v>0.5</v>
      </c>
      <c r="DB17" t="s">
        <v>418</v>
      </c>
      <c r="DC17">
        <v>2</v>
      </c>
      <c r="DD17">
        <v>1674575425</v>
      </c>
      <c r="DE17">
        <v>343.15199999999999</v>
      </c>
      <c r="DF17">
        <v>400.11599999999999</v>
      </c>
      <c r="DG17">
        <v>24.876100000000001</v>
      </c>
      <c r="DH17">
        <v>19.1904</v>
      </c>
      <c r="DI17">
        <v>344.29599999999999</v>
      </c>
      <c r="DJ17">
        <v>24.677499999999998</v>
      </c>
      <c r="DK17">
        <v>500.05</v>
      </c>
      <c r="DL17">
        <v>99.797700000000006</v>
      </c>
      <c r="DM17">
        <v>0.1</v>
      </c>
      <c r="DN17">
        <v>27.9955</v>
      </c>
      <c r="DO17">
        <v>27.6282</v>
      </c>
      <c r="DP17">
        <v>999.9</v>
      </c>
      <c r="DQ17">
        <v>0</v>
      </c>
      <c r="DR17">
        <v>0</v>
      </c>
      <c r="DS17">
        <v>10009.4</v>
      </c>
      <c r="DT17">
        <v>0</v>
      </c>
      <c r="DU17">
        <v>473.12200000000001</v>
      </c>
      <c r="DV17">
        <v>-56.963500000000003</v>
      </c>
      <c r="DW17">
        <v>351.90600000000001</v>
      </c>
      <c r="DX17">
        <v>407.94400000000002</v>
      </c>
      <c r="DY17">
        <v>5.6857199999999999</v>
      </c>
      <c r="DZ17">
        <v>400.11599999999999</v>
      </c>
      <c r="EA17">
        <v>19.1904</v>
      </c>
      <c r="EB17">
        <v>2.4825699999999999</v>
      </c>
      <c r="EC17">
        <v>1.9151499999999999</v>
      </c>
      <c r="ED17">
        <v>20.912700000000001</v>
      </c>
      <c r="EE17">
        <v>16.759799999999998</v>
      </c>
      <c r="EF17">
        <v>1799.79</v>
      </c>
      <c r="EG17">
        <v>0.97799899999999995</v>
      </c>
      <c r="EH17">
        <v>2.2000700000000002E-2</v>
      </c>
      <c r="EI17">
        <v>0</v>
      </c>
      <c r="EJ17">
        <v>828.55700000000002</v>
      </c>
      <c r="EK17">
        <v>5.0002599999999999</v>
      </c>
      <c r="EL17">
        <v>15413.5</v>
      </c>
      <c r="EM17">
        <v>17101.400000000001</v>
      </c>
      <c r="EN17">
        <v>49.125</v>
      </c>
      <c r="EO17">
        <v>50.436999999999998</v>
      </c>
      <c r="EP17">
        <v>50.061999999999998</v>
      </c>
      <c r="EQ17">
        <v>49.686999999999998</v>
      </c>
      <c r="ER17">
        <v>50.25</v>
      </c>
      <c r="ES17">
        <v>1755.3</v>
      </c>
      <c r="ET17">
        <v>39.49</v>
      </c>
      <c r="EU17">
        <v>0</v>
      </c>
      <c r="EV17">
        <v>1674575420.5</v>
      </c>
      <c r="EW17">
        <v>0</v>
      </c>
      <c r="EX17">
        <v>828.18155999999999</v>
      </c>
      <c r="EY17">
        <v>-0.1452307593333424</v>
      </c>
      <c r="EZ17">
        <v>2.3307692266300641</v>
      </c>
      <c r="FA17">
        <v>15417.376</v>
      </c>
      <c r="FB17">
        <v>15</v>
      </c>
      <c r="FC17">
        <v>1674575388</v>
      </c>
      <c r="FD17" t="s">
        <v>419</v>
      </c>
      <c r="FE17">
        <v>1674575383</v>
      </c>
      <c r="FF17">
        <v>1674575388</v>
      </c>
      <c r="FG17">
        <v>4</v>
      </c>
      <c r="FH17">
        <v>0.11799999999999999</v>
      </c>
      <c r="FI17">
        <v>0.01</v>
      </c>
      <c r="FJ17">
        <v>-1.153</v>
      </c>
      <c r="FK17">
        <v>6.0999999999999999E-2</v>
      </c>
      <c r="FL17">
        <v>400</v>
      </c>
      <c r="FM17">
        <v>19</v>
      </c>
      <c r="FN17">
        <v>0.06</v>
      </c>
      <c r="FO17">
        <v>0.02</v>
      </c>
      <c r="FP17">
        <v>45.746813421872119</v>
      </c>
      <c r="FQ17">
        <v>5.0054585097499438E-2</v>
      </c>
      <c r="FR17">
        <v>4.7585339466331179E-2</v>
      </c>
      <c r="FS17">
        <v>1</v>
      </c>
      <c r="FT17">
        <v>0.40555237438353547</v>
      </c>
      <c r="FU17">
        <v>4.4081243124783349E-2</v>
      </c>
      <c r="FV17">
        <v>4.4806212458862824E-3</v>
      </c>
      <c r="FW17">
        <v>1</v>
      </c>
      <c r="FX17">
        <v>2</v>
      </c>
      <c r="FY17">
        <v>2</v>
      </c>
      <c r="FZ17" t="s">
        <v>420</v>
      </c>
      <c r="GA17">
        <v>2.92869</v>
      </c>
      <c r="GB17">
        <v>2.8069899999999999</v>
      </c>
      <c r="GC17">
        <v>8.7199200000000004E-2</v>
      </c>
      <c r="GD17">
        <v>9.9395499999999998E-2</v>
      </c>
      <c r="GE17">
        <v>0.115222</v>
      </c>
      <c r="GF17">
        <v>9.7507899999999995E-2</v>
      </c>
      <c r="GG17">
        <v>27198.6</v>
      </c>
      <c r="GH17">
        <v>27056.799999999999</v>
      </c>
      <c r="GI17">
        <v>28302.3</v>
      </c>
      <c r="GJ17">
        <v>27072.3</v>
      </c>
      <c r="GK17">
        <v>35955.599999999999</v>
      </c>
      <c r="GL17">
        <v>32229.3</v>
      </c>
      <c r="GM17">
        <v>42153.9</v>
      </c>
      <c r="GN17">
        <v>36693.5</v>
      </c>
      <c r="GO17">
        <v>1.9089</v>
      </c>
      <c r="GP17">
        <v>1.91387</v>
      </c>
      <c r="GQ17">
        <v>6.3151100000000002E-2</v>
      </c>
      <c r="GR17">
        <v>0</v>
      </c>
      <c r="GS17">
        <v>26.595600000000001</v>
      </c>
      <c r="GT17">
        <v>999.9</v>
      </c>
      <c r="GU17">
        <v>55.6</v>
      </c>
      <c r="GV17">
        <v>32.4</v>
      </c>
      <c r="GW17">
        <v>27.211400000000001</v>
      </c>
      <c r="GX17">
        <v>62.510199999999998</v>
      </c>
      <c r="GY17">
        <v>27.488</v>
      </c>
      <c r="GZ17">
        <v>1</v>
      </c>
      <c r="HA17">
        <v>0.40017799999999998</v>
      </c>
      <c r="HB17">
        <v>2.94781</v>
      </c>
      <c r="HC17">
        <v>20.322099999999999</v>
      </c>
      <c r="HD17">
        <v>5.2404999999999999</v>
      </c>
      <c r="HE17">
        <v>11.9381</v>
      </c>
      <c r="HF17">
        <v>4.9736000000000002</v>
      </c>
      <c r="HG17">
        <v>3.2989999999999999</v>
      </c>
      <c r="HH17">
        <v>9999</v>
      </c>
      <c r="HI17">
        <v>9999</v>
      </c>
      <c r="HJ17">
        <v>9999</v>
      </c>
      <c r="HK17">
        <v>999.9</v>
      </c>
      <c r="HL17">
        <v>1.87365</v>
      </c>
      <c r="HM17">
        <v>1.88141</v>
      </c>
      <c r="HN17">
        <v>1.8849199999999999</v>
      </c>
      <c r="HO17">
        <v>1.8816200000000001</v>
      </c>
      <c r="HP17">
        <v>1.87897</v>
      </c>
      <c r="HQ17">
        <v>1.8736999999999999</v>
      </c>
      <c r="HR17">
        <v>1.8765400000000001</v>
      </c>
      <c r="HS17">
        <v>1.8808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-1.1439999999999999</v>
      </c>
      <c r="IH17">
        <v>0.1986</v>
      </c>
      <c r="II17">
        <v>-1.275275357343173</v>
      </c>
      <c r="IJ17">
        <v>9.4905977090923709E-4</v>
      </c>
      <c r="IK17">
        <v>-1.9106666302146479E-6</v>
      </c>
      <c r="IL17">
        <v>7.5819610513223293E-10</v>
      </c>
      <c r="IM17">
        <v>-9.9918007911123735E-2</v>
      </c>
      <c r="IN17">
        <v>-1.0595840490420019E-2</v>
      </c>
      <c r="IO17">
        <v>1.2407080968752471E-3</v>
      </c>
      <c r="IP17">
        <v>-1.3015442653884381E-5</v>
      </c>
      <c r="IQ17">
        <v>33</v>
      </c>
      <c r="IR17">
        <v>2014</v>
      </c>
      <c r="IS17">
        <v>1</v>
      </c>
      <c r="IT17">
        <v>26</v>
      </c>
      <c r="IU17">
        <v>0.7</v>
      </c>
      <c r="IV17">
        <v>0.6</v>
      </c>
      <c r="IW17">
        <v>0.99853499999999995</v>
      </c>
      <c r="IX17">
        <v>2.49268</v>
      </c>
      <c r="IY17">
        <v>1.5979000000000001</v>
      </c>
      <c r="IZ17">
        <v>2.3046899999999999</v>
      </c>
      <c r="JA17">
        <v>1.5502899999999999</v>
      </c>
      <c r="JB17">
        <v>2.34131</v>
      </c>
      <c r="JC17">
        <v>37.385800000000003</v>
      </c>
      <c r="JD17">
        <v>23.877400000000002</v>
      </c>
      <c r="JE17">
        <v>18</v>
      </c>
      <c r="JF17">
        <v>474.99099999999999</v>
      </c>
      <c r="JG17">
        <v>513.87</v>
      </c>
      <c r="JH17">
        <v>22.704499999999999</v>
      </c>
      <c r="JI17">
        <v>32.2393</v>
      </c>
      <c r="JJ17">
        <v>30.0001</v>
      </c>
      <c r="JK17">
        <v>32.310400000000001</v>
      </c>
      <c r="JL17">
        <v>32.273600000000002</v>
      </c>
      <c r="JM17">
        <v>20.0579</v>
      </c>
      <c r="JN17">
        <v>37.9285</v>
      </c>
      <c r="JO17">
        <v>0</v>
      </c>
      <c r="JP17">
        <v>22.764900000000001</v>
      </c>
      <c r="JQ17">
        <v>400</v>
      </c>
      <c r="JR17">
        <v>19.1188</v>
      </c>
      <c r="JS17">
        <v>99.932199999999995</v>
      </c>
      <c r="JT17">
        <v>98.291200000000003</v>
      </c>
    </row>
    <row r="18" spans="1:280" x14ac:dyDescent="0.25">
      <c r="A18">
        <v>2</v>
      </c>
      <c r="B18">
        <v>1674575542</v>
      </c>
      <c r="C18">
        <v>117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1674575542</v>
      </c>
      <c r="J18">
        <f t="shared" si="0"/>
        <v>5.0117995861450292E-3</v>
      </c>
      <c r="K18">
        <f t="shared" si="1"/>
        <v>5.0117995861450293</v>
      </c>
      <c r="L18">
        <f t="shared" si="2"/>
        <v>39.028111346150688</v>
      </c>
      <c r="M18">
        <f t="shared" si="3"/>
        <v>251.66</v>
      </c>
      <c r="N18">
        <f t="shared" si="4"/>
        <v>92.142918134322002</v>
      </c>
      <c r="O18">
        <f t="shared" si="5"/>
        <v>9.2039520419452163</v>
      </c>
      <c r="P18">
        <f t="shared" si="6"/>
        <v>25.137760098930002</v>
      </c>
      <c r="Q18">
        <f t="shared" si="7"/>
        <v>0.42778738605537303</v>
      </c>
      <c r="R18">
        <f t="shared" si="8"/>
        <v>2.9256054086122569</v>
      </c>
      <c r="S18">
        <f t="shared" si="9"/>
        <v>0.39582871221001487</v>
      </c>
      <c r="T18">
        <f t="shared" si="10"/>
        <v>0.25006504971768762</v>
      </c>
      <c r="U18">
        <f t="shared" si="11"/>
        <v>344.3731996577572</v>
      </c>
      <c r="V18">
        <f t="shared" si="12"/>
        <v>28.726945365200354</v>
      </c>
      <c r="W18">
        <f t="shared" si="13"/>
        <v>27.614100000000001</v>
      </c>
      <c r="X18">
        <f t="shared" si="14"/>
        <v>3.7103017109100742</v>
      </c>
      <c r="Y18">
        <f t="shared" si="15"/>
        <v>65.481526425912278</v>
      </c>
      <c r="Z18">
        <f t="shared" si="16"/>
        <v>2.4847885745409002</v>
      </c>
      <c r="AA18">
        <f t="shared" si="17"/>
        <v>3.7946405805800247</v>
      </c>
      <c r="AB18">
        <f t="shared" si="18"/>
        <v>1.225513136369174</v>
      </c>
      <c r="AC18">
        <f t="shared" si="19"/>
        <v>-221.02036174899578</v>
      </c>
      <c r="AD18">
        <f t="shared" si="20"/>
        <v>60.724216933804733</v>
      </c>
      <c r="AE18">
        <f t="shared" si="21"/>
        <v>4.5156434289189074</v>
      </c>
      <c r="AF18">
        <f t="shared" si="22"/>
        <v>188.59269827148506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52583.519246731405</v>
      </c>
      <c r="AL18" t="s">
        <v>415</v>
      </c>
      <c r="AM18">
        <v>10297.6</v>
      </c>
      <c r="AN18">
        <v>785.57400000000007</v>
      </c>
      <c r="AO18">
        <v>3597.65</v>
      </c>
      <c r="AP18">
        <f t="shared" si="26"/>
        <v>0.7816424610509638</v>
      </c>
      <c r="AQ18">
        <v>-0.62398835798131469</v>
      </c>
      <c r="AR18" t="s">
        <v>426</v>
      </c>
      <c r="AS18">
        <v>10213.9</v>
      </c>
      <c r="AT18">
        <v>824.08588461538443</v>
      </c>
      <c r="AU18">
        <v>1122.192291901182</v>
      </c>
      <c r="AV18">
        <f t="shared" si="27"/>
        <v>0.26564645777485718</v>
      </c>
      <c r="AW18">
        <v>0.5</v>
      </c>
      <c r="AX18">
        <f t="shared" si="28"/>
        <v>1513.2014998288785</v>
      </c>
      <c r="AY18">
        <f t="shared" si="29"/>
        <v>39.028111346150688</v>
      </c>
      <c r="AZ18">
        <f t="shared" si="30"/>
        <v>200.98830916457135</v>
      </c>
      <c r="BA18">
        <f t="shared" si="31"/>
        <v>2.6204110760276206E-2</v>
      </c>
      <c r="BB18">
        <f t="shared" si="32"/>
        <v>2.2059122362219914</v>
      </c>
      <c r="BC18">
        <f t="shared" si="33"/>
        <v>530.19227494271911</v>
      </c>
      <c r="BD18" t="s">
        <v>427</v>
      </c>
      <c r="BE18">
        <v>591.44000000000005</v>
      </c>
      <c r="BF18">
        <f t="shared" si="34"/>
        <v>591.44000000000005</v>
      </c>
      <c r="BG18">
        <f t="shared" si="35"/>
        <v>0.47296020096698266</v>
      </c>
      <c r="BH18">
        <f t="shared" si="36"/>
        <v>0.56166767781249727</v>
      </c>
      <c r="BI18">
        <f t="shared" si="37"/>
        <v>0.82344803194015659</v>
      </c>
      <c r="BJ18">
        <f t="shared" si="38"/>
        <v>0.88559182450284091</v>
      </c>
      <c r="BK18">
        <f t="shared" si="39"/>
        <v>0.88029545008698851</v>
      </c>
      <c r="BL18">
        <f t="shared" si="40"/>
        <v>0.40310450350749993</v>
      </c>
      <c r="BM18">
        <f t="shared" si="41"/>
        <v>0.59689549649250007</v>
      </c>
      <c r="BN18">
        <v>3</v>
      </c>
      <c r="BO18">
        <v>290.00000000000011</v>
      </c>
      <c r="BP18">
        <v>1045.31</v>
      </c>
      <c r="BQ18">
        <v>205</v>
      </c>
      <c r="BR18">
        <v>10213.9</v>
      </c>
      <c r="BS18">
        <v>1043.77</v>
      </c>
      <c r="BT18">
        <v>1.54</v>
      </c>
      <c r="BU18">
        <v>300.00000000000011</v>
      </c>
      <c r="BV18">
        <v>24.1</v>
      </c>
      <c r="BW18">
        <v>1122.192291901182</v>
      </c>
      <c r="BX18">
        <v>1.9779023625391381</v>
      </c>
      <c r="BY18">
        <v>-80.0991306239805</v>
      </c>
      <c r="BZ18">
        <v>1.798151783604828</v>
      </c>
      <c r="CA18">
        <v>0.9860854339557642</v>
      </c>
      <c r="CB18">
        <v>-6.9574137931034553E-3</v>
      </c>
      <c r="CC18">
        <v>289.99999999999989</v>
      </c>
      <c r="CD18">
        <v>1042.58</v>
      </c>
      <c r="CE18">
        <v>665</v>
      </c>
      <c r="CF18">
        <v>10188.200000000001</v>
      </c>
      <c r="CG18">
        <v>1043.57</v>
      </c>
      <c r="CH18">
        <v>-0.99</v>
      </c>
      <c r="CV18">
        <f t="shared" si="42"/>
        <v>1800.02</v>
      </c>
      <c r="CW18">
        <f t="shared" si="43"/>
        <v>1513.2014998288785</v>
      </c>
      <c r="CX18">
        <f t="shared" si="44"/>
        <v>0.84065815925871856</v>
      </c>
      <c r="CY18">
        <f t="shared" si="45"/>
        <v>0.19131631851743713</v>
      </c>
      <c r="CZ18">
        <v>6</v>
      </c>
      <c r="DA18">
        <v>0.5</v>
      </c>
      <c r="DB18" t="s">
        <v>418</v>
      </c>
      <c r="DC18">
        <v>2</v>
      </c>
      <c r="DD18">
        <v>1674575542</v>
      </c>
      <c r="DE18">
        <v>251.66</v>
      </c>
      <c r="DF18">
        <v>300.00599999999997</v>
      </c>
      <c r="DG18">
        <v>24.875800000000002</v>
      </c>
      <c r="DH18">
        <v>19.011399999999998</v>
      </c>
      <c r="DI18">
        <v>252.80600000000001</v>
      </c>
      <c r="DJ18">
        <v>24.675799999999999</v>
      </c>
      <c r="DK18">
        <v>500.01299999999998</v>
      </c>
      <c r="DL18">
        <v>99.787800000000004</v>
      </c>
      <c r="DM18">
        <v>9.9985500000000005E-2</v>
      </c>
      <c r="DN18">
        <v>27.999099999999999</v>
      </c>
      <c r="DO18">
        <v>27.614100000000001</v>
      </c>
      <c r="DP18">
        <v>999.9</v>
      </c>
      <c r="DQ18">
        <v>0</v>
      </c>
      <c r="DR18">
        <v>0</v>
      </c>
      <c r="DS18">
        <v>9998.75</v>
      </c>
      <c r="DT18">
        <v>0</v>
      </c>
      <c r="DU18">
        <v>476.267</v>
      </c>
      <c r="DV18">
        <v>-48.346299999999999</v>
      </c>
      <c r="DW18">
        <v>258.08</v>
      </c>
      <c r="DX18">
        <v>305.82</v>
      </c>
      <c r="DY18">
        <v>5.8643999999999998</v>
      </c>
      <c r="DZ18">
        <v>300.00599999999997</v>
      </c>
      <c r="EA18">
        <v>19.011399999999998</v>
      </c>
      <c r="EB18">
        <v>2.4823</v>
      </c>
      <c r="EC18">
        <v>1.8971100000000001</v>
      </c>
      <c r="ED18">
        <v>20.910900000000002</v>
      </c>
      <c r="EE18">
        <v>16.610700000000001</v>
      </c>
      <c r="EF18">
        <v>1800.02</v>
      </c>
      <c r="EG18">
        <v>0.97800299999999996</v>
      </c>
      <c r="EH18">
        <v>2.1996999999999999E-2</v>
      </c>
      <c r="EI18">
        <v>0</v>
      </c>
      <c r="EJ18">
        <v>823.57100000000003</v>
      </c>
      <c r="EK18">
        <v>5.0002599999999999</v>
      </c>
      <c r="EL18">
        <v>15338.9</v>
      </c>
      <c r="EM18">
        <v>17103.599999999999</v>
      </c>
      <c r="EN18">
        <v>49.25</v>
      </c>
      <c r="EO18">
        <v>50.625</v>
      </c>
      <c r="EP18">
        <v>50.186999999999998</v>
      </c>
      <c r="EQ18">
        <v>49.811999999999998</v>
      </c>
      <c r="ER18">
        <v>50.375</v>
      </c>
      <c r="ES18">
        <v>1755.53</v>
      </c>
      <c r="ET18">
        <v>39.49</v>
      </c>
      <c r="EU18">
        <v>0</v>
      </c>
      <c r="EV18">
        <v>115.2000000476837</v>
      </c>
      <c r="EW18">
        <v>0</v>
      </c>
      <c r="EX18">
        <v>824.08588461538443</v>
      </c>
      <c r="EY18">
        <v>-2.9620854742840379</v>
      </c>
      <c r="EZ18">
        <v>-50.215384534340572</v>
      </c>
      <c r="FA18">
        <v>15345.19230769231</v>
      </c>
      <c r="FB18">
        <v>15</v>
      </c>
      <c r="FC18">
        <v>1674575504</v>
      </c>
      <c r="FD18" t="s">
        <v>428</v>
      </c>
      <c r="FE18">
        <v>1674575493.5</v>
      </c>
      <c r="FF18">
        <v>1674575504</v>
      </c>
      <c r="FG18">
        <v>5</v>
      </c>
      <c r="FH18">
        <v>-1E-3</v>
      </c>
      <c r="FI18">
        <v>1E-3</v>
      </c>
      <c r="FJ18">
        <v>-1.143</v>
      </c>
      <c r="FK18">
        <v>0.06</v>
      </c>
      <c r="FL18">
        <v>300</v>
      </c>
      <c r="FM18">
        <v>19</v>
      </c>
      <c r="FN18">
        <v>0.03</v>
      </c>
      <c r="FO18">
        <v>0.02</v>
      </c>
      <c r="FP18">
        <v>39.027356744867163</v>
      </c>
      <c r="FQ18">
        <v>0.2098717038858198</v>
      </c>
      <c r="FR18">
        <v>5.1548743966148898E-2</v>
      </c>
      <c r="FS18">
        <v>1</v>
      </c>
      <c r="FT18">
        <v>0.42275696263700241</v>
      </c>
      <c r="FU18">
        <v>4.8442795516422547E-2</v>
      </c>
      <c r="FV18">
        <v>5.9580711935279711E-3</v>
      </c>
      <c r="FW18">
        <v>1</v>
      </c>
      <c r="FX18">
        <v>2</v>
      </c>
      <c r="FY18">
        <v>2</v>
      </c>
      <c r="FZ18" t="s">
        <v>420</v>
      </c>
      <c r="GA18">
        <v>2.92848</v>
      </c>
      <c r="GB18">
        <v>2.80688</v>
      </c>
      <c r="GC18">
        <v>6.7447900000000005E-2</v>
      </c>
      <c r="GD18">
        <v>7.8951300000000002E-2</v>
      </c>
      <c r="GE18">
        <v>0.115192</v>
      </c>
      <c r="GF18">
        <v>9.6842399999999995E-2</v>
      </c>
      <c r="GG18">
        <v>27782.6</v>
      </c>
      <c r="GH18">
        <v>27668.3</v>
      </c>
      <c r="GI18">
        <v>28297.5</v>
      </c>
      <c r="GJ18">
        <v>27069.5</v>
      </c>
      <c r="GK18">
        <v>35950.699999999997</v>
      </c>
      <c r="GL18">
        <v>32250</v>
      </c>
      <c r="GM18">
        <v>42146.9</v>
      </c>
      <c r="GN18">
        <v>36690.199999999997</v>
      </c>
      <c r="GO18">
        <v>1.9086000000000001</v>
      </c>
      <c r="GP18">
        <v>1.9107499999999999</v>
      </c>
      <c r="GQ18">
        <v>6.2566300000000005E-2</v>
      </c>
      <c r="GR18">
        <v>0</v>
      </c>
      <c r="GS18">
        <v>26.591100000000001</v>
      </c>
      <c r="GT18">
        <v>999.9</v>
      </c>
      <c r="GU18">
        <v>55.4</v>
      </c>
      <c r="GV18">
        <v>32.5</v>
      </c>
      <c r="GW18">
        <v>27.271000000000001</v>
      </c>
      <c r="GX18">
        <v>62.540300000000002</v>
      </c>
      <c r="GY18">
        <v>27.5</v>
      </c>
      <c r="GZ18">
        <v>1</v>
      </c>
      <c r="HA18">
        <v>0.405366</v>
      </c>
      <c r="HB18">
        <v>3.0527600000000001</v>
      </c>
      <c r="HC18">
        <v>20.319800000000001</v>
      </c>
      <c r="HD18">
        <v>5.2375100000000003</v>
      </c>
      <c r="HE18">
        <v>11.9381</v>
      </c>
      <c r="HF18">
        <v>4.9736000000000002</v>
      </c>
      <c r="HG18">
        <v>3.2989999999999999</v>
      </c>
      <c r="HH18">
        <v>9999</v>
      </c>
      <c r="HI18">
        <v>9999</v>
      </c>
      <c r="HJ18">
        <v>9999</v>
      </c>
      <c r="HK18">
        <v>999.9</v>
      </c>
      <c r="HL18">
        <v>1.8737600000000001</v>
      </c>
      <c r="HM18">
        <v>1.88141</v>
      </c>
      <c r="HN18">
        <v>1.8849199999999999</v>
      </c>
      <c r="HO18">
        <v>1.88165</v>
      </c>
      <c r="HP18">
        <v>1.8789800000000001</v>
      </c>
      <c r="HQ18">
        <v>1.87371</v>
      </c>
      <c r="HR18">
        <v>1.87653</v>
      </c>
      <c r="HS18">
        <v>1.8808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-1.1459999999999999</v>
      </c>
      <c r="IH18">
        <v>0.2</v>
      </c>
      <c r="II18">
        <v>-1.275985746761422</v>
      </c>
      <c r="IJ18">
        <v>9.4905977090923709E-4</v>
      </c>
      <c r="IK18">
        <v>-1.9106666302146479E-6</v>
      </c>
      <c r="IL18">
        <v>7.5819610513223293E-10</v>
      </c>
      <c r="IM18">
        <v>-9.8427935390454246E-2</v>
      </c>
      <c r="IN18">
        <v>-1.0595840490420019E-2</v>
      </c>
      <c r="IO18">
        <v>1.2407080968752471E-3</v>
      </c>
      <c r="IP18">
        <v>-1.3015442653884381E-5</v>
      </c>
      <c r="IQ18">
        <v>33</v>
      </c>
      <c r="IR18">
        <v>2014</v>
      </c>
      <c r="IS18">
        <v>1</v>
      </c>
      <c r="IT18">
        <v>26</v>
      </c>
      <c r="IU18">
        <v>0.8</v>
      </c>
      <c r="IV18">
        <v>0.6</v>
      </c>
      <c r="IW18">
        <v>0.79223600000000005</v>
      </c>
      <c r="IX18">
        <v>2.49634</v>
      </c>
      <c r="IY18">
        <v>1.5991200000000001</v>
      </c>
      <c r="IZ18">
        <v>2.3046899999999999</v>
      </c>
      <c r="JA18">
        <v>1.5490699999999999</v>
      </c>
      <c r="JB18">
        <v>2.3071299999999999</v>
      </c>
      <c r="JC18">
        <v>37.650399999999998</v>
      </c>
      <c r="JD18">
        <v>23.877400000000002</v>
      </c>
      <c r="JE18">
        <v>18</v>
      </c>
      <c r="JF18">
        <v>475.178</v>
      </c>
      <c r="JG18">
        <v>511.99299999999999</v>
      </c>
      <c r="JH18">
        <v>22.7652</v>
      </c>
      <c r="JI18">
        <v>32.299799999999998</v>
      </c>
      <c r="JJ18">
        <v>30.000299999999999</v>
      </c>
      <c r="JK18">
        <v>32.359499999999997</v>
      </c>
      <c r="JL18">
        <v>32.317399999999999</v>
      </c>
      <c r="JM18">
        <v>15.9237</v>
      </c>
      <c r="JN18">
        <v>38.753</v>
      </c>
      <c r="JO18">
        <v>0</v>
      </c>
      <c r="JP18">
        <v>22.764700000000001</v>
      </c>
      <c r="JQ18">
        <v>300</v>
      </c>
      <c r="JR18">
        <v>18.941099999999999</v>
      </c>
      <c r="JS18">
        <v>99.915499999999994</v>
      </c>
      <c r="JT18">
        <v>98.281800000000004</v>
      </c>
    </row>
    <row r="19" spans="1:280" x14ac:dyDescent="0.25">
      <c r="A19">
        <v>3</v>
      </c>
      <c r="B19">
        <v>1674575662.5</v>
      </c>
      <c r="C19">
        <v>237.5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1674575662.5</v>
      </c>
      <c r="J19">
        <f t="shared" si="0"/>
        <v>5.206378978586391E-3</v>
      </c>
      <c r="K19">
        <f t="shared" si="1"/>
        <v>5.2063789785863905</v>
      </c>
      <c r="L19">
        <f t="shared" si="2"/>
        <v>28.083379274839661</v>
      </c>
      <c r="M19">
        <f t="shared" si="3"/>
        <v>165.3</v>
      </c>
      <c r="N19">
        <f t="shared" si="4"/>
        <v>55.30148469131607</v>
      </c>
      <c r="O19">
        <f t="shared" si="5"/>
        <v>5.5234311636906064</v>
      </c>
      <c r="P19">
        <f t="shared" si="6"/>
        <v>16.509921504900003</v>
      </c>
      <c r="Q19">
        <f t="shared" si="7"/>
        <v>0.44694768650736877</v>
      </c>
      <c r="R19">
        <f t="shared" si="8"/>
        <v>2.9278549818145283</v>
      </c>
      <c r="S19">
        <f t="shared" si="9"/>
        <v>0.41221116948191294</v>
      </c>
      <c r="T19">
        <f t="shared" si="10"/>
        <v>0.26052757767402496</v>
      </c>
      <c r="U19">
        <f t="shared" si="11"/>
        <v>344.36119965783246</v>
      </c>
      <c r="V19">
        <f t="shared" si="12"/>
        <v>28.673659279938292</v>
      </c>
      <c r="W19">
        <f t="shared" si="13"/>
        <v>27.598600000000001</v>
      </c>
      <c r="X19">
        <f t="shared" si="14"/>
        <v>3.7069407824116163</v>
      </c>
      <c r="Y19">
        <f t="shared" si="15"/>
        <v>65.482950753330456</v>
      </c>
      <c r="Z19">
        <f t="shared" si="16"/>
        <v>2.4845384354947999</v>
      </c>
      <c r="AA19">
        <f t="shared" si="17"/>
        <v>3.7941760517999206</v>
      </c>
      <c r="AB19">
        <f t="shared" si="18"/>
        <v>1.2224023469168164</v>
      </c>
      <c r="AC19">
        <f t="shared" si="19"/>
        <v>-229.60131295565984</v>
      </c>
      <c r="AD19">
        <f t="shared" si="20"/>
        <v>62.886052683386417</v>
      </c>
      <c r="AE19">
        <f t="shared" si="21"/>
        <v>4.6724013210106001</v>
      </c>
      <c r="AF19">
        <f t="shared" si="22"/>
        <v>182.31834070656967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52648.429037837624</v>
      </c>
      <c r="AL19" t="s">
        <v>415</v>
      </c>
      <c r="AM19">
        <v>10297.6</v>
      </c>
      <c r="AN19">
        <v>785.57400000000007</v>
      </c>
      <c r="AO19">
        <v>3597.65</v>
      </c>
      <c r="AP19">
        <f t="shared" si="26"/>
        <v>0.7816424610509638</v>
      </c>
      <c r="AQ19">
        <v>-0.62398835798131469</v>
      </c>
      <c r="AR19" t="s">
        <v>431</v>
      </c>
      <c r="AS19">
        <v>10219.200000000001</v>
      </c>
      <c r="AT19">
        <v>834.93736000000001</v>
      </c>
      <c r="AU19">
        <v>1055.7352858025281</v>
      </c>
      <c r="AV19">
        <f t="shared" si="27"/>
        <v>0.20914137167887337</v>
      </c>
      <c r="AW19">
        <v>0.5</v>
      </c>
      <c r="AX19">
        <f t="shared" si="28"/>
        <v>1513.1507998289162</v>
      </c>
      <c r="AY19">
        <f t="shared" si="29"/>
        <v>28.083379274839661</v>
      </c>
      <c r="AZ19">
        <f t="shared" si="30"/>
        <v>158.23121691660194</v>
      </c>
      <c r="BA19">
        <f t="shared" si="31"/>
        <v>1.8971914521716385E-2</v>
      </c>
      <c r="BB19">
        <f t="shared" si="32"/>
        <v>2.407719764964765</v>
      </c>
      <c r="BC19">
        <f t="shared" si="33"/>
        <v>514.8793784262997</v>
      </c>
      <c r="BD19" t="s">
        <v>432</v>
      </c>
      <c r="BE19">
        <v>579.52</v>
      </c>
      <c r="BF19">
        <f t="shared" si="34"/>
        <v>579.52</v>
      </c>
      <c r="BG19">
        <f t="shared" si="35"/>
        <v>0.45107451859064096</v>
      </c>
      <c r="BH19">
        <f t="shared" si="36"/>
        <v>0.46365148785687282</v>
      </c>
      <c r="BI19">
        <f t="shared" si="37"/>
        <v>0.84221511803582738</v>
      </c>
      <c r="BJ19">
        <f t="shared" si="38"/>
        <v>0.81728188828623782</v>
      </c>
      <c r="BK19">
        <f t="shared" si="39"/>
        <v>0.90392817057486063</v>
      </c>
      <c r="BL19">
        <f t="shared" si="40"/>
        <v>0.32181493261101035</v>
      </c>
      <c r="BM19">
        <f t="shared" si="41"/>
        <v>0.67818506738898965</v>
      </c>
      <c r="BN19">
        <v>5</v>
      </c>
      <c r="BO19">
        <v>290.00000000000011</v>
      </c>
      <c r="BP19">
        <v>999.06</v>
      </c>
      <c r="BQ19">
        <v>165</v>
      </c>
      <c r="BR19">
        <v>10219.200000000001</v>
      </c>
      <c r="BS19">
        <v>997.25</v>
      </c>
      <c r="BT19">
        <v>1.81</v>
      </c>
      <c r="BU19">
        <v>300.00000000000011</v>
      </c>
      <c r="BV19">
        <v>24.1</v>
      </c>
      <c r="BW19">
        <v>1055.7352858025281</v>
      </c>
      <c r="BX19">
        <v>2.222302265645971</v>
      </c>
      <c r="BY19">
        <v>-59.767887348198173</v>
      </c>
      <c r="BZ19">
        <v>2.0201865500653908</v>
      </c>
      <c r="CA19">
        <v>0.96900226476392937</v>
      </c>
      <c r="CB19">
        <v>-6.9567575083425981E-3</v>
      </c>
      <c r="CC19">
        <v>289.99999999999989</v>
      </c>
      <c r="CD19">
        <v>996.5</v>
      </c>
      <c r="CE19">
        <v>725</v>
      </c>
      <c r="CF19">
        <v>10183.9</v>
      </c>
      <c r="CG19">
        <v>997.05</v>
      </c>
      <c r="CH19">
        <v>-0.55000000000000004</v>
      </c>
      <c r="CV19">
        <f t="shared" si="42"/>
        <v>1799.96</v>
      </c>
      <c r="CW19">
        <f t="shared" si="43"/>
        <v>1513.1507998289162</v>
      </c>
      <c r="CX19">
        <f t="shared" si="44"/>
        <v>0.84065801452749844</v>
      </c>
      <c r="CY19">
        <f t="shared" si="45"/>
        <v>0.19131602905499703</v>
      </c>
      <c r="CZ19">
        <v>6</v>
      </c>
      <c r="DA19">
        <v>0.5</v>
      </c>
      <c r="DB19" t="s">
        <v>418</v>
      </c>
      <c r="DC19">
        <v>2</v>
      </c>
      <c r="DD19">
        <v>1674575662.5</v>
      </c>
      <c r="DE19">
        <v>165.3</v>
      </c>
      <c r="DF19">
        <v>200.02799999999999</v>
      </c>
      <c r="DG19">
        <v>24.875599999999999</v>
      </c>
      <c r="DH19">
        <v>18.784199999999998</v>
      </c>
      <c r="DI19">
        <v>166.483</v>
      </c>
      <c r="DJ19">
        <v>24.673100000000002</v>
      </c>
      <c r="DK19">
        <v>500.06900000000002</v>
      </c>
      <c r="DL19">
        <v>99.778700000000001</v>
      </c>
      <c r="DM19">
        <v>9.9833000000000005E-2</v>
      </c>
      <c r="DN19">
        <v>27.997</v>
      </c>
      <c r="DO19">
        <v>27.598600000000001</v>
      </c>
      <c r="DP19">
        <v>999.9</v>
      </c>
      <c r="DQ19">
        <v>0</v>
      </c>
      <c r="DR19">
        <v>0</v>
      </c>
      <c r="DS19">
        <v>10012.5</v>
      </c>
      <c r="DT19">
        <v>0</v>
      </c>
      <c r="DU19">
        <v>465.08300000000003</v>
      </c>
      <c r="DV19">
        <v>-34.728099999999998</v>
      </c>
      <c r="DW19">
        <v>169.51599999999999</v>
      </c>
      <c r="DX19">
        <v>203.857</v>
      </c>
      <c r="DY19">
        <v>6.09145</v>
      </c>
      <c r="DZ19">
        <v>200.02799999999999</v>
      </c>
      <c r="EA19">
        <v>18.784199999999998</v>
      </c>
      <c r="EB19">
        <v>2.4820600000000002</v>
      </c>
      <c r="EC19">
        <v>1.87426</v>
      </c>
      <c r="ED19">
        <v>20.909300000000002</v>
      </c>
      <c r="EE19">
        <v>16.420300000000001</v>
      </c>
      <c r="EF19">
        <v>1799.96</v>
      </c>
      <c r="EG19">
        <v>0.97800299999999996</v>
      </c>
      <c r="EH19">
        <v>2.1996999999999999E-2</v>
      </c>
      <c r="EI19">
        <v>0</v>
      </c>
      <c r="EJ19">
        <v>834.46500000000003</v>
      </c>
      <c r="EK19">
        <v>5.0002599999999999</v>
      </c>
      <c r="EL19">
        <v>15506.1</v>
      </c>
      <c r="EM19">
        <v>17103</v>
      </c>
      <c r="EN19">
        <v>49.311999999999998</v>
      </c>
      <c r="EO19">
        <v>50.75</v>
      </c>
      <c r="EP19">
        <v>50.25</v>
      </c>
      <c r="EQ19">
        <v>49.936999999999998</v>
      </c>
      <c r="ER19">
        <v>50.561999999999998</v>
      </c>
      <c r="ES19">
        <v>1755.48</v>
      </c>
      <c r="ET19">
        <v>39.479999999999997</v>
      </c>
      <c r="EU19">
        <v>0</v>
      </c>
      <c r="EV19">
        <v>118.7999999523163</v>
      </c>
      <c r="EW19">
        <v>0</v>
      </c>
      <c r="EX19">
        <v>834.93736000000001</v>
      </c>
      <c r="EY19">
        <v>-4.3170769494656263</v>
      </c>
      <c r="EZ19">
        <v>-97.523077004134635</v>
      </c>
      <c r="FA19">
        <v>15517.147999999999</v>
      </c>
      <c r="FB19">
        <v>15</v>
      </c>
      <c r="FC19">
        <v>1674575623</v>
      </c>
      <c r="FD19" t="s">
        <v>433</v>
      </c>
      <c r="FE19">
        <v>1674575613</v>
      </c>
      <c r="FF19">
        <v>1674575623</v>
      </c>
      <c r="FG19">
        <v>6</v>
      </c>
      <c r="FH19">
        <v>-1.6E-2</v>
      </c>
      <c r="FI19">
        <v>3.0000000000000001E-3</v>
      </c>
      <c r="FJ19">
        <v>-1.1719999999999999</v>
      </c>
      <c r="FK19">
        <v>5.5E-2</v>
      </c>
      <c r="FL19">
        <v>200</v>
      </c>
      <c r="FM19">
        <v>19</v>
      </c>
      <c r="FN19">
        <v>0.04</v>
      </c>
      <c r="FO19">
        <v>0.01</v>
      </c>
      <c r="FP19">
        <v>27.9979009505386</v>
      </c>
      <c r="FQ19">
        <v>0.26142831431641489</v>
      </c>
      <c r="FR19">
        <v>3.8292582815432498E-2</v>
      </c>
      <c r="FS19">
        <v>1</v>
      </c>
      <c r="FT19">
        <v>0.44806546705964928</v>
      </c>
      <c r="FU19">
        <v>3.7263964977722858E-2</v>
      </c>
      <c r="FV19">
        <v>5.182154583514488E-3</v>
      </c>
      <c r="FW19">
        <v>1</v>
      </c>
      <c r="FX19">
        <v>2</v>
      </c>
      <c r="FY19">
        <v>2</v>
      </c>
      <c r="FZ19" t="s">
        <v>420</v>
      </c>
      <c r="GA19">
        <v>2.9285199999999998</v>
      </c>
      <c r="GB19">
        <v>2.8068499999999998</v>
      </c>
      <c r="GC19">
        <v>4.64042E-2</v>
      </c>
      <c r="GD19">
        <v>5.5642200000000003E-2</v>
      </c>
      <c r="GE19">
        <v>0.115159</v>
      </c>
      <c r="GF19">
        <v>9.59985E-2</v>
      </c>
      <c r="GG19">
        <v>28406.5</v>
      </c>
      <c r="GH19">
        <v>28366.9</v>
      </c>
      <c r="GI19">
        <v>28294.6</v>
      </c>
      <c r="GJ19">
        <v>27067.9</v>
      </c>
      <c r="GK19">
        <v>35948.400000000001</v>
      </c>
      <c r="GL19">
        <v>32278.9</v>
      </c>
      <c r="GM19">
        <v>42142.8</v>
      </c>
      <c r="GN19">
        <v>36689.1</v>
      </c>
      <c r="GO19">
        <v>1.9080299999999999</v>
      </c>
      <c r="GP19">
        <v>1.9075500000000001</v>
      </c>
      <c r="GQ19">
        <v>6.1579000000000002E-2</v>
      </c>
      <c r="GR19">
        <v>0</v>
      </c>
      <c r="GS19">
        <v>26.591799999999999</v>
      </c>
      <c r="GT19">
        <v>999.9</v>
      </c>
      <c r="GU19">
        <v>55.2</v>
      </c>
      <c r="GV19">
        <v>32.6</v>
      </c>
      <c r="GW19">
        <v>27.326000000000001</v>
      </c>
      <c r="GX19">
        <v>62.390300000000003</v>
      </c>
      <c r="GY19">
        <v>27.367799999999999</v>
      </c>
      <c r="GZ19">
        <v>1</v>
      </c>
      <c r="HA19">
        <v>0.41065000000000002</v>
      </c>
      <c r="HB19">
        <v>3.1408900000000002</v>
      </c>
      <c r="HC19">
        <v>20.318200000000001</v>
      </c>
      <c r="HD19">
        <v>5.2393000000000001</v>
      </c>
      <c r="HE19">
        <v>11.9381</v>
      </c>
      <c r="HF19">
        <v>4.9736500000000001</v>
      </c>
      <c r="HG19">
        <v>3.2989999999999999</v>
      </c>
      <c r="HH19">
        <v>9999</v>
      </c>
      <c r="HI19">
        <v>9999</v>
      </c>
      <c r="HJ19">
        <v>9999</v>
      </c>
      <c r="HK19">
        <v>999.9</v>
      </c>
      <c r="HL19">
        <v>1.87378</v>
      </c>
      <c r="HM19">
        <v>1.88141</v>
      </c>
      <c r="HN19">
        <v>1.8849199999999999</v>
      </c>
      <c r="HO19">
        <v>1.88171</v>
      </c>
      <c r="HP19">
        <v>1.879</v>
      </c>
      <c r="HQ19">
        <v>1.8737600000000001</v>
      </c>
      <c r="HR19">
        <v>1.8765799999999999</v>
      </c>
      <c r="HS19">
        <v>1.8808199999999999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-1.1830000000000001</v>
      </c>
      <c r="IH19">
        <v>0.20250000000000001</v>
      </c>
      <c r="II19">
        <v>-1.292058665678407</v>
      </c>
      <c r="IJ19">
        <v>9.4905977090923709E-4</v>
      </c>
      <c r="IK19">
        <v>-1.9106666302146479E-6</v>
      </c>
      <c r="IL19">
        <v>7.5819610513223293E-10</v>
      </c>
      <c r="IM19">
        <v>-9.5807532865224448E-2</v>
      </c>
      <c r="IN19">
        <v>-1.0595840490420019E-2</v>
      </c>
      <c r="IO19">
        <v>1.2407080968752471E-3</v>
      </c>
      <c r="IP19">
        <v>-1.3015442653884381E-5</v>
      </c>
      <c r="IQ19">
        <v>33</v>
      </c>
      <c r="IR19">
        <v>2014</v>
      </c>
      <c r="IS19">
        <v>1</v>
      </c>
      <c r="IT19">
        <v>26</v>
      </c>
      <c r="IU19">
        <v>0.8</v>
      </c>
      <c r="IV19">
        <v>0.7</v>
      </c>
      <c r="IW19">
        <v>0.57617200000000002</v>
      </c>
      <c r="IX19">
        <v>2.5146500000000001</v>
      </c>
      <c r="IY19">
        <v>1.5991200000000001</v>
      </c>
      <c r="IZ19">
        <v>2.3046899999999999</v>
      </c>
      <c r="JA19">
        <v>1.5502899999999999</v>
      </c>
      <c r="JB19">
        <v>2.2253400000000001</v>
      </c>
      <c r="JC19">
        <v>37.892099999999999</v>
      </c>
      <c r="JD19">
        <v>23.868600000000001</v>
      </c>
      <c r="JE19">
        <v>18</v>
      </c>
      <c r="JF19">
        <v>475.21499999999997</v>
      </c>
      <c r="JG19">
        <v>510.11900000000003</v>
      </c>
      <c r="JH19">
        <v>22.691800000000001</v>
      </c>
      <c r="JI19">
        <v>32.357999999999997</v>
      </c>
      <c r="JJ19">
        <v>30.0002</v>
      </c>
      <c r="JK19">
        <v>32.4116</v>
      </c>
      <c r="JL19">
        <v>32.367199999999997</v>
      </c>
      <c r="JM19">
        <v>11.592599999999999</v>
      </c>
      <c r="JN19">
        <v>39.938299999999998</v>
      </c>
      <c r="JO19">
        <v>0</v>
      </c>
      <c r="JP19">
        <v>22.692799999999998</v>
      </c>
      <c r="JQ19">
        <v>200</v>
      </c>
      <c r="JR19">
        <v>18.681100000000001</v>
      </c>
      <c r="JS19">
        <v>99.905500000000004</v>
      </c>
      <c r="JT19">
        <v>98.277500000000003</v>
      </c>
    </row>
    <row r="20" spans="1:280" x14ac:dyDescent="0.25">
      <c r="A20">
        <v>4</v>
      </c>
      <c r="B20">
        <v>1674575784</v>
      </c>
      <c r="C20">
        <v>359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1674575784</v>
      </c>
      <c r="J20">
        <f t="shared" si="0"/>
        <v>5.5307904249349924E-3</v>
      </c>
      <c r="K20">
        <f t="shared" si="1"/>
        <v>5.5307904249349926</v>
      </c>
      <c r="L20">
        <f t="shared" si="2"/>
        <v>17.467435696578434</v>
      </c>
      <c r="M20">
        <f t="shared" si="3"/>
        <v>98.393600000000006</v>
      </c>
      <c r="N20">
        <f t="shared" si="4"/>
        <v>34.530923000244144</v>
      </c>
      <c r="O20">
        <f t="shared" si="5"/>
        <v>3.4487748780031402</v>
      </c>
      <c r="P20">
        <f t="shared" si="6"/>
        <v>9.827057789155841</v>
      </c>
      <c r="Q20">
        <f t="shared" si="7"/>
        <v>0.48157930647149416</v>
      </c>
      <c r="R20">
        <f t="shared" si="8"/>
        <v>2.9287741085777261</v>
      </c>
      <c r="S20">
        <f t="shared" si="9"/>
        <v>0.44152096489384879</v>
      </c>
      <c r="T20">
        <f t="shared" si="10"/>
        <v>0.27927148334497498</v>
      </c>
      <c r="U20">
        <f t="shared" si="11"/>
        <v>344.3687996578401</v>
      </c>
      <c r="V20">
        <f t="shared" si="12"/>
        <v>28.588575569412793</v>
      </c>
      <c r="W20">
        <f t="shared" si="13"/>
        <v>27.564599999999999</v>
      </c>
      <c r="X20">
        <f t="shared" si="14"/>
        <v>3.6995777271271257</v>
      </c>
      <c r="Y20">
        <f t="shared" si="15"/>
        <v>65.556085977712456</v>
      </c>
      <c r="Z20">
        <f t="shared" si="16"/>
        <v>2.48722631295596</v>
      </c>
      <c r="AA20">
        <f t="shared" si="17"/>
        <v>3.7940433384042467</v>
      </c>
      <c r="AB20">
        <f t="shared" si="18"/>
        <v>1.2123514141711658</v>
      </c>
      <c r="AC20">
        <f t="shared" si="19"/>
        <v>-243.90785773963316</v>
      </c>
      <c r="AD20">
        <f t="shared" si="20"/>
        <v>68.179522914441591</v>
      </c>
      <c r="AE20">
        <f t="shared" si="21"/>
        <v>5.0632403512053124</v>
      </c>
      <c r="AF20">
        <f t="shared" si="22"/>
        <v>173.70370518385386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52674.917865082374</v>
      </c>
      <c r="AL20" t="s">
        <v>415</v>
      </c>
      <c r="AM20">
        <v>10297.6</v>
      </c>
      <c r="AN20">
        <v>785.57400000000007</v>
      </c>
      <c r="AO20">
        <v>3597.65</v>
      </c>
      <c r="AP20">
        <f t="shared" si="26"/>
        <v>0.7816424610509638</v>
      </c>
      <c r="AQ20">
        <v>-0.62398835798131469</v>
      </c>
      <c r="AR20" t="s">
        <v>436</v>
      </c>
      <c r="AS20">
        <v>10207.5</v>
      </c>
      <c r="AT20">
        <v>860.10212000000001</v>
      </c>
      <c r="AU20">
        <v>1013.520818201932</v>
      </c>
      <c r="AV20">
        <f t="shared" si="27"/>
        <v>0.15137202457677112</v>
      </c>
      <c r="AW20">
        <v>0.5</v>
      </c>
      <c r="AX20">
        <f t="shared" si="28"/>
        <v>1513.18439982892</v>
      </c>
      <c r="AY20">
        <f t="shared" si="29"/>
        <v>17.467435696578434</v>
      </c>
      <c r="AZ20">
        <f t="shared" si="30"/>
        <v>114.52689308004497</v>
      </c>
      <c r="BA20">
        <f t="shared" si="31"/>
        <v>1.1955862125333276E-2</v>
      </c>
      <c r="BB20">
        <f t="shared" si="32"/>
        <v>2.5496557499258108</v>
      </c>
      <c r="BC20">
        <f t="shared" si="33"/>
        <v>504.6287360681664</v>
      </c>
      <c r="BD20" t="s">
        <v>437</v>
      </c>
      <c r="BE20">
        <v>579.23</v>
      </c>
      <c r="BF20">
        <f t="shared" si="34"/>
        <v>579.23</v>
      </c>
      <c r="BG20">
        <f t="shared" si="35"/>
        <v>0.42849718565465589</v>
      </c>
      <c r="BH20">
        <f t="shared" si="36"/>
        <v>0.3532625875838733</v>
      </c>
      <c r="BI20">
        <f t="shared" si="37"/>
        <v>0.85611981824864269</v>
      </c>
      <c r="BJ20">
        <f t="shared" si="38"/>
        <v>0.67304601754090954</v>
      </c>
      <c r="BK20">
        <f t="shared" si="39"/>
        <v>0.91894002217510062</v>
      </c>
      <c r="BL20">
        <f t="shared" si="40"/>
        <v>0.23790231862956801</v>
      </c>
      <c r="BM20">
        <f t="shared" si="41"/>
        <v>0.76209768137043199</v>
      </c>
      <c r="BN20">
        <v>7</v>
      </c>
      <c r="BO20">
        <v>290.00000000000011</v>
      </c>
      <c r="BP20">
        <v>972.61</v>
      </c>
      <c r="BQ20">
        <v>245</v>
      </c>
      <c r="BR20">
        <v>10207.5</v>
      </c>
      <c r="BS20">
        <v>972.15</v>
      </c>
      <c r="BT20">
        <v>0.46</v>
      </c>
      <c r="BU20">
        <v>300.00000000000011</v>
      </c>
      <c r="BV20">
        <v>24.1</v>
      </c>
      <c r="BW20">
        <v>1013.520818201932</v>
      </c>
      <c r="BX20">
        <v>2.007485996602667</v>
      </c>
      <c r="BY20">
        <v>-42.232719718842517</v>
      </c>
      <c r="BZ20">
        <v>1.8248514611798601</v>
      </c>
      <c r="CA20">
        <v>0.95031964643426337</v>
      </c>
      <c r="CB20">
        <v>-6.9565219132369377E-3</v>
      </c>
      <c r="CC20">
        <v>289.99999999999989</v>
      </c>
      <c r="CD20">
        <v>970.34</v>
      </c>
      <c r="CE20">
        <v>655</v>
      </c>
      <c r="CF20">
        <v>10187.700000000001</v>
      </c>
      <c r="CG20">
        <v>972.07</v>
      </c>
      <c r="CH20">
        <v>-1.73</v>
      </c>
      <c r="CV20">
        <f t="shared" si="42"/>
        <v>1800</v>
      </c>
      <c r="CW20">
        <f t="shared" si="43"/>
        <v>1513.18439982892</v>
      </c>
      <c r="CX20">
        <f t="shared" si="44"/>
        <v>0.8406579999049556</v>
      </c>
      <c r="CY20">
        <f t="shared" si="45"/>
        <v>0.19131599980991115</v>
      </c>
      <c r="CZ20">
        <v>6</v>
      </c>
      <c r="DA20">
        <v>0.5</v>
      </c>
      <c r="DB20" t="s">
        <v>418</v>
      </c>
      <c r="DC20">
        <v>2</v>
      </c>
      <c r="DD20">
        <v>1674575784</v>
      </c>
      <c r="DE20">
        <v>98.393600000000006</v>
      </c>
      <c r="DF20">
        <v>120.006</v>
      </c>
      <c r="DG20">
        <v>24.903400000000001</v>
      </c>
      <c r="DH20">
        <v>18.432200000000002</v>
      </c>
      <c r="DI20">
        <v>99.572299999999998</v>
      </c>
      <c r="DJ20">
        <v>24.702000000000002</v>
      </c>
      <c r="DK20">
        <v>500.036</v>
      </c>
      <c r="DL20">
        <v>99.775199999999998</v>
      </c>
      <c r="DM20">
        <v>9.9769399999999994E-2</v>
      </c>
      <c r="DN20">
        <v>27.996400000000001</v>
      </c>
      <c r="DO20">
        <v>27.564599999999999</v>
      </c>
      <c r="DP20">
        <v>999.9</v>
      </c>
      <c r="DQ20">
        <v>0</v>
      </c>
      <c r="DR20">
        <v>0</v>
      </c>
      <c r="DS20">
        <v>10018.1</v>
      </c>
      <c r="DT20">
        <v>0</v>
      </c>
      <c r="DU20">
        <v>458.84100000000001</v>
      </c>
      <c r="DV20">
        <v>-21.611999999999998</v>
      </c>
      <c r="DW20">
        <v>100.907</v>
      </c>
      <c r="DX20">
        <v>122.259</v>
      </c>
      <c r="DY20">
        <v>6.4711400000000001</v>
      </c>
      <c r="DZ20">
        <v>120.006</v>
      </c>
      <c r="EA20">
        <v>18.432200000000002</v>
      </c>
      <c r="EB20">
        <v>2.4847399999999999</v>
      </c>
      <c r="EC20">
        <v>1.83908</v>
      </c>
      <c r="ED20">
        <v>20.9269</v>
      </c>
      <c r="EE20">
        <v>16.123000000000001</v>
      </c>
      <c r="EF20">
        <v>1800</v>
      </c>
      <c r="EG20">
        <v>0.97800299999999996</v>
      </c>
      <c r="EH20">
        <v>2.1996999999999999E-2</v>
      </c>
      <c r="EI20">
        <v>0</v>
      </c>
      <c r="EJ20">
        <v>860.06799999999998</v>
      </c>
      <c r="EK20">
        <v>5.0002599999999999</v>
      </c>
      <c r="EL20">
        <v>15947.5</v>
      </c>
      <c r="EM20">
        <v>17103.400000000001</v>
      </c>
      <c r="EN20">
        <v>49.311999999999998</v>
      </c>
      <c r="EO20">
        <v>50.75</v>
      </c>
      <c r="EP20">
        <v>50.311999999999998</v>
      </c>
      <c r="EQ20">
        <v>49.875</v>
      </c>
      <c r="ER20">
        <v>50.561999999999998</v>
      </c>
      <c r="ES20">
        <v>1755.52</v>
      </c>
      <c r="ET20">
        <v>39.479999999999997</v>
      </c>
      <c r="EU20">
        <v>0</v>
      </c>
      <c r="EV20">
        <v>119.3999998569489</v>
      </c>
      <c r="EW20">
        <v>0</v>
      </c>
      <c r="EX20">
        <v>860.10212000000001</v>
      </c>
      <c r="EY20">
        <v>-1.476538466627455</v>
      </c>
      <c r="EZ20">
        <v>-36.815384650876901</v>
      </c>
      <c r="FA20">
        <v>15950.868</v>
      </c>
      <c r="FB20">
        <v>15</v>
      </c>
      <c r="FC20">
        <v>1674575747</v>
      </c>
      <c r="FD20" t="s">
        <v>438</v>
      </c>
      <c r="FE20">
        <v>1674575732.5</v>
      </c>
      <c r="FF20">
        <v>1674575747</v>
      </c>
      <c r="FG20">
        <v>7</v>
      </c>
      <c r="FH20">
        <v>3.6999999999999998E-2</v>
      </c>
      <c r="FI20">
        <v>-2E-3</v>
      </c>
      <c r="FJ20">
        <v>-1.167</v>
      </c>
      <c r="FK20">
        <v>0.05</v>
      </c>
      <c r="FL20">
        <v>120</v>
      </c>
      <c r="FM20">
        <v>19</v>
      </c>
      <c r="FN20">
        <v>0.06</v>
      </c>
      <c r="FO20">
        <v>0.01</v>
      </c>
      <c r="FP20">
        <v>17.428710008470979</v>
      </c>
      <c r="FQ20">
        <v>-0.19468396243556349</v>
      </c>
      <c r="FR20">
        <v>2.5139938008068172E-2</v>
      </c>
      <c r="FS20">
        <v>1</v>
      </c>
      <c r="FT20">
        <v>0.4819735440794653</v>
      </c>
      <c r="FU20">
        <v>4.2352551448002963E-2</v>
      </c>
      <c r="FV20">
        <v>5.9119237902453261E-3</v>
      </c>
      <c r="FW20">
        <v>1</v>
      </c>
      <c r="FX20">
        <v>2</v>
      </c>
      <c r="FY20">
        <v>2</v>
      </c>
      <c r="FZ20" t="s">
        <v>420</v>
      </c>
      <c r="GA20">
        <v>2.9283600000000001</v>
      </c>
      <c r="GB20">
        <v>2.8068300000000002</v>
      </c>
      <c r="GC20">
        <v>2.8402E-2</v>
      </c>
      <c r="GD20">
        <v>3.4552100000000002E-2</v>
      </c>
      <c r="GE20">
        <v>0.11523799999999999</v>
      </c>
      <c r="GF20">
        <v>9.4701300000000002E-2</v>
      </c>
      <c r="GG20">
        <v>28939.9</v>
      </c>
      <c r="GH20">
        <v>28998.3</v>
      </c>
      <c r="GI20">
        <v>28291.8</v>
      </c>
      <c r="GJ20">
        <v>27065.9</v>
      </c>
      <c r="GK20">
        <v>35941.5</v>
      </c>
      <c r="GL20">
        <v>32323.1</v>
      </c>
      <c r="GM20">
        <v>42138.6</v>
      </c>
      <c r="GN20">
        <v>36686.800000000003</v>
      </c>
      <c r="GO20">
        <v>1.9074500000000001</v>
      </c>
      <c r="GP20">
        <v>1.90462</v>
      </c>
      <c r="GQ20">
        <v>6.28084E-2</v>
      </c>
      <c r="GR20">
        <v>0</v>
      </c>
      <c r="GS20">
        <v>26.537500000000001</v>
      </c>
      <c r="GT20">
        <v>999.9</v>
      </c>
      <c r="GU20">
        <v>55</v>
      </c>
      <c r="GV20">
        <v>32.700000000000003</v>
      </c>
      <c r="GW20">
        <v>27.383900000000001</v>
      </c>
      <c r="GX20">
        <v>62.190300000000001</v>
      </c>
      <c r="GY20">
        <v>27.560099999999998</v>
      </c>
      <c r="GZ20">
        <v>1</v>
      </c>
      <c r="HA20">
        <v>0.41370400000000002</v>
      </c>
      <c r="HB20">
        <v>2.9791300000000001</v>
      </c>
      <c r="HC20">
        <v>20.321000000000002</v>
      </c>
      <c r="HD20">
        <v>5.2393000000000001</v>
      </c>
      <c r="HE20">
        <v>11.9381</v>
      </c>
      <c r="HF20">
        <v>4.9731500000000004</v>
      </c>
      <c r="HG20">
        <v>3.2989999999999999</v>
      </c>
      <c r="HH20">
        <v>9999</v>
      </c>
      <c r="HI20">
        <v>9999</v>
      </c>
      <c r="HJ20">
        <v>9999</v>
      </c>
      <c r="HK20">
        <v>999.9</v>
      </c>
      <c r="HL20">
        <v>1.87378</v>
      </c>
      <c r="HM20">
        <v>1.88144</v>
      </c>
      <c r="HN20">
        <v>1.88493</v>
      </c>
      <c r="HO20">
        <v>1.88171</v>
      </c>
      <c r="HP20">
        <v>1.8789800000000001</v>
      </c>
      <c r="HQ20">
        <v>1.8737699999999999</v>
      </c>
      <c r="HR20">
        <v>1.8766</v>
      </c>
      <c r="HS20">
        <v>1.8808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-1.179</v>
      </c>
      <c r="IH20">
        <v>0.2014</v>
      </c>
      <c r="II20">
        <v>-1.2549748370680269</v>
      </c>
      <c r="IJ20">
        <v>9.4905977090923709E-4</v>
      </c>
      <c r="IK20">
        <v>-1.9106666302146479E-6</v>
      </c>
      <c r="IL20">
        <v>7.5819610513223293E-10</v>
      </c>
      <c r="IM20">
        <v>-9.7823069872994411E-2</v>
      </c>
      <c r="IN20">
        <v>-1.0595840490420019E-2</v>
      </c>
      <c r="IO20">
        <v>1.2407080968752471E-3</v>
      </c>
      <c r="IP20">
        <v>-1.3015442653884381E-5</v>
      </c>
      <c r="IQ20">
        <v>33</v>
      </c>
      <c r="IR20">
        <v>2014</v>
      </c>
      <c r="IS20">
        <v>1</v>
      </c>
      <c r="IT20">
        <v>26</v>
      </c>
      <c r="IU20">
        <v>0.9</v>
      </c>
      <c r="IV20">
        <v>0.6</v>
      </c>
      <c r="IW20">
        <v>0.397949</v>
      </c>
      <c r="IX20">
        <v>2.5305200000000001</v>
      </c>
      <c r="IY20">
        <v>1.5991200000000001</v>
      </c>
      <c r="IZ20">
        <v>2.3046899999999999</v>
      </c>
      <c r="JA20">
        <v>1.5502899999999999</v>
      </c>
      <c r="JB20">
        <v>2.2863799999999999</v>
      </c>
      <c r="JC20">
        <v>38.086300000000001</v>
      </c>
      <c r="JD20">
        <v>23.8598</v>
      </c>
      <c r="JE20">
        <v>18</v>
      </c>
      <c r="JF20">
        <v>475.20299999999997</v>
      </c>
      <c r="JG20">
        <v>508.40300000000002</v>
      </c>
      <c r="JH20">
        <v>22.802800000000001</v>
      </c>
      <c r="JI20">
        <v>32.400599999999997</v>
      </c>
      <c r="JJ20">
        <v>30.0002</v>
      </c>
      <c r="JK20">
        <v>32.457299999999996</v>
      </c>
      <c r="JL20">
        <v>32.412100000000002</v>
      </c>
      <c r="JM20">
        <v>8.0206700000000009</v>
      </c>
      <c r="JN20">
        <v>41.292900000000003</v>
      </c>
      <c r="JO20">
        <v>0</v>
      </c>
      <c r="JP20">
        <v>22.806899999999999</v>
      </c>
      <c r="JQ20">
        <v>120</v>
      </c>
      <c r="JR20">
        <v>18.342199999999998</v>
      </c>
      <c r="JS20">
        <v>99.895700000000005</v>
      </c>
      <c r="JT20">
        <v>98.270899999999997</v>
      </c>
    </row>
    <row r="21" spans="1:280" x14ac:dyDescent="0.25">
      <c r="A21">
        <v>5</v>
      </c>
      <c r="B21">
        <v>1674575904</v>
      </c>
      <c r="C21">
        <v>479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1674575904</v>
      </c>
      <c r="J21">
        <f t="shared" si="0"/>
        <v>5.7725717113850028E-3</v>
      </c>
      <c r="K21">
        <f t="shared" si="1"/>
        <v>5.7725717113850026</v>
      </c>
      <c r="L21">
        <f t="shared" si="2"/>
        <v>10.358967423312539</v>
      </c>
      <c r="M21">
        <f t="shared" si="3"/>
        <v>57.186700000000002</v>
      </c>
      <c r="N21">
        <f t="shared" si="4"/>
        <v>21.128423270270257</v>
      </c>
      <c r="O21">
        <f t="shared" si="5"/>
        <v>2.1102612788403294</v>
      </c>
      <c r="P21">
        <f t="shared" si="6"/>
        <v>5.7116840727279996</v>
      </c>
      <c r="Q21">
        <f t="shared" si="7"/>
        <v>0.50824906893141009</v>
      </c>
      <c r="R21">
        <f t="shared" si="8"/>
        <v>2.9263131553327373</v>
      </c>
      <c r="S21">
        <f t="shared" si="9"/>
        <v>0.46381606345671983</v>
      </c>
      <c r="T21">
        <f t="shared" si="10"/>
        <v>0.29355277666852791</v>
      </c>
      <c r="U21">
        <f t="shared" si="11"/>
        <v>344.3687996578401</v>
      </c>
      <c r="V21">
        <f t="shared" si="12"/>
        <v>28.520540572192935</v>
      </c>
      <c r="W21">
        <f t="shared" si="13"/>
        <v>27.527699999999999</v>
      </c>
      <c r="X21">
        <f t="shared" si="14"/>
        <v>3.6916010916200408</v>
      </c>
      <c r="Y21">
        <f t="shared" si="15"/>
        <v>65.571213418543778</v>
      </c>
      <c r="Z21">
        <f t="shared" si="16"/>
        <v>2.4869881793519997</v>
      </c>
      <c r="AA21">
        <f t="shared" si="17"/>
        <v>3.7928048753306589</v>
      </c>
      <c r="AB21">
        <f t="shared" si="18"/>
        <v>1.2046129122680411</v>
      </c>
      <c r="AC21">
        <f t="shared" si="19"/>
        <v>-254.57041247207863</v>
      </c>
      <c r="AD21">
        <f t="shared" si="20"/>
        <v>73.060228145911367</v>
      </c>
      <c r="AE21">
        <f t="shared" si="21"/>
        <v>5.4291103501912588</v>
      </c>
      <c r="AF21">
        <f t="shared" si="22"/>
        <v>168.28772568186409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52605.116438090081</v>
      </c>
      <c r="AL21" t="s">
        <v>415</v>
      </c>
      <c r="AM21">
        <v>10297.6</v>
      </c>
      <c r="AN21">
        <v>785.57400000000007</v>
      </c>
      <c r="AO21">
        <v>3597.65</v>
      </c>
      <c r="AP21">
        <f t="shared" si="26"/>
        <v>0.7816424610509638</v>
      </c>
      <c r="AQ21">
        <v>-0.62398835798131469</v>
      </c>
      <c r="AR21" t="s">
        <v>441</v>
      </c>
      <c r="AS21">
        <v>10206.200000000001</v>
      </c>
      <c r="AT21">
        <v>878.60369230769231</v>
      </c>
      <c r="AU21">
        <v>985.39775164534149</v>
      </c>
      <c r="AV21">
        <f t="shared" si="27"/>
        <v>0.10837660138693506</v>
      </c>
      <c r="AW21">
        <v>0.5</v>
      </c>
      <c r="AX21">
        <f t="shared" si="28"/>
        <v>1513.18439982892</v>
      </c>
      <c r="AY21">
        <f t="shared" si="29"/>
        <v>10.358967423312539</v>
      </c>
      <c r="AZ21">
        <f t="shared" si="30"/>
        <v>81.996891262593721</v>
      </c>
      <c r="BA21">
        <f t="shared" si="31"/>
        <v>7.2581740748421551E-3</v>
      </c>
      <c r="BB21">
        <f t="shared" si="32"/>
        <v>2.6509622576192409</v>
      </c>
      <c r="BC21">
        <f t="shared" si="33"/>
        <v>497.55848961687144</v>
      </c>
      <c r="BD21" t="s">
        <v>442</v>
      </c>
      <c r="BE21">
        <v>583.96</v>
      </c>
      <c r="BF21">
        <f t="shared" si="34"/>
        <v>583.96</v>
      </c>
      <c r="BG21">
        <f t="shared" si="35"/>
        <v>0.40738651065019327</v>
      </c>
      <c r="BH21">
        <f t="shared" si="36"/>
        <v>0.2660289394805066</v>
      </c>
      <c r="BI21">
        <f t="shared" si="37"/>
        <v>0.86679527368596587</v>
      </c>
      <c r="BJ21">
        <f t="shared" si="38"/>
        <v>0.53444126865956032</v>
      </c>
      <c r="BK21">
        <f t="shared" si="39"/>
        <v>0.9289408424077652</v>
      </c>
      <c r="BL21">
        <f t="shared" si="40"/>
        <v>0.17681494040959714</v>
      </c>
      <c r="BM21">
        <f t="shared" si="41"/>
        <v>0.82318505959040289</v>
      </c>
      <c r="BN21">
        <v>9</v>
      </c>
      <c r="BO21">
        <v>290.00000000000011</v>
      </c>
      <c r="BP21">
        <v>959.17</v>
      </c>
      <c r="BQ21">
        <v>255</v>
      </c>
      <c r="BR21">
        <v>10206.200000000001</v>
      </c>
      <c r="BS21">
        <v>960</v>
      </c>
      <c r="BT21">
        <v>-0.83</v>
      </c>
      <c r="BU21">
        <v>300.00000000000011</v>
      </c>
      <c r="BV21">
        <v>24.1</v>
      </c>
      <c r="BW21">
        <v>985.39775164534149</v>
      </c>
      <c r="BX21">
        <v>1.7242757596038909</v>
      </c>
      <c r="BY21">
        <v>-25.919095258478212</v>
      </c>
      <c r="BZ21">
        <v>1.5673824111968571</v>
      </c>
      <c r="CA21">
        <v>0.9071178991282719</v>
      </c>
      <c r="CB21">
        <v>-6.9563835372636329E-3</v>
      </c>
      <c r="CC21">
        <v>289.99999999999989</v>
      </c>
      <c r="CD21">
        <v>959.73</v>
      </c>
      <c r="CE21">
        <v>665</v>
      </c>
      <c r="CF21">
        <v>10186.9</v>
      </c>
      <c r="CG21">
        <v>959.95</v>
      </c>
      <c r="CH21">
        <v>-0.22</v>
      </c>
      <c r="CV21">
        <f t="shared" si="42"/>
        <v>1800</v>
      </c>
      <c r="CW21">
        <f t="shared" si="43"/>
        <v>1513.18439982892</v>
      </c>
      <c r="CX21">
        <f t="shared" si="44"/>
        <v>0.8406579999049556</v>
      </c>
      <c r="CY21">
        <f t="shared" si="45"/>
        <v>0.19131599980991115</v>
      </c>
      <c r="CZ21">
        <v>6</v>
      </c>
      <c r="DA21">
        <v>0.5</v>
      </c>
      <c r="DB21" t="s">
        <v>418</v>
      </c>
      <c r="DC21">
        <v>2</v>
      </c>
      <c r="DD21">
        <v>1674575904</v>
      </c>
      <c r="DE21">
        <v>57.186700000000002</v>
      </c>
      <c r="DF21">
        <v>70.011700000000005</v>
      </c>
      <c r="DG21">
        <v>24.900300000000001</v>
      </c>
      <c r="DH21">
        <v>18.146699999999999</v>
      </c>
      <c r="DI21">
        <v>58.311700000000002</v>
      </c>
      <c r="DJ21">
        <v>24.6951</v>
      </c>
      <c r="DK21">
        <v>500.07400000000001</v>
      </c>
      <c r="DL21">
        <v>99.777699999999996</v>
      </c>
      <c r="DM21">
        <v>0.10014000000000001</v>
      </c>
      <c r="DN21">
        <v>27.9908</v>
      </c>
      <c r="DO21">
        <v>27.527699999999999</v>
      </c>
      <c r="DP21">
        <v>999.9</v>
      </c>
      <c r="DQ21">
        <v>0</v>
      </c>
      <c r="DR21">
        <v>0</v>
      </c>
      <c r="DS21">
        <v>10003.799999999999</v>
      </c>
      <c r="DT21">
        <v>0</v>
      </c>
      <c r="DU21">
        <v>459.892</v>
      </c>
      <c r="DV21">
        <v>-12.824999999999999</v>
      </c>
      <c r="DW21">
        <v>58.646999999999998</v>
      </c>
      <c r="DX21">
        <v>71.305599999999998</v>
      </c>
      <c r="DY21">
        <v>6.7535999999999996</v>
      </c>
      <c r="DZ21">
        <v>70.011700000000005</v>
      </c>
      <c r="EA21">
        <v>18.146699999999999</v>
      </c>
      <c r="EB21">
        <v>2.4844900000000001</v>
      </c>
      <c r="EC21">
        <v>1.81063</v>
      </c>
      <c r="ED21">
        <v>20.9253</v>
      </c>
      <c r="EE21">
        <v>15.8789</v>
      </c>
      <c r="EF21">
        <v>1800</v>
      </c>
      <c r="EG21">
        <v>0.97800299999999996</v>
      </c>
      <c r="EH21">
        <v>2.1996999999999999E-2</v>
      </c>
      <c r="EI21">
        <v>0</v>
      </c>
      <c r="EJ21">
        <v>878.45799999999997</v>
      </c>
      <c r="EK21">
        <v>5.0002599999999999</v>
      </c>
      <c r="EL21">
        <v>16277.8</v>
      </c>
      <c r="EM21">
        <v>17103.400000000001</v>
      </c>
      <c r="EN21">
        <v>49.375</v>
      </c>
      <c r="EO21">
        <v>50.811999999999998</v>
      </c>
      <c r="EP21">
        <v>50.375</v>
      </c>
      <c r="EQ21">
        <v>50</v>
      </c>
      <c r="ER21">
        <v>50.5</v>
      </c>
      <c r="ES21">
        <v>1755.52</v>
      </c>
      <c r="ET21">
        <v>39.479999999999997</v>
      </c>
      <c r="EU21">
        <v>0</v>
      </c>
      <c r="EV21">
        <v>117.7999999523163</v>
      </c>
      <c r="EW21">
        <v>0</v>
      </c>
      <c r="EX21">
        <v>878.60369230769231</v>
      </c>
      <c r="EY21">
        <v>-1.0538119666749399</v>
      </c>
      <c r="EZ21">
        <v>-18.5914529854379</v>
      </c>
      <c r="FA21">
        <v>16281.723076923079</v>
      </c>
      <c r="FB21">
        <v>15</v>
      </c>
      <c r="FC21">
        <v>1674575868</v>
      </c>
      <c r="FD21" t="s">
        <v>443</v>
      </c>
      <c r="FE21">
        <v>1674575848.5</v>
      </c>
      <c r="FF21">
        <v>1674575868</v>
      </c>
      <c r="FG21">
        <v>8</v>
      </c>
      <c r="FH21">
        <v>8.1000000000000003E-2</v>
      </c>
      <c r="FI21">
        <v>4.0000000000000001E-3</v>
      </c>
      <c r="FJ21">
        <v>-1.1160000000000001</v>
      </c>
      <c r="FK21">
        <v>4.8000000000000001E-2</v>
      </c>
      <c r="FL21">
        <v>70</v>
      </c>
      <c r="FM21">
        <v>18</v>
      </c>
      <c r="FN21">
        <v>0.09</v>
      </c>
      <c r="FO21">
        <v>0.02</v>
      </c>
      <c r="FP21">
        <v>10.372097880823841</v>
      </c>
      <c r="FQ21">
        <v>-0.3572792225105933</v>
      </c>
      <c r="FR21">
        <v>4.3692443841056937E-2</v>
      </c>
      <c r="FS21">
        <v>1</v>
      </c>
      <c r="FT21">
        <v>0.50892715048450698</v>
      </c>
      <c r="FU21">
        <v>2.7668630190865909E-2</v>
      </c>
      <c r="FV21">
        <v>5.3756508378822168E-3</v>
      </c>
      <c r="FW21">
        <v>1</v>
      </c>
      <c r="FX21">
        <v>2</v>
      </c>
      <c r="FY21">
        <v>2</v>
      </c>
      <c r="FZ21" t="s">
        <v>420</v>
      </c>
      <c r="GA21">
        <v>2.92841</v>
      </c>
      <c r="GB21">
        <v>2.80708</v>
      </c>
      <c r="GC21">
        <v>1.6727800000000001E-2</v>
      </c>
      <c r="GD21">
        <v>2.0386499999999998E-2</v>
      </c>
      <c r="GE21">
        <v>0.11521000000000001</v>
      </c>
      <c r="GF21">
        <v>9.3647900000000006E-2</v>
      </c>
      <c r="GG21">
        <v>29285.599999999999</v>
      </c>
      <c r="GH21">
        <v>29423.599999999999</v>
      </c>
      <c r="GI21">
        <v>28289.9</v>
      </c>
      <c r="GJ21">
        <v>27065.8</v>
      </c>
      <c r="GK21">
        <v>35940.1</v>
      </c>
      <c r="GL21">
        <v>32361.9</v>
      </c>
      <c r="GM21">
        <v>42135.7</v>
      </c>
      <c r="GN21">
        <v>36688.199999999997</v>
      </c>
      <c r="GO21">
        <v>1.9072</v>
      </c>
      <c r="GP21">
        <v>1.9023300000000001</v>
      </c>
      <c r="GQ21">
        <v>6.4521999999999996E-2</v>
      </c>
      <c r="GR21">
        <v>0</v>
      </c>
      <c r="GS21">
        <v>26.4725</v>
      </c>
      <c r="GT21">
        <v>999.9</v>
      </c>
      <c r="GU21">
        <v>54.7</v>
      </c>
      <c r="GV21">
        <v>32.9</v>
      </c>
      <c r="GW21">
        <v>27.540299999999998</v>
      </c>
      <c r="GX21">
        <v>62.460299999999997</v>
      </c>
      <c r="GY21">
        <v>27.291699999999999</v>
      </c>
      <c r="GZ21">
        <v>1</v>
      </c>
      <c r="HA21">
        <v>0.41541400000000001</v>
      </c>
      <c r="HB21">
        <v>2.91614</v>
      </c>
      <c r="HC21">
        <v>20.321899999999999</v>
      </c>
      <c r="HD21">
        <v>5.2378099999999996</v>
      </c>
      <c r="HE21">
        <v>11.9381</v>
      </c>
      <c r="HF21">
        <v>4.9734499999999997</v>
      </c>
      <c r="HG21">
        <v>3.2988499999999998</v>
      </c>
      <c r="HH21">
        <v>9999</v>
      </c>
      <c r="HI21">
        <v>9999</v>
      </c>
      <c r="HJ21">
        <v>9999</v>
      </c>
      <c r="HK21">
        <v>999.9</v>
      </c>
      <c r="HL21">
        <v>1.87378</v>
      </c>
      <c r="HM21">
        <v>1.8814299999999999</v>
      </c>
      <c r="HN21">
        <v>1.8849400000000001</v>
      </c>
      <c r="HO21">
        <v>1.88171</v>
      </c>
      <c r="HP21">
        <v>1.879</v>
      </c>
      <c r="HQ21">
        <v>1.8737699999999999</v>
      </c>
      <c r="HR21">
        <v>1.8766400000000001</v>
      </c>
      <c r="HS21">
        <v>1.8808400000000001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-1.125</v>
      </c>
      <c r="IH21">
        <v>0.20519999999999999</v>
      </c>
      <c r="II21">
        <v>-1.1739826913118869</v>
      </c>
      <c r="IJ21">
        <v>9.4905977090923709E-4</v>
      </c>
      <c r="IK21">
        <v>-1.9106666302146479E-6</v>
      </c>
      <c r="IL21">
        <v>7.5819610513223293E-10</v>
      </c>
      <c r="IM21">
        <v>-9.3821442123288273E-2</v>
      </c>
      <c r="IN21">
        <v>-1.0595840490420019E-2</v>
      </c>
      <c r="IO21">
        <v>1.2407080968752471E-3</v>
      </c>
      <c r="IP21">
        <v>-1.3015442653884381E-5</v>
      </c>
      <c r="IQ21">
        <v>33</v>
      </c>
      <c r="IR21">
        <v>2014</v>
      </c>
      <c r="IS21">
        <v>1</v>
      </c>
      <c r="IT21">
        <v>26</v>
      </c>
      <c r="IU21">
        <v>0.9</v>
      </c>
      <c r="IV21">
        <v>0.6</v>
      </c>
      <c r="IW21">
        <v>0.28686499999999998</v>
      </c>
      <c r="IX21">
        <v>2.5402800000000001</v>
      </c>
      <c r="IY21">
        <v>1.5979000000000001</v>
      </c>
      <c r="IZ21">
        <v>2.3046899999999999</v>
      </c>
      <c r="JA21">
        <v>1.5502899999999999</v>
      </c>
      <c r="JB21">
        <v>2.36938</v>
      </c>
      <c r="JC21">
        <v>38.281199999999998</v>
      </c>
      <c r="JD21">
        <v>23.877400000000002</v>
      </c>
      <c r="JE21">
        <v>18</v>
      </c>
      <c r="JF21">
        <v>475.286</v>
      </c>
      <c r="JG21">
        <v>507.01900000000001</v>
      </c>
      <c r="JH21">
        <v>22.8675</v>
      </c>
      <c r="JI21">
        <v>32.419600000000003</v>
      </c>
      <c r="JJ21">
        <v>30.0001</v>
      </c>
      <c r="JK21">
        <v>32.488700000000001</v>
      </c>
      <c r="JL21">
        <v>32.442999999999998</v>
      </c>
      <c r="JM21">
        <v>5.79054</v>
      </c>
      <c r="JN21">
        <v>42.2806</v>
      </c>
      <c r="JO21">
        <v>0</v>
      </c>
      <c r="JP21">
        <v>22.871300000000002</v>
      </c>
      <c r="JQ21">
        <v>70</v>
      </c>
      <c r="JR21">
        <v>18.0471</v>
      </c>
      <c r="JS21">
        <v>99.888800000000003</v>
      </c>
      <c r="JT21">
        <v>98.272999999999996</v>
      </c>
    </row>
    <row r="22" spans="1:280" x14ac:dyDescent="0.25">
      <c r="A22">
        <v>6</v>
      </c>
      <c r="B22">
        <v>1674576020.5</v>
      </c>
      <c r="C22">
        <v>595.5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1674576020.5</v>
      </c>
      <c r="J22">
        <f t="shared" si="0"/>
        <v>5.9179536708546176E-3</v>
      </c>
      <c r="K22">
        <f t="shared" si="1"/>
        <v>5.9179536708546179</v>
      </c>
      <c r="L22">
        <f t="shared" si="2"/>
        <v>4.2248915538929497</v>
      </c>
      <c r="M22">
        <f t="shared" si="3"/>
        <v>24.7028</v>
      </c>
      <c r="N22">
        <f t="shared" si="4"/>
        <v>10.332027480970131</v>
      </c>
      <c r="O22">
        <f t="shared" si="5"/>
        <v>1.0320640346842804</v>
      </c>
      <c r="P22">
        <f t="shared" si="6"/>
        <v>2.4675574550063999</v>
      </c>
      <c r="Q22">
        <f t="shared" si="7"/>
        <v>0.52260424920701121</v>
      </c>
      <c r="R22">
        <f t="shared" si="8"/>
        <v>2.9267343020169547</v>
      </c>
      <c r="S22">
        <f t="shared" si="9"/>
        <v>0.47575569988516414</v>
      </c>
      <c r="T22">
        <f t="shared" si="10"/>
        <v>0.30120571396634566</v>
      </c>
      <c r="U22">
        <f t="shared" si="11"/>
        <v>344.38269965776669</v>
      </c>
      <c r="V22">
        <f t="shared" si="12"/>
        <v>28.484834026977119</v>
      </c>
      <c r="W22">
        <f t="shared" si="13"/>
        <v>27.509</v>
      </c>
      <c r="X22">
        <f t="shared" si="14"/>
        <v>3.6875644649291668</v>
      </c>
      <c r="Y22">
        <f t="shared" si="15"/>
        <v>65.468855377376144</v>
      </c>
      <c r="Z22">
        <f t="shared" si="16"/>
        <v>2.4834099643619996</v>
      </c>
      <c r="AA22">
        <f t="shared" si="17"/>
        <v>3.7932692576448854</v>
      </c>
      <c r="AB22">
        <f t="shared" si="18"/>
        <v>1.2041545005671672</v>
      </c>
      <c r="AC22">
        <f t="shared" si="19"/>
        <v>-260.98175688468865</v>
      </c>
      <c r="AD22">
        <f t="shared" si="20"/>
        <v>76.352693640154342</v>
      </c>
      <c r="AE22">
        <f t="shared" si="21"/>
        <v>5.6724878964943102</v>
      </c>
      <c r="AF22">
        <f t="shared" si="22"/>
        <v>165.4261243097267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52617.128353807013</v>
      </c>
      <c r="AL22" t="s">
        <v>415</v>
      </c>
      <c r="AM22">
        <v>10297.6</v>
      </c>
      <c r="AN22">
        <v>785.57400000000007</v>
      </c>
      <c r="AO22">
        <v>3597.65</v>
      </c>
      <c r="AP22">
        <f t="shared" si="26"/>
        <v>0.7816424610509638</v>
      </c>
      <c r="AQ22">
        <v>-0.62398835798131469</v>
      </c>
      <c r="AR22" t="s">
        <v>446</v>
      </c>
      <c r="AS22">
        <v>10224</v>
      </c>
      <c r="AT22">
        <v>890.69916000000012</v>
      </c>
      <c r="AU22">
        <v>974.91792484929078</v>
      </c>
      <c r="AV22">
        <f t="shared" si="27"/>
        <v>8.6385492258037822E-2</v>
      </c>
      <c r="AW22">
        <v>0.5</v>
      </c>
      <c r="AX22">
        <f t="shared" si="28"/>
        <v>1513.2434998288832</v>
      </c>
      <c r="AY22">
        <f t="shared" si="29"/>
        <v>4.2248915538929497</v>
      </c>
      <c r="AZ22">
        <f t="shared" si="30"/>
        <v>65.36114231949702</v>
      </c>
      <c r="BA22">
        <f t="shared" si="31"/>
        <v>3.2042958799575702E-3</v>
      </c>
      <c r="BB22">
        <f t="shared" si="32"/>
        <v>2.6902080762912925</v>
      </c>
      <c r="BC22">
        <f t="shared" si="33"/>
        <v>494.87245315942226</v>
      </c>
      <c r="BD22" t="s">
        <v>447</v>
      </c>
      <c r="BE22">
        <v>598.41</v>
      </c>
      <c r="BF22">
        <f t="shared" si="34"/>
        <v>598.41</v>
      </c>
      <c r="BG22">
        <f t="shared" si="35"/>
        <v>0.38619448391770406</v>
      </c>
      <c r="BH22">
        <f t="shared" si="36"/>
        <v>0.22368391019392722</v>
      </c>
      <c r="BI22">
        <f t="shared" si="37"/>
        <v>0.87446555632450529</v>
      </c>
      <c r="BJ22">
        <f t="shared" si="38"/>
        <v>0.44479253779240624</v>
      </c>
      <c r="BK22">
        <f t="shared" si="39"/>
        <v>0.93266756487047631</v>
      </c>
      <c r="BL22">
        <f t="shared" si="40"/>
        <v>0.15028047034326153</v>
      </c>
      <c r="BM22">
        <f t="shared" si="41"/>
        <v>0.84971952965673847</v>
      </c>
      <c r="BN22">
        <v>11</v>
      </c>
      <c r="BO22">
        <v>290.00000000000011</v>
      </c>
      <c r="BP22">
        <v>945.56</v>
      </c>
      <c r="BQ22">
        <v>135</v>
      </c>
      <c r="BR22">
        <v>10224</v>
      </c>
      <c r="BS22">
        <v>944.75</v>
      </c>
      <c r="BT22">
        <v>0.81</v>
      </c>
      <c r="BU22">
        <v>300.00000000000011</v>
      </c>
      <c r="BV22">
        <v>24.1</v>
      </c>
      <c r="BW22">
        <v>974.91792484929078</v>
      </c>
      <c r="BX22">
        <v>2.3309290709846371</v>
      </c>
      <c r="BY22">
        <v>-30.848561687199659</v>
      </c>
      <c r="BZ22">
        <v>2.1188486787316871</v>
      </c>
      <c r="CA22">
        <v>0.88331769355157685</v>
      </c>
      <c r="CB22">
        <v>-6.9564393770856544E-3</v>
      </c>
      <c r="CC22">
        <v>289.99999999999989</v>
      </c>
      <c r="CD22">
        <v>941.45</v>
      </c>
      <c r="CE22">
        <v>615</v>
      </c>
      <c r="CF22">
        <v>10190.5</v>
      </c>
      <c r="CG22">
        <v>944.65</v>
      </c>
      <c r="CH22">
        <v>-3.2</v>
      </c>
      <c r="CV22">
        <f t="shared" si="42"/>
        <v>1800.07</v>
      </c>
      <c r="CW22">
        <f t="shared" si="43"/>
        <v>1513.2434998288832</v>
      </c>
      <c r="CX22">
        <f t="shared" si="44"/>
        <v>0.84065814097723046</v>
      </c>
      <c r="CY22">
        <f t="shared" si="45"/>
        <v>0.19131628195446104</v>
      </c>
      <c r="CZ22">
        <v>6</v>
      </c>
      <c r="DA22">
        <v>0.5</v>
      </c>
      <c r="DB22" t="s">
        <v>418</v>
      </c>
      <c r="DC22">
        <v>2</v>
      </c>
      <c r="DD22">
        <v>1674576020.5</v>
      </c>
      <c r="DE22">
        <v>24.7028</v>
      </c>
      <c r="DF22">
        <v>29.947500000000002</v>
      </c>
      <c r="DG22">
        <v>24.861499999999999</v>
      </c>
      <c r="DH22">
        <v>17.9373</v>
      </c>
      <c r="DI22">
        <v>25.775500000000001</v>
      </c>
      <c r="DJ22">
        <v>24.657499999999999</v>
      </c>
      <c r="DK22">
        <v>500.05700000000002</v>
      </c>
      <c r="DL22">
        <v>99.789699999999996</v>
      </c>
      <c r="DM22">
        <v>0.100088</v>
      </c>
      <c r="DN22">
        <v>27.992899999999999</v>
      </c>
      <c r="DO22">
        <v>27.509</v>
      </c>
      <c r="DP22">
        <v>999.9</v>
      </c>
      <c r="DQ22">
        <v>0</v>
      </c>
      <c r="DR22">
        <v>0</v>
      </c>
      <c r="DS22">
        <v>10005</v>
      </c>
      <c r="DT22">
        <v>0</v>
      </c>
      <c r="DU22">
        <v>462.92899999999997</v>
      </c>
      <c r="DV22">
        <v>-5.2447299999999997</v>
      </c>
      <c r="DW22">
        <v>25.332599999999999</v>
      </c>
      <c r="DX22">
        <v>30.494499999999999</v>
      </c>
      <c r="DY22">
        <v>6.92415</v>
      </c>
      <c r="DZ22">
        <v>29.947500000000002</v>
      </c>
      <c r="EA22">
        <v>17.9373</v>
      </c>
      <c r="EB22">
        <v>2.4809199999999998</v>
      </c>
      <c r="EC22">
        <v>1.78996</v>
      </c>
      <c r="ED22">
        <v>20.901900000000001</v>
      </c>
      <c r="EE22">
        <v>15.699400000000001</v>
      </c>
      <c r="EF22">
        <v>1800.07</v>
      </c>
      <c r="EG22">
        <v>0.97800299999999996</v>
      </c>
      <c r="EH22">
        <v>2.1996999999999999E-2</v>
      </c>
      <c r="EI22">
        <v>0</v>
      </c>
      <c r="EJ22">
        <v>890.80799999999999</v>
      </c>
      <c r="EK22">
        <v>5.0002599999999999</v>
      </c>
      <c r="EL22">
        <v>16489.400000000001</v>
      </c>
      <c r="EM22">
        <v>17104</v>
      </c>
      <c r="EN22">
        <v>49.436999999999998</v>
      </c>
      <c r="EO22">
        <v>50.875</v>
      </c>
      <c r="EP22">
        <v>50.375</v>
      </c>
      <c r="EQ22">
        <v>50</v>
      </c>
      <c r="ER22">
        <v>50.561999999999998</v>
      </c>
      <c r="ES22">
        <v>1755.58</v>
      </c>
      <c r="ET22">
        <v>39.49</v>
      </c>
      <c r="EU22">
        <v>0</v>
      </c>
      <c r="EV22">
        <v>114.5999999046326</v>
      </c>
      <c r="EW22">
        <v>0</v>
      </c>
      <c r="EX22">
        <v>890.69916000000012</v>
      </c>
      <c r="EY22">
        <v>-1.3976153935619451</v>
      </c>
      <c r="EZ22">
        <v>-36.930769225065823</v>
      </c>
      <c r="FA22">
        <v>16493.616000000002</v>
      </c>
      <c r="FB22">
        <v>15</v>
      </c>
      <c r="FC22">
        <v>1674575984.5</v>
      </c>
      <c r="FD22" t="s">
        <v>448</v>
      </c>
      <c r="FE22">
        <v>1674575968.5</v>
      </c>
      <c r="FF22">
        <v>1674575984.5</v>
      </c>
      <c r="FG22">
        <v>9</v>
      </c>
      <c r="FH22">
        <v>7.8E-2</v>
      </c>
      <c r="FI22">
        <v>0</v>
      </c>
      <c r="FJ22">
        <v>-1.0680000000000001</v>
      </c>
      <c r="FK22">
        <v>3.9E-2</v>
      </c>
      <c r="FL22">
        <v>30</v>
      </c>
      <c r="FM22">
        <v>18</v>
      </c>
      <c r="FN22">
        <v>0.28000000000000003</v>
      </c>
      <c r="FO22">
        <v>0.02</v>
      </c>
      <c r="FP22">
        <v>4.2681219860959132</v>
      </c>
      <c r="FQ22">
        <v>-0.3494965449371078</v>
      </c>
      <c r="FR22">
        <v>4.4205221897278053E-2</v>
      </c>
      <c r="FS22">
        <v>1</v>
      </c>
      <c r="FT22">
        <v>0.52833742580563758</v>
      </c>
      <c r="FU22">
        <v>1.6728443583253601E-2</v>
      </c>
      <c r="FV22">
        <v>5.7605553291933112E-3</v>
      </c>
      <c r="FW22">
        <v>1</v>
      </c>
      <c r="FX22">
        <v>2</v>
      </c>
      <c r="FY22">
        <v>2</v>
      </c>
      <c r="FZ22" t="s">
        <v>420</v>
      </c>
      <c r="GA22">
        <v>2.9283800000000002</v>
      </c>
      <c r="GB22">
        <v>2.8070400000000002</v>
      </c>
      <c r="GC22">
        <v>7.3831299999999999E-3</v>
      </c>
      <c r="GD22">
        <v>8.7250799999999996E-3</v>
      </c>
      <c r="GE22">
        <v>0.11509900000000001</v>
      </c>
      <c r="GF22">
        <v>9.2883300000000002E-2</v>
      </c>
      <c r="GG22">
        <v>29564</v>
      </c>
      <c r="GH22">
        <v>29775.7</v>
      </c>
      <c r="GI22">
        <v>28290</v>
      </c>
      <c r="GJ22">
        <v>27067.5</v>
      </c>
      <c r="GK22">
        <v>35944.9</v>
      </c>
      <c r="GL22">
        <v>32390.9</v>
      </c>
      <c r="GM22">
        <v>42136.1</v>
      </c>
      <c r="GN22">
        <v>36690.300000000003</v>
      </c>
      <c r="GO22">
        <v>1.9075299999999999</v>
      </c>
      <c r="GP22">
        <v>1.9007700000000001</v>
      </c>
      <c r="GQ22">
        <v>6.7912E-2</v>
      </c>
      <c r="GR22">
        <v>0</v>
      </c>
      <c r="GS22">
        <v>26.398299999999999</v>
      </c>
      <c r="GT22">
        <v>999.9</v>
      </c>
      <c r="GU22">
        <v>54.5</v>
      </c>
      <c r="GV22">
        <v>33</v>
      </c>
      <c r="GW22">
        <v>27.590800000000002</v>
      </c>
      <c r="GX22">
        <v>62.3504</v>
      </c>
      <c r="GY22">
        <v>27.5962</v>
      </c>
      <c r="GZ22">
        <v>1</v>
      </c>
      <c r="HA22">
        <v>0.41523900000000002</v>
      </c>
      <c r="HB22">
        <v>2.8688400000000001</v>
      </c>
      <c r="HC22">
        <v>20.322199999999999</v>
      </c>
      <c r="HD22">
        <v>5.23855</v>
      </c>
      <c r="HE22">
        <v>11.9381</v>
      </c>
      <c r="HF22">
        <v>4.9733499999999999</v>
      </c>
      <c r="HG22">
        <v>3.2988499999999998</v>
      </c>
      <c r="HH22">
        <v>9999</v>
      </c>
      <c r="HI22">
        <v>9999</v>
      </c>
      <c r="HJ22">
        <v>9999</v>
      </c>
      <c r="HK22">
        <v>999.9</v>
      </c>
      <c r="HL22">
        <v>1.87378</v>
      </c>
      <c r="HM22">
        <v>1.88144</v>
      </c>
      <c r="HN22">
        <v>1.885</v>
      </c>
      <c r="HO22">
        <v>1.88171</v>
      </c>
      <c r="HP22">
        <v>1.87903</v>
      </c>
      <c r="HQ22">
        <v>1.87378</v>
      </c>
      <c r="HR22">
        <v>1.8766499999999999</v>
      </c>
      <c r="HS22">
        <v>1.8808499999999999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-1.073</v>
      </c>
      <c r="IH22">
        <v>0.20399999999999999</v>
      </c>
      <c r="II22">
        <v>-1.0959483534115171</v>
      </c>
      <c r="IJ22">
        <v>9.4905977090923709E-4</v>
      </c>
      <c r="IK22">
        <v>-1.9106666302146479E-6</v>
      </c>
      <c r="IL22">
        <v>7.5819610513223293E-10</v>
      </c>
      <c r="IM22">
        <v>-9.3908255267043383E-2</v>
      </c>
      <c r="IN22">
        <v>-1.0595840490420019E-2</v>
      </c>
      <c r="IO22">
        <v>1.2407080968752471E-3</v>
      </c>
      <c r="IP22">
        <v>-1.3015442653884381E-5</v>
      </c>
      <c r="IQ22">
        <v>33</v>
      </c>
      <c r="IR22">
        <v>2014</v>
      </c>
      <c r="IS22">
        <v>1</v>
      </c>
      <c r="IT22">
        <v>26</v>
      </c>
      <c r="IU22">
        <v>0.9</v>
      </c>
      <c r="IV22">
        <v>0.6</v>
      </c>
      <c r="IW22">
        <v>0.20019500000000001</v>
      </c>
      <c r="IX22">
        <v>2.5781200000000002</v>
      </c>
      <c r="IY22">
        <v>1.5991200000000001</v>
      </c>
      <c r="IZ22">
        <v>2.3046899999999999</v>
      </c>
      <c r="JA22">
        <v>1.5502899999999999</v>
      </c>
      <c r="JB22">
        <v>2.3010299999999999</v>
      </c>
      <c r="JC22">
        <v>38.427900000000001</v>
      </c>
      <c r="JD22">
        <v>23.8598</v>
      </c>
      <c r="JE22">
        <v>18</v>
      </c>
      <c r="JF22">
        <v>475.53399999999999</v>
      </c>
      <c r="JG22">
        <v>506.00900000000001</v>
      </c>
      <c r="JH22">
        <v>22.950299999999999</v>
      </c>
      <c r="JI22">
        <v>32.413899999999998</v>
      </c>
      <c r="JJ22">
        <v>29.9999</v>
      </c>
      <c r="JK22">
        <v>32.494399999999999</v>
      </c>
      <c r="JL22">
        <v>32.454300000000003</v>
      </c>
      <c r="JM22">
        <v>4.0605799999999999</v>
      </c>
      <c r="JN22">
        <v>43.103000000000002</v>
      </c>
      <c r="JO22">
        <v>0</v>
      </c>
      <c r="JP22">
        <v>22.958100000000002</v>
      </c>
      <c r="JQ22">
        <v>30</v>
      </c>
      <c r="JR22">
        <v>17.849900000000002</v>
      </c>
      <c r="JS22">
        <v>99.889399999999995</v>
      </c>
      <c r="JT22">
        <v>98.278800000000004</v>
      </c>
    </row>
    <row r="23" spans="1:280" x14ac:dyDescent="0.25">
      <c r="A23">
        <v>7</v>
      </c>
      <c r="B23">
        <v>1674576127.5</v>
      </c>
      <c r="C23">
        <v>702.5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1674576127.5</v>
      </c>
      <c r="J23">
        <f t="shared" si="0"/>
        <v>6.0198421695127572E-3</v>
      </c>
      <c r="K23">
        <f t="shared" si="1"/>
        <v>6.0198421695127573</v>
      </c>
      <c r="L23">
        <f t="shared" si="2"/>
        <v>1.1673967586307477</v>
      </c>
      <c r="M23">
        <f t="shared" si="3"/>
        <v>9.5372199999999996</v>
      </c>
      <c r="N23">
        <f t="shared" si="4"/>
        <v>5.5853728942026288</v>
      </c>
      <c r="O23">
        <f t="shared" si="5"/>
        <v>0.55799884271714317</v>
      </c>
      <c r="P23">
        <f t="shared" si="6"/>
        <v>0.95280258338034007</v>
      </c>
      <c r="Q23">
        <f t="shared" si="7"/>
        <v>0.53342292588351825</v>
      </c>
      <c r="R23">
        <f t="shared" si="8"/>
        <v>2.9235781181242246</v>
      </c>
      <c r="S23">
        <f t="shared" si="9"/>
        <v>0.48466387419586038</v>
      </c>
      <c r="T23">
        <f t="shared" si="10"/>
        <v>0.30692345563163265</v>
      </c>
      <c r="U23">
        <f t="shared" si="11"/>
        <v>344.39029965777428</v>
      </c>
      <c r="V23">
        <f t="shared" si="12"/>
        <v>28.473738417379064</v>
      </c>
      <c r="W23">
        <f t="shared" si="13"/>
        <v>27.500499999999999</v>
      </c>
      <c r="X23">
        <f t="shared" si="14"/>
        <v>3.6857309083443961</v>
      </c>
      <c r="Y23">
        <f t="shared" si="15"/>
        <v>65.405793208930007</v>
      </c>
      <c r="Z23">
        <f t="shared" si="16"/>
        <v>2.4831738359529001</v>
      </c>
      <c r="AA23">
        <f t="shared" si="17"/>
        <v>3.7965655855907676</v>
      </c>
      <c r="AB23">
        <f t="shared" si="18"/>
        <v>1.202557072391496</v>
      </c>
      <c r="AC23">
        <f t="shared" si="19"/>
        <v>-265.47503967551262</v>
      </c>
      <c r="AD23">
        <f t="shared" si="20"/>
        <v>79.958568139738205</v>
      </c>
      <c r="AE23">
        <f t="shared" si="21"/>
        <v>5.9469831582532038</v>
      </c>
      <c r="AF23">
        <f t="shared" si="22"/>
        <v>164.82081128025305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52524.020579877513</v>
      </c>
      <c r="AL23" t="s">
        <v>415</v>
      </c>
      <c r="AM23">
        <v>10297.6</v>
      </c>
      <c r="AN23">
        <v>785.57400000000007</v>
      </c>
      <c r="AO23">
        <v>3597.65</v>
      </c>
      <c r="AP23">
        <f t="shared" si="26"/>
        <v>0.7816424610509638</v>
      </c>
      <c r="AQ23">
        <v>-0.62398835798131469</v>
      </c>
      <c r="AR23" t="s">
        <v>451</v>
      </c>
      <c r="AS23">
        <v>10210.200000000001</v>
      </c>
      <c r="AT23">
        <v>893.66684615384611</v>
      </c>
      <c r="AU23">
        <v>956.55039898050268</v>
      </c>
      <c r="AV23">
        <f t="shared" si="27"/>
        <v>6.5739926399777993E-2</v>
      </c>
      <c r="AW23">
        <v>0.5</v>
      </c>
      <c r="AX23">
        <f t="shared" si="28"/>
        <v>1513.2770998288868</v>
      </c>
      <c r="AY23">
        <f t="shared" si="29"/>
        <v>1.1673967586307477</v>
      </c>
      <c r="AZ23">
        <f t="shared" si="30"/>
        <v>49.741362582610257</v>
      </c>
      <c r="BA23">
        <f t="shared" si="31"/>
        <v>1.1837786462338077E-3</v>
      </c>
      <c r="BB23">
        <f t="shared" si="32"/>
        <v>2.7610668542236749</v>
      </c>
      <c r="BC23">
        <f t="shared" si="33"/>
        <v>490.09552440777645</v>
      </c>
      <c r="BD23" t="s">
        <v>452</v>
      </c>
      <c r="BE23">
        <v>603.91</v>
      </c>
      <c r="BF23">
        <f t="shared" si="34"/>
        <v>603.91</v>
      </c>
      <c r="BG23">
        <f t="shared" si="35"/>
        <v>0.36865846206990138</v>
      </c>
      <c r="BH23">
        <f t="shared" si="36"/>
        <v>0.17832203289372234</v>
      </c>
      <c r="BI23">
        <f t="shared" si="37"/>
        <v>0.88220740646131512</v>
      </c>
      <c r="BJ23">
        <f t="shared" si="38"/>
        <v>0.36779083663955009</v>
      </c>
      <c r="BK23">
        <f t="shared" si="39"/>
        <v>0.93919922541904899</v>
      </c>
      <c r="BL23">
        <f t="shared" si="40"/>
        <v>0.12050403273694768</v>
      </c>
      <c r="BM23">
        <f t="shared" si="41"/>
        <v>0.87949596726305235</v>
      </c>
      <c r="BN23">
        <v>13</v>
      </c>
      <c r="BO23">
        <v>290.00000000000011</v>
      </c>
      <c r="BP23">
        <v>936.6</v>
      </c>
      <c r="BQ23">
        <v>225</v>
      </c>
      <c r="BR23">
        <v>10210.200000000001</v>
      </c>
      <c r="BS23">
        <v>934.48</v>
      </c>
      <c r="BT23">
        <v>2.12</v>
      </c>
      <c r="BU23">
        <v>300.00000000000011</v>
      </c>
      <c r="BV23">
        <v>24.1</v>
      </c>
      <c r="BW23">
        <v>956.55039898050268</v>
      </c>
      <c r="BX23">
        <v>1.7833578222944</v>
      </c>
      <c r="BY23">
        <v>-22.537196280747679</v>
      </c>
      <c r="BZ23">
        <v>1.6211114877484021</v>
      </c>
      <c r="CA23">
        <v>0.87346019974805889</v>
      </c>
      <c r="CB23">
        <v>-6.9565056729699688E-3</v>
      </c>
      <c r="CC23">
        <v>289.99999999999989</v>
      </c>
      <c r="CD23">
        <v>931.65</v>
      </c>
      <c r="CE23">
        <v>685</v>
      </c>
      <c r="CF23">
        <v>10185.799999999999</v>
      </c>
      <c r="CG23">
        <v>934.42</v>
      </c>
      <c r="CH23">
        <v>-2.77</v>
      </c>
      <c r="CV23">
        <f t="shared" si="42"/>
        <v>1800.11</v>
      </c>
      <c r="CW23">
        <f t="shared" si="43"/>
        <v>1513.2770998288868</v>
      </c>
      <c r="CX23">
        <f t="shared" si="44"/>
        <v>0.84065812635277115</v>
      </c>
      <c r="CY23">
        <f t="shared" si="45"/>
        <v>0.19131625270554262</v>
      </c>
      <c r="CZ23">
        <v>6</v>
      </c>
      <c r="DA23">
        <v>0.5</v>
      </c>
      <c r="DB23" t="s">
        <v>418</v>
      </c>
      <c r="DC23">
        <v>2</v>
      </c>
      <c r="DD23">
        <v>1674576127.5</v>
      </c>
      <c r="DE23">
        <v>9.5372199999999996</v>
      </c>
      <c r="DF23">
        <v>11.007</v>
      </c>
      <c r="DG23">
        <v>24.855699999999999</v>
      </c>
      <c r="DH23">
        <v>17.811399999999999</v>
      </c>
      <c r="DI23">
        <v>10.5283</v>
      </c>
      <c r="DJ23">
        <v>24.653600000000001</v>
      </c>
      <c r="DK23">
        <v>499.99700000000001</v>
      </c>
      <c r="DL23">
        <v>99.8035</v>
      </c>
      <c r="DM23">
        <v>0.10009700000000001</v>
      </c>
      <c r="DN23">
        <v>28.0078</v>
      </c>
      <c r="DO23">
        <v>27.500499999999999</v>
      </c>
      <c r="DP23">
        <v>999.9</v>
      </c>
      <c r="DQ23">
        <v>0</v>
      </c>
      <c r="DR23">
        <v>0</v>
      </c>
      <c r="DS23">
        <v>9985.6200000000008</v>
      </c>
      <c r="DT23">
        <v>0</v>
      </c>
      <c r="DU23">
        <v>459.18599999999998</v>
      </c>
      <c r="DV23">
        <v>-1.4697499999999999</v>
      </c>
      <c r="DW23">
        <v>9.7803199999999997</v>
      </c>
      <c r="DX23">
        <v>11.2066</v>
      </c>
      <c r="DY23">
        <v>7.0443899999999999</v>
      </c>
      <c r="DZ23">
        <v>11.007</v>
      </c>
      <c r="EA23">
        <v>17.811399999999999</v>
      </c>
      <c r="EB23">
        <v>2.4806900000000001</v>
      </c>
      <c r="EC23">
        <v>1.7776400000000001</v>
      </c>
      <c r="ED23">
        <v>20.900400000000001</v>
      </c>
      <c r="EE23">
        <v>15.5915</v>
      </c>
      <c r="EF23">
        <v>1800.11</v>
      </c>
      <c r="EG23">
        <v>0.97800299999999996</v>
      </c>
      <c r="EH23">
        <v>2.1996999999999999E-2</v>
      </c>
      <c r="EI23">
        <v>0</v>
      </c>
      <c r="EJ23">
        <v>893.30799999999999</v>
      </c>
      <c r="EK23">
        <v>5.0002599999999999</v>
      </c>
      <c r="EL23">
        <v>16529.5</v>
      </c>
      <c r="EM23">
        <v>17104.400000000001</v>
      </c>
      <c r="EN23">
        <v>49.436999999999998</v>
      </c>
      <c r="EO23">
        <v>50.875</v>
      </c>
      <c r="EP23">
        <v>50.436999999999998</v>
      </c>
      <c r="EQ23">
        <v>50</v>
      </c>
      <c r="ER23">
        <v>50.561999999999998</v>
      </c>
      <c r="ES23">
        <v>1755.62</v>
      </c>
      <c r="ET23">
        <v>39.49</v>
      </c>
      <c r="EU23">
        <v>0</v>
      </c>
      <c r="EV23">
        <v>105.2000000476837</v>
      </c>
      <c r="EW23">
        <v>0</v>
      </c>
      <c r="EX23">
        <v>893.66684615384611</v>
      </c>
      <c r="EY23">
        <v>-2.043623946849312</v>
      </c>
      <c r="EZ23">
        <v>-63.30598266490837</v>
      </c>
      <c r="FA23">
        <v>16538.603846153841</v>
      </c>
      <c r="FB23">
        <v>15</v>
      </c>
      <c r="FC23">
        <v>1674576092</v>
      </c>
      <c r="FD23" t="s">
        <v>453</v>
      </c>
      <c r="FE23">
        <v>1674576084</v>
      </c>
      <c r="FF23">
        <v>1674576092</v>
      </c>
      <c r="FG23">
        <v>10</v>
      </c>
      <c r="FH23">
        <v>9.5000000000000001E-2</v>
      </c>
      <c r="FI23">
        <v>-2E-3</v>
      </c>
      <c r="FJ23">
        <v>-0.99</v>
      </c>
      <c r="FK23">
        <v>3.5000000000000003E-2</v>
      </c>
      <c r="FL23">
        <v>11</v>
      </c>
      <c r="FM23">
        <v>18</v>
      </c>
      <c r="FN23">
        <v>0.38</v>
      </c>
      <c r="FO23">
        <v>0.01</v>
      </c>
      <c r="FP23">
        <v>1.1592773777809759</v>
      </c>
      <c r="FQ23">
        <v>-1.614013991851149E-3</v>
      </c>
      <c r="FR23">
        <v>1.532432721546266E-2</v>
      </c>
      <c r="FS23">
        <v>1</v>
      </c>
      <c r="FT23">
        <v>0.53556484746466582</v>
      </c>
      <c r="FU23">
        <v>2.7338305495331231E-2</v>
      </c>
      <c r="FV23">
        <v>5.1226935629158721E-3</v>
      </c>
      <c r="FW23">
        <v>1</v>
      </c>
      <c r="FX23">
        <v>2</v>
      </c>
      <c r="FY23">
        <v>2</v>
      </c>
      <c r="FZ23" t="s">
        <v>420</v>
      </c>
      <c r="GA23">
        <v>2.9282499999999998</v>
      </c>
      <c r="GB23">
        <v>2.80687</v>
      </c>
      <c r="GC23">
        <v>3.0077200000000002E-3</v>
      </c>
      <c r="GD23">
        <v>3.1979600000000001E-3</v>
      </c>
      <c r="GE23">
        <v>0.115104</v>
      </c>
      <c r="GF23">
        <v>9.2429399999999995E-2</v>
      </c>
      <c r="GG23">
        <v>29693.599999999999</v>
      </c>
      <c r="GH23">
        <v>29944.6</v>
      </c>
      <c r="GI23">
        <v>28289.200000000001</v>
      </c>
      <c r="GJ23">
        <v>27070.1</v>
      </c>
      <c r="GK23">
        <v>35943.4</v>
      </c>
      <c r="GL23">
        <v>32410.7</v>
      </c>
      <c r="GM23">
        <v>42134.6</v>
      </c>
      <c r="GN23">
        <v>36694.300000000003</v>
      </c>
      <c r="GO23">
        <v>1.90788</v>
      </c>
      <c r="GP23">
        <v>1.89985</v>
      </c>
      <c r="GQ23">
        <v>6.8750199999999997E-2</v>
      </c>
      <c r="GR23">
        <v>0</v>
      </c>
      <c r="GS23">
        <v>26.376000000000001</v>
      </c>
      <c r="GT23">
        <v>999.9</v>
      </c>
      <c r="GU23">
        <v>54.2</v>
      </c>
      <c r="GV23">
        <v>33.1</v>
      </c>
      <c r="GW23">
        <v>27.591699999999999</v>
      </c>
      <c r="GX23">
        <v>62.3904</v>
      </c>
      <c r="GY23">
        <v>27.604199999999999</v>
      </c>
      <c r="GZ23">
        <v>1</v>
      </c>
      <c r="HA23">
        <v>0.41308699999999998</v>
      </c>
      <c r="HB23">
        <v>2.8557399999999999</v>
      </c>
      <c r="HC23">
        <v>20.320599999999999</v>
      </c>
      <c r="HD23">
        <v>5.2364600000000001</v>
      </c>
      <c r="HE23">
        <v>11.937200000000001</v>
      </c>
      <c r="HF23">
        <v>4.9731500000000004</v>
      </c>
      <c r="HG23">
        <v>3.2985000000000002</v>
      </c>
      <c r="HH23">
        <v>9999</v>
      </c>
      <c r="HI23">
        <v>9999</v>
      </c>
      <c r="HJ23">
        <v>9999</v>
      </c>
      <c r="HK23">
        <v>999.9</v>
      </c>
      <c r="HL23">
        <v>1.87378</v>
      </c>
      <c r="HM23">
        <v>1.88148</v>
      </c>
      <c r="HN23">
        <v>1.8849899999999999</v>
      </c>
      <c r="HO23">
        <v>1.88171</v>
      </c>
      <c r="HP23">
        <v>1.87904</v>
      </c>
      <c r="HQ23">
        <v>1.87378</v>
      </c>
      <c r="HR23">
        <v>1.8766799999999999</v>
      </c>
      <c r="HS23">
        <v>1.8808400000000001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-0.99099999999999999</v>
      </c>
      <c r="IH23">
        <v>0.2021</v>
      </c>
      <c r="II23">
        <v>-1.000826121727</v>
      </c>
      <c r="IJ23">
        <v>9.4905977090923709E-4</v>
      </c>
      <c r="IK23">
        <v>-1.9106666302146479E-6</v>
      </c>
      <c r="IL23">
        <v>7.5819610513223293E-10</v>
      </c>
      <c r="IM23">
        <v>-9.5736102536428086E-2</v>
      </c>
      <c r="IN23">
        <v>-1.0595840490420019E-2</v>
      </c>
      <c r="IO23">
        <v>1.2407080968752471E-3</v>
      </c>
      <c r="IP23">
        <v>-1.3015442653884381E-5</v>
      </c>
      <c r="IQ23">
        <v>33</v>
      </c>
      <c r="IR23">
        <v>2014</v>
      </c>
      <c r="IS23">
        <v>1</v>
      </c>
      <c r="IT23">
        <v>26</v>
      </c>
      <c r="IU23">
        <v>0.7</v>
      </c>
      <c r="IV23">
        <v>0.6</v>
      </c>
      <c r="IW23">
        <v>0.13061500000000001</v>
      </c>
      <c r="IX23">
        <v>2.6293899999999999</v>
      </c>
      <c r="IY23">
        <v>1.5991200000000001</v>
      </c>
      <c r="IZ23">
        <v>2.3034699999999999</v>
      </c>
      <c r="JA23">
        <v>1.5502899999999999</v>
      </c>
      <c r="JB23">
        <v>2.2936999999999999</v>
      </c>
      <c r="JC23">
        <v>38.550400000000003</v>
      </c>
      <c r="JD23">
        <v>23.868600000000001</v>
      </c>
      <c r="JE23">
        <v>18</v>
      </c>
      <c r="JF23">
        <v>475.68799999999999</v>
      </c>
      <c r="JG23">
        <v>505.32499999999999</v>
      </c>
      <c r="JH23">
        <v>22.944099999999999</v>
      </c>
      <c r="JI23">
        <v>32.393799999999999</v>
      </c>
      <c r="JJ23">
        <v>30.0001</v>
      </c>
      <c r="JK23">
        <v>32.485799999999998</v>
      </c>
      <c r="JL23">
        <v>32.4514</v>
      </c>
      <c r="JM23">
        <v>2.6631399999999998</v>
      </c>
      <c r="JN23">
        <v>43.205599999999997</v>
      </c>
      <c r="JO23">
        <v>0</v>
      </c>
      <c r="JP23">
        <v>22.943000000000001</v>
      </c>
      <c r="JQ23">
        <v>10</v>
      </c>
      <c r="JR23">
        <v>17.763200000000001</v>
      </c>
      <c r="JS23">
        <v>99.886300000000006</v>
      </c>
      <c r="JT23">
        <v>98.289000000000001</v>
      </c>
    </row>
    <row r="24" spans="1:280" x14ac:dyDescent="0.25">
      <c r="A24">
        <v>8</v>
      </c>
      <c r="B24">
        <v>1674576317</v>
      </c>
      <c r="C24">
        <v>892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1674576317</v>
      </c>
      <c r="J24">
        <f t="shared" si="0"/>
        <v>5.4272628009856983E-3</v>
      </c>
      <c r="K24">
        <f t="shared" si="1"/>
        <v>5.427262800985698</v>
      </c>
      <c r="L24">
        <f t="shared" si="2"/>
        <v>38.51458442854338</v>
      </c>
      <c r="M24">
        <f t="shared" si="3"/>
        <v>351.50599999999997</v>
      </c>
      <c r="N24">
        <f t="shared" si="4"/>
        <v>204.21219106273935</v>
      </c>
      <c r="O24">
        <f t="shared" si="5"/>
        <v>20.404095056362124</v>
      </c>
      <c r="P24">
        <f t="shared" si="6"/>
        <v>35.121124745574797</v>
      </c>
      <c r="Q24">
        <f t="shared" si="7"/>
        <v>0.46762167405248539</v>
      </c>
      <c r="R24">
        <f t="shared" si="8"/>
        <v>2.925227439471993</v>
      </c>
      <c r="S24">
        <f t="shared" si="9"/>
        <v>0.42971204613566977</v>
      </c>
      <c r="T24">
        <f t="shared" si="10"/>
        <v>0.27171949079464586</v>
      </c>
      <c r="U24">
        <f t="shared" si="11"/>
        <v>344.39219965777619</v>
      </c>
      <c r="V24">
        <f t="shared" si="12"/>
        <v>28.61342558730458</v>
      </c>
      <c r="W24">
        <f t="shared" si="13"/>
        <v>27.478100000000001</v>
      </c>
      <c r="X24">
        <f t="shared" si="14"/>
        <v>3.6809027580023401</v>
      </c>
      <c r="Y24">
        <f t="shared" si="15"/>
        <v>64.789531846139184</v>
      </c>
      <c r="Z24">
        <f t="shared" si="16"/>
        <v>2.4577273627738201</v>
      </c>
      <c r="AA24">
        <f t="shared" si="17"/>
        <v>3.7934019474170291</v>
      </c>
      <c r="AB24">
        <f t="shared" si="18"/>
        <v>1.22317539522852</v>
      </c>
      <c r="AC24">
        <f t="shared" si="19"/>
        <v>-239.3422895234693</v>
      </c>
      <c r="AD24">
        <f t="shared" si="20"/>
        <v>81.281085728845923</v>
      </c>
      <c r="AE24">
        <f t="shared" si="21"/>
        <v>6.0408322363205711</v>
      </c>
      <c r="AF24">
        <f t="shared" si="22"/>
        <v>192.37182809947336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52574.232743884713</v>
      </c>
      <c r="AL24" t="s">
        <v>415</v>
      </c>
      <c r="AM24">
        <v>10297.6</v>
      </c>
      <c r="AN24">
        <v>785.57400000000007</v>
      </c>
      <c r="AO24">
        <v>3597.65</v>
      </c>
      <c r="AP24">
        <f t="shared" si="26"/>
        <v>0.7816424610509638</v>
      </c>
      <c r="AQ24">
        <v>-0.62398835798131469</v>
      </c>
      <c r="AR24" t="s">
        <v>456</v>
      </c>
      <c r="AS24">
        <v>10210</v>
      </c>
      <c r="AT24">
        <v>805.71724000000006</v>
      </c>
      <c r="AU24">
        <v>1062.4605845540921</v>
      </c>
      <c r="AV24">
        <f t="shared" si="27"/>
        <v>0.2416497593290442</v>
      </c>
      <c r="AW24">
        <v>0.5</v>
      </c>
      <c r="AX24">
        <f t="shared" si="28"/>
        <v>1513.2854998288881</v>
      </c>
      <c r="AY24">
        <f t="shared" si="29"/>
        <v>38.51458442854338</v>
      </c>
      <c r="AZ24">
        <f t="shared" si="30"/>
        <v>182.84253841489158</v>
      </c>
      <c r="BA24">
        <f t="shared" si="31"/>
        <v>2.5863310519363476E-2</v>
      </c>
      <c r="BB24">
        <f t="shared" si="32"/>
        <v>2.3861491450150223</v>
      </c>
      <c r="BC24">
        <f t="shared" si="33"/>
        <v>516.47377918584868</v>
      </c>
      <c r="BD24" t="s">
        <v>457</v>
      </c>
      <c r="BE24">
        <v>595.45000000000005</v>
      </c>
      <c r="BF24">
        <f t="shared" si="34"/>
        <v>595.45000000000005</v>
      </c>
      <c r="BG24">
        <f t="shared" si="35"/>
        <v>0.43955567984679011</v>
      </c>
      <c r="BH24">
        <f t="shared" si="36"/>
        <v>0.54975915545733078</v>
      </c>
      <c r="BI24">
        <f t="shared" si="37"/>
        <v>0.84444387963690226</v>
      </c>
      <c r="BJ24">
        <f t="shared" si="38"/>
        <v>0.92725093549606463</v>
      </c>
      <c r="BK24">
        <f t="shared" si="39"/>
        <v>0.90153659269731967</v>
      </c>
      <c r="BL24">
        <f t="shared" si="40"/>
        <v>0.40628904641170099</v>
      </c>
      <c r="BM24">
        <f t="shared" si="41"/>
        <v>0.59371095358829895</v>
      </c>
      <c r="BN24">
        <v>15</v>
      </c>
      <c r="BO24">
        <v>290.00000000000011</v>
      </c>
      <c r="BP24">
        <v>995.62</v>
      </c>
      <c r="BQ24">
        <v>235</v>
      </c>
      <c r="BR24">
        <v>10210</v>
      </c>
      <c r="BS24">
        <v>996.54</v>
      </c>
      <c r="BT24">
        <v>-0.92</v>
      </c>
      <c r="BU24">
        <v>300.00000000000011</v>
      </c>
      <c r="BV24">
        <v>24.1</v>
      </c>
      <c r="BW24">
        <v>1062.4605845540921</v>
      </c>
      <c r="BX24">
        <v>2.0381289330000421</v>
      </c>
      <c r="BY24">
        <v>-67.307702081650461</v>
      </c>
      <c r="BZ24">
        <v>1.8529136541410169</v>
      </c>
      <c r="CA24">
        <v>0.97922123694331231</v>
      </c>
      <c r="CB24">
        <v>-6.9575579532814083E-3</v>
      </c>
      <c r="CC24">
        <v>289.99999999999989</v>
      </c>
      <c r="CD24">
        <v>994.18</v>
      </c>
      <c r="CE24">
        <v>685</v>
      </c>
      <c r="CF24">
        <v>10186.9</v>
      </c>
      <c r="CG24">
        <v>996.39</v>
      </c>
      <c r="CH24">
        <v>-2.21</v>
      </c>
      <c r="CV24">
        <f t="shared" si="42"/>
        <v>1800.12</v>
      </c>
      <c r="CW24">
        <f t="shared" si="43"/>
        <v>1513.2854998288881</v>
      </c>
      <c r="CX24">
        <f t="shared" si="44"/>
        <v>0.8406581226967581</v>
      </c>
      <c r="CY24">
        <f t="shared" si="45"/>
        <v>0.1913162453935161</v>
      </c>
      <c r="CZ24">
        <v>6</v>
      </c>
      <c r="DA24">
        <v>0.5</v>
      </c>
      <c r="DB24" t="s">
        <v>418</v>
      </c>
      <c r="DC24">
        <v>2</v>
      </c>
      <c r="DD24">
        <v>1674576317</v>
      </c>
      <c r="DE24">
        <v>351.50599999999997</v>
      </c>
      <c r="DF24">
        <v>400.005</v>
      </c>
      <c r="DG24">
        <v>24.597899999999999</v>
      </c>
      <c r="DH24">
        <v>18.246400000000001</v>
      </c>
      <c r="DI24">
        <v>352.637</v>
      </c>
      <c r="DJ24">
        <v>24.397300000000001</v>
      </c>
      <c r="DK24">
        <v>500.08</v>
      </c>
      <c r="DL24">
        <v>99.816199999999995</v>
      </c>
      <c r="DM24">
        <v>9.9945800000000001E-2</v>
      </c>
      <c r="DN24">
        <v>27.993500000000001</v>
      </c>
      <c r="DO24">
        <v>27.478100000000001</v>
      </c>
      <c r="DP24">
        <v>999.9</v>
      </c>
      <c r="DQ24">
        <v>0</v>
      </c>
      <c r="DR24">
        <v>0</v>
      </c>
      <c r="DS24">
        <v>9993.75</v>
      </c>
      <c r="DT24">
        <v>0</v>
      </c>
      <c r="DU24">
        <v>472.00900000000001</v>
      </c>
      <c r="DV24">
        <v>-48.499699999999997</v>
      </c>
      <c r="DW24">
        <v>360.37</v>
      </c>
      <c r="DX24">
        <v>407.44</v>
      </c>
      <c r="DY24">
        <v>6.3514600000000003</v>
      </c>
      <c r="DZ24">
        <v>400.005</v>
      </c>
      <c r="EA24">
        <v>18.246400000000001</v>
      </c>
      <c r="EB24">
        <v>2.4552700000000001</v>
      </c>
      <c r="EC24">
        <v>1.8212900000000001</v>
      </c>
      <c r="ED24">
        <v>20.733000000000001</v>
      </c>
      <c r="EE24">
        <v>15.970700000000001</v>
      </c>
      <c r="EF24">
        <v>1800.12</v>
      </c>
      <c r="EG24">
        <v>0.97800299999999996</v>
      </c>
      <c r="EH24">
        <v>2.1996999999999999E-2</v>
      </c>
      <c r="EI24">
        <v>0</v>
      </c>
      <c r="EJ24">
        <v>804.76900000000001</v>
      </c>
      <c r="EK24">
        <v>5.0002599999999999</v>
      </c>
      <c r="EL24">
        <v>14982.7</v>
      </c>
      <c r="EM24">
        <v>17104.599999999999</v>
      </c>
      <c r="EN24">
        <v>49.436999999999998</v>
      </c>
      <c r="EO24">
        <v>50.875</v>
      </c>
      <c r="EP24">
        <v>50.436999999999998</v>
      </c>
      <c r="EQ24">
        <v>50</v>
      </c>
      <c r="ER24">
        <v>50.625</v>
      </c>
      <c r="ES24">
        <v>1755.63</v>
      </c>
      <c r="ET24">
        <v>39.49</v>
      </c>
      <c r="EU24">
        <v>0</v>
      </c>
      <c r="EV24">
        <v>187.79999995231631</v>
      </c>
      <c r="EW24">
        <v>0</v>
      </c>
      <c r="EX24">
        <v>805.71724000000006</v>
      </c>
      <c r="EY24">
        <v>-11.979692273669221</v>
      </c>
      <c r="EZ24">
        <v>-240.86923042429879</v>
      </c>
      <c r="FA24">
        <v>15009.763999999999</v>
      </c>
      <c r="FB24">
        <v>15</v>
      </c>
      <c r="FC24">
        <v>1674576238</v>
      </c>
      <c r="FD24" t="s">
        <v>458</v>
      </c>
      <c r="FE24">
        <v>1674576229</v>
      </c>
      <c r="FF24">
        <v>1674576238</v>
      </c>
      <c r="FG24">
        <v>11</v>
      </c>
      <c r="FH24">
        <v>-0.26</v>
      </c>
      <c r="FI24">
        <v>5.0000000000000001E-3</v>
      </c>
      <c r="FJ24">
        <v>-1.139</v>
      </c>
      <c r="FK24">
        <v>3.5000000000000003E-2</v>
      </c>
      <c r="FL24">
        <v>400</v>
      </c>
      <c r="FM24">
        <v>18</v>
      </c>
      <c r="FN24">
        <v>0.05</v>
      </c>
      <c r="FO24">
        <v>0.01</v>
      </c>
      <c r="FP24">
        <v>37.406650200989738</v>
      </c>
      <c r="FQ24">
        <v>5.6819456035675886</v>
      </c>
      <c r="FR24">
        <v>0.56197729748853675</v>
      </c>
      <c r="FS24">
        <v>0</v>
      </c>
      <c r="FT24">
        <v>0.47748180124924161</v>
      </c>
      <c r="FU24">
        <v>-2.6985958257311461E-2</v>
      </c>
      <c r="FV24">
        <v>2.8955004848824888E-3</v>
      </c>
      <c r="FW24">
        <v>1</v>
      </c>
      <c r="FX24">
        <v>1</v>
      </c>
      <c r="FY24">
        <v>2</v>
      </c>
      <c r="FZ24" t="s">
        <v>459</v>
      </c>
      <c r="GA24">
        <v>2.9285600000000001</v>
      </c>
      <c r="GB24">
        <v>2.8067899999999999</v>
      </c>
      <c r="GC24">
        <v>8.8865399999999997E-2</v>
      </c>
      <c r="GD24">
        <v>9.9346299999999998E-2</v>
      </c>
      <c r="GE24">
        <v>0.114289</v>
      </c>
      <c r="GF24">
        <v>9.4054899999999997E-2</v>
      </c>
      <c r="GG24">
        <v>27138.799999999999</v>
      </c>
      <c r="GH24">
        <v>27060.400000000001</v>
      </c>
      <c r="GI24">
        <v>28292.3</v>
      </c>
      <c r="GJ24">
        <v>27074.799999999999</v>
      </c>
      <c r="GK24">
        <v>35981</v>
      </c>
      <c r="GL24">
        <v>32359.4</v>
      </c>
      <c r="GM24">
        <v>42139</v>
      </c>
      <c r="GN24">
        <v>36701.199999999997</v>
      </c>
      <c r="GO24">
        <v>1.9080999999999999</v>
      </c>
      <c r="GP24">
        <v>1.90097</v>
      </c>
      <c r="GQ24">
        <v>6.9670399999999993E-2</v>
      </c>
      <c r="GR24">
        <v>0</v>
      </c>
      <c r="GS24">
        <v>26.3386</v>
      </c>
      <c r="GT24">
        <v>999.9</v>
      </c>
      <c r="GU24">
        <v>53.8</v>
      </c>
      <c r="GV24">
        <v>33.299999999999997</v>
      </c>
      <c r="GW24">
        <v>27.6934</v>
      </c>
      <c r="GX24">
        <v>62.500500000000002</v>
      </c>
      <c r="GY24">
        <v>27.0913</v>
      </c>
      <c r="GZ24">
        <v>1</v>
      </c>
      <c r="HA24">
        <v>0.40788099999999999</v>
      </c>
      <c r="HB24">
        <v>2.6722899999999998</v>
      </c>
      <c r="HC24">
        <v>20.324400000000001</v>
      </c>
      <c r="HD24">
        <v>5.2411000000000003</v>
      </c>
      <c r="HE24">
        <v>11.9381</v>
      </c>
      <c r="HF24">
        <v>4.9738499999999997</v>
      </c>
      <c r="HG24">
        <v>3.2989999999999999</v>
      </c>
      <c r="HH24">
        <v>9999</v>
      </c>
      <c r="HI24">
        <v>9999</v>
      </c>
      <c r="HJ24">
        <v>9999</v>
      </c>
      <c r="HK24">
        <v>999.9</v>
      </c>
      <c r="HL24">
        <v>1.87378</v>
      </c>
      <c r="HM24">
        <v>1.8815</v>
      </c>
      <c r="HN24">
        <v>1.885</v>
      </c>
      <c r="HO24">
        <v>1.88171</v>
      </c>
      <c r="HP24">
        <v>1.8790899999999999</v>
      </c>
      <c r="HQ24">
        <v>1.87378</v>
      </c>
      <c r="HR24">
        <v>1.8766799999999999</v>
      </c>
      <c r="HS24">
        <v>1.8808499999999999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-1.131</v>
      </c>
      <c r="IH24">
        <v>0.2006</v>
      </c>
      <c r="II24">
        <v>-1.26124620431092</v>
      </c>
      <c r="IJ24">
        <v>9.4905977090923709E-4</v>
      </c>
      <c r="IK24">
        <v>-1.9106666302146479E-6</v>
      </c>
      <c r="IL24">
        <v>7.5819610513223293E-10</v>
      </c>
      <c r="IM24">
        <v>-9.0408575365798494E-2</v>
      </c>
      <c r="IN24">
        <v>-1.0595840490420019E-2</v>
      </c>
      <c r="IO24">
        <v>1.2407080968752471E-3</v>
      </c>
      <c r="IP24">
        <v>-1.3015442653884381E-5</v>
      </c>
      <c r="IQ24">
        <v>33</v>
      </c>
      <c r="IR24">
        <v>2014</v>
      </c>
      <c r="IS24">
        <v>1</v>
      </c>
      <c r="IT24">
        <v>26</v>
      </c>
      <c r="IU24">
        <v>1.5</v>
      </c>
      <c r="IV24">
        <v>1.3</v>
      </c>
      <c r="IW24">
        <v>1.00098</v>
      </c>
      <c r="IX24">
        <v>2.50854</v>
      </c>
      <c r="IY24">
        <v>1.5991200000000001</v>
      </c>
      <c r="IZ24">
        <v>2.3046899999999999</v>
      </c>
      <c r="JA24">
        <v>1.5502899999999999</v>
      </c>
      <c r="JB24">
        <v>2.3779300000000001</v>
      </c>
      <c r="JC24">
        <v>38.771700000000003</v>
      </c>
      <c r="JD24">
        <v>23.868600000000001</v>
      </c>
      <c r="JE24">
        <v>18</v>
      </c>
      <c r="JF24">
        <v>475.565</v>
      </c>
      <c r="JG24">
        <v>505.88600000000002</v>
      </c>
      <c r="JH24">
        <v>23.005700000000001</v>
      </c>
      <c r="JI24">
        <v>32.344099999999997</v>
      </c>
      <c r="JJ24">
        <v>29.9998</v>
      </c>
      <c r="JK24">
        <v>32.451099999999997</v>
      </c>
      <c r="JL24">
        <v>32.422600000000003</v>
      </c>
      <c r="JM24">
        <v>20.0975</v>
      </c>
      <c r="JN24">
        <v>41.6843</v>
      </c>
      <c r="JO24">
        <v>0</v>
      </c>
      <c r="JP24">
        <v>23.008700000000001</v>
      </c>
      <c r="JQ24">
        <v>400</v>
      </c>
      <c r="JR24">
        <v>18.2941</v>
      </c>
      <c r="JS24">
        <v>99.896900000000002</v>
      </c>
      <c r="JT24">
        <v>98.306899999999999</v>
      </c>
    </row>
    <row r="25" spans="1:280" x14ac:dyDescent="0.25">
      <c r="A25">
        <v>9</v>
      </c>
      <c r="B25">
        <v>1674576487.5999999</v>
      </c>
      <c r="C25">
        <v>1062.599999904633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1674576487.5999999</v>
      </c>
      <c r="J25">
        <f t="shared" si="0"/>
        <v>5.0921261908904647E-3</v>
      </c>
      <c r="K25">
        <f t="shared" si="1"/>
        <v>5.0921261908904647</v>
      </c>
      <c r="L25">
        <f t="shared" si="2"/>
        <v>45.269320788957678</v>
      </c>
      <c r="M25">
        <f t="shared" si="3"/>
        <v>343.54599999999999</v>
      </c>
      <c r="N25">
        <f t="shared" si="4"/>
        <v>161.06026458545105</v>
      </c>
      <c r="O25">
        <f t="shared" si="5"/>
        <v>16.089545371048423</v>
      </c>
      <c r="P25">
        <f t="shared" si="6"/>
        <v>34.319445384429805</v>
      </c>
      <c r="Q25">
        <f t="shared" si="7"/>
        <v>0.43701372898381369</v>
      </c>
      <c r="R25">
        <f t="shared" si="8"/>
        <v>2.9267697081345183</v>
      </c>
      <c r="S25">
        <f t="shared" si="9"/>
        <v>0.40373128223647065</v>
      </c>
      <c r="T25">
        <f t="shared" si="10"/>
        <v>0.25511079028283096</v>
      </c>
      <c r="U25">
        <f t="shared" si="11"/>
        <v>344.40169965778568</v>
      </c>
      <c r="V25">
        <f t="shared" si="12"/>
        <v>28.709847820535945</v>
      </c>
      <c r="W25">
        <f t="shared" si="13"/>
        <v>27.5061</v>
      </c>
      <c r="X25">
        <f t="shared" si="14"/>
        <v>3.6869388091231281</v>
      </c>
      <c r="Y25">
        <f t="shared" si="15"/>
        <v>64.965406838774314</v>
      </c>
      <c r="Z25">
        <f t="shared" si="16"/>
        <v>2.4657642309307701</v>
      </c>
      <c r="AA25">
        <f t="shared" si="17"/>
        <v>3.795503408529552</v>
      </c>
      <c r="AB25">
        <f t="shared" si="18"/>
        <v>1.221174578192358</v>
      </c>
      <c r="AC25">
        <f t="shared" si="19"/>
        <v>-224.56276501826949</v>
      </c>
      <c r="AD25">
        <f t="shared" si="20"/>
        <v>78.404861426108766</v>
      </c>
      <c r="AE25">
        <f t="shared" si="21"/>
        <v>5.825088974241682</v>
      </c>
      <c r="AF25">
        <f t="shared" si="22"/>
        <v>204.06888503986664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52616.554647023913</v>
      </c>
      <c r="AL25" t="s">
        <v>415</v>
      </c>
      <c r="AM25">
        <v>10297.6</v>
      </c>
      <c r="AN25">
        <v>785.57400000000007</v>
      </c>
      <c r="AO25">
        <v>3597.65</v>
      </c>
      <c r="AP25">
        <f t="shared" si="26"/>
        <v>0.7816424610509638</v>
      </c>
      <c r="AQ25">
        <v>-0.62398835798131469</v>
      </c>
      <c r="AR25" t="s">
        <v>462</v>
      </c>
      <c r="AS25">
        <v>10222.299999999999</v>
      </c>
      <c r="AT25">
        <v>797.29471999999976</v>
      </c>
      <c r="AU25">
        <v>1106.8144460509291</v>
      </c>
      <c r="AV25">
        <f t="shared" si="27"/>
        <v>0.27964915632903387</v>
      </c>
      <c r="AW25">
        <v>0.5</v>
      </c>
      <c r="AX25">
        <f t="shared" si="28"/>
        <v>1513.3274998288928</v>
      </c>
      <c r="AY25">
        <f t="shared" si="29"/>
        <v>45.269320788957678</v>
      </c>
      <c r="AZ25">
        <f t="shared" si="30"/>
        <v>211.60037928833799</v>
      </c>
      <c r="BA25">
        <f t="shared" si="31"/>
        <v>3.0326092106386759E-2</v>
      </c>
      <c r="BB25">
        <f t="shared" si="32"/>
        <v>2.2504545028629468</v>
      </c>
      <c r="BC25">
        <f t="shared" si="33"/>
        <v>526.73464363690221</v>
      </c>
      <c r="BD25" t="s">
        <v>463</v>
      </c>
      <c r="BE25">
        <v>599.61</v>
      </c>
      <c r="BF25">
        <f t="shared" si="34"/>
        <v>599.61</v>
      </c>
      <c r="BG25">
        <f t="shared" si="35"/>
        <v>0.45825607703316018</v>
      </c>
      <c r="BH25">
        <f t="shared" si="36"/>
        <v>0.61024647646690788</v>
      </c>
      <c r="BI25">
        <f t="shared" si="37"/>
        <v>0.83082132124623798</v>
      </c>
      <c r="BJ25">
        <f t="shared" si="38"/>
        <v>0.96351418339725037</v>
      </c>
      <c r="BK25">
        <f t="shared" si="39"/>
        <v>0.88576395301872046</v>
      </c>
      <c r="BL25">
        <f t="shared" si="40"/>
        <v>0.45893931136822624</v>
      </c>
      <c r="BM25">
        <f t="shared" si="41"/>
        <v>0.5410606886317737</v>
      </c>
      <c r="BN25">
        <v>17</v>
      </c>
      <c r="BO25">
        <v>290.00000000000011</v>
      </c>
      <c r="BP25">
        <v>1028.31</v>
      </c>
      <c r="BQ25">
        <v>155</v>
      </c>
      <c r="BR25">
        <v>10222.299999999999</v>
      </c>
      <c r="BS25">
        <v>1027.44</v>
      </c>
      <c r="BT25">
        <v>0.87</v>
      </c>
      <c r="BU25">
        <v>300.00000000000011</v>
      </c>
      <c r="BV25">
        <v>24.1</v>
      </c>
      <c r="BW25">
        <v>1106.8144460509291</v>
      </c>
      <c r="BX25">
        <v>1.75956665535831</v>
      </c>
      <c r="BY25">
        <v>-81.135774868365417</v>
      </c>
      <c r="BZ25">
        <v>1.599747428367787</v>
      </c>
      <c r="CA25">
        <v>0.98923201946972883</v>
      </c>
      <c r="CB25">
        <v>-6.9579919911012247E-3</v>
      </c>
      <c r="CC25">
        <v>289.99999999999989</v>
      </c>
      <c r="CD25">
        <v>1026.1600000000001</v>
      </c>
      <c r="CE25">
        <v>715</v>
      </c>
      <c r="CF25">
        <v>10185.700000000001</v>
      </c>
      <c r="CG25">
        <v>1027.1600000000001</v>
      </c>
      <c r="CH25">
        <v>-1</v>
      </c>
      <c r="CV25">
        <f t="shared" si="42"/>
        <v>1800.17</v>
      </c>
      <c r="CW25">
        <f t="shared" si="43"/>
        <v>1513.3274998288928</v>
      </c>
      <c r="CX25">
        <f t="shared" si="44"/>
        <v>0.84065810441730093</v>
      </c>
      <c r="CY25">
        <f t="shared" si="45"/>
        <v>0.1913162088346021</v>
      </c>
      <c r="CZ25">
        <v>6</v>
      </c>
      <c r="DA25">
        <v>0.5</v>
      </c>
      <c r="DB25" t="s">
        <v>418</v>
      </c>
      <c r="DC25">
        <v>2</v>
      </c>
      <c r="DD25">
        <v>1674576487.5999999</v>
      </c>
      <c r="DE25">
        <v>343.54599999999999</v>
      </c>
      <c r="DF25">
        <v>399.95400000000001</v>
      </c>
      <c r="DG25">
        <v>24.6829</v>
      </c>
      <c r="DH25">
        <v>18.724699999999999</v>
      </c>
      <c r="DI25">
        <v>344.67599999999999</v>
      </c>
      <c r="DJ25">
        <v>24.481000000000002</v>
      </c>
      <c r="DK25">
        <v>500.12799999999999</v>
      </c>
      <c r="DL25">
        <v>99.797700000000006</v>
      </c>
      <c r="DM25">
        <v>9.9971299999999999E-2</v>
      </c>
      <c r="DN25">
        <v>28.003</v>
      </c>
      <c r="DO25">
        <v>27.5061</v>
      </c>
      <c r="DP25">
        <v>999.9</v>
      </c>
      <c r="DQ25">
        <v>0</v>
      </c>
      <c r="DR25">
        <v>0</v>
      </c>
      <c r="DS25">
        <v>10004.4</v>
      </c>
      <c r="DT25">
        <v>0</v>
      </c>
      <c r="DU25">
        <v>476.08499999999998</v>
      </c>
      <c r="DV25">
        <v>-56.408200000000001</v>
      </c>
      <c r="DW25">
        <v>352.24</v>
      </c>
      <c r="DX25">
        <v>407.58600000000001</v>
      </c>
      <c r="DY25">
        <v>5.9581900000000001</v>
      </c>
      <c r="DZ25">
        <v>399.95400000000001</v>
      </c>
      <c r="EA25">
        <v>18.724699999999999</v>
      </c>
      <c r="EB25">
        <v>2.4632999999999998</v>
      </c>
      <c r="EC25">
        <v>1.8686799999999999</v>
      </c>
      <c r="ED25">
        <v>20.786000000000001</v>
      </c>
      <c r="EE25">
        <v>16.3735</v>
      </c>
      <c r="EF25">
        <v>1800.17</v>
      </c>
      <c r="EG25">
        <v>0.97800299999999996</v>
      </c>
      <c r="EH25">
        <v>2.1996999999999999E-2</v>
      </c>
      <c r="EI25">
        <v>0</v>
      </c>
      <c r="EJ25">
        <v>797.85199999999998</v>
      </c>
      <c r="EK25">
        <v>5.0002599999999999</v>
      </c>
      <c r="EL25">
        <v>14905.3</v>
      </c>
      <c r="EM25">
        <v>17105.099999999999</v>
      </c>
      <c r="EN25">
        <v>49.311999999999998</v>
      </c>
      <c r="EO25">
        <v>50.811999999999998</v>
      </c>
      <c r="EP25">
        <v>50.375</v>
      </c>
      <c r="EQ25">
        <v>49.936999999999998</v>
      </c>
      <c r="ER25">
        <v>50.625</v>
      </c>
      <c r="ES25">
        <v>1755.68</v>
      </c>
      <c r="ET25">
        <v>39.49</v>
      </c>
      <c r="EU25">
        <v>0</v>
      </c>
      <c r="EV25">
        <v>168.5999999046326</v>
      </c>
      <c r="EW25">
        <v>0</v>
      </c>
      <c r="EX25">
        <v>797.29471999999976</v>
      </c>
      <c r="EY25">
        <v>2.877846150386087</v>
      </c>
      <c r="EZ25">
        <v>160.62307705700209</v>
      </c>
      <c r="FA25">
        <v>14895.984</v>
      </c>
      <c r="FB25">
        <v>15</v>
      </c>
      <c r="FC25">
        <v>1674576405.5</v>
      </c>
      <c r="FD25" t="s">
        <v>464</v>
      </c>
      <c r="FE25">
        <v>1674576405.5</v>
      </c>
      <c r="FF25">
        <v>1674576400.5</v>
      </c>
      <c r="FG25">
        <v>12</v>
      </c>
      <c r="FH25">
        <v>0</v>
      </c>
      <c r="FI25">
        <v>-1E-3</v>
      </c>
      <c r="FJ25">
        <v>-1.139</v>
      </c>
      <c r="FK25">
        <v>5.0999999999999997E-2</v>
      </c>
      <c r="FL25">
        <v>400</v>
      </c>
      <c r="FM25">
        <v>18</v>
      </c>
      <c r="FN25">
        <v>0.04</v>
      </c>
      <c r="FO25">
        <v>0.02</v>
      </c>
      <c r="FP25">
        <v>45.207646265781896</v>
      </c>
      <c r="FQ25">
        <v>0.67391737000610286</v>
      </c>
      <c r="FR25">
        <v>7.4583644389265874E-2</v>
      </c>
      <c r="FS25">
        <v>1</v>
      </c>
      <c r="FT25">
        <v>0.43810607102244081</v>
      </c>
      <c r="FU25">
        <v>-5.7151943935145914E-3</v>
      </c>
      <c r="FV25">
        <v>6.0442483169607453E-4</v>
      </c>
      <c r="FW25">
        <v>1</v>
      </c>
      <c r="FX25">
        <v>2</v>
      </c>
      <c r="FY25">
        <v>2</v>
      </c>
      <c r="FZ25" t="s">
        <v>420</v>
      </c>
      <c r="GA25">
        <v>2.9288400000000001</v>
      </c>
      <c r="GB25">
        <v>2.8069099999999998</v>
      </c>
      <c r="GC25">
        <v>8.7257100000000004E-2</v>
      </c>
      <c r="GD25">
        <v>9.9336800000000003E-2</v>
      </c>
      <c r="GE25">
        <v>0.11455899999999999</v>
      </c>
      <c r="GF25">
        <v>9.5799999999999996E-2</v>
      </c>
      <c r="GG25">
        <v>27190.5</v>
      </c>
      <c r="GH25">
        <v>27066.5</v>
      </c>
      <c r="GI25">
        <v>28295.7</v>
      </c>
      <c r="GJ25">
        <v>27080.400000000001</v>
      </c>
      <c r="GK25">
        <v>35974.1</v>
      </c>
      <c r="GL25">
        <v>32303.7</v>
      </c>
      <c r="GM25">
        <v>42143.9</v>
      </c>
      <c r="GN25">
        <v>36708.699999999997</v>
      </c>
      <c r="GO25">
        <v>1.9085000000000001</v>
      </c>
      <c r="GP25">
        <v>1.90147</v>
      </c>
      <c r="GQ25">
        <v>7.6293899999999998E-2</v>
      </c>
      <c r="GR25">
        <v>0</v>
      </c>
      <c r="GS25">
        <v>26.258099999999999</v>
      </c>
      <c r="GT25">
        <v>999.9</v>
      </c>
      <c r="GU25">
        <v>53.4</v>
      </c>
      <c r="GV25">
        <v>33.5</v>
      </c>
      <c r="GW25">
        <v>27.800599999999999</v>
      </c>
      <c r="GX25">
        <v>62.436799999999998</v>
      </c>
      <c r="GY25">
        <v>27.572099999999999</v>
      </c>
      <c r="GZ25">
        <v>1</v>
      </c>
      <c r="HA25">
        <v>0.40109499999999998</v>
      </c>
      <c r="HB25">
        <v>2.5886</v>
      </c>
      <c r="HC25">
        <v>20.325700000000001</v>
      </c>
      <c r="HD25">
        <v>5.2411000000000003</v>
      </c>
      <c r="HE25">
        <v>11.9381</v>
      </c>
      <c r="HF25">
        <v>4.9737999999999998</v>
      </c>
      <c r="HG25">
        <v>3.2989999999999999</v>
      </c>
      <c r="HH25">
        <v>9999</v>
      </c>
      <c r="HI25">
        <v>9999</v>
      </c>
      <c r="HJ25">
        <v>9999</v>
      </c>
      <c r="HK25">
        <v>999.9</v>
      </c>
      <c r="HL25">
        <v>1.8737900000000001</v>
      </c>
      <c r="HM25">
        <v>1.88154</v>
      </c>
      <c r="HN25">
        <v>1.8850499999999999</v>
      </c>
      <c r="HO25">
        <v>1.88171</v>
      </c>
      <c r="HP25">
        <v>1.8791</v>
      </c>
      <c r="HQ25">
        <v>1.87378</v>
      </c>
      <c r="HR25">
        <v>1.8766799999999999</v>
      </c>
      <c r="HS25">
        <v>1.8809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-1.1299999999999999</v>
      </c>
      <c r="IH25">
        <v>0.2019</v>
      </c>
      <c r="II25">
        <v>-1.260881983508662</v>
      </c>
      <c r="IJ25">
        <v>9.4905977090923709E-4</v>
      </c>
      <c r="IK25">
        <v>-1.9106666302146479E-6</v>
      </c>
      <c r="IL25">
        <v>7.5819610513223293E-10</v>
      </c>
      <c r="IM25">
        <v>-9.1282650069328203E-2</v>
      </c>
      <c r="IN25">
        <v>-1.0595840490420019E-2</v>
      </c>
      <c r="IO25">
        <v>1.2407080968752471E-3</v>
      </c>
      <c r="IP25">
        <v>-1.3015442653884381E-5</v>
      </c>
      <c r="IQ25">
        <v>33</v>
      </c>
      <c r="IR25">
        <v>2014</v>
      </c>
      <c r="IS25">
        <v>1</v>
      </c>
      <c r="IT25">
        <v>26</v>
      </c>
      <c r="IU25">
        <v>1.4</v>
      </c>
      <c r="IV25">
        <v>1.5</v>
      </c>
      <c r="IW25">
        <v>1.0022</v>
      </c>
      <c r="IX25">
        <v>2.5109900000000001</v>
      </c>
      <c r="IY25">
        <v>1.5979000000000001</v>
      </c>
      <c r="IZ25">
        <v>2.3022499999999999</v>
      </c>
      <c r="JA25">
        <v>1.5502899999999999</v>
      </c>
      <c r="JB25">
        <v>2.3913600000000002</v>
      </c>
      <c r="JC25">
        <v>38.895099999999999</v>
      </c>
      <c r="JD25">
        <v>23.8598</v>
      </c>
      <c r="JE25">
        <v>18</v>
      </c>
      <c r="JF25">
        <v>475.33800000000002</v>
      </c>
      <c r="JG25">
        <v>505.78</v>
      </c>
      <c r="JH25">
        <v>23.101500000000001</v>
      </c>
      <c r="JI25">
        <v>32.266599999999997</v>
      </c>
      <c r="JJ25">
        <v>29.9998</v>
      </c>
      <c r="JK25">
        <v>32.388500000000001</v>
      </c>
      <c r="JL25">
        <v>32.3675</v>
      </c>
      <c r="JM25">
        <v>20.112200000000001</v>
      </c>
      <c r="JN25">
        <v>40.054299999999998</v>
      </c>
      <c r="JO25">
        <v>0</v>
      </c>
      <c r="JP25">
        <v>23.101700000000001</v>
      </c>
      <c r="JQ25">
        <v>400</v>
      </c>
      <c r="JR25">
        <v>18.734300000000001</v>
      </c>
      <c r="JS25">
        <v>99.908799999999999</v>
      </c>
      <c r="JT25">
        <v>98.327100000000002</v>
      </c>
    </row>
    <row r="26" spans="1:280" x14ac:dyDescent="0.25">
      <c r="A26">
        <v>10</v>
      </c>
      <c r="B26">
        <v>1674576604.0999999</v>
      </c>
      <c r="C26">
        <v>1179.099999904633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1674576604.0999999</v>
      </c>
      <c r="J26">
        <f t="shared" si="0"/>
        <v>5.092320573824952E-3</v>
      </c>
      <c r="K26">
        <f t="shared" si="1"/>
        <v>5.092320573824952</v>
      </c>
      <c r="L26">
        <f t="shared" si="2"/>
        <v>48.639845129940944</v>
      </c>
      <c r="M26">
        <f t="shared" si="3"/>
        <v>438.93599999999998</v>
      </c>
      <c r="N26">
        <f t="shared" si="4"/>
        <v>243.46931679088411</v>
      </c>
      <c r="O26">
        <f t="shared" si="5"/>
        <v>24.324303640785867</v>
      </c>
      <c r="P26">
        <f t="shared" si="6"/>
        <v>43.852805288159999</v>
      </c>
      <c r="Q26">
        <f t="shared" si="7"/>
        <v>0.44184675668264167</v>
      </c>
      <c r="R26">
        <f t="shared" si="8"/>
        <v>2.9239677056485589</v>
      </c>
      <c r="S26">
        <f t="shared" si="9"/>
        <v>0.4078248647036043</v>
      </c>
      <c r="T26">
        <f t="shared" si="10"/>
        <v>0.25772861962995841</v>
      </c>
      <c r="U26">
        <f t="shared" si="11"/>
        <v>344.35039965773439</v>
      </c>
      <c r="V26">
        <f t="shared" si="12"/>
        <v>28.699130107562933</v>
      </c>
      <c r="W26">
        <f t="shared" si="13"/>
        <v>27.508800000000001</v>
      </c>
      <c r="X26">
        <f t="shared" si="14"/>
        <v>3.6875213132784839</v>
      </c>
      <c r="Y26">
        <f t="shared" si="15"/>
        <v>65.34348603979052</v>
      </c>
      <c r="Z26">
        <f t="shared" si="16"/>
        <v>2.478524316598</v>
      </c>
      <c r="AA26">
        <f t="shared" si="17"/>
        <v>3.7930702305792465</v>
      </c>
      <c r="AB26">
        <f t="shared" si="18"/>
        <v>1.2089969966804839</v>
      </c>
      <c r="AC26">
        <f t="shared" si="19"/>
        <v>-224.57133730568037</v>
      </c>
      <c r="AD26">
        <f t="shared" si="20"/>
        <v>76.170172764754227</v>
      </c>
      <c r="AE26">
        <f t="shared" si="21"/>
        <v>5.6642511033873228</v>
      </c>
      <c r="AF26">
        <f t="shared" si="22"/>
        <v>201.61348622019554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52538.055698765507</v>
      </c>
      <c r="AL26" t="s">
        <v>415</v>
      </c>
      <c r="AM26">
        <v>10297.6</v>
      </c>
      <c r="AN26">
        <v>785.57400000000007</v>
      </c>
      <c r="AO26">
        <v>3597.65</v>
      </c>
      <c r="AP26">
        <f t="shared" si="26"/>
        <v>0.7816424610509638</v>
      </c>
      <c r="AQ26">
        <v>-0.62398835798131469</v>
      </c>
      <c r="AR26" t="s">
        <v>467</v>
      </c>
      <c r="AS26">
        <v>10219.5</v>
      </c>
      <c r="AT26">
        <v>802.39715384615374</v>
      </c>
      <c r="AU26">
        <v>1138.553758039614</v>
      </c>
      <c r="AV26">
        <f t="shared" si="27"/>
        <v>0.29524877663419402</v>
      </c>
      <c r="AW26">
        <v>0.5</v>
      </c>
      <c r="AX26">
        <f t="shared" si="28"/>
        <v>1513.1006998288672</v>
      </c>
      <c r="AY26">
        <f t="shared" si="29"/>
        <v>48.639845129940944</v>
      </c>
      <c r="AZ26">
        <f t="shared" si="30"/>
        <v>223.37056527440794</v>
      </c>
      <c r="BA26">
        <f t="shared" si="31"/>
        <v>3.255819886508151E-2</v>
      </c>
      <c r="BB26">
        <f t="shared" si="32"/>
        <v>2.1598420141307253</v>
      </c>
      <c r="BC26">
        <f t="shared" si="33"/>
        <v>533.8165976837065</v>
      </c>
      <c r="BD26" t="s">
        <v>468</v>
      </c>
      <c r="BE26">
        <v>603.94000000000005</v>
      </c>
      <c r="BF26">
        <f t="shared" si="34"/>
        <v>603.94000000000005</v>
      </c>
      <c r="BG26">
        <f t="shared" si="35"/>
        <v>0.46955513015048422</v>
      </c>
      <c r="BH26">
        <f t="shared" si="36"/>
        <v>0.62878405042571239</v>
      </c>
      <c r="BI26">
        <f t="shared" si="37"/>
        <v>0.82142099333615681</v>
      </c>
      <c r="BJ26">
        <f t="shared" si="38"/>
        <v>0.95233960740529022</v>
      </c>
      <c r="BK26">
        <f t="shared" si="39"/>
        <v>0.8744771627652973</v>
      </c>
      <c r="BL26">
        <f t="shared" si="40"/>
        <v>0.47326668295600044</v>
      </c>
      <c r="BM26">
        <f t="shared" si="41"/>
        <v>0.52673331704399962</v>
      </c>
      <c r="BN26">
        <v>19</v>
      </c>
      <c r="BO26">
        <v>290.00000000000011</v>
      </c>
      <c r="BP26">
        <v>1054.45</v>
      </c>
      <c r="BQ26">
        <v>175</v>
      </c>
      <c r="BR26">
        <v>10219.5</v>
      </c>
      <c r="BS26">
        <v>1053.47</v>
      </c>
      <c r="BT26">
        <v>0.98</v>
      </c>
      <c r="BU26">
        <v>300.00000000000011</v>
      </c>
      <c r="BV26">
        <v>24.1</v>
      </c>
      <c r="BW26">
        <v>1138.553758039614</v>
      </c>
      <c r="BX26">
        <v>1.724026287648351</v>
      </c>
      <c r="BY26">
        <v>-86.946529316680468</v>
      </c>
      <c r="BZ26">
        <v>1.567496349119041</v>
      </c>
      <c r="CA26">
        <v>0.99098154438433239</v>
      </c>
      <c r="CB26">
        <v>-6.9582493882091199E-3</v>
      </c>
      <c r="CC26">
        <v>289.99999999999989</v>
      </c>
      <c r="CD26">
        <v>1051.1300000000001</v>
      </c>
      <c r="CE26">
        <v>645</v>
      </c>
      <c r="CF26">
        <v>10190.5</v>
      </c>
      <c r="CG26">
        <v>1053.23</v>
      </c>
      <c r="CH26">
        <v>-2.1</v>
      </c>
      <c r="CV26">
        <f t="shared" si="42"/>
        <v>1799.9</v>
      </c>
      <c r="CW26">
        <f t="shared" si="43"/>
        <v>1513.1006998288672</v>
      </c>
      <c r="CX26">
        <f t="shared" si="44"/>
        <v>0.84065820313843387</v>
      </c>
      <c r="CY26">
        <f t="shared" si="45"/>
        <v>0.1913164062768678</v>
      </c>
      <c r="CZ26">
        <v>6</v>
      </c>
      <c r="DA26">
        <v>0.5</v>
      </c>
      <c r="DB26" t="s">
        <v>418</v>
      </c>
      <c r="DC26">
        <v>2</v>
      </c>
      <c r="DD26">
        <v>1674576604.0999999</v>
      </c>
      <c r="DE26">
        <v>438.93599999999998</v>
      </c>
      <c r="DF26">
        <v>499.97800000000001</v>
      </c>
      <c r="DG26">
        <v>24.808299999999999</v>
      </c>
      <c r="DH26">
        <v>18.849900000000002</v>
      </c>
      <c r="DI26">
        <v>440.142</v>
      </c>
      <c r="DJ26">
        <v>24.600100000000001</v>
      </c>
      <c r="DK26">
        <v>500.06599999999997</v>
      </c>
      <c r="DL26">
        <v>99.806899999999999</v>
      </c>
      <c r="DM26">
        <v>0.10016</v>
      </c>
      <c r="DN26">
        <v>27.992000000000001</v>
      </c>
      <c r="DO26">
        <v>27.508800000000001</v>
      </c>
      <c r="DP26">
        <v>999.9</v>
      </c>
      <c r="DQ26">
        <v>0</v>
      </c>
      <c r="DR26">
        <v>0</v>
      </c>
      <c r="DS26">
        <v>9987.5</v>
      </c>
      <c r="DT26">
        <v>0</v>
      </c>
      <c r="DU26">
        <v>484.63600000000002</v>
      </c>
      <c r="DV26">
        <v>-61.041800000000002</v>
      </c>
      <c r="DW26">
        <v>450.10199999999998</v>
      </c>
      <c r="DX26">
        <v>509.58300000000003</v>
      </c>
      <c r="DY26">
        <v>5.9583599999999999</v>
      </c>
      <c r="DZ26">
        <v>499.97800000000001</v>
      </c>
      <c r="EA26">
        <v>18.849900000000002</v>
      </c>
      <c r="EB26">
        <v>2.4760399999999998</v>
      </c>
      <c r="EC26">
        <v>1.8813500000000001</v>
      </c>
      <c r="ED26">
        <v>20.869800000000001</v>
      </c>
      <c r="EE26">
        <v>16.479600000000001</v>
      </c>
      <c r="EF26">
        <v>1799.9</v>
      </c>
      <c r="EG26">
        <v>0.97799899999999995</v>
      </c>
      <c r="EH26">
        <v>2.2000700000000002E-2</v>
      </c>
      <c r="EI26">
        <v>0</v>
      </c>
      <c r="EJ26">
        <v>802.74900000000002</v>
      </c>
      <c r="EK26">
        <v>5.0002599999999999</v>
      </c>
      <c r="EL26">
        <v>14998.8</v>
      </c>
      <c r="EM26">
        <v>17102.400000000001</v>
      </c>
      <c r="EN26">
        <v>49.375</v>
      </c>
      <c r="EO26">
        <v>50.811999999999998</v>
      </c>
      <c r="EP26">
        <v>50.375</v>
      </c>
      <c r="EQ26">
        <v>50</v>
      </c>
      <c r="ER26">
        <v>50.561999999999998</v>
      </c>
      <c r="ES26">
        <v>1755.41</v>
      </c>
      <c r="ET26">
        <v>39.49</v>
      </c>
      <c r="EU26">
        <v>0</v>
      </c>
      <c r="EV26">
        <v>114.7999999523163</v>
      </c>
      <c r="EW26">
        <v>0</v>
      </c>
      <c r="EX26">
        <v>802.39715384615374</v>
      </c>
      <c r="EY26">
        <v>2.08656410472957</v>
      </c>
      <c r="EZ26">
        <v>62.864957575641867</v>
      </c>
      <c r="FA26">
        <v>14989.130769230769</v>
      </c>
      <c r="FB26">
        <v>15</v>
      </c>
      <c r="FC26">
        <v>1674576566.5999999</v>
      </c>
      <c r="FD26" t="s">
        <v>469</v>
      </c>
      <c r="FE26">
        <v>1674576566.5999999</v>
      </c>
      <c r="FF26">
        <v>1674576566.5999999</v>
      </c>
      <c r="FG26">
        <v>13</v>
      </c>
      <c r="FH26">
        <v>-5.7000000000000002E-2</v>
      </c>
      <c r="FI26">
        <v>3.0000000000000001E-3</v>
      </c>
      <c r="FJ26">
        <v>-1.2270000000000001</v>
      </c>
      <c r="FK26">
        <v>6.2E-2</v>
      </c>
      <c r="FL26">
        <v>500</v>
      </c>
      <c r="FM26">
        <v>19</v>
      </c>
      <c r="FN26">
        <v>0.03</v>
      </c>
      <c r="FO26">
        <v>0.01</v>
      </c>
      <c r="FP26">
        <v>48.65683556360019</v>
      </c>
      <c r="FQ26">
        <v>0.15261404050301741</v>
      </c>
      <c r="FR26">
        <v>4.7515176512976022E-2</v>
      </c>
      <c r="FS26">
        <v>1</v>
      </c>
      <c r="FT26">
        <v>0.44060820174016763</v>
      </c>
      <c r="FU26">
        <v>4.3701043901576697E-2</v>
      </c>
      <c r="FV26">
        <v>4.6689203825937753E-3</v>
      </c>
      <c r="FW26">
        <v>1</v>
      </c>
      <c r="FX26">
        <v>2</v>
      </c>
      <c r="FY26">
        <v>2</v>
      </c>
      <c r="FZ26" t="s">
        <v>420</v>
      </c>
      <c r="GA26">
        <v>2.9287800000000002</v>
      </c>
      <c r="GB26">
        <v>2.8069500000000001</v>
      </c>
      <c r="GC26">
        <v>0.105588</v>
      </c>
      <c r="GD26">
        <v>0.11754299999999999</v>
      </c>
      <c r="GE26">
        <v>0.114971</v>
      </c>
      <c r="GF26">
        <v>9.6274600000000002E-2</v>
      </c>
      <c r="GG26">
        <v>26646.1</v>
      </c>
      <c r="GH26">
        <v>26523.1</v>
      </c>
      <c r="GI26">
        <v>28297.8</v>
      </c>
      <c r="GJ26">
        <v>27084.5</v>
      </c>
      <c r="GK26">
        <v>35959</v>
      </c>
      <c r="GL26">
        <v>32291.7</v>
      </c>
      <c r="GM26">
        <v>42145.8</v>
      </c>
      <c r="GN26">
        <v>36714.199999999997</v>
      </c>
      <c r="GO26">
        <v>1.9085000000000001</v>
      </c>
      <c r="GP26">
        <v>1.9016299999999999</v>
      </c>
      <c r="GQ26">
        <v>7.8082100000000002E-2</v>
      </c>
      <c r="GR26">
        <v>0</v>
      </c>
      <c r="GS26">
        <v>26.2316</v>
      </c>
      <c r="GT26">
        <v>999.9</v>
      </c>
      <c r="GU26">
        <v>53.1</v>
      </c>
      <c r="GV26">
        <v>33.6</v>
      </c>
      <c r="GW26">
        <v>27.797699999999999</v>
      </c>
      <c r="GX26">
        <v>62.616799999999998</v>
      </c>
      <c r="GY26">
        <v>27.664300000000001</v>
      </c>
      <c r="GZ26">
        <v>1</v>
      </c>
      <c r="HA26">
        <v>0.395727</v>
      </c>
      <c r="HB26">
        <v>2.5215200000000002</v>
      </c>
      <c r="HC26">
        <v>20.327200000000001</v>
      </c>
      <c r="HD26">
        <v>5.2411000000000003</v>
      </c>
      <c r="HE26">
        <v>11.937900000000001</v>
      </c>
      <c r="HF26">
        <v>4.9737</v>
      </c>
      <c r="HG26">
        <v>3.2989999999999999</v>
      </c>
      <c r="HH26">
        <v>9999</v>
      </c>
      <c r="HI26">
        <v>9999</v>
      </c>
      <c r="HJ26">
        <v>9999</v>
      </c>
      <c r="HK26">
        <v>999.9</v>
      </c>
      <c r="HL26">
        <v>1.8737900000000001</v>
      </c>
      <c r="HM26">
        <v>1.8815599999999999</v>
      </c>
      <c r="HN26">
        <v>1.8850499999999999</v>
      </c>
      <c r="HO26">
        <v>1.88171</v>
      </c>
      <c r="HP26">
        <v>1.8791100000000001</v>
      </c>
      <c r="HQ26">
        <v>1.87378</v>
      </c>
      <c r="HR26">
        <v>1.8766799999999999</v>
      </c>
      <c r="HS26">
        <v>1.88093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-1.206</v>
      </c>
      <c r="IH26">
        <v>0.2082</v>
      </c>
      <c r="II26">
        <v>-1.317956351288559</v>
      </c>
      <c r="IJ26">
        <v>9.4905977090923709E-4</v>
      </c>
      <c r="IK26">
        <v>-1.9106666302146479E-6</v>
      </c>
      <c r="IL26">
        <v>7.5819610513223293E-10</v>
      </c>
      <c r="IM26">
        <v>-8.8230041566828149E-2</v>
      </c>
      <c r="IN26">
        <v>-1.0595840490420019E-2</v>
      </c>
      <c r="IO26">
        <v>1.2407080968752471E-3</v>
      </c>
      <c r="IP26">
        <v>-1.3015442653884381E-5</v>
      </c>
      <c r="IQ26">
        <v>33</v>
      </c>
      <c r="IR26">
        <v>2014</v>
      </c>
      <c r="IS26">
        <v>1</v>
      </c>
      <c r="IT26">
        <v>26</v>
      </c>
      <c r="IU26">
        <v>0.6</v>
      </c>
      <c r="IV26">
        <v>0.6</v>
      </c>
      <c r="IW26">
        <v>1.2011700000000001</v>
      </c>
      <c r="IX26">
        <v>2.50488</v>
      </c>
      <c r="IY26">
        <v>1.5979000000000001</v>
      </c>
      <c r="IZ26">
        <v>2.3010299999999999</v>
      </c>
      <c r="JA26">
        <v>1.5502899999999999</v>
      </c>
      <c r="JB26">
        <v>2.3815900000000001</v>
      </c>
      <c r="JC26">
        <v>38.969299999999997</v>
      </c>
      <c r="JD26">
        <v>23.868600000000001</v>
      </c>
      <c r="JE26">
        <v>18</v>
      </c>
      <c r="JF26">
        <v>474.97899999999998</v>
      </c>
      <c r="JG26">
        <v>505.48200000000003</v>
      </c>
      <c r="JH26">
        <v>23.1373</v>
      </c>
      <c r="JI26">
        <v>32.21</v>
      </c>
      <c r="JJ26">
        <v>29.9999</v>
      </c>
      <c r="JK26">
        <v>32.341500000000003</v>
      </c>
      <c r="JL26">
        <v>32.319400000000002</v>
      </c>
      <c r="JM26">
        <v>24.0946</v>
      </c>
      <c r="JN26">
        <v>39.922400000000003</v>
      </c>
      <c r="JO26">
        <v>0</v>
      </c>
      <c r="JP26">
        <v>23.142199999999999</v>
      </c>
      <c r="JQ26">
        <v>500</v>
      </c>
      <c r="JR26">
        <v>18.766999999999999</v>
      </c>
      <c r="JS26">
        <v>99.914400000000001</v>
      </c>
      <c r="JT26">
        <v>98.341899999999995</v>
      </c>
    </row>
    <row r="27" spans="1:280" x14ac:dyDescent="0.25">
      <c r="A27">
        <v>11</v>
      </c>
      <c r="B27">
        <v>1674576711.0999999</v>
      </c>
      <c r="C27">
        <v>1286.099999904633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1674576711.0999999</v>
      </c>
      <c r="J27">
        <f t="shared" si="0"/>
        <v>5.0098115303139623E-3</v>
      </c>
      <c r="K27">
        <f t="shared" si="1"/>
        <v>5.0098115303139625</v>
      </c>
      <c r="L27">
        <f t="shared" si="2"/>
        <v>50.228205952009439</v>
      </c>
      <c r="M27">
        <f t="shared" si="3"/>
        <v>536.63099999999997</v>
      </c>
      <c r="N27">
        <f t="shared" si="4"/>
        <v>330.10694645448126</v>
      </c>
      <c r="O27">
        <f t="shared" si="5"/>
        <v>32.976915428820639</v>
      </c>
      <c r="P27">
        <f t="shared" si="6"/>
        <v>53.608187569368901</v>
      </c>
      <c r="Q27">
        <f t="shared" si="7"/>
        <v>0.4344708292702773</v>
      </c>
      <c r="R27">
        <f t="shared" si="8"/>
        <v>2.9262088245158369</v>
      </c>
      <c r="S27">
        <f t="shared" si="9"/>
        <v>0.40155316334847896</v>
      </c>
      <c r="T27">
        <f t="shared" si="10"/>
        <v>0.25372009667345885</v>
      </c>
      <c r="U27">
        <f t="shared" si="11"/>
        <v>344.36179965774579</v>
      </c>
      <c r="V27">
        <f t="shared" si="12"/>
        <v>28.737950262375954</v>
      </c>
      <c r="W27">
        <f t="shared" si="13"/>
        <v>27.520499999999998</v>
      </c>
      <c r="X27">
        <f t="shared" si="14"/>
        <v>3.6900464261193244</v>
      </c>
      <c r="Y27">
        <f t="shared" si="15"/>
        <v>65.372978884616131</v>
      </c>
      <c r="Z27">
        <f t="shared" si="16"/>
        <v>2.4822173923024402</v>
      </c>
      <c r="AA27">
        <f t="shared" si="17"/>
        <v>3.7970082359006083</v>
      </c>
      <c r="AB27">
        <f t="shared" si="18"/>
        <v>1.2078290338168842</v>
      </c>
      <c r="AC27">
        <f t="shared" si="19"/>
        <v>-220.93268848684573</v>
      </c>
      <c r="AD27">
        <f t="shared" si="20"/>
        <v>77.190876933072829</v>
      </c>
      <c r="AE27">
        <f t="shared" si="21"/>
        <v>5.7366016330296352</v>
      </c>
      <c r="AF27">
        <f t="shared" si="22"/>
        <v>206.35658973700254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52599.225390532789</v>
      </c>
      <c r="AL27" t="s">
        <v>415</v>
      </c>
      <c r="AM27">
        <v>10297.6</v>
      </c>
      <c r="AN27">
        <v>785.57400000000007</v>
      </c>
      <c r="AO27">
        <v>3597.65</v>
      </c>
      <c r="AP27">
        <f t="shared" si="26"/>
        <v>0.7816424610509638</v>
      </c>
      <c r="AQ27">
        <v>-0.62398835798131469</v>
      </c>
      <c r="AR27" t="s">
        <v>472</v>
      </c>
      <c r="AS27">
        <v>10216.799999999999</v>
      </c>
      <c r="AT27">
        <v>804.80567999999994</v>
      </c>
      <c r="AU27">
        <v>1155.598708262761</v>
      </c>
      <c r="AV27">
        <f t="shared" si="27"/>
        <v>0.3035595538092255</v>
      </c>
      <c r="AW27">
        <v>0.5</v>
      </c>
      <c r="AX27">
        <f t="shared" si="28"/>
        <v>1513.1510998288729</v>
      </c>
      <c r="AY27">
        <f t="shared" si="29"/>
        <v>50.228205952009439</v>
      </c>
      <c r="AZ27">
        <f t="shared" si="30"/>
        <v>229.66573635499574</v>
      </c>
      <c r="BA27">
        <f t="shared" si="31"/>
        <v>3.3606818457021112E-2</v>
      </c>
      <c r="BB27">
        <f t="shared" si="32"/>
        <v>2.1132347018701956</v>
      </c>
      <c r="BC27">
        <f t="shared" si="33"/>
        <v>537.5339447990666</v>
      </c>
      <c r="BD27" t="s">
        <v>473</v>
      </c>
      <c r="BE27">
        <v>602.39</v>
      </c>
      <c r="BF27">
        <f t="shared" si="34"/>
        <v>602.39</v>
      </c>
      <c r="BG27">
        <f t="shared" si="35"/>
        <v>0.47872042804064119</v>
      </c>
      <c r="BH27">
        <f t="shared" si="36"/>
        <v>0.63410612129435728</v>
      </c>
      <c r="BI27">
        <f t="shared" si="37"/>
        <v>0.81530527958749444</v>
      </c>
      <c r="BJ27">
        <f t="shared" si="38"/>
        <v>0.9480259572656885</v>
      </c>
      <c r="BK27">
        <f t="shared" si="39"/>
        <v>0.86841582223853087</v>
      </c>
      <c r="BL27">
        <f t="shared" si="40"/>
        <v>0.47462287593013497</v>
      </c>
      <c r="BM27">
        <f t="shared" si="41"/>
        <v>0.52537712406986503</v>
      </c>
      <c r="BN27">
        <v>21</v>
      </c>
      <c r="BO27">
        <v>290.00000000000011</v>
      </c>
      <c r="BP27">
        <v>1065.71</v>
      </c>
      <c r="BQ27">
        <v>195</v>
      </c>
      <c r="BR27">
        <v>10216.799999999999</v>
      </c>
      <c r="BS27">
        <v>1065.21</v>
      </c>
      <c r="BT27">
        <v>0.5</v>
      </c>
      <c r="BU27">
        <v>300.00000000000011</v>
      </c>
      <c r="BV27">
        <v>24.1</v>
      </c>
      <c r="BW27">
        <v>1155.598708262761</v>
      </c>
      <c r="BX27">
        <v>1.9490601141281341</v>
      </c>
      <c r="BY27">
        <v>-92.345717502519648</v>
      </c>
      <c r="BZ27">
        <v>1.77215977849566</v>
      </c>
      <c r="CA27">
        <v>0.98979354606255276</v>
      </c>
      <c r="CB27">
        <v>-6.958355061179095E-3</v>
      </c>
      <c r="CC27">
        <v>289.99999999999989</v>
      </c>
      <c r="CD27">
        <v>1062.21</v>
      </c>
      <c r="CE27">
        <v>685</v>
      </c>
      <c r="CF27">
        <v>10188.299999999999</v>
      </c>
      <c r="CG27">
        <v>1064.96</v>
      </c>
      <c r="CH27">
        <v>-2.75</v>
      </c>
      <c r="CV27">
        <f t="shared" si="42"/>
        <v>1799.96</v>
      </c>
      <c r="CW27">
        <f t="shared" si="43"/>
        <v>1513.1510998288729</v>
      </c>
      <c r="CX27">
        <f t="shared" si="44"/>
        <v>0.84065818119784486</v>
      </c>
      <c r="CY27">
        <f t="shared" si="45"/>
        <v>0.19131636239568978</v>
      </c>
      <c r="CZ27">
        <v>6</v>
      </c>
      <c r="DA27">
        <v>0.5</v>
      </c>
      <c r="DB27" t="s">
        <v>418</v>
      </c>
      <c r="DC27">
        <v>2</v>
      </c>
      <c r="DD27">
        <v>1674576711.0999999</v>
      </c>
      <c r="DE27">
        <v>536.63099999999997</v>
      </c>
      <c r="DF27">
        <v>600.11800000000005</v>
      </c>
      <c r="DG27">
        <v>24.8476</v>
      </c>
      <c r="DH27">
        <v>18.9864</v>
      </c>
      <c r="DI27">
        <v>537.88699999999994</v>
      </c>
      <c r="DJ27">
        <v>24.6431</v>
      </c>
      <c r="DK27">
        <v>500.10199999999998</v>
      </c>
      <c r="DL27">
        <v>99.797700000000006</v>
      </c>
      <c r="DM27">
        <v>9.9971900000000002E-2</v>
      </c>
      <c r="DN27">
        <v>28.009799999999998</v>
      </c>
      <c r="DO27">
        <v>27.520499999999998</v>
      </c>
      <c r="DP27">
        <v>999.9</v>
      </c>
      <c r="DQ27">
        <v>0</v>
      </c>
      <c r="DR27">
        <v>0</v>
      </c>
      <c r="DS27">
        <v>10001.200000000001</v>
      </c>
      <c r="DT27">
        <v>0</v>
      </c>
      <c r="DU27">
        <v>492.78300000000002</v>
      </c>
      <c r="DV27">
        <v>-63.486899999999999</v>
      </c>
      <c r="DW27">
        <v>550.30499999999995</v>
      </c>
      <c r="DX27">
        <v>611.73299999999995</v>
      </c>
      <c r="DY27">
        <v>5.8612200000000003</v>
      </c>
      <c r="DZ27">
        <v>600.11800000000005</v>
      </c>
      <c r="EA27">
        <v>18.9864</v>
      </c>
      <c r="EB27">
        <v>2.47973</v>
      </c>
      <c r="EC27">
        <v>1.8948</v>
      </c>
      <c r="ED27">
        <v>20.894100000000002</v>
      </c>
      <c r="EE27">
        <v>16.5916</v>
      </c>
      <c r="EF27">
        <v>1799.96</v>
      </c>
      <c r="EG27">
        <v>0.97799899999999995</v>
      </c>
      <c r="EH27">
        <v>2.2000700000000002E-2</v>
      </c>
      <c r="EI27">
        <v>0</v>
      </c>
      <c r="EJ27">
        <v>805.19500000000005</v>
      </c>
      <c r="EK27">
        <v>5.0002599999999999</v>
      </c>
      <c r="EL27">
        <v>15047.3</v>
      </c>
      <c r="EM27">
        <v>17103</v>
      </c>
      <c r="EN27">
        <v>49.311999999999998</v>
      </c>
      <c r="EO27">
        <v>50.75</v>
      </c>
      <c r="EP27">
        <v>50.375</v>
      </c>
      <c r="EQ27">
        <v>49.936999999999998</v>
      </c>
      <c r="ER27">
        <v>50.5</v>
      </c>
      <c r="ES27">
        <v>1755.47</v>
      </c>
      <c r="ET27">
        <v>39.49</v>
      </c>
      <c r="EU27">
        <v>0</v>
      </c>
      <c r="EV27">
        <v>105</v>
      </c>
      <c r="EW27">
        <v>0</v>
      </c>
      <c r="EX27">
        <v>804.80567999999994</v>
      </c>
      <c r="EY27">
        <v>0.78976923374440999</v>
      </c>
      <c r="EZ27">
        <v>35.207692333423132</v>
      </c>
      <c r="FA27">
        <v>15043.94</v>
      </c>
      <c r="FB27">
        <v>15</v>
      </c>
      <c r="FC27">
        <v>1674576675.5999999</v>
      </c>
      <c r="FD27" t="s">
        <v>474</v>
      </c>
      <c r="FE27">
        <v>1674576671.5999999</v>
      </c>
      <c r="FF27">
        <v>1674576675.5999999</v>
      </c>
      <c r="FG27">
        <v>14</v>
      </c>
      <c r="FH27">
        <v>-1.4E-2</v>
      </c>
      <c r="FI27">
        <v>-5.0000000000000001E-3</v>
      </c>
      <c r="FJ27">
        <v>-1.2869999999999999</v>
      </c>
      <c r="FK27">
        <v>5.7000000000000002E-2</v>
      </c>
      <c r="FL27">
        <v>600</v>
      </c>
      <c r="FM27">
        <v>19</v>
      </c>
      <c r="FN27">
        <v>0.04</v>
      </c>
      <c r="FO27">
        <v>0.02</v>
      </c>
      <c r="FP27">
        <v>50.163301815858063</v>
      </c>
      <c r="FQ27">
        <v>-0.55150814029503115</v>
      </c>
      <c r="FR27">
        <v>7.4392628158936214E-2</v>
      </c>
      <c r="FS27">
        <v>1</v>
      </c>
      <c r="FT27">
        <v>0.42791213762966063</v>
      </c>
      <c r="FU27">
        <v>4.6432467967666258E-2</v>
      </c>
      <c r="FV27">
        <v>5.5268334683909884E-3</v>
      </c>
      <c r="FW27">
        <v>1</v>
      </c>
      <c r="FX27">
        <v>2</v>
      </c>
      <c r="FY27">
        <v>2</v>
      </c>
      <c r="FZ27" t="s">
        <v>420</v>
      </c>
      <c r="GA27">
        <v>2.9289700000000001</v>
      </c>
      <c r="GB27">
        <v>2.8068900000000001</v>
      </c>
      <c r="GC27">
        <v>0.122487</v>
      </c>
      <c r="GD27">
        <v>0.13405400000000001</v>
      </c>
      <c r="GE27">
        <v>0.11511399999999999</v>
      </c>
      <c r="GF27">
        <v>9.6771099999999999E-2</v>
      </c>
      <c r="GG27">
        <v>26145.4</v>
      </c>
      <c r="GH27">
        <v>26030.1</v>
      </c>
      <c r="GI27">
        <v>28301</v>
      </c>
      <c r="GJ27">
        <v>27088.3</v>
      </c>
      <c r="GK27">
        <v>35957.4</v>
      </c>
      <c r="GL27">
        <v>32278.9</v>
      </c>
      <c r="GM27">
        <v>42150.7</v>
      </c>
      <c r="GN27">
        <v>36719.699999999997</v>
      </c>
      <c r="GO27">
        <v>1.9091199999999999</v>
      </c>
      <c r="GP27">
        <v>1.90198</v>
      </c>
      <c r="GQ27">
        <v>7.9479099999999997E-2</v>
      </c>
      <c r="GR27">
        <v>0</v>
      </c>
      <c r="GS27">
        <v>26.220400000000001</v>
      </c>
      <c r="GT27">
        <v>999.9</v>
      </c>
      <c r="GU27">
        <v>52.9</v>
      </c>
      <c r="GV27">
        <v>33.700000000000003</v>
      </c>
      <c r="GW27">
        <v>27.851800000000001</v>
      </c>
      <c r="GX27">
        <v>62.446800000000003</v>
      </c>
      <c r="GY27">
        <v>26.995200000000001</v>
      </c>
      <c r="GZ27">
        <v>1</v>
      </c>
      <c r="HA27">
        <v>0.39144800000000002</v>
      </c>
      <c r="HB27">
        <v>2.5614599999999998</v>
      </c>
      <c r="HC27">
        <v>20.325800000000001</v>
      </c>
      <c r="HD27">
        <v>5.2389999999999999</v>
      </c>
      <c r="HE27">
        <v>11.9366</v>
      </c>
      <c r="HF27">
        <v>4.9730999999999996</v>
      </c>
      <c r="HG27">
        <v>3.2985799999999998</v>
      </c>
      <c r="HH27">
        <v>9999</v>
      </c>
      <c r="HI27">
        <v>9999</v>
      </c>
      <c r="HJ27">
        <v>9999</v>
      </c>
      <c r="HK27">
        <v>999.9</v>
      </c>
      <c r="HL27">
        <v>1.8737900000000001</v>
      </c>
      <c r="HM27">
        <v>1.8815500000000001</v>
      </c>
      <c r="HN27">
        <v>1.88504</v>
      </c>
      <c r="HO27">
        <v>1.88171</v>
      </c>
      <c r="HP27">
        <v>1.8791100000000001</v>
      </c>
      <c r="HQ27">
        <v>1.87382</v>
      </c>
      <c r="HR27">
        <v>1.8766799999999999</v>
      </c>
      <c r="HS27">
        <v>1.8809100000000001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-1.256</v>
      </c>
      <c r="IH27">
        <v>0.20449999999999999</v>
      </c>
      <c r="II27">
        <v>-1.331761089673994</v>
      </c>
      <c r="IJ27">
        <v>9.4905977090923709E-4</v>
      </c>
      <c r="IK27">
        <v>-1.9106666302146479E-6</v>
      </c>
      <c r="IL27">
        <v>7.5819610513223293E-10</v>
      </c>
      <c r="IM27">
        <v>-9.3116206390770756E-2</v>
      </c>
      <c r="IN27">
        <v>-1.0595840490420019E-2</v>
      </c>
      <c r="IO27">
        <v>1.2407080968752471E-3</v>
      </c>
      <c r="IP27">
        <v>-1.3015442653884381E-5</v>
      </c>
      <c r="IQ27">
        <v>33</v>
      </c>
      <c r="IR27">
        <v>2014</v>
      </c>
      <c r="IS27">
        <v>1</v>
      </c>
      <c r="IT27">
        <v>26</v>
      </c>
      <c r="IU27">
        <v>0.7</v>
      </c>
      <c r="IV27">
        <v>0.6</v>
      </c>
      <c r="IW27">
        <v>1.3928199999999999</v>
      </c>
      <c r="IX27">
        <v>2.51709</v>
      </c>
      <c r="IY27">
        <v>1.5991200000000001</v>
      </c>
      <c r="IZ27">
        <v>2.3022499999999999</v>
      </c>
      <c r="JA27">
        <v>1.5502899999999999</v>
      </c>
      <c r="JB27">
        <v>2.2326700000000002</v>
      </c>
      <c r="JC27">
        <v>39.068300000000001</v>
      </c>
      <c r="JD27">
        <v>23.8598</v>
      </c>
      <c r="JE27">
        <v>18</v>
      </c>
      <c r="JF27">
        <v>475.00299999999999</v>
      </c>
      <c r="JG27">
        <v>505.346</v>
      </c>
      <c r="JH27">
        <v>23.116499999999998</v>
      </c>
      <c r="JI27">
        <v>32.1571</v>
      </c>
      <c r="JJ27">
        <v>29.9999</v>
      </c>
      <c r="JK27">
        <v>32.293500000000002</v>
      </c>
      <c r="JL27">
        <v>32.273600000000002</v>
      </c>
      <c r="JM27">
        <v>27.9389</v>
      </c>
      <c r="JN27">
        <v>39.457900000000002</v>
      </c>
      <c r="JO27">
        <v>0</v>
      </c>
      <c r="JP27">
        <v>23.1142</v>
      </c>
      <c r="JQ27">
        <v>600</v>
      </c>
      <c r="JR27">
        <v>18.887499999999999</v>
      </c>
      <c r="JS27">
        <v>99.925799999999995</v>
      </c>
      <c r="JT27">
        <v>98.356099999999998</v>
      </c>
    </row>
    <row r="28" spans="1:280" x14ac:dyDescent="0.25">
      <c r="A28">
        <v>12</v>
      </c>
      <c r="B28">
        <v>1674576823.0999999</v>
      </c>
      <c r="C28">
        <v>1398.099999904633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1674576823.0999999</v>
      </c>
      <c r="J28">
        <f t="shared" si="0"/>
        <v>4.8271085599710072E-3</v>
      </c>
      <c r="K28">
        <f t="shared" si="1"/>
        <v>4.8271085599710073</v>
      </c>
      <c r="L28">
        <f t="shared" si="2"/>
        <v>50.830665264475741</v>
      </c>
      <c r="M28">
        <f t="shared" si="3"/>
        <v>734.76</v>
      </c>
      <c r="N28">
        <f t="shared" si="4"/>
        <v>513.33132156284285</v>
      </c>
      <c r="O28">
        <f t="shared" si="5"/>
        <v>51.274567725801148</v>
      </c>
      <c r="P28">
        <f t="shared" si="6"/>
        <v>73.392173435879997</v>
      </c>
      <c r="Q28">
        <f t="shared" si="7"/>
        <v>0.41525206364372286</v>
      </c>
      <c r="R28">
        <f t="shared" si="8"/>
        <v>2.9189822370017726</v>
      </c>
      <c r="S28">
        <f t="shared" si="9"/>
        <v>0.38500495567208015</v>
      </c>
      <c r="T28">
        <f t="shared" si="10"/>
        <v>0.24316182436471287</v>
      </c>
      <c r="U28">
        <f t="shared" si="11"/>
        <v>344.36939965775338</v>
      </c>
      <c r="V28">
        <f t="shared" si="12"/>
        <v>28.773621665202057</v>
      </c>
      <c r="W28">
        <f t="shared" si="13"/>
        <v>27.5351</v>
      </c>
      <c r="X28">
        <f t="shared" si="14"/>
        <v>3.6931995378825628</v>
      </c>
      <c r="Y28">
        <f t="shared" si="15"/>
        <v>65.354848964360272</v>
      </c>
      <c r="Z28">
        <f t="shared" si="16"/>
        <v>2.4795479271293996</v>
      </c>
      <c r="AA28">
        <f t="shared" si="17"/>
        <v>3.7939769832251664</v>
      </c>
      <c r="AB28">
        <f t="shared" si="18"/>
        <v>1.2136516107531632</v>
      </c>
      <c r="AC28">
        <f t="shared" si="19"/>
        <v>-212.87548749472143</v>
      </c>
      <c r="AD28">
        <f t="shared" si="20"/>
        <v>72.54672653653121</v>
      </c>
      <c r="AE28">
        <f t="shared" si="21"/>
        <v>5.404833489857368</v>
      </c>
      <c r="AF28">
        <f t="shared" si="22"/>
        <v>209.44547218942051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52393.572061756749</v>
      </c>
      <c r="AL28" t="s">
        <v>415</v>
      </c>
      <c r="AM28">
        <v>10297.6</v>
      </c>
      <c r="AN28">
        <v>785.57400000000007</v>
      </c>
      <c r="AO28">
        <v>3597.65</v>
      </c>
      <c r="AP28">
        <f t="shared" si="26"/>
        <v>0.7816424610509638</v>
      </c>
      <c r="AQ28">
        <v>-0.62398835798131469</v>
      </c>
      <c r="AR28" t="s">
        <v>477</v>
      </c>
      <c r="AS28">
        <v>10217</v>
      </c>
      <c r="AT28">
        <v>806.18832000000009</v>
      </c>
      <c r="AU28">
        <v>1164.98154278329</v>
      </c>
      <c r="AV28">
        <f t="shared" si="27"/>
        <v>0.30798189465395909</v>
      </c>
      <c r="AW28">
        <v>0.5</v>
      </c>
      <c r="AX28">
        <f t="shared" si="28"/>
        <v>1513.1846998288768</v>
      </c>
      <c r="AY28">
        <f t="shared" si="29"/>
        <v>50.830665264475741</v>
      </c>
      <c r="AZ28">
        <f t="shared" si="30"/>
        <v>233.01674540733993</v>
      </c>
      <c r="BA28">
        <f t="shared" si="31"/>
        <v>3.4004212194503398E-2</v>
      </c>
      <c r="BB28">
        <f t="shared" si="32"/>
        <v>2.088160514032483</v>
      </c>
      <c r="BC28">
        <f t="shared" si="33"/>
        <v>539.55533357214392</v>
      </c>
      <c r="BD28" t="s">
        <v>478</v>
      </c>
      <c r="BE28">
        <v>604.71</v>
      </c>
      <c r="BF28">
        <f t="shared" si="34"/>
        <v>604.71</v>
      </c>
      <c r="BG28">
        <f t="shared" si="35"/>
        <v>0.48092739859614386</v>
      </c>
      <c r="BH28">
        <f t="shared" si="36"/>
        <v>0.64039165901750827</v>
      </c>
      <c r="BI28">
        <f t="shared" si="37"/>
        <v>0.81280228043886948</v>
      </c>
      <c r="BJ28">
        <f t="shared" si="38"/>
        <v>0.9456670791287497</v>
      </c>
      <c r="BK28">
        <f t="shared" si="39"/>
        <v>0.86507920028360186</v>
      </c>
      <c r="BL28">
        <f t="shared" si="40"/>
        <v>0.4803483634251578</v>
      </c>
      <c r="BM28">
        <f t="shared" si="41"/>
        <v>0.51965163657484226</v>
      </c>
      <c r="BN28">
        <v>23</v>
      </c>
      <c r="BO28">
        <v>290.00000000000011</v>
      </c>
      <c r="BP28">
        <v>1074</v>
      </c>
      <c r="BQ28">
        <v>195</v>
      </c>
      <c r="BR28">
        <v>10217</v>
      </c>
      <c r="BS28">
        <v>1072.78</v>
      </c>
      <c r="BT28">
        <v>1.22</v>
      </c>
      <c r="BU28">
        <v>300.00000000000011</v>
      </c>
      <c r="BV28">
        <v>24.1</v>
      </c>
      <c r="BW28">
        <v>1164.98154278329</v>
      </c>
      <c r="BX28">
        <v>1.917263377212032</v>
      </c>
      <c r="BY28">
        <v>-94.200086439253056</v>
      </c>
      <c r="BZ28">
        <v>1.7432916828831859</v>
      </c>
      <c r="CA28">
        <v>0.99050159411411376</v>
      </c>
      <c r="CB28">
        <v>-6.958653392658525E-3</v>
      </c>
      <c r="CC28">
        <v>289.99999999999989</v>
      </c>
      <c r="CD28">
        <v>1069.29</v>
      </c>
      <c r="CE28">
        <v>655</v>
      </c>
      <c r="CF28">
        <v>10190.4</v>
      </c>
      <c r="CG28">
        <v>1072.54</v>
      </c>
      <c r="CH28">
        <v>-3.25</v>
      </c>
      <c r="CV28">
        <f t="shared" si="42"/>
        <v>1800</v>
      </c>
      <c r="CW28">
        <f t="shared" si="43"/>
        <v>1513.1846998288768</v>
      </c>
      <c r="CX28">
        <f t="shared" si="44"/>
        <v>0.8406581665715982</v>
      </c>
      <c r="CY28">
        <f t="shared" si="45"/>
        <v>0.19131633314319632</v>
      </c>
      <c r="CZ28">
        <v>6</v>
      </c>
      <c r="DA28">
        <v>0.5</v>
      </c>
      <c r="DB28" t="s">
        <v>418</v>
      </c>
      <c r="DC28">
        <v>2</v>
      </c>
      <c r="DD28">
        <v>1674576823.0999999</v>
      </c>
      <c r="DE28">
        <v>734.76</v>
      </c>
      <c r="DF28">
        <v>799.99400000000003</v>
      </c>
      <c r="DG28">
        <v>24.823799999999999</v>
      </c>
      <c r="DH28">
        <v>19.1767</v>
      </c>
      <c r="DI28">
        <v>736.26700000000005</v>
      </c>
      <c r="DJ28">
        <v>24.613900000000001</v>
      </c>
      <c r="DK28">
        <v>500.14499999999998</v>
      </c>
      <c r="DL28">
        <v>99.785499999999999</v>
      </c>
      <c r="DM28">
        <v>0.100413</v>
      </c>
      <c r="DN28">
        <v>27.996099999999998</v>
      </c>
      <c r="DO28">
        <v>27.5351</v>
      </c>
      <c r="DP28">
        <v>999.9</v>
      </c>
      <c r="DQ28">
        <v>0</v>
      </c>
      <c r="DR28">
        <v>0</v>
      </c>
      <c r="DS28">
        <v>9961.25</v>
      </c>
      <c r="DT28">
        <v>0</v>
      </c>
      <c r="DU28">
        <v>500.089</v>
      </c>
      <c r="DV28">
        <v>-65.233900000000006</v>
      </c>
      <c r="DW28">
        <v>753.46400000000006</v>
      </c>
      <c r="DX28">
        <v>815.63499999999999</v>
      </c>
      <c r="DY28">
        <v>5.6471600000000004</v>
      </c>
      <c r="DZ28">
        <v>799.99400000000003</v>
      </c>
      <c r="EA28">
        <v>19.1767</v>
      </c>
      <c r="EB28">
        <v>2.4770599999999998</v>
      </c>
      <c r="EC28">
        <v>1.9135599999999999</v>
      </c>
      <c r="ED28">
        <v>20.8766</v>
      </c>
      <c r="EE28">
        <v>16.746600000000001</v>
      </c>
      <c r="EF28">
        <v>1800</v>
      </c>
      <c r="EG28">
        <v>0.97799899999999995</v>
      </c>
      <c r="EH28">
        <v>2.2000700000000002E-2</v>
      </c>
      <c r="EI28">
        <v>0</v>
      </c>
      <c r="EJ28">
        <v>806.32100000000003</v>
      </c>
      <c r="EK28">
        <v>5.0002599999999999</v>
      </c>
      <c r="EL28">
        <v>15091.1</v>
      </c>
      <c r="EM28">
        <v>17103.400000000001</v>
      </c>
      <c r="EN28">
        <v>49.375</v>
      </c>
      <c r="EO28">
        <v>50.811999999999998</v>
      </c>
      <c r="EP28">
        <v>50.311999999999998</v>
      </c>
      <c r="EQ28">
        <v>49.875</v>
      </c>
      <c r="ER28">
        <v>50.625</v>
      </c>
      <c r="ES28">
        <v>1755.51</v>
      </c>
      <c r="ET28">
        <v>39.49</v>
      </c>
      <c r="EU28">
        <v>0</v>
      </c>
      <c r="EV28">
        <v>110</v>
      </c>
      <c r="EW28">
        <v>0</v>
      </c>
      <c r="EX28">
        <v>806.18832000000009</v>
      </c>
      <c r="EY28">
        <v>0.77799999629910011</v>
      </c>
      <c r="EZ28">
        <v>21.269230801830041</v>
      </c>
      <c r="FA28">
        <v>15088.096</v>
      </c>
      <c r="FB28">
        <v>15</v>
      </c>
      <c r="FC28">
        <v>1674576787.5999999</v>
      </c>
      <c r="FD28" t="s">
        <v>479</v>
      </c>
      <c r="FE28">
        <v>1674576779.5999999</v>
      </c>
      <c r="FF28">
        <v>1674576787.5999999</v>
      </c>
      <c r="FG28">
        <v>15</v>
      </c>
      <c r="FH28">
        <v>-0.14099999999999999</v>
      </c>
      <c r="FI28">
        <v>6.0000000000000001E-3</v>
      </c>
      <c r="FJ28">
        <v>-1.5489999999999999</v>
      </c>
      <c r="FK28">
        <v>6.7000000000000004E-2</v>
      </c>
      <c r="FL28">
        <v>800</v>
      </c>
      <c r="FM28">
        <v>19</v>
      </c>
      <c r="FN28">
        <v>0.02</v>
      </c>
      <c r="FO28">
        <v>0.01</v>
      </c>
      <c r="FP28">
        <v>50.86088478813916</v>
      </c>
      <c r="FQ28">
        <v>-0.6647967498105597</v>
      </c>
      <c r="FR28">
        <v>9.2688387528651661E-2</v>
      </c>
      <c r="FS28">
        <v>1</v>
      </c>
      <c r="FT28">
        <v>0.41651576535123519</v>
      </c>
      <c r="FU28">
        <v>2.9491382712502699E-2</v>
      </c>
      <c r="FV28">
        <v>4.4974730768509571E-3</v>
      </c>
      <c r="FW28">
        <v>1</v>
      </c>
      <c r="FX28">
        <v>2</v>
      </c>
      <c r="FY28">
        <v>2</v>
      </c>
      <c r="FZ28" t="s">
        <v>420</v>
      </c>
      <c r="GA28">
        <v>2.9291800000000001</v>
      </c>
      <c r="GB28">
        <v>2.8069799999999998</v>
      </c>
      <c r="GC28">
        <v>0.152645</v>
      </c>
      <c r="GD28">
        <v>0.163326</v>
      </c>
      <c r="GE28">
        <v>0.115018</v>
      </c>
      <c r="GF28">
        <v>9.7458199999999995E-2</v>
      </c>
      <c r="GG28">
        <v>25248.2</v>
      </c>
      <c r="GH28">
        <v>25153.4</v>
      </c>
      <c r="GI28">
        <v>28303.5</v>
      </c>
      <c r="GJ28">
        <v>27092.7</v>
      </c>
      <c r="GK28">
        <v>35964.9</v>
      </c>
      <c r="GL28">
        <v>32260.1</v>
      </c>
      <c r="GM28">
        <v>42154.6</v>
      </c>
      <c r="GN28">
        <v>36726</v>
      </c>
      <c r="GO28">
        <v>1.90937</v>
      </c>
      <c r="GP28">
        <v>1.9027499999999999</v>
      </c>
      <c r="GQ28">
        <v>8.0447599999999994E-2</v>
      </c>
      <c r="GR28">
        <v>0</v>
      </c>
      <c r="GS28">
        <v>26.219200000000001</v>
      </c>
      <c r="GT28">
        <v>999.9</v>
      </c>
      <c r="GU28">
        <v>52.7</v>
      </c>
      <c r="GV28">
        <v>33.799999999999997</v>
      </c>
      <c r="GW28">
        <v>27.904299999999999</v>
      </c>
      <c r="GX28">
        <v>62.4968</v>
      </c>
      <c r="GY28">
        <v>26.9511</v>
      </c>
      <c r="GZ28">
        <v>1</v>
      </c>
      <c r="HA28">
        <v>0.38711099999999998</v>
      </c>
      <c r="HB28">
        <v>2.5009899999999998</v>
      </c>
      <c r="HC28">
        <v>20.326599999999999</v>
      </c>
      <c r="HD28">
        <v>5.2378099999999996</v>
      </c>
      <c r="HE28">
        <v>11.937799999999999</v>
      </c>
      <c r="HF28">
        <v>4.9733000000000001</v>
      </c>
      <c r="HG28">
        <v>3.2985500000000001</v>
      </c>
      <c r="HH28">
        <v>9999</v>
      </c>
      <c r="HI28">
        <v>9999</v>
      </c>
      <c r="HJ28">
        <v>9999</v>
      </c>
      <c r="HK28">
        <v>999.9</v>
      </c>
      <c r="HL28">
        <v>1.87384</v>
      </c>
      <c r="HM28">
        <v>1.8815599999999999</v>
      </c>
      <c r="HN28">
        <v>1.88504</v>
      </c>
      <c r="HO28">
        <v>1.8817200000000001</v>
      </c>
      <c r="HP28">
        <v>1.8791199999999999</v>
      </c>
      <c r="HQ28">
        <v>1.87381</v>
      </c>
      <c r="HR28">
        <v>1.8766799999999999</v>
      </c>
      <c r="HS28">
        <v>1.8809400000000001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-1.5069999999999999</v>
      </c>
      <c r="IH28">
        <v>0.2099</v>
      </c>
      <c r="II28">
        <v>-1.472756848246016</v>
      </c>
      <c r="IJ28">
        <v>9.4905977090923709E-4</v>
      </c>
      <c r="IK28">
        <v>-1.9106666302146479E-6</v>
      </c>
      <c r="IL28">
        <v>7.5819610513223293E-10</v>
      </c>
      <c r="IM28">
        <v>-8.6890957193100665E-2</v>
      </c>
      <c r="IN28">
        <v>-1.0595840490420019E-2</v>
      </c>
      <c r="IO28">
        <v>1.2407080968752471E-3</v>
      </c>
      <c r="IP28">
        <v>-1.3015442653884381E-5</v>
      </c>
      <c r="IQ28">
        <v>33</v>
      </c>
      <c r="IR28">
        <v>2014</v>
      </c>
      <c r="IS28">
        <v>1</v>
      </c>
      <c r="IT28">
        <v>26</v>
      </c>
      <c r="IU28">
        <v>0.7</v>
      </c>
      <c r="IV28">
        <v>0.6</v>
      </c>
      <c r="IW28">
        <v>1.7639199999999999</v>
      </c>
      <c r="IX28">
        <v>2.50488</v>
      </c>
      <c r="IY28">
        <v>1.5991200000000001</v>
      </c>
      <c r="IZ28">
        <v>2.3010299999999999</v>
      </c>
      <c r="JA28">
        <v>1.5490699999999999</v>
      </c>
      <c r="JB28">
        <v>2.2827099999999998</v>
      </c>
      <c r="JC28">
        <v>39.142800000000001</v>
      </c>
      <c r="JD28">
        <v>23.851099999999999</v>
      </c>
      <c r="JE28">
        <v>18</v>
      </c>
      <c r="JF28">
        <v>474.77699999999999</v>
      </c>
      <c r="JG28">
        <v>505.488</v>
      </c>
      <c r="JH28">
        <v>23.114999999999998</v>
      </c>
      <c r="JI28">
        <v>32.104999999999997</v>
      </c>
      <c r="JJ28">
        <v>29.9998</v>
      </c>
      <c r="JK28">
        <v>32.243499999999997</v>
      </c>
      <c r="JL28">
        <v>32.224899999999998</v>
      </c>
      <c r="JM28">
        <v>35.3446</v>
      </c>
      <c r="JN28">
        <v>38.754100000000001</v>
      </c>
      <c r="JO28">
        <v>0</v>
      </c>
      <c r="JP28">
        <v>23.1188</v>
      </c>
      <c r="JQ28">
        <v>800</v>
      </c>
      <c r="JR28">
        <v>19.061</v>
      </c>
      <c r="JS28">
        <v>99.935000000000002</v>
      </c>
      <c r="JT28">
        <v>98.372699999999995</v>
      </c>
    </row>
    <row r="29" spans="1:280" x14ac:dyDescent="0.25">
      <c r="A29">
        <v>13</v>
      </c>
      <c r="B29">
        <v>1674576946.5999999</v>
      </c>
      <c r="C29">
        <v>1521.599999904633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1674576946.5999999</v>
      </c>
      <c r="J29">
        <f t="shared" si="0"/>
        <v>4.5774295341258616E-3</v>
      </c>
      <c r="K29">
        <f t="shared" si="1"/>
        <v>4.5774295341258613</v>
      </c>
      <c r="L29">
        <f t="shared" si="2"/>
        <v>50.162378762038827</v>
      </c>
      <c r="M29">
        <f t="shared" si="3"/>
        <v>1133.58</v>
      </c>
      <c r="N29">
        <f t="shared" si="4"/>
        <v>893.97228902628274</v>
      </c>
      <c r="O29">
        <f t="shared" si="5"/>
        <v>89.296676687503179</v>
      </c>
      <c r="P29">
        <f t="shared" si="6"/>
        <v>113.23049718876</v>
      </c>
      <c r="Q29">
        <f t="shared" si="7"/>
        <v>0.38898746734528389</v>
      </c>
      <c r="R29">
        <f t="shared" si="8"/>
        <v>2.9252705154253009</v>
      </c>
      <c r="S29">
        <f t="shared" si="9"/>
        <v>0.3623670116370537</v>
      </c>
      <c r="T29">
        <f t="shared" si="10"/>
        <v>0.22871913180180137</v>
      </c>
      <c r="U29">
        <f t="shared" si="11"/>
        <v>344.37129965775529</v>
      </c>
      <c r="V29">
        <f t="shared" si="12"/>
        <v>28.836754284731938</v>
      </c>
      <c r="W29">
        <f t="shared" si="13"/>
        <v>27.554500000000001</v>
      </c>
      <c r="X29">
        <f t="shared" si="14"/>
        <v>3.6973929268088033</v>
      </c>
      <c r="Y29">
        <f t="shared" si="15"/>
        <v>65.22540287507114</v>
      </c>
      <c r="Z29">
        <f t="shared" si="16"/>
        <v>2.4745934925236002</v>
      </c>
      <c r="AA29">
        <f t="shared" si="17"/>
        <v>3.7939106290585736</v>
      </c>
      <c r="AB29">
        <f t="shared" si="18"/>
        <v>1.2227994342852031</v>
      </c>
      <c r="AC29">
        <f t="shared" si="19"/>
        <v>-201.86464245495048</v>
      </c>
      <c r="AD29">
        <f t="shared" si="20"/>
        <v>69.596180311383506</v>
      </c>
      <c r="AE29">
        <f t="shared" si="21"/>
        <v>5.1743603282391435</v>
      </c>
      <c r="AF29">
        <f t="shared" si="22"/>
        <v>217.27719784242743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52574.451958202881</v>
      </c>
      <c r="AL29" t="s">
        <v>415</v>
      </c>
      <c r="AM29">
        <v>10297.6</v>
      </c>
      <c r="AN29">
        <v>785.57400000000007</v>
      </c>
      <c r="AO29">
        <v>3597.65</v>
      </c>
      <c r="AP29">
        <f t="shared" si="26"/>
        <v>0.7816424610509638</v>
      </c>
      <c r="AQ29">
        <v>-0.62398835798131469</v>
      </c>
      <c r="AR29" t="s">
        <v>482</v>
      </c>
      <c r="AS29">
        <v>10223.5</v>
      </c>
      <c r="AT29">
        <v>806.80623076923075</v>
      </c>
      <c r="AU29">
        <v>1173.8351959462129</v>
      </c>
      <c r="AV29">
        <f t="shared" si="27"/>
        <v>0.31267503857824352</v>
      </c>
      <c r="AW29">
        <v>0.5</v>
      </c>
      <c r="AX29">
        <f t="shared" si="28"/>
        <v>1513.1930998288776</v>
      </c>
      <c r="AY29">
        <f t="shared" si="29"/>
        <v>50.162378762038827</v>
      </c>
      <c r="AZ29">
        <f t="shared" si="30"/>
        <v>236.5688554326631</v>
      </c>
      <c r="BA29">
        <f t="shared" si="31"/>
        <v>3.3562383496041202E-2</v>
      </c>
      <c r="BB29">
        <f t="shared" si="32"/>
        <v>2.064868060204978</v>
      </c>
      <c r="BC29">
        <f t="shared" si="33"/>
        <v>541.4467540088275</v>
      </c>
      <c r="BD29" t="s">
        <v>483</v>
      </c>
      <c r="BE29">
        <v>606</v>
      </c>
      <c r="BF29">
        <f t="shared" si="34"/>
        <v>606</v>
      </c>
      <c r="BG29">
        <f t="shared" si="35"/>
        <v>0.4837435424557095</v>
      </c>
      <c r="BH29">
        <f t="shared" si="36"/>
        <v>0.64636529717990265</v>
      </c>
      <c r="BI29">
        <f t="shared" si="37"/>
        <v>0.81019330605311013</v>
      </c>
      <c r="BJ29">
        <f t="shared" si="38"/>
        <v>0.94531456918457524</v>
      </c>
      <c r="BK29">
        <f t="shared" si="39"/>
        <v>0.86193076006970903</v>
      </c>
      <c r="BL29">
        <f t="shared" si="40"/>
        <v>0.48549125571026663</v>
      </c>
      <c r="BM29">
        <f t="shared" si="41"/>
        <v>0.51450874428973337</v>
      </c>
      <c r="BN29">
        <v>25</v>
      </c>
      <c r="BO29">
        <v>290.00000000000011</v>
      </c>
      <c r="BP29">
        <v>1078.82</v>
      </c>
      <c r="BQ29">
        <v>155</v>
      </c>
      <c r="BR29">
        <v>10223.5</v>
      </c>
      <c r="BS29">
        <v>1077.06</v>
      </c>
      <c r="BT29">
        <v>1.76</v>
      </c>
      <c r="BU29">
        <v>300.00000000000011</v>
      </c>
      <c r="BV29">
        <v>24.1</v>
      </c>
      <c r="BW29">
        <v>1173.8351959462129</v>
      </c>
      <c r="BX29">
        <v>2.1099212335936679</v>
      </c>
      <c r="BY29">
        <v>-98.935773090355426</v>
      </c>
      <c r="BZ29">
        <v>1.9185146433499649</v>
      </c>
      <c r="CA29">
        <v>0.98958083678571751</v>
      </c>
      <c r="CB29">
        <v>-6.9587010011123544E-3</v>
      </c>
      <c r="CC29">
        <v>289.99999999999989</v>
      </c>
      <c r="CD29">
        <v>1073.49</v>
      </c>
      <c r="CE29">
        <v>695</v>
      </c>
      <c r="CF29">
        <v>10188.200000000001</v>
      </c>
      <c r="CG29">
        <v>1076.73</v>
      </c>
      <c r="CH29">
        <v>-3.24</v>
      </c>
      <c r="CV29">
        <f t="shared" si="42"/>
        <v>1800.01</v>
      </c>
      <c r="CW29">
        <f t="shared" si="43"/>
        <v>1513.1930998288776</v>
      </c>
      <c r="CX29">
        <f t="shared" si="44"/>
        <v>0.84065816291513806</v>
      </c>
      <c r="CY29">
        <f t="shared" si="45"/>
        <v>0.19131632583027611</v>
      </c>
      <c r="CZ29">
        <v>6</v>
      </c>
      <c r="DA29">
        <v>0.5</v>
      </c>
      <c r="DB29" t="s">
        <v>418</v>
      </c>
      <c r="DC29">
        <v>2</v>
      </c>
      <c r="DD29">
        <v>1674576946.5999999</v>
      </c>
      <c r="DE29">
        <v>1133.58</v>
      </c>
      <c r="DF29">
        <v>1199.98</v>
      </c>
      <c r="DG29">
        <v>24.773800000000001</v>
      </c>
      <c r="DH29">
        <v>19.418700000000001</v>
      </c>
      <c r="DI29">
        <v>1135.4000000000001</v>
      </c>
      <c r="DJ29">
        <v>24.5672</v>
      </c>
      <c r="DK29">
        <v>500.16199999999998</v>
      </c>
      <c r="DL29">
        <v>99.787400000000005</v>
      </c>
      <c r="DM29">
        <v>0.100122</v>
      </c>
      <c r="DN29">
        <v>27.995799999999999</v>
      </c>
      <c r="DO29">
        <v>27.554500000000001</v>
      </c>
      <c r="DP29">
        <v>999.9</v>
      </c>
      <c r="DQ29">
        <v>0</v>
      </c>
      <c r="DR29">
        <v>0</v>
      </c>
      <c r="DS29">
        <v>9996.8799999999992</v>
      </c>
      <c r="DT29">
        <v>0</v>
      </c>
      <c r="DU29">
        <v>513.01199999999994</v>
      </c>
      <c r="DV29">
        <v>-66.400000000000006</v>
      </c>
      <c r="DW29">
        <v>1162.3800000000001</v>
      </c>
      <c r="DX29">
        <v>1223.75</v>
      </c>
      <c r="DY29">
        <v>5.3551000000000002</v>
      </c>
      <c r="DZ29">
        <v>1199.98</v>
      </c>
      <c r="EA29">
        <v>19.418700000000001</v>
      </c>
      <c r="EB29">
        <v>2.4721099999999998</v>
      </c>
      <c r="EC29">
        <v>1.93774</v>
      </c>
      <c r="ED29">
        <v>20.844000000000001</v>
      </c>
      <c r="EE29">
        <v>16.944500000000001</v>
      </c>
      <c r="EF29">
        <v>1800.01</v>
      </c>
      <c r="EG29">
        <v>0.97799899999999995</v>
      </c>
      <c r="EH29">
        <v>2.2000700000000002E-2</v>
      </c>
      <c r="EI29">
        <v>0</v>
      </c>
      <c r="EJ29">
        <v>806.83600000000001</v>
      </c>
      <c r="EK29">
        <v>5.0002599999999999</v>
      </c>
      <c r="EL29">
        <v>15118.1</v>
      </c>
      <c r="EM29">
        <v>17103.5</v>
      </c>
      <c r="EN29">
        <v>49.375</v>
      </c>
      <c r="EO29">
        <v>50.75</v>
      </c>
      <c r="EP29">
        <v>50.311999999999998</v>
      </c>
      <c r="EQ29">
        <v>49.811999999999998</v>
      </c>
      <c r="ER29">
        <v>50.561999999999998</v>
      </c>
      <c r="ES29">
        <v>1755.52</v>
      </c>
      <c r="ET29">
        <v>39.49</v>
      </c>
      <c r="EU29">
        <v>0</v>
      </c>
      <c r="EV29">
        <v>121.4000000953674</v>
      </c>
      <c r="EW29">
        <v>0</v>
      </c>
      <c r="EX29">
        <v>806.80623076923075</v>
      </c>
      <c r="EY29">
        <v>0.51842735595153122</v>
      </c>
      <c r="EZ29">
        <v>-19.435897514862681</v>
      </c>
      <c r="FA29">
        <v>15124.67307692308</v>
      </c>
      <c r="FB29">
        <v>15</v>
      </c>
      <c r="FC29">
        <v>1674576908.5999999</v>
      </c>
      <c r="FD29" t="s">
        <v>484</v>
      </c>
      <c r="FE29">
        <v>1674576903.5999999</v>
      </c>
      <c r="FF29">
        <v>1674576908.5999999</v>
      </c>
      <c r="FG29">
        <v>16</v>
      </c>
      <c r="FH29">
        <v>-6.6000000000000003E-2</v>
      </c>
      <c r="FI29">
        <v>-2E-3</v>
      </c>
      <c r="FJ29">
        <v>-1.8440000000000001</v>
      </c>
      <c r="FK29">
        <v>7.1999999999999995E-2</v>
      </c>
      <c r="FL29">
        <v>1200</v>
      </c>
      <c r="FM29">
        <v>19</v>
      </c>
      <c r="FN29">
        <v>0.04</v>
      </c>
      <c r="FO29">
        <v>0.02</v>
      </c>
      <c r="FP29">
        <v>50.112015569079347</v>
      </c>
      <c r="FQ29">
        <v>-0.63173963991202675</v>
      </c>
      <c r="FR29">
        <v>7.0222916401091323E-2</v>
      </c>
      <c r="FS29">
        <v>1</v>
      </c>
      <c r="FT29">
        <v>0.39383827200452298</v>
      </c>
      <c r="FU29">
        <v>-1.8598946677746361E-2</v>
      </c>
      <c r="FV29">
        <v>2.2541707779414012E-3</v>
      </c>
      <c r="FW29">
        <v>1</v>
      </c>
      <c r="FX29">
        <v>2</v>
      </c>
      <c r="FY29">
        <v>2</v>
      </c>
      <c r="FZ29" t="s">
        <v>420</v>
      </c>
      <c r="GA29">
        <v>2.9293300000000002</v>
      </c>
      <c r="GB29">
        <v>2.80701</v>
      </c>
      <c r="GC29">
        <v>0.20291999999999999</v>
      </c>
      <c r="GD29">
        <v>0.21248300000000001</v>
      </c>
      <c r="GE29">
        <v>0.114883</v>
      </c>
      <c r="GF29">
        <v>9.83435E-2</v>
      </c>
      <c r="GG29">
        <v>23750.3</v>
      </c>
      <c r="GH29">
        <v>23676.799999999999</v>
      </c>
      <c r="GI29">
        <v>28306.3</v>
      </c>
      <c r="GJ29">
        <v>27096.9</v>
      </c>
      <c r="GK29">
        <v>35973.300000000003</v>
      </c>
      <c r="GL29">
        <v>32233.9</v>
      </c>
      <c r="GM29">
        <v>42157.7</v>
      </c>
      <c r="GN29">
        <v>36731.800000000003</v>
      </c>
      <c r="GO29">
        <v>1.90968</v>
      </c>
      <c r="GP29">
        <v>1.90425</v>
      </c>
      <c r="GQ29">
        <v>8.4936600000000001E-2</v>
      </c>
      <c r="GR29">
        <v>0</v>
      </c>
      <c r="GS29">
        <v>26.165099999999999</v>
      </c>
      <c r="GT29">
        <v>999.9</v>
      </c>
      <c r="GU29">
        <v>52.4</v>
      </c>
      <c r="GV29">
        <v>33.9</v>
      </c>
      <c r="GW29">
        <v>27.9</v>
      </c>
      <c r="GX29">
        <v>61.2669</v>
      </c>
      <c r="GY29">
        <v>26.947099999999999</v>
      </c>
      <c r="GZ29">
        <v>1</v>
      </c>
      <c r="HA29">
        <v>0.38187199999999999</v>
      </c>
      <c r="HB29">
        <v>2.4033600000000002</v>
      </c>
      <c r="HC29">
        <v>20.328099999999999</v>
      </c>
      <c r="HD29">
        <v>5.2401999999999997</v>
      </c>
      <c r="HE29">
        <v>11.9367</v>
      </c>
      <c r="HF29">
        <v>4.9737999999999998</v>
      </c>
      <c r="HG29">
        <v>3.2989999999999999</v>
      </c>
      <c r="HH29">
        <v>9999</v>
      </c>
      <c r="HI29">
        <v>9999</v>
      </c>
      <c r="HJ29">
        <v>9999</v>
      </c>
      <c r="HK29">
        <v>999.9</v>
      </c>
      <c r="HL29">
        <v>1.8737900000000001</v>
      </c>
      <c r="HM29">
        <v>1.8815500000000001</v>
      </c>
      <c r="HN29">
        <v>1.8849899999999999</v>
      </c>
      <c r="HO29">
        <v>1.88171</v>
      </c>
      <c r="HP29">
        <v>1.8791100000000001</v>
      </c>
      <c r="HQ29">
        <v>1.87378</v>
      </c>
      <c r="HR29">
        <v>1.8766799999999999</v>
      </c>
      <c r="HS29">
        <v>1.8809199999999999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-1.82</v>
      </c>
      <c r="IH29">
        <v>0.20660000000000001</v>
      </c>
      <c r="II29">
        <v>-1.5404887707706081</v>
      </c>
      <c r="IJ29">
        <v>9.4905977090923709E-4</v>
      </c>
      <c r="IK29">
        <v>-1.9106666302146479E-6</v>
      </c>
      <c r="IL29">
        <v>7.5819610513223293E-10</v>
      </c>
      <c r="IM29">
        <v>-8.9018064142673548E-2</v>
      </c>
      <c r="IN29">
        <v>-1.0595840490420019E-2</v>
      </c>
      <c r="IO29">
        <v>1.2407080968752471E-3</v>
      </c>
      <c r="IP29">
        <v>-1.3015442653884381E-5</v>
      </c>
      <c r="IQ29">
        <v>33</v>
      </c>
      <c r="IR29">
        <v>2014</v>
      </c>
      <c r="IS29">
        <v>1</v>
      </c>
      <c r="IT29">
        <v>26</v>
      </c>
      <c r="IU29">
        <v>0.7</v>
      </c>
      <c r="IV29">
        <v>0.6</v>
      </c>
      <c r="IW29">
        <v>2.4621599999999999</v>
      </c>
      <c r="IX29">
        <v>2.49146</v>
      </c>
      <c r="IY29">
        <v>1.5991200000000001</v>
      </c>
      <c r="IZ29">
        <v>2.3022499999999999</v>
      </c>
      <c r="JA29">
        <v>1.5502899999999999</v>
      </c>
      <c r="JB29">
        <v>2.2839399999999999</v>
      </c>
      <c r="JC29">
        <v>39.242199999999997</v>
      </c>
      <c r="JD29">
        <v>23.851099999999999</v>
      </c>
      <c r="JE29">
        <v>18</v>
      </c>
      <c r="JF29">
        <v>474.51299999999998</v>
      </c>
      <c r="JG29">
        <v>506.07799999999997</v>
      </c>
      <c r="JH29">
        <v>23.204799999999999</v>
      </c>
      <c r="JI29">
        <v>32.043900000000001</v>
      </c>
      <c r="JJ29">
        <v>29.999700000000001</v>
      </c>
      <c r="JK29">
        <v>32.184600000000003</v>
      </c>
      <c r="JL29">
        <v>32.168199999999999</v>
      </c>
      <c r="JM29">
        <v>49.342599999999997</v>
      </c>
      <c r="JN29">
        <v>37.035499999999999</v>
      </c>
      <c r="JO29">
        <v>0</v>
      </c>
      <c r="JP29">
        <v>23.208600000000001</v>
      </c>
      <c r="JQ29">
        <v>1200</v>
      </c>
      <c r="JR29">
        <v>19.355599999999999</v>
      </c>
      <c r="JS29">
        <v>99.943200000000004</v>
      </c>
      <c r="JT29">
        <v>98.388099999999994</v>
      </c>
    </row>
    <row r="30" spans="1:280" x14ac:dyDescent="0.25">
      <c r="A30">
        <v>14</v>
      </c>
      <c r="B30">
        <v>1674577076.5999999</v>
      </c>
      <c r="C30">
        <v>1651.599999904633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1674577076.5999999</v>
      </c>
      <c r="J30">
        <f t="shared" si="0"/>
        <v>4.3893378624229587E-3</v>
      </c>
      <c r="K30">
        <f t="shared" si="1"/>
        <v>4.3893378624229591</v>
      </c>
      <c r="L30">
        <f t="shared" si="2"/>
        <v>49.225824364850951</v>
      </c>
      <c r="M30">
        <f t="shared" si="3"/>
        <v>1433.36</v>
      </c>
      <c r="N30">
        <f t="shared" si="4"/>
        <v>1180.7738326476056</v>
      </c>
      <c r="O30">
        <f t="shared" si="5"/>
        <v>117.93877612109969</v>
      </c>
      <c r="P30">
        <f t="shared" si="6"/>
        <v>143.16774259968801</v>
      </c>
      <c r="Q30">
        <f t="shared" si="7"/>
        <v>0.36885658970796537</v>
      </c>
      <c r="R30">
        <f t="shared" si="8"/>
        <v>2.9384200550557624</v>
      </c>
      <c r="S30">
        <f t="shared" si="9"/>
        <v>0.34492895297334608</v>
      </c>
      <c r="T30">
        <f t="shared" si="10"/>
        <v>0.21760092108571466</v>
      </c>
      <c r="U30">
        <f t="shared" si="11"/>
        <v>344.3845996577686</v>
      </c>
      <c r="V30">
        <f t="shared" si="12"/>
        <v>28.897564818772491</v>
      </c>
      <c r="W30">
        <f t="shared" si="13"/>
        <v>27.593800000000002</v>
      </c>
      <c r="X30">
        <f t="shared" si="14"/>
        <v>3.7059005176434519</v>
      </c>
      <c r="Y30">
        <f t="shared" si="15"/>
        <v>65.155663196637931</v>
      </c>
      <c r="Z30">
        <f t="shared" si="16"/>
        <v>2.4741822257929704</v>
      </c>
      <c r="AA30">
        <f t="shared" si="17"/>
        <v>3.7973402531809999</v>
      </c>
      <c r="AB30">
        <f t="shared" si="18"/>
        <v>1.2317182918504814</v>
      </c>
      <c r="AC30">
        <f t="shared" si="19"/>
        <v>-193.56979973285249</v>
      </c>
      <c r="AD30">
        <f t="shared" si="20"/>
        <v>66.138722588408925</v>
      </c>
      <c r="AE30">
        <f t="shared" si="21"/>
        <v>4.8966366735714608</v>
      </c>
      <c r="AF30">
        <f t="shared" si="22"/>
        <v>221.85015918689646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52950.489918445317</v>
      </c>
      <c r="AL30" t="s">
        <v>415</v>
      </c>
      <c r="AM30">
        <v>10297.6</v>
      </c>
      <c r="AN30">
        <v>785.57400000000007</v>
      </c>
      <c r="AO30">
        <v>3597.65</v>
      </c>
      <c r="AP30">
        <f t="shared" si="26"/>
        <v>0.7816424610509638</v>
      </c>
      <c r="AQ30">
        <v>-0.62398835798131469</v>
      </c>
      <c r="AR30" t="s">
        <v>487</v>
      </c>
      <c r="AS30">
        <v>10223.799999999999</v>
      </c>
      <c r="AT30">
        <v>806.89803999999992</v>
      </c>
      <c r="AU30">
        <v>1174.360371123184</v>
      </c>
      <c r="AV30">
        <f t="shared" si="27"/>
        <v>0.31290423294149061</v>
      </c>
      <c r="AW30">
        <v>0.5</v>
      </c>
      <c r="AX30">
        <f t="shared" si="28"/>
        <v>1513.2518998288842</v>
      </c>
      <c r="AY30">
        <f t="shared" si="29"/>
        <v>49.225824364850951</v>
      </c>
      <c r="AZ30">
        <f t="shared" si="30"/>
        <v>236.75146248160522</v>
      </c>
      <c r="BA30">
        <f t="shared" si="31"/>
        <v>3.2942177524091787E-2</v>
      </c>
      <c r="BB30">
        <f t="shared" si="32"/>
        <v>2.0634974480270727</v>
      </c>
      <c r="BC30">
        <f t="shared" si="33"/>
        <v>541.55846522477691</v>
      </c>
      <c r="BD30" t="s">
        <v>488</v>
      </c>
      <c r="BE30">
        <v>606.85</v>
      </c>
      <c r="BF30">
        <f t="shared" si="34"/>
        <v>606.85</v>
      </c>
      <c r="BG30">
        <f t="shared" si="35"/>
        <v>0.48325061461364249</v>
      </c>
      <c r="BH30">
        <f t="shared" si="36"/>
        <v>0.64749888252425014</v>
      </c>
      <c r="BI30">
        <f t="shared" si="37"/>
        <v>0.81024797006714455</v>
      </c>
      <c r="BJ30">
        <f t="shared" si="38"/>
        <v>0.94515229549226276</v>
      </c>
      <c r="BK30">
        <f t="shared" si="39"/>
        <v>0.86174400296322573</v>
      </c>
      <c r="BL30">
        <f t="shared" si="40"/>
        <v>0.48696945262110347</v>
      </c>
      <c r="BM30">
        <f t="shared" si="41"/>
        <v>0.51303054737889653</v>
      </c>
      <c r="BN30">
        <v>27</v>
      </c>
      <c r="BO30">
        <v>290.00000000000011</v>
      </c>
      <c r="BP30">
        <v>1079.79</v>
      </c>
      <c r="BQ30">
        <v>155</v>
      </c>
      <c r="BR30">
        <v>10223.799999999999</v>
      </c>
      <c r="BS30">
        <v>1078.5</v>
      </c>
      <c r="BT30">
        <v>1.29</v>
      </c>
      <c r="BU30">
        <v>300.00000000000011</v>
      </c>
      <c r="BV30">
        <v>24.1</v>
      </c>
      <c r="BW30">
        <v>1174.360371123184</v>
      </c>
      <c r="BX30">
        <v>2.3644524747716771</v>
      </c>
      <c r="BY30">
        <v>-98.004629025447812</v>
      </c>
      <c r="BZ30">
        <v>2.1500221713661012</v>
      </c>
      <c r="CA30">
        <v>0.98670349816074776</v>
      </c>
      <c r="CB30">
        <v>-6.9590004449388166E-3</v>
      </c>
      <c r="CC30">
        <v>289.99999999999989</v>
      </c>
      <c r="CD30">
        <v>1075.93</v>
      </c>
      <c r="CE30">
        <v>645</v>
      </c>
      <c r="CF30">
        <v>10191.6</v>
      </c>
      <c r="CG30">
        <v>1078.2</v>
      </c>
      <c r="CH30">
        <v>-2.27</v>
      </c>
      <c r="CV30">
        <f t="shared" si="42"/>
        <v>1800.08</v>
      </c>
      <c r="CW30">
        <f t="shared" si="43"/>
        <v>1513.2518998288842</v>
      </c>
      <c r="CX30">
        <f t="shared" si="44"/>
        <v>0.84065813732105477</v>
      </c>
      <c r="CY30">
        <f t="shared" si="45"/>
        <v>0.19131627464210957</v>
      </c>
      <c r="CZ30">
        <v>6</v>
      </c>
      <c r="DA30">
        <v>0.5</v>
      </c>
      <c r="DB30" t="s">
        <v>418</v>
      </c>
      <c r="DC30">
        <v>2</v>
      </c>
      <c r="DD30">
        <v>1674577076.5999999</v>
      </c>
      <c r="DE30">
        <v>1433.36</v>
      </c>
      <c r="DF30">
        <v>1499.97</v>
      </c>
      <c r="DG30">
        <v>24.770900000000001</v>
      </c>
      <c r="DH30">
        <v>19.635000000000002</v>
      </c>
      <c r="DI30">
        <v>1435.4</v>
      </c>
      <c r="DJ30">
        <v>24.561599999999999</v>
      </c>
      <c r="DK30">
        <v>500.08100000000002</v>
      </c>
      <c r="DL30">
        <v>99.783100000000005</v>
      </c>
      <c r="DM30">
        <v>9.9513299999999999E-2</v>
      </c>
      <c r="DN30">
        <v>28.011299999999999</v>
      </c>
      <c r="DO30">
        <v>27.593800000000002</v>
      </c>
      <c r="DP30">
        <v>999.9</v>
      </c>
      <c r="DQ30">
        <v>0</v>
      </c>
      <c r="DR30">
        <v>0</v>
      </c>
      <c r="DS30">
        <v>10072.5</v>
      </c>
      <c r="DT30">
        <v>0</v>
      </c>
      <c r="DU30">
        <v>506.96600000000001</v>
      </c>
      <c r="DV30">
        <v>-66.608199999999997</v>
      </c>
      <c r="DW30">
        <v>1469.77</v>
      </c>
      <c r="DX30">
        <v>1530.01</v>
      </c>
      <c r="DY30">
        <v>5.1359000000000004</v>
      </c>
      <c r="DZ30">
        <v>1499.97</v>
      </c>
      <c r="EA30">
        <v>19.635000000000002</v>
      </c>
      <c r="EB30">
        <v>2.4717099999999999</v>
      </c>
      <c r="EC30">
        <v>1.9592400000000001</v>
      </c>
      <c r="ED30">
        <v>20.8414</v>
      </c>
      <c r="EE30">
        <v>17.1187</v>
      </c>
      <c r="EF30">
        <v>1800.08</v>
      </c>
      <c r="EG30">
        <v>0.97799899999999995</v>
      </c>
      <c r="EH30">
        <v>2.2000700000000002E-2</v>
      </c>
      <c r="EI30">
        <v>0</v>
      </c>
      <c r="EJ30">
        <v>806.72400000000005</v>
      </c>
      <c r="EK30">
        <v>5.0002599999999999</v>
      </c>
      <c r="EL30">
        <v>15127.5</v>
      </c>
      <c r="EM30">
        <v>17104.2</v>
      </c>
      <c r="EN30">
        <v>49.25</v>
      </c>
      <c r="EO30">
        <v>50.625</v>
      </c>
      <c r="EP30">
        <v>50.25</v>
      </c>
      <c r="EQ30">
        <v>49.75</v>
      </c>
      <c r="ER30">
        <v>50.5</v>
      </c>
      <c r="ES30">
        <v>1755.59</v>
      </c>
      <c r="ET30">
        <v>39.49</v>
      </c>
      <c r="EU30">
        <v>0</v>
      </c>
      <c r="EV30">
        <v>128</v>
      </c>
      <c r="EW30">
        <v>0</v>
      </c>
      <c r="EX30">
        <v>806.89803999999992</v>
      </c>
      <c r="EY30">
        <v>0.20984615529570319</v>
      </c>
      <c r="EZ30">
        <v>-1.2307691501887259</v>
      </c>
      <c r="FA30">
        <v>15128.843999999999</v>
      </c>
      <c r="FB30">
        <v>15</v>
      </c>
      <c r="FC30">
        <v>1674577039.0999999</v>
      </c>
      <c r="FD30" t="s">
        <v>489</v>
      </c>
      <c r="FE30">
        <v>1674577036.5999999</v>
      </c>
      <c r="FF30">
        <v>1674577039.0999999</v>
      </c>
      <c r="FG30">
        <v>17</v>
      </c>
      <c r="FH30">
        <v>-0.16900000000000001</v>
      </c>
      <c r="FI30">
        <v>3.0000000000000001E-3</v>
      </c>
      <c r="FJ30">
        <v>-2.0249999999999999</v>
      </c>
      <c r="FK30">
        <v>7.6999999999999999E-2</v>
      </c>
      <c r="FL30">
        <v>1500</v>
      </c>
      <c r="FM30">
        <v>19</v>
      </c>
      <c r="FN30">
        <v>0.06</v>
      </c>
      <c r="FO30">
        <v>0.02</v>
      </c>
      <c r="FP30">
        <v>49.316075784436471</v>
      </c>
      <c r="FQ30">
        <v>-0.5364421099895117</v>
      </c>
      <c r="FR30">
        <v>8.8990983004553381E-2</v>
      </c>
      <c r="FS30">
        <v>1</v>
      </c>
      <c r="FT30">
        <v>0.36839910300653639</v>
      </c>
      <c r="FU30">
        <v>1.7907514737909781E-2</v>
      </c>
      <c r="FV30">
        <v>2.1107186314407202E-3</v>
      </c>
      <c r="FW30">
        <v>1</v>
      </c>
      <c r="FX30">
        <v>2</v>
      </c>
      <c r="FY30">
        <v>2</v>
      </c>
      <c r="FZ30" t="s">
        <v>420</v>
      </c>
      <c r="GA30">
        <v>2.92923</v>
      </c>
      <c r="GB30">
        <v>2.80708</v>
      </c>
      <c r="GC30">
        <v>0.23497599999999999</v>
      </c>
      <c r="GD30">
        <v>0.24396200000000001</v>
      </c>
      <c r="GE30">
        <v>0.11487600000000001</v>
      </c>
      <c r="GF30">
        <v>9.9128099999999997E-2</v>
      </c>
      <c r="GG30">
        <v>22795.4</v>
      </c>
      <c r="GH30">
        <v>22732.2</v>
      </c>
      <c r="GI30">
        <v>28308.799999999999</v>
      </c>
      <c r="GJ30">
        <v>27101.200000000001</v>
      </c>
      <c r="GK30">
        <v>35976.6</v>
      </c>
      <c r="GL30">
        <v>32211.5</v>
      </c>
      <c r="GM30">
        <v>42160.9</v>
      </c>
      <c r="GN30">
        <v>36737.9</v>
      </c>
      <c r="GO30">
        <v>1.9097999999999999</v>
      </c>
      <c r="GP30">
        <v>1.90578</v>
      </c>
      <c r="GQ30">
        <v>8.6538500000000004E-2</v>
      </c>
      <c r="GR30">
        <v>0</v>
      </c>
      <c r="GS30">
        <v>26.1783</v>
      </c>
      <c r="GT30">
        <v>999.9</v>
      </c>
      <c r="GU30">
        <v>52.1</v>
      </c>
      <c r="GV30">
        <v>34</v>
      </c>
      <c r="GW30">
        <v>27.896999999999998</v>
      </c>
      <c r="GX30">
        <v>60.626899999999999</v>
      </c>
      <c r="GY30">
        <v>27.4038</v>
      </c>
      <c r="GZ30">
        <v>1</v>
      </c>
      <c r="HA30">
        <v>0.37662600000000002</v>
      </c>
      <c r="HB30">
        <v>2.5160499999999999</v>
      </c>
      <c r="HC30">
        <v>20.326599999999999</v>
      </c>
      <c r="HD30">
        <v>5.2394499999999997</v>
      </c>
      <c r="HE30">
        <v>11.9358</v>
      </c>
      <c r="HF30">
        <v>4.9737999999999998</v>
      </c>
      <c r="HG30">
        <v>3.2989999999999999</v>
      </c>
      <c r="HH30">
        <v>9999</v>
      </c>
      <c r="HI30">
        <v>9999</v>
      </c>
      <c r="HJ30">
        <v>9999</v>
      </c>
      <c r="HK30">
        <v>999.9</v>
      </c>
      <c r="HL30">
        <v>1.87382</v>
      </c>
      <c r="HM30">
        <v>1.8815599999999999</v>
      </c>
      <c r="HN30">
        <v>1.8850499999999999</v>
      </c>
      <c r="HO30">
        <v>1.8817200000000001</v>
      </c>
      <c r="HP30">
        <v>1.8791199999999999</v>
      </c>
      <c r="HQ30">
        <v>1.8737900000000001</v>
      </c>
      <c r="HR30">
        <v>1.8766799999999999</v>
      </c>
      <c r="HS30">
        <v>1.88093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-2.04</v>
      </c>
      <c r="IH30">
        <v>0.20930000000000001</v>
      </c>
      <c r="II30">
        <v>-1.7094664725171349</v>
      </c>
      <c r="IJ30">
        <v>9.4905977090923709E-4</v>
      </c>
      <c r="IK30">
        <v>-1.9106666302146479E-6</v>
      </c>
      <c r="IL30">
        <v>7.5819610513223293E-10</v>
      </c>
      <c r="IM30">
        <v>-8.6114423926049233E-2</v>
      </c>
      <c r="IN30">
        <v>-1.0595840490420019E-2</v>
      </c>
      <c r="IO30">
        <v>1.2407080968752471E-3</v>
      </c>
      <c r="IP30">
        <v>-1.3015442653884381E-5</v>
      </c>
      <c r="IQ30">
        <v>33</v>
      </c>
      <c r="IR30">
        <v>2014</v>
      </c>
      <c r="IS30">
        <v>1</v>
      </c>
      <c r="IT30">
        <v>26</v>
      </c>
      <c r="IU30">
        <v>0.7</v>
      </c>
      <c r="IV30">
        <v>0.6</v>
      </c>
      <c r="IW30">
        <v>2.96021</v>
      </c>
      <c r="IX30">
        <v>2.47803</v>
      </c>
      <c r="IY30">
        <v>1.5991200000000001</v>
      </c>
      <c r="IZ30">
        <v>2.3010299999999999</v>
      </c>
      <c r="JA30">
        <v>1.5502899999999999</v>
      </c>
      <c r="JB30">
        <v>2.34009</v>
      </c>
      <c r="JC30">
        <v>39.292000000000002</v>
      </c>
      <c r="JD30">
        <v>23.851099999999999</v>
      </c>
      <c r="JE30">
        <v>18</v>
      </c>
      <c r="JF30">
        <v>474.11799999999999</v>
      </c>
      <c r="JG30">
        <v>506.63799999999998</v>
      </c>
      <c r="JH30">
        <v>23.163599999999999</v>
      </c>
      <c r="JI30">
        <v>31.9818</v>
      </c>
      <c r="JJ30">
        <v>30.0002</v>
      </c>
      <c r="JK30">
        <v>32.122700000000002</v>
      </c>
      <c r="JL30">
        <v>32.105899999999998</v>
      </c>
      <c r="JM30">
        <v>59.311399999999999</v>
      </c>
      <c r="JN30">
        <v>36.130899999999997</v>
      </c>
      <c r="JO30">
        <v>0</v>
      </c>
      <c r="JP30">
        <v>23.152699999999999</v>
      </c>
      <c r="JQ30">
        <v>1500</v>
      </c>
      <c r="JR30">
        <v>19.6279</v>
      </c>
      <c r="JS30">
        <v>99.951300000000003</v>
      </c>
      <c r="JT30">
        <v>98.404200000000003</v>
      </c>
    </row>
    <row r="31" spans="1:280" x14ac:dyDescent="0.25">
      <c r="A31">
        <v>15</v>
      </c>
      <c r="B31">
        <v>1674578243.5999999</v>
      </c>
      <c r="C31">
        <v>2818.599999904633</v>
      </c>
      <c r="D31" t="s">
        <v>490</v>
      </c>
      <c r="E31" t="s">
        <v>491</v>
      </c>
      <c r="F31" t="s">
        <v>412</v>
      </c>
      <c r="G31" t="s">
        <v>492</v>
      </c>
      <c r="H31" t="s">
        <v>493</v>
      </c>
      <c r="I31">
        <v>1674578243.5999999</v>
      </c>
      <c r="J31">
        <f t="shared" si="0"/>
        <v>5.0058571353858482E-3</v>
      </c>
      <c r="K31">
        <f t="shared" si="1"/>
        <v>5.0058571353858481</v>
      </c>
      <c r="L31">
        <f t="shared" si="2"/>
        <v>48.049304566828205</v>
      </c>
      <c r="M31">
        <f t="shared" si="3"/>
        <v>340.3</v>
      </c>
      <c r="N31">
        <f t="shared" si="4"/>
        <v>146.50567844485042</v>
      </c>
      <c r="O31">
        <f t="shared" si="5"/>
        <v>14.641497970943878</v>
      </c>
      <c r="P31">
        <f t="shared" si="6"/>
        <v>34.008932707599996</v>
      </c>
      <c r="Q31">
        <f t="shared" si="7"/>
        <v>0.43553945819711881</v>
      </c>
      <c r="R31">
        <f t="shared" si="8"/>
        <v>2.9128479489306356</v>
      </c>
      <c r="S31">
        <f t="shared" si="9"/>
        <v>0.40232695614360553</v>
      </c>
      <c r="T31">
        <f t="shared" si="10"/>
        <v>0.25422697636835778</v>
      </c>
      <c r="U31">
        <f t="shared" si="11"/>
        <v>344.38269965776669</v>
      </c>
      <c r="V31">
        <f t="shared" si="12"/>
        <v>28.736617478898339</v>
      </c>
      <c r="W31">
        <f t="shared" si="13"/>
        <v>27.508400000000002</v>
      </c>
      <c r="X31">
        <f t="shared" si="14"/>
        <v>3.6874350112991174</v>
      </c>
      <c r="Y31">
        <f t="shared" si="15"/>
        <v>65.398139717061127</v>
      </c>
      <c r="Z31">
        <f t="shared" si="16"/>
        <v>2.4823622671879999</v>
      </c>
      <c r="AA31">
        <f t="shared" si="17"/>
        <v>3.7957689284858951</v>
      </c>
      <c r="AB31">
        <f t="shared" si="18"/>
        <v>1.2050727441111175</v>
      </c>
      <c r="AC31">
        <f t="shared" si="19"/>
        <v>-220.7582996705159</v>
      </c>
      <c r="AD31">
        <f t="shared" si="20"/>
        <v>77.859171985158554</v>
      </c>
      <c r="AE31">
        <f t="shared" si="21"/>
        <v>5.8122952698064232</v>
      </c>
      <c r="AF31">
        <f t="shared" si="22"/>
        <v>207.29586724221579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52217.102679453499</v>
      </c>
      <c r="AL31" t="s">
        <v>415</v>
      </c>
      <c r="AM31">
        <v>10297.6</v>
      </c>
      <c r="AN31">
        <v>785.57400000000007</v>
      </c>
      <c r="AO31">
        <v>3597.65</v>
      </c>
      <c r="AP31">
        <f t="shared" si="26"/>
        <v>0.7816424610509638</v>
      </c>
      <c r="AQ31">
        <v>-0.62398835798131469</v>
      </c>
      <c r="AR31" t="s">
        <v>494</v>
      </c>
      <c r="AS31">
        <v>10206.299999999999</v>
      </c>
      <c r="AT31">
        <v>793.42923999999982</v>
      </c>
      <c r="AU31">
        <v>1145.368882717318</v>
      </c>
      <c r="AV31">
        <f t="shared" si="27"/>
        <v>0.30727187374111542</v>
      </c>
      <c r="AW31">
        <v>0.5</v>
      </c>
      <c r="AX31">
        <f t="shared" si="28"/>
        <v>1513.2434998288832</v>
      </c>
      <c r="AY31">
        <f t="shared" si="29"/>
        <v>48.049304566828205</v>
      </c>
      <c r="AZ31">
        <f t="shared" si="30"/>
        <v>232.4885828094921</v>
      </c>
      <c r="BA31">
        <f t="shared" si="31"/>
        <v>3.216487824353019E-2</v>
      </c>
      <c r="BB31">
        <f t="shared" si="32"/>
        <v>2.1410404580442193</v>
      </c>
      <c r="BC31">
        <f t="shared" si="33"/>
        <v>535.30998445835814</v>
      </c>
      <c r="BD31" t="s">
        <v>495</v>
      </c>
      <c r="BE31">
        <v>567.57000000000005</v>
      </c>
      <c r="BF31">
        <f t="shared" si="34"/>
        <v>567.57000000000005</v>
      </c>
      <c r="BG31">
        <f t="shared" si="35"/>
        <v>0.5044653224265403</v>
      </c>
      <c r="BH31">
        <f t="shared" si="36"/>
        <v>0.60910405548413105</v>
      </c>
      <c r="BI31">
        <f t="shared" si="37"/>
        <v>0.80931233409107428</v>
      </c>
      <c r="BJ31">
        <f t="shared" si="38"/>
        <v>0.97816744935149225</v>
      </c>
      <c r="BK31">
        <f t="shared" si="39"/>
        <v>0.87205364196511126</v>
      </c>
      <c r="BL31">
        <f t="shared" si="40"/>
        <v>0.43571521106422595</v>
      </c>
      <c r="BM31">
        <f t="shared" si="41"/>
        <v>0.56428478893577405</v>
      </c>
      <c r="BN31">
        <v>29</v>
      </c>
      <c r="BO31">
        <v>290.00000000000011</v>
      </c>
      <c r="BP31">
        <v>1064.75</v>
      </c>
      <c r="BQ31">
        <v>295</v>
      </c>
      <c r="BR31">
        <v>10206.299999999999</v>
      </c>
      <c r="BS31">
        <v>1063.6099999999999</v>
      </c>
      <c r="BT31">
        <v>1.1399999999999999</v>
      </c>
      <c r="BU31">
        <v>300.00000000000011</v>
      </c>
      <c r="BV31">
        <v>24.1</v>
      </c>
      <c r="BW31">
        <v>1145.368882717318</v>
      </c>
      <c r="BX31">
        <v>2.1574545250935762</v>
      </c>
      <c r="BY31">
        <v>-83.445570081378264</v>
      </c>
      <c r="BZ31">
        <v>1.961786323427571</v>
      </c>
      <c r="CA31">
        <v>0.98475998973519907</v>
      </c>
      <c r="CB31">
        <v>-6.9593977753058993E-3</v>
      </c>
      <c r="CC31">
        <v>289.99999999999989</v>
      </c>
      <c r="CD31">
        <v>1065.68</v>
      </c>
      <c r="CE31">
        <v>735</v>
      </c>
      <c r="CF31">
        <v>10186.1</v>
      </c>
      <c r="CG31">
        <v>1063.45</v>
      </c>
      <c r="CH31">
        <v>2.23</v>
      </c>
      <c r="CV31">
        <f t="shared" si="42"/>
        <v>1800.07</v>
      </c>
      <c r="CW31">
        <f t="shared" si="43"/>
        <v>1513.2434998288832</v>
      </c>
      <c r="CX31">
        <f t="shared" si="44"/>
        <v>0.84065814097723046</v>
      </c>
      <c r="CY31">
        <f t="shared" si="45"/>
        <v>0.19131628195446104</v>
      </c>
      <c r="CZ31">
        <v>6</v>
      </c>
      <c r="DA31">
        <v>0.5</v>
      </c>
      <c r="DB31" t="s">
        <v>418</v>
      </c>
      <c r="DC31">
        <v>2</v>
      </c>
      <c r="DD31">
        <v>1674578243.5999999</v>
      </c>
      <c r="DE31">
        <v>340.3</v>
      </c>
      <c r="DF31">
        <v>399.995</v>
      </c>
      <c r="DG31">
        <v>24.838999999999999</v>
      </c>
      <c r="DH31">
        <v>18.981999999999999</v>
      </c>
      <c r="DI31">
        <v>341.44499999999999</v>
      </c>
      <c r="DJ31">
        <v>24.6312</v>
      </c>
      <c r="DK31">
        <v>500.07</v>
      </c>
      <c r="DL31">
        <v>99.837199999999996</v>
      </c>
      <c r="DM31">
        <v>0.100892</v>
      </c>
      <c r="DN31">
        <v>28.004200000000001</v>
      </c>
      <c r="DO31">
        <v>27.508400000000002</v>
      </c>
      <c r="DP31">
        <v>999.9</v>
      </c>
      <c r="DQ31">
        <v>0</v>
      </c>
      <c r="DR31">
        <v>0</v>
      </c>
      <c r="DS31">
        <v>9921.25</v>
      </c>
      <c r="DT31">
        <v>0</v>
      </c>
      <c r="DU31">
        <v>446.154</v>
      </c>
      <c r="DV31">
        <v>-59.694699999999997</v>
      </c>
      <c r="DW31">
        <v>348.96800000000002</v>
      </c>
      <c r="DX31">
        <v>407.73500000000001</v>
      </c>
      <c r="DY31">
        <v>5.8570200000000003</v>
      </c>
      <c r="DZ31">
        <v>399.995</v>
      </c>
      <c r="EA31">
        <v>18.981999999999999</v>
      </c>
      <c r="EB31">
        <v>2.47986</v>
      </c>
      <c r="EC31">
        <v>1.8951100000000001</v>
      </c>
      <c r="ED31">
        <v>20.8949</v>
      </c>
      <c r="EE31">
        <v>16.594100000000001</v>
      </c>
      <c r="EF31">
        <v>1800.07</v>
      </c>
      <c r="EG31">
        <v>0.97799899999999995</v>
      </c>
      <c r="EH31">
        <v>2.2000700000000002E-2</v>
      </c>
      <c r="EI31">
        <v>0</v>
      </c>
      <c r="EJ31">
        <v>793.351</v>
      </c>
      <c r="EK31">
        <v>5.0002599999999999</v>
      </c>
      <c r="EL31">
        <v>14883.9</v>
      </c>
      <c r="EM31">
        <v>17104.099999999999</v>
      </c>
      <c r="EN31">
        <v>49.686999999999998</v>
      </c>
      <c r="EO31">
        <v>50.936999999999998</v>
      </c>
      <c r="EP31">
        <v>50.561999999999998</v>
      </c>
      <c r="EQ31">
        <v>50.25</v>
      </c>
      <c r="ER31">
        <v>50.875</v>
      </c>
      <c r="ES31">
        <v>1755.58</v>
      </c>
      <c r="ET31">
        <v>39.49</v>
      </c>
      <c r="EU31">
        <v>0</v>
      </c>
      <c r="EV31">
        <v>1164.7999999523161</v>
      </c>
      <c r="EW31">
        <v>0</v>
      </c>
      <c r="EX31">
        <v>793.42923999999982</v>
      </c>
      <c r="EY31">
        <v>-0.76723078111386178</v>
      </c>
      <c r="EZ31">
        <v>-21.307692467563879</v>
      </c>
      <c r="FA31">
        <v>14886.5</v>
      </c>
      <c r="FB31">
        <v>15</v>
      </c>
      <c r="FC31">
        <v>1674578206.0999999</v>
      </c>
      <c r="FD31" t="s">
        <v>496</v>
      </c>
      <c r="FE31">
        <v>1674578206.0999999</v>
      </c>
      <c r="FF31">
        <v>1674578200.0999999</v>
      </c>
      <c r="FG31">
        <v>19</v>
      </c>
      <c r="FH31">
        <v>0.114</v>
      </c>
      <c r="FI31">
        <v>-1.0999999999999999E-2</v>
      </c>
      <c r="FJ31">
        <v>-1.1539999999999999</v>
      </c>
      <c r="FK31">
        <v>6.9000000000000006E-2</v>
      </c>
      <c r="FL31">
        <v>400</v>
      </c>
      <c r="FM31">
        <v>19</v>
      </c>
      <c r="FN31">
        <v>0.03</v>
      </c>
      <c r="FO31">
        <v>0.02</v>
      </c>
      <c r="FP31">
        <v>48.054601732774373</v>
      </c>
      <c r="FQ31">
        <v>-0.10730401945238011</v>
      </c>
      <c r="FR31">
        <v>3.5903337160006918E-2</v>
      </c>
      <c r="FS31">
        <v>1</v>
      </c>
      <c r="FT31">
        <v>0.43419103290316358</v>
      </c>
      <c r="FU31">
        <v>4.5207795658074708E-2</v>
      </c>
      <c r="FV31">
        <v>5.3155285373401289E-3</v>
      </c>
      <c r="FW31">
        <v>1</v>
      </c>
      <c r="FX31">
        <v>2</v>
      </c>
      <c r="FY31">
        <v>2</v>
      </c>
      <c r="FZ31" t="s">
        <v>420</v>
      </c>
      <c r="GA31">
        <v>2.9293999999999998</v>
      </c>
      <c r="GB31">
        <v>2.8071299999999999</v>
      </c>
      <c r="GC31">
        <v>8.6738800000000005E-2</v>
      </c>
      <c r="GD31">
        <v>9.9505800000000005E-2</v>
      </c>
      <c r="GE31">
        <v>0.115215</v>
      </c>
      <c r="GF31">
        <v>9.6879499999999993E-2</v>
      </c>
      <c r="GG31">
        <v>27217.8</v>
      </c>
      <c r="GH31">
        <v>27099.7</v>
      </c>
      <c r="GI31">
        <v>28305.7</v>
      </c>
      <c r="GJ31">
        <v>27117.200000000001</v>
      </c>
      <c r="GK31">
        <v>35956.1</v>
      </c>
      <c r="GL31">
        <v>32311.200000000001</v>
      </c>
      <c r="GM31">
        <v>42154.6</v>
      </c>
      <c r="GN31">
        <v>36761</v>
      </c>
      <c r="GO31">
        <v>1.9330499999999999</v>
      </c>
      <c r="GP31">
        <v>1.8953800000000001</v>
      </c>
      <c r="GQ31">
        <v>6.0707299999999999E-2</v>
      </c>
      <c r="GR31">
        <v>0</v>
      </c>
      <c r="GS31">
        <v>26.515599999999999</v>
      </c>
      <c r="GT31">
        <v>999.9</v>
      </c>
      <c r="GU31">
        <v>50.2</v>
      </c>
      <c r="GV31">
        <v>34.700000000000003</v>
      </c>
      <c r="GW31">
        <v>27.931899999999999</v>
      </c>
      <c r="GX31">
        <v>61.916899999999998</v>
      </c>
      <c r="GY31">
        <v>27.443899999999999</v>
      </c>
      <c r="GZ31">
        <v>1</v>
      </c>
      <c r="HA31">
        <v>0.37074699999999999</v>
      </c>
      <c r="HB31">
        <v>3.0537999999999998</v>
      </c>
      <c r="HC31">
        <v>20.317900000000002</v>
      </c>
      <c r="HD31">
        <v>5.2394499999999997</v>
      </c>
      <c r="HE31">
        <v>11.937799999999999</v>
      </c>
      <c r="HF31">
        <v>4.9736500000000001</v>
      </c>
      <c r="HG31">
        <v>3.2989999999999999</v>
      </c>
      <c r="HH31">
        <v>9999</v>
      </c>
      <c r="HI31">
        <v>9999</v>
      </c>
      <c r="HJ31">
        <v>9999</v>
      </c>
      <c r="HK31">
        <v>999.9</v>
      </c>
      <c r="HL31">
        <v>1.8739300000000001</v>
      </c>
      <c r="HM31">
        <v>1.8815599999999999</v>
      </c>
      <c r="HN31">
        <v>1.88507</v>
      </c>
      <c r="HO31">
        <v>1.88175</v>
      </c>
      <c r="HP31">
        <v>1.8791199999999999</v>
      </c>
      <c r="HQ31">
        <v>1.87382</v>
      </c>
      <c r="HR31">
        <v>1.8767</v>
      </c>
      <c r="HS31">
        <v>1.8809499999999999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-1.145</v>
      </c>
      <c r="IH31">
        <v>0.20780000000000001</v>
      </c>
      <c r="II31">
        <v>-1.2761362110841601</v>
      </c>
      <c r="IJ31">
        <v>9.4905977090923709E-4</v>
      </c>
      <c r="IK31">
        <v>-1.9106666302146479E-6</v>
      </c>
      <c r="IL31">
        <v>7.5819610513223293E-10</v>
      </c>
      <c r="IM31">
        <v>-8.9415613014565465E-2</v>
      </c>
      <c r="IN31">
        <v>-1.0595840490420019E-2</v>
      </c>
      <c r="IO31">
        <v>1.2407080968752471E-3</v>
      </c>
      <c r="IP31">
        <v>-1.3015442653884381E-5</v>
      </c>
      <c r="IQ31">
        <v>33</v>
      </c>
      <c r="IR31">
        <v>2014</v>
      </c>
      <c r="IS31">
        <v>1</v>
      </c>
      <c r="IT31">
        <v>26</v>
      </c>
      <c r="IU31">
        <v>0.6</v>
      </c>
      <c r="IV31">
        <v>0.7</v>
      </c>
      <c r="IW31">
        <v>1.00586</v>
      </c>
      <c r="IX31">
        <v>2.49878</v>
      </c>
      <c r="IY31">
        <v>1.5991200000000001</v>
      </c>
      <c r="IZ31">
        <v>2.2997999999999998</v>
      </c>
      <c r="JA31">
        <v>1.5502899999999999</v>
      </c>
      <c r="JB31">
        <v>2.3071299999999999</v>
      </c>
      <c r="JC31">
        <v>39.767299999999999</v>
      </c>
      <c r="JD31">
        <v>23.842300000000002</v>
      </c>
      <c r="JE31">
        <v>18</v>
      </c>
      <c r="JF31">
        <v>487.30099999999999</v>
      </c>
      <c r="JG31">
        <v>497.45600000000002</v>
      </c>
      <c r="JH31">
        <v>22.6723</v>
      </c>
      <c r="JI31">
        <v>31.8797</v>
      </c>
      <c r="JJ31">
        <v>30.000399999999999</v>
      </c>
      <c r="JK31">
        <v>31.930700000000002</v>
      </c>
      <c r="JL31">
        <v>31.888000000000002</v>
      </c>
      <c r="JM31">
        <v>20.178699999999999</v>
      </c>
      <c r="JN31">
        <v>39.468400000000003</v>
      </c>
      <c r="JO31">
        <v>0</v>
      </c>
      <c r="JP31">
        <v>22.669799999999999</v>
      </c>
      <c r="JQ31">
        <v>400</v>
      </c>
      <c r="JR31">
        <v>18.959099999999999</v>
      </c>
      <c r="JS31">
        <v>99.938100000000006</v>
      </c>
      <c r="JT31">
        <v>98.464399999999998</v>
      </c>
    </row>
    <row r="32" spans="1:280" x14ac:dyDescent="0.25">
      <c r="A32">
        <v>16</v>
      </c>
      <c r="B32">
        <v>1674578359.5999999</v>
      </c>
      <c r="C32">
        <v>2934.599999904633</v>
      </c>
      <c r="D32" t="s">
        <v>497</v>
      </c>
      <c r="E32" t="s">
        <v>498</v>
      </c>
      <c r="F32" t="s">
        <v>412</v>
      </c>
      <c r="G32" t="s">
        <v>492</v>
      </c>
      <c r="H32" t="s">
        <v>493</v>
      </c>
      <c r="I32">
        <v>1674578359.5999999</v>
      </c>
      <c r="J32">
        <f t="shared" si="0"/>
        <v>5.1261441693634096E-3</v>
      </c>
      <c r="K32">
        <f t="shared" si="1"/>
        <v>5.1261441693634096</v>
      </c>
      <c r="L32">
        <f t="shared" si="2"/>
        <v>41.309668970299604</v>
      </c>
      <c r="M32">
        <f t="shared" si="3"/>
        <v>248.89500000000001</v>
      </c>
      <c r="N32">
        <f t="shared" si="4"/>
        <v>86.719236433431362</v>
      </c>
      <c r="O32">
        <f t="shared" si="5"/>
        <v>8.6672360350177264</v>
      </c>
      <c r="P32">
        <f t="shared" si="6"/>
        <v>24.876045980775</v>
      </c>
      <c r="Q32">
        <f t="shared" si="7"/>
        <v>0.44603378649161007</v>
      </c>
      <c r="R32">
        <f t="shared" si="8"/>
        <v>2.9270554227595564</v>
      </c>
      <c r="S32">
        <f t="shared" si="9"/>
        <v>0.4114246243832192</v>
      </c>
      <c r="T32">
        <f t="shared" si="10"/>
        <v>0.26002573703692988</v>
      </c>
      <c r="U32">
        <f t="shared" si="11"/>
        <v>344.3731996577572</v>
      </c>
      <c r="V32">
        <f t="shared" si="12"/>
        <v>28.701167520058117</v>
      </c>
      <c r="W32">
        <f t="shared" si="13"/>
        <v>27.5183</v>
      </c>
      <c r="X32">
        <f t="shared" si="14"/>
        <v>3.6895715034169334</v>
      </c>
      <c r="Y32">
        <f t="shared" si="15"/>
        <v>65.411331929487304</v>
      </c>
      <c r="Z32">
        <f t="shared" si="16"/>
        <v>2.4827472251505003</v>
      </c>
      <c r="AA32">
        <f t="shared" si="17"/>
        <v>3.7955919133811165</v>
      </c>
      <c r="AB32">
        <f t="shared" si="18"/>
        <v>1.2068242782664331</v>
      </c>
      <c r="AC32">
        <f t="shared" si="19"/>
        <v>-226.06295786892636</v>
      </c>
      <c r="AD32">
        <f t="shared" si="20"/>
        <v>76.550435137824465</v>
      </c>
      <c r="AE32">
        <f t="shared" si="21"/>
        <v>5.687116422222207</v>
      </c>
      <c r="AF32">
        <f t="shared" si="22"/>
        <v>200.54779334887752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52625.74852626957</v>
      </c>
      <c r="AL32" t="s">
        <v>415</v>
      </c>
      <c r="AM32">
        <v>10297.6</v>
      </c>
      <c r="AN32">
        <v>785.57400000000007</v>
      </c>
      <c r="AO32">
        <v>3597.65</v>
      </c>
      <c r="AP32">
        <f t="shared" si="26"/>
        <v>0.7816424610509638</v>
      </c>
      <c r="AQ32">
        <v>-0.62398835798131469</v>
      </c>
      <c r="AR32" t="s">
        <v>499</v>
      </c>
      <c r="AS32">
        <v>10205.4</v>
      </c>
      <c r="AT32">
        <v>790.09907999999996</v>
      </c>
      <c r="AU32">
        <v>1098.86772057913</v>
      </c>
      <c r="AV32">
        <f t="shared" si="27"/>
        <v>0.28098799773315886</v>
      </c>
      <c r="AW32">
        <v>0.5</v>
      </c>
      <c r="AX32">
        <f t="shared" si="28"/>
        <v>1513.2014998288785</v>
      </c>
      <c r="AY32">
        <f t="shared" si="29"/>
        <v>41.309668970299604</v>
      </c>
      <c r="AZ32">
        <f t="shared" si="30"/>
        <v>212.59572980186474</v>
      </c>
      <c r="BA32">
        <f t="shared" si="31"/>
        <v>2.7711879305580268E-2</v>
      </c>
      <c r="BB32">
        <f t="shared" si="32"/>
        <v>2.2739609441834827</v>
      </c>
      <c r="BC32">
        <f t="shared" si="33"/>
        <v>524.9280534728631</v>
      </c>
      <c r="BD32" t="s">
        <v>500</v>
      </c>
      <c r="BE32">
        <v>562.79999999999995</v>
      </c>
      <c r="BF32">
        <f t="shared" si="34"/>
        <v>562.79999999999995</v>
      </c>
      <c r="BG32">
        <f t="shared" si="35"/>
        <v>0.48783644340431565</v>
      </c>
      <c r="BH32">
        <f t="shared" si="36"/>
        <v>0.57598812374965991</v>
      </c>
      <c r="BI32">
        <f t="shared" si="37"/>
        <v>0.82336269648281457</v>
      </c>
      <c r="BJ32">
        <f t="shared" si="38"/>
        <v>0.98555642930973786</v>
      </c>
      <c r="BK32">
        <f t="shared" si="39"/>
        <v>0.88858988143310136</v>
      </c>
      <c r="BL32">
        <f t="shared" si="40"/>
        <v>0.41028539869494418</v>
      </c>
      <c r="BM32">
        <f t="shared" si="41"/>
        <v>0.58971460130505582</v>
      </c>
      <c r="BN32">
        <v>31</v>
      </c>
      <c r="BO32">
        <v>290.00000000000011</v>
      </c>
      <c r="BP32">
        <v>1022.6</v>
      </c>
      <c r="BQ32">
        <v>285</v>
      </c>
      <c r="BR32">
        <v>10205.4</v>
      </c>
      <c r="BS32">
        <v>1022.64</v>
      </c>
      <c r="BT32">
        <v>-0.04</v>
      </c>
      <c r="BU32">
        <v>300.00000000000011</v>
      </c>
      <c r="BV32">
        <v>24.1</v>
      </c>
      <c r="BW32">
        <v>1098.86772057913</v>
      </c>
      <c r="BX32">
        <v>2.5213554268758149</v>
      </c>
      <c r="BY32">
        <v>-77.79593472267905</v>
      </c>
      <c r="BZ32">
        <v>2.2924922699908539</v>
      </c>
      <c r="CA32">
        <v>0.97626294744126374</v>
      </c>
      <c r="CB32">
        <v>-6.9588222469410491E-3</v>
      </c>
      <c r="CC32">
        <v>289.99999999999989</v>
      </c>
      <c r="CD32">
        <v>1024.22</v>
      </c>
      <c r="CE32">
        <v>665</v>
      </c>
      <c r="CF32">
        <v>10189.299999999999</v>
      </c>
      <c r="CG32">
        <v>1022.52</v>
      </c>
      <c r="CH32">
        <v>1.7</v>
      </c>
      <c r="CV32">
        <f t="shared" si="42"/>
        <v>1800.02</v>
      </c>
      <c r="CW32">
        <f t="shared" si="43"/>
        <v>1513.2014998288785</v>
      </c>
      <c r="CX32">
        <f t="shared" si="44"/>
        <v>0.84065815925871856</v>
      </c>
      <c r="CY32">
        <f t="shared" si="45"/>
        <v>0.19131631851743713</v>
      </c>
      <c r="CZ32">
        <v>6</v>
      </c>
      <c r="DA32">
        <v>0.5</v>
      </c>
      <c r="DB32" t="s">
        <v>418</v>
      </c>
      <c r="DC32">
        <v>2</v>
      </c>
      <c r="DD32">
        <v>1674578359.5999999</v>
      </c>
      <c r="DE32">
        <v>248.89500000000001</v>
      </c>
      <c r="DF32">
        <v>299.98599999999999</v>
      </c>
      <c r="DG32">
        <v>24.840900000000001</v>
      </c>
      <c r="DH32">
        <v>18.843699999999998</v>
      </c>
      <c r="DI32">
        <v>249.958</v>
      </c>
      <c r="DJ32">
        <v>24.634499999999999</v>
      </c>
      <c r="DK32">
        <v>500.11399999999998</v>
      </c>
      <c r="DL32">
        <v>99.8459</v>
      </c>
      <c r="DM32">
        <v>0.100045</v>
      </c>
      <c r="DN32">
        <v>28.003399999999999</v>
      </c>
      <c r="DO32">
        <v>27.5183</v>
      </c>
      <c r="DP32">
        <v>999.9</v>
      </c>
      <c r="DQ32">
        <v>0</v>
      </c>
      <c r="DR32">
        <v>0</v>
      </c>
      <c r="DS32">
        <v>10001.200000000001</v>
      </c>
      <c r="DT32">
        <v>0</v>
      </c>
      <c r="DU32">
        <v>449.78100000000001</v>
      </c>
      <c r="DV32">
        <v>-51.0914</v>
      </c>
      <c r="DW32">
        <v>255.23500000000001</v>
      </c>
      <c r="DX32">
        <v>305.74799999999999</v>
      </c>
      <c r="DY32">
        <v>5.9972200000000004</v>
      </c>
      <c r="DZ32">
        <v>299.98599999999999</v>
      </c>
      <c r="EA32">
        <v>18.843699999999998</v>
      </c>
      <c r="EB32">
        <v>2.4802599999999999</v>
      </c>
      <c r="EC32">
        <v>1.88147</v>
      </c>
      <c r="ED32">
        <v>20.897600000000001</v>
      </c>
      <c r="EE32">
        <v>16.480599999999999</v>
      </c>
      <c r="EF32">
        <v>1800.02</v>
      </c>
      <c r="EG32">
        <v>0.97799899999999995</v>
      </c>
      <c r="EH32">
        <v>2.2000700000000002E-2</v>
      </c>
      <c r="EI32">
        <v>0</v>
      </c>
      <c r="EJ32">
        <v>789.62699999999995</v>
      </c>
      <c r="EK32">
        <v>5.0002599999999999</v>
      </c>
      <c r="EL32">
        <v>14822</v>
      </c>
      <c r="EM32">
        <v>17103.599999999999</v>
      </c>
      <c r="EN32">
        <v>49.75</v>
      </c>
      <c r="EO32">
        <v>50.936999999999998</v>
      </c>
      <c r="EP32">
        <v>50.686999999999998</v>
      </c>
      <c r="EQ32">
        <v>50.311999999999998</v>
      </c>
      <c r="ER32">
        <v>50.936999999999998</v>
      </c>
      <c r="ES32">
        <v>1755.53</v>
      </c>
      <c r="ET32">
        <v>39.49</v>
      </c>
      <c r="EU32">
        <v>0</v>
      </c>
      <c r="EV32">
        <v>114</v>
      </c>
      <c r="EW32">
        <v>0</v>
      </c>
      <c r="EX32">
        <v>790.09907999999996</v>
      </c>
      <c r="EY32">
        <v>-2.9941538581544762</v>
      </c>
      <c r="EZ32">
        <v>-51.530769376661809</v>
      </c>
      <c r="FA32">
        <v>14824.848</v>
      </c>
      <c r="FB32">
        <v>15</v>
      </c>
      <c r="FC32">
        <v>1674578322.0999999</v>
      </c>
      <c r="FD32" t="s">
        <v>501</v>
      </c>
      <c r="FE32">
        <v>1674578314.0999999</v>
      </c>
      <c r="FF32">
        <v>1674578322.0999999</v>
      </c>
      <c r="FG32">
        <v>20</v>
      </c>
      <c r="FH32">
        <v>8.4000000000000005E-2</v>
      </c>
      <c r="FI32">
        <v>-1E-3</v>
      </c>
      <c r="FJ32">
        <v>-1.0589999999999999</v>
      </c>
      <c r="FK32">
        <v>6.2E-2</v>
      </c>
      <c r="FL32">
        <v>300</v>
      </c>
      <c r="FM32">
        <v>19</v>
      </c>
      <c r="FN32">
        <v>0.02</v>
      </c>
      <c r="FO32">
        <v>0.01</v>
      </c>
      <c r="FP32">
        <v>41.23818556003723</v>
      </c>
      <c r="FQ32">
        <v>0.13923422988963369</v>
      </c>
      <c r="FR32">
        <v>5.3421916634703068E-2</v>
      </c>
      <c r="FS32">
        <v>1</v>
      </c>
      <c r="FT32">
        <v>0.44739850607348169</v>
      </c>
      <c r="FU32">
        <v>3.2262263601133122E-2</v>
      </c>
      <c r="FV32">
        <v>5.3569431421418828E-3</v>
      </c>
      <c r="FW32">
        <v>1</v>
      </c>
      <c r="FX32">
        <v>2</v>
      </c>
      <c r="FY32">
        <v>2</v>
      </c>
      <c r="FZ32" t="s">
        <v>420</v>
      </c>
      <c r="GA32">
        <v>2.9293499999999999</v>
      </c>
      <c r="GB32">
        <v>2.8069700000000002</v>
      </c>
      <c r="GC32">
        <v>6.6897499999999999E-2</v>
      </c>
      <c r="GD32">
        <v>7.9067399999999996E-2</v>
      </c>
      <c r="GE32">
        <v>0.115216</v>
      </c>
      <c r="GF32">
        <v>9.6369899999999994E-2</v>
      </c>
      <c r="GG32">
        <v>27805.200000000001</v>
      </c>
      <c r="GH32">
        <v>27710.1</v>
      </c>
      <c r="GI32">
        <v>28301.9</v>
      </c>
      <c r="GJ32">
        <v>27112.5</v>
      </c>
      <c r="GK32">
        <v>35951.5</v>
      </c>
      <c r="GL32">
        <v>32325</v>
      </c>
      <c r="GM32">
        <v>42149.3</v>
      </c>
      <c r="GN32">
        <v>36756.1</v>
      </c>
      <c r="GO32">
        <v>1.93225</v>
      </c>
      <c r="GP32">
        <v>1.89307</v>
      </c>
      <c r="GQ32">
        <v>6.0409299999999999E-2</v>
      </c>
      <c r="GR32">
        <v>0</v>
      </c>
      <c r="GS32">
        <v>26.5304</v>
      </c>
      <c r="GT32">
        <v>999.9</v>
      </c>
      <c r="GU32">
        <v>50.2</v>
      </c>
      <c r="GV32">
        <v>34.799999999999997</v>
      </c>
      <c r="GW32">
        <v>28.084399999999999</v>
      </c>
      <c r="GX32">
        <v>61.8369</v>
      </c>
      <c r="GY32">
        <v>27.043299999999999</v>
      </c>
      <c r="GZ32">
        <v>1</v>
      </c>
      <c r="HA32">
        <v>0.37860500000000002</v>
      </c>
      <c r="HB32">
        <v>3.0648300000000002</v>
      </c>
      <c r="HC32">
        <v>20.317499999999999</v>
      </c>
      <c r="HD32">
        <v>5.2398999999999996</v>
      </c>
      <c r="HE32">
        <v>11.9381</v>
      </c>
      <c r="HF32">
        <v>4.9736000000000002</v>
      </c>
      <c r="HG32">
        <v>3.2989999999999999</v>
      </c>
      <c r="HH32">
        <v>9999</v>
      </c>
      <c r="HI32">
        <v>9999</v>
      </c>
      <c r="HJ32">
        <v>9999</v>
      </c>
      <c r="HK32">
        <v>999.9</v>
      </c>
      <c r="HL32">
        <v>1.87392</v>
      </c>
      <c r="HM32">
        <v>1.8815599999999999</v>
      </c>
      <c r="HN32">
        <v>1.88507</v>
      </c>
      <c r="HO32">
        <v>1.88174</v>
      </c>
      <c r="HP32">
        <v>1.8791199999999999</v>
      </c>
      <c r="HQ32">
        <v>1.87388</v>
      </c>
      <c r="HR32">
        <v>1.8766799999999999</v>
      </c>
      <c r="HS32">
        <v>1.8809499999999999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-1.0629999999999999</v>
      </c>
      <c r="IH32">
        <v>0.2064</v>
      </c>
      <c r="II32">
        <v>-1.192385597534221</v>
      </c>
      <c r="IJ32">
        <v>9.4905977090923709E-4</v>
      </c>
      <c r="IK32">
        <v>-1.9106666302146479E-6</v>
      </c>
      <c r="IL32">
        <v>7.5819610513223293E-10</v>
      </c>
      <c r="IM32">
        <v>-9.0919643677885881E-2</v>
      </c>
      <c r="IN32">
        <v>-1.0595840490420019E-2</v>
      </c>
      <c r="IO32">
        <v>1.2407080968752471E-3</v>
      </c>
      <c r="IP32">
        <v>-1.3015442653884381E-5</v>
      </c>
      <c r="IQ32">
        <v>33</v>
      </c>
      <c r="IR32">
        <v>2014</v>
      </c>
      <c r="IS32">
        <v>1</v>
      </c>
      <c r="IT32">
        <v>26</v>
      </c>
      <c r="IU32">
        <v>0.8</v>
      </c>
      <c r="IV32">
        <v>0.6</v>
      </c>
      <c r="IW32">
        <v>0.79834000000000005</v>
      </c>
      <c r="IX32">
        <v>2.5158700000000001</v>
      </c>
      <c r="IY32">
        <v>1.5991200000000001</v>
      </c>
      <c r="IZ32">
        <v>2.2997999999999998</v>
      </c>
      <c r="JA32">
        <v>1.5502899999999999</v>
      </c>
      <c r="JB32">
        <v>2.2863799999999999</v>
      </c>
      <c r="JC32">
        <v>39.868000000000002</v>
      </c>
      <c r="JD32">
        <v>23.842300000000002</v>
      </c>
      <c r="JE32">
        <v>18</v>
      </c>
      <c r="JF32">
        <v>487.40199999999999</v>
      </c>
      <c r="JG32">
        <v>496.43099999999998</v>
      </c>
      <c r="JH32">
        <v>22.672499999999999</v>
      </c>
      <c r="JI32">
        <v>31.971800000000002</v>
      </c>
      <c r="JJ32">
        <v>30.000299999999999</v>
      </c>
      <c r="JK32">
        <v>32.0077</v>
      </c>
      <c r="JL32">
        <v>31.9587</v>
      </c>
      <c r="JM32">
        <v>16.025300000000001</v>
      </c>
      <c r="JN32">
        <v>40.577500000000001</v>
      </c>
      <c r="JO32">
        <v>0</v>
      </c>
      <c r="JP32">
        <v>22.6722</v>
      </c>
      <c r="JQ32">
        <v>300</v>
      </c>
      <c r="JR32">
        <v>18.7286</v>
      </c>
      <c r="JS32">
        <v>99.925200000000004</v>
      </c>
      <c r="JT32">
        <v>98.449799999999996</v>
      </c>
    </row>
    <row r="33" spans="1:280" x14ac:dyDescent="0.25">
      <c r="A33">
        <v>17</v>
      </c>
      <c r="B33">
        <v>1674578478.5</v>
      </c>
      <c r="C33">
        <v>3053.5</v>
      </c>
      <c r="D33" t="s">
        <v>502</v>
      </c>
      <c r="E33" t="s">
        <v>503</v>
      </c>
      <c r="F33" t="s">
        <v>412</v>
      </c>
      <c r="G33" t="s">
        <v>492</v>
      </c>
      <c r="H33" t="s">
        <v>493</v>
      </c>
      <c r="I33">
        <v>1674578478.5</v>
      </c>
      <c r="J33">
        <f t="shared" si="0"/>
        <v>5.4559606647722218E-3</v>
      </c>
      <c r="K33">
        <f t="shared" si="1"/>
        <v>5.4559606647722214</v>
      </c>
      <c r="L33">
        <f t="shared" si="2"/>
        <v>29.688451127540009</v>
      </c>
      <c r="M33">
        <f t="shared" si="3"/>
        <v>163.29400000000001</v>
      </c>
      <c r="N33">
        <f t="shared" si="4"/>
        <v>54.683008320045154</v>
      </c>
      <c r="O33">
        <f t="shared" si="5"/>
        <v>5.4651485753068982</v>
      </c>
      <c r="P33">
        <f t="shared" si="6"/>
        <v>16.319986754076002</v>
      </c>
      <c r="Q33">
        <f t="shared" si="7"/>
        <v>0.48075089822059597</v>
      </c>
      <c r="R33">
        <f t="shared" si="8"/>
        <v>2.928199870992513</v>
      </c>
      <c r="S33">
        <f t="shared" si="9"/>
        <v>0.44081700498083515</v>
      </c>
      <c r="T33">
        <f t="shared" si="10"/>
        <v>0.27882157828357701</v>
      </c>
      <c r="U33">
        <f t="shared" si="11"/>
        <v>344.40739965779142</v>
      </c>
      <c r="V33">
        <f t="shared" si="12"/>
        <v>28.616763312392276</v>
      </c>
      <c r="W33">
        <f t="shared" si="13"/>
        <v>27.4937</v>
      </c>
      <c r="X33">
        <f t="shared" si="14"/>
        <v>3.6842646359750315</v>
      </c>
      <c r="Y33">
        <f t="shared" si="15"/>
        <v>65.477628285273923</v>
      </c>
      <c r="Z33">
        <f t="shared" si="16"/>
        <v>2.4854664016260002</v>
      </c>
      <c r="AA33">
        <f t="shared" si="17"/>
        <v>3.7959016945410462</v>
      </c>
      <c r="AB33">
        <f t="shared" si="18"/>
        <v>1.1987982343490313</v>
      </c>
      <c r="AC33">
        <f t="shared" si="19"/>
        <v>-240.60786531645499</v>
      </c>
      <c r="AD33">
        <f t="shared" si="20"/>
        <v>80.684858459512967</v>
      </c>
      <c r="AE33">
        <f t="shared" si="21"/>
        <v>5.9912370687822198</v>
      </c>
      <c r="AF33">
        <f t="shared" si="22"/>
        <v>190.47562986963158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52658.371029757</v>
      </c>
      <c r="AL33" t="s">
        <v>415</v>
      </c>
      <c r="AM33">
        <v>10297.6</v>
      </c>
      <c r="AN33">
        <v>785.57400000000007</v>
      </c>
      <c r="AO33">
        <v>3597.65</v>
      </c>
      <c r="AP33">
        <f t="shared" si="26"/>
        <v>0.7816424610509638</v>
      </c>
      <c r="AQ33">
        <v>-0.62398835798131469</v>
      </c>
      <c r="AR33" t="s">
        <v>504</v>
      </c>
      <c r="AS33">
        <v>10210.4</v>
      </c>
      <c r="AT33">
        <v>803.88123999999993</v>
      </c>
      <c r="AU33">
        <v>1039.3425605638511</v>
      </c>
      <c r="AV33">
        <f t="shared" si="27"/>
        <v>0.22654832920159795</v>
      </c>
      <c r="AW33">
        <v>0.5</v>
      </c>
      <c r="AX33">
        <f t="shared" si="28"/>
        <v>1513.3526998288958</v>
      </c>
      <c r="AY33">
        <f t="shared" si="29"/>
        <v>29.688451127540009</v>
      </c>
      <c r="AZ33">
        <f t="shared" si="30"/>
        <v>171.42376281948185</v>
      </c>
      <c r="BA33">
        <f t="shared" si="31"/>
        <v>2.0029990027406394E-2</v>
      </c>
      <c r="BB33">
        <f t="shared" si="32"/>
        <v>2.461467023969699</v>
      </c>
      <c r="BC33">
        <f t="shared" si="33"/>
        <v>510.94912487818897</v>
      </c>
      <c r="BD33" t="s">
        <v>505</v>
      </c>
      <c r="BE33">
        <v>555.89</v>
      </c>
      <c r="BF33">
        <f t="shared" si="34"/>
        <v>555.89</v>
      </c>
      <c r="BG33">
        <f t="shared" si="35"/>
        <v>0.46515227886133559</v>
      </c>
      <c r="BH33">
        <f t="shared" si="36"/>
        <v>0.48704121101196035</v>
      </c>
      <c r="BI33">
        <f t="shared" si="37"/>
        <v>0.84106156943221988</v>
      </c>
      <c r="BJ33">
        <f t="shared" si="38"/>
        <v>0.92785851817371379</v>
      </c>
      <c r="BK33">
        <f t="shared" si="39"/>
        <v>0.90975757391910794</v>
      </c>
      <c r="BL33">
        <f t="shared" si="40"/>
        <v>0.33679270682997736</v>
      </c>
      <c r="BM33">
        <f t="shared" si="41"/>
        <v>0.66320729317002258</v>
      </c>
      <c r="BN33">
        <v>33</v>
      </c>
      <c r="BO33">
        <v>290.00000000000011</v>
      </c>
      <c r="BP33">
        <v>980.12</v>
      </c>
      <c r="BQ33">
        <v>235</v>
      </c>
      <c r="BR33">
        <v>10210.4</v>
      </c>
      <c r="BS33">
        <v>979.45</v>
      </c>
      <c r="BT33">
        <v>0.67</v>
      </c>
      <c r="BU33">
        <v>300.00000000000011</v>
      </c>
      <c r="BV33">
        <v>24.1</v>
      </c>
      <c r="BW33">
        <v>1039.3425605638511</v>
      </c>
      <c r="BX33">
        <v>1.9359525508031299</v>
      </c>
      <c r="BY33">
        <v>-61.152175756552523</v>
      </c>
      <c r="BZ33">
        <v>1.7600443693561729</v>
      </c>
      <c r="CA33">
        <v>0.97733147195316783</v>
      </c>
      <c r="CB33">
        <v>-6.9581575083426019E-3</v>
      </c>
      <c r="CC33">
        <v>289.99999999999989</v>
      </c>
      <c r="CD33">
        <v>979.98</v>
      </c>
      <c r="CE33">
        <v>715</v>
      </c>
      <c r="CF33">
        <v>10185.200000000001</v>
      </c>
      <c r="CG33">
        <v>979.3</v>
      </c>
      <c r="CH33">
        <v>0.68</v>
      </c>
      <c r="CV33">
        <f t="shared" si="42"/>
        <v>1800.2</v>
      </c>
      <c r="CW33">
        <f t="shared" si="43"/>
        <v>1513.3526998288958</v>
      </c>
      <c r="CX33">
        <f t="shared" si="44"/>
        <v>0.84065809345011422</v>
      </c>
      <c r="CY33">
        <f t="shared" si="45"/>
        <v>0.19131618690022853</v>
      </c>
      <c r="CZ33">
        <v>6</v>
      </c>
      <c r="DA33">
        <v>0.5</v>
      </c>
      <c r="DB33" t="s">
        <v>418</v>
      </c>
      <c r="DC33">
        <v>2</v>
      </c>
      <c r="DD33">
        <v>1674578478.5</v>
      </c>
      <c r="DE33">
        <v>163.29400000000001</v>
      </c>
      <c r="DF33">
        <v>199.977</v>
      </c>
      <c r="DG33">
        <v>24.869</v>
      </c>
      <c r="DH33">
        <v>18.486799999999999</v>
      </c>
      <c r="DI33">
        <v>164.43</v>
      </c>
      <c r="DJ33">
        <v>24.658799999999999</v>
      </c>
      <c r="DK33">
        <v>500.16699999999997</v>
      </c>
      <c r="DL33">
        <v>99.842200000000005</v>
      </c>
      <c r="DM33">
        <v>0.10015400000000001</v>
      </c>
      <c r="DN33">
        <v>28.004799999999999</v>
      </c>
      <c r="DO33">
        <v>27.4937</v>
      </c>
      <c r="DP33">
        <v>999.9</v>
      </c>
      <c r="DQ33">
        <v>0</v>
      </c>
      <c r="DR33">
        <v>0</v>
      </c>
      <c r="DS33">
        <v>10008.1</v>
      </c>
      <c r="DT33">
        <v>0</v>
      </c>
      <c r="DU33">
        <v>447.11200000000002</v>
      </c>
      <c r="DV33">
        <v>-36.6828</v>
      </c>
      <c r="DW33">
        <v>167.459</v>
      </c>
      <c r="DX33">
        <v>203.74299999999999</v>
      </c>
      <c r="DY33">
        <v>6.3821599999999998</v>
      </c>
      <c r="DZ33">
        <v>199.977</v>
      </c>
      <c r="EA33">
        <v>18.486799999999999</v>
      </c>
      <c r="EB33">
        <v>2.4829699999999999</v>
      </c>
      <c r="EC33">
        <v>1.8457600000000001</v>
      </c>
      <c r="ED33">
        <v>20.915299999999998</v>
      </c>
      <c r="EE33">
        <v>16.1798</v>
      </c>
      <c r="EF33">
        <v>1800.2</v>
      </c>
      <c r="EG33">
        <v>0.97800299999999996</v>
      </c>
      <c r="EH33">
        <v>2.1996999999999999E-2</v>
      </c>
      <c r="EI33">
        <v>0</v>
      </c>
      <c r="EJ33">
        <v>803.43</v>
      </c>
      <c r="EK33">
        <v>5.0002599999999999</v>
      </c>
      <c r="EL33">
        <v>15053.7</v>
      </c>
      <c r="EM33">
        <v>17105.3</v>
      </c>
      <c r="EN33">
        <v>49.875</v>
      </c>
      <c r="EO33">
        <v>51.061999999999998</v>
      </c>
      <c r="EP33">
        <v>50.686999999999998</v>
      </c>
      <c r="EQ33">
        <v>50.375</v>
      </c>
      <c r="ER33">
        <v>50.875</v>
      </c>
      <c r="ES33">
        <v>1755.71</v>
      </c>
      <c r="ET33">
        <v>39.49</v>
      </c>
      <c r="EU33">
        <v>0</v>
      </c>
      <c r="EV33">
        <v>117.2000000476837</v>
      </c>
      <c r="EW33">
        <v>0</v>
      </c>
      <c r="EX33">
        <v>803.88123999999993</v>
      </c>
      <c r="EY33">
        <v>-5.1706153733375064</v>
      </c>
      <c r="EZ33">
        <v>-84.399999876559704</v>
      </c>
      <c r="FA33">
        <v>15062.675999999999</v>
      </c>
      <c r="FB33">
        <v>15</v>
      </c>
      <c r="FC33">
        <v>1674578440</v>
      </c>
      <c r="FD33" t="s">
        <v>506</v>
      </c>
      <c r="FE33">
        <v>1674578433.5</v>
      </c>
      <c r="FF33">
        <v>1674578440</v>
      </c>
      <c r="FG33">
        <v>21</v>
      </c>
      <c r="FH33">
        <v>-5.1999999999999998E-2</v>
      </c>
      <c r="FI33">
        <v>3.0000000000000001E-3</v>
      </c>
      <c r="FJ33">
        <v>-1.1240000000000001</v>
      </c>
      <c r="FK33">
        <v>6.0999999999999999E-2</v>
      </c>
      <c r="FL33">
        <v>200</v>
      </c>
      <c r="FM33">
        <v>19</v>
      </c>
      <c r="FN33">
        <v>0.03</v>
      </c>
      <c r="FO33">
        <v>0.02</v>
      </c>
      <c r="FP33">
        <v>29.616336553184411</v>
      </c>
      <c r="FQ33">
        <v>0.34767939020387228</v>
      </c>
      <c r="FR33">
        <v>3.9541903038660148E-2</v>
      </c>
      <c r="FS33">
        <v>1</v>
      </c>
      <c r="FT33">
        <v>0.47880395926070929</v>
      </c>
      <c r="FU33">
        <v>3.6161099039159303E-2</v>
      </c>
      <c r="FV33">
        <v>5.0241530677032926E-3</v>
      </c>
      <c r="FW33">
        <v>1</v>
      </c>
      <c r="FX33">
        <v>2</v>
      </c>
      <c r="FY33">
        <v>2</v>
      </c>
      <c r="FZ33" t="s">
        <v>420</v>
      </c>
      <c r="GA33">
        <v>2.9293300000000002</v>
      </c>
      <c r="GB33">
        <v>2.8071299999999999</v>
      </c>
      <c r="GC33">
        <v>4.5947599999999998E-2</v>
      </c>
      <c r="GD33">
        <v>5.57181E-2</v>
      </c>
      <c r="GE33">
        <v>0.115271</v>
      </c>
      <c r="GF33">
        <v>9.5047699999999999E-2</v>
      </c>
      <c r="GG33">
        <v>28423.200000000001</v>
      </c>
      <c r="GH33">
        <v>28408.9</v>
      </c>
      <c r="GI33">
        <v>28295.9</v>
      </c>
      <c r="GJ33">
        <v>27109</v>
      </c>
      <c r="GK33">
        <v>35941.699999999997</v>
      </c>
      <c r="GL33">
        <v>32368.799999999999</v>
      </c>
      <c r="GM33">
        <v>42140.6</v>
      </c>
      <c r="GN33">
        <v>36752.300000000003</v>
      </c>
      <c r="GO33">
        <v>1.9319299999999999</v>
      </c>
      <c r="GP33">
        <v>1.8902000000000001</v>
      </c>
      <c r="GQ33">
        <v>6.0141100000000003E-2</v>
      </c>
      <c r="GR33">
        <v>0</v>
      </c>
      <c r="GS33">
        <v>26.510200000000001</v>
      </c>
      <c r="GT33">
        <v>999.9</v>
      </c>
      <c r="GU33">
        <v>50.1</v>
      </c>
      <c r="GV33">
        <v>34.9</v>
      </c>
      <c r="GW33">
        <v>28.185400000000001</v>
      </c>
      <c r="GX33">
        <v>62.446899999999999</v>
      </c>
      <c r="GY33">
        <v>27.0032</v>
      </c>
      <c r="GZ33">
        <v>1</v>
      </c>
      <c r="HA33">
        <v>0.38527899999999998</v>
      </c>
      <c r="HB33">
        <v>3.0563099999999999</v>
      </c>
      <c r="HC33">
        <v>20.317399999999999</v>
      </c>
      <c r="HD33">
        <v>5.2409499999999998</v>
      </c>
      <c r="HE33">
        <v>11.9381</v>
      </c>
      <c r="HF33">
        <v>4.9737</v>
      </c>
      <c r="HG33">
        <v>3.2989999999999999</v>
      </c>
      <c r="HH33">
        <v>9999</v>
      </c>
      <c r="HI33">
        <v>9999</v>
      </c>
      <c r="HJ33">
        <v>9999</v>
      </c>
      <c r="HK33">
        <v>999.9</v>
      </c>
      <c r="HL33">
        <v>1.87391</v>
      </c>
      <c r="HM33">
        <v>1.8815599999999999</v>
      </c>
      <c r="HN33">
        <v>1.88506</v>
      </c>
      <c r="HO33">
        <v>1.8817200000000001</v>
      </c>
      <c r="HP33">
        <v>1.8791199999999999</v>
      </c>
      <c r="HQ33">
        <v>1.8738300000000001</v>
      </c>
      <c r="HR33">
        <v>1.8767</v>
      </c>
      <c r="HS33">
        <v>1.8809499999999999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-1.1359999999999999</v>
      </c>
      <c r="IH33">
        <v>0.2102</v>
      </c>
      <c r="II33">
        <v>-1.2441751555489851</v>
      </c>
      <c r="IJ33">
        <v>9.4905977090923709E-4</v>
      </c>
      <c r="IK33">
        <v>-1.9106666302146479E-6</v>
      </c>
      <c r="IL33">
        <v>7.5819610513223293E-10</v>
      </c>
      <c r="IM33">
        <v>-8.7858455528836171E-2</v>
      </c>
      <c r="IN33">
        <v>-1.0595840490420019E-2</v>
      </c>
      <c r="IO33">
        <v>1.2407080968752471E-3</v>
      </c>
      <c r="IP33">
        <v>-1.3015442653884381E-5</v>
      </c>
      <c r="IQ33">
        <v>33</v>
      </c>
      <c r="IR33">
        <v>2014</v>
      </c>
      <c r="IS33">
        <v>1</v>
      </c>
      <c r="IT33">
        <v>26</v>
      </c>
      <c r="IU33">
        <v>0.8</v>
      </c>
      <c r="IV33">
        <v>0.6</v>
      </c>
      <c r="IW33">
        <v>0.58105499999999999</v>
      </c>
      <c r="IX33">
        <v>2.5268600000000001</v>
      </c>
      <c r="IY33">
        <v>1.5991200000000001</v>
      </c>
      <c r="IZ33">
        <v>2.2997999999999998</v>
      </c>
      <c r="JA33">
        <v>1.5502899999999999</v>
      </c>
      <c r="JB33">
        <v>2.2863799999999999</v>
      </c>
      <c r="JC33">
        <v>39.9437</v>
      </c>
      <c r="JD33">
        <v>23.842300000000002</v>
      </c>
      <c r="JE33">
        <v>18</v>
      </c>
      <c r="JF33">
        <v>487.78800000000001</v>
      </c>
      <c r="JG33">
        <v>495.02199999999999</v>
      </c>
      <c r="JH33">
        <v>22.704599999999999</v>
      </c>
      <c r="JI33">
        <v>32.051499999999997</v>
      </c>
      <c r="JJ33">
        <v>30.000399999999999</v>
      </c>
      <c r="JK33">
        <v>32.082799999999999</v>
      </c>
      <c r="JL33">
        <v>32.031799999999997</v>
      </c>
      <c r="JM33">
        <v>11.678100000000001</v>
      </c>
      <c r="JN33">
        <v>41.627699999999997</v>
      </c>
      <c r="JO33">
        <v>0</v>
      </c>
      <c r="JP33">
        <v>22.696400000000001</v>
      </c>
      <c r="JQ33">
        <v>200</v>
      </c>
      <c r="JR33">
        <v>18.406300000000002</v>
      </c>
      <c r="JS33">
        <v>99.904200000000003</v>
      </c>
      <c r="JT33">
        <v>98.438400000000001</v>
      </c>
    </row>
    <row r="34" spans="1:280" x14ac:dyDescent="0.25">
      <c r="A34">
        <v>18</v>
      </c>
      <c r="B34">
        <v>1674578595</v>
      </c>
      <c r="C34">
        <v>3170</v>
      </c>
      <c r="D34" t="s">
        <v>507</v>
      </c>
      <c r="E34" t="s">
        <v>508</v>
      </c>
      <c r="F34" t="s">
        <v>412</v>
      </c>
      <c r="G34" t="s">
        <v>492</v>
      </c>
      <c r="H34" t="s">
        <v>493</v>
      </c>
      <c r="I34">
        <v>1674578595</v>
      </c>
      <c r="J34">
        <f t="shared" si="0"/>
        <v>5.8191546143838684E-3</v>
      </c>
      <c r="K34">
        <f t="shared" si="1"/>
        <v>5.8191546143838684</v>
      </c>
      <c r="L34">
        <f t="shared" si="2"/>
        <v>18.64790161425497</v>
      </c>
      <c r="M34">
        <f t="shared" si="3"/>
        <v>97.001400000000004</v>
      </c>
      <c r="N34">
        <f t="shared" si="4"/>
        <v>33.588491119557872</v>
      </c>
      <c r="O34">
        <f t="shared" si="5"/>
        <v>3.3569210989770335</v>
      </c>
      <c r="P34">
        <f t="shared" si="6"/>
        <v>9.6945720226385994</v>
      </c>
      <c r="Q34">
        <f t="shared" si="7"/>
        <v>0.52046817803218159</v>
      </c>
      <c r="R34">
        <f t="shared" si="8"/>
        <v>2.9259067420061453</v>
      </c>
      <c r="S34">
        <f t="shared" si="9"/>
        <v>0.47397170886266005</v>
      </c>
      <c r="T34">
        <f t="shared" si="10"/>
        <v>0.30006292620765884</v>
      </c>
      <c r="U34">
        <f t="shared" si="11"/>
        <v>344.35609965774012</v>
      </c>
      <c r="V34">
        <f t="shared" si="12"/>
        <v>28.517110638409616</v>
      </c>
      <c r="W34">
        <f t="shared" si="13"/>
        <v>27.467199999999998</v>
      </c>
      <c r="X34">
        <f t="shared" si="14"/>
        <v>3.6785553426145463</v>
      </c>
      <c r="Y34">
        <f t="shared" si="15"/>
        <v>65.601000904762657</v>
      </c>
      <c r="Z34">
        <f t="shared" si="16"/>
        <v>2.4893802501519002</v>
      </c>
      <c r="AA34">
        <f t="shared" si="17"/>
        <v>3.7947290678779413</v>
      </c>
      <c r="AB34">
        <f t="shared" si="18"/>
        <v>1.1891750924626461</v>
      </c>
      <c r="AC34">
        <f t="shared" si="19"/>
        <v>-256.62471849432859</v>
      </c>
      <c r="AD34">
        <f t="shared" si="20"/>
        <v>83.965792079601769</v>
      </c>
      <c r="AE34">
        <f t="shared" si="21"/>
        <v>6.2387593511684756</v>
      </c>
      <c r="AF34">
        <f t="shared" si="22"/>
        <v>177.93593259418179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52593.293808137867</v>
      </c>
      <c r="AL34" t="s">
        <v>415</v>
      </c>
      <c r="AM34">
        <v>10297.6</v>
      </c>
      <c r="AN34">
        <v>785.57400000000007</v>
      </c>
      <c r="AO34">
        <v>3597.65</v>
      </c>
      <c r="AP34">
        <f t="shared" si="26"/>
        <v>0.7816424610509638</v>
      </c>
      <c r="AQ34">
        <v>-0.62398835798131469</v>
      </c>
      <c r="AR34" t="s">
        <v>509</v>
      </c>
      <c r="AS34">
        <v>10203.9</v>
      </c>
      <c r="AT34">
        <v>828.645076923077</v>
      </c>
      <c r="AU34">
        <v>992.0593871548358</v>
      </c>
      <c r="AV34">
        <f t="shared" si="27"/>
        <v>0.164722306292994</v>
      </c>
      <c r="AW34">
        <v>0.5</v>
      </c>
      <c r="AX34">
        <f t="shared" si="28"/>
        <v>1513.1258998288702</v>
      </c>
      <c r="AY34">
        <f t="shared" si="29"/>
        <v>18.64790161425497</v>
      </c>
      <c r="AZ34">
        <f t="shared" si="30"/>
        <v>124.62279396573666</v>
      </c>
      <c r="BA34">
        <f t="shared" si="31"/>
        <v>1.2736474852763987E-2</v>
      </c>
      <c r="BB34">
        <f t="shared" si="32"/>
        <v>2.6264462053202631</v>
      </c>
      <c r="BC34">
        <f t="shared" si="33"/>
        <v>499.25124782579945</v>
      </c>
      <c r="BD34" t="s">
        <v>510</v>
      </c>
      <c r="BE34">
        <v>555.78</v>
      </c>
      <c r="BF34">
        <f t="shared" si="34"/>
        <v>555.78</v>
      </c>
      <c r="BG34">
        <f t="shared" si="35"/>
        <v>0.43977144191544604</v>
      </c>
      <c r="BH34">
        <f t="shared" si="36"/>
        <v>0.37456344499210309</v>
      </c>
      <c r="BI34">
        <f t="shared" si="37"/>
        <v>0.85657526878044243</v>
      </c>
      <c r="BJ34">
        <f t="shared" si="38"/>
        <v>0.79140859546259545</v>
      </c>
      <c r="BK34">
        <f t="shared" si="39"/>
        <v>0.92657190376261678</v>
      </c>
      <c r="BL34">
        <f t="shared" si="40"/>
        <v>0.2512232043068493</v>
      </c>
      <c r="BM34">
        <f t="shared" si="41"/>
        <v>0.7487767956931507</v>
      </c>
      <c r="BN34">
        <v>35</v>
      </c>
      <c r="BO34">
        <v>290.00000000000011</v>
      </c>
      <c r="BP34">
        <v>953.53</v>
      </c>
      <c r="BQ34">
        <v>285</v>
      </c>
      <c r="BR34">
        <v>10203.9</v>
      </c>
      <c r="BS34">
        <v>954.71</v>
      </c>
      <c r="BT34">
        <v>-1.18</v>
      </c>
      <c r="BU34">
        <v>300.00000000000011</v>
      </c>
      <c r="BV34">
        <v>24.1</v>
      </c>
      <c r="BW34">
        <v>992.0593871548358</v>
      </c>
      <c r="BX34">
        <v>2.198640844978609</v>
      </c>
      <c r="BY34">
        <v>-38.112287780553721</v>
      </c>
      <c r="BZ34">
        <v>1.998766443476679</v>
      </c>
      <c r="CA34">
        <v>0.92849572603290387</v>
      </c>
      <c r="CB34">
        <v>-6.9577228031145718E-3</v>
      </c>
      <c r="CC34">
        <v>289.99999999999989</v>
      </c>
      <c r="CD34">
        <v>953.54</v>
      </c>
      <c r="CE34">
        <v>705</v>
      </c>
      <c r="CF34">
        <v>10185.200000000001</v>
      </c>
      <c r="CG34">
        <v>954.64</v>
      </c>
      <c r="CH34">
        <v>-1.1000000000000001</v>
      </c>
      <c r="CV34">
        <f t="shared" si="42"/>
        <v>1799.93</v>
      </c>
      <c r="CW34">
        <f t="shared" si="43"/>
        <v>1513.1258998288702</v>
      </c>
      <c r="CX34">
        <f t="shared" si="44"/>
        <v>0.84065819216795656</v>
      </c>
      <c r="CY34">
        <f t="shared" si="45"/>
        <v>0.19131638433591311</v>
      </c>
      <c r="CZ34">
        <v>6</v>
      </c>
      <c r="DA34">
        <v>0.5</v>
      </c>
      <c r="DB34" t="s">
        <v>418</v>
      </c>
      <c r="DC34">
        <v>2</v>
      </c>
      <c r="DD34">
        <v>1674578595</v>
      </c>
      <c r="DE34">
        <v>97.001400000000004</v>
      </c>
      <c r="DF34">
        <v>120.05200000000001</v>
      </c>
      <c r="DG34">
        <v>24.908100000000001</v>
      </c>
      <c r="DH34">
        <v>18.100300000000001</v>
      </c>
      <c r="DI34">
        <v>98.1053</v>
      </c>
      <c r="DJ34">
        <v>24.697299999999998</v>
      </c>
      <c r="DK34">
        <v>500.09199999999998</v>
      </c>
      <c r="DL34">
        <v>99.842399999999998</v>
      </c>
      <c r="DM34">
        <v>0.100199</v>
      </c>
      <c r="DN34">
        <v>27.999500000000001</v>
      </c>
      <c r="DO34">
        <v>27.467199999999998</v>
      </c>
      <c r="DP34">
        <v>999.9</v>
      </c>
      <c r="DQ34">
        <v>0</v>
      </c>
      <c r="DR34">
        <v>0</v>
      </c>
      <c r="DS34">
        <v>9995</v>
      </c>
      <c r="DT34">
        <v>0</v>
      </c>
      <c r="DU34">
        <v>452.11799999999999</v>
      </c>
      <c r="DV34">
        <v>-23.0502</v>
      </c>
      <c r="DW34">
        <v>99.479200000000006</v>
      </c>
      <c r="DX34">
        <v>122.265</v>
      </c>
      <c r="DY34">
        <v>6.8078200000000004</v>
      </c>
      <c r="DZ34">
        <v>120.05200000000001</v>
      </c>
      <c r="EA34">
        <v>18.100300000000001</v>
      </c>
      <c r="EB34">
        <v>2.4868899999999998</v>
      </c>
      <c r="EC34">
        <v>1.80718</v>
      </c>
      <c r="ED34">
        <v>20.940899999999999</v>
      </c>
      <c r="EE34">
        <v>15.849</v>
      </c>
      <c r="EF34">
        <v>1799.93</v>
      </c>
      <c r="EG34">
        <v>0.97799899999999995</v>
      </c>
      <c r="EH34">
        <v>2.2000599999999999E-2</v>
      </c>
      <c r="EI34">
        <v>0</v>
      </c>
      <c r="EJ34">
        <v>828.03599999999994</v>
      </c>
      <c r="EK34">
        <v>5.0002599999999999</v>
      </c>
      <c r="EL34">
        <v>15495.6</v>
      </c>
      <c r="EM34">
        <v>17102.7</v>
      </c>
      <c r="EN34">
        <v>49.875</v>
      </c>
      <c r="EO34">
        <v>51.125</v>
      </c>
      <c r="EP34">
        <v>50.811999999999998</v>
      </c>
      <c r="EQ34">
        <v>50.5</v>
      </c>
      <c r="ER34">
        <v>51</v>
      </c>
      <c r="ES34">
        <v>1755.44</v>
      </c>
      <c r="ET34">
        <v>39.49</v>
      </c>
      <c r="EU34">
        <v>0</v>
      </c>
      <c r="EV34">
        <v>114.6000001430511</v>
      </c>
      <c r="EW34">
        <v>0</v>
      </c>
      <c r="EX34">
        <v>828.645076923077</v>
      </c>
      <c r="EY34">
        <v>-3.7682051163640291</v>
      </c>
      <c r="EZ34">
        <v>-73.750427532413468</v>
      </c>
      <c r="FA34">
        <v>15503.74615384615</v>
      </c>
      <c r="FB34">
        <v>15</v>
      </c>
      <c r="FC34">
        <v>1674578558.5</v>
      </c>
      <c r="FD34" t="s">
        <v>511</v>
      </c>
      <c r="FE34">
        <v>1674578550.5</v>
      </c>
      <c r="FF34">
        <v>1674578558.5</v>
      </c>
      <c r="FG34">
        <v>22</v>
      </c>
      <c r="FH34">
        <v>6.5000000000000002E-2</v>
      </c>
      <c r="FI34">
        <v>0</v>
      </c>
      <c r="FJ34">
        <v>-1.091</v>
      </c>
      <c r="FK34">
        <v>5.3999999999999999E-2</v>
      </c>
      <c r="FL34">
        <v>120</v>
      </c>
      <c r="FM34">
        <v>18</v>
      </c>
      <c r="FN34">
        <v>0.06</v>
      </c>
      <c r="FO34">
        <v>0.02</v>
      </c>
      <c r="FP34">
        <v>18.568557903896611</v>
      </c>
      <c r="FQ34">
        <v>-5.9102740179979643E-2</v>
      </c>
      <c r="FR34">
        <v>3.4565299484970509E-2</v>
      </c>
      <c r="FS34">
        <v>1</v>
      </c>
      <c r="FT34">
        <v>0.51528712961699319</v>
      </c>
      <c r="FU34">
        <v>4.004316210605683E-2</v>
      </c>
      <c r="FV34">
        <v>5.5684153653684041E-3</v>
      </c>
      <c r="FW34">
        <v>1</v>
      </c>
      <c r="FX34">
        <v>2</v>
      </c>
      <c r="FY34">
        <v>2</v>
      </c>
      <c r="FZ34" t="s">
        <v>420</v>
      </c>
      <c r="GA34">
        <v>2.9289999999999998</v>
      </c>
      <c r="GB34">
        <v>2.80707</v>
      </c>
      <c r="GC34">
        <v>2.8038400000000002E-2</v>
      </c>
      <c r="GD34">
        <v>3.4621100000000002E-2</v>
      </c>
      <c r="GE34">
        <v>0.11537799999999999</v>
      </c>
      <c r="GF34">
        <v>9.3611100000000003E-2</v>
      </c>
      <c r="GG34">
        <v>28952.400000000001</v>
      </c>
      <c r="GH34">
        <v>29041.1</v>
      </c>
      <c r="GI34">
        <v>28291.9</v>
      </c>
      <c r="GJ34">
        <v>27106.799999999999</v>
      </c>
      <c r="GK34">
        <v>35932.400000000001</v>
      </c>
      <c r="GL34">
        <v>32418.400000000001</v>
      </c>
      <c r="GM34">
        <v>42135</v>
      </c>
      <c r="GN34">
        <v>36750.5</v>
      </c>
      <c r="GO34">
        <v>1.9313</v>
      </c>
      <c r="GP34">
        <v>1.88775</v>
      </c>
      <c r="GQ34">
        <v>5.8516899999999997E-2</v>
      </c>
      <c r="GR34">
        <v>0</v>
      </c>
      <c r="GS34">
        <v>26.510200000000001</v>
      </c>
      <c r="GT34">
        <v>999.9</v>
      </c>
      <c r="GU34">
        <v>50</v>
      </c>
      <c r="GV34">
        <v>34.9</v>
      </c>
      <c r="GW34">
        <v>28.130400000000002</v>
      </c>
      <c r="GX34">
        <v>62.386899999999997</v>
      </c>
      <c r="GY34">
        <v>27.347799999999999</v>
      </c>
      <c r="GZ34">
        <v>1</v>
      </c>
      <c r="HA34">
        <v>0.39104699999999998</v>
      </c>
      <c r="HB34">
        <v>3.04657</v>
      </c>
      <c r="HC34">
        <v>20.317599999999999</v>
      </c>
      <c r="HD34">
        <v>5.24125</v>
      </c>
      <c r="HE34">
        <v>11.9381</v>
      </c>
      <c r="HF34">
        <v>4.9737499999999999</v>
      </c>
      <c r="HG34">
        <v>3.2989999999999999</v>
      </c>
      <c r="HH34">
        <v>9999</v>
      </c>
      <c r="HI34">
        <v>9999</v>
      </c>
      <c r="HJ34">
        <v>9999</v>
      </c>
      <c r="HK34">
        <v>999.9</v>
      </c>
      <c r="HL34">
        <v>1.8739300000000001</v>
      </c>
      <c r="HM34">
        <v>1.8815599999999999</v>
      </c>
      <c r="HN34">
        <v>1.88507</v>
      </c>
      <c r="HO34">
        <v>1.88171</v>
      </c>
      <c r="HP34">
        <v>1.8791199999999999</v>
      </c>
      <c r="HQ34">
        <v>1.87384</v>
      </c>
      <c r="HR34">
        <v>1.8766799999999999</v>
      </c>
      <c r="HS34">
        <v>1.8809400000000001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-1.1040000000000001</v>
      </c>
      <c r="IH34">
        <v>0.21079999999999999</v>
      </c>
      <c r="II34">
        <v>-1.1793697810021431</v>
      </c>
      <c r="IJ34">
        <v>9.4905977090923709E-4</v>
      </c>
      <c r="IK34">
        <v>-1.9106666302146479E-6</v>
      </c>
      <c r="IL34">
        <v>7.5819610513223293E-10</v>
      </c>
      <c r="IM34">
        <v>-8.8171237185918516E-2</v>
      </c>
      <c r="IN34">
        <v>-1.0595840490420019E-2</v>
      </c>
      <c r="IO34">
        <v>1.2407080968752471E-3</v>
      </c>
      <c r="IP34">
        <v>-1.3015442653884381E-5</v>
      </c>
      <c r="IQ34">
        <v>33</v>
      </c>
      <c r="IR34">
        <v>2014</v>
      </c>
      <c r="IS34">
        <v>1</v>
      </c>
      <c r="IT34">
        <v>26</v>
      </c>
      <c r="IU34">
        <v>0.7</v>
      </c>
      <c r="IV34">
        <v>0.6</v>
      </c>
      <c r="IW34">
        <v>0.401611</v>
      </c>
      <c r="IX34">
        <v>2.5366200000000001</v>
      </c>
      <c r="IY34">
        <v>1.5979000000000001</v>
      </c>
      <c r="IZ34">
        <v>2.3010299999999999</v>
      </c>
      <c r="JA34">
        <v>1.5502899999999999</v>
      </c>
      <c r="JB34">
        <v>2.36206</v>
      </c>
      <c r="JC34">
        <v>40.019399999999997</v>
      </c>
      <c r="JD34">
        <v>23.851099999999999</v>
      </c>
      <c r="JE34">
        <v>18</v>
      </c>
      <c r="JF34">
        <v>487.94600000000003</v>
      </c>
      <c r="JG34">
        <v>493.87900000000002</v>
      </c>
      <c r="JH34">
        <v>22.662199999999999</v>
      </c>
      <c r="JI34">
        <v>32.121899999999997</v>
      </c>
      <c r="JJ34">
        <v>30.0001</v>
      </c>
      <c r="JK34">
        <v>32.153300000000002</v>
      </c>
      <c r="JL34">
        <v>32.1008</v>
      </c>
      <c r="JM34">
        <v>8.0870499999999996</v>
      </c>
      <c r="JN34">
        <v>42.9786</v>
      </c>
      <c r="JO34">
        <v>0</v>
      </c>
      <c r="JP34">
        <v>22.661999999999999</v>
      </c>
      <c r="JQ34">
        <v>120</v>
      </c>
      <c r="JR34">
        <v>18.056999999999999</v>
      </c>
      <c r="JS34">
        <v>99.890500000000003</v>
      </c>
      <c r="JT34">
        <v>98.432199999999995</v>
      </c>
    </row>
    <row r="35" spans="1:280" x14ac:dyDescent="0.25">
      <c r="A35">
        <v>19</v>
      </c>
      <c r="B35">
        <v>1674578713.5</v>
      </c>
      <c r="C35">
        <v>3288.5</v>
      </c>
      <c r="D35" t="s">
        <v>512</v>
      </c>
      <c r="E35" t="s">
        <v>513</v>
      </c>
      <c r="F35" t="s">
        <v>412</v>
      </c>
      <c r="G35" t="s">
        <v>492</v>
      </c>
      <c r="H35" t="s">
        <v>493</v>
      </c>
      <c r="I35">
        <v>1674578713.5</v>
      </c>
      <c r="J35">
        <f t="shared" si="0"/>
        <v>6.0827193830427827E-3</v>
      </c>
      <c r="K35">
        <f t="shared" si="1"/>
        <v>6.0827193830427824</v>
      </c>
      <c r="L35">
        <f t="shared" si="2"/>
        <v>11.255166588077076</v>
      </c>
      <c r="M35">
        <f t="shared" si="3"/>
        <v>56.0899</v>
      </c>
      <c r="N35">
        <f t="shared" si="4"/>
        <v>19.739354904591544</v>
      </c>
      <c r="O35">
        <f t="shared" si="5"/>
        <v>1.9729308954699949</v>
      </c>
      <c r="P35">
        <f t="shared" si="6"/>
        <v>5.6061354167193</v>
      </c>
      <c r="Q35">
        <f t="shared" si="7"/>
        <v>0.55052024742286088</v>
      </c>
      <c r="R35">
        <f t="shared" si="8"/>
        <v>2.9248191154782099</v>
      </c>
      <c r="S35">
        <f t="shared" si="9"/>
        <v>0.49876740475821474</v>
      </c>
      <c r="T35">
        <f t="shared" si="10"/>
        <v>0.3159729956520736</v>
      </c>
      <c r="U35">
        <f t="shared" si="11"/>
        <v>344.35229965773624</v>
      </c>
      <c r="V35">
        <f t="shared" si="12"/>
        <v>28.4440687167546</v>
      </c>
      <c r="W35">
        <f t="shared" si="13"/>
        <v>27.4361</v>
      </c>
      <c r="X35">
        <f t="shared" si="14"/>
        <v>3.6718648512363563</v>
      </c>
      <c r="Y35">
        <f t="shared" si="15"/>
        <v>65.648423996442432</v>
      </c>
      <c r="Z35">
        <f t="shared" si="16"/>
        <v>2.4905118584046</v>
      </c>
      <c r="AA35">
        <f t="shared" si="17"/>
        <v>3.7937115726335855</v>
      </c>
      <c r="AB35">
        <f t="shared" si="18"/>
        <v>1.1813529928317563</v>
      </c>
      <c r="AC35">
        <f t="shared" si="19"/>
        <v>-268.24792479218672</v>
      </c>
      <c r="AD35">
        <f t="shared" si="20"/>
        <v>88.113175548266142</v>
      </c>
      <c r="AE35">
        <f t="shared" si="21"/>
        <v>6.5481838599670832</v>
      </c>
      <c r="AF35">
        <f t="shared" si="22"/>
        <v>170.76573427378275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52562.946271926696</v>
      </c>
      <c r="AL35" t="s">
        <v>415</v>
      </c>
      <c r="AM35">
        <v>10297.6</v>
      </c>
      <c r="AN35">
        <v>785.57400000000007</v>
      </c>
      <c r="AO35">
        <v>3597.65</v>
      </c>
      <c r="AP35">
        <f t="shared" si="26"/>
        <v>0.7816424610509638</v>
      </c>
      <c r="AQ35">
        <v>-0.62398835798131469</v>
      </c>
      <c r="AR35" t="s">
        <v>514</v>
      </c>
      <c r="AS35">
        <v>10210.799999999999</v>
      </c>
      <c r="AT35">
        <v>845.61796153846149</v>
      </c>
      <c r="AU35">
        <v>961.67908755870758</v>
      </c>
      <c r="AV35">
        <f t="shared" si="27"/>
        <v>0.12068592061711114</v>
      </c>
      <c r="AW35">
        <v>0.5</v>
      </c>
      <c r="AX35">
        <f t="shared" si="28"/>
        <v>1513.1090998288682</v>
      </c>
      <c r="AY35">
        <f t="shared" si="29"/>
        <v>11.255166588077076</v>
      </c>
      <c r="AZ35">
        <f t="shared" si="30"/>
        <v>91.305482353487648</v>
      </c>
      <c r="BA35">
        <f t="shared" si="31"/>
        <v>7.8508251304561689E-3</v>
      </c>
      <c r="BB35">
        <f t="shared" si="32"/>
        <v>2.741008873482834</v>
      </c>
      <c r="BC35">
        <f t="shared" si="33"/>
        <v>491.43834525822365</v>
      </c>
      <c r="BD35" t="s">
        <v>515</v>
      </c>
      <c r="BE35">
        <v>562.99</v>
      </c>
      <c r="BF35">
        <f t="shared" si="34"/>
        <v>562.99</v>
      </c>
      <c r="BG35">
        <f t="shared" si="35"/>
        <v>0.41457601887840656</v>
      </c>
      <c r="BH35">
        <f t="shared" si="36"/>
        <v>0.2911068540423894</v>
      </c>
      <c r="BI35">
        <f t="shared" si="37"/>
        <v>0.86862149711707159</v>
      </c>
      <c r="BJ35">
        <f t="shared" si="38"/>
        <v>0.65904470807270243</v>
      </c>
      <c r="BK35">
        <f t="shared" si="39"/>
        <v>0.93737541675306513</v>
      </c>
      <c r="BL35">
        <f t="shared" si="40"/>
        <v>0.19381121879099364</v>
      </c>
      <c r="BM35">
        <f t="shared" si="41"/>
        <v>0.80618878120900639</v>
      </c>
      <c r="BN35">
        <v>37</v>
      </c>
      <c r="BO35">
        <v>290.00000000000011</v>
      </c>
      <c r="BP35">
        <v>927.09</v>
      </c>
      <c r="BQ35">
        <v>225</v>
      </c>
      <c r="BR35">
        <v>10210.799999999999</v>
      </c>
      <c r="BS35">
        <v>927.6</v>
      </c>
      <c r="BT35">
        <v>-0.51</v>
      </c>
      <c r="BU35">
        <v>300.00000000000011</v>
      </c>
      <c r="BV35">
        <v>24.1</v>
      </c>
      <c r="BW35">
        <v>961.67908755870758</v>
      </c>
      <c r="BX35">
        <v>1.76214017128944</v>
      </c>
      <c r="BY35">
        <v>-34.800674206541387</v>
      </c>
      <c r="BZ35">
        <v>1.6018850490379579</v>
      </c>
      <c r="CA35">
        <v>0.94399642376546433</v>
      </c>
      <c r="CB35">
        <v>-6.9573902113459381E-3</v>
      </c>
      <c r="CC35">
        <v>289.99999999999989</v>
      </c>
      <c r="CD35">
        <v>924.06</v>
      </c>
      <c r="CE35">
        <v>705</v>
      </c>
      <c r="CF35">
        <v>10184.799999999999</v>
      </c>
      <c r="CG35">
        <v>927.51</v>
      </c>
      <c r="CH35">
        <v>-3.45</v>
      </c>
      <c r="CV35">
        <f t="shared" si="42"/>
        <v>1799.91</v>
      </c>
      <c r="CW35">
        <f t="shared" si="43"/>
        <v>1513.1090998288682</v>
      </c>
      <c r="CX35">
        <f t="shared" si="44"/>
        <v>0.8406581994815675</v>
      </c>
      <c r="CY35">
        <f t="shared" si="45"/>
        <v>0.19131639896313496</v>
      </c>
      <c r="CZ35">
        <v>6</v>
      </c>
      <c r="DA35">
        <v>0.5</v>
      </c>
      <c r="DB35" t="s">
        <v>418</v>
      </c>
      <c r="DC35">
        <v>2</v>
      </c>
      <c r="DD35">
        <v>1674578713.5</v>
      </c>
      <c r="DE35">
        <v>56.0899</v>
      </c>
      <c r="DF35">
        <v>70.003399999999999</v>
      </c>
      <c r="DG35">
        <v>24.9178</v>
      </c>
      <c r="DH35">
        <v>17.801500000000001</v>
      </c>
      <c r="DI35">
        <v>57.172800000000002</v>
      </c>
      <c r="DJ35">
        <v>24.7087</v>
      </c>
      <c r="DK35">
        <v>500.07600000000002</v>
      </c>
      <c r="DL35">
        <v>99.849199999999996</v>
      </c>
      <c r="DM35">
        <v>9.9906999999999996E-2</v>
      </c>
      <c r="DN35">
        <v>27.994900000000001</v>
      </c>
      <c r="DO35">
        <v>27.4361</v>
      </c>
      <c r="DP35">
        <v>999.9</v>
      </c>
      <c r="DQ35">
        <v>0</v>
      </c>
      <c r="DR35">
        <v>0</v>
      </c>
      <c r="DS35">
        <v>9988.1200000000008</v>
      </c>
      <c r="DT35">
        <v>0</v>
      </c>
      <c r="DU35">
        <v>445.28500000000003</v>
      </c>
      <c r="DV35">
        <v>-13.913500000000001</v>
      </c>
      <c r="DW35">
        <v>57.523299999999999</v>
      </c>
      <c r="DX35">
        <v>71.272199999999998</v>
      </c>
      <c r="DY35">
        <v>7.1162900000000002</v>
      </c>
      <c r="DZ35">
        <v>70.003399999999999</v>
      </c>
      <c r="EA35">
        <v>17.801500000000001</v>
      </c>
      <c r="EB35">
        <v>2.4880200000000001</v>
      </c>
      <c r="EC35">
        <v>1.7774700000000001</v>
      </c>
      <c r="ED35">
        <v>20.948399999999999</v>
      </c>
      <c r="EE35">
        <v>15.59</v>
      </c>
      <c r="EF35">
        <v>1799.91</v>
      </c>
      <c r="EG35">
        <v>0.97799899999999995</v>
      </c>
      <c r="EH35">
        <v>2.2000700000000002E-2</v>
      </c>
      <c r="EI35">
        <v>0</v>
      </c>
      <c r="EJ35">
        <v>845.34500000000003</v>
      </c>
      <c r="EK35">
        <v>5.0002599999999999</v>
      </c>
      <c r="EL35">
        <v>15795.8</v>
      </c>
      <c r="EM35">
        <v>17102.5</v>
      </c>
      <c r="EN35">
        <v>50</v>
      </c>
      <c r="EO35">
        <v>51.25</v>
      </c>
      <c r="EP35">
        <v>50.875</v>
      </c>
      <c r="EQ35">
        <v>50.561999999999998</v>
      </c>
      <c r="ER35">
        <v>51.061999999999998</v>
      </c>
      <c r="ES35">
        <v>1755.42</v>
      </c>
      <c r="ET35">
        <v>39.49</v>
      </c>
      <c r="EU35">
        <v>0</v>
      </c>
      <c r="EV35">
        <v>116.6000001430511</v>
      </c>
      <c r="EW35">
        <v>0</v>
      </c>
      <c r="EX35">
        <v>845.61796153846149</v>
      </c>
      <c r="EY35">
        <v>-1.795384610857</v>
      </c>
      <c r="EZ35">
        <v>-47.244444417617473</v>
      </c>
      <c r="FA35">
        <v>15802.18076923077</v>
      </c>
      <c r="FB35">
        <v>15</v>
      </c>
      <c r="FC35">
        <v>1674578679.5</v>
      </c>
      <c r="FD35" t="s">
        <v>516</v>
      </c>
      <c r="FE35">
        <v>1674578671.5</v>
      </c>
      <c r="FF35">
        <v>1674578679.5</v>
      </c>
      <c r="FG35">
        <v>23</v>
      </c>
      <c r="FH35">
        <v>4.8000000000000001E-2</v>
      </c>
      <c r="FI35">
        <v>-2E-3</v>
      </c>
      <c r="FJ35">
        <v>-1.073</v>
      </c>
      <c r="FK35">
        <v>4.3999999999999997E-2</v>
      </c>
      <c r="FL35">
        <v>70</v>
      </c>
      <c r="FM35">
        <v>18</v>
      </c>
      <c r="FN35">
        <v>0.09</v>
      </c>
      <c r="FO35">
        <v>0.01</v>
      </c>
      <c r="FP35">
        <v>11.26688121056169</v>
      </c>
      <c r="FQ35">
        <v>-0.24452004995708351</v>
      </c>
      <c r="FR35">
        <v>3.1588584018875807E-2</v>
      </c>
      <c r="FS35">
        <v>1</v>
      </c>
      <c r="FT35">
        <v>0.55029193736829285</v>
      </c>
      <c r="FU35">
        <v>4.4426427294053723E-2</v>
      </c>
      <c r="FV35">
        <v>7.2294541895235962E-3</v>
      </c>
      <c r="FW35">
        <v>1</v>
      </c>
      <c r="FX35">
        <v>2</v>
      </c>
      <c r="FY35">
        <v>2</v>
      </c>
      <c r="FZ35" t="s">
        <v>420</v>
      </c>
      <c r="GA35">
        <v>2.9288500000000002</v>
      </c>
      <c r="GB35">
        <v>2.8067099999999998</v>
      </c>
      <c r="GC35">
        <v>1.64277E-2</v>
      </c>
      <c r="GD35">
        <v>2.04166E-2</v>
      </c>
      <c r="GE35">
        <v>0.115407</v>
      </c>
      <c r="GF35">
        <v>9.2496400000000006E-2</v>
      </c>
      <c r="GG35">
        <v>29294.799999999999</v>
      </c>
      <c r="GH35">
        <v>29465.1</v>
      </c>
      <c r="GI35">
        <v>28288.799999999999</v>
      </c>
      <c r="GJ35">
        <v>27103.9</v>
      </c>
      <c r="GK35">
        <v>35928</v>
      </c>
      <c r="GL35">
        <v>32455.200000000001</v>
      </c>
      <c r="GM35">
        <v>42131.199999999997</v>
      </c>
      <c r="GN35">
        <v>36747.1</v>
      </c>
      <c r="GO35">
        <v>1.93062</v>
      </c>
      <c r="GP35">
        <v>1.8856999999999999</v>
      </c>
      <c r="GQ35">
        <v>5.9351300000000003E-2</v>
      </c>
      <c r="GR35">
        <v>0</v>
      </c>
      <c r="GS35">
        <v>26.465399999999999</v>
      </c>
      <c r="GT35">
        <v>999.9</v>
      </c>
      <c r="GU35">
        <v>49.9</v>
      </c>
      <c r="GV35">
        <v>35</v>
      </c>
      <c r="GW35">
        <v>28.227399999999999</v>
      </c>
      <c r="GX35">
        <v>62.5869</v>
      </c>
      <c r="GY35">
        <v>27.0913</v>
      </c>
      <c r="GZ35">
        <v>1</v>
      </c>
      <c r="HA35">
        <v>0.39585399999999998</v>
      </c>
      <c r="HB35">
        <v>3.0141900000000001</v>
      </c>
      <c r="HC35">
        <v>20.318000000000001</v>
      </c>
      <c r="HD35">
        <v>5.2379600000000002</v>
      </c>
      <c r="HE35">
        <v>11.9381</v>
      </c>
      <c r="HF35">
        <v>4.9726499999999998</v>
      </c>
      <c r="HG35">
        <v>3.2982800000000001</v>
      </c>
      <c r="HH35">
        <v>9999</v>
      </c>
      <c r="HI35">
        <v>9999</v>
      </c>
      <c r="HJ35">
        <v>9999</v>
      </c>
      <c r="HK35">
        <v>999.9</v>
      </c>
      <c r="HL35">
        <v>1.8739300000000001</v>
      </c>
      <c r="HM35">
        <v>1.8815599999999999</v>
      </c>
      <c r="HN35">
        <v>1.88507</v>
      </c>
      <c r="HO35">
        <v>1.8817299999999999</v>
      </c>
      <c r="HP35">
        <v>1.8791199999999999</v>
      </c>
      <c r="HQ35">
        <v>1.8738600000000001</v>
      </c>
      <c r="HR35">
        <v>1.8767</v>
      </c>
      <c r="HS35">
        <v>1.8809499999999999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-1.083</v>
      </c>
      <c r="IH35">
        <v>0.20910000000000001</v>
      </c>
      <c r="II35">
        <v>-1.1310071904006409</v>
      </c>
      <c r="IJ35">
        <v>9.4905977090923709E-4</v>
      </c>
      <c r="IK35">
        <v>-1.9106666302146479E-6</v>
      </c>
      <c r="IL35">
        <v>7.5819610513223293E-10</v>
      </c>
      <c r="IM35">
        <v>-9.0199914659174013E-2</v>
      </c>
      <c r="IN35">
        <v>-1.0595840490420019E-2</v>
      </c>
      <c r="IO35">
        <v>1.2407080968752471E-3</v>
      </c>
      <c r="IP35">
        <v>-1.3015442653884381E-5</v>
      </c>
      <c r="IQ35">
        <v>33</v>
      </c>
      <c r="IR35">
        <v>2014</v>
      </c>
      <c r="IS35">
        <v>1</v>
      </c>
      <c r="IT35">
        <v>26</v>
      </c>
      <c r="IU35">
        <v>0.7</v>
      </c>
      <c r="IV35">
        <v>0.6</v>
      </c>
      <c r="IW35">
        <v>0.29052699999999998</v>
      </c>
      <c r="IX35">
        <v>2.5634800000000002</v>
      </c>
      <c r="IY35">
        <v>1.5991200000000001</v>
      </c>
      <c r="IZ35">
        <v>2.2997999999999998</v>
      </c>
      <c r="JA35">
        <v>1.5502899999999999</v>
      </c>
      <c r="JB35">
        <v>2.3059099999999999</v>
      </c>
      <c r="JC35">
        <v>40.095300000000002</v>
      </c>
      <c r="JD35">
        <v>23.842300000000002</v>
      </c>
      <c r="JE35">
        <v>18</v>
      </c>
      <c r="JF35">
        <v>488.01</v>
      </c>
      <c r="JG35">
        <v>492.96899999999999</v>
      </c>
      <c r="JH35">
        <v>22.718800000000002</v>
      </c>
      <c r="JI35">
        <v>32.1798</v>
      </c>
      <c r="JJ35">
        <v>30.0002</v>
      </c>
      <c r="JK35">
        <v>32.216000000000001</v>
      </c>
      <c r="JL35">
        <v>32.164400000000001</v>
      </c>
      <c r="JM35">
        <v>5.8453400000000002</v>
      </c>
      <c r="JN35">
        <v>44.337800000000001</v>
      </c>
      <c r="JO35">
        <v>0</v>
      </c>
      <c r="JP35">
        <v>22.720199999999998</v>
      </c>
      <c r="JQ35">
        <v>70</v>
      </c>
      <c r="JR35">
        <v>17.6693</v>
      </c>
      <c r="JS35">
        <v>99.880799999999994</v>
      </c>
      <c r="JT35">
        <v>98.422600000000003</v>
      </c>
    </row>
    <row r="36" spans="1:280" x14ac:dyDescent="0.25">
      <c r="A36">
        <v>20</v>
      </c>
      <c r="B36">
        <v>1674578826</v>
      </c>
      <c r="C36">
        <v>3401</v>
      </c>
      <c r="D36" t="s">
        <v>517</v>
      </c>
      <c r="E36" t="s">
        <v>518</v>
      </c>
      <c r="F36" t="s">
        <v>412</v>
      </c>
      <c r="G36" t="s">
        <v>492</v>
      </c>
      <c r="H36" t="s">
        <v>493</v>
      </c>
      <c r="I36">
        <v>1674578826</v>
      </c>
      <c r="J36">
        <f t="shared" si="0"/>
        <v>6.2951526741407996E-3</v>
      </c>
      <c r="K36">
        <f t="shared" si="1"/>
        <v>6.2951526741407999</v>
      </c>
      <c r="L36">
        <f t="shared" si="2"/>
        <v>4.8025496792403963</v>
      </c>
      <c r="M36">
        <f t="shared" si="3"/>
        <v>24.03</v>
      </c>
      <c r="N36">
        <f t="shared" si="4"/>
        <v>9.0568817069718612</v>
      </c>
      <c r="O36">
        <f t="shared" si="5"/>
        <v>0.90526627397663018</v>
      </c>
      <c r="P36">
        <f t="shared" si="6"/>
        <v>2.4018806105099997</v>
      </c>
      <c r="Q36">
        <f t="shared" si="7"/>
        <v>0.57279508905673371</v>
      </c>
      <c r="R36">
        <f t="shared" si="8"/>
        <v>2.9267575440876064</v>
      </c>
      <c r="S36">
        <f t="shared" si="9"/>
        <v>0.51702952471121255</v>
      </c>
      <c r="T36">
        <f t="shared" si="10"/>
        <v>0.32770015364490834</v>
      </c>
      <c r="U36">
        <f t="shared" si="11"/>
        <v>344.41879965780282</v>
      </c>
      <c r="V36">
        <f t="shared" si="12"/>
        <v>28.387926601952252</v>
      </c>
      <c r="W36">
        <f t="shared" si="13"/>
        <v>27.417400000000001</v>
      </c>
      <c r="X36">
        <f t="shared" si="14"/>
        <v>3.6678470658568867</v>
      </c>
      <c r="Y36">
        <f t="shared" si="15"/>
        <v>65.594743949584412</v>
      </c>
      <c r="Z36">
        <f t="shared" si="16"/>
        <v>2.4883303208732994</v>
      </c>
      <c r="AA36">
        <f t="shared" si="17"/>
        <v>3.7934904095148383</v>
      </c>
      <c r="AB36">
        <f t="shared" si="18"/>
        <v>1.1795167449835873</v>
      </c>
      <c r="AC36">
        <f t="shared" si="19"/>
        <v>-277.61623292960928</v>
      </c>
      <c r="AD36">
        <f t="shared" si="20"/>
        <v>90.964408841264529</v>
      </c>
      <c r="AE36">
        <f t="shared" si="21"/>
        <v>6.7549342552179823</v>
      </c>
      <c r="AF36">
        <f t="shared" si="22"/>
        <v>164.52190982467602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52618.996424169447</v>
      </c>
      <c r="AL36" t="s">
        <v>415</v>
      </c>
      <c r="AM36">
        <v>10297.6</v>
      </c>
      <c r="AN36">
        <v>785.57400000000007</v>
      </c>
      <c r="AO36">
        <v>3597.65</v>
      </c>
      <c r="AP36">
        <f t="shared" si="26"/>
        <v>0.7816424610509638</v>
      </c>
      <c r="AQ36">
        <v>-0.62398835798131469</v>
      </c>
      <c r="AR36" t="s">
        <v>519</v>
      </c>
      <c r="AS36">
        <v>10232.700000000001</v>
      </c>
      <c r="AT36">
        <v>861.28688000000011</v>
      </c>
      <c r="AU36">
        <v>942.06956929934825</v>
      </c>
      <c r="AV36">
        <f t="shared" si="27"/>
        <v>8.5750237489816361E-2</v>
      </c>
      <c r="AW36">
        <v>0.5</v>
      </c>
      <c r="AX36">
        <f t="shared" si="28"/>
        <v>1513.4030998289013</v>
      </c>
      <c r="AY36">
        <f t="shared" si="29"/>
        <v>4.8025496792403963</v>
      </c>
      <c r="AZ36">
        <f t="shared" si="30"/>
        <v>64.887337614076273</v>
      </c>
      <c r="BA36">
        <f t="shared" si="31"/>
        <v>3.5856527833431897E-3</v>
      </c>
      <c r="BB36">
        <f t="shared" si="32"/>
        <v>2.8188793240351715</v>
      </c>
      <c r="BC36">
        <f t="shared" si="33"/>
        <v>486.26589140670313</v>
      </c>
      <c r="BD36" t="s">
        <v>520</v>
      </c>
      <c r="BE36">
        <v>581.33000000000004</v>
      </c>
      <c r="BF36">
        <f t="shared" si="34"/>
        <v>581.33000000000004</v>
      </c>
      <c r="BG36">
        <f t="shared" si="35"/>
        <v>0.38292243063072662</v>
      </c>
      <c r="BH36">
        <f t="shared" si="36"/>
        <v>0.22393631354677701</v>
      </c>
      <c r="BI36">
        <f t="shared" si="37"/>
        <v>0.88040407871202386</v>
      </c>
      <c r="BJ36">
        <f t="shared" si="38"/>
        <v>0.5161979323825151</v>
      </c>
      <c r="BK36">
        <f t="shared" si="39"/>
        <v>0.94434874117934653</v>
      </c>
      <c r="BL36">
        <f t="shared" si="40"/>
        <v>0.15114696412668896</v>
      </c>
      <c r="BM36">
        <f t="shared" si="41"/>
        <v>0.84885303587331107</v>
      </c>
      <c r="BN36">
        <v>39</v>
      </c>
      <c r="BO36">
        <v>290.00000000000011</v>
      </c>
      <c r="BP36">
        <v>915.21</v>
      </c>
      <c r="BQ36">
        <v>95</v>
      </c>
      <c r="BR36">
        <v>10232.700000000001</v>
      </c>
      <c r="BS36">
        <v>913.64</v>
      </c>
      <c r="BT36">
        <v>1.57</v>
      </c>
      <c r="BU36">
        <v>300.00000000000011</v>
      </c>
      <c r="BV36">
        <v>24.1</v>
      </c>
      <c r="BW36">
        <v>942.06956929934825</v>
      </c>
      <c r="BX36">
        <v>2.1621151454401049</v>
      </c>
      <c r="BY36">
        <v>-29.095045483139529</v>
      </c>
      <c r="BZ36">
        <v>1.965480860193743</v>
      </c>
      <c r="CA36">
        <v>0.88669898514725742</v>
      </c>
      <c r="CB36">
        <v>-6.9574716351501684E-3</v>
      </c>
      <c r="CC36">
        <v>289.99999999999989</v>
      </c>
      <c r="CD36">
        <v>910.65</v>
      </c>
      <c r="CE36">
        <v>625</v>
      </c>
      <c r="CF36">
        <v>10190</v>
      </c>
      <c r="CG36">
        <v>913.52</v>
      </c>
      <c r="CH36">
        <v>-2.87</v>
      </c>
      <c r="CV36">
        <f t="shared" si="42"/>
        <v>1800.26</v>
      </c>
      <c r="CW36">
        <f t="shared" si="43"/>
        <v>1513.4030998289013</v>
      </c>
      <c r="CX36">
        <f t="shared" si="44"/>
        <v>0.84065807151683725</v>
      </c>
      <c r="CY36">
        <f t="shared" si="45"/>
        <v>0.19131614303367447</v>
      </c>
      <c r="CZ36">
        <v>6</v>
      </c>
      <c r="DA36">
        <v>0.5</v>
      </c>
      <c r="DB36" t="s">
        <v>418</v>
      </c>
      <c r="DC36">
        <v>2</v>
      </c>
      <c r="DD36">
        <v>1674578826</v>
      </c>
      <c r="DE36">
        <v>24.03</v>
      </c>
      <c r="DF36">
        <v>29.973600000000001</v>
      </c>
      <c r="DG36">
        <v>24.8949</v>
      </c>
      <c r="DH36">
        <v>17.53</v>
      </c>
      <c r="DI36">
        <v>25.024799999999999</v>
      </c>
      <c r="DJ36">
        <v>24.683399999999999</v>
      </c>
      <c r="DK36">
        <v>500.08300000000003</v>
      </c>
      <c r="DL36">
        <v>99.853399999999993</v>
      </c>
      <c r="DM36">
        <v>0.10001699999999999</v>
      </c>
      <c r="DN36">
        <v>27.9939</v>
      </c>
      <c r="DO36">
        <v>27.417400000000001</v>
      </c>
      <c r="DP36">
        <v>999.9</v>
      </c>
      <c r="DQ36">
        <v>0</v>
      </c>
      <c r="DR36">
        <v>0</v>
      </c>
      <c r="DS36">
        <v>9998.75</v>
      </c>
      <c r="DT36">
        <v>0</v>
      </c>
      <c r="DU36">
        <v>441.54500000000002</v>
      </c>
      <c r="DV36">
        <v>-5.9436</v>
      </c>
      <c r="DW36">
        <v>24.6435</v>
      </c>
      <c r="DX36">
        <v>30.508400000000002</v>
      </c>
      <c r="DY36">
        <v>7.36496</v>
      </c>
      <c r="DZ36">
        <v>29.973600000000001</v>
      </c>
      <c r="EA36">
        <v>17.53</v>
      </c>
      <c r="EB36">
        <v>2.48584</v>
      </c>
      <c r="EC36">
        <v>1.7504299999999999</v>
      </c>
      <c r="ED36">
        <v>20.934100000000001</v>
      </c>
      <c r="EE36">
        <v>15.351000000000001</v>
      </c>
      <c r="EF36">
        <v>1800.26</v>
      </c>
      <c r="EG36">
        <v>0.97800299999999996</v>
      </c>
      <c r="EH36">
        <v>2.1996999999999999E-2</v>
      </c>
      <c r="EI36">
        <v>0</v>
      </c>
      <c r="EJ36">
        <v>861.38300000000004</v>
      </c>
      <c r="EK36">
        <v>5.0002599999999999</v>
      </c>
      <c r="EL36">
        <v>16073.3</v>
      </c>
      <c r="EM36">
        <v>17105.900000000001</v>
      </c>
      <c r="EN36">
        <v>50.125</v>
      </c>
      <c r="EO36">
        <v>51.25</v>
      </c>
      <c r="EP36">
        <v>51</v>
      </c>
      <c r="EQ36">
        <v>50.625</v>
      </c>
      <c r="ER36">
        <v>51.25</v>
      </c>
      <c r="ES36">
        <v>1755.77</v>
      </c>
      <c r="ET36">
        <v>39.49</v>
      </c>
      <c r="EU36">
        <v>0</v>
      </c>
      <c r="EV36">
        <v>110.6000001430511</v>
      </c>
      <c r="EW36">
        <v>0</v>
      </c>
      <c r="EX36">
        <v>861.28688000000011</v>
      </c>
      <c r="EY36">
        <v>-2.8001538278348672</v>
      </c>
      <c r="EZ36">
        <v>-41.207692214120542</v>
      </c>
      <c r="FA36">
        <v>16075.832</v>
      </c>
      <c r="FB36">
        <v>15</v>
      </c>
      <c r="FC36">
        <v>1674578790.5</v>
      </c>
      <c r="FD36" t="s">
        <v>521</v>
      </c>
      <c r="FE36">
        <v>1674578780</v>
      </c>
      <c r="FF36">
        <v>1674578790.5</v>
      </c>
      <c r="FG36">
        <v>24</v>
      </c>
      <c r="FH36">
        <v>0.114</v>
      </c>
      <c r="FI36">
        <v>3.0000000000000001E-3</v>
      </c>
      <c r="FJ36">
        <v>-0.99</v>
      </c>
      <c r="FK36">
        <v>3.7999999999999999E-2</v>
      </c>
      <c r="FL36">
        <v>30</v>
      </c>
      <c r="FM36">
        <v>18</v>
      </c>
      <c r="FN36">
        <v>0.28999999999999998</v>
      </c>
      <c r="FO36">
        <v>0.02</v>
      </c>
      <c r="FP36">
        <v>4.8455684966453516</v>
      </c>
      <c r="FQ36">
        <v>-0.30771518597237479</v>
      </c>
      <c r="FR36">
        <v>3.973991956363724E-2</v>
      </c>
      <c r="FS36">
        <v>1</v>
      </c>
      <c r="FT36">
        <v>0.57364253599184589</v>
      </c>
      <c r="FU36">
        <v>3.875669802827833E-2</v>
      </c>
      <c r="FV36">
        <v>6.2096912782424437E-3</v>
      </c>
      <c r="FW36">
        <v>1</v>
      </c>
      <c r="FX36">
        <v>2</v>
      </c>
      <c r="FY36">
        <v>2</v>
      </c>
      <c r="FZ36" t="s">
        <v>420</v>
      </c>
      <c r="GA36">
        <v>2.92883</v>
      </c>
      <c r="GB36">
        <v>2.8069099999999998</v>
      </c>
      <c r="GC36">
        <v>7.1773499999999999E-3</v>
      </c>
      <c r="GD36">
        <v>8.7451500000000001E-3</v>
      </c>
      <c r="GE36">
        <v>0.115319</v>
      </c>
      <c r="GF36">
        <v>9.1478500000000004E-2</v>
      </c>
      <c r="GG36">
        <v>29568.1</v>
      </c>
      <c r="GH36">
        <v>29816.5</v>
      </c>
      <c r="GI36">
        <v>28286.9</v>
      </c>
      <c r="GJ36">
        <v>27104.400000000001</v>
      </c>
      <c r="GK36">
        <v>35929.199999999997</v>
      </c>
      <c r="GL36">
        <v>32492.5</v>
      </c>
      <c r="GM36">
        <v>42128.4</v>
      </c>
      <c r="GN36">
        <v>36748.199999999997</v>
      </c>
      <c r="GO36">
        <v>1.93062</v>
      </c>
      <c r="GP36">
        <v>1.88412</v>
      </c>
      <c r="GQ36">
        <v>6.0122500000000002E-2</v>
      </c>
      <c r="GR36">
        <v>0</v>
      </c>
      <c r="GS36">
        <v>26.434100000000001</v>
      </c>
      <c r="GT36">
        <v>999.9</v>
      </c>
      <c r="GU36">
        <v>49.8</v>
      </c>
      <c r="GV36">
        <v>35.1</v>
      </c>
      <c r="GW36">
        <v>28.328399999999998</v>
      </c>
      <c r="GX36">
        <v>62.416899999999998</v>
      </c>
      <c r="GY36">
        <v>27.0593</v>
      </c>
      <c r="GZ36">
        <v>1</v>
      </c>
      <c r="HA36">
        <v>0.39765499999999998</v>
      </c>
      <c r="HB36">
        <v>2.8705099999999999</v>
      </c>
      <c r="HC36">
        <v>20.3203</v>
      </c>
      <c r="HD36">
        <v>5.2382600000000004</v>
      </c>
      <c r="HE36">
        <v>11.937799999999999</v>
      </c>
      <c r="HF36">
        <v>4.9732500000000002</v>
      </c>
      <c r="HG36">
        <v>3.2985500000000001</v>
      </c>
      <c r="HH36">
        <v>9999</v>
      </c>
      <c r="HI36">
        <v>9999</v>
      </c>
      <c r="HJ36">
        <v>9999</v>
      </c>
      <c r="HK36">
        <v>999.9</v>
      </c>
      <c r="HL36">
        <v>1.8739300000000001</v>
      </c>
      <c r="HM36">
        <v>1.88157</v>
      </c>
      <c r="HN36">
        <v>1.88507</v>
      </c>
      <c r="HO36">
        <v>1.88175</v>
      </c>
      <c r="HP36">
        <v>1.8791199999999999</v>
      </c>
      <c r="HQ36">
        <v>1.87388</v>
      </c>
      <c r="HR36">
        <v>1.8766799999999999</v>
      </c>
      <c r="HS36">
        <v>1.8809499999999999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-0.995</v>
      </c>
      <c r="IH36">
        <v>0.21149999999999999</v>
      </c>
      <c r="II36">
        <v>-1.0173825636485969</v>
      </c>
      <c r="IJ36">
        <v>9.4905977090923709E-4</v>
      </c>
      <c r="IK36">
        <v>-1.9106666302146479E-6</v>
      </c>
      <c r="IL36">
        <v>7.5819610513223293E-10</v>
      </c>
      <c r="IM36">
        <v>-8.7132295100303209E-2</v>
      </c>
      <c r="IN36">
        <v>-1.0595840490420019E-2</v>
      </c>
      <c r="IO36">
        <v>1.2407080968752471E-3</v>
      </c>
      <c r="IP36">
        <v>-1.3015442653884381E-5</v>
      </c>
      <c r="IQ36">
        <v>33</v>
      </c>
      <c r="IR36">
        <v>2014</v>
      </c>
      <c r="IS36">
        <v>1</v>
      </c>
      <c r="IT36">
        <v>26</v>
      </c>
      <c r="IU36">
        <v>0.8</v>
      </c>
      <c r="IV36">
        <v>0.6</v>
      </c>
      <c r="IW36">
        <v>0.20263700000000001</v>
      </c>
      <c r="IX36">
        <v>2.5903299999999998</v>
      </c>
      <c r="IY36">
        <v>1.5979000000000001</v>
      </c>
      <c r="IZ36">
        <v>2.2997999999999998</v>
      </c>
      <c r="JA36">
        <v>1.5502899999999999</v>
      </c>
      <c r="JB36">
        <v>2.2900399999999999</v>
      </c>
      <c r="JC36">
        <v>40.146000000000001</v>
      </c>
      <c r="JD36">
        <v>23.842300000000002</v>
      </c>
      <c r="JE36">
        <v>18</v>
      </c>
      <c r="JF36">
        <v>488.327</v>
      </c>
      <c r="JG36">
        <v>492.22899999999998</v>
      </c>
      <c r="JH36">
        <v>22.805700000000002</v>
      </c>
      <c r="JI36">
        <v>32.210599999999999</v>
      </c>
      <c r="JJ36">
        <v>30</v>
      </c>
      <c r="JK36">
        <v>32.2562</v>
      </c>
      <c r="JL36">
        <v>32.207999999999998</v>
      </c>
      <c r="JM36">
        <v>4.1082000000000001</v>
      </c>
      <c r="JN36">
        <v>45.2742</v>
      </c>
      <c r="JO36">
        <v>0</v>
      </c>
      <c r="JP36">
        <v>22.807400000000001</v>
      </c>
      <c r="JQ36">
        <v>30</v>
      </c>
      <c r="JR36">
        <v>17.406300000000002</v>
      </c>
      <c r="JS36">
        <v>99.874200000000002</v>
      </c>
      <c r="JT36">
        <v>98.424899999999994</v>
      </c>
    </row>
    <row r="37" spans="1:280" x14ac:dyDescent="0.25">
      <c r="A37">
        <v>21</v>
      </c>
      <c r="B37">
        <v>1674578939.5</v>
      </c>
      <c r="C37">
        <v>3514.5</v>
      </c>
      <c r="D37" t="s">
        <v>522</v>
      </c>
      <c r="E37" t="s">
        <v>523</v>
      </c>
      <c r="F37" t="s">
        <v>412</v>
      </c>
      <c r="G37" t="s">
        <v>492</v>
      </c>
      <c r="H37" t="s">
        <v>493</v>
      </c>
      <c r="I37">
        <v>1674578939.5</v>
      </c>
      <c r="J37">
        <f t="shared" si="0"/>
        <v>6.3694152450892777E-3</v>
      </c>
      <c r="K37">
        <f t="shared" si="1"/>
        <v>6.3694152450892778</v>
      </c>
      <c r="L37">
        <f t="shared" si="2"/>
        <v>1.3682446665973422</v>
      </c>
      <c r="M37">
        <f t="shared" si="3"/>
        <v>8.3650099999999998</v>
      </c>
      <c r="N37">
        <f t="shared" si="4"/>
        <v>4.1174925421030188</v>
      </c>
      <c r="O37">
        <f t="shared" si="5"/>
        <v>0.41152445558747319</v>
      </c>
      <c r="P37">
        <f t="shared" si="6"/>
        <v>0.83604430391403994</v>
      </c>
      <c r="Q37">
        <f t="shared" si="7"/>
        <v>0.58001423151470677</v>
      </c>
      <c r="R37">
        <f t="shared" si="8"/>
        <v>2.9276076116291434</v>
      </c>
      <c r="S37">
        <f t="shared" si="9"/>
        <v>0.52292386546400538</v>
      </c>
      <c r="T37">
        <f t="shared" si="10"/>
        <v>0.33148722790388119</v>
      </c>
      <c r="U37">
        <f t="shared" si="11"/>
        <v>344.36749965775147</v>
      </c>
      <c r="V37">
        <f t="shared" si="12"/>
        <v>28.38310192554594</v>
      </c>
      <c r="W37">
        <f t="shared" si="13"/>
        <v>27.400600000000001</v>
      </c>
      <c r="X37">
        <f t="shared" si="14"/>
        <v>3.6642407770213663</v>
      </c>
      <c r="Y37">
        <f t="shared" si="15"/>
        <v>65.431981980821448</v>
      </c>
      <c r="Z37">
        <f t="shared" si="16"/>
        <v>2.4843129236068</v>
      </c>
      <c r="AA37">
        <f t="shared" si="17"/>
        <v>3.7967869051176972</v>
      </c>
      <c r="AB37">
        <f t="shared" si="18"/>
        <v>1.1799278534145663</v>
      </c>
      <c r="AC37">
        <f t="shared" si="19"/>
        <v>-280.89121230843716</v>
      </c>
      <c r="AD37">
        <f t="shared" si="20"/>
        <v>95.994141023667083</v>
      </c>
      <c r="AE37">
        <f t="shared" si="21"/>
        <v>7.126300959226028</v>
      </c>
      <c r="AF37">
        <f t="shared" si="22"/>
        <v>166.59672933220739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52640.689291208961</v>
      </c>
      <c r="AL37" t="s">
        <v>415</v>
      </c>
      <c r="AM37">
        <v>10297.6</v>
      </c>
      <c r="AN37">
        <v>785.57400000000007</v>
      </c>
      <c r="AO37">
        <v>3597.65</v>
      </c>
      <c r="AP37">
        <f t="shared" si="26"/>
        <v>0.7816424610509638</v>
      </c>
      <c r="AQ37">
        <v>-0.62398835798131469</v>
      </c>
      <c r="AR37" t="s">
        <v>524</v>
      </c>
      <c r="AS37">
        <v>10225.1</v>
      </c>
      <c r="AT37">
        <v>867.97646153846154</v>
      </c>
      <c r="AU37">
        <v>933.97321010994369</v>
      </c>
      <c r="AV37">
        <f t="shared" si="27"/>
        <v>7.0662357182293523E-2</v>
      </c>
      <c r="AW37">
        <v>0.5</v>
      </c>
      <c r="AX37">
        <f t="shared" si="28"/>
        <v>1513.1762998288757</v>
      </c>
      <c r="AY37">
        <f t="shared" si="29"/>
        <v>1.3682446665973422</v>
      </c>
      <c r="AZ37">
        <f t="shared" si="30"/>
        <v>53.462302089144643</v>
      </c>
      <c r="BA37">
        <f t="shared" si="31"/>
        <v>1.3165901585981473E-3</v>
      </c>
      <c r="BB37">
        <f t="shared" si="32"/>
        <v>2.8519841479998109</v>
      </c>
      <c r="BC37">
        <f t="shared" si="33"/>
        <v>484.09977863006566</v>
      </c>
      <c r="BD37" t="s">
        <v>525</v>
      </c>
      <c r="BE37">
        <v>593.35</v>
      </c>
      <c r="BF37">
        <f t="shared" si="34"/>
        <v>593.35</v>
      </c>
      <c r="BG37">
        <f t="shared" si="35"/>
        <v>0.3647034052184932</v>
      </c>
      <c r="BH37">
        <f t="shared" si="36"/>
        <v>0.19375294052974326</v>
      </c>
      <c r="BI37">
        <f t="shared" si="37"/>
        <v>0.88662143923378356</v>
      </c>
      <c r="BJ37">
        <f t="shared" si="38"/>
        <v>0.44472439255294921</v>
      </c>
      <c r="BK37">
        <f t="shared" si="39"/>
        <v>0.9472278807151927</v>
      </c>
      <c r="BL37">
        <f t="shared" si="40"/>
        <v>0.13244979830392434</v>
      </c>
      <c r="BM37">
        <f t="shared" si="41"/>
        <v>0.86755020169607566</v>
      </c>
      <c r="BN37">
        <v>41</v>
      </c>
      <c r="BO37">
        <v>290.00000000000011</v>
      </c>
      <c r="BP37">
        <v>911.43</v>
      </c>
      <c r="BQ37">
        <v>135</v>
      </c>
      <c r="BR37">
        <v>10225.1</v>
      </c>
      <c r="BS37">
        <v>908.53</v>
      </c>
      <c r="BT37">
        <v>2.9</v>
      </c>
      <c r="BU37">
        <v>300.00000000000011</v>
      </c>
      <c r="BV37">
        <v>24.1</v>
      </c>
      <c r="BW37">
        <v>933.97321010994369</v>
      </c>
      <c r="BX37">
        <v>1.721141233200276</v>
      </c>
      <c r="BY37">
        <v>-26.018771591274469</v>
      </c>
      <c r="BZ37">
        <v>1.564636010731892</v>
      </c>
      <c r="CA37">
        <v>0.90805593544794494</v>
      </c>
      <c r="CB37">
        <v>-6.9575390433815384E-3</v>
      </c>
      <c r="CC37">
        <v>289.99999999999989</v>
      </c>
      <c r="CD37">
        <v>904.76</v>
      </c>
      <c r="CE37">
        <v>625</v>
      </c>
      <c r="CF37">
        <v>10190.200000000001</v>
      </c>
      <c r="CG37">
        <v>908.44</v>
      </c>
      <c r="CH37">
        <v>-3.68</v>
      </c>
      <c r="CV37">
        <f t="shared" si="42"/>
        <v>1799.99</v>
      </c>
      <c r="CW37">
        <f t="shared" si="43"/>
        <v>1513.1762998288757</v>
      </c>
      <c r="CX37">
        <f t="shared" si="44"/>
        <v>0.84065817022809886</v>
      </c>
      <c r="CY37">
        <f t="shared" si="45"/>
        <v>0.1913163404561978</v>
      </c>
      <c r="CZ37">
        <v>6</v>
      </c>
      <c r="DA37">
        <v>0.5</v>
      </c>
      <c r="DB37" t="s">
        <v>418</v>
      </c>
      <c r="DC37">
        <v>2</v>
      </c>
      <c r="DD37">
        <v>1674578939.5</v>
      </c>
      <c r="DE37">
        <v>8.3650099999999998</v>
      </c>
      <c r="DF37">
        <v>10.0707</v>
      </c>
      <c r="DG37">
        <v>24.8567</v>
      </c>
      <c r="DH37">
        <v>17.404</v>
      </c>
      <c r="DI37">
        <v>9.2826299999999993</v>
      </c>
      <c r="DJ37">
        <v>24.645900000000001</v>
      </c>
      <c r="DK37">
        <v>500.041</v>
      </c>
      <c r="DL37">
        <v>99.845399999999998</v>
      </c>
      <c r="DM37">
        <v>0.100004</v>
      </c>
      <c r="DN37">
        <v>28.008800000000001</v>
      </c>
      <c r="DO37">
        <v>27.400600000000001</v>
      </c>
      <c r="DP37">
        <v>999.9</v>
      </c>
      <c r="DQ37">
        <v>0</v>
      </c>
      <c r="DR37">
        <v>0</v>
      </c>
      <c r="DS37">
        <v>10004.4</v>
      </c>
      <c r="DT37">
        <v>0</v>
      </c>
      <c r="DU37">
        <v>454.34199999999998</v>
      </c>
      <c r="DV37">
        <v>-1.70573</v>
      </c>
      <c r="DW37">
        <v>8.5782399999999992</v>
      </c>
      <c r="DX37">
        <v>10.2491</v>
      </c>
      <c r="DY37">
        <v>7.4526599999999998</v>
      </c>
      <c r="DZ37">
        <v>10.0707</v>
      </c>
      <c r="EA37">
        <v>17.404</v>
      </c>
      <c r="EB37">
        <v>2.4818199999999999</v>
      </c>
      <c r="EC37">
        <v>1.7377100000000001</v>
      </c>
      <c r="ED37">
        <v>20.907800000000002</v>
      </c>
      <c r="EE37">
        <v>15.237399999999999</v>
      </c>
      <c r="EF37">
        <v>1799.99</v>
      </c>
      <c r="EG37">
        <v>0.97799899999999995</v>
      </c>
      <c r="EH37">
        <v>2.2000700000000002E-2</v>
      </c>
      <c r="EI37">
        <v>0</v>
      </c>
      <c r="EJ37">
        <v>867.625</v>
      </c>
      <c r="EK37">
        <v>5.0002599999999999</v>
      </c>
      <c r="EL37">
        <v>16225.2</v>
      </c>
      <c r="EM37">
        <v>17103.3</v>
      </c>
      <c r="EN37">
        <v>50.061999999999998</v>
      </c>
      <c r="EO37">
        <v>51.25</v>
      </c>
      <c r="EP37">
        <v>50.936999999999998</v>
      </c>
      <c r="EQ37">
        <v>50.561999999999998</v>
      </c>
      <c r="ER37">
        <v>51.186999999999998</v>
      </c>
      <c r="ES37">
        <v>1755.5</v>
      </c>
      <c r="ET37">
        <v>39.49</v>
      </c>
      <c r="EU37">
        <v>0</v>
      </c>
      <c r="EV37">
        <v>111.7999999523163</v>
      </c>
      <c r="EW37">
        <v>0</v>
      </c>
      <c r="EX37">
        <v>867.97646153846154</v>
      </c>
      <c r="EY37">
        <v>-1.18509401749746</v>
      </c>
      <c r="EZ37">
        <v>6.5128205219876207</v>
      </c>
      <c r="FA37">
        <v>16224.196153846149</v>
      </c>
      <c r="FB37">
        <v>15</v>
      </c>
      <c r="FC37">
        <v>1674578905.5</v>
      </c>
      <c r="FD37" t="s">
        <v>526</v>
      </c>
      <c r="FE37">
        <v>1674578890.5</v>
      </c>
      <c r="FF37">
        <v>1674578905.5</v>
      </c>
      <c r="FG37">
        <v>25</v>
      </c>
      <c r="FH37">
        <v>9.0999999999999998E-2</v>
      </c>
      <c r="FI37">
        <v>0</v>
      </c>
      <c r="FJ37">
        <v>-0.91600000000000004</v>
      </c>
      <c r="FK37">
        <v>3.5999999999999997E-2</v>
      </c>
      <c r="FL37">
        <v>10</v>
      </c>
      <c r="FM37">
        <v>17</v>
      </c>
      <c r="FN37">
        <v>0.39</v>
      </c>
      <c r="FO37">
        <v>0.01</v>
      </c>
      <c r="FP37">
        <v>1.395183043799807</v>
      </c>
      <c r="FQ37">
        <v>-2.1275704400835059E-2</v>
      </c>
      <c r="FR37">
        <v>1.673673806983705E-2</v>
      </c>
      <c r="FS37">
        <v>1</v>
      </c>
      <c r="FT37">
        <v>0.58323477085774322</v>
      </c>
      <c r="FU37">
        <v>3.7548330644810078E-2</v>
      </c>
      <c r="FV37">
        <v>7.2848769509516352E-3</v>
      </c>
      <c r="FW37">
        <v>1</v>
      </c>
      <c r="FX37">
        <v>2</v>
      </c>
      <c r="FY37">
        <v>2</v>
      </c>
      <c r="FZ37" t="s">
        <v>420</v>
      </c>
      <c r="GA37">
        <v>2.9287000000000001</v>
      </c>
      <c r="GB37">
        <v>2.8069500000000001</v>
      </c>
      <c r="GC37">
        <v>2.65394E-3</v>
      </c>
      <c r="GD37">
        <v>2.9286199999999998E-3</v>
      </c>
      <c r="GE37">
        <v>0.11518</v>
      </c>
      <c r="GF37">
        <v>9.0993500000000005E-2</v>
      </c>
      <c r="GG37">
        <v>29701.9</v>
      </c>
      <c r="GH37">
        <v>29991.9</v>
      </c>
      <c r="GI37">
        <v>28286.1</v>
      </c>
      <c r="GJ37">
        <v>27104.799999999999</v>
      </c>
      <c r="GK37">
        <v>35933.5</v>
      </c>
      <c r="GL37">
        <v>32510.5</v>
      </c>
      <c r="GM37">
        <v>42126.9</v>
      </c>
      <c r="GN37">
        <v>36749.1</v>
      </c>
      <c r="GO37">
        <v>1.9305300000000001</v>
      </c>
      <c r="GP37">
        <v>1.8833</v>
      </c>
      <c r="GQ37">
        <v>6.1005400000000001E-2</v>
      </c>
      <c r="GR37">
        <v>0</v>
      </c>
      <c r="GS37">
        <v>26.402799999999999</v>
      </c>
      <c r="GT37">
        <v>999.9</v>
      </c>
      <c r="GU37">
        <v>49.7</v>
      </c>
      <c r="GV37">
        <v>35.200000000000003</v>
      </c>
      <c r="GW37">
        <v>28.430199999999999</v>
      </c>
      <c r="GX37">
        <v>62.576900000000002</v>
      </c>
      <c r="GY37">
        <v>27.223600000000001</v>
      </c>
      <c r="GZ37">
        <v>1</v>
      </c>
      <c r="HA37">
        <v>0.39941300000000002</v>
      </c>
      <c r="HB37">
        <v>2.9933999999999998</v>
      </c>
      <c r="HC37">
        <v>20.318000000000001</v>
      </c>
      <c r="HD37">
        <v>5.2339099999999998</v>
      </c>
      <c r="HE37">
        <v>11.9381</v>
      </c>
      <c r="HF37">
        <v>4.9730499999999997</v>
      </c>
      <c r="HG37">
        <v>3.2983799999999999</v>
      </c>
      <c r="HH37">
        <v>9999</v>
      </c>
      <c r="HI37">
        <v>9999</v>
      </c>
      <c r="HJ37">
        <v>9999</v>
      </c>
      <c r="HK37">
        <v>999.9</v>
      </c>
      <c r="HL37">
        <v>1.8739300000000001</v>
      </c>
      <c r="HM37">
        <v>1.88157</v>
      </c>
      <c r="HN37">
        <v>1.88507</v>
      </c>
      <c r="HO37">
        <v>1.88175</v>
      </c>
      <c r="HP37">
        <v>1.8791199999999999</v>
      </c>
      <c r="HQ37">
        <v>1.87388</v>
      </c>
      <c r="HR37">
        <v>1.8767100000000001</v>
      </c>
      <c r="HS37">
        <v>1.8809499999999999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-0.91800000000000004</v>
      </c>
      <c r="IH37">
        <v>0.21079999999999999</v>
      </c>
      <c r="II37">
        <v>-0.92626373327650779</v>
      </c>
      <c r="IJ37">
        <v>9.4905977090923709E-4</v>
      </c>
      <c r="IK37">
        <v>-1.9106666302146479E-6</v>
      </c>
      <c r="IL37">
        <v>7.5819610513223293E-10</v>
      </c>
      <c r="IM37">
        <v>-8.6844216418431916E-2</v>
      </c>
      <c r="IN37">
        <v>-1.0595840490420019E-2</v>
      </c>
      <c r="IO37">
        <v>1.2407080968752471E-3</v>
      </c>
      <c r="IP37">
        <v>-1.3015442653884381E-5</v>
      </c>
      <c r="IQ37">
        <v>33</v>
      </c>
      <c r="IR37">
        <v>2014</v>
      </c>
      <c r="IS37">
        <v>1</v>
      </c>
      <c r="IT37">
        <v>26</v>
      </c>
      <c r="IU37">
        <v>0.8</v>
      </c>
      <c r="IV37">
        <v>0.6</v>
      </c>
      <c r="IW37">
        <v>0.15625</v>
      </c>
      <c r="IX37">
        <v>2.6061999999999999</v>
      </c>
      <c r="IY37">
        <v>1.5979000000000001</v>
      </c>
      <c r="IZ37">
        <v>2.3010299999999999</v>
      </c>
      <c r="JA37">
        <v>1.5490699999999999</v>
      </c>
      <c r="JB37">
        <v>2.3547400000000001</v>
      </c>
      <c r="JC37">
        <v>40.222000000000001</v>
      </c>
      <c r="JD37">
        <v>23.842300000000002</v>
      </c>
      <c r="JE37">
        <v>18</v>
      </c>
      <c r="JF37">
        <v>488.48200000000003</v>
      </c>
      <c r="JG37">
        <v>491.887</v>
      </c>
      <c r="JH37">
        <v>22.784800000000001</v>
      </c>
      <c r="JI37">
        <v>32.2224</v>
      </c>
      <c r="JJ37">
        <v>30.0001</v>
      </c>
      <c r="JK37">
        <v>32.283799999999999</v>
      </c>
      <c r="JL37">
        <v>32.236499999999999</v>
      </c>
      <c r="JM37">
        <v>3.1660699999999999</v>
      </c>
      <c r="JN37">
        <v>45.653799999999997</v>
      </c>
      <c r="JO37">
        <v>0</v>
      </c>
      <c r="JP37">
        <v>22.7774</v>
      </c>
      <c r="JQ37">
        <v>10</v>
      </c>
      <c r="JR37">
        <v>17.301200000000001</v>
      </c>
      <c r="JS37">
        <v>99.870999999999995</v>
      </c>
      <c r="JT37">
        <v>98.427000000000007</v>
      </c>
    </row>
    <row r="38" spans="1:280" x14ac:dyDescent="0.25">
      <c r="A38">
        <v>22</v>
      </c>
      <c r="B38">
        <v>1674579129</v>
      </c>
      <c r="C38">
        <v>3704</v>
      </c>
      <c r="D38" t="s">
        <v>527</v>
      </c>
      <c r="E38" t="s">
        <v>528</v>
      </c>
      <c r="F38" t="s">
        <v>412</v>
      </c>
      <c r="G38" t="s">
        <v>492</v>
      </c>
      <c r="H38" t="s">
        <v>493</v>
      </c>
      <c r="I38">
        <v>1674579129</v>
      </c>
      <c r="J38">
        <f t="shared" si="0"/>
        <v>5.3445398391570456E-3</v>
      </c>
      <c r="K38">
        <f t="shared" si="1"/>
        <v>5.3445398391570453</v>
      </c>
      <c r="L38">
        <f t="shared" si="2"/>
        <v>41.27908129046893</v>
      </c>
      <c r="M38">
        <f t="shared" si="3"/>
        <v>348.18</v>
      </c>
      <c r="N38">
        <f t="shared" si="4"/>
        <v>189.13636712690723</v>
      </c>
      <c r="O38">
        <f t="shared" si="5"/>
        <v>18.90229382648139</v>
      </c>
      <c r="P38">
        <f t="shared" si="6"/>
        <v>34.797118949039998</v>
      </c>
      <c r="Q38">
        <f t="shared" si="7"/>
        <v>0.46180361302307793</v>
      </c>
      <c r="R38">
        <f t="shared" si="8"/>
        <v>2.925426082376644</v>
      </c>
      <c r="S38">
        <f t="shared" si="9"/>
        <v>0.42479377075095864</v>
      </c>
      <c r="T38">
        <f t="shared" si="10"/>
        <v>0.2685736919108439</v>
      </c>
      <c r="U38">
        <f t="shared" si="11"/>
        <v>344.36749965775147</v>
      </c>
      <c r="V38">
        <f t="shared" si="12"/>
        <v>28.644163374443888</v>
      </c>
      <c r="W38">
        <f t="shared" si="13"/>
        <v>27.408799999999999</v>
      </c>
      <c r="X38">
        <f t="shared" si="14"/>
        <v>3.6660006026478404</v>
      </c>
      <c r="Y38">
        <f t="shared" si="15"/>
        <v>64.473024246174006</v>
      </c>
      <c r="Z38">
        <f t="shared" si="16"/>
        <v>2.4470615675883995</v>
      </c>
      <c r="AA38">
        <f t="shared" si="17"/>
        <v>3.7954812825979922</v>
      </c>
      <c r="AB38">
        <f t="shared" si="18"/>
        <v>1.2189390350594409</v>
      </c>
      <c r="AC38">
        <f t="shared" si="19"/>
        <v>-235.69420690682571</v>
      </c>
      <c r="AD38">
        <f t="shared" si="20"/>
        <v>93.698820703230709</v>
      </c>
      <c r="AE38">
        <f t="shared" si="21"/>
        <v>6.9611702983423562</v>
      </c>
      <c r="AF38">
        <f t="shared" si="22"/>
        <v>209.33328375249886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52578.816696436268</v>
      </c>
      <c r="AL38" t="s">
        <v>415</v>
      </c>
      <c r="AM38">
        <v>10297.6</v>
      </c>
      <c r="AN38">
        <v>785.57400000000007</v>
      </c>
      <c r="AO38">
        <v>3597.65</v>
      </c>
      <c r="AP38">
        <f t="shared" si="26"/>
        <v>0.7816424610509638</v>
      </c>
      <c r="AQ38">
        <v>-0.62398835798131469</v>
      </c>
      <c r="AR38" t="s">
        <v>529</v>
      </c>
      <c r="AS38">
        <v>10208.200000000001</v>
      </c>
      <c r="AT38">
        <v>761.18799999999999</v>
      </c>
      <c r="AU38">
        <v>1019.624336578103</v>
      </c>
      <c r="AV38">
        <f t="shared" si="27"/>
        <v>0.25346230695652572</v>
      </c>
      <c r="AW38">
        <v>0.5</v>
      </c>
      <c r="AX38">
        <f t="shared" si="28"/>
        <v>1513.1762998288757</v>
      </c>
      <c r="AY38">
        <f t="shared" si="29"/>
        <v>41.27908129046893</v>
      </c>
      <c r="AZ38">
        <f t="shared" si="30"/>
        <v>191.76657789328314</v>
      </c>
      <c r="BA38">
        <f t="shared" si="31"/>
        <v>2.7692126590397329E-2</v>
      </c>
      <c r="BB38">
        <f t="shared" si="32"/>
        <v>2.5284073466447916</v>
      </c>
      <c r="BC38">
        <f t="shared" si="33"/>
        <v>506.13724422868961</v>
      </c>
      <c r="BD38" t="s">
        <v>530</v>
      </c>
      <c r="BE38">
        <v>560.79</v>
      </c>
      <c r="BF38">
        <f t="shared" si="34"/>
        <v>560.79</v>
      </c>
      <c r="BG38">
        <f t="shared" si="35"/>
        <v>0.45000331996582976</v>
      </c>
      <c r="BH38">
        <f t="shared" si="36"/>
        <v>0.56324541555776053</v>
      </c>
      <c r="BI38">
        <f t="shared" si="37"/>
        <v>0.84891159402208105</v>
      </c>
      <c r="BJ38">
        <f t="shared" si="38"/>
        <v>1.1041912622580761</v>
      </c>
      <c r="BK38">
        <f t="shared" si="39"/>
        <v>0.91676955509804758</v>
      </c>
      <c r="BL38">
        <f t="shared" si="40"/>
        <v>0.41495976892782932</v>
      </c>
      <c r="BM38">
        <f t="shared" si="41"/>
        <v>0.58504023107217074</v>
      </c>
      <c r="BN38">
        <v>43</v>
      </c>
      <c r="BO38">
        <v>290.00000000000011</v>
      </c>
      <c r="BP38">
        <v>960.15</v>
      </c>
      <c r="BQ38">
        <v>255</v>
      </c>
      <c r="BR38">
        <v>10208.200000000001</v>
      </c>
      <c r="BS38">
        <v>961.56</v>
      </c>
      <c r="BT38">
        <v>-1.41</v>
      </c>
      <c r="BU38">
        <v>300.00000000000011</v>
      </c>
      <c r="BV38">
        <v>24.1</v>
      </c>
      <c r="BW38">
        <v>1019.624336578103</v>
      </c>
      <c r="BX38">
        <v>1.904486746298254</v>
      </c>
      <c r="BY38">
        <v>-59.273026712811273</v>
      </c>
      <c r="BZ38">
        <v>1.731483409201132</v>
      </c>
      <c r="CA38">
        <v>0.97666403909542976</v>
      </c>
      <c r="CB38">
        <v>-6.9584796440489548E-3</v>
      </c>
      <c r="CC38">
        <v>289.99999999999989</v>
      </c>
      <c r="CD38">
        <v>960.47</v>
      </c>
      <c r="CE38">
        <v>655</v>
      </c>
      <c r="CF38">
        <v>10189.1</v>
      </c>
      <c r="CG38">
        <v>961.45</v>
      </c>
      <c r="CH38">
        <v>-0.98</v>
      </c>
      <c r="CV38">
        <f t="shared" si="42"/>
        <v>1799.99</v>
      </c>
      <c r="CW38">
        <f t="shared" si="43"/>
        <v>1513.1762998288757</v>
      </c>
      <c r="CX38">
        <f t="shared" si="44"/>
        <v>0.84065817022809886</v>
      </c>
      <c r="CY38">
        <f t="shared" si="45"/>
        <v>0.1913163404561978</v>
      </c>
      <c r="CZ38">
        <v>6</v>
      </c>
      <c r="DA38">
        <v>0.5</v>
      </c>
      <c r="DB38" t="s">
        <v>418</v>
      </c>
      <c r="DC38">
        <v>2</v>
      </c>
      <c r="DD38">
        <v>1674579129</v>
      </c>
      <c r="DE38">
        <v>348.18</v>
      </c>
      <c r="DF38">
        <v>399.947</v>
      </c>
      <c r="DG38">
        <v>24.485299999999999</v>
      </c>
      <c r="DH38">
        <v>18.228999999999999</v>
      </c>
      <c r="DI38">
        <v>349.154</v>
      </c>
      <c r="DJ38">
        <v>24.281199999999998</v>
      </c>
      <c r="DK38">
        <v>500.00900000000001</v>
      </c>
      <c r="DL38">
        <v>99.84</v>
      </c>
      <c r="DM38">
        <v>0.10002800000000001</v>
      </c>
      <c r="DN38">
        <v>28.0029</v>
      </c>
      <c r="DO38">
        <v>27.408799999999999</v>
      </c>
      <c r="DP38">
        <v>999.9</v>
      </c>
      <c r="DQ38">
        <v>0</v>
      </c>
      <c r="DR38">
        <v>0</v>
      </c>
      <c r="DS38">
        <v>9992.5</v>
      </c>
      <c r="DT38">
        <v>0</v>
      </c>
      <c r="DU38">
        <v>480.92899999999997</v>
      </c>
      <c r="DV38">
        <v>-51.766399999999997</v>
      </c>
      <c r="DW38">
        <v>356.92</v>
      </c>
      <c r="DX38">
        <v>407.37299999999999</v>
      </c>
      <c r="DY38">
        <v>6.2562899999999999</v>
      </c>
      <c r="DZ38">
        <v>399.947</v>
      </c>
      <c r="EA38">
        <v>18.228999999999999</v>
      </c>
      <c r="EB38">
        <v>2.44462</v>
      </c>
      <c r="EC38">
        <v>1.81999</v>
      </c>
      <c r="ED38">
        <v>20.662400000000002</v>
      </c>
      <c r="EE38">
        <v>15.9595</v>
      </c>
      <c r="EF38">
        <v>1799.99</v>
      </c>
      <c r="EG38">
        <v>0.97799899999999995</v>
      </c>
      <c r="EH38">
        <v>2.2000700000000002E-2</v>
      </c>
      <c r="EI38">
        <v>0</v>
      </c>
      <c r="EJ38">
        <v>759.87199999999996</v>
      </c>
      <c r="EK38">
        <v>5.0002599999999999</v>
      </c>
      <c r="EL38">
        <v>14387.9</v>
      </c>
      <c r="EM38">
        <v>17103.3</v>
      </c>
      <c r="EN38">
        <v>50.061999999999998</v>
      </c>
      <c r="EO38">
        <v>51.25</v>
      </c>
      <c r="EP38">
        <v>51</v>
      </c>
      <c r="EQ38">
        <v>50.625</v>
      </c>
      <c r="ER38">
        <v>51.125</v>
      </c>
      <c r="ES38">
        <v>1755.5</v>
      </c>
      <c r="ET38">
        <v>39.49</v>
      </c>
      <c r="EU38">
        <v>0</v>
      </c>
      <c r="EV38">
        <v>187.79999995231631</v>
      </c>
      <c r="EW38">
        <v>0</v>
      </c>
      <c r="EX38">
        <v>761.18799999999999</v>
      </c>
      <c r="EY38">
        <v>-11.124000011663041</v>
      </c>
      <c r="EZ38">
        <v>-179.80000039063509</v>
      </c>
      <c r="FA38">
        <v>14403.484</v>
      </c>
      <c r="FB38">
        <v>15</v>
      </c>
      <c r="FC38">
        <v>1674579014</v>
      </c>
      <c r="FD38" t="s">
        <v>531</v>
      </c>
      <c r="FE38">
        <v>1674579003</v>
      </c>
      <c r="FF38">
        <v>1674579014</v>
      </c>
      <c r="FG38">
        <v>26</v>
      </c>
      <c r="FH38">
        <v>-0.17899999999999999</v>
      </c>
      <c r="FI38">
        <v>3.0000000000000001E-3</v>
      </c>
      <c r="FJ38">
        <v>-0.98299999999999998</v>
      </c>
      <c r="FK38">
        <v>3.5000000000000003E-2</v>
      </c>
      <c r="FL38">
        <v>401</v>
      </c>
      <c r="FM38">
        <v>17</v>
      </c>
      <c r="FN38">
        <v>0.08</v>
      </c>
      <c r="FO38">
        <v>0.01</v>
      </c>
      <c r="FP38">
        <v>40.379674716676767</v>
      </c>
      <c r="FQ38">
        <v>5.5131356288858289</v>
      </c>
      <c r="FR38">
        <v>0.53087078117749043</v>
      </c>
      <c r="FS38">
        <v>0</v>
      </c>
      <c r="FT38">
        <v>0.46971056154428698</v>
      </c>
      <c r="FU38">
        <v>-4.8758744648439212E-2</v>
      </c>
      <c r="FV38">
        <v>4.7980352518382742E-3</v>
      </c>
      <c r="FW38">
        <v>1</v>
      </c>
      <c r="FX38">
        <v>1</v>
      </c>
      <c r="FY38">
        <v>2</v>
      </c>
      <c r="FZ38" t="s">
        <v>459</v>
      </c>
      <c r="GA38">
        <v>2.9285899999999998</v>
      </c>
      <c r="GB38">
        <v>2.80687</v>
      </c>
      <c r="GC38">
        <v>8.8219599999999995E-2</v>
      </c>
      <c r="GD38">
        <v>9.9398200000000006E-2</v>
      </c>
      <c r="GE38">
        <v>0.11397599999999999</v>
      </c>
      <c r="GF38">
        <v>9.4048199999999998E-2</v>
      </c>
      <c r="GG38">
        <v>27152.2</v>
      </c>
      <c r="GH38">
        <v>27090.9</v>
      </c>
      <c r="GI38">
        <v>28285.5</v>
      </c>
      <c r="GJ38">
        <v>27106.5</v>
      </c>
      <c r="GK38">
        <v>35982.800000000003</v>
      </c>
      <c r="GL38">
        <v>32404.2</v>
      </c>
      <c r="GM38">
        <v>42126.2</v>
      </c>
      <c r="GN38">
        <v>36751.699999999997</v>
      </c>
      <c r="GO38">
        <v>1.93005</v>
      </c>
      <c r="GP38">
        <v>1.8852199999999999</v>
      </c>
      <c r="GQ38">
        <v>6.3411899999999993E-2</v>
      </c>
      <c r="GR38">
        <v>0</v>
      </c>
      <c r="GS38">
        <v>26.371600000000001</v>
      </c>
      <c r="GT38">
        <v>999.9</v>
      </c>
      <c r="GU38">
        <v>49.5</v>
      </c>
      <c r="GV38">
        <v>35.299999999999997</v>
      </c>
      <c r="GW38">
        <v>28.472200000000001</v>
      </c>
      <c r="GX38">
        <v>62.416899999999998</v>
      </c>
      <c r="GY38">
        <v>27.451899999999998</v>
      </c>
      <c r="GZ38">
        <v>1</v>
      </c>
      <c r="HA38">
        <v>0.39843800000000001</v>
      </c>
      <c r="HB38">
        <v>2.89445</v>
      </c>
      <c r="HC38">
        <v>20.3203</v>
      </c>
      <c r="HD38">
        <v>5.2404999999999999</v>
      </c>
      <c r="HE38">
        <v>11.9381</v>
      </c>
      <c r="HF38">
        <v>4.9739000000000004</v>
      </c>
      <c r="HG38">
        <v>3.2989999999999999</v>
      </c>
      <c r="HH38">
        <v>9999</v>
      </c>
      <c r="HI38">
        <v>9999</v>
      </c>
      <c r="HJ38">
        <v>9999</v>
      </c>
      <c r="HK38">
        <v>999.9</v>
      </c>
      <c r="HL38">
        <v>1.8739300000000001</v>
      </c>
      <c r="HM38">
        <v>1.88157</v>
      </c>
      <c r="HN38">
        <v>1.88507</v>
      </c>
      <c r="HO38">
        <v>1.88174</v>
      </c>
      <c r="HP38">
        <v>1.8791199999999999</v>
      </c>
      <c r="HQ38">
        <v>1.87391</v>
      </c>
      <c r="HR38">
        <v>1.8767100000000001</v>
      </c>
      <c r="HS38">
        <v>1.8809499999999999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-0.97399999999999998</v>
      </c>
      <c r="IH38">
        <v>0.2041</v>
      </c>
      <c r="II38">
        <v>-1.1048928656539501</v>
      </c>
      <c r="IJ38">
        <v>9.4905977090923709E-4</v>
      </c>
      <c r="IK38">
        <v>-1.9106666302146479E-6</v>
      </c>
      <c r="IL38">
        <v>7.5819610513223293E-10</v>
      </c>
      <c r="IM38">
        <v>-8.3797667720895544E-2</v>
      </c>
      <c r="IN38">
        <v>-1.0595840490420019E-2</v>
      </c>
      <c r="IO38">
        <v>1.2407080968752471E-3</v>
      </c>
      <c r="IP38">
        <v>-1.3015442653884381E-5</v>
      </c>
      <c r="IQ38">
        <v>33</v>
      </c>
      <c r="IR38">
        <v>2014</v>
      </c>
      <c r="IS38">
        <v>1</v>
      </c>
      <c r="IT38">
        <v>26</v>
      </c>
      <c r="IU38">
        <v>2.1</v>
      </c>
      <c r="IV38">
        <v>1.9</v>
      </c>
      <c r="IW38">
        <v>1.00586</v>
      </c>
      <c r="IX38">
        <v>2.5268600000000001</v>
      </c>
      <c r="IY38">
        <v>1.5979000000000001</v>
      </c>
      <c r="IZ38">
        <v>2.2997999999999998</v>
      </c>
      <c r="JA38">
        <v>1.5490699999999999</v>
      </c>
      <c r="JB38">
        <v>2.34253</v>
      </c>
      <c r="JC38">
        <v>40.272799999999997</v>
      </c>
      <c r="JD38">
        <v>23.842300000000002</v>
      </c>
      <c r="JE38">
        <v>18</v>
      </c>
      <c r="JF38">
        <v>488.274</v>
      </c>
      <c r="JG38">
        <v>493.44099999999997</v>
      </c>
      <c r="JH38">
        <v>22.775500000000001</v>
      </c>
      <c r="JI38">
        <v>32.222299999999997</v>
      </c>
      <c r="JJ38">
        <v>30.0001</v>
      </c>
      <c r="JK38">
        <v>32.295999999999999</v>
      </c>
      <c r="JL38">
        <v>32.2622</v>
      </c>
      <c r="JM38">
        <v>20.1831</v>
      </c>
      <c r="JN38">
        <v>42.140300000000003</v>
      </c>
      <c r="JO38">
        <v>0</v>
      </c>
      <c r="JP38">
        <v>22.775400000000001</v>
      </c>
      <c r="JQ38">
        <v>400</v>
      </c>
      <c r="JR38">
        <v>18.363</v>
      </c>
      <c r="JS38">
        <v>99.869100000000003</v>
      </c>
      <c r="JT38">
        <v>98.433599999999998</v>
      </c>
    </row>
    <row r="39" spans="1:280" x14ac:dyDescent="0.25">
      <c r="A39">
        <v>23</v>
      </c>
      <c r="B39">
        <v>1674579281.5</v>
      </c>
      <c r="C39">
        <v>3856.5</v>
      </c>
      <c r="D39" t="s">
        <v>532</v>
      </c>
      <c r="E39" t="s">
        <v>533</v>
      </c>
      <c r="F39" t="s">
        <v>412</v>
      </c>
      <c r="G39" t="s">
        <v>492</v>
      </c>
      <c r="H39" t="s">
        <v>493</v>
      </c>
      <c r="I39">
        <v>1674579281.5</v>
      </c>
      <c r="J39">
        <f t="shared" si="0"/>
        <v>4.7965400491724467E-3</v>
      </c>
      <c r="K39">
        <f t="shared" si="1"/>
        <v>4.7965400491724468</v>
      </c>
      <c r="L39">
        <f t="shared" si="2"/>
        <v>46.906808106213518</v>
      </c>
      <c r="M39">
        <f t="shared" si="3"/>
        <v>341.78699999999998</v>
      </c>
      <c r="N39">
        <f t="shared" si="4"/>
        <v>142.59089402767623</v>
      </c>
      <c r="O39">
        <f t="shared" si="5"/>
        <v>14.250970662257101</v>
      </c>
      <c r="P39">
        <f t="shared" si="6"/>
        <v>34.1592395710449</v>
      </c>
      <c r="Q39">
        <f t="shared" si="7"/>
        <v>0.41175992360984331</v>
      </c>
      <c r="R39">
        <f t="shared" si="8"/>
        <v>2.9322640297219547</v>
      </c>
      <c r="S39">
        <f t="shared" si="9"/>
        <v>0.38212427942405436</v>
      </c>
      <c r="T39">
        <f t="shared" si="10"/>
        <v>0.24131233316735079</v>
      </c>
      <c r="U39">
        <f t="shared" si="11"/>
        <v>344.37699965776102</v>
      </c>
      <c r="V39">
        <f t="shared" si="12"/>
        <v>28.795816360301998</v>
      </c>
      <c r="W39">
        <f t="shared" si="13"/>
        <v>27.4937</v>
      </c>
      <c r="X39">
        <f t="shared" si="14"/>
        <v>3.6842646359750315</v>
      </c>
      <c r="Y39">
        <f t="shared" si="15"/>
        <v>64.993724673372455</v>
      </c>
      <c r="Z39">
        <f t="shared" si="16"/>
        <v>2.4683637796457902</v>
      </c>
      <c r="AA39">
        <f t="shared" si="17"/>
        <v>3.7978493955387425</v>
      </c>
      <c r="AB39">
        <f t="shared" si="18"/>
        <v>1.2159008563292413</v>
      </c>
      <c r="AC39">
        <f t="shared" si="19"/>
        <v>-211.52741616850489</v>
      </c>
      <c r="AD39">
        <f t="shared" si="20"/>
        <v>82.187985130755351</v>
      </c>
      <c r="AE39">
        <f t="shared" si="21"/>
        <v>6.094660426160786</v>
      </c>
      <c r="AF39">
        <f t="shared" si="22"/>
        <v>221.13222904617226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52773.921252369866</v>
      </c>
      <c r="AL39" t="s">
        <v>415</v>
      </c>
      <c r="AM39">
        <v>10297.6</v>
      </c>
      <c r="AN39">
        <v>785.57400000000007</v>
      </c>
      <c r="AO39">
        <v>3597.65</v>
      </c>
      <c r="AP39">
        <f t="shared" si="26"/>
        <v>0.7816424610509638</v>
      </c>
      <c r="AQ39">
        <v>-0.62398835798131469</v>
      </c>
      <c r="AR39" t="s">
        <v>534</v>
      </c>
      <c r="AS39">
        <v>10223.1</v>
      </c>
      <c r="AT39">
        <v>756.01732000000004</v>
      </c>
      <c r="AU39">
        <v>1065.0872424363911</v>
      </c>
      <c r="AV39">
        <f t="shared" si="27"/>
        <v>0.29018272881514606</v>
      </c>
      <c r="AW39">
        <v>0.5</v>
      </c>
      <c r="AX39">
        <f t="shared" si="28"/>
        <v>1513.2182998288804</v>
      </c>
      <c r="AY39">
        <f t="shared" si="29"/>
        <v>46.906808106213518</v>
      </c>
      <c r="AZ39">
        <f t="shared" si="30"/>
        <v>219.55490776868018</v>
      </c>
      <c r="BA39">
        <f t="shared" si="31"/>
        <v>3.1410402893997366E-2</v>
      </c>
      <c r="BB39">
        <f t="shared" si="32"/>
        <v>2.3777984156212049</v>
      </c>
      <c r="BC39">
        <f t="shared" si="33"/>
        <v>517.09368114463928</v>
      </c>
      <c r="BD39" t="s">
        <v>535</v>
      </c>
      <c r="BE39">
        <v>568</v>
      </c>
      <c r="BF39">
        <f t="shared" si="34"/>
        <v>568</v>
      </c>
      <c r="BG39">
        <f t="shared" si="35"/>
        <v>0.46671035257102711</v>
      </c>
      <c r="BH39">
        <f t="shared" si="36"/>
        <v>0.62176192839215871</v>
      </c>
      <c r="BI39">
        <f t="shared" si="37"/>
        <v>0.83592585201710068</v>
      </c>
      <c r="BJ39">
        <f t="shared" si="38"/>
        <v>1.1057433978525231</v>
      </c>
      <c r="BK39">
        <f t="shared" si="39"/>
        <v>0.90060252907944482</v>
      </c>
      <c r="BL39">
        <f t="shared" si="40"/>
        <v>0.46713318066145115</v>
      </c>
      <c r="BM39">
        <f t="shared" si="41"/>
        <v>0.53286681933854885</v>
      </c>
      <c r="BN39">
        <v>45</v>
      </c>
      <c r="BO39">
        <v>290.00000000000011</v>
      </c>
      <c r="BP39">
        <v>989.26</v>
      </c>
      <c r="BQ39">
        <v>155</v>
      </c>
      <c r="BR39">
        <v>10223.1</v>
      </c>
      <c r="BS39">
        <v>989.42</v>
      </c>
      <c r="BT39">
        <v>-0.16</v>
      </c>
      <c r="BU39">
        <v>300.00000000000011</v>
      </c>
      <c r="BV39">
        <v>24.1</v>
      </c>
      <c r="BW39">
        <v>1065.0872424363911</v>
      </c>
      <c r="BX39">
        <v>1.80725758795932</v>
      </c>
      <c r="BY39">
        <v>-77.355011297957248</v>
      </c>
      <c r="BZ39">
        <v>1.643152655308536</v>
      </c>
      <c r="CA39">
        <v>0.98752373779800262</v>
      </c>
      <c r="CB39">
        <v>-6.9587650723025567E-3</v>
      </c>
      <c r="CC39">
        <v>289.99999999999989</v>
      </c>
      <c r="CD39">
        <v>988.09</v>
      </c>
      <c r="CE39">
        <v>645</v>
      </c>
      <c r="CF39">
        <v>10190.200000000001</v>
      </c>
      <c r="CG39">
        <v>989.18</v>
      </c>
      <c r="CH39">
        <v>-1.0900000000000001</v>
      </c>
      <c r="CV39">
        <f t="shared" si="42"/>
        <v>1800.04</v>
      </c>
      <c r="CW39">
        <f t="shared" si="43"/>
        <v>1513.2182998288804</v>
      </c>
      <c r="CX39">
        <f t="shared" si="44"/>
        <v>0.84065815194600146</v>
      </c>
      <c r="CY39">
        <f t="shared" si="45"/>
        <v>0.19131630389200296</v>
      </c>
      <c r="CZ39">
        <v>6</v>
      </c>
      <c r="DA39">
        <v>0.5</v>
      </c>
      <c r="DB39" t="s">
        <v>418</v>
      </c>
      <c r="DC39">
        <v>2</v>
      </c>
      <c r="DD39">
        <v>1674579281.5</v>
      </c>
      <c r="DE39">
        <v>341.78699999999998</v>
      </c>
      <c r="DF39">
        <v>400.02800000000002</v>
      </c>
      <c r="DG39">
        <v>24.697700000000001</v>
      </c>
      <c r="DH39">
        <v>19.0854</v>
      </c>
      <c r="DI39">
        <v>342.846</v>
      </c>
      <c r="DJ39">
        <v>24.491</v>
      </c>
      <c r="DK39">
        <v>500.12400000000002</v>
      </c>
      <c r="DL39">
        <v>99.843299999999999</v>
      </c>
      <c r="DM39">
        <v>9.9762699999999996E-2</v>
      </c>
      <c r="DN39">
        <v>28.0136</v>
      </c>
      <c r="DO39">
        <v>27.4937</v>
      </c>
      <c r="DP39">
        <v>999.9</v>
      </c>
      <c r="DQ39">
        <v>0</v>
      </c>
      <c r="DR39">
        <v>0</v>
      </c>
      <c r="DS39">
        <v>10031.200000000001</v>
      </c>
      <c r="DT39">
        <v>0</v>
      </c>
      <c r="DU39">
        <v>504.04</v>
      </c>
      <c r="DV39">
        <v>-58.240499999999997</v>
      </c>
      <c r="DW39">
        <v>350.44200000000001</v>
      </c>
      <c r="DX39">
        <v>407.81099999999998</v>
      </c>
      <c r="DY39">
        <v>5.6123000000000003</v>
      </c>
      <c r="DZ39">
        <v>400.02800000000002</v>
      </c>
      <c r="EA39">
        <v>19.0854</v>
      </c>
      <c r="EB39">
        <v>2.4659</v>
      </c>
      <c r="EC39">
        <v>1.9055500000000001</v>
      </c>
      <c r="ED39">
        <v>20.8032</v>
      </c>
      <c r="EE39">
        <v>16.680599999999998</v>
      </c>
      <c r="EF39">
        <v>1800.04</v>
      </c>
      <c r="EG39">
        <v>0.97799899999999995</v>
      </c>
      <c r="EH39">
        <v>2.2000700000000002E-2</v>
      </c>
      <c r="EI39">
        <v>0</v>
      </c>
      <c r="EJ39">
        <v>756.601</v>
      </c>
      <c r="EK39">
        <v>5.0002599999999999</v>
      </c>
      <c r="EL39">
        <v>14367.8</v>
      </c>
      <c r="EM39">
        <v>17103.8</v>
      </c>
      <c r="EN39">
        <v>50</v>
      </c>
      <c r="EO39">
        <v>51.311999999999998</v>
      </c>
      <c r="EP39">
        <v>51</v>
      </c>
      <c r="EQ39">
        <v>50.625</v>
      </c>
      <c r="ER39">
        <v>51.125</v>
      </c>
      <c r="ES39">
        <v>1755.55</v>
      </c>
      <c r="ET39">
        <v>39.49</v>
      </c>
      <c r="EU39">
        <v>0</v>
      </c>
      <c r="EV39">
        <v>150.60000014305109</v>
      </c>
      <c r="EW39">
        <v>0</v>
      </c>
      <c r="EX39">
        <v>756.01732000000004</v>
      </c>
      <c r="EY39">
        <v>2.5667692288064399</v>
      </c>
      <c r="EZ39">
        <v>36.869230779450689</v>
      </c>
      <c r="FA39">
        <v>14363.188</v>
      </c>
      <c r="FB39">
        <v>15</v>
      </c>
      <c r="FC39">
        <v>1674579206</v>
      </c>
      <c r="FD39" t="s">
        <v>536</v>
      </c>
      <c r="FE39">
        <v>1674579206</v>
      </c>
      <c r="FF39">
        <v>1674579200.5</v>
      </c>
      <c r="FG39">
        <v>27</v>
      </c>
      <c r="FH39">
        <v>-8.5000000000000006E-2</v>
      </c>
      <c r="FI39">
        <v>-3.0000000000000001E-3</v>
      </c>
      <c r="FJ39">
        <v>-1.0680000000000001</v>
      </c>
      <c r="FK39">
        <v>6.2E-2</v>
      </c>
      <c r="FL39">
        <v>400</v>
      </c>
      <c r="FM39">
        <v>19</v>
      </c>
      <c r="FN39">
        <v>0.05</v>
      </c>
      <c r="FO39">
        <v>0.01</v>
      </c>
      <c r="FP39">
        <v>46.77012534332782</v>
      </c>
      <c r="FQ39">
        <v>0.58172305517895762</v>
      </c>
      <c r="FR39">
        <v>6.5132485301240023E-2</v>
      </c>
      <c r="FS39">
        <v>1</v>
      </c>
      <c r="FT39">
        <v>0.4140576369506806</v>
      </c>
      <c r="FU39">
        <v>-1.04311786765896E-2</v>
      </c>
      <c r="FV39">
        <v>1.145772336764895E-3</v>
      </c>
      <c r="FW39">
        <v>1</v>
      </c>
      <c r="FX39">
        <v>2</v>
      </c>
      <c r="FY39">
        <v>2</v>
      </c>
      <c r="FZ39" t="s">
        <v>420</v>
      </c>
      <c r="GA39">
        <v>2.9289100000000001</v>
      </c>
      <c r="GB39">
        <v>2.80694</v>
      </c>
      <c r="GC39">
        <v>8.6944499999999994E-2</v>
      </c>
      <c r="GD39">
        <v>9.9423399999999995E-2</v>
      </c>
      <c r="GE39">
        <v>0.11466700000000001</v>
      </c>
      <c r="GF39">
        <v>9.7174200000000002E-2</v>
      </c>
      <c r="GG39">
        <v>27188.9</v>
      </c>
      <c r="GH39">
        <v>27092.2</v>
      </c>
      <c r="GI39">
        <v>28284.1</v>
      </c>
      <c r="GJ39">
        <v>27108.5</v>
      </c>
      <c r="GK39">
        <v>35952.6</v>
      </c>
      <c r="GL39">
        <v>32295.5</v>
      </c>
      <c r="GM39">
        <v>42123.9</v>
      </c>
      <c r="GN39">
        <v>36755.300000000003</v>
      </c>
      <c r="GO39">
        <v>1.92988</v>
      </c>
      <c r="GP39">
        <v>1.88615</v>
      </c>
      <c r="GQ39">
        <v>6.7360699999999996E-2</v>
      </c>
      <c r="GR39">
        <v>0</v>
      </c>
      <c r="GS39">
        <v>26.391999999999999</v>
      </c>
      <c r="GT39">
        <v>999.9</v>
      </c>
      <c r="GU39">
        <v>49.3</v>
      </c>
      <c r="GV39">
        <v>35.4</v>
      </c>
      <c r="GW39">
        <v>28.512699999999999</v>
      </c>
      <c r="GX39">
        <v>61.887</v>
      </c>
      <c r="GY39">
        <v>27.351800000000001</v>
      </c>
      <c r="GZ39">
        <v>1</v>
      </c>
      <c r="HA39">
        <v>0.39853100000000002</v>
      </c>
      <c r="HB39">
        <v>2.99112</v>
      </c>
      <c r="HC39">
        <v>20.3187</v>
      </c>
      <c r="HD39">
        <v>5.2388500000000002</v>
      </c>
      <c r="HE39">
        <v>11.9381</v>
      </c>
      <c r="HF39">
        <v>4.9734999999999996</v>
      </c>
      <c r="HG39">
        <v>3.2989999999999999</v>
      </c>
      <c r="HH39">
        <v>9999</v>
      </c>
      <c r="HI39">
        <v>9999</v>
      </c>
      <c r="HJ39">
        <v>9999</v>
      </c>
      <c r="HK39">
        <v>999.9</v>
      </c>
      <c r="HL39">
        <v>1.8739300000000001</v>
      </c>
      <c r="HM39">
        <v>1.8815999999999999</v>
      </c>
      <c r="HN39">
        <v>1.88507</v>
      </c>
      <c r="HO39">
        <v>1.8817999999999999</v>
      </c>
      <c r="HP39">
        <v>1.8791199999999999</v>
      </c>
      <c r="HQ39">
        <v>1.8738699999999999</v>
      </c>
      <c r="HR39">
        <v>1.87669</v>
      </c>
      <c r="HS39">
        <v>1.8809499999999999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-1.0589999999999999</v>
      </c>
      <c r="IH39">
        <v>0.20669999999999999</v>
      </c>
      <c r="II39">
        <v>-1.1900985706699141</v>
      </c>
      <c r="IJ39">
        <v>9.4905977090923709E-4</v>
      </c>
      <c r="IK39">
        <v>-1.9106666302146479E-6</v>
      </c>
      <c r="IL39">
        <v>7.5819610513223293E-10</v>
      </c>
      <c r="IM39">
        <v>-8.6795233274223421E-2</v>
      </c>
      <c r="IN39">
        <v>-1.0595840490420019E-2</v>
      </c>
      <c r="IO39">
        <v>1.2407080968752471E-3</v>
      </c>
      <c r="IP39">
        <v>-1.3015442653884381E-5</v>
      </c>
      <c r="IQ39">
        <v>33</v>
      </c>
      <c r="IR39">
        <v>2014</v>
      </c>
      <c r="IS39">
        <v>1</v>
      </c>
      <c r="IT39">
        <v>26</v>
      </c>
      <c r="IU39">
        <v>1.3</v>
      </c>
      <c r="IV39">
        <v>1.4</v>
      </c>
      <c r="IW39">
        <v>1.00708</v>
      </c>
      <c r="IX39">
        <v>2.5354000000000001</v>
      </c>
      <c r="IY39">
        <v>1.5991200000000001</v>
      </c>
      <c r="IZ39">
        <v>2.2997999999999998</v>
      </c>
      <c r="JA39">
        <v>1.5502899999999999</v>
      </c>
      <c r="JB39">
        <v>2.2607400000000002</v>
      </c>
      <c r="JC39">
        <v>40.3491</v>
      </c>
      <c r="JD39">
        <v>23.833600000000001</v>
      </c>
      <c r="JE39">
        <v>18</v>
      </c>
      <c r="JF39">
        <v>488.185</v>
      </c>
      <c r="JG39">
        <v>494.13400000000001</v>
      </c>
      <c r="JH39">
        <v>22.702300000000001</v>
      </c>
      <c r="JI39">
        <v>32.216799999999999</v>
      </c>
      <c r="JJ39">
        <v>30.000299999999999</v>
      </c>
      <c r="JK39">
        <v>32.298900000000003</v>
      </c>
      <c r="JL39">
        <v>32.267899999999997</v>
      </c>
      <c r="JM39">
        <v>20.1999</v>
      </c>
      <c r="JN39">
        <v>39.315300000000001</v>
      </c>
      <c r="JO39">
        <v>0</v>
      </c>
      <c r="JP39">
        <v>22.6906</v>
      </c>
      <c r="JQ39">
        <v>400</v>
      </c>
      <c r="JR39">
        <v>19.078099999999999</v>
      </c>
      <c r="JS39">
        <v>99.863799999999998</v>
      </c>
      <c r="JT39">
        <v>98.442300000000003</v>
      </c>
    </row>
    <row r="40" spans="1:280" x14ac:dyDescent="0.25">
      <c r="A40">
        <v>24</v>
      </c>
      <c r="B40">
        <v>1674579391.5</v>
      </c>
      <c r="C40">
        <v>3966.5</v>
      </c>
      <c r="D40" t="s">
        <v>537</v>
      </c>
      <c r="E40" t="s">
        <v>538</v>
      </c>
      <c r="F40" t="s">
        <v>412</v>
      </c>
      <c r="G40" t="s">
        <v>492</v>
      </c>
      <c r="H40" t="s">
        <v>493</v>
      </c>
      <c r="I40">
        <v>1674579391.5</v>
      </c>
      <c r="J40">
        <f t="shared" si="0"/>
        <v>4.7339245852142196E-3</v>
      </c>
      <c r="K40">
        <f t="shared" si="1"/>
        <v>4.7339245852142193</v>
      </c>
      <c r="L40">
        <f t="shared" si="2"/>
        <v>51.373383546051741</v>
      </c>
      <c r="M40">
        <f t="shared" si="3"/>
        <v>435.93200000000002</v>
      </c>
      <c r="N40">
        <f t="shared" si="4"/>
        <v>215.67276703699926</v>
      </c>
      <c r="O40">
        <f t="shared" si="5"/>
        <v>21.555200322782458</v>
      </c>
      <c r="P40">
        <f t="shared" si="6"/>
        <v>43.568790423591999</v>
      </c>
      <c r="Q40">
        <f t="shared" si="7"/>
        <v>0.4098794227847406</v>
      </c>
      <c r="R40">
        <f t="shared" si="8"/>
        <v>2.9252717530037589</v>
      </c>
      <c r="S40">
        <f t="shared" si="9"/>
        <v>0.38043869108772538</v>
      </c>
      <c r="T40">
        <f t="shared" si="10"/>
        <v>0.24024285723450312</v>
      </c>
      <c r="U40">
        <f t="shared" si="11"/>
        <v>344.37509965775911</v>
      </c>
      <c r="V40">
        <f t="shared" si="12"/>
        <v>28.796249844980984</v>
      </c>
      <c r="W40">
        <f t="shared" si="13"/>
        <v>27.4892</v>
      </c>
      <c r="X40">
        <f t="shared" si="14"/>
        <v>3.6832945885987849</v>
      </c>
      <c r="Y40">
        <f t="shared" si="15"/>
        <v>65.314211267652539</v>
      </c>
      <c r="Z40">
        <f t="shared" si="16"/>
        <v>2.4779916959628006</v>
      </c>
      <c r="AA40">
        <f t="shared" si="17"/>
        <v>3.7939548650571373</v>
      </c>
      <c r="AB40">
        <f t="shared" si="18"/>
        <v>1.2053028926359843</v>
      </c>
      <c r="AC40">
        <f t="shared" si="19"/>
        <v>-208.76607420794707</v>
      </c>
      <c r="AD40">
        <f t="shared" si="20"/>
        <v>79.926034679055064</v>
      </c>
      <c r="AE40">
        <f t="shared" si="21"/>
        <v>5.9404372910205812</v>
      </c>
      <c r="AF40">
        <f t="shared" si="22"/>
        <v>221.47549741988769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52575.660450685842</v>
      </c>
      <c r="AL40" t="s">
        <v>415</v>
      </c>
      <c r="AM40">
        <v>10297.6</v>
      </c>
      <c r="AN40">
        <v>785.57400000000007</v>
      </c>
      <c r="AO40">
        <v>3597.65</v>
      </c>
      <c r="AP40">
        <f t="shared" si="26"/>
        <v>0.7816424610509638</v>
      </c>
      <c r="AQ40">
        <v>-0.62398835798131469</v>
      </c>
      <c r="AR40" t="s">
        <v>539</v>
      </c>
      <c r="AS40">
        <v>10215.5</v>
      </c>
      <c r="AT40">
        <v>761.73692307692318</v>
      </c>
      <c r="AU40">
        <v>1116.298450539929</v>
      </c>
      <c r="AV40">
        <f t="shared" si="27"/>
        <v>0.31762252047515804</v>
      </c>
      <c r="AW40">
        <v>0.5</v>
      </c>
      <c r="AX40">
        <f t="shared" si="28"/>
        <v>1513.2098998288795</v>
      </c>
      <c r="AY40">
        <f t="shared" si="29"/>
        <v>51.373383546051741</v>
      </c>
      <c r="AZ40">
        <f t="shared" si="30"/>
        <v>240.31477119580506</v>
      </c>
      <c r="BA40">
        <f t="shared" si="31"/>
        <v>3.4362299579135155E-2</v>
      </c>
      <c r="BB40">
        <f t="shared" si="32"/>
        <v>2.2228388369256411</v>
      </c>
      <c r="BC40">
        <f t="shared" si="33"/>
        <v>528.87299904019642</v>
      </c>
      <c r="BD40" t="s">
        <v>540</v>
      </c>
      <c r="BE40">
        <v>569.75</v>
      </c>
      <c r="BF40">
        <f t="shared" si="34"/>
        <v>569.75</v>
      </c>
      <c r="BG40">
        <f t="shared" si="35"/>
        <v>0.48960781973277445</v>
      </c>
      <c r="BH40">
        <f t="shared" si="36"/>
        <v>0.64872844687920816</v>
      </c>
      <c r="BI40">
        <f t="shared" si="37"/>
        <v>0.819495871547961</v>
      </c>
      <c r="BJ40">
        <f t="shared" si="38"/>
        <v>1.0720753391052924</v>
      </c>
      <c r="BK40">
        <f t="shared" si="39"/>
        <v>0.88239135409571823</v>
      </c>
      <c r="BL40">
        <f t="shared" si="40"/>
        <v>0.48522399454713561</v>
      </c>
      <c r="BM40">
        <f t="shared" si="41"/>
        <v>0.51477600545286439</v>
      </c>
      <c r="BN40">
        <v>47</v>
      </c>
      <c r="BO40">
        <v>290.00000000000011</v>
      </c>
      <c r="BP40">
        <v>1026.98</v>
      </c>
      <c r="BQ40">
        <v>205</v>
      </c>
      <c r="BR40">
        <v>10215.5</v>
      </c>
      <c r="BS40">
        <v>1027.43</v>
      </c>
      <c r="BT40">
        <v>-0.45</v>
      </c>
      <c r="BU40">
        <v>300.00000000000011</v>
      </c>
      <c r="BV40">
        <v>24.1</v>
      </c>
      <c r="BW40">
        <v>1116.298450539929</v>
      </c>
      <c r="BX40">
        <v>1.9894121713464039</v>
      </c>
      <c r="BY40">
        <v>-90.778884133362055</v>
      </c>
      <c r="BZ40">
        <v>1.8088078739746341</v>
      </c>
      <c r="CA40">
        <v>0.98900558877711797</v>
      </c>
      <c r="CB40">
        <v>-6.9591165739710872E-3</v>
      </c>
      <c r="CC40">
        <v>289.99999999999989</v>
      </c>
      <c r="CD40">
        <v>1026.17</v>
      </c>
      <c r="CE40">
        <v>645</v>
      </c>
      <c r="CF40">
        <v>10190.4</v>
      </c>
      <c r="CG40">
        <v>1027.22</v>
      </c>
      <c r="CH40">
        <v>-1.05</v>
      </c>
      <c r="CV40">
        <f t="shared" si="42"/>
        <v>1800.03</v>
      </c>
      <c r="CW40">
        <f t="shared" si="43"/>
        <v>1513.2098998288795</v>
      </c>
      <c r="CX40">
        <f t="shared" si="44"/>
        <v>0.8406581556023397</v>
      </c>
      <c r="CY40">
        <f t="shared" si="45"/>
        <v>0.19131631120467943</v>
      </c>
      <c r="CZ40">
        <v>6</v>
      </c>
      <c r="DA40">
        <v>0.5</v>
      </c>
      <c r="DB40" t="s">
        <v>418</v>
      </c>
      <c r="DC40">
        <v>2</v>
      </c>
      <c r="DD40">
        <v>1674579391.5</v>
      </c>
      <c r="DE40">
        <v>435.93200000000002</v>
      </c>
      <c r="DF40">
        <v>500.04300000000001</v>
      </c>
      <c r="DG40">
        <v>24.793800000000001</v>
      </c>
      <c r="DH40">
        <v>19.255099999999999</v>
      </c>
      <c r="DI40">
        <v>437.07</v>
      </c>
      <c r="DJ40">
        <v>24.582699999999999</v>
      </c>
      <c r="DK40">
        <v>500.10500000000002</v>
      </c>
      <c r="DL40">
        <v>99.843699999999998</v>
      </c>
      <c r="DM40">
        <v>0.10030600000000001</v>
      </c>
      <c r="DN40">
        <v>27.995999999999999</v>
      </c>
      <c r="DO40">
        <v>27.4892</v>
      </c>
      <c r="DP40">
        <v>999.9</v>
      </c>
      <c r="DQ40">
        <v>0</v>
      </c>
      <c r="DR40">
        <v>0</v>
      </c>
      <c r="DS40">
        <v>9991.25</v>
      </c>
      <c r="DT40">
        <v>0</v>
      </c>
      <c r="DU40">
        <v>504.99400000000003</v>
      </c>
      <c r="DV40">
        <v>-64.111199999999997</v>
      </c>
      <c r="DW40">
        <v>447.01499999999999</v>
      </c>
      <c r="DX40">
        <v>509.86099999999999</v>
      </c>
      <c r="DY40">
        <v>5.5386899999999999</v>
      </c>
      <c r="DZ40">
        <v>500.04300000000001</v>
      </c>
      <c r="EA40">
        <v>19.255099999999999</v>
      </c>
      <c r="EB40">
        <v>2.4754999999999998</v>
      </c>
      <c r="EC40">
        <v>1.9225000000000001</v>
      </c>
      <c r="ED40">
        <v>20.866299999999999</v>
      </c>
      <c r="EE40">
        <v>16.8201</v>
      </c>
      <c r="EF40">
        <v>1800.03</v>
      </c>
      <c r="EG40">
        <v>0.97799899999999995</v>
      </c>
      <c r="EH40">
        <v>2.2000700000000002E-2</v>
      </c>
      <c r="EI40">
        <v>0</v>
      </c>
      <c r="EJ40">
        <v>762.06100000000004</v>
      </c>
      <c r="EK40">
        <v>5.0002599999999999</v>
      </c>
      <c r="EL40">
        <v>14469.5</v>
      </c>
      <c r="EM40">
        <v>17103.7</v>
      </c>
      <c r="EN40">
        <v>50.061999999999998</v>
      </c>
      <c r="EO40">
        <v>51.311999999999998</v>
      </c>
      <c r="EP40">
        <v>51</v>
      </c>
      <c r="EQ40">
        <v>50.625</v>
      </c>
      <c r="ER40">
        <v>51.186999999999998</v>
      </c>
      <c r="ES40">
        <v>1755.54</v>
      </c>
      <c r="ET40">
        <v>39.49</v>
      </c>
      <c r="EU40">
        <v>0</v>
      </c>
      <c r="EV40">
        <v>108.2000000476837</v>
      </c>
      <c r="EW40">
        <v>0</v>
      </c>
      <c r="EX40">
        <v>761.73692307692318</v>
      </c>
      <c r="EY40">
        <v>3.4252991383588571</v>
      </c>
      <c r="EZ40">
        <v>4.3350427162883616</v>
      </c>
      <c r="FA40">
        <v>14465.607692307691</v>
      </c>
      <c r="FB40">
        <v>15</v>
      </c>
      <c r="FC40">
        <v>1674579356</v>
      </c>
      <c r="FD40" t="s">
        <v>541</v>
      </c>
      <c r="FE40">
        <v>1674579356</v>
      </c>
      <c r="FF40">
        <v>1674579354</v>
      </c>
      <c r="FG40">
        <v>28</v>
      </c>
      <c r="FH40">
        <v>-6.0999999999999999E-2</v>
      </c>
      <c r="FI40">
        <v>2E-3</v>
      </c>
      <c r="FJ40">
        <v>-1.1599999999999999</v>
      </c>
      <c r="FK40">
        <v>7.2999999999999995E-2</v>
      </c>
      <c r="FL40">
        <v>500</v>
      </c>
      <c r="FM40">
        <v>19</v>
      </c>
      <c r="FN40">
        <v>0.03</v>
      </c>
      <c r="FO40">
        <v>0.02</v>
      </c>
      <c r="FP40">
        <v>51.335733731664547</v>
      </c>
      <c r="FQ40">
        <v>-0.15221683755257651</v>
      </c>
      <c r="FR40">
        <v>8.7022330194758274E-2</v>
      </c>
      <c r="FS40">
        <v>1</v>
      </c>
      <c r="FT40">
        <v>0.40883789144108568</v>
      </c>
      <c r="FU40">
        <v>3.2866757924768272E-2</v>
      </c>
      <c r="FV40">
        <v>3.9893174308787138E-3</v>
      </c>
      <c r="FW40">
        <v>1</v>
      </c>
      <c r="FX40">
        <v>2</v>
      </c>
      <c r="FY40">
        <v>2</v>
      </c>
      <c r="FZ40" t="s">
        <v>420</v>
      </c>
      <c r="GA40">
        <v>2.9288599999999998</v>
      </c>
      <c r="GB40">
        <v>2.8071299999999999</v>
      </c>
      <c r="GC40">
        <v>0.105077</v>
      </c>
      <c r="GD40">
        <v>0.117615</v>
      </c>
      <c r="GE40">
        <v>0.114966</v>
      </c>
      <c r="GF40">
        <v>9.7786100000000001E-2</v>
      </c>
      <c r="GG40">
        <v>26649.4</v>
      </c>
      <c r="GH40">
        <v>26545</v>
      </c>
      <c r="GI40">
        <v>28285.200000000001</v>
      </c>
      <c r="GJ40">
        <v>27109.1</v>
      </c>
      <c r="GK40">
        <v>35941.9</v>
      </c>
      <c r="GL40">
        <v>32274.7</v>
      </c>
      <c r="GM40">
        <v>42125.5</v>
      </c>
      <c r="GN40">
        <v>36756.400000000001</v>
      </c>
      <c r="GO40">
        <v>1.9287799999999999</v>
      </c>
      <c r="GP40">
        <v>1.88608</v>
      </c>
      <c r="GQ40">
        <v>6.5609799999999996E-2</v>
      </c>
      <c r="GR40">
        <v>0</v>
      </c>
      <c r="GS40">
        <v>26.4162</v>
      </c>
      <c r="GT40">
        <v>999.9</v>
      </c>
      <c r="GU40">
        <v>49.2</v>
      </c>
      <c r="GV40">
        <v>35.4</v>
      </c>
      <c r="GW40">
        <v>28.4556</v>
      </c>
      <c r="GX40">
        <v>62.286999999999999</v>
      </c>
      <c r="GY40">
        <v>27.055299999999999</v>
      </c>
      <c r="GZ40">
        <v>1</v>
      </c>
      <c r="HA40">
        <v>0.39855699999999999</v>
      </c>
      <c r="HB40">
        <v>3.0025200000000001</v>
      </c>
      <c r="HC40">
        <v>20.317699999999999</v>
      </c>
      <c r="HD40">
        <v>5.2372100000000001</v>
      </c>
      <c r="HE40">
        <v>11.937900000000001</v>
      </c>
      <c r="HF40">
        <v>4.9732500000000002</v>
      </c>
      <c r="HG40">
        <v>3.2984800000000001</v>
      </c>
      <c r="HH40">
        <v>9999</v>
      </c>
      <c r="HI40">
        <v>9999</v>
      </c>
      <c r="HJ40">
        <v>9999</v>
      </c>
      <c r="HK40">
        <v>999.9</v>
      </c>
      <c r="HL40">
        <v>1.8739300000000001</v>
      </c>
      <c r="HM40">
        <v>1.8815999999999999</v>
      </c>
      <c r="HN40">
        <v>1.88507</v>
      </c>
      <c r="HO40">
        <v>1.8817900000000001</v>
      </c>
      <c r="HP40">
        <v>1.87913</v>
      </c>
      <c r="HQ40">
        <v>1.8738600000000001</v>
      </c>
      <c r="HR40">
        <v>1.8767499999999999</v>
      </c>
      <c r="HS40">
        <v>1.8809499999999999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-1.1379999999999999</v>
      </c>
      <c r="IH40">
        <v>0.21110000000000001</v>
      </c>
      <c r="II40">
        <v>-1.2514863502648881</v>
      </c>
      <c r="IJ40">
        <v>9.4905977090923709E-4</v>
      </c>
      <c r="IK40">
        <v>-1.9106666302146479E-6</v>
      </c>
      <c r="IL40">
        <v>7.5819610513223293E-10</v>
      </c>
      <c r="IM40">
        <v>-8.4906961508252471E-2</v>
      </c>
      <c r="IN40">
        <v>-1.0595840490420019E-2</v>
      </c>
      <c r="IO40">
        <v>1.2407080968752471E-3</v>
      </c>
      <c r="IP40">
        <v>-1.3015442653884381E-5</v>
      </c>
      <c r="IQ40">
        <v>33</v>
      </c>
      <c r="IR40">
        <v>2014</v>
      </c>
      <c r="IS40">
        <v>1</v>
      </c>
      <c r="IT40">
        <v>26</v>
      </c>
      <c r="IU40">
        <v>0.6</v>
      </c>
      <c r="IV40">
        <v>0.6</v>
      </c>
      <c r="IW40">
        <v>1.2060500000000001</v>
      </c>
      <c r="IX40">
        <v>2.52075</v>
      </c>
      <c r="IY40">
        <v>1.5991200000000001</v>
      </c>
      <c r="IZ40">
        <v>2.2997999999999998</v>
      </c>
      <c r="JA40">
        <v>1.5502899999999999</v>
      </c>
      <c r="JB40">
        <v>2.3339799999999999</v>
      </c>
      <c r="JC40">
        <v>40.4</v>
      </c>
      <c r="JD40">
        <v>23.842300000000002</v>
      </c>
      <c r="JE40">
        <v>18</v>
      </c>
      <c r="JF40">
        <v>487.52699999999999</v>
      </c>
      <c r="JG40">
        <v>494.10500000000002</v>
      </c>
      <c r="JH40">
        <v>22.632300000000001</v>
      </c>
      <c r="JI40">
        <v>32.216799999999999</v>
      </c>
      <c r="JJ40">
        <v>30</v>
      </c>
      <c r="JK40">
        <v>32.304600000000001</v>
      </c>
      <c r="JL40">
        <v>32.270800000000001</v>
      </c>
      <c r="JM40">
        <v>24.185500000000001</v>
      </c>
      <c r="JN40">
        <v>39.0291</v>
      </c>
      <c r="JO40">
        <v>0</v>
      </c>
      <c r="JP40">
        <v>22.632899999999999</v>
      </c>
      <c r="JQ40">
        <v>500</v>
      </c>
      <c r="JR40">
        <v>19.197500000000002</v>
      </c>
      <c r="JS40">
        <v>99.867699999999999</v>
      </c>
      <c r="JT40">
        <v>98.444800000000001</v>
      </c>
    </row>
    <row r="41" spans="1:280" x14ac:dyDescent="0.25">
      <c r="A41">
        <v>25</v>
      </c>
      <c r="B41">
        <v>1674579507.5</v>
      </c>
      <c r="C41">
        <v>4082.5</v>
      </c>
      <c r="D41" t="s">
        <v>542</v>
      </c>
      <c r="E41" t="s">
        <v>543</v>
      </c>
      <c r="F41" t="s">
        <v>412</v>
      </c>
      <c r="G41" t="s">
        <v>492</v>
      </c>
      <c r="H41" t="s">
        <v>493</v>
      </c>
      <c r="I41">
        <v>1674579507.5</v>
      </c>
      <c r="J41">
        <f t="shared" si="0"/>
        <v>4.4645983072076883E-3</v>
      </c>
      <c r="K41">
        <f t="shared" si="1"/>
        <v>4.4645983072076882</v>
      </c>
      <c r="L41">
        <f t="shared" si="2"/>
        <v>53.155778868012902</v>
      </c>
      <c r="M41">
        <f t="shared" si="3"/>
        <v>533.36699999999996</v>
      </c>
      <c r="N41">
        <f t="shared" si="4"/>
        <v>288.43923799760631</v>
      </c>
      <c r="O41">
        <f t="shared" si="5"/>
        <v>28.826222052973328</v>
      </c>
      <c r="P41">
        <f t="shared" si="6"/>
        <v>53.303966840516388</v>
      </c>
      <c r="Q41">
        <f t="shared" si="7"/>
        <v>0.38137507776183727</v>
      </c>
      <c r="R41">
        <f t="shared" si="8"/>
        <v>2.9284748307970685</v>
      </c>
      <c r="S41">
        <f t="shared" si="9"/>
        <v>0.35577556286433459</v>
      </c>
      <c r="T41">
        <f t="shared" si="10"/>
        <v>0.22451638715003608</v>
      </c>
      <c r="U41">
        <f t="shared" si="11"/>
        <v>344.36749965775147</v>
      </c>
      <c r="V41">
        <f t="shared" si="12"/>
        <v>28.87380371364247</v>
      </c>
      <c r="W41">
        <f t="shared" si="13"/>
        <v>27.515999999999998</v>
      </c>
      <c r="X41">
        <f t="shared" si="14"/>
        <v>3.6890750503537029</v>
      </c>
      <c r="Y41">
        <f t="shared" si="15"/>
        <v>65.167089824304071</v>
      </c>
      <c r="Z41">
        <f t="shared" si="16"/>
        <v>2.4736209867808796</v>
      </c>
      <c r="AA41">
        <f t="shared" si="17"/>
        <v>3.7958131833874567</v>
      </c>
      <c r="AB41">
        <f t="shared" si="18"/>
        <v>1.2154540635728233</v>
      </c>
      <c r="AC41">
        <f t="shared" si="19"/>
        <v>-196.88878534785906</v>
      </c>
      <c r="AD41">
        <f t="shared" si="20"/>
        <v>77.108560292062123</v>
      </c>
      <c r="AE41">
        <f t="shared" si="21"/>
        <v>5.7257672163972098</v>
      </c>
      <c r="AF41">
        <f t="shared" si="22"/>
        <v>230.31304181835176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52666.286401589641</v>
      </c>
      <c r="AL41" t="s">
        <v>415</v>
      </c>
      <c r="AM41">
        <v>10297.6</v>
      </c>
      <c r="AN41">
        <v>785.57400000000007</v>
      </c>
      <c r="AO41">
        <v>3597.65</v>
      </c>
      <c r="AP41">
        <f t="shared" si="26"/>
        <v>0.7816424610509638</v>
      </c>
      <c r="AQ41">
        <v>-0.62398835798131469</v>
      </c>
      <c r="AR41" t="s">
        <v>544</v>
      </c>
      <c r="AS41">
        <v>10211.200000000001</v>
      </c>
      <c r="AT41">
        <v>765.33964000000003</v>
      </c>
      <c r="AU41">
        <v>1134.998828273571</v>
      </c>
      <c r="AV41">
        <f t="shared" si="27"/>
        <v>0.32569125100847351</v>
      </c>
      <c r="AW41">
        <v>0.5</v>
      </c>
      <c r="AX41">
        <f t="shared" si="28"/>
        <v>1513.1762998288757</v>
      </c>
      <c r="AY41">
        <f t="shared" si="29"/>
        <v>53.155778868012902</v>
      </c>
      <c r="AZ41">
        <f t="shared" si="30"/>
        <v>246.41414104381977</v>
      </c>
      <c r="BA41">
        <f t="shared" si="31"/>
        <v>3.5540979086228185E-2</v>
      </c>
      <c r="BB41">
        <f t="shared" si="32"/>
        <v>2.1697389551250281</v>
      </c>
      <c r="BC41">
        <f t="shared" si="33"/>
        <v>533.03383714655774</v>
      </c>
      <c r="BD41" t="s">
        <v>545</v>
      </c>
      <c r="BE41">
        <v>574.29999999999995</v>
      </c>
      <c r="BF41">
        <f t="shared" si="34"/>
        <v>574.29999999999995</v>
      </c>
      <c r="BG41">
        <f t="shared" si="35"/>
        <v>0.49400828820805154</v>
      </c>
      <c r="BH41">
        <f t="shared" si="36"/>
        <v>0.65928296909728912</v>
      </c>
      <c r="BI41">
        <f t="shared" si="37"/>
        <v>0.814543857550872</v>
      </c>
      <c r="BJ41">
        <f t="shared" si="38"/>
        <v>1.0579076195013772</v>
      </c>
      <c r="BK41">
        <f t="shared" si="39"/>
        <v>0.87574132837321228</v>
      </c>
      <c r="BL41">
        <f t="shared" si="40"/>
        <v>0.4947165798867717</v>
      </c>
      <c r="BM41">
        <f t="shared" si="41"/>
        <v>0.50528342011322835</v>
      </c>
      <c r="BN41">
        <v>49</v>
      </c>
      <c r="BO41">
        <v>290.00000000000011</v>
      </c>
      <c r="BP41">
        <v>1042.6500000000001</v>
      </c>
      <c r="BQ41">
        <v>235</v>
      </c>
      <c r="BR41">
        <v>10211.200000000001</v>
      </c>
      <c r="BS41">
        <v>1043.79</v>
      </c>
      <c r="BT41">
        <v>-1.1399999999999999</v>
      </c>
      <c r="BU41">
        <v>300.00000000000011</v>
      </c>
      <c r="BV41">
        <v>24.1</v>
      </c>
      <c r="BW41">
        <v>1134.998828273571</v>
      </c>
      <c r="BX41">
        <v>1.9457158789546489</v>
      </c>
      <c r="BY41">
        <v>-93.13869000351886</v>
      </c>
      <c r="BZ41">
        <v>1.769050870712773</v>
      </c>
      <c r="CA41">
        <v>0.98999968955022077</v>
      </c>
      <c r="CB41">
        <v>-6.9589644048943279E-3</v>
      </c>
      <c r="CC41">
        <v>289.99999999999989</v>
      </c>
      <c r="CD41">
        <v>1042.08</v>
      </c>
      <c r="CE41">
        <v>695</v>
      </c>
      <c r="CF41">
        <v>10187.1</v>
      </c>
      <c r="CG41">
        <v>1043.57</v>
      </c>
      <c r="CH41">
        <v>-1.49</v>
      </c>
      <c r="CV41">
        <f t="shared" si="42"/>
        <v>1799.99</v>
      </c>
      <c r="CW41">
        <f t="shared" si="43"/>
        <v>1513.1762998288757</v>
      </c>
      <c r="CX41">
        <f t="shared" si="44"/>
        <v>0.84065817022809886</v>
      </c>
      <c r="CY41">
        <f t="shared" si="45"/>
        <v>0.1913163404561978</v>
      </c>
      <c r="CZ41">
        <v>6</v>
      </c>
      <c r="DA41">
        <v>0.5</v>
      </c>
      <c r="DB41" t="s">
        <v>418</v>
      </c>
      <c r="DC41">
        <v>2</v>
      </c>
      <c r="DD41">
        <v>1674579507.5</v>
      </c>
      <c r="DE41">
        <v>533.36699999999996</v>
      </c>
      <c r="DF41">
        <v>599.99599999999998</v>
      </c>
      <c r="DG41">
        <v>24.7514</v>
      </c>
      <c r="DH41">
        <v>19.527699999999999</v>
      </c>
      <c r="DI41">
        <v>534.61500000000001</v>
      </c>
      <c r="DJ41">
        <v>24.540800000000001</v>
      </c>
      <c r="DK41">
        <v>500.11599999999999</v>
      </c>
      <c r="DL41">
        <v>99.838899999999995</v>
      </c>
      <c r="DM41">
        <v>9.9729200000000004E-2</v>
      </c>
      <c r="DN41">
        <v>28.0044</v>
      </c>
      <c r="DO41">
        <v>27.515999999999998</v>
      </c>
      <c r="DP41">
        <v>999.9</v>
      </c>
      <c r="DQ41">
        <v>0</v>
      </c>
      <c r="DR41">
        <v>0</v>
      </c>
      <c r="DS41">
        <v>10010</v>
      </c>
      <c r="DT41">
        <v>0</v>
      </c>
      <c r="DU41">
        <v>499.9</v>
      </c>
      <c r="DV41">
        <v>-66.628900000000002</v>
      </c>
      <c r="DW41">
        <v>546.904</v>
      </c>
      <c r="DX41">
        <v>611.94600000000003</v>
      </c>
      <c r="DY41">
        <v>5.2236500000000001</v>
      </c>
      <c r="DZ41">
        <v>599.99599999999998</v>
      </c>
      <c r="EA41">
        <v>19.527699999999999</v>
      </c>
      <c r="EB41">
        <v>2.4711500000000002</v>
      </c>
      <c r="EC41">
        <v>1.9496199999999999</v>
      </c>
      <c r="ED41">
        <v>20.837700000000002</v>
      </c>
      <c r="EE41">
        <v>17.041</v>
      </c>
      <c r="EF41">
        <v>1799.99</v>
      </c>
      <c r="EG41">
        <v>0.97799899999999995</v>
      </c>
      <c r="EH41">
        <v>2.2000700000000002E-2</v>
      </c>
      <c r="EI41">
        <v>0</v>
      </c>
      <c r="EJ41">
        <v>765.59400000000005</v>
      </c>
      <c r="EK41">
        <v>5.0002599999999999</v>
      </c>
      <c r="EL41">
        <v>14519.9</v>
      </c>
      <c r="EM41">
        <v>17103.3</v>
      </c>
      <c r="EN41">
        <v>50.125</v>
      </c>
      <c r="EO41">
        <v>51.311999999999998</v>
      </c>
      <c r="EP41">
        <v>51</v>
      </c>
      <c r="EQ41">
        <v>50.625</v>
      </c>
      <c r="ER41">
        <v>51.186999999999998</v>
      </c>
      <c r="ES41">
        <v>1755.5</v>
      </c>
      <c r="ET41">
        <v>39.49</v>
      </c>
      <c r="EU41">
        <v>0</v>
      </c>
      <c r="EV41">
        <v>114</v>
      </c>
      <c r="EW41">
        <v>0</v>
      </c>
      <c r="EX41">
        <v>765.33964000000003</v>
      </c>
      <c r="EY41">
        <v>0.77061536778763395</v>
      </c>
      <c r="EZ41">
        <v>37.669230794505687</v>
      </c>
      <c r="FA41">
        <v>14515.835999999999</v>
      </c>
      <c r="FB41">
        <v>15</v>
      </c>
      <c r="FC41">
        <v>1674579472.5</v>
      </c>
      <c r="FD41" t="s">
        <v>546</v>
      </c>
      <c r="FE41">
        <v>1674579472.5</v>
      </c>
      <c r="FF41">
        <v>1674579464</v>
      </c>
      <c r="FG41">
        <v>29</v>
      </c>
      <c r="FH41">
        <v>-7.2999999999999995E-2</v>
      </c>
      <c r="FI41">
        <v>1E-3</v>
      </c>
      <c r="FJ41">
        <v>-1.28</v>
      </c>
      <c r="FK41">
        <v>7.5999999999999998E-2</v>
      </c>
      <c r="FL41">
        <v>600</v>
      </c>
      <c r="FM41">
        <v>19</v>
      </c>
      <c r="FN41">
        <v>0.05</v>
      </c>
      <c r="FO41">
        <v>0.02</v>
      </c>
      <c r="FP41">
        <v>53.14913482037057</v>
      </c>
      <c r="FQ41">
        <v>-0.35883625664699942</v>
      </c>
      <c r="FR41">
        <v>8.2795846143456975E-2</v>
      </c>
      <c r="FS41">
        <v>1</v>
      </c>
      <c r="FT41">
        <v>0.38227716277300738</v>
      </c>
      <c r="FU41">
        <v>3.4847393339129028E-2</v>
      </c>
      <c r="FV41">
        <v>4.749792586419139E-3</v>
      </c>
      <c r="FW41">
        <v>1</v>
      </c>
      <c r="FX41">
        <v>2</v>
      </c>
      <c r="FY41">
        <v>2</v>
      </c>
      <c r="FZ41" t="s">
        <v>420</v>
      </c>
      <c r="GA41">
        <v>2.9288799999999999</v>
      </c>
      <c r="GB41">
        <v>2.8067199999999999</v>
      </c>
      <c r="GC41">
        <v>0.121991</v>
      </c>
      <c r="GD41">
        <v>0.134099</v>
      </c>
      <c r="GE41">
        <v>0.11482299999999999</v>
      </c>
      <c r="GF41">
        <v>9.8760799999999996E-2</v>
      </c>
      <c r="GG41">
        <v>26144.2</v>
      </c>
      <c r="GH41">
        <v>26048.2</v>
      </c>
      <c r="GI41">
        <v>28284.1</v>
      </c>
      <c r="GJ41">
        <v>27108.799999999999</v>
      </c>
      <c r="GK41">
        <v>35946.199999999997</v>
      </c>
      <c r="GL41">
        <v>32239.7</v>
      </c>
      <c r="GM41">
        <v>42123.6</v>
      </c>
      <c r="GN41">
        <v>36756.199999999997</v>
      </c>
      <c r="GO41">
        <v>1.92862</v>
      </c>
      <c r="GP41">
        <v>1.8864700000000001</v>
      </c>
      <c r="GQ41">
        <v>6.88806E-2</v>
      </c>
      <c r="GR41">
        <v>0</v>
      </c>
      <c r="GS41">
        <v>26.389500000000002</v>
      </c>
      <c r="GT41">
        <v>999.9</v>
      </c>
      <c r="GU41">
        <v>49.1</v>
      </c>
      <c r="GV41">
        <v>35.5</v>
      </c>
      <c r="GW41">
        <v>28.557400000000001</v>
      </c>
      <c r="GX41">
        <v>62.326999999999998</v>
      </c>
      <c r="GY41">
        <v>27.0913</v>
      </c>
      <c r="GZ41">
        <v>1</v>
      </c>
      <c r="HA41">
        <v>0.39829999999999999</v>
      </c>
      <c r="HB41">
        <v>2.9455200000000001</v>
      </c>
      <c r="HC41">
        <v>20.318300000000001</v>
      </c>
      <c r="HD41">
        <v>5.2364600000000001</v>
      </c>
      <c r="HE41">
        <v>11.9381</v>
      </c>
      <c r="HF41">
        <v>4.9729000000000001</v>
      </c>
      <c r="HG41">
        <v>3.2982800000000001</v>
      </c>
      <c r="HH41">
        <v>9999</v>
      </c>
      <c r="HI41">
        <v>9999</v>
      </c>
      <c r="HJ41">
        <v>9999</v>
      </c>
      <c r="HK41">
        <v>999.9</v>
      </c>
      <c r="HL41">
        <v>1.8739300000000001</v>
      </c>
      <c r="HM41">
        <v>1.8815900000000001</v>
      </c>
      <c r="HN41">
        <v>1.88507</v>
      </c>
      <c r="HO41">
        <v>1.8817299999999999</v>
      </c>
      <c r="HP41">
        <v>1.8791199999999999</v>
      </c>
      <c r="HQ41">
        <v>1.8738300000000001</v>
      </c>
      <c r="HR41">
        <v>1.8767</v>
      </c>
      <c r="HS41">
        <v>1.8809499999999999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-1.248</v>
      </c>
      <c r="IH41">
        <v>0.21060000000000001</v>
      </c>
      <c r="II41">
        <v>-1.324623389578262</v>
      </c>
      <c r="IJ41">
        <v>9.4905977090923709E-4</v>
      </c>
      <c r="IK41">
        <v>-1.9106666302146479E-6</v>
      </c>
      <c r="IL41">
        <v>7.5819610513223293E-10</v>
      </c>
      <c r="IM41">
        <v>-8.4304349369272891E-2</v>
      </c>
      <c r="IN41">
        <v>-1.0595840490420019E-2</v>
      </c>
      <c r="IO41">
        <v>1.2407080968752471E-3</v>
      </c>
      <c r="IP41">
        <v>-1.3015442653884381E-5</v>
      </c>
      <c r="IQ41">
        <v>33</v>
      </c>
      <c r="IR41">
        <v>2014</v>
      </c>
      <c r="IS41">
        <v>1</v>
      </c>
      <c r="IT41">
        <v>26</v>
      </c>
      <c r="IU41">
        <v>0.6</v>
      </c>
      <c r="IV41">
        <v>0.7</v>
      </c>
      <c r="IW41">
        <v>1.39771</v>
      </c>
      <c r="IX41">
        <v>2.51709</v>
      </c>
      <c r="IY41">
        <v>1.5979000000000001</v>
      </c>
      <c r="IZ41">
        <v>2.2997999999999998</v>
      </c>
      <c r="JA41">
        <v>1.5502899999999999</v>
      </c>
      <c r="JB41">
        <v>2.3596200000000001</v>
      </c>
      <c r="JC41">
        <v>40.451000000000001</v>
      </c>
      <c r="JD41">
        <v>23.851099999999999</v>
      </c>
      <c r="JE41">
        <v>18</v>
      </c>
      <c r="JF41">
        <v>487.43</v>
      </c>
      <c r="JG41">
        <v>494.38499999999999</v>
      </c>
      <c r="JH41">
        <v>22.6952</v>
      </c>
      <c r="JI41">
        <v>32.216799999999999</v>
      </c>
      <c r="JJ41">
        <v>30</v>
      </c>
      <c r="JK41">
        <v>32.304600000000001</v>
      </c>
      <c r="JL41">
        <v>32.270800000000001</v>
      </c>
      <c r="JM41">
        <v>28.038</v>
      </c>
      <c r="JN41">
        <v>37.763399999999997</v>
      </c>
      <c r="JO41">
        <v>0</v>
      </c>
      <c r="JP41">
        <v>22.6953</v>
      </c>
      <c r="JQ41">
        <v>600</v>
      </c>
      <c r="JR41">
        <v>19.504999999999999</v>
      </c>
      <c r="JS41">
        <v>99.863399999999999</v>
      </c>
      <c r="JT41">
        <v>98.444000000000003</v>
      </c>
    </row>
    <row r="42" spans="1:280" x14ac:dyDescent="0.25">
      <c r="A42">
        <v>26</v>
      </c>
      <c r="B42">
        <v>1674579613.5</v>
      </c>
      <c r="C42">
        <v>4188.5</v>
      </c>
      <c r="D42" t="s">
        <v>547</v>
      </c>
      <c r="E42" t="s">
        <v>548</v>
      </c>
      <c r="F42" t="s">
        <v>412</v>
      </c>
      <c r="G42" t="s">
        <v>492</v>
      </c>
      <c r="H42" t="s">
        <v>493</v>
      </c>
      <c r="I42">
        <v>1674579613.5</v>
      </c>
      <c r="J42">
        <f t="shared" si="0"/>
        <v>4.0097991046741848E-3</v>
      </c>
      <c r="K42">
        <f t="shared" si="1"/>
        <v>4.009799104674185</v>
      </c>
      <c r="L42">
        <f t="shared" si="2"/>
        <v>54.160631394610931</v>
      </c>
      <c r="M42">
        <f t="shared" si="3"/>
        <v>731.51499999999999</v>
      </c>
      <c r="N42">
        <f t="shared" si="4"/>
        <v>447.0742553644975</v>
      </c>
      <c r="O42">
        <f t="shared" si="5"/>
        <v>44.67901231334659</v>
      </c>
      <c r="P42">
        <f t="shared" si="6"/>
        <v>73.105009515144502</v>
      </c>
      <c r="Q42">
        <f t="shared" si="7"/>
        <v>0.33517920285656899</v>
      </c>
      <c r="R42">
        <f t="shared" si="8"/>
        <v>2.9299793477120666</v>
      </c>
      <c r="S42">
        <f t="shared" si="9"/>
        <v>0.31524141702158021</v>
      </c>
      <c r="T42">
        <f t="shared" si="10"/>
        <v>0.19871831139210683</v>
      </c>
      <c r="U42">
        <f t="shared" si="11"/>
        <v>344.35799965774197</v>
      </c>
      <c r="V42">
        <f t="shared" si="12"/>
        <v>28.989513265060534</v>
      </c>
      <c r="W42">
        <f t="shared" si="13"/>
        <v>27.560400000000001</v>
      </c>
      <c r="X42">
        <f t="shared" si="14"/>
        <v>3.6986690595043696</v>
      </c>
      <c r="Y42">
        <f t="shared" si="15"/>
        <v>64.992632899389747</v>
      </c>
      <c r="Z42">
        <f t="shared" si="16"/>
        <v>2.4667113167336403</v>
      </c>
      <c r="AA42">
        <f t="shared" si="17"/>
        <v>3.7953706546281523</v>
      </c>
      <c r="AB42">
        <f t="shared" si="18"/>
        <v>1.2319577427707293</v>
      </c>
      <c r="AC42">
        <f t="shared" si="19"/>
        <v>-176.83214051613155</v>
      </c>
      <c r="AD42">
        <f t="shared" si="20"/>
        <v>69.818782594483025</v>
      </c>
      <c r="AE42">
        <f t="shared" si="21"/>
        <v>5.1828911063218204</v>
      </c>
      <c r="AF42">
        <f t="shared" si="22"/>
        <v>242.5275328424153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52709.918699887443</v>
      </c>
      <c r="AL42" t="s">
        <v>415</v>
      </c>
      <c r="AM42">
        <v>10297.6</v>
      </c>
      <c r="AN42">
        <v>785.57400000000007</v>
      </c>
      <c r="AO42">
        <v>3597.65</v>
      </c>
      <c r="AP42">
        <f t="shared" si="26"/>
        <v>0.7816424610509638</v>
      </c>
      <c r="AQ42">
        <v>-0.62398835798131469</v>
      </c>
      <c r="AR42" t="s">
        <v>549</v>
      </c>
      <c r="AS42">
        <v>10206.1</v>
      </c>
      <c r="AT42">
        <v>767.56079999999997</v>
      </c>
      <c r="AU42">
        <v>1149.7164857763089</v>
      </c>
      <c r="AV42">
        <f t="shared" si="27"/>
        <v>0.33239123775655932</v>
      </c>
      <c r="AW42">
        <v>0.5</v>
      </c>
      <c r="AX42">
        <f t="shared" si="28"/>
        <v>1513.134299828871</v>
      </c>
      <c r="AY42">
        <f t="shared" si="29"/>
        <v>54.160631394610931</v>
      </c>
      <c r="AZ42">
        <f t="shared" si="30"/>
        <v>251.4762914060116</v>
      </c>
      <c r="BA42">
        <f t="shared" si="31"/>
        <v>3.6206052403139732E-2</v>
      </c>
      <c r="BB42">
        <f t="shared" si="32"/>
        <v>2.129162749693724</v>
      </c>
      <c r="BC42">
        <f t="shared" si="33"/>
        <v>536.25773198064132</v>
      </c>
      <c r="BD42" t="s">
        <v>550</v>
      </c>
      <c r="BE42">
        <v>574.61</v>
      </c>
      <c r="BF42">
        <f t="shared" si="34"/>
        <v>574.61</v>
      </c>
      <c r="BG42">
        <f t="shared" si="35"/>
        <v>0.50021591661181308</v>
      </c>
      <c r="BH42">
        <f t="shared" si="36"/>
        <v>0.66449552426878855</v>
      </c>
      <c r="BI42">
        <f t="shared" si="37"/>
        <v>0.80975888980089294</v>
      </c>
      <c r="BJ42">
        <f t="shared" si="38"/>
        <v>1.0494674494287533</v>
      </c>
      <c r="BK42">
        <f t="shared" si="39"/>
        <v>0.87050759446888759</v>
      </c>
      <c r="BL42">
        <f t="shared" si="40"/>
        <v>0.49745345671650842</v>
      </c>
      <c r="BM42">
        <f t="shared" si="41"/>
        <v>0.50254654328349158</v>
      </c>
      <c r="BN42">
        <v>51</v>
      </c>
      <c r="BO42">
        <v>290.00000000000011</v>
      </c>
      <c r="BP42">
        <v>1054.3800000000001</v>
      </c>
      <c r="BQ42">
        <v>275</v>
      </c>
      <c r="BR42">
        <v>10206.1</v>
      </c>
      <c r="BS42">
        <v>1054.1600000000001</v>
      </c>
      <c r="BT42">
        <v>0.22</v>
      </c>
      <c r="BU42">
        <v>300.00000000000011</v>
      </c>
      <c r="BV42">
        <v>24.1</v>
      </c>
      <c r="BW42">
        <v>1149.7164857763089</v>
      </c>
      <c r="BX42">
        <v>2.9891685329086952</v>
      </c>
      <c r="BY42">
        <v>-97.526335575045721</v>
      </c>
      <c r="BZ42">
        <v>2.7177018500312848</v>
      </c>
      <c r="CA42">
        <v>0.97871977566128099</v>
      </c>
      <c r="CB42">
        <v>-6.9588571746384874E-3</v>
      </c>
      <c r="CC42">
        <v>289.99999999999989</v>
      </c>
      <c r="CD42">
        <v>1052.0899999999999</v>
      </c>
      <c r="CE42">
        <v>675</v>
      </c>
      <c r="CF42">
        <v>10188.1</v>
      </c>
      <c r="CG42">
        <v>1053.99</v>
      </c>
      <c r="CH42">
        <v>-1.9</v>
      </c>
      <c r="CV42">
        <f t="shared" si="42"/>
        <v>1799.94</v>
      </c>
      <c r="CW42">
        <f t="shared" si="43"/>
        <v>1513.134299828871</v>
      </c>
      <c r="CX42">
        <f t="shared" si="44"/>
        <v>0.84065818851121199</v>
      </c>
      <c r="CY42">
        <f t="shared" si="45"/>
        <v>0.19131637702242407</v>
      </c>
      <c r="CZ42">
        <v>6</v>
      </c>
      <c r="DA42">
        <v>0.5</v>
      </c>
      <c r="DB42" t="s">
        <v>418</v>
      </c>
      <c r="DC42">
        <v>2</v>
      </c>
      <c r="DD42">
        <v>1674579613.5</v>
      </c>
      <c r="DE42">
        <v>731.51499999999999</v>
      </c>
      <c r="DF42">
        <v>800.01900000000001</v>
      </c>
      <c r="DG42">
        <v>24.6828</v>
      </c>
      <c r="DH42">
        <v>19.990400000000001</v>
      </c>
      <c r="DI42">
        <v>733.02800000000002</v>
      </c>
      <c r="DJ42">
        <v>24.476099999999999</v>
      </c>
      <c r="DK42">
        <v>500.06299999999999</v>
      </c>
      <c r="DL42">
        <v>99.836799999999997</v>
      </c>
      <c r="DM42">
        <v>9.9646299999999993E-2</v>
      </c>
      <c r="DN42">
        <v>28.002400000000002</v>
      </c>
      <c r="DO42">
        <v>27.560400000000001</v>
      </c>
      <c r="DP42">
        <v>999.9</v>
      </c>
      <c r="DQ42">
        <v>0</v>
      </c>
      <c r="DR42">
        <v>0</v>
      </c>
      <c r="DS42">
        <v>10018.799999999999</v>
      </c>
      <c r="DT42">
        <v>0</v>
      </c>
      <c r="DU42">
        <v>500.03399999999999</v>
      </c>
      <c r="DV42">
        <v>-68.503799999999998</v>
      </c>
      <c r="DW42">
        <v>750.02800000000002</v>
      </c>
      <c r="DX42">
        <v>816.33799999999997</v>
      </c>
      <c r="DY42">
        <v>4.6923700000000004</v>
      </c>
      <c r="DZ42">
        <v>800.01900000000001</v>
      </c>
      <c r="EA42">
        <v>19.990400000000001</v>
      </c>
      <c r="EB42">
        <v>2.4642499999999998</v>
      </c>
      <c r="EC42">
        <v>1.9957800000000001</v>
      </c>
      <c r="ED42">
        <v>20.792300000000001</v>
      </c>
      <c r="EE42">
        <v>17.410900000000002</v>
      </c>
      <c r="EF42">
        <v>1799.94</v>
      </c>
      <c r="EG42">
        <v>0.97799899999999995</v>
      </c>
      <c r="EH42">
        <v>2.2000700000000002E-2</v>
      </c>
      <c r="EI42">
        <v>0</v>
      </c>
      <c r="EJ42">
        <v>767.87400000000002</v>
      </c>
      <c r="EK42">
        <v>5.0002599999999999</v>
      </c>
      <c r="EL42">
        <v>14558.3</v>
      </c>
      <c r="EM42">
        <v>17102.8</v>
      </c>
      <c r="EN42">
        <v>50.061999999999998</v>
      </c>
      <c r="EO42">
        <v>51.311999999999998</v>
      </c>
      <c r="EP42">
        <v>51</v>
      </c>
      <c r="EQ42">
        <v>50.561999999999998</v>
      </c>
      <c r="ER42">
        <v>51.25</v>
      </c>
      <c r="ES42">
        <v>1755.45</v>
      </c>
      <c r="ET42">
        <v>39.49</v>
      </c>
      <c r="EU42">
        <v>0</v>
      </c>
      <c r="EV42">
        <v>104</v>
      </c>
      <c r="EW42">
        <v>0</v>
      </c>
      <c r="EX42">
        <v>767.56079999999997</v>
      </c>
      <c r="EY42">
        <v>1.561615378219519</v>
      </c>
      <c r="EZ42">
        <v>24.80769231932527</v>
      </c>
      <c r="FA42">
        <v>14556.76</v>
      </c>
      <c r="FB42">
        <v>15</v>
      </c>
      <c r="FC42">
        <v>1674579578.5</v>
      </c>
      <c r="FD42" t="s">
        <v>551</v>
      </c>
      <c r="FE42">
        <v>1674579578.5</v>
      </c>
      <c r="FF42">
        <v>1674579576</v>
      </c>
      <c r="FG42">
        <v>30</v>
      </c>
      <c r="FH42">
        <v>-0.156</v>
      </c>
      <c r="FI42">
        <v>-2E-3</v>
      </c>
      <c r="FJ42">
        <v>-1.5569999999999999</v>
      </c>
      <c r="FK42">
        <v>8.1000000000000003E-2</v>
      </c>
      <c r="FL42">
        <v>800</v>
      </c>
      <c r="FM42">
        <v>20</v>
      </c>
      <c r="FN42">
        <v>0.03</v>
      </c>
      <c r="FO42">
        <v>0.02</v>
      </c>
      <c r="FP42">
        <v>54.150546391413478</v>
      </c>
      <c r="FQ42">
        <v>-0.41344577743223382</v>
      </c>
      <c r="FR42">
        <v>7.4791341175058035E-2</v>
      </c>
      <c r="FS42">
        <v>1</v>
      </c>
      <c r="FT42">
        <v>0.33635051681669048</v>
      </c>
      <c r="FU42">
        <v>2.290572765456678E-2</v>
      </c>
      <c r="FV42">
        <v>3.329047643281749E-3</v>
      </c>
      <c r="FW42">
        <v>1</v>
      </c>
      <c r="FX42">
        <v>2</v>
      </c>
      <c r="FY42">
        <v>2</v>
      </c>
      <c r="FZ42" t="s">
        <v>420</v>
      </c>
      <c r="GA42">
        <v>2.92876</v>
      </c>
      <c r="GB42">
        <v>2.8067099999999998</v>
      </c>
      <c r="GC42">
        <v>0.15224199999999999</v>
      </c>
      <c r="GD42">
        <v>0.163413</v>
      </c>
      <c r="GE42">
        <v>0.11461</v>
      </c>
      <c r="GF42">
        <v>0.100408</v>
      </c>
      <c r="GG42">
        <v>25241.7</v>
      </c>
      <c r="GH42">
        <v>25166.2</v>
      </c>
      <c r="GI42">
        <v>28283.5</v>
      </c>
      <c r="GJ42">
        <v>27109.8</v>
      </c>
      <c r="GK42">
        <v>35954.800000000003</v>
      </c>
      <c r="GL42">
        <v>32182.5</v>
      </c>
      <c r="GM42">
        <v>42123.1</v>
      </c>
      <c r="GN42">
        <v>36757.9</v>
      </c>
      <c r="GO42">
        <v>1.92822</v>
      </c>
      <c r="GP42">
        <v>1.8873200000000001</v>
      </c>
      <c r="GQ42">
        <v>7.2419600000000001E-2</v>
      </c>
      <c r="GR42">
        <v>0</v>
      </c>
      <c r="GS42">
        <v>26.376000000000001</v>
      </c>
      <c r="GT42">
        <v>999.9</v>
      </c>
      <c r="GU42">
        <v>49</v>
      </c>
      <c r="GV42">
        <v>35.5</v>
      </c>
      <c r="GW42">
        <v>28.500900000000001</v>
      </c>
      <c r="GX42">
        <v>62.377000000000002</v>
      </c>
      <c r="GY42">
        <v>27.443899999999999</v>
      </c>
      <c r="GZ42">
        <v>1</v>
      </c>
      <c r="HA42">
        <v>0.39773599999999998</v>
      </c>
      <c r="HB42">
        <v>2.9127900000000002</v>
      </c>
      <c r="HC42">
        <v>20.319199999999999</v>
      </c>
      <c r="HD42">
        <v>5.2349600000000001</v>
      </c>
      <c r="HE42">
        <v>11.9381</v>
      </c>
      <c r="HF42">
        <v>4.9731500000000004</v>
      </c>
      <c r="HG42">
        <v>3.2982300000000002</v>
      </c>
      <c r="HH42">
        <v>9999</v>
      </c>
      <c r="HI42">
        <v>9999</v>
      </c>
      <c r="HJ42">
        <v>9999</v>
      </c>
      <c r="HK42">
        <v>999.9</v>
      </c>
      <c r="HL42">
        <v>1.8739300000000001</v>
      </c>
      <c r="HM42">
        <v>1.8815900000000001</v>
      </c>
      <c r="HN42">
        <v>1.88507</v>
      </c>
      <c r="HO42">
        <v>1.8817699999999999</v>
      </c>
      <c r="HP42">
        <v>1.8791199999999999</v>
      </c>
      <c r="HQ42">
        <v>1.8738300000000001</v>
      </c>
      <c r="HR42">
        <v>1.8767</v>
      </c>
      <c r="HS42">
        <v>1.8809499999999999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-1.5129999999999999</v>
      </c>
      <c r="IH42">
        <v>0.20669999999999999</v>
      </c>
      <c r="II42">
        <v>-1.480544693505228</v>
      </c>
      <c r="IJ42">
        <v>9.4905977090923709E-4</v>
      </c>
      <c r="IK42">
        <v>-1.9106666302146479E-6</v>
      </c>
      <c r="IL42">
        <v>7.5819610513223293E-10</v>
      </c>
      <c r="IM42">
        <v>-8.6432223600120067E-2</v>
      </c>
      <c r="IN42">
        <v>-1.0595840490420019E-2</v>
      </c>
      <c r="IO42">
        <v>1.2407080968752471E-3</v>
      </c>
      <c r="IP42">
        <v>-1.3015442653884381E-5</v>
      </c>
      <c r="IQ42">
        <v>33</v>
      </c>
      <c r="IR42">
        <v>2014</v>
      </c>
      <c r="IS42">
        <v>1</v>
      </c>
      <c r="IT42">
        <v>26</v>
      </c>
      <c r="IU42">
        <v>0.6</v>
      </c>
      <c r="IV42">
        <v>0.6</v>
      </c>
      <c r="IW42">
        <v>1.7687999999999999</v>
      </c>
      <c r="IX42">
        <v>2.5061</v>
      </c>
      <c r="IY42">
        <v>1.5991200000000001</v>
      </c>
      <c r="IZ42">
        <v>2.2997999999999998</v>
      </c>
      <c r="JA42">
        <v>1.5502899999999999</v>
      </c>
      <c r="JB42">
        <v>2.3742700000000001</v>
      </c>
      <c r="JC42">
        <v>40.502000000000002</v>
      </c>
      <c r="JD42">
        <v>23.842300000000002</v>
      </c>
      <c r="JE42">
        <v>18</v>
      </c>
      <c r="JF42">
        <v>487.15300000000002</v>
      </c>
      <c r="JG42">
        <v>494.98</v>
      </c>
      <c r="JH42">
        <v>22.685199999999998</v>
      </c>
      <c r="JI42">
        <v>32.208199999999998</v>
      </c>
      <c r="JJ42">
        <v>30</v>
      </c>
      <c r="JK42">
        <v>32.3018</v>
      </c>
      <c r="JL42">
        <v>32.270800000000001</v>
      </c>
      <c r="JM42">
        <v>35.465699999999998</v>
      </c>
      <c r="JN42">
        <v>35.942399999999999</v>
      </c>
      <c r="JO42">
        <v>0</v>
      </c>
      <c r="JP42">
        <v>22.6846</v>
      </c>
      <c r="JQ42">
        <v>800</v>
      </c>
      <c r="JR42">
        <v>19.999500000000001</v>
      </c>
      <c r="JS42">
        <v>99.861900000000006</v>
      </c>
      <c r="JT42">
        <v>98.4482</v>
      </c>
    </row>
    <row r="43" spans="1:280" x14ac:dyDescent="0.25">
      <c r="A43">
        <v>27</v>
      </c>
      <c r="B43">
        <v>1674579730</v>
      </c>
      <c r="C43">
        <v>4305</v>
      </c>
      <c r="D43" t="s">
        <v>552</v>
      </c>
      <c r="E43" t="s">
        <v>553</v>
      </c>
      <c r="F43" t="s">
        <v>412</v>
      </c>
      <c r="G43" t="s">
        <v>492</v>
      </c>
      <c r="H43" t="s">
        <v>493</v>
      </c>
      <c r="I43">
        <v>1674579730</v>
      </c>
      <c r="J43">
        <f t="shared" si="0"/>
        <v>3.5874802343536932E-3</v>
      </c>
      <c r="K43">
        <f t="shared" si="1"/>
        <v>3.5874802343536931</v>
      </c>
      <c r="L43">
        <f t="shared" si="2"/>
        <v>53.447363137488587</v>
      </c>
      <c r="M43">
        <f t="shared" si="3"/>
        <v>1130.96</v>
      </c>
      <c r="N43">
        <f t="shared" si="4"/>
        <v>807.56940630768486</v>
      </c>
      <c r="O43">
        <f t="shared" si="5"/>
        <v>80.706768766262797</v>
      </c>
      <c r="P43">
        <f t="shared" si="6"/>
        <v>113.02573684807999</v>
      </c>
      <c r="Q43">
        <f t="shared" si="7"/>
        <v>0.29510948496790118</v>
      </c>
      <c r="R43">
        <f t="shared" si="8"/>
        <v>2.9241785200734633</v>
      </c>
      <c r="S43">
        <f t="shared" si="9"/>
        <v>0.27950572936133661</v>
      </c>
      <c r="T43">
        <f t="shared" si="10"/>
        <v>0.17602423265306744</v>
      </c>
      <c r="U43">
        <f t="shared" si="11"/>
        <v>344.41119965779524</v>
      </c>
      <c r="V43">
        <f t="shared" si="12"/>
        <v>29.098394488143658</v>
      </c>
      <c r="W43">
        <f t="shared" si="13"/>
        <v>27.6297</v>
      </c>
      <c r="X43">
        <f t="shared" si="14"/>
        <v>3.7136870073973158</v>
      </c>
      <c r="Y43">
        <f t="shared" si="15"/>
        <v>65.108925092349793</v>
      </c>
      <c r="Z43">
        <f t="shared" si="16"/>
        <v>2.4706640963059998</v>
      </c>
      <c r="AA43">
        <f t="shared" si="17"/>
        <v>3.7946627022357333</v>
      </c>
      <c r="AB43">
        <f t="shared" si="18"/>
        <v>1.243022911091316</v>
      </c>
      <c r="AC43">
        <f t="shared" si="19"/>
        <v>-158.20787833499787</v>
      </c>
      <c r="AD43">
        <f t="shared" si="20"/>
        <v>58.25105142226689</v>
      </c>
      <c r="AE43">
        <f t="shared" si="21"/>
        <v>4.3341839606566426</v>
      </c>
      <c r="AF43">
        <f t="shared" si="22"/>
        <v>248.78855670572088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52543.520366667355</v>
      </c>
      <c r="AL43" t="s">
        <v>415</v>
      </c>
      <c r="AM43">
        <v>10297.6</v>
      </c>
      <c r="AN43">
        <v>785.57400000000007</v>
      </c>
      <c r="AO43">
        <v>3597.65</v>
      </c>
      <c r="AP43">
        <f t="shared" si="26"/>
        <v>0.7816424610509638</v>
      </c>
      <c r="AQ43">
        <v>-0.62398835798131469</v>
      </c>
      <c r="AR43" t="s">
        <v>554</v>
      </c>
      <c r="AS43">
        <v>10226.5</v>
      </c>
      <c r="AT43">
        <v>769.26073076923069</v>
      </c>
      <c r="AU43">
        <v>1159.4830611414959</v>
      </c>
      <c r="AV43">
        <f t="shared" si="27"/>
        <v>0.3365485391292361</v>
      </c>
      <c r="AW43">
        <v>0.5</v>
      </c>
      <c r="AX43">
        <f t="shared" si="28"/>
        <v>1513.3694998288975</v>
      </c>
      <c r="AY43">
        <f t="shared" si="29"/>
        <v>53.447363137488587</v>
      </c>
      <c r="AZ43">
        <f t="shared" si="30"/>
        <v>254.66114716507909</v>
      </c>
      <c r="BA43">
        <f t="shared" si="31"/>
        <v>3.5729114073980772E-2</v>
      </c>
      <c r="BB43">
        <f t="shared" si="32"/>
        <v>2.1028051384020743</v>
      </c>
      <c r="BC43">
        <f t="shared" si="33"/>
        <v>538.37289523213678</v>
      </c>
      <c r="BD43" t="s">
        <v>555</v>
      </c>
      <c r="BE43">
        <v>575.80999999999995</v>
      </c>
      <c r="BF43">
        <f t="shared" si="34"/>
        <v>575.80999999999995</v>
      </c>
      <c r="BG43">
        <f t="shared" si="35"/>
        <v>0.5033907615406451</v>
      </c>
      <c r="BH43">
        <f t="shared" si="36"/>
        <v>0.66856320147635906</v>
      </c>
      <c r="BI43">
        <f t="shared" si="37"/>
        <v>0.80684845619175871</v>
      </c>
      <c r="BJ43">
        <f t="shared" si="38"/>
        <v>1.0436289754010428</v>
      </c>
      <c r="BK43">
        <f t="shared" si="39"/>
        <v>0.86703451075237803</v>
      </c>
      <c r="BL43">
        <f t="shared" si="40"/>
        <v>0.50043549819207844</v>
      </c>
      <c r="BM43">
        <f t="shared" si="41"/>
        <v>0.49956450180792156</v>
      </c>
      <c r="BN43">
        <v>53</v>
      </c>
      <c r="BO43">
        <v>290.00000000000011</v>
      </c>
      <c r="BP43">
        <v>1060</v>
      </c>
      <c r="BQ43">
        <v>135</v>
      </c>
      <c r="BR43">
        <v>10226.5</v>
      </c>
      <c r="BS43">
        <v>1060.6099999999999</v>
      </c>
      <c r="BT43">
        <v>-0.61</v>
      </c>
      <c r="BU43">
        <v>300.00000000000011</v>
      </c>
      <c r="BV43">
        <v>24.1</v>
      </c>
      <c r="BW43">
        <v>1159.4830611414959</v>
      </c>
      <c r="BX43">
        <v>1.917727887453718</v>
      </c>
      <c r="BY43">
        <v>-101.1091848865961</v>
      </c>
      <c r="BZ43">
        <v>1.7435594403472261</v>
      </c>
      <c r="CA43">
        <v>0.99174248735393433</v>
      </c>
      <c r="CB43">
        <v>-6.9589381535038923E-3</v>
      </c>
      <c r="CC43">
        <v>289.99999999999989</v>
      </c>
      <c r="CD43">
        <v>1058.32</v>
      </c>
      <c r="CE43">
        <v>675</v>
      </c>
      <c r="CF43">
        <v>10188</v>
      </c>
      <c r="CG43">
        <v>1060.24</v>
      </c>
      <c r="CH43">
        <v>-1.92</v>
      </c>
      <c r="CV43">
        <f t="shared" si="42"/>
        <v>1800.22</v>
      </c>
      <c r="CW43">
        <f t="shared" si="43"/>
        <v>1513.3694998288975</v>
      </c>
      <c r="CX43">
        <f t="shared" si="44"/>
        <v>0.8406580861388594</v>
      </c>
      <c r="CY43">
        <f t="shared" si="45"/>
        <v>0.19131617227771897</v>
      </c>
      <c r="CZ43">
        <v>6</v>
      </c>
      <c r="DA43">
        <v>0.5</v>
      </c>
      <c r="DB43" t="s">
        <v>418</v>
      </c>
      <c r="DC43">
        <v>2</v>
      </c>
      <c r="DD43">
        <v>1674579730</v>
      </c>
      <c r="DE43">
        <v>1130.96</v>
      </c>
      <c r="DF43">
        <v>1199.95</v>
      </c>
      <c r="DG43">
        <v>24.722000000000001</v>
      </c>
      <c r="DH43">
        <v>20.5244</v>
      </c>
      <c r="DI43">
        <v>1132.75</v>
      </c>
      <c r="DJ43">
        <v>24.512</v>
      </c>
      <c r="DK43">
        <v>500.113</v>
      </c>
      <c r="DL43">
        <v>99.837699999999998</v>
      </c>
      <c r="DM43">
        <v>0.100173</v>
      </c>
      <c r="DN43">
        <v>27.999199999999998</v>
      </c>
      <c r="DO43">
        <v>27.6297</v>
      </c>
      <c r="DP43">
        <v>999.9</v>
      </c>
      <c r="DQ43">
        <v>0</v>
      </c>
      <c r="DR43">
        <v>0</v>
      </c>
      <c r="DS43">
        <v>9985.6200000000008</v>
      </c>
      <c r="DT43">
        <v>0</v>
      </c>
      <c r="DU43">
        <v>503.15199999999999</v>
      </c>
      <c r="DV43">
        <v>-68.987499999999997</v>
      </c>
      <c r="DW43">
        <v>1159.6300000000001</v>
      </c>
      <c r="DX43">
        <v>1225.0899999999999</v>
      </c>
      <c r="DY43">
        <v>4.1975499999999997</v>
      </c>
      <c r="DZ43">
        <v>1199.95</v>
      </c>
      <c r="EA43">
        <v>20.5244</v>
      </c>
      <c r="EB43">
        <v>2.4681799999999998</v>
      </c>
      <c r="EC43">
        <v>2.0491100000000002</v>
      </c>
      <c r="ED43">
        <v>20.818200000000001</v>
      </c>
      <c r="EE43">
        <v>17.829000000000001</v>
      </c>
      <c r="EF43">
        <v>1800.22</v>
      </c>
      <c r="EG43">
        <v>0.97800299999999996</v>
      </c>
      <c r="EH43">
        <v>2.1996999999999999E-2</v>
      </c>
      <c r="EI43">
        <v>0</v>
      </c>
      <c r="EJ43">
        <v>769.30100000000004</v>
      </c>
      <c r="EK43">
        <v>5.0002599999999999</v>
      </c>
      <c r="EL43">
        <v>14611.7</v>
      </c>
      <c r="EM43">
        <v>17105.5</v>
      </c>
      <c r="EN43">
        <v>50.061999999999998</v>
      </c>
      <c r="EO43">
        <v>51.311999999999998</v>
      </c>
      <c r="EP43">
        <v>51</v>
      </c>
      <c r="EQ43">
        <v>50.561999999999998</v>
      </c>
      <c r="ER43">
        <v>51.125</v>
      </c>
      <c r="ES43">
        <v>1755.73</v>
      </c>
      <c r="ET43">
        <v>39.49</v>
      </c>
      <c r="EU43">
        <v>0</v>
      </c>
      <c r="EV43">
        <v>114.7999999523163</v>
      </c>
      <c r="EW43">
        <v>0</v>
      </c>
      <c r="EX43">
        <v>769.26073076923069</v>
      </c>
      <c r="EY43">
        <v>1.660820523411576</v>
      </c>
      <c r="EZ43">
        <v>-61.924786912819677</v>
      </c>
      <c r="FA43">
        <v>14592.45</v>
      </c>
      <c r="FB43">
        <v>15</v>
      </c>
      <c r="FC43">
        <v>1674579690.5</v>
      </c>
      <c r="FD43" t="s">
        <v>556</v>
      </c>
      <c r="FE43">
        <v>1674579685.5</v>
      </c>
      <c r="FF43">
        <v>1674579690.5</v>
      </c>
      <c r="FG43">
        <v>31</v>
      </c>
      <c r="FH43">
        <v>-3.5999999999999997E-2</v>
      </c>
      <c r="FI43">
        <v>2E-3</v>
      </c>
      <c r="FJ43">
        <v>-1.819</v>
      </c>
      <c r="FK43">
        <v>9.8000000000000004E-2</v>
      </c>
      <c r="FL43">
        <v>1200</v>
      </c>
      <c r="FM43">
        <v>20</v>
      </c>
      <c r="FN43">
        <v>0.03</v>
      </c>
      <c r="FO43">
        <v>0.02</v>
      </c>
      <c r="FP43">
        <v>53.532344392799367</v>
      </c>
      <c r="FQ43">
        <v>-0.66284812137339355</v>
      </c>
      <c r="FR43">
        <v>0.1078590637837077</v>
      </c>
      <c r="FS43">
        <v>1</v>
      </c>
      <c r="FT43">
        <v>0.29858973576250841</v>
      </c>
      <c r="FU43">
        <v>-1.204753663019361E-3</v>
      </c>
      <c r="FV43">
        <v>1.0722817927591799E-3</v>
      </c>
      <c r="FW43">
        <v>1</v>
      </c>
      <c r="FX43">
        <v>2</v>
      </c>
      <c r="FY43">
        <v>2</v>
      </c>
      <c r="FZ43" t="s">
        <v>420</v>
      </c>
      <c r="GA43">
        <v>2.9289000000000001</v>
      </c>
      <c r="GB43">
        <v>2.8069500000000001</v>
      </c>
      <c r="GC43">
        <v>0.20267199999999999</v>
      </c>
      <c r="GD43">
        <v>0.21257799999999999</v>
      </c>
      <c r="GE43">
        <v>0.114731</v>
      </c>
      <c r="GF43">
        <v>0.102296</v>
      </c>
      <c r="GG43">
        <v>23737.8</v>
      </c>
      <c r="GH43">
        <v>23685.9</v>
      </c>
      <c r="GI43">
        <v>28283.7</v>
      </c>
      <c r="GJ43">
        <v>27111.4</v>
      </c>
      <c r="GK43">
        <v>35950.1</v>
      </c>
      <c r="GL43">
        <v>32117.7</v>
      </c>
      <c r="GM43">
        <v>42123</v>
      </c>
      <c r="GN43">
        <v>36760.699999999997</v>
      </c>
      <c r="GO43">
        <v>1.9284300000000001</v>
      </c>
      <c r="GP43">
        <v>1.8895</v>
      </c>
      <c r="GQ43">
        <v>7.7202900000000005E-2</v>
      </c>
      <c r="GR43">
        <v>0</v>
      </c>
      <c r="GS43">
        <v>26.367100000000001</v>
      </c>
      <c r="GT43">
        <v>999.9</v>
      </c>
      <c r="GU43">
        <v>48.9</v>
      </c>
      <c r="GV43">
        <v>35.6</v>
      </c>
      <c r="GW43">
        <v>28.596800000000002</v>
      </c>
      <c r="GX43">
        <v>62.466999999999999</v>
      </c>
      <c r="GY43">
        <v>26.786899999999999</v>
      </c>
      <c r="GZ43">
        <v>1</v>
      </c>
      <c r="HA43">
        <v>0.39680900000000002</v>
      </c>
      <c r="HB43">
        <v>2.90143</v>
      </c>
      <c r="HC43">
        <v>20.3201</v>
      </c>
      <c r="HD43">
        <v>5.2398999999999996</v>
      </c>
      <c r="HE43">
        <v>11.9381</v>
      </c>
      <c r="HF43">
        <v>4.9736000000000002</v>
      </c>
      <c r="HG43">
        <v>3.2989999999999999</v>
      </c>
      <c r="HH43">
        <v>9999</v>
      </c>
      <c r="HI43">
        <v>9999</v>
      </c>
      <c r="HJ43">
        <v>9999</v>
      </c>
      <c r="HK43">
        <v>999.9</v>
      </c>
      <c r="HL43">
        <v>1.8739300000000001</v>
      </c>
      <c r="HM43">
        <v>1.88161</v>
      </c>
      <c r="HN43">
        <v>1.88507</v>
      </c>
      <c r="HO43">
        <v>1.88178</v>
      </c>
      <c r="HP43">
        <v>1.8791199999999999</v>
      </c>
      <c r="HQ43">
        <v>1.8738900000000001</v>
      </c>
      <c r="HR43">
        <v>1.8767</v>
      </c>
      <c r="HS43">
        <v>1.8809499999999999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-1.79</v>
      </c>
      <c r="IH43">
        <v>0.21</v>
      </c>
      <c r="II43">
        <v>-1.5165</v>
      </c>
      <c r="IJ43">
        <v>9.4906000000000005E-4</v>
      </c>
      <c r="IK43">
        <v>-1.9106700000000002E-6</v>
      </c>
      <c r="IL43">
        <v>7.5819599999999999E-10</v>
      </c>
      <c r="IM43">
        <v>-8.4125819989543937E-2</v>
      </c>
      <c r="IN43">
        <v>-1.0595840490420019E-2</v>
      </c>
      <c r="IO43">
        <v>1.2407080968752471E-3</v>
      </c>
      <c r="IP43">
        <v>-1.3015442653884381E-5</v>
      </c>
      <c r="IQ43">
        <v>33</v>
      </c>
      <c r="IR43">
        <v>2014</v>
      </c>
      <c r="IS43">
        <v>1</v>
      </c>
      <c r="IT43">
        <v>26</v>
      </c>
      <c r="IU43">
        <v>0.7</v>
      </c>
      <c r="IV43">
        <v>0.7</v>
      </c>
      <c r="IW43">
        <v>2.4706999999999999</v>
      </c>
      <c r="IX43">
        <v>2.50488</v>
      </c>
      <c r="IY43">
        <v>1.5991200000000001</v>
      </c>
      <c r="IZ43">
        <v>2.2997999999999998</v>
      </c>
      <c r="JA43">
        <v>1.5502899999999999</v>
      </c>
      <c r="JB43">
        <v>2.2314500000000002</v>
      </c>
      <c r="JC43">
        <v>40.553100000000001</v>
      </c>
      <c r="JD43">
        <v>23.833600000000001</v>
      </c>
      <c r="JE43">
        <v>18</v>
      </c>
      <c r="JF43">
        <v>487.21300000000002</v>
      </c>
      <c r="JG43">
        <v>496.43400000000003</v>
      </c>
      <c r="JH43">
        <v>22.672599999999999</v>
      </c>
      <c r="JI43">
        <v>32.196899999999999</v>
      </c>
      <c r="JJ43">
        <v>30.0001</v>
      </c>
      <c r="JK43">
        <v>32.293199999999999</v>
      </c>
      <c r="JL43">
        <v>32.2622</v>
      </c>
      <c r="JM43">
        <v>49.5182</v>
      </c>
      <c r="JN43">
        <v>34.376300000000001</v>
      </c>
      <c r="JO43">
        <v>0</v>
      </c>
      <c r="JP43">
        <v>22.6724</v>
      </c>
      <c r="JQ43">
        <v>1200</v>
      </c>
      <c r="JR43">
        <v>20.491800000000001</v>
      </c>
      <c r="JS43">
        <v>99.862099999999998</v>
      </c>
      <c r="JT43">
        <v>98.455100000000002</v>
      </c>
    </row>
    <row r="44" spans="1:280" x14ac:dyDescent="0.25">
      <c r="A44">
        <v>28</v>
      </c>
      <c r="B44">
        <v>1674579843.5</v>
      </c>
      <c r="C44">
        <v>4418.5</v>
      </c>
      <c r="D44" t="s">
        <v>557</v>
      </c>
      <c r="E44" t="s">
        <v>558</v>
      </c>
      <c r="F44" t="s">
        <v>412</v>
      </c>
      <c r="G44" t="s">
        <v>492</v>
      </c>
      <c r="H44" t="s">
        <v>493</v>
      </c>
      <c r="I44">
        <v>1674579843.5</v>
      </c>
      <c r="J44">
        <f t="shared" si="0"/>
        <v>3.2713204570130852E-3</v>
      </c>
      <c r="K44">
        <f t="shared" si="1"/>
        <v>3.2713204570130854</v>
      </c>
      <c r="L44">
        <f t="shared" si="2"/>
        <v>52.822178921665476</v>
      </c>
      <c r="M44">
        <f t="shared" si="3"/>
        <v>1431.18</v>
      </c>
      <c r="N44">
        <f t="shared" si="4"/>
        <v>1074.2908777747218</v>
      </c>
      <c r="O44">
        <f t="shared" si="5"/>
        <v>107.36769849955263</v>
      </c>
      <c r="P44">
        <f t="shared" si="6"/>
        <v>143.03621665008004</v>
      </c>
      <c r="Q44">
        <f t="shared" si="7"/>
        <v>0.26620548256028459</v>
      </c>
      <c r="R44">
        <f t="shared" si="8"/>
        <v>2.9221786812133632</v>
      </c>
      <c r="S44">
        <f t="shared" si="9"/>
        <v>0.25342929476185055</v>
      </c>
      <c r="T44">
        <f t="shared" si="10"/>
        <v>0.15949008934543346</v>
      </c>
      <c r="U44">
        <f t="shared" si="11"/>
        <v>344.35039965773439</v>
      </c>
      <c r="V44">
        <f t="shared" si="12"/>
        <v>29.198579642852298</v>
      </c>
      <c r="W44">
        <f t="shared" si="13"/>
        <v>27.669699999999999</v>
      </c>
      <c r="X44">
        <f t="shared" si="14"/>
        <v>3.722379573613531</v>
      </c>
      <c r="Y44">
        <f t="shared" si="15"/>
        <v>65.084985728441509</v>
      </c>
      <c r="Z44">
        <f t="shared" si="16"/>
        <v>2.4722764345864001</v>
      </c>
      <c r="AA44">
        <f t="shared" si="17"/>
        <v>3.7985357251235272</v>
      </c>
      <c r="AB44">
        <f t="shared" si="18"/>
        <v>1.2501031390271309</v>
      </c>
      <c r="AC44">
        <f t="shared" si="19"/>
        <v>-144.26523215427707</v>
      </c>
      <c r="AD44">
        <f t="shared" si="20"/>
        <v>54.666552480366683</v>
      </c>
      <c r="AE44">
        <f t="shared" si="21"/>
        <v>4.0714290305934453</v>
      </c>
      <c r="AF44">
        <f t="shared" si="22"/>
        <v>258.82314901441742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52483.054187687652</v>
      </c>
      <c r="AL44" t="s">
        <v>415</v>
      </c>
      <c r="AM44">
        <v>10297.6</v>
      </c>
      <c r="AN44">
        <v>785.57400000000007</v>
      </c>
      <c r="AO44">
        <v>3597.65</v>
      </c>
      <c r="AP44">
        <f t="shared" si="26"/>
        <v>0.7816424610509638</v>
      </c>
      <c r="AQ44">
        <v>-0.62398835798131469</v>
      </c>
      <c r="AR44" t="s">
        <v>559</v>
      </c>
      <c r="AS44">
        <v>10216.5</v>
      </c>
      <c r="AT44">
        <v>770.98511538461526</v>
      </c>
      <c r="AU44">
        <v>1163.1168442371229</v>
      </c>
      <c r="AV44">
        <f t="shared" si="27"/>
        <v>0.33713872410617785</v>
      </c>
      <c r="AW44">
        <v>0.5</v>
      </c>
      <c r="AX44">
        <f t="shared" si="28"/>
        <v>1513.1006998288672</v>
      </c>
      <c r="AY44">
        <f t="shared" si="29"/>
        <v>52.822178921665476</v>
      </c>
      <c r="AZ44">
        <f t="shared" si="30"/>
        <v>255.06241969223453</v>
      </c>
      <c r="BA44">
        <f t="shared" si="31"/>
        <v>3.5322280457402204E-2</v>
      </c>
      <c r="BB44">
        <f t="shared" si="32"/>
        <v>2.0931114254128644</v>
      </c>
      <c r="BC44">
        <f t="shared" si="33"/>
        <v>539.15500565785567</v>
      </c>
      <c r="BD44" t="s">
        <v>560</v>
      </c>
      <c r="BE44">
        <v>577.73</v>
      </c>
      <c r="BF44">
        <f t="shared" si="34"/>
        <v>577.73</v>
      </c>
      <c r="BG44">
        <f t="shared" si="35"/>
        <v>0.50329151979659659</v>
      </c>
      <c r="BH44">
        <f t="shared" si="36"/>
        <v>0.66986768273471253</v>
      </c>
      <c r="BI44">
        <f t="shared" si="37"/>
        <v>0.80615816172709109</v>
      </c>
      <c r="BJ44">
        <f t="shared" si="38"/>
        <v>1.038641666338197</v>
      </c>
      <c r="BK44">
        <f t="shared" si="39"/>
        <v>0.8657423041777238</v>
      </c>
      <c r="BL44">
        <f t="shared" si="40"/>
        <v>0.50195866122949018</v>
      </c>
      <c r="BM44">
        <f t="shared" si="41"/>
        <v>0.49804133877050982</v>
      </c>
      <c r="BN44">
        <v>55</v>
      </c>
      <c r="BO44">
        <v>290.00000000000011</v>
      </c>
      <c r="BP44">
        <v>1062.75</v>
      </c>
      <c r="BQ44">
        <v>195</v>
      </c>
      <c r="BR44">
        <v>10216.5</v>
      </c>
      <c r="BS44">
        <v>1063.1199999999999</v>
      </c>
      <c r="BT44">
        <v>-0.37</v>
      </c>
      <c r="BU44">
        <v>300.00000000000011</v>
      </c>
      <c r="BV44">
        <v>24.1</v>
      </c>
      <c r="BW44">
        <v>1163.1168442371229</v>
      </c>
      <c r="BX44">
        <v>1.629439031044186</v>
      </c>
      <c r="BY44">
        <v>-102.16631284049249</v>
      </c>
      <c r="BZ44">
        <v>1.481432095622798</v>
      </c>
      <c r="CA44">
        <v>0.99414729244181155</v>
      </c>
      <c r="CB44">
        <v>-6.9588291434927669E-3</v>
      </c>
      <c r="CC44">
        <v>289.99999999999989</v>
      </c>
      <c r="CD44">
        <v>1061.3499999999999</v>
      </c>
      <c r="CE44">
        <v>675</v>
      </c>
      <c r="CF44">
        <v>10187.9</v>
      </c>
      <c r="CG44">
        <v>1062.83</v>
      </c>
      <c r="CH44">
        <v>-1.48</v>
      </c>
      <c r="CV44">
        <f t="shared" si="42"/>
        <v>1799.9</v>
      </c>
      <c r="CW44">
        <f t="shared" si="43"/>
        <v>1513.1006998288672</v>
      </c>
      <c r="CX44">
        <f t="shared" si="44"/>
        <v>0.84065820313843387</v>
      </c>
      <c r="CY44">
        <f t="shared" si="45"/>
        <v>0.1913164062768678</v>
      </c>
      <c r="CZ44">
        <v>6</v>
      </c>
      <c r="DA44">
        <v>0.5</v>
      </c>
      <c r="DB44" t="s">
        <v>418</v>
      </c>
      <c r="DC44">
        <v>2</v>
      </c>
      <c r="DD44">
        <v>1674579843.5</v>
      </c>
      <c r="DE44">
        <v>1431.18</v>
      </c>
      <c r="DF44">
        <v>1500.16</v>
      </c>
      <c r="DG44">
        <v>24.736899999999999</v>
      </c>
      <c r="DH44">
        <v>20.909800000000001</v>
      </c>
      <c r="DI44">
        <v>1433.27</v>
      </c>
      <c r="DJ44">
        <v>24.526800000000001</v>
      </c>
      <c r="DK44">
        <v>500.18</v>
      </c>
      <c r="DL44">
        <v>99.842500000000001</v>
      </c>
      <c r="DM44">
        <v>0.100356</v>
      </c>
      <c r="DN44">
        <v>28.0167</v>
      </c>
      <c r="DO44">
        <v>27.669699999999999</v>
      </c>
      <c r="DP44">
        <v>999.9</v>
      </c>
      <c r="DQ44">
        <v>0</v>
      </c>
      <c r="DR44">
        <v>0</v>
      </c>
      <c r="DS44">
        <v>9973.75</v>
      </c>
      <c r="DT44">
        <v>0</v>
      </c>
      <c r="DU44">
        <v>497.52800000000002</v>
      </c>
      <c r="DV44">
        <v>-68.971599999999995</v>
      </c>
      <c r="DW44">
        <v>1467.49</v>
      </c>
      <c r="DX44">
        <v>1532.19</v>
      </c>
      <c r="DY44">
        <v>3.8270499999999998</v>
      </c>
      <c r="DZ44">
        <v>1500.16</v>
      </c>
      <c r="EA44">
        <v>20.909800000000001</v>
      </c>
      <c r="EB44">
        <v>2.4697900000000002</v>
      </c>
      <c r="EC44">
        <v>2.0876899999999998</v>
      </c>
      <c r="ED44">
        <v>20.828800000000001</v>
      </c>
      <c r="EE44">
        <v>18.125599999999999</v>
      </c>
      <c r="EF44">
        <v>1799.9</v>
      </c>
      <c r="EG44">
        <v>0.97799899999999995</v>
      </c>
      <c r="EH44">
        <v>2.2000700000000002E-2</v>
      </c>
      <c r="EI44">
        <v>0</v>
      </c>
      <c r="EJ44">
        <v>771.447</v>
      </c>
      <c r="EK44">
        <v>5.0002599999999999</v>
      </c>
      <c r="EL44">
        <v>14623.1</v>
      </c>
      <c r="EM44">
        <v>17102.5</v>
      </c>
      <c r="EN44">
        <v>50.061999999999998</v>
      </c>
      <c r="EO44">
        <v>51.311999999999998</v>
      </c>
      <c r="EP44">
        <v>51</v>
      </c>
      <c r="EQ44">
        <v>50.625</v>
      </c>
      <c r="ER44">
        <v>51.25</v>
      </c>
      <c r="ES44">
        <v>1755.41</v>
      </c>
      <c r="ET44">
        <v>39.49</v>
      </c>
      <c r="EU44">
        <v>0</v>
      </c>
      <c r="EV44">
        <v>111.6000001430511</v>
      </c>
      <c r="EW44">
        <v>0</v>
      </c>
      <c r="EX44">
        <v>770.98511538461526</v>
      </c>
      <c r="EY44">
        <v>1.820683754167163</v>
      </c>
      <c r="EZ44">
        <v>13.4188031263896</v>
      </c>
      <c r="FA44">
        <v>14619.00384615385</v>
      </c>
      <c r="FB44">
        <v>15</v>
      </c>
      <c r="FC44">
        <v>1674579806.5</v>
      </c>
      <c r="FD44" t="s">
        <v>561</v>
      </c>
      <c r="FE44">
        <v>1674579805.5</v>
      </c>
      <c r="FF44">
        <v>1674579806.5</v>
      </c>
      <c r="FG44">
        <v>32</v>
      </c>
      <c r="FH44">
        <v>-0.24099999999999999</v>
      </c>
      <c r="FI44">
        <v>0</v>
      </c>
      <c r="FJ44">
        <v>-2.0720000000000001</v>
      </c>
      <c r="FK44">
        <v>0.108</v>
      </c>
      <c r="FL44">
        <v>1500</v>
      </c>
      <c r="FM44">
        <v>21</v>
      </c>
      <c r="FN44">
        <v>0.04</v>
      </c>
      <c r="FO44">
        <v>0.01</v>
      </c>
      <c r="FP44">
        <v>52.68662604226332</v>
      </c>
      <c r="FQ44">
        <v>-0.66865357530010705</v>
      </c>
      <c r="FR44">
        <v>8.8434200486531486E-2</v>
      </c>
      <c r="FS44">
        <v>1</v>
      </c>
      <c r="FT44">
        <v>0.26647786110324612</v>
      </c>
      <c r="FU44">
        <v>1.847996470862465E-2</v>
      </c>
      <c r="FV44">
        <v>2.517553797107551E-3</v>
      </c>
      <c r="FW44">
        <v>1</v>
      </c>
      <c r="FX44">
        <v>2</v>
      </c>
      <c r="FY44">
        <v>2</v>
      </c>
      <c r="FZ44" t="s">
        <v>420</v>
      </c>
      <c r="GA44">
        <v>2.9290799999999999</v>
      </c>
      <c r="GB44">
        <v>2.8070400000000002</v>
      </c>
      <c r="GC44">
        <v>0.234823</v>
      </c>
      <c r="GD44">
        <v>0.24410200000000001</v>
      </c>
      <c r="GE44">
        <v>0.114787</v>
      </c>
      <c r="GF44">
        <v>0.10365099999999999</v>
      </c>
      <c r="GG44">
        <v>22778.3</v>
      </c>
      <c r="GH44">
        <v>22736.3</v>
      </c>
      <c r="GI44">
        <v>28283.5</v>
      </c>
      <c r="GJ44">
        <v>27112.400000000001</v>
      </c>
      <c r="GK44">
        <v>35947.800000000003</v>
      </c>
      <c r="GL44">
        <v>32070.5</v>
      </c>
      <c r="GM44">
        <v>42122.7</v>
      </c>
      <c r="GN44">
        <v>36761.9</v>
      </c>
      <c r="GO44">
        <v>1.9283999999999999</v>
      </c>
      <c r="GP44">
        <v>1.8906000000000001</v>
      </c>
      <c r="GQ44">
        <v>7.94604E-2</v>
      </c>
      <c r="GR44">
        <v>0</v>
      </c>
      <c r="GS44">
        <v>26.3703</v>
      </c>
      <c r="GT44">
        <v>999.9</v>
      </c>
      <c r="GU44">
        <v>48.8</v>
      </c>
      <c r="GV44">
        <v>35.700000000000003</v>
      </c>
      <c r="GW44">
        <v>28.696100000000001</v>
      </c>
      <c r="GX44">
        <v>61.847000000000001</v>
      </c>
      <c r="GY44">
        <v>26.662700000000001</v>
      </c>
      <c r="GZ44">
        <v>1</v>
      </c>
      <c r="HA44">
        <v>0.396202</v>
      </c>
      <c r="HB44">
        <v>2.9992100000000002</v>
      </c>
      <c r="HC44">
        <v>20.3186</v>
      </c>
      <c r="HD44">
        <v>5.2394499999999997</v>
      </c>
      <c r="HE44">
        <v>11.9381</v>
      </c>
      <c r="HF44">
        <v>4.9736500000000001</v>
      </c>
      <c r="HG44">
        <v>3.2989999999999999</v>
      </c>
      <c r="HH44">
        <v>9999</v>
      </c>
      <c r="HI44">
        <v>9999</v>
      </c>
      <c r="HJ44">
        <v>9999</v>
      </c>
      <c r="HK44">
        <v>999.9</v>
      </c>
      <c r="HL44">
        <v>1.8739300000000001</v>
      </c>
      <c r="HM44">
        <v>1.8815999999999999</v>
      </c>
      <c r="HN44">
        <v>1.88507</v>
      </c>
      <c r="HO44">
        <v>1.88175</v>
      </c>
      <c r="HP44">
        <v>1.8791199999999999</v>
      </c>
      <c r="HQ44">
        <v>1.8738600000000001</v>
      </c>
      <c r="HR44">
        <v>1.8766799999999999</v>
      </c>
      <c r="HS44">
        <v>1.8809499999999999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-2.09</v>
      </c>
      <c r="IH44">
        <v>0.21010000000000001</v>
      </c>
      <c r="II44">
        <v>-1.756700559306883</v>
      </c>
      <c r="IJ44">
        <v>9.4905977090923709E-4</v>
      </c>
      <c r="IK44">
        <v>-1.9106666302146479E-6</v>
      </c>
      <c r="IL44">
        <v>7.5819610513223293E-10</v>
      </c>
      <c r="IM44">
        <v>-8.4362529341175996E-2</v>
      </c>
      <c r="IN44">
        <v>-1.0595840490420019E-2</v>
      </c>
      <c r="IO44">
        <v>1.2407080968752471E-3</v>
      </c>
      <c r="IP44">
        <v>-1.3015442653884381E-5</v>
      </c>
      <c r="IQ44">
        <v>33</v>
      </c>
      <c r="IR44">
        <v>2014</v>
      </c>
      <c r="IS44">
        <v>1</v>
      </c>
      <c r="IT44">
        <v>26</v>
      </c>
      <c r="IU44">
        <v>0.6</v>
      </c>
      <c r="IV44">
        <v>0.6</v>
      </c>
      <c r="IW44">
        <v>2.96997</v>
      </c>
      <c r="IX44">
        <v>2.49146</v>
      </c>
      <c r="IY44">
        <v>1.5991200000000001</v>
      </c>
      <c r="IZ44">
        <v>2.2973599999999998</v>
      </c>
      <c r="JA44">
        <v>1.5502899999999999</v>
      </c>
      <c r="JB44">
        <v>2.2936999999999999</v>
      </c>
      <c r="JC44">
        <v>40.604199999999999</v>
      </c>
      <c r="JD44">
        <v>23.833600000000001</v>
      </c>
      <c r="JE44">
        <v>18</v>
      </c>
      <c r="JF44">
        <v>487.11900000000003</v>
      </c>
      <c r="JG44">
        <v>497.13600000000002</v>
      </c>
      <c r="JH44">
        <v>22.618099999999998</v>
      </c>
      <c r="JI44">
        <v>32.185499999999998</v>
      </c>
      <c r="JJ44">
        <v>30.0001</v>
      </c>
      <c r="JK44">
        <v>32.283299999999997</v>
      </c>
      <c r="JL44">
        <v>32.253599999999999</v>
      </c>
      <c r="JM44">
        <v>59.494100000000003</v>
      </c>
      <c r="JN44">
        <v>32.9651</v>
      </c>
      <c r="JO44">
        <v>0</v>
      </c>
      <c r="JP44">
        <v>22.609200000000001</v>
      </c>
      <c r="JQ44">
        <v>1500</v>
      </c>
      <c r="JR44">
        <v>20.8767</v>
      </c>
      <c r="JS44">
        <v>99.8613</v>
      </c>
      <c r="JT44">
        <v>98.458299999999994</v>
      </c>
    </row>
    <row r="45" spans="1:280" x14ac:dyDescent="0.25">
      <c r="A45">
        <v>29</v>
      </c>
      <c r="B45">
        <v>1674581094.5999999</v>
      </c>
      <c r="C45">
        <v>5669.5999999046326</v>
      </c>
      <c r="D45" t="s">
        <v>562</v>
      </c>
      <c r="E45" t="s">
        <v>563</v>
      </c>
      <c r="F45" t="s">
        <v>412</v>
      </c>
      <c r="G45" t="s">
        <v>564</v>
      </c>
      <c r="H45" t="s">
        <v>565</v>
      </c>
      <c r="I45">
        <v>1674581094.5999999</v>
      </c>
      <c r="J45">
        <f t="shared" si="0"/>
        <v>5.5305807649652971E-3</v>
      </c>
      <c r="K45">
        <f t="shared" si="1"/>
        <v>5.5305807649652969</v>
      </c>
      <c r="L45">
        <f t="shared" si="2"/>
        <v>52.974800644664221</v>
      </c>
      <c r="M45">
        <f t="shared" si="3"/>
        <v>334.25799999999998</v>
      </c>
      <c r="N45">
        <f t="shared" si="4"/>
        <v>142.47585798656104</v>
      </c>
      <c r="O45">
        <f t="shared" si="5"/>
        <v>14.24590703411662</v>
      </c>
      <c r="P45">
        <f t="shared" si="6"/>
        <v>33.421861504837594</v>
      </c>
      <c r="Q45">
        <f t="shared" si="7"/>
        <v>0.48863603985067822</v>
      </c>
      <c r="R45">
        <f t="shared" si="8"/>
        <v>2.9332859300954146</v>
      </c>
      <c r="S45">
        <f t="shared" si="9"/>
        <v>0.44750650127389202</v>
      </c>
      <c r="T45">
        <f t="shared" si="10"/>
        <v>0.2830978297935256</v>
      </c>
      <c r="U45">
        <f t="shared" si="11"/>
        <v>344.36179965774579</v>
      </c>
      <c r="V45">
        <f t="shared" si="12"/>
        <v>28.61173115538233</v>
      </c>
      <c r="W45">
        <f t="shared" si="13"/>
        <v>27.497</v>
      </c>
      <c r="X45">
        <f t="shared" si="14"/>
        <v>3.6849761457413921</v>
      </c>
      <c r="Y45">
        <f t="shared" si="15"/>
        <v>65.468924540597115</v>
      </c>
      <c r="Z45">
        <f t="shared" si="16"/>
        <v>2.4873968804626796</v>
      </c>
      <c r="AA45">
        <f t="shared" si="17"/>
        <v>3.7993550343419051</v>
      </c>
      <c r="AB45">
        <f t="shared" si="18"/>
        <v>1.1975792652787125</v>
      </c>
      <c r="AC45">
        <f t="shared" si="19"/>
        <v>-243.89861173496959</v>
      </c>
      <c r="AD45">
        <f t="shared" si="20"/>
        <v>82.770115410533109</v>
      </c>
      <c r="AE45">
        <f t="shared" si="21"/>
        <v>6.1359992122040659</v>
      </c>
      <c r="AF45">
        <f t="shared" si="22"/>
        <v>189.36930254551339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52803.177107017254</v>
      </c>
      <c r="AL45" t="s">
        <v>415</v>
      </c>
      <c r="AM45">
        <v>10297.6</v>
      </c>
      <c r="AN45">
        <v>785.57400000000007</v>
      </c>
      <c r="AO45">
        <v>3597.65</v>
      </c>
      <c r="AP45">
        <f t="shared" si="26"/>
        <v>0.7816424610509638</v>
      </c>
      <c r="AQ45">
        <v>-0.62398835798131469</v>
      </c>
      <c r="AR45" t="s">
        <v>566</v>
      </c>
      <c r="AS45">
        <v>10235.799999999999</v>
      </c>
      <c r="AT45">
        <v>767.53715999999997</v>
      </c>
      <c r="AU45">
        <v>1178.5892578458829</v>
      </c>
      <c r="AV45">
        <f t="shared" si="27"/>
        <v>0.34876620087066312</v>
      </c>
      <c r="AW45">
        <v>0.5</v>
      </c>
      <c r="AX45">
        <f t="shared" si="28"/>
        <v>1513.1510998288729</v>
      </c>
      <c r="AY45">
        <f t="shared" si="29"/>
        <v>52.974800644664221</v>
      </c>
      <c r="AZ45">
        <f t="shared" si="30"/>
        <v>263.86798021529074</v>
      </c>
      <c r="BA45">
        <f t="shared" si="31"/>
        <v>3.5421967448397713E-2</v>
      </c>
      <c r="BB45">
        <f t="shared" si="32"/>
        <v>2.0525053372499373</v>
      </c>
      <c r="BC45">
        <f t="shared" si="33"/>
        <v>542.45604299163188</v>
      </c>
      <c r="BD45" t="s">
        <v>567</v>
      </c>
      <c r="BE45">
        <v>562.73</v>
      </c>
      <c r="BF45">
        <f t="shared" si="34"/>
        <v>562.73</v>
      </c>
      <c r="BG45">
        <f t="shared" si="35"/>
        <v>0.52253934417448689</v>
      </c>
      <c r="BH45">
        <f t="shared" si="36"/>
        <v>0.66744486278185922</v>
      </c>
      <c r="BI45">
        <f t="shared" si="37"/>
        <v>0.79707562049547176</v>
      </c>
      <c r="BJ45">
        <f t="shared" si="38"/>
        <v>1.0458934854052742</v>
      </c>
      <c r="BK45">
        <f t="shared" si="39"/>
        <v>0.86024017208429548</v>
      </c>
      <c r="BL45">
        <f t="shared" si="40"/>
        <v>0.48934601112112364</v>
      </c>
      <c r="BM45">
        <f t="shared" si="41"/>
        <v>0.51065398887887636</v>
      </c>
      <c r="BN45">
        <v>57</v>
      </c>
      <c r="BO45">
        <v>290.00000000000011</v>
      </c>
      <c r="BP45">
        <v>1078.3399999999999</v>
      </c>
      <c r="BQ45">
        <v>135</v>
      </c>
      <c r="BR45">
        <v>10235.799999999999</v>
      </c>
      <c r="BS45">
        <v>1078.04</v>
      </c>
      <c r="BT45">
        <v>0.3</v>
      </c>
      <c r="BU45">
        <v>300.00000000000011</v>
      </c>
      <c r="BV45">
        <v>24.1</v>
      </c>
      <c r="BW45">
        <v>1178.5892578458829</v>
      </c>
      <c r="BX45">
        <v>2.2997001013759322</v>
      </c>
      <c r="BY45">
        <v>-102.9222219087511</v>
      </c>
      <c r="BZ45">
        <v>2.0928603385535451</v>
      </c>
      <c r="CA45">
        <v>0.98855486295643069</v>
      </c>
      <c r="CB45">
        <v>-6.9648809788654146E-3</v>
      </c>
      <c r="CC45">
        <v>289.99999999999989</v>
      </c>
      <c r="CD45">
        <v>1077.8900000000001</v>
      </c>
      <c r="CE45">
        <v>645</v>
      </c>
      <c r="CF45">
        <v>10200</v>
      </c>
      <c r="CG45">
        <v>1077.69</v>
      </c>
      <c r="CH45">
        <v>0.2</v>
      </c>
      <c r="CV45">
        <f t="shared" si="42"/>
        <v>1799.96</v>
      </c>
      <c r="CW45">
        <f t="shared" si="43"/>
        <v>1513.1510998288729</v>
      </c>
      <c r="CX45">
        <f t="shared" si="44"/>
        <v>0.84065818119784486</v>
      </c>
      <c r="CY45">
        <f t="shared" si="45"/>
        <v>0.19131636239568978</v>
      </c>
      <c r="CZ45">
        <v>6</v>
      </c>
      <c r="DA45">
        <v>0.5</v>
      </c>
      <c r="DB45" t="s">
        <v>418</v>
      </c>
      <c r="DC45">
        <v>2</v>
      </c>
      <c r="DD45">
        <v>1674581094.5999999</v>
      </c>
      <c r="DE45">
        <v>334.25799999999998</v>
      </c>
      <c r="DF45">
        <v>400.036</v>
      </c>
      <c r="DG45">
        <v>24.876899999999999</v>
      </c>
      <c r="DH45">
        <v>18.406300000000002</v>
      </c>
      <c r="DI45">
        <v>335.262</v>
      </c>
      <c r="DJ45">
        <v>24.6601</v>
      </c>
      <c r="DK45">
        <v>500.077</v>
      </c>
      <c r="DL45">
        <v>99.888499999999993</v>
      </c>
      <c r="DM45">
        <v>9.9717200000000006E-2</v>
      </c>
      <c r="DN45">
        <v>28.020399999999999</v>
      </c>
      <c r="DO45">
        <v>27.497</v>
      </c>
      <c r="DP45">
        <v>999.9</v>
      </c>
      <c r="DQ45">
        <v>0</v>
      </c>
      <c r="DR45">
        <v>0</v>
      </c>
      <c r="DS45">
        <v>10032.5</v>
      </c>
      <c r="DT45">
        <v>0</v>
      </c>
      <c r="DU45">
        <v>543.11300000000006</v>
      </c>
      <c r="DV45">
        <v>-65.777699999999996</v>
      </c>
      <c r="DW45">
        <v>342.78500000000003</v>
      </c>
      <c r="DX45">
        <v>407.53699999999998</v>
      </c>
      <c r="DY45">
        <v>6.4706700000000001</v>
      </c>
      <c r="DZ45">
        <v>400.036</v>
      </c>
      <c r="EA45">
        <v>18.406300000000002</v>
      </c>
      <c r="EB45">
        <v>2.4849199999999998</v>
      </c>
      <c r="EC45">
        <v>1.83857</v>
      </c>
      <c r="ED45">
        <v>20.928100000000001</v>
      </c>
      <c r="EE45">
        <v>16.1187</v>
      </c>
      <c r="EF45">
        <v>1799.96</v>
      </c>
      <c r="EG45">
        <v>0.97799800000000003</v>
      </c>
      <c r="EH45">
        <v>2.2001900000000001E-2</v>
      </c>
      <c r="EI45">
        <v>0</v>
      </c>
      <c r="EJ45">
        <v>767.68299999999999</v>
      </c>
      <c r="EK45">
        <v>5.0002599999999999</v>
      </c>
      <c r="EL45">
        <v>14462.2</v>
      </c>
      <c r="EM45">
        <v>17103</v>
      </c>
      <c r="EN45">
        <v>49.436999999999998</v>
      </c>
      <c r="EO45">
        <v>50.936999999999998</v>
      </c>
      <c r="EP45">
        <v>50.436999999999998</v>
      </c>
      <c r="EQ45">
        <v>50.061999999999998</v>
      </c>
      <c r="ER45">
        <v>50.625</v>
      </c>
      <c r="ES45">
        <v>1755.47</v>
      </c>
      <c r="ET45">
        <v>39.49</v>
      </c>
      <c r="EU45">
        <v>0</v>
      </c>
      <c r="EV45">
        <v>1249.400000095367</v>
      </c>
      <c r="EW45">
        <v>0</v>
      </c>
      <c r="EX45">
        <v>767.53715999999997</v>
      </c>
      <c r="EY45">
        <v>0.81961537581343924</v>
      </c>
      <c r="EZ45">
        <v>29.369230753393371</v>
      </c>
      <c r="FA45">
        <v>14460.227999999999</v>
      </c>
      <c r="FB45">
        <v>15</v>
      </c>
      <c r="FC45">
        <v>1674581059.0999999</v>
      </c>
      <c r="FD45" t="s">
        <v>568</v>
      </c>
      <c r="FE45">
        <v>1674581059.0999999</v>
      </c>
      <c r="FF45">
        <v>1674581056.0999999</v>
      </c>
      <c r="FG45">
        <v>34</v>
      </c>
      <c r="FH45">
        <v>0.25900000000000001</v>
      </c>
      <c r="FI45">
        <v>1E-3</v>
      </c>
      <c r="FJ45">
        <v>-1.014</v>
      </c>
      <c r="FK45">
        <v>6.0999999999999999E-2</v>
      </c>
      <c r="FL45">
        <v>400</v>
      </c>
      <c r="FM45">
        <v>18</v>
      </c>
      <c r="FN45">
        <v>0.03</v>
      </c>
      <c r="FO45">
        <v>0.02</v>
      </c>
      <c r="FP45">
        <v>52.950032360951582</v>
      </c>
      <c r="FQ45">
        <v>-0.22303409110129421</v>
      </c>
      <c r="FR45">
        <v>5.6651115568034371E-2</v>
      </c>
      <c r="FS45">
        <v>1</v>
      </c>
      <c r="FT45">
        <v>0.48521294554116812</v>
      </c>
      <c r="FU45">
        <v>3.6728085903221352E-2</v>
      </c>
      <c r="FV45">
        <v>6.2713496676450502E-3</v>
      </c>
      <c r="FW45">
        <v>1</v>
      </c>
      <c r="FX45">
        <v>2</v>
      </c>
      <c r="FY45">
        <v>2</v>
      </c>
      <c r="FZ45" t="s">
        <v>420</v>
      </c>
      <c r="GA45">
        <v>2.9295800000000001</v>
      </c>
      <c r="GB45">
        <v>2.8069099999999998</v>
      </c>
      <c r="GC45">
        <v>8.5516999999999996E-2</v>
      </c>
      <c r="GD45">
        <v>9.9553199999999994E-2</v>
      </c>
      <c r="GE45">
        <v>0.11537</v>
      </c>
      <c r="GF45">
        <v>9.4823099999999994E-2</v>
      </c>
      <c r="GG45">
        <v>27249.200000000001</v>
      </c>
      <c r="GH45">
        <v>27125.8</v>
      </c>
      <c r="GI45">
        <v>28300</v>
      </c>
      <c r="GJ45">
        <v>27144.3</v>
      </c>
      <c r="GK45">
        <v>35940.199999999997</v>
      </c>
      <c r="GL45">
        <v>32423.9</v>
      </c>
      <c r="GM45">
        <v>42143.4</v>
      </c>
      <c r="GN45">
        <v>36805.300000000003</v>
      </c>
      <c r="GO45">
        <v>1.92055</v>
      </c>
      <c r="GP45">
        <v>1.8883799999999999</v>
      </c>
      <c r="GQ45">
        <v>8.2492800000000005E-2</v>
      </c>
      <c r="GR45">
        <v>0</v>
      </c>
      <c r="GS45">
        <v>26.147600000000001</v>
      </c>
      <c r="GT45">
        <v>999.9</v>
      </c>
      <c r="GU45">
        <v>47.8</v>
      </c>
      <c r="GV45">
        <v>36</v>
      </c>
      <c r="GW45">
        <v>28.564599999999999</v>
      </c>
      <c r="GX45">
        <v>62.146900000000002</v>
      </c>
      <c r="GY45">
        <v>27.5</v>
      </c>
      <c r="GZ45">
        <v>1</v>
      </c>
      <c r="HA45">
        <v>0.36053400000000002</v>
      </c>
      <c r="HB45">
        <v>2.53077</v>
      </c>
      <c r="HC45">
        <v>20.325099999999999</v>
      </c>
      <c r="HD45">
        <v>5.2364600000000001</v>
      </c>
      <c r="HE45">
        <v>11.937200000000001</v>
      </c>
      <c r="HF45">
        <v>4.9729000000000001</v>
      </c>
      <c r="HG45">
        <v>3.2984800000000001</v>
      </c>
      <c r="HH45">
        <v>9999</v>
      </c>
      <c r="HI45">
        <v>9999</v>
      </c>
      <c r="HJ45">
        <v>9999</v>
      </c>
      <c r="HK45">
        <v>999.9</v>
      </c>
      <c r="HL45">
        <v>1.8737600000000001</v>
      </c>
      <c r="HM45">
        <v>1.88141</v>
      </c>
      <c r="HN45">
        <v>1.8849100000000001</v>
      </c>
      <c r="HO45">
        <v>1.8815599999999999</v>
      </c>
      <c r="HP45">
        <v>1.87897</v>
      </c>
      <c r="HQ45">
        <v>1.8736699999999999</v>
      </c>
      <c r="HR45">
        <v>1.87653</v>
      </c>
      <c r="HS45">
        <v>1.88076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-1.004</v>
      </c>
      <c r="IH45">
        <v>0.21679999999999999</v>
      </c>
      <c r="II45">
        <v>-1.136036992093211</v>
      </c>
      <c r="IJ45">
        <v>9.4905977090923709E-4</v>
      </c>
      <c r="IK45">
        <v>-1.9106666302146479E-6</v>
      </c>
      <c r="IL45">
        <v>7.5819610513223293E-10</v>
      </c>
      <c r="IM45">
        <v>-8.1178527247491583E-2</v>
      </c>
      <c r="IN45">
        <v>-1.0595840490420019E-2</v>
      </c>
      <c r="IO45">
        <v>1.2407080968752471E-3</v>
      </c>
      <c r="IP45">
        <v>-1.3015442653884381E-5</v>
      </c>
      <c r="IQ45">
        <v>33</v>
      </c>
      <c r="IR45">
        <v>2014</v>
      </c>
      <c r="IS45">
        <v>1</v>
      </c>
      <c r="IT45">
        <v>26</v>
      </c>
      <c r="IU45">
        <v>0.6</v>
      </c>
      <c r="IV45">
        <v>0.6</v>
      </c>
      <c r="IW45">
        <v>1.00708</v>
      </c>
      <c r="IX45">
        <v>2.5061</v>
      </c>
      <c r="IY45">
        <v>1.5991200000000001</v>
      </c>
      <c r="IZ45">
        <v>2.2973599999999998</v>
      </c>
      <c r="JA45">
        <v>1.5502899999999999</v>
      </c>
      <c r="JB45">
        <v>2.3645</v>
      </c>
      <c r="JC45">
        <v>40.171300000000002</v>
      </c>
      <c r="JD45">
        <v>23.9999</v>
      </c>
      <c r="JE45">
        <v>18</v>
      </c>
      <c r="JF45">
        <v>479.32299999999998</v>
      </c>
      <c r="JG45">
        <v>492.71899999999999</v>
      </c>
      <c r="JH45">
        <v>23.1798</v>
      </c>
      <c r="JI45">
        <v>31.784800000000001</v>
      </c>
      <c r="JJ45">
        <v>30</v>
      </c>
      <c r="JK45">
        <v>31.923300000000001</v>
      </c>
      <c r="JL45">
        <v>31.9069</v>
      </c>
      <c r="JM45">
        <v>20.2182</v>
      </c>
      <c r="JN45">
        <v>42.547699999999999</v>
      </c>
      <c r="JO45">
        <v>0</v>
      </c>
      <c r="JP45">
        <v>23.167400000000001</v>
      </c>
      <c r="JQ45">
        <v>400</v>
      </c>
      <c r="JR45">
        <v>18.343900000000001</v>
      </c>
      <c r="JS45">
        <v>99.914100000000005</v>
      </c>
      <c r="JT45">
        <v>98.574600000000004</v>
      </c>
    </row>
    <row r="46" spans="1:280" x14ac:dyDescent="0.25">
      <c r="A46">
        <v>30</v>
      </c>
      <c r="B46">
        <v>1674581210.0999999</v>
      </c>
      <c r="C46">
        <v>5785.0999999046326</v>
      </c>
      <c r="D46" t="s">
        <v>569</v>
      </c>
      <c r="E46" t="s">
        <v>570</v>
      </c>
      <c r="F46" t="s">
        <v>412</v>
      </c>
      <c r="G46" t="s">
        <v>564</v>
      </c>
      <c r="H46" t="s">
        <v>565</v>
      </c>
      <c r="I46">
        <v>1674581210.0999999</v>
      </c>
      <c r="J46">
        <f t="shared" si="0"/>
        <v>5.6277293473620494E-3</v>
      </c>
      <c r="K46">
        <f t="shared" si="1"/>
        <v>5.6277293473620498</v>
      </c>
      <c r="L46">
        <f t="shared" si="2"/>
        <v>45.311927620206681</v>
      </c>
      <c r="M46">
        <f t="shared" si="3"/>
        <v>243.97399999999999</v>
      </c>
      <c r="N46">
        <f t="shared" si="4"/>
        <v>83.061300396432515</v>
      </c>
      <c r="O46">
        <f t="shared" si="5"/>
        <v>8.3055275129701744</v>
      </c>
      <c r="P46">
        <f t="shared" si="6"/>
        <v>24.395630212604001</v>
      </c>
      <c r="Q46">
        <f t="shared" si="7"/>
        <v>0.49651704494443638</v>
      </c>
      <c r="R46">
        <f t="shared" si="8"/>
        <v>2.9311698567989111</v>
      </c>
      <c r="S46">
        <f t="shared" si="9"/>
        <v>0.454083884278353</v>
      </c>
      <c r="T46">
        <f t="shared" si="10"/>
        <v>0.28731206929557895</v>
      </c>
      <c r="U46">
        <f t="shared" si="11"/>
        <v>344.35419965773821</v>
      </c>
      <c r="V46">
        <f t="shared" si="12"/>
        <v>28.585450017937806</v>
      </c>
      <c r="W46">
        <f t="shared" si="13"/>
        <v>27.508700000000001</v>
      </c>
      <c r="X46">
        <f t="shared" si="14"/>
        <v>3.687499737618392</v>
      </c>
      <c r="Y46">
        <f t="shared" si="15"/>
        <v>65.45038587771721</v>
      </c>
      <c r="Z46">
        <f t="shared" si="16"/>
        <v>2.4864896169582003</v>
      </c>
      <c r="AA46">
        <f t="shared" si="17"/>
        <v>3.7990450073186404</v>
      </c>
      <c r="AB46">
        <f t="shared" si="18"/>
        <v>1.2010101206601917</v>
      </c>
      <c r="AC46">
        <f t="shared" si="19"/>
        <v>-248.18286421866637</v>
      </c>
      <c r="AD46">
        <f t="shared" si="20"/>
        <v>80.64027452186437</v>
      </c>
      <c r="AE46">
        <f t="shared" si="21"/>
        <v>5.9827304805172306</v>
      </c>
      <c r="AF46">
        <f t="shared" si="22"/>
        <v>182.79434044145341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52742.525913549485</v>
      </c>
      <c r="AL46" t="s">
        <v>415</v>
      </c>
      <c r="AM46">
        <v>10297.6</v>
      </c>
      <c r="AN46">
        <v>785.57400000000007</v>
      </c>
      <c r="AO46">
        <v>3597.65</v>
      </c>
      <c r="AP46">
        <f t="shared" si="26"/>
        <v>0.7816424610509638</v>
      </c>
      <c r="AQ46">
        <v>-0.62398835798131469</v>
      </c>
      <c r="AR46" t="s">
        <v>571</v>
      </c>
      <c r="AS46">
        <v>10221.200000000001</v>
      </c>
      <c r="AT46">
        <v>757.01646153846139</v>
      </c>
      <c r="AU46">
        <v>1117.5811158242479</v>
      </c>
      <c r="AV46">
        <f t="shared" si="27"/>
        <v>0.32262951581806198</v>
      </c>
      <c r="AW46">
        <v>0.5</v>
      </c>
      <c r="AX46">
        <f t="shared" si="28"/>
        <v>1513.1174998288691</v>
      </c>
      <c r="AY46">
        <f t="shared" si="29"/>
        <v>45.311927620206681</v>
      </c>
      <c r="AZ46">
        <f t="shared" si="30"/>
        <v>244.08818317281225</v>
      </c>
      <c r="BA46">
        <f t="shared" si="31"/>
        <v>3.035845926267013E-2</v>
      </c>
      <c r="BB46">
        <f t="shared" si="32"/>
        <v>2.2191399345063472</v>
      </c>
      <c r="BC46">
        <f t="shared" si="33"/>
        <v>529.16073422370278</v>
      </c>
      <c r="BD46" t="s">
        <v>572</v>
      </c>
      <c r="BE46">
        <v>554.84</v>
      </c>
      <c r="BF46">
        <f t="shared" si="34"/>
        <v>554.84</v>
      </c>
      <c r="BG46">
        <f t="shared" si="35"/>
        <v>0.50353491827679131</v>
      </c>
      <c r="BH46">
        <f t="shared" si="36"/>
        <v>0.64072918105098264</v>
      </c>
      <c r="BI46">
        <f t="shared" si="37"/>
        <v>0.81505873984105215</v>
      </c>
      <c r="BJ46">
        <f t="shared" si="38"/>
        <v>1.0860148385393522</v>
      </c>
      <c r="BK46">
        <f t="shared" si="39"/>
        <v>0.88193522656420098</v>
      </c>
      <c r="BL46">
        <f t="shared" si="40"/>
        <v>0.46960957505712758</v>
      </c>
      <c r="BM46">
        <f t="shared" si="41"/>
        <v>0.53039042494287236</v>
      </c>
      <c r="BN46">
        <v>59</v>
      </c>
      <c r="BO46">
        <v>290.00000000000011</v>
      </c>
      <c r="BP46">
        <v>1023.29</v>
      </c>
      <c r="BQ46">
        <v>225</v>
      </c>
      <c r="BR46">
        <v>10221.200000000001</v>
      </c>
      <c r="BS46">
        <v>1022.83</v>
      </c>
      <c r="BT46">
        <v>0.46</v>
      </c>
      <c r="BU46">
        <v>300.00000000000011</v>
      </c>
      <c r="BV46">
        <v>24.1</v>
      </c>
      <c r="BW46">
        <v>1117.5811158242479</v>
      </c>
      <c r="BX46">
        <v>2.2143797279579869</v>
      </c>
      <c r="BY46">
        <v>-96.851848810353829</v>
      </c>
      <c r="BZ46">
        <v>2.0150975753917959</v>
      </c>
      <c r="CA46">
        <v>0.98802427059260178</v>
      </c>
      <c r="CB46">
        <v>-6.9643370411568437E-3</v>
      </c>
      <c r="CC46">
        <v>289.99999999999989</v>
      </c>
      <c r="CD46">
        <v>1022.2</v>
      </c>
      <c r="CE46">
        <v>685</v>
      </c>
      <c r="CF46">
        <v>10196.9</v>
      </c>
      <c r="CG46">
        <v>1022.6</v>
      </c>
      <c r="CH46">
        <v>-0.4</v>
      </c>
      <c r="CV46">
        <f t="shared" si="42"/>
        <v>1799.92</v>
      </c>
      <c r="CW46">
        <f t="shared" si="43"/>
        <v>1513.1174998288691</v>
      </c>
      <c r="CX46">
        <f t="shared" si="44"/>
        <v>0.84065819582474166</v>
      </c>
      <c r="CY46">
        <f t="shared" si="45"/>
        <v>0.19131639164948341</v>
      </c>
      <c r="CZ46">
        <v>6</v>
      </c>
      <c r="DA46">
        <v>0.5</v>
      </c>
      <c r="DB46" t="s">
        <v>418</v>
      </c>
      <c r="DC46">
        <v>2</v>
      </c>
      <c r="DD46">
        <v>1674581210.0999999</v>
      </c>
      <c r="DE46">
        <v>243.97399999999999</v>
      </c>
      <c r="DF46">
        <v>299.976</v>
      </c>
      <c r="DG46">
        <v>24.866700000000002</v>
      </c>
      <c r="DH46">
        <v>18.2837</v>
      </c>
      <c r="DI46">
        <v>244.99100000000001</v>
      </c>
      <c r="DJ46">
        <v>24.646100000000001</v>
      </c>
      <c r="DK46">
        <v>500.178</v>
      </c>
      <c r="DL46">
        <v>99.892600000000002</v>
      </c>
      <c r="DM46">
        <v>0.100146</v>
      </c>
      <c r="DN46">
        <v>28.018999999999998</v>
      </c>
      <c r="DO46">
        <v>27.508700000000001</v>
      </c>
      <c r="DP46">
        <v>999.9</v>
      </c>
      <c r="DQ46">
        <v>0</v>
      </c>
      <c r="DR46">
        <v>0</v>
      </c>
      <c r="DS46">
        <v>10020</v>
      </c>
      <c r="DT46">
        <v>0</v>
      </c>
      <c r="DU46">
        <v>536.22799999999995</v>
      </c>
      <c r="DV46">
        <v>-56.001800000000003</v>
      </c>
      <c r="DW46">
        <v>250.19499999999999</v>
      </c>
      <c r="DX46">
        <v>305.56200000000001</v>
      </c>
      <c r="DY46">
        <v>6.5830200000000003</v>
      </c>
      <c r="DZ46">
        <v>299.976</v>
      </c>
      <c r="EA46">
        <v>18.2837</v>
      </c>
      <c r="EB46">
        <v>2.484</v>
      </c>
      <c r="EC46">
        <v>1.8264100000000001</v>
      </c>
      <c r="ED46">
        <v>20.922000000000001</v>
      </c>
      <c r="EE46">
        <v>16.014600000000002</v>
      </c>
      <c r="EF46">
        <v>1799.92</v>
      </c>
      <c r="EG46">
        <v>0.97799800000000003</v>
      </c>
      <c r="EH46">
        <v>2.2001900000000001E-2</v>
      </c>
      <c r="EI46">
        <v>0</v>
      </c>
      <c r="EJ46">
        <v>756.51499999999999</v>
      </c>
      <c r="EK46">
        <v>5.0002599999999999</v>
      </c>
      <c r="EL46">
        <v>14244</v>
      </c>
      <c r="EM46">
        <v>17102.599999999999</v>
      </c>
      <c r="EN46">
        <v>49.436999999999998</v>
      </c>
      <c r="EO46">
        <v>50.936999999999998</v>
      </c>
      <c r="EP46">
        <v>50.5</v>
      </c>
      <c r="EQ46">
        <v>50.125</v>
      </c>
      <c r="ER46">
        <v>50.625</v>
      </c>
      <c r="ES46">
        <v>1755.43</v>
      </c>
      <c r="ET46">
        <v>39.49</v>
      </c>
      <c r="EU46">
        <v>0</v>
      </c>
      <c r="EV46">
        <v>113.3999998569489</v>
      </c>
      <c r="EW46">
        <v>0</v>
      </c>
      <c r="EX46">
        <v>757.01646153846139</v>
      </c>
      <c r="EY46">
        <v>-2.389333329725849</v>
      </c>
      <c r="EZ46">
        <v>-43.83247851291776</v>
      </c>
      <c r="FA46">
        <v>14247.56538461538</v>
      </c>
      <c r="FB46">
        <v>15</v>
      </c>
      <c r="FC46">
        <v>1674581173.5999999</v>
      </c>
      <c r="FD46" t="s">
        <v>573</v>
      </c>
      <c r="FE46">
        <v>1674581167.5999999</v>
      </c>
      <c r="FF46">
        <v>1674581173.5999999</v>
      </c>
      <c r="FG46">
        <v>35</v>
      </c>
      <c r="FH46">
        <v>-0.01</v>
      </c>
      <c r="FI46">
        <v>4.0000000000000001E-3</v>
      </c>
      <c r="FJ46">
        <v>-1.0129999999999999</v>
      </c>
      <c r="FK46">
        <v>6.3E-2</v>
      </c>
      <c r="FL46">
        <v>300</v>
      </c>
      <c r="FM46">
        <v>18</v>
      </c>
      <c r="FN46">
        <v>0.02</v>
      </c>
      <c r="FO46">
        <v>0.02</v>
      </c>
      <c r="FP46">
        <v>45.217734366971307</v>
      </c>
      <c r="FQ46">
        <v>0.210773463261443</v>
      </c>
      <c r="FR46">
        <v>5.0197623735882012E-2</v>
      </c>
      <c r="FS46">
        <v>1</v>
      </c>
      <c r="FT46">
        <v>0.49517888041503028</v>
      </c>
      <c r="FU46">
        <v>3.8841743059696239E-2</v>
      </c>
      <c r="FV46">
        <v>4.6302104675075067E-3</v>
      </c>
      <c r="FW46">
        <v>1</v>
      </c>
      <c r="FX46">
        <v>2</v>
      </c>
      <c r="FY46">
        <v>2</v>
      </c>
      <c r="FZ46" t="s">
        <v>420</v>
      </c>
      <c r="GA46">
        <v>2.9298600000000001</v>
      </c>
      <c r="GB46">
        <v>2.8072300000000001</v>
      </c>
      <c r="GC46">
        <v>6.5798499999999996E-2</v>
      </c>
      <c r="GD46">
        <v>7.9114599999999993E-2</v>
      </c>
      <c r="GE46">
        <v>0.11533499999999999</v>
      </c>
      <c r="GF46">
        <v>9.4382199999999999E-2</v>
      </c>
      <c r="GG46">
        <v>27836.5</v>
      </c>
      <c r="GH46">
        <v>27743</v>
      </c>
      <c r="GI46">
        <v>28299.3</v>
      </c>
      <c r="GJ46">
        <v>27145.4</v>
      </c>
      <c r="GK46">
        <v>35940.5</v>
      </c>
      <c r="GL46">
        <v>32441.3</v>
      </c>
      <c r="GM46">
        <v>42142.400000000001</v>
      </c>
      <c r="GN46">
        <v>36807.199999999997</v>
      </c>
      <c r="GO46">
        <v>1.9213199999999999</v>
      </c>
      <c r="GP46">
        <v>1.8877299999999999</v>
      </c>
      <c r="GQ46">
        <v>7.1965199999999993E-2</v>
      </c>
      <c r="GR46">
        <v>0</v>
      </c>
      <c r="GS46">
        <v>26.331600000000002</v>
      </c>
      <c r="GT46">
        <v>999.9</v>
      </c>
      <c r="GU46">
        <v>47.8</v>
      </c>
      <c r="GV46">
        <v>36</v>
      </c>
      <c r="GW46">
        <v>28.5609</v>
      </c>
      <c r="GX46">
        <v>61.676900000000003</v>
      </c>
      <c r="GY46">
        <v>27.632200000000001</v>
      </c>
      <c r="GZ46">
        <v>1</v>
      </c>
      <c r="HA46">
        <v>0.36190600000000001</v>
      </c>
      <c r="HB46">
        <v>3.0237500000000002</v>
      </c>
      <c r="HC46">
        <v>20.317799999999998</v>
      </c>
      <c r="HD46">
        <v>5.2394499999999997</v>
      </c>
      <c r="HE46">
        <v>11.9381</v>
      </c>
      <c r="HF46">
        <v>4.9736500000000001</v>
      </c>
      <c r="HG46">
        <v>3.2989999999999999</v>
      </c>
      <c r="HH46">
        <v>9999</v>
      </c>
      <c r="HI46">
        <v>9999</v>
      </c>
      <c r="HJ46">
        <v>9999</v>
      </c>
      <c r="HK46">
        <v>999.9</v>
      </c>
      <c r="HL46">
        <v>1.8736600000000001</v>
      </c>
      <c r="HM46">
        <v>1.88141</v>
      </c>
      <c r="HN46">
        <v>1.8849199999999999</v>
      </c>
      <c r="HO46">
        <v>1.8815599999999999</v>
      </c>
      <c r="HP46">
        <v>1.87896</v>
      </c>
      <c r="HQ46">
        <v>1.87364</v>
      </c>
      <c r="HR46">
        <v>1.87653</v>
      </c>
      <c r="HS46">
        <v>1.8807100000000001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-1.0169999999999999</v>
      </c>
      <c r="IH46">
        <v>0.22059999999999999</v>
      </c>
      <c r="II46">
        <v>-1.1461849921866789</v>
      </c>
      <c r="IJ46">
        <v>9.4905977090923709E-4</v>
      </c>
      <c r="IK46">
        <v>-1.9106666302146479E-6</v>
      </c>
      <c r="IL46">
        <v>7.5819610513223293E-10</v>
      </c>
      <c r="IM46">
        <v>-7.7024036158976267E-2</v>
      </c>
      <c r="IN46">
        <v>-1.0595840490420019E-2</v>
      </c>
      <c r="IO46">
        <v>1.2407080968752471E-3</v>
      </c>
      <c r="IP46">
        <v>-1.3015442653884381E-5</v>
      </c>
      <c r="IQ46">
        <v>33</v>
      </c>
      <c r="IR46">
        <v>2014</v>
      </c>
      <c r="IS46">
        <v>1</v>
      </c>
      <c r="IT46">
        <v>26</v>
      </c>
      <c r="IU46">
        <v>0.7</v>
      </c>
      <c r="IV46">
        <v>0.6</v>
      </c>
      <c r="IW46">
        <v>0.79956099999999997</v>
      </c>
      <c r="IX46">
        <v>2.5097700000000001</v>
      </c>
      <c r="IY46">
        <v>1.5991200000000001</v>
      </c>
      <c r="IZ46">
        <v>2.2973599999999998</v>
      </c>
      <c r="JA46">
        <v>1.5502899999999999</v>
      </c>
      <c r="JB46">
        <v>2.3767100000000001</v>
      </c>
      <c r="JC46">
        <v>40.120600000000003</v>
      </c>
      <c r="JD46">
        <v>23.991199999999999</v>
      </c>
      <c r="JE46">
        <v>18</v>
      </c>
      <c r="JF46">
        <v>479.63299999999998</v>
      </c>
      <c r="JG46">
        <v>492.04399999999998</v>
      </c>
      <c r="JH46">
        <v>22.713100000000001</v>
      </c>
      <c r="JI46">
        <v>31.779800000000002</v>
      </c>
      <c r="JJ46">
        <v>30.0002</v>
      </c>
      <c r="JK46">
        <v>31.900400000000001</v>
      </c>
      <c r="JL46">
        <v>31.879899999999999</v>
      </c>
      <c r="JM46">
        <v>16.066400000000002</v>
      </c>
      <c r="JN46">
        <v>42.8279</v>
      </c>
      <c r="JO46">
        <v>0</v>
      </c>
      <c r="JP46">
        <v>22.703399999999998</v>
      </c>
      <c r="JQ46">
        <v>300</v>
      </c>
      <c r="JR46">
        <v>18.217300000000002</v>
      </c>
      <c r="JS46">
        <v>99.911699999999996</v>
      </c>
      <c r="JT46">
        <v>98.5792</v>
      </c>
    </row>
    <row r="47" spans="1:280" x14ac:dyDescent="0.25">
      <c r="A47">
        <v>31</v>
      </c>
      <c r="B47">
        <v>1674581343.0999999</v>
      </c>
      <c r="C47">
        <v>5918.0999999046326</v>
      </c>
      <c r="D47" t="s">
        <v>574</v>
      </c>
      <c r="E47" t="s">
        <v>575</v>
      </c>
      <c r="F47" t="s">
        <v>412</v>
      </c>
      <c r="G47" t="s">
        <v>564</v>
      </c>
      <c r="H47" t="s">
        <v>565</v>
      </c>
      <c r="I47">
        <v>1674581343.0999999</v>
      </c>
      <c r="J47">
        <f t="shared" si="0"/>
        <v>6.1098757533587728E-3</v>
      </c>
      <c r="K47">
        <f t="shared" si="1"/>
        <v>6.1098757533587724</v>
      </c>
      <c r="L47">
        <f t="shared" si="2"/>
        <v>32.52360291076161</v>
      </c>
      <c r="M47">
        <f t="shared" si="3"/>
        <v>159.76900000000001</v>
      </c>
      <c r="N47">
        <f t="shared" si="4"/>
        <v>53.426164297202128</v>
      </c>
      <c r="O47">
        <f t="shared" si="5"/>
        <v>5.342218992484006</v>
      </c>
      <c r="P47">
        <f t="shared" si="6"/>
        <v>15.975711478408998</v>
      </c>
      <c r="Q47">
        <f t="shared" si="7"/>
        <v>0.54288027191529498</v>
      </c>
      <c r="R47">
        <f t="shared" si="8"/>
        <v>2.9274422590690161</v>
      </c>
      <c r="S47">
        <f t="shared" si="9"/>
        <v>0.49252426446845721</v>
      </c>
      <c r="T47">
        <f t="shared" si="10"/>
        <v>0.31196178542778114</v>
      </c>
      <c r="U47">
        <f t="shared" si="11"/>
        <v>344.38649965777046</v>
      </c>
      <c r="V47">
        <f t="shared" si="12"/>
        <v>28.44862987915387</v>
      </c>
      <c r="W47">
        <f t="shared" si="13"/>
        <v>27.513999999999999</v>
      </c>
      <c r="X47">
        <f t="shared" si="14"/>
        <v>3.6886433994246031</v>
      </c>
      <c r="Y47">
        <f t="shared" si="15"/>
        <v>65.497998273910639</v>
      </c>
      <c r="Z47">
        <f t="shared" si="16"/>
        <v>2.4865150143869998</v>
      </c>
      <c r="AA47">
        <f t="shared" si="17"/>
        <v>3.7963221471112285</v>
      </c>
      <c r="AB47">
        <f t="shared" si="18"/>
        <v>1.2021283850376032</v>
      </c>
      <c r="AC47">
        <f t="shared" si="19"/>
        <v>-269.44552072312189</v>
      </c>
      <c r="AD47">
        <f t="shared" si="20"/>
        <v>77.760016385846512</v>
      </c>
      <c r="AE47">
        <f t="shared" si="21"/>
        <v>5.7761870625396838</v>
      </c>
      <c r="AF47">
        <f t="shared" si="22"/>
        <v>158.47718238303477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52637.309518749156</v>
      </c>
      <c r="AL47" t="s">
        <v>415</v>
      </c>
      <c r="AM47">
        <v>10297.6</v>
      </c>
      <c r="AN47">
        <v>785.57400000000007</v>
      </c>
      <c r="AO47">
        <v>3597.65</v>
      </c>
      <c r="AP47">
        <f t="shared" si="26"/>
        <v>0.7816424610509638</v>
      </c>
      <c r="AQ47">
        <v>-0.62398835798131469</v>
      </c>
      <c r="AR47" t="s">
        <v>576</v>
      </c>
      <c r="AS47">
        <v>10235.9</v>
      </c>
      <c r="AT47">
        <v>761.61076000000003</v>
      </c>
      <c r="AU47">
        <v>1024.640708851716</v>
      </c>
      <c r="AV47">
        <f t="shared" si="27"/>
        <v>0.25670456637086547</v>
      </c>
      <c r="AW47">
        <v>0.5</v>
      </c>
      <c r="AX47">
        <f t="shared" si="28"/>
        <v>1513.2602998288853</v>
      </c>
      <c r="AY47">
        <f t="shared" si="29"/>
        <v>32.52360291076161</v>
      </c>
      <c r="AZ47">
        <f t="shared" si="30"/>
        <v>194.23041453690993</v>
      </c>
      <c r="BA47">
        <f t="shared" si="31"/>
        <v>2.1904751794843989E-2</v>
      </c>
      <c r="BB47">
        <f t="shared" si="32"/>
        <v>2.5111331893418312</v>
      </c>
      <c r="BC47">
        <f t="shared" si="33"/>
        <v>507.37026748861177</v>
      </c>
      <c r="BD47" t="s">
        <v>577</v>
      </c>
      <c r="BE47">
        <v>544.29999999999995</v>
      </c>
      <c r="BF47">
        <f t="shared" si="34"/>
        <v>544.29999999999995</v>
      </c>
      <c r="BG47">
        <f t="shared" si="35"/>
        <v>0.46878940559566429</v>
      </c>
      <c r="BH47">
        <f t="shared" si="36"/>
        <v>0.54759037492471796</v>
      </c>
      <c r="BI47">
        <f t="shared" si="37"/>
        <v>0.84268403266847369</v>
      </c>
      <c r="BJ47">
        <f t="shared" si="38"/>
        <v>1.1002366248111255</v>
      </c>
      <c r="BK47">
        <f t="shared" si="39"/>
        <v>0.91498568713942452</v>
      </c>
      <c r="BL47">
        <f t="shared" si="40"/>
        <v>0.3913461530815609</v>
      </c>
      <c r="BM47">
        <f t="shared" si="41"/>
        <v>0.60865384691843905</v>
      </c>
      <c r="BN47">
        <v>61</v>
      </c>
      <c r="BO47">
        <v>290.00000000000011</v>
      </c>
      <c r="BP47">
        <v>960.83</v>
      </c>
      <c r="BQ47">
        <v>125</v>
      </c>
      <c r="BR47">
        <v>10235.9</v>
      </c>
      <c r="BS47">
        <v>959.26</v>
      </c>
      <c r="BT47">
        <v>1.57</v>
      </c>
      <c r="BU47">
        <v>300.00000000000011</v>
      </c>
      <c r="BV47">
        <v>24.1</v>
      </c>
      <c r="BW47">
        <v>1024.640708851716</v>
      </c>
      <c r="BX47">
        <v>2.0024587589984471</v>
      </c>
      <c r="BY47">
        <v>-66.920102449856643</v>
      </c>
      <c r="BZ47">
        <v>1.8220284705319481</v>
      </c>
      <c r="CA47">
        <v>0.97966552427577513</v>
      </c>
      <c r="CB47">
        <v>-6.9636153503893237E-3</v>
      </c>
      <c r="CC47">
        <v>289.99999999999989</v>
      </c>
      <c r="CD47">
        <v>959.49</v>
      </c>
      <c r="CE47">
        <v>705</v>
      </c>
      <c r="CF47">
        <v>10194.4</v>
      </c>
      <c r="CG47">
        <v>959</v>
      </c>
      <c r="CH47">
        <v>0.49</v>
      </c>
      <c r="CV47">
        <f t="shared" si="42"/>
        <v>1800.09</v>
      </c>
      <c r="CW47">
        <f t="shared" si="43"/>
        <v>1513.2602998288853</v>
      </c>
      <c r="CX47">
        <f t="shared" si="44"/>
        <v>0.8406581336649197</v>
      </c>
      <c r="CY47">
        <f t="shared" si="45"/>
        <v>0.19131626732983933</v>
      </c>
      <c r="CZ47">
        <v>6</v>
      </c>
      <c r="DA47">
        <v>0.5</v>
      </c>
      <c r="DB47" t="s">
        <v>418</v>
      </c>
      <c r="DC47">
        <v>2</v>
      </c>
      <c r="DD47">
        <v>1674581343.0999999</v>
      </c>
      <c r="DE47">
        <v>159.76900000000001</v>
      </c>
      <c r="DF47">
        <v>199.959</v>
      </c>
      <c r="DG47">
        <v>24.867000000000001</v>
      </c>
      <c r="DH47">
        <v>17.719200000000001</v>
      </c>
      <c r="DI47">
        <v>160.834</v>
      </c>
      <c r="DJ47">
        <v>24.646799999999999</v>
      </c>
      <c r="DK47">
        <v>500.12099999999998</v>
      </c>
      <c r="DL47">
        <v>99.892399999999995</v>
      </c>
      <c r="DM47">
        <v>0.100161</v>
      </c>
      <c r="DN47">
        <v>28.006699999999999</v>
      </c>
      <c r="DO47">
        <v>27.513999999999999</v>
      </c>
      <c r="DP47">
        <v>999.9</v>
      </c>
      <c r="DQ47">
        <v>0</v>
      </c>
      <c r="DR47">
        <v>0</v>
      </c>
      <c r="DS47">
        <v>9998.75</v>
      </c>
      <c r="DT47">
        <v>0</v>
      </c>
      <c r="DU47">
        <v>541.89599999999996</v>
      </c>
      <c r="DV47">
        <v>-40.19</v>
      </c>
      <c r="DW47">
        <v>163.84299999999999</v>
      </c>
      <c r="DX47">
        <v>203.566</v>
      </c>
      <c r="DY47">
        <v>7.1478400000000004</v>
      </c>
      <c r="DZ47">
        <v>199.959</v>
      </c>
      <c r="EA47">
        <v>17.719200000000001</v>
      </c>
      <c r="EB47">
        <v>2.4840200000000001</v>
      </c>
      <c r="EC47">
        <v>1.7700100000000001</v>
      </c>
      <c r="ED47">
        <v>20.9222</v>
      </c>
      <c r="EE47">
        <v>15.5244</v>
      </c>
      <c r="EF47">
        <v>1800.09</v>
      </c>
      <c r="EG47">
        <v>0.97800200000000004</v>
      </c>
      <c r="EH47">
        <v>2.1998199999999999E-2</v>
      </c>
      <c r="EI47">
        <v>0</v>
      </c>
      <c r="EJ47">
        <v>761.32600000000002</v>
      </c>
      <c r="EK47">
        <v>5.0002599999999999</v>
      </c>
      <c r="EL47">
        <v>14346.5</v>
      </c>
      <c r="EM47">
        <v>17104.2</v>
      </c>
      <c r="EN47">
        <v>49.561999999999998</v>
      </c>
      <c r="EO47">
        <v>51</v>
      </c>
      <c r="EP47">
        <v>50.561999999999998</v>
      </c>
      <c r="EQ47">
        <v>50.25</v>
      </c>
      <c r="ER47">
        <v>50.811999999999998</v>
      </c>
      <c r="ES47">
        <v>1755.6</v>
      </c>
      <c r="ET47">
        <v>39.49</v>
      </c>
      <c r="EU47">
        <v>0</v>
      </c>
      <c r="EV47">
        <v>130.79999995231631</v>
      </c>
      <c r="EW47">
        <v>0</v>
      </c>
      <c r="EX47">
        <v>761.61076000000003</v>
      </c>
      <c r="EY47">
        <v>-3.2339230873324931</v>
      </c>
      <c r="EZ47">
        <v>-52.961538626601893</v>
      </c>
      <c r="FA47">
        <v>14350.668</v>
      </c>
      <c r="FB47">
        <v>15</v>
      </c>
      <c r="FC47">
        <v>1674581306.5999999</v>
      </c>
      <c r="FD47" t="s">
        <v>578</v>
      </c>
      <c r="FE47">
        <v>1674581299.0999999</v>
      </c>
      <c r="FF47">
        <v>1674581306.5999999</v>
      </c>
      <c r="FG47">
        <v>36</v>
      </c>
      <c r="FH47">
        <v>-2.5000000000000001E-2</v>
      </c>
      <c r="FI47">
        <v>0</v>
      </c>
      <c r="FJ47">
        <v>-1.0509999999999999</v>
      </c>
      <c r="FK47">
        <v>5.2999999999999999E-2</v>
      </c>
      <c r="FL47">
        <v>200</v>
      </c>
      <c r="FM47">
        <v>18</v>
      </c>
      <c r="FN47">
        <v>0.03</v>
      </c>
      <c r="FO47">
        <v>0.01</v>
      </c>
      <c r="FP47">
        <v>32.502151360633547</v>
      </c>
      <c r="FQ47">
        <v>8.8313577105004731E-2</v>
      </c>
      <c r="FR47">
        <v>4.1080364074805968E-2</v>
      </c>
      <c r="FS47">
        <v>1</v>
      </c>
      <c r="FT47">
        <v>0.54515045792764105</v>
      </c>
      <c r="FU47">
        <v>3.2215900406517457E-2</v>
      </c>
      <c r="FV47">
        <v>5.1921167754340539E-3</v>
      </c>
      <c r="FW47">
        <v>1</v>
      </c>
      <c r="FX47">
        <v>2</v>
      </c>
      <c r="FY47">
        <v>2</v>
      </c>
      <c r="FZ47" t="s">
        <v>420</v>
      </c>
      <c r="GA47">
        <v>2.9296000000000002</v>
      </c>
      <c r="GB47">
        <v>2.8070599999999999</v>
      </c>
      <c r="GC47">
        <v>4.5055699999999997E-2</v>
      </c>
      <c r="GD47">
        <v>5.57606E-2</v>
      </c>
      <c r="GE47">
        <v>0.115329</v>
      </c>
      <c r="GF47">
        <v>9.2286300000000002E-2</v>
      </c>
      <c r="GG47">
        <v>28450.400000000001</v>
      </c>
      <c r="GH47">
        <v>28445</v>
      </c>
      <c r="GI47">
        <v>28295.3</v>
      </c>
      <c r="GJ47">
        <v>27143.9</v>
      </c>
      <c r="GK47">
        <v>35935.4</v>
      </c>
      <c r="GL47">
        <v>32514.9</v>
      </c>
      <c r="GM47">
        <v>42136.3</v>
      </c>
      <c r="GN47">
        <v>36805.800000000003</v>
      </c>
      <c r="GO47">
        <v>1.92092</v>
      </c>
      <c r="GP47">
        <v>1.8854200000000001</v>
      </c>
      <c r="GQ47">
        <v>6.36689E-2</v>
      </c>
      <c r="GR47">
        <v>0</v>
      </c>
      <c r="GS47">
        <v>26.472799999999999</v>
      </c>
      <c r="GT47">
        <v>999.9</v>
      </c>
      <c r="GU47">
        <v>47.9</v>
      </c>
      <c r="GV47">
        <v>36</v>
      </c>
      <c r="GW47">
        <v>28.621300000000002</v>
      </c>
      <c r="GX47">
        <v>61.786900000000003</v>
      </c>
      <c r="GY47">
        <v>27.760400000000001</v>
      </c>
      <c r="GZ47">
        <v>1</v>
      </c>
      <c r="HA47">
        <v>0.36707299999999998</v>
      </c>
      <c r="HB47">
        <v>2.9716100000000001</v>
      </c>
      <c r="HC47">
        <v>20.318999999999999</v>
      </c>
      <c r="HD47">
        <v>5.2398999999999996</v>
      </c>
      <c r="HE47">
        <v>11.9381</v>
      </c>
      <c r="HF47">
        <v>4.9735500000000004</v>
      </c>
      <c r="HG47">
        <v>3.2989999999999999</v>
      </c>
      <c r="HH47">
        <v>9999</v>
      </c>
      <c r="HI47">
        <v>9999</v>
      </c>
      <c r="HJ47">
        <v>9999</v>
      </c>
      <c r="HK47">
        <v>999.9</v>
      </c>
      <c r="HL47">
        <v>1.8736699999999999</v>
      </c>
      <c r="HM47">
        <v>1.8814</v>
      </c>
      <c r="HN47">
        <v>1.8848800000000001</v>
      </c>
      <c r="HO47">
        <v>1.8815599999999999</v>
      </c>
      <c r="HP47">
        <v>1.8789100000000001</v>
      </c>
      <c r="HQ47">
        <v>1.8736299999999999</v>
      </c>
      <c r="HR47">
        <v>1.87653</v>
      </c>
      <c r="HS47">
        <v>1.8806799999999999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-1.0649999999999999</v>
      </c>
      <c r="IH47">
        <v>0.22020000000000001</v>
      </c>
      <c r="II47">
        <v>-1.171170818917886</v>
      </c>
      <c r="IJ47">
        <v>9.4905977090923709E-4</v>
      </c>
      <c r="IK47">
        <v>-1.9106666302146479E-6</v>
      </c>
      <c r="IL47">
        <v>7.5819610513223293E-10</v>
      </c>
      <c r="IM47">
        <v>-7.7480463899388036E-2</v>
      </c>
      <c r="IN47">
        <v>-1.0595840490420019E-2</v>
      </c>
      <c r="IO47">
        <v>1.2407080968752471E-3</v>
      </c>
      <c r="IP47">
        <v>-1.3015442653884381E-5</v>
      </c>
      <c r="IQ47">
        <v>33</v>
      </c>
      <c r="IR47">
        <v>2014</v>
      </c>
      <c r="IS47">
        <v>1</v>
      </c>
      <c r="IT47">
        <v>26</v>
      </c>
      <c r="IU47">
        <v>0.7</v>
      </c>
      <c r="IV47">
        <v>0.6</v>
      </c>
      <c r="IW47">
        <v>0.58227499999999999</v>
      </c>
      <c r="IX47">
        <v>2.52197</v>
      </c>
      <c r="IY47">
        <v>1.5991200000000001</v>
      </c>
      <c r="IZ47">
        <v>2.2985799999999998</v>
      </c>
      <c r="JA47">
        <v>1.5502899999999999</v>
      </c>
      <c r="JB47">
        <v>2.36938</v>
      </c>
      <c r="JC47">
        <v>40.095300000000002</v>
      </c>
      <c r="JD47">
        <v>24.017499999999998</v>
      </c>
      <c r="JE47">
        <v>18</v>
      </c>
      <c r="JF47">
        <v>479.60700000000003</v>
      </c>
      <c r="JG47">
        <v>490.60700000000003</v>
      </c>
      <c r="JH47">
        <v>22.792999999999999</v>
      </c>
      <c r="JI47">
        <v>31.846399999999999</v>
      </c>
      <c r="JJ47">
        <v>30.000499999999999</v>
      </c>
      <c r="JK47">
        <v>31.929400000000001</v>
      </c>
      <c r="JL47">
        <v>31.8996</v>
      </c>
      <c r="JM47">
        <v>11.710900000000001</v>
      </c>
      <c r="JN47">
        <v>44.727600000000002</v>
      </c>
      <c r="JO47">
        <v>0</v>
      </c>
      <c r="JP47">
        <v>22.7803</v>
      </c>
      <c r="JQ47">
        <v>200</v>
      </c>
      <c r="JR47">
        <v>17.6416</v>
      </c>
      <c r="JS47">
        <v>99.897199999999998</v>
      </c>
      <c r="JT47">
        <v>98.574600000000004</v>
      </c>
    </row>
    <row r="48" spans="1:280" x14ac:dyDescent="0.25">
      <c r="A48">
        <v>32</v>
      </c>
      <c r="B48">
        <v>1674581462.5999999</v>
      </c>
      <c r="C48">
        <v>6037.5999999046326</v>
      </c>
      <c r="D48" t="s">
        <v>579</v>
      </c>
      <c r="E48" t="s">
        <v>580</v>
      </c>
      <c r="F48" t="s">
        <v>412</v>
      </c>
      <c r="G48" t="s">
        <v>564</v>
      </c>
      <c r="H48" t="s">
        <v>565</v>
      </c>
      <c r="I48">
        <v>1674581462.5999999</v>
      </c>
      <c r="J48">
        <f t="shared" si="0"/>
        <v>6.4404696347622461E-3</v>
      </c>
      <c r="K48">
        <f t="shared" si="1"/>
        <v>6.4404696347622465</v>
      </c>
      <c r="L48">
        <f t="shared" si="2"/>
        <v>20.239030627515397</v>
      </c>
      <c r="M48">
        <f t="shared" si="3"/>
        <v>94.994</v>
      </c>
      <c r="N48">
        <f t="shared" si="4"/>
        <v>32.498135024471694</v>
      </c>
      <c r="O48">
        <f t="shared" si="5"/>
        <v>3.2492959046506344</v>
      </c>
      <c r="P48">
        <f t="shared" si="6"/>
        <v>9.4978870305619996</v>
      </c>
      <c r="Q48">
        <f t="shared" si="7"/>
        <v>0.57795252320554213</v>
      </c>
      <c r="R48">
        <f t="shared" si="8"/>
        <v>2.9282819526298871</v>
      </c>
      <c r="S48">
        <f t="shared" si="9"/>
        <v>0.52125778707473658</v>
      </c>
      <c r="T48">
        <f t="shared" si="10"/>
        <v>0.33041522423522379</v>
      </c>
      <c r="U48">
        <f t="shared" si="11"/>
        <v>344.39029965777428</v>
      </c>
      <c r="V48">
        <f t="shared" si="12"/>
        <v>28.370681238247567</v>
      </c>
      <c r="W48">
        <f t="shared" si="13"/>
        <v>27.5122</v>
      </c>
      <c r="X48">
        <f t="shared" si="14"/>
        <v>3.6882549512741103</v>
      </c>
      <c r="Y48">
        <f t="shared" si="15"/>
        <v>65.58682785236438</v>
      </c>
      <c r="Z48">
        <f t="shared" si="16"/>
        <v>2.4910631851658001</v>
      </c>
      <c r="AA48">
        <f t="shared" si="17"/>
        <v>3.7981150586717973</v>
      </c>
      <c r="AB48">
        <f t="shared" si="18"/>
        <v>1.1971917661083102</v>
      </c>
      <c r="AC48">
        <f t="shared" si="19"/>
        <v>-284.02471089301503</v>
      </c>
      <c r="AD48">
        <f t="shared" si="20"/>
        <v>79.345229110329868</v>
      </c>
      <c r="AE48">
        <f t="shared" si="21"/>
        <v>5.8924353854952845</v>
      </c>
      <c r="AF48">
        <f t="shared" si="22"/>
        <v>145.60325326058438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52659.884947152328</v>
      </c>
      <c r="AL48" t="s">
        <v>415</v>
      </c>
      <c r="AM48">
        <v>10297.6</v>
      </c>
      <c r="AN48">
        <v>785.57400000000007</v>
      </c>
      <c r="AO48">
        <v>3597.65</v>
      </c>
      <c r="AP48">
        <f t="shared" si="26"/>
        <v>0.7816424610509638</v>
      </c>
      <c r="AQ48">
        <v>-0.62398835798131469</v>
      </c>
      <c r="AR48" t="s">
        <v>581</v>
      </c>
      <c r="AS48">
        <v>10218.1</v>
      </c>
      <c r="AT48">
        <v>784.56895999999995</v>
      </c>
      <c r="AU48">
        <v>960.46807307038978</v>
      </c>
      <c r="AV48">
        <f t="shared" si="27"/>
        <v>0.18313894860459223</v>
      </c>
      <c r="AW48">
        <v>0.5</v>
      </c>
      <c r="AX48">
        <f t="shared" si="28"/>
        <v>1513.2770998288868</v>
      </c>
      <c r="AY48">
        <f t="shared" si="29"/>
        <v>20.239030627515397</v>
      </c>
      <c r="AZ48">
        <f t="shared" si="30"/>
        <v>138.56998850503444</v>
      </c>
      <c r="BA48">
        <f t="shared" si="31"/>
        <v>1.3786648187470616E-2</v>
      </c>
      <c r="BB48">
        <f t="shared" si="32"/>
        <v>2.7457257569209581</v>
      </c>
      <c r="BC48">
        <f t="shared" si="33"/>
        <v>491.12190292579618</v>
      </c>
      <c r="BD48" t="s">
        <v>582</v>
      </c>
      <c r="BE48">
        <v>543.35</v>
      </c>
      <c r="BF48">
        <f t="shared" si="34"/>
        <v>543.35</v>
      </c>
      <c r="BG48">
        <f t="shared" si="35"/>
        <v>0.4342862451814371</v>
      </c>
      <c r="BH48">
        <f t="shared" si="36"/>
        <v>0.42170101088069228</v>
      </c>
      <c r="BI48">
        <f t="shared" si="37"/>
        <v>0.8634325138099106</v>
      </c>
      <c r="BJ48">
        <f t="shared" si="38"/>
        <v>1.0057465640908003</v>
      </c>
      <c r="BK48">
        <f t="shared" si="39"/>
        <v>0.93780606460480098</v>
      </c>
      <c r="BL48">
        <f t="shared" si="40"/>
        <v>0.29204729723442557</v>
      </c>
      <c r="BM48">
        <f t="shared" si="41"/>
        <v>0.70795270276557443</v>
      </c>
      <c r="BN48">
        <v>63</v>
      </c>
      <c r="BO48">
        <v>290.00000000000011</v>
      </c>
      <c r="BP48">
        <v>916.88</v>
      </c>
      <c r="BQ48">
        <v>235</v>
      </c>
      <c r="BR48">
        <v>10218.1</v>
      </c>
      <c r="BS48">
        <v>917.94</v>
      </c>
      <c r="BT48">
        <v>-1.06</v>
      </c>
      <c r="BU48">
        <v>300.00000000000011</v>
      </c>
      <c r="BV48">
        <v>24.1</v>
      </c>
      <c r="BW48">
        <v>960.46807307038978</v>
      </c>
      <c r="BX48">
        <v>1.913552111802213</v>
      </c>
      <c r="BY48">
        <v>-43.459536027749841</v>
      </c>
      <c r="BZ48">
        <v>1.7410217140943089</v>
      </c>
      <c r="CA48">
        <v>0.95699623642213227</v>
      </c>
      <c r="CB48">
        <v>-6.9631223581757534E-3</v>
      </c>
      <c r="CC48">
        <v>289.99999999999989</v>
      </c>
      <c r="CD48">
        <v>916.29</v>
      </c>
      <c r="CE48">
        <v>635</v>
      </c>
      <c r="CF48">
        <v>10198.200000000001</v>
      </c>
      <c r="CG48">
        <v>917.85</v>
      </c>
      <c r="CH48">
        <v>-1.56</v>
      </c>
      <c r="CV48">
        <f t="shared" si="42"/>
        <v>1800.11</v>
      </c>
      <c r="CW48">
        <f t="shared" si="43"/>
        <v>1513.2770998288868</v>
      </c>
      <c r="CX48">
        <f t="shared" si="44"/>
        <v>0.84065812635277115</v>
      </c>
      <c r="CY48">
        <f t="shared" si="45"/>
        <v>0.19131625270554262</v>
      </c>
      <c r="CZ48">
        <v>6</v>
      </c>
      <c r="DA48">
        <v>0.5</v>
      </c>
      <c r="DB48" t="s">
        <v>418</v>
      </c>
      <c r="DC48">
        <v>2</v>
      </c>
      <c r="DD48">
        <v>1674581462.5999999</v>
      </c>
      <c r="DE48">
        <v>94.994</v>
      </c>
      <c r="DF48">
        <v>120.008</v>
      </c>
      <c r="DG48">
        <v>24.9146</v>
      </c>
      <c r="DH48">
        <v>17.380700000000001</v>
      </c>
      <c r="DI48">
        <v>95.964399999999998</v>
      </c>
      <c r="DJ48">
        <v>24.693300000000001</v>
      </c>
      <c r="DK48">
        <v>500.14</v>
      </c>
      <c r="DL48">
        <v>99.883799999999994</v>
      </c>
      <c r="DM48">
        <v>0.100273</v>
      </c>
      <c r="DN48">
        <v>28.014800000000001</v>
      </c>
      <c r="DO48">
        <v>27.5122</v>
      </c>
      <c r="DP48">
        <v>999.9</v>
      </c>
      <c r="DQ48">
        <v>0</v>
      </c>
      <c r="DR48">
        <v>0</v>
      </c>
      <c r="DS48">
        <v>10004.4</v>
      </c>
      <c r="DT48">
        <v>0</v>
      </c>
      <c r="DU48">
        <v>548.67100000000005</v>
      </c>
      <c r="DV48">
        <v>-25.013999999999999</v>
      </c>
      <c r="DW48">
        <v>97.421199999999999</v>
      </c>
      <c r="DX48">
        <v>122.131</v>
      </c>
      <c r="DY48">
        <v>7.5339700000000001</v>
      </c>
      <c r="DZ48">
        <v>120.008</v>
      </c>
      <c r="EA48">
        <v>17.380700000000001</v>
      </c>
      <c r="EB48">
        <v>2.4885700000000002</v>
      </c>
      <c r="EC48">
        <v>1.7360500000000001</v>
      </c>
      <c r="ED48">
        <v>20.951899999999998</v>
      </c>
      <c r="EE48">
        <v>15.2225</v>
      </c>
      <c r="EF48">
        <v>1800.11</v>
      </c>
      <c r="EG48">
        <v>0.97800200000000004</v>
      </c>
      <c r="EH48">
        <v>2.1998199999999999E-2</v>
      </c>
      <c r="EI48">
        <v>0</v>
      </c>
      <c r="EJ48">
        <v>784.05399999999997</v>
      </c>
      <c r="EK48">
        <v>5.0002599999999999</v>
      </c>
      <c r="EL48">
        <v>14771</v>
      </c>
      <c r="EM48">
        <v>17104.400000000001</v>
      </c>
      <c r="EN48">
        <v>49.686999999999998</v>
      </c>
      <c r="EO48">
        <v>51.125</v>
      </c>
      <c r="EP48">
        <v>50.625</v>
      </c>
      <c r="EQ48">
        <v>50.375</v>
      </c>
      <c r="ER48">
        <v>50.936999999999998</v>
      </c>
      <c r="ES48">
        <v>1755.62</v>
      </c>
      <c r="ET48">
        <v>39.49</v>
      </c>
      <c r="EU48">
        <v>0</v>
      </c>
      <c r="EV48">
        <v>117.5999999046326</v>
      </c>
      <c r="EW48">
        <v>0</v>
      </c>
      <c r="EX48">
        <v>784.56895999999995</v>
      </c>
      <c r="EY48">
        <v>-3.5477692473275089</v>
      </c>
      <c r="EZ48">
        <v>-72.507692208348743</v>
      </c>
      <c r="FA48">
        <v>14777.208000000001</v>
      </c>
      <c r="FB48">
        <v>15</v>
      </c>
      <c r="FC48">
        <v>1674581425.5999999</v>
      </c>
      <c r="FD48" t="s">
        <v>583</v>
      </c>
      <c r="FE48">
        <v>1674581411.5999999</v>
      </c>
      <c r="FF48">
        <v>1674581425.5999999</v>
      </c>
      <c r="FG48">
        <v>37</v>
      </c>
      <c r="FH48">
        <v>0.127</v>
      </c>
      <c r="FI48">
        <v>0</v>
      </c>
      <c r="FJ48">
        <v>-0.95599999999999996</v>
      </c>
      <c r="FK48">
        <v>4.4999999999999998E-2</v>
      </c>
      <c r="FL48">
        <v>120</v>
      </c>
      <c r="FM48">
        <v>17</v>
      </c>
      <c r="FN48">
        <v>0.06</v>
      </c>
      <c r="FO48">
        <v>0.02</v>
      </c>
      <c r="FP48">
        <v>20.21431836945316</v>
      </c>
      <c r="FQ48">
        <v>-5.834683755441035E-2</v>
      </c>
      <c r="FR48">
        <v>3.2358637048341757E-2</v>
      </c>
      <c r="FS48">
        <v>1</v>
      </c>
      <c r="FT48">
        <v>0.57684376613013777</v>
      </c>
      <c r="FU48">
        <v>4.60543084499919E-2</v>
      </c>
      <c r="FV48">
        <v>5.9410426354358859E-3</v>
      </c>
      <c r="FW48">
        <v>1</v>
      </c>
      <c r="FX48">
        <v>2</v>
      </c>
      <c r="FY48">
        <v>2</v>
      </c>
      <c r="FZ48" t="s">
        <v>420</v>
      </c>
      <c r="GA48">
        <v>2.9294799999999999</v>
      </c>
      <c r="GB48">
        <v>2.8072300000000001</v>
      </c>
      <c r="GC48">
        <v>2.7464800000000001E-2</v>
      </c>
      <c r="GD48">
        <v>3.4638500000000003E-2</v>
      </c>
      <c r="GE48">
        <v>0.115454</v>
      </c>
      <c r="GF48">
        <v>9.1000499999999998E-2</v>
      </c>
      <c r="GG48">
        <v>28969.5</v>
      </c>
      <c r="GH48">
        <v>29076.7</v>
      </c>
      <c r="GI48">
        <v>28290.799999999999</v>
      </c>
      <c r="GJ48">
        <v>27139.9</v>
      </c>
      <c r="GK48">
        <v>35924.699999999997</v>
      </c>
      <c r="GL48">
        <v>32556.3</v>
      </c>
      <c r="GM48">
        <v>42129.7</v>
      </c>
      <c r="GN48">
        <v>36800.699999999997</v>
      </c>
      <c r="GO48">
        <v>1.92073</v>
      </c>
      <c r="GP48">
        <v>1.8831199999999999</v>
      </c>
      <c r="GQ48">
        <v>6.0565800000000003E-2</v>
      </c>
      <c r="GR48">
        <v>0</v>
      </c>
      <c r="GS48">
        <v>26.521799999999999</v>
      </c>
      <c r="GT48">
        <v>999.9</v>
      </c>
      <c r="GU48">
        <v>47.9</v>
      </c>
      <c r="GV48">
        <v>36.1</v>
      </c>
      <c r="GW48">
        <v>28.780999999999999</v>
      </c>
      <c r="GX48">
        <v>61.316899999999997</v>
      </c>
      <c r="GY48">
        <v>27.764399999999998</v>
      </c>
      <c r="GZ48">
        <v>1</v>
      </c>
      <c r="HA48">
        <v>0.37506400000000001</v>
      </c>
      <c r="HB48">
        <v>3.09856</v>
      </c>
      <c r="HC48">
        <v>20.3169</v>
      </c>
      <c r="HD48">
        <v>5.23855</v>
      </c>
      <c r="HE48">
        <v>11.9381</v>
      </c>
      <c r="HF48">
        <v>4.9737499999999999</v>
      </c>
      <c r="HG48">
        <v>3.2989999999999999</v>
      </c>
      <c r="HH48">
        <v>9999</v>
      </c>
      <c r="HI48">
        <v>9999</v>
      </c>
      <c r="HJ48">
        <v>9999</v>
      </c>
      <c r="HK48">
        <v>999.9</v>
      </c>
      <c r="HL48">
        <v>1.8736299999999999</v>
      </c>
      <c r="HM48">
        <v>1.8813599999999999</v>
      </c>
      <c r="HN48">
        <v>1.88479</v>
      </c>
      <c r="HO48">
        <v>1.8815299999999999</v>
      </c>
      <c r="HP48">
        <v>1.87887</v>
      </c>
      <c r="HQ48">
        <v>1.8736299999999999</v>
      </c>
      <c r="HR48">
        <v>1.8765099999999999</v>
      </c>
      <c r="HS48">
        <v>1.88066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-0.97</v>
      </c>
      <c r="IH48">
        <v>0.2213</v>
      </c>
      <c r="II48">
        <v>-1.044553298848006</v>
      </c>
      <c r="IJ48">
        <v>9.4905977090923709E-4</v>
      </c>
      <c r="IK48">
        <v>-1.9106666302146479E-6</v>
      </c>
      <c r="IL48">
        <v>7.5819610513223293E-10</v>
      </c>
      <c r="IM48">
        <v>-7.7541221804419649E-2</v>
      </c>
      <c r="IN48">
        <v>-1.0595840490420019E-2</v>
      </c>
      <c r="IO48">
        <v>1.2407080968752471E-3</v>
      </c>
      <c r="IP48">
        <v>-1.3015442653884381E-5</v>
      </c>
      <c r="IQ48">
        <v>33</v>
      </c>
      <c r="IR48">
        <v>2014</v>
      </c>
      <c r="IS48">
        <v>1</v>
      </c>
      <c r="IT48">
        <v>26</v>
      </c>
      <c r="IU48">
        <v>0.8</v>
      </c>
      <c r="IV48">
        <v>0.6</v>
      </c>
      <c r="IW48">
        <v>0.40283200000000002</v>
      </c>
      <c r="IX48">
        <v>2.5427200000000001</v>
      </c>
      <c r="IY48">
        <v>1.5991200000000001</v>
      </c>
      <c r="IZ48">
        <v>2.2973599999999998</v>
      </c>
      <c r="JA48">
        <v>1.5502899999999999</v>
      </c>
      <c r="JB48">
        <v>2.3901400000000002</v>
      </c>
      <c r="JC48">
        <v>40.120600000000003</v>
      </c>
      <c r="JD48">
        <v>24.017499999999998</v>
      </c>
      <c r="JE48">
        <v>18</v>
      </c>
      <c r="JF48">
        <v>479.97399999999999</v>
      </c>
      <c r="JG48">
        <v>489.44900000000001</v>
      </c>
      <c r="JH48">
        <v>22.725899999999999</v>
      </c>
      <c r="JI48">
        <v>31.937200000000001</v>
      </c>
      <c r="JJ48">
        <v>30.000599999999999</v>
      </c>
      <c r="JK48">
        <v>31.992799999999999</v>
      </c>
      <c r="JL48">
        <v>31.952999999999999</v>
      </c>
      <c r="JM48">
        <v>8.1165400000000005</v>
      </c>
      <c r="JN48">
        <v>46.175199999999997</v>
      </c>
      <c r="JO48">
        <v>0</v>
      </c>
      <c r="JP48">
        <v>22.719200000000001</v>
      </c>
      <c r="JQ48">
        <v>120</v>
      </c>
      <c r="JR48">
        <v>17.2667</v>
      </c>
      <c r="JS48">
        <v>99.881600000000006</v>
      </c>
      <c r="JT48">
        <v>98.560599999999994</v>
      </c>
    </row>
    <row r="49" spans="1:280" x14ac:dyDescent="0.25">
      <c r="A49">
        <v>33</v>
      </c>
      <c r="B49">
        <v>1674581575.0999999</v>
      </c>
      <c r="C49">
        <v>6150.0999999046326</v>
      </c>
      <c r="D49" t="s">
        <v>584</v>
      </c>
      <c r="E49" t="s">
        <v>585</v>
      </c>
      <c r="F49" t="s">
        <v>412</v>
      </c>
      <c r="G49" t="s">
        <v>564</v>
      </c>
      <c r="H49" t="s">
        <v>565</v>
      </c>
      <c r="I49">
        <v>1674581575.0999999</v>
      </c>
      <c r="J49">
        <f t="shared" ref="J49:J80" si="46">(K49)/1000</f>
        <v>6.7262959389214044E-3</v>
      </c>
      <c r="K49">
        <f t="shared" ref="K49:K80" si="47">1000*DK49*AI49*(DG49-DH49)/(100*CZ49*(1000-AI49*DG49))</f>
        <v>6.7262959389214041</v>
      </c>
      <c r="L49">
        <f t="shared" ref="L49:L80" si="48">DK49*AI49*(DF49-DE49*(1000-AI49*DH49)/(1000-AI49*DG49))/(100*CZ49)</f>
        <v>12.179693021340029</v>
      </c>
      <c r="M49">
        <f t="shared" ref="M49:M80" si="49">DE49 - IF(AI49&gt;1, L49*CZ49*100/(AK49*DS49), 0)</f>
        <v>54.945999999999998</v>
      </c>
      <c r="N49">
        <f t="shared" ref="N49:N80" si="50">((T49-J49/2)*M49-L49)/(T49+J49/2)</f>
        <v>19.263838279315305</v>
      </c>
      <c r="O49">
        <f t="shared" ref="O49:O80" si="51">N49*(DL49+DM49)/1000</f>
        <v>1.9258959635215716</v>
      </c>
      <c r="P49">
        <f t="shared" ref="P49:P80" si="52">(DE49 - IF(AI49&gt;1, L49*CZ49*100/(AK49*DS49), 0))*(DL49+DM49)/1000</f>
        <v>5.4932084705715996</v>
      </c>
      <c r="Q49">
        <f t="shared" ref="Q49:Q80" si="53">2/((1/S49-1/R49)+SIGN(S49)*SQRT((1/S49-1/R49)*(1/S49-1/R49) + 4*DA49/((DA49+1)*(DA49+1))*(2*1/S49*1/R49-1/R49*1/R49)))</f>
        <v>0.61238098086696213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2.9275628972943966</v>
      </c>
      <c r="S49">
        <f t="shared" ref="S49:S80" si="55">J49*(1000-(1000*0.61365*EXP(17.502*W49/(240.97+W49))/(DL49+DM49)+DG49)/2)/(1000*0.61365*EXP(17.502*W49/(240.97+W49))/(DL49+DM49)-DG49)</f>
        <v>0.54911158991508546</v>
      </c>
      <c r="T49">
        <f t="shared" ref="T49:T80" si="56">1/((DA49+1)/(Q49/1.6)+1/(R49/1.37)) + DA49/((DA49+1)/(Q49/1.6) + DA49/(R49/1.37))</f>
        <v>0.34833292291980045</v>
      </c>
      <c r="U49">
        <f t="shared" ref="U49:U80" si="57">(CV49*CY49)</f>
        <v>344.37509965775911</v>
      </c>
      <c r="V49">
        <f t="shared" ref="V49:V80" si="58">(DN49+(U49+2*0.95*0.0000000567*(((DN49+$B$7)+273)^4-(DN49+273)^4)-44100*J49)/(1.84*29.3*R49+8*0.95*0.0000000567*(DN49+273)^3))</f>
        <v>28.278547863686661</v>
      </c>
      <c r="W49">
        <f t="shared" ref="W49:W80" si="59">($C$7*DO49+$D$7*DP49+$E$7*V49)</f>
        <v>27.473500000000001</v>
      </c>
      <c r="X49">
        <f t="shared" ref="X49:X80" si="60">0.61365*EXP(17.502*W49/(240.97+W49))</f>
        <v>3.679911946251142</v>
      </c>
      <c r="Y49">
        <f t="shared" ref="Y49:Y80" si="61">(Z49/AA49*100)</f>
        <v>65.708296647237091</v>
      </c>
      <c r="Z49">
        <f t="shared" ref="Z49:Z80" si="62">DG49*(DL49+DM49)/1000</f>
        <v>2.49308845543512</v>
      </c>
      <c r="AA49">
        <f t="shared" ref="AA49:AA80" si="63">0.61365*EXP(17.502*DN49/(240.97+DN49))</f>
        <v>3.7941760517999206</v>
      </c>
      <c r="AB49">
        <f t="shared" ref="AB49:AB80" si="64">(X49-DG49*(DL49+DM49)/1000)</f>
        <v>1.186823490816022</v>
      </c>
      <c r="AC49">
        <f t="shared" ref="AC49:AC80" si="65">(-J49*44100)</f>
        <v>-296.62965090643394</v>
      </c>
      <c r="AD49">
        <f t="shared" ref="AD49:AD80" si="66">2*29.3*R49*0.92*(DN49-W49)</f>
        <v>82.624408576062521</v>
      </c>
      <c r="AE49">
        <f t="shared" ref="AE49:AE80" si="67">2*0.95*0.0000000567*(((DN49+$B$7)+273)^4-(W49+273)^4)</f>
        <v>6.1357361249569831</v>
      </c>
      <c r="AF49">
        <f t="shared" ref="AF49:AF80" si="68">U49+AE49+AC49+AD49</f>
        <v>136.50559345234467</v>
      </c>
      <c r="AG49">
        <v>0</v>
      </c>
      <c r="AH49">
        <v>0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52642.10012841475</v>
      </c>
      <c r="AL49" t="s">
        <v>415</v>
      </c>
      <c r="AM49">
        <v>10297.6</v>
      </c>
      <c r="AN49">
        <v>785.57400000000007</v>
      </c>
      <c r="AO49">
        <v>3597.65</v>
      </c>
      <c r="AP49">
        <f t="shared" ref="AP49:AP80" si="72">1-AN49/AO49</f>
        <v>0.7816424610509638</v>
      </c>
      <c r="AQ49">
        <v>-0.62398835798131469</v>
      </c>
      <c r="AR49" t="s">
        <v>586</v>
      </c>
      <c r="AS49">
        <v>10223</v>
      </c>
      <c r="AT49">
        <v>801.90976923076937</v>
      </c>
      <c r="AU49">
        <v>918.25424953492097</v>
      </c>
      <c r="AV49">
        <f t="shared" ref="AV49:AV80" si="73">1-AT49/AU49</f>
        <v>0.12670181527945878</v>
      </c>
      <c r="AW49">
        <v>0.5</v>
      </c>
      <c r="AX49">
        <f t="shared" ref="AX49:AX80" si="74">CW49</f>
        <v>1513.2098998288795</v>
      </c>
      <c r="AY49">
        <f t="shared" ref="AY49:AY80" si="75">L49</f>
        <v>12.179693021340029</v>
      </c>
      <c r="AZ49">
        <f t="shared" ref="AZ49:AZ80" si="76">AV49*AW49*AX49</f>
        <v>95.863220603583514</v>
      </c>
      <c r="BA49">
        <f t="shared" ref="BA49:BA80" si="77">(AY49-AQ49)/AX49</f>
        <v>8.4612725443900683E-3</v>
      </c>
      <c r="BB49">
        <f t="shared" ref="BB49:BB80" si="78">(AO49-AU49)/AU49</f>
        <v>2.9179236053872271</v>
      </c>
      <c r="BC49">
        <f t="shared" ref="BC49:BC80" si="79">AN49/(AP49+AN49/AU49)</f>
        <v>479.84222813232816</v>
      </c>
      <c r="BD49" t="s">
        <v>587</v>
      </c>
      <c r="BE49">
        <v>554.49</v>
      </c>
      <c r="BF49">
        <f t="shared" ref="BF49:BF80" si="80">IF(BE49&lt;&gt;0, BE49, BC49)</f>
        <v>554.49</v>
      </c>
      <c r="BG49">
        <f t="shared" ref="BG49:BG80" si="81">1-BF49/AU49</f>
        <v>0.39614763527548158</v>
      </c>
      <c r="BH49">
        <f t="shared" ref="BH49:BH80" si="82">(AU49-AT49)/(AU49-BF49)</f>
        <v>0.31983483933041823</v>
      </c>
      <c r="BI49">
        <f t="shared" ref="BI49:BI80" si="83">(AO49-AU49)/(AO49-BF49)</f>
        <v>0.8804649609172962</v>
      </c>
      <c r="BJ49">
        <f t="shared" ref="BJ49:BJ80" si="84">(AU49-AT49)/(AU49-AN49)</f>
        <v>0.87687866665890013</v>
      </c>
      <c r="BK49">
        <f t="shared" ref="BK49:BK80" si="85">(AO49-AU49)/(AO49-AN49)</f>
        <v>0.95281768716957826</v>
      </c>
      <c r="BL49">
        <f t="shared" ref="BL49:BL80" si="86">(BH49*BF49/AT49)</f>
        <v>0.22115358468626928</v>
      </c>
      <c r="BM49">
        <f t="shared" ref="BM49:BM80" si="87">(1-BL49)</f>
        <v>0.77884641531373067</v>
      </c>
      <c r="BN49">
        <v>65</v>
      </c>
      <c r="BO49">
        <v>290.00000000000011</v>
      </c>
      <c r="BP49">
        <v>884.06</v>
      </c>
      <c r="BQ49">
        <v>195</v>
      </c>
      <c r="BR49">
        <v>10223</v>
      </c>
      <c r="BS49">
        <v>883.08</v>
      </c>
      <c r="BT49">
        <v>0.98</v>
      </c>
      <c r="BU49">
        <v>300.00000000000011</v>
      </c>
      <c r="BV49">
        <v>24.1</v>
      </c>
      <c r="BW49">
        <v>918.25424953492097</v>
      </c>
      <c r="BX49">
        <v>1.814552903742485</v>
      </c>
      <c r="BY49">
        <v>-35.956323895682942</v>
      </c>
      <c r="BZ49">
        <v>1.6508422436751029</v>
      </c>
      <c r="CA49">
        <v>0.94426687856445413</v>
      </c>
      <c r="CB49">
        <v>-6.9626026696329316E-3</v>
      </c>
      <c r="CC49">
        <v>289.99999999999989</v>
      </c>
      <c r="CD49">
        <v>879.93</v>
      </c>
      <c r="CE49">
        <v>635</v>
      </c>
      <c r="CF49">
        <v>10197.5</v>
      </c>
      <c r="CG49">
        <v>882.99</v>
      </c>
      <c r="CH49">
        <v>-3.06</v>
      </c>
      <c r="CV49">
        <f t="shared" ref="CV49:CV80" si="88">$B$11*DT49+$C$11*DU49+$F$11*EF49*(1-EI49)</f>
        <v>1800.03</v>
      </c>
      <c r="CW49">
        <f t="shared" ref="CW49:CW80" si="89">CV49*CX49</f>
        <v>1513.2098998288795</v>
      </c>
      <c r="CX49">
        <f t="shared" ref="CX49:CX80" si="90">($B$11*$D$9+$C$11*$D$9+$F$11*((ES49+EK49)/MAX(ES49+EK49+ET49, 0.1)*$I$9+ET49/MAX(ES49+EK49+ET49, 0.1)*$J$9))/($B$11+$C$11+$F$11)</f>
        <v>0.8406581556023397</v>
      </c>
      <c r="CY49">
        <f t="shared" ref="CY49:CY80" si="91">($B$11*$K$9+$C$11*$K$9+$F$11*((ES49+EK49)/MAX(ES49+EK49+ET49, 0.1)*$P$9+ET49/MAX(ES49+EK49+ET49, 0.1)*$Q$9))/($B$11+$C$11+$F$11)</f>
        <v>0.19131631120467943</v>
      </c>
      <c r="CZ49">
        <v>6</v>
      </c>
      <c r="DA49">
        <v>0.5</v>
      </c>
      <c r="DB49" t="s">
        <v>418</v>
      </c>
      <c r="DC49">
        <v>2</v>
      </c>
      <c r="DD49">
        <v>1674581575.0999999</v>
      </c>
      <c r="DE49">
        <v>54.945999999999998</v>
      </c>
      <c r="DF49">
        <v>70.004800000000003</v>
      </c>
      <c r="DG49">
        <v>24.937200000000001</v>
      </c>
      <c r="DH49">
        <v>17.0671</v>
      </c>
      <c r="DI49">
        <v>55.922800000000002</v>
      </c>
      <c r="DJ49">
        <v>24.7166</v>
      </c>
      <c r="DK49">
        <v>500.01100000000002</v>
      </c>
      <c r="DL49">
        <v>99.874799999999993</v>
      </c>
      <c r="DM49">
        <v>9.9874599999999994E-2</v>
      </c>
      <c r="DN49">
        <v>27.997</v>
      </c>
      <c r="DO49">
        <v>27.473500000000001</v>
      </c>
      <c r="DP49">
        <v>999.9</v>
      </c>
      <c r="DQ49">
        <v>0</v>
      </c>
      <c r="DR49">
        <v>0</v>
      </c>
      <c r="DS49">
        <v>10001.200000000001</v>
      </c>
      <c r="DT49">
        <v>0</v>
      </c>
      <c r="DU49">
        <v>556.12699999999995</v>
      </c>
      <c r="DV49">
        <v>-15.0588</v>
      </c>
      <c r="DW49">
        <v>56.351199999999999</v>
      </c>
      <c r="DX49">
        <v>71.220299999999995</v>
      </c>
      <c r="DY49">
        <v>7.8701100000000004</v>
      </c>
      <c r="DZ49">
        <v>70.004800000000003</v>
      </c>
      <c r="EA49">
        <v>17.0671</v>
      </c>
      <c r="EB49">
        <v>2.4905900000000001</v>
      </c>
      <c r="EC49">
        <v>1.7045699999999999</v>
      </c>
      <c r="ED49">
        <v>20.965199999999999</v>
      </c>
      <c r="EE49">
        <v>14.9381</v>
      </c>
      <c r="EF49">
        <v>1800.03</v>
      </c>
      <c r="EG49">
        <v>0.97800200000000004</v>
      </c>
      <c r="EH49">
        <v>2.1998199999999999E-2</v>
      </c>
      <c r="EI49">
        <v>0</v>
      </c>
      <c r="EJ49">
        <v>801.09500000000003</v>
      </c>
      <c r="EK49">
        <v>5.0002599999999999</v>
      </c>
      <c r="EL49">
        <v>15103.1</v>
      </c>
      <c r="EM49">
        <v>17103.7</v>
      </c>
      <c r="EN49">
        <v>49.686999999999998</v>
      </c>
      <c r="EO49">
        <v>51.25</v>
      </c>
      <c r="EP49">
        <v>50.75</v>
      </c>
      <c r="EQ49">
        <v>50.375</v>
      </c>
      <c r="ER49">
        <v>50.811999999999998</v>
      </c>
      <c r="ES49">
        <v>1755.54</v>
      </c>
      <c r="ET49">
        <v>39.49</v>
      </c>
      <c r="EU49">
        <v>0</v>
      </c>
      <c r="EV49">
        <v>110.5999999046326</v>
      </c>
      <c r="EW49">
        <v>0</v>
      </c>
      <c r="EX49">
        <v>801.90976923076937</v>
      </c>
      <c r="EY49">
        <v>-3.2424615208619652</v>
      </c>
      <c r="EZ49">
        <v>-57.02222222809224</v>
      </c>
      <c r="FA49">
        <v>15110.31923076923</v>
      </c>
      <c r="FB49">
        <v>15</v>
      </c>
      <c r="FC49">
        <v>1674581539.5999999</v>
      </c>
      <c r="FD49" t="s">
        <v>588</v>
      </c>
      <c r="FE49">
        <v>1674581527.5999999</v>
      </c>
      <c r="FF49">
        <v>1674581539.5999999</v>
      </c>
      <c r="FG49">
        <v>38</v>
      </c>
      <c r="FH49">
        <v>2.1000000000000001E-2</v>
      </c>
      <c r="FI49">
        <v>-1E-3</v>
      </c>
      <c r="FJ49">
        <v>-0.96599999999999997</v>
      </c>
      <c r="FK49">
        <v>3.7999999999999999E-2</v>
      </c>
      <c r="FL49">
        <v>70</v>
      </c>
      <c r="FM49">
        <v>17</v>
      </c>
      <c r="FN49">
        <v>0.05</v>
      </c>
      <c r="FO49">
        <v>0.02</v>
      </c>
      <c r="FP49">
        <v>12.211660910939029</v>
      </c>
      <c r="FQ49">
        <v>-0.3524786215767291</v>
      </c>
      <c r="FR49">
        <v>5.5677104110519793E-2</v>
      </c>
      <c r="FS49">
        <v>1</v>
      </c>
      <c r="FT49">
        <v>0.61276664979777495</v>
      </c>
      <c r="FU49">
        <v>4.4100404219087612E-2</v>
      </c>
      <c r="FV49">
        <v>5.8558317775565787E-3</v>
      </c>
      <c r="FW49">
        <v>1</v>
      </c>
      <c r="FX49">
        <v>2</v>
      </c>
      <c r="FY49">
        <v>2</v>
      </c>
      <c r="FZ49" t="s">
        <v>420</v>
      </c>
      <c r="GA49">
        <v>2.9289800000000001</v>
      </c>
      <c r="GB49">
        <v>2.8068300000000002</v>
      </c>
      <c r="GC49">
        <v>1.6080899999999999E-2</v>
      </c>
      <c r="GD49">
        <v>2.0431499999999998E-2</v>
      </c>
      <c r="GE49">
        <v>0.11550000000000001</v>
      </c>
      <c r="GF49">
        <v>8.9796100000000004E-2</v>
      </c>
      <c r="GG49">
        <v>29302.5</v>
      </c>
      <c r="GH49">
        <v>29499.1</v>
      </c>
      <c r="GI49">
        <v>28285.4</v>
      </c>
      <c r="GJ49">
        <v>27135.1</v>
      </c>
      <c r="GK49">
        <v>35916.5</v>
      </c>
      <c r="GL49">
        <v>32594.6</v>
      </c>
      <c r="GM49">
        <v>42122.3</v>
      </c>
      <c r="GN49">
        <v>36795.4</v>
      </c>
      <c r="GO49">
        <v>1.9199200000000001</v>
      </c>
      <c r="GP49">
        <v>1.88127</v>
      </c>
      <c r="GQ49">
        <v>5.6438099999999998E-2</v>
      </c>
      <c r="GR49">
        <v>0</v>
      </c>
      <c r="GS49">
        <v>26.550599999999999</v>
      </c>
      <c r="GT49">
        <v>999.9</v>
      </c>
      <c r="GU49">
        <v>48</v>
      </c>
      <c r="GV49">
        <v>36.1</v>
      </c>
      <c r="GW49">
        <v>28.8428</v>
      </c>
      <c r="GX49">
        <v>60.606900000000003</v>
      </c>
      <c r="GY49">
        <v>27.524000000000001</v>
      </c>
      <c r="GZ49">
        <v>1</v>
      </c>
      <c r="HA49">
        <v>0.38323400000000002</v>
      </c>
      <c r="HB49">
        <v>3.14933</v>
      </c>
      <c r="HC49">
        <v>20.3157</v>
      </c>
      <c r="HD49">
        <v>5.23766</v>
      </c>
      <c r="HE49">
        <v>11.9381</v>
      </c>
      <c r="HF49">
        <v>4.97295</v>
      </c>
      <c r="HG49">
        <v>3.2984</v>
      </c>
      <c r="HH49">
        <v>9999</v>
      </c>
      <c r="HI49">
        <v>9999</v>
      </c>
      <c r="HJ49">
        <v>9999</v>
      </c>
      <c r="HK49">
        <v>999.9</v>
      </c>
      <c r="HL49">
        <v>1.87364</v>
      </c>
      <c r="HM49">
        <v>1.88137</v>
      </c>
      <c r="HN49">
        <v>1.88479</v>
      </c>
      <c r="HO49">
        <v>1.88154</v>
      </c>
      <c r="HP49">
        <v>1.87883</v>
      </c>
      <c r="HQ49">
        <v>1.8736299999999999</v>
      </c>
      <c r="HR49">
        <v>1.87649</v>
      </c>
      <c r="HS49">
        <v>1.88066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-0.97699999999999998</v>
      </c>
      <c r="IH49">
        <v>0.22059999999999999</v>
      </c>
      <c r="II49">
        <v>-1.0240297038514219</v>
      </c>
      <c r="IJ49">
        <v>9.4905977090923709E-4</v>
      </c>
      <c r="IK49">
        <v>-1.9106666302146479E-6</v>
      </c>
      <c r="IL49">
        <v>7.5819610513223293E-10</v>
      </c>
      <c r="IM49">
        <v>-7.8940219787741808E-2</v>
      </c>
      <c r="IN49">
        <v>-1.0595840490420019E-2</v>
      </c>
      <c r="IO49">
        <v>1.2407080968752471E-3</v>
      </c>
      <c r="IP49">
        <v>-1.3015442653884381E-5</v>
      </c>
      <c r="IQ49">
        <v>33</v>
      </c>
      <c r="IR49">
        <v>2014</v>
      </c>
      <c r="IS49">
        <v>1</v>
      </c>
      <c r="IT49">
        <v>26</v>
      </c>
      <c r="IU49">
        <v>0.8</v>
      </c>
      <c r="IV49">
        <v>0.6</v>
      </c>
      <c r="IW49">
        <v>0.29174800000000001</v>
      </c>
      <c r="IX49">
        <v>2.5732400000000002</v>
      </c>
      <c r="IY49">
        <v>1.5991200000000001</v>
      </c>
      <c r="IZ49">
        <v>2.2973599999999998</v>
      </c>
      <c r="JA49">
        <v>1.5502899999999999</v>
      </c>
      <c r="JB49">
        <v>2.31934</v>
      </c>
      <c r="JC49">
        <v>40.095300000000002</v>
      </c>
      <c r="JD49">
        <v>24.017499999999998</v>
      </c>
      <c r="JE49">
        <v>18</v>
      </c>
      <c r="JF49">
        <v>480.05599999999998</v>
      </c>
      <c r="JG49">
        <v>488.73200000000003</v>
      </c>
      <c r="JH49">
        <v>22.611799999999999</v>
      </c>
      <c r="JI49">
        <v>32.030700000000003</v>
      </c>
      <c r="JJ49">
        <v>30.000299999999999</v>
      </c>
      <c r="JK49">
        <v>32.068300000000001</v>
      </c>
      <c r="JL49">
        <v>32.022199999999998</v>
      </c>
      <c r="JM49">
        <v>5.8722200000000004</v>
      </c>
      <c r="JN49">
        <v>47.418700000000001</v>
      </c>
      <c r="JO49">
        <v>0</v>
      </c>
      <c r="JP49">
        <v>22.612200000000001</v>
      </c>
      <c r="JQ49">
        <v>70</v>
      </c>
      <c r="JR49">
        <v>16.938199999999998</v>
      </c>
      <c r="JS49">
        <v>99.863500000000002</v>
      </c>
      <c r="JT49">
        <v>98.545000000000002</v>
      </c>
    </row>
    <row r="50" spans="1:280" x14ac:dyDescent="0.25">
      <c r="A50">
        <v>34</v>
      </c>
      <c r="B50">
        <v>1674581714.0999999</v>
      </c>
      <c r="C50">
        <v>6289.0999999046326</v>
      </c>
      <c r="D50" t="s">
        <v>589</v>
      </c>
      <c r="E50" t="s">
        <v>590</v>
      </c>
      <c r="F50" t="s">
        <v>412</v>
      </c>
      <c r="G50" t="s">
        <v>564</v>
      </c>
      <c r="H50" t="s">
        <v>565</v>
      </c>
      <c r="I50">
        <v>1674581714.0999999</v>
      </c>
      <c r="J50">
        <f t="shared" si="46"/>
        <v>7.0168229441786431E-3</v>
      </c>
      <c r="K50">
        <f t="shared" si="47"/>
        <v>7.0168229441786432</v>
      </c>
      <c r="L50">
        <f t="shared" si="48"/>
        <v>5.3212446647922551</v>
      </c>
      <c r="M50">
        <f t="shared" si="49"/>
        <v>23.453199999999999</v>
      </c>
      <c r="N50">
        <f t="shared" si="50"/>
        <v>8.4073312983807416</v>
      </c>
      <c r="O50">
        <f t="shared" si="51"/>
        <v>0.84042087314632097</v>
      </c>
      <c r="P50">
        <f t="shared" si="52"/>
        <v>2.3444489246988001</v>
      </c>
      <c r="Q50">
        <f t="shared" si="53"/>
        <v>0.63718201506856209</v>
      </c>
      <c r="R50">
        <f t="shared" si="54"/>
        <v>2.9242890838695752</v>
      </c>
      <c r="S50">
        <f t="shared" si="55"/>
        <v>0.56892121577732246</v>
      </c>
      <c r="T50">
        <f t="shared" si="56"/>
        <v>0.3610974298693464</v>
      </c>
      <c r="U50">
        <f t="shared" si="57"/>
        <v>344.3845996577686</v>
      </c>
      <c r="V50">
        <f t="shared" si="58"/>
        <v>28.209865727530211</v>
      </c>
      <c r="W50">
        <f t="shared" si="59"/>
        <v>27.472100000000001</v>
      </c>
      <c r="X50">
        <f t="shared" si="60"/>
        <v>3.6796104410506101</v>
      </c>
      <c r="Y50">
        <f t="shared" si="61"/>
        <v>65.462723394703389</v>
      </c>
      <c r="Z50">
        <f t="shared" si="62"/>
        <v>2.4847268047335</v>
      </c>
      <c r="AA50">
        <f t="shared" si="63"/>
        <v>3.7956361664820988</v>
      </c>
      <c r="AB50">
        <f t="shared" si="64"/>
        <v>1.19488363631711</v>
      </c>
      <c r="AC50">
        <f t="shared" si="65"/>
        <v>-309.44189183827814</v>
      </c>
      <c r="AD50">
        <f t="shared" si="66"/>
        <v>83.793246147109571</v>
      </c>
      <c r="AE50">
        <f t="shared" si="67"/>
        <v>6.2296626735930349</v>
      </c>
      <c r="AF50">
        <f t="shared" si="68"/>
        <v>124.96561664019309</v>
      </c>
      <c r="AG50">
        <v>0</v>
      </c>
      <c r="AH50">
        <v>0</v>
      </c>
      <c r="AI50">
        <f t="shared" si="69"/>
        <v>1</v>
      </c>
      <c r="AJ50">
        <f t="shared" si="70"/>
        <v>0</v>
      </c>
      <c r="AK50">
        <f t="shared" si="71"/>
        <v>52546.46583696083</v>
      </c>
      <c r="AL50" t="s">
        <v>415</v>
      </c>
      <c r="AM50">
        <v>10297.6</v>
      </c>
      <c r="AN50">
        <v>785.57400000000007</v>
      </c>
      <c r="AO50">
        <v>3597.65</v>
      </c>
      <c r="AP50">
        <f t="shared" si="72"/>
        <v>0.7816424610509638</v>
      </c>
      <c r="AQ50">
        <v>-0.62398835798131469</v>
      </c>
      <c r="AR50" t="s">
        <v>591</v>
      </c>
      <c r="AS50">
        <v>10244.4</v>
      </c>
      <c r="AT50">
        <v>820.78123999999991</v>
      </c>
      <c r="AU50">
        <v>896.75494978074175</v>
      </c>
      <c r="AV50">
        <f t="shared" si="73"/>
        <v>8.4720703018497434E-2</v>
      </c>
      <c r="AW50">
        <v>0.5</v>
      </c>
      <c r="AX50">
        <f t="shared" si="74"/>
        <v>1513.2518998288842</v>
      </c>
      <c r="AY50">
        <f t="shared" si="75"/>
        <v>5.3212446647922551</v>
      </c>
      <c r="AZ50">
        <f t="shared" si="76"/>
        <v>64.101882398789968</v>
      </c>
      <c r="BA50">
        <f t="shared" si="77"/>
        <v>3.9287794870410181E-3</v>
      </c>
      <c r="BB50">
        <f t="shared" si="78"/>
        <v>3.0118540754970264</v>
      </c>
      <c r="BC50">
        <f t="shared" si="79"/>
        <v>473.90508634644755</v>
      </c>
      <c r="BD50" t="s">
        <v>592</v>
      </c>
      <c r="BE50">
        <v>567.57000000000005</v>
      </c>
      <c r="BF50">
        <f t="shared" si="80"/>
        <v>567.57000000000005</v>
      </c>
      <c r="BG50">
        <f t="shared" si="81"/>
        <v>0.36708461978517992</v>
      </c>
      <c r="BH50">
        <f t="shared" si="82"/>
        <v>0.23079338782451994</v>
      </c>
      <c r="BI50">
        <f t="shared" si="83"/>
        <v>0.89136097073980169</v>
      </c>
      <c r="BJ50">
        <f t="shared" si="84"/>
        <v>0.68333387986492722</v>
      </c>
      <c r="BK50">
        <f t="shared" si="85"/>
        <v>0.96046303521642318</v>
      </c>
      <c r="BL50">
        <f t="shared" si="86"/>
        <v>0.15959356372175709</v>
      </c>
      <c r="BM50">
        <f t="shared" si="87"/>
        <v>0.84040643627824285</v>
      </c>
      <c r="BN50">
        <v>67</v>
      </c>
      <c r="BO50">
        <v>290.00000000000011</v>
      </c>
      <c r="BP50">
        <v>874.14</v>
      </c>
      <c r="BQ50">
        <v>75</v>
      </c>
      <c r="BR50">
        <v>10244.4</v>
      </c>
      <c r="BS50">
        <v>871.18</v>
      </c>
      <c r="BT50">
        <v>2.96</v>
      </c>
      <c r="BU50">
        <v>300.00000000000011</v>
      </c>
      <c r="BV50">
        <v>24.1</v>
      </c>
      <c r="BW50">
        <v>896.75494978074175</v>
      </c>
      <c r="BX50">
        <v>1.6604703555914999</v>
      </c>
      <c r="BY50">
        <v>-26.203618009412899</v>
      </c>
      <c r="BZ50">
        <v>1.510631917894121</v>
      </c>
      <c r="CA50">
        <v>0.91486469552124883</v>
      </c>
      <c r="CB50">
        <v>-6.9624705228031108E-3</v>
      </c>
      <c r="CC50">
        <v>289.99999999999989</v>
      </c>
      <c r="CD50">
        <v>868.1</v>
      </c>
      <c r="CE50">
        <v>705</v>
      </c>
      <c r="CF50">
        <v>10192.799999999999</v>
      </c>
      <c r="CG50">
        <v>871.05</v>
      </c>
      <c r="CH50">
        <v>-2.95</v>
      </c>
      <c r="CV50">
        <f t="shared" si="88"/>
        <v>1800.08</v>
      </c>
      <c r="CW50">
        <f t="shared" si="89"/>
        <v>1513.2518998288842</v>
      </c>
      <c r="CX50">
        <f t="shared" si="90"/>
        <v>0.84065813732105477</v>
      </c>
      <c r="CY50">
        <f t="shared" si="91"/>
        <v>0.19131627464210957</v>
      </c>
      <c r="CZ50">
        <v>6</v>
      </c>
      <c r="DA50">
        <v>0.5</v>
      </c>
      <c r="DB50" t="s">
        <v>418</v>
      </c>
      <c r="DC50">
        <v>2</v>
      </c>
      <c r="DD50">
        <v>1674581714.0999999</v>
      </c>
      <c r="DE50">
        <v>23.453199999999999</v>
      </c>
      <c r="DF50">
        <v>30.035699999999999</v>
      </c>
      <c r="DG50">
        <v>24.8565</v>
      </c>
      <c r="DH50">
        <v>16.6462</v>
      </c>
      <c r="DI50">
        <v>24.357500000000002</v>
      </c>
      <c r="DJ50">
        <v>24.638000000000002</v>
      </c>
      <c r="DK50">
        <v>500.036</v>
      </c>
      <c r="DL50">
        <v>99.862700000000004</v>
      </c>
      <c r="DM50">
        <v>0.100159</v>
      </c>
      <c r="DN50">
        <v>28.003599999999999</v>
      </c>
      <c r="DO50">
        <v>27.472100000000001</v>
      </c>
      <c r="DP50">
        <v>999.9</v>
      </c>
      <c r="DQ50">
        <v>0</v>
      </c>
      <c r="DR50">
        <v>0</v>
      </c>
      <c r="DS50">
        <v>9983.75</v>
      </c>
      <c r="DT50">
        <v>0</v>
      </c>
      <c r="DU50">
        <v>574.87800000000004</v>
      </c>
      <c r="DV50">
        <v>-6.5825100000000001</v>
      </c>
      <c r="DW50">
        <v>24.050999999999998</v>
      </c>
      <c r="DX50">
        <v>30.5441</v>
      </c>
      <c r="DY50">
        <v>8.2102699999999995</v>
      </c>
      <c r="DZ50">
        <v>30.035699999999999</v>
      </c>
      <c r="EA50">
        <v>16.6462</v>
      </c>
      <c r="EB50">
        <v>2.48224</v>
      </c>
      <c r="EC50">
        <v>1.6623399999999999</v>
      </c>
      <c r="ED50">
        <v>20.910499999999999</v>
      </c>
      <c r="EE50">
        <v>14.549099999999999</v>
      </c>
      <c r="EF50">
        <v>1800.08</v>
      </c>
      <c r="EG50">
        <v>0.97800200000000004</v>
      </c>
      <c r="EH50">
        <v>2.1998199999999999E-2</v>
      </c>
      <c r="EI50">
        <v>0</v>
      </c>
      <c r="EJ50">
        <v>820.54499999999996</v>
      </c>
      <c r="EK50">
        <v>5.0002599999999999</v>
      </c>
      <c r="EL50">
        <v>15484</v>
      </c>
      <c r="EM50">
        <v>17104.099999999999</v>
      </c>
      <c r="EN50">
        <v>49.811999999999998</v>
      </c>
      <c r="EO50">
        <v>51.375</v>
      </c>
      <c r="EP50">
        <v>50.811999999999998</v>
      </c>
      <c r="EQ50">
        <v>50.561999999999998</v>
      </c>
      <c r="ER50">
        <v>51</v>
      </c>
      <c r="ES50">
        <v>1755.59</v>
      </c>
      <c r="ET50">
        <v>39.49</v>
      </c>
      <c r="EU50">
        <v>0</v>
      </c>
      <c r="EV50">
        <v>137</v>
      </c>
      <c r="EW50">
        <v>0</v>
      </c>
      <c r="EX50">
        <v>820.78123999999991</v>
      </c>
      <c r="EY50">
        <v>-0.27938461999943509</v>
      </c>
      <c r="EZ50">
        <v>10.52307690005753</v>
      </c>
      <c r="FA50">
        <v>15481.944</v>
      </c>
      <c r="FB50">
        <v>15</v>
      </c>
      <c r="FC50">
        <v>1674581679.0999999</v>
      </c>
      <c r="FD50" t="s">
        <v>593</v>
      </c>
      <c r="FE50">
        <v>1674581665.5999999</v>
      </c>
      <c r="FF50">
        <v>1674581679.0999999</v>
      </c>
      <c r="FG50">
        <v>39</v>
      </c>
      <c r="FH50">
        <v>9.8000000000000004E-2</v>
      </c>
      <c r="FI50">
        <v>0</v>
      </c>
      <c r="FJ50">
        <v>-0.89900000000000002</v>
      </c>
      <c r="FK50">
        <v>2.5999999999999999E-2</v>
      </c>
      <c r="FL50">
        <v>30</v>
      </c>
      <c r="FM50">
        <v>17</v>
      </c>
      <c r="FN50">
        <v>0.21</v>
      </c>
      <c r="FO50">
        <v>0.01</v>
      </c>
      <c r="FP50">
        <v>5.3042748482637903</v>
      </c>
      <c r="FQ50">
        <v>-0.32922724942321002</v>
      </c>
      <c r="FR50">
        <v>4.1499187890904662E-2</v>
      </c>
      <c r="FS50">
        <v>1</v>
      </c>
      <c r="FT50">
        <v>0.63120228189939109</v>
      </c>
      <c r="FU50">
        <v>4.4362270131046412E-2</v>
      </c>
      <c r="FV50">
        <v>6.5011185358093528E-3</v>
      </c>
      <c r="FW50">
        <v>1</v>
      </c>
      <c r="FX50">
        <v>2</v>
      </c>
      <c r="FY50">
        <v>2</v>
      </c>
      <c r="FZ50" t="s">
        <v>420</v>
      </c>
      <c r="GA50">
        <v>2.9288500000000002</v>
      </c>
      <c r="GB50">
        <v>2.80694</v>
      </c>
      <c r="GC50">
        <v>6.9879199999999999E-3</v>
      </c>
      <c r="GD50">
        <v>8.7667000000000005E-3</v>
      </c>
      <c r="GE50">
        <v>0.115204</v>
      </c>
      <c r="GF50">
        <v>8.8166700000000001E-2</v>
      </c>
      <c r="GG50">
        <v>29565.5</v>
      </c>
      <c r="GH50">
        <v>29844.1</v>
      </c>
      <c r="GI50">
        <v>28278.6</v>
      </c>
      <c r="GJ50">
        <v>27129.8</v>
      </c>
      <c r="GK50">
        <v>35920.699999999997</v>
      </c>
      <c r="GL50">
        <v>32647.1</v>
      </c>
      <c r="GM50">
        <v>42113.1</v>
      </c>
      <c r="GN50">
        <v>36788.9</v>
      </c>
      <c r="GO50">
        <v>1.91917</v>
      </c>
      <c r="GP50">
        <v>1.8786499999999999</v>
      </c>
      <c r="GQ50">
        <v>5.6207199999999999E-2</v>
      </c>
      <c r="GR50">
        <v>0</v>
      </c>
      <c r="GS50">
        <v>26.552900000000001</v>
      </c>
      <c r="GT50">
        <v>999.9</v>
      </c>
      <c r="GU50">
        <v>48</v>
      </c>
      <c r="GV50">
        <v>36.1</v>
      </c>
      <c r="GW50">
        <v>28.847899999999999</v>
      </c>
      <c r="GX50">
        <v>61.346899999999998</v>
      </c>
      <c r="GY50">
        <v>27.459900000000001</v>
      </c>
      <c r="GZ50">
        <v>1</v>
      </c>
      <c r="HA50">
        <v>0.39218799999999998</v>
      </c>
      <c r="HB50">
        <v>3.08887</v>
      </c>
      <c r="HC50">
        <v>20.316500000000001</v>
      </c>
      <c r="HD50">
        <v>5.2367600000000003</v>
      </c>
      <c r="HE50">
        <v>11.9381</v>
      </c>
      <c r="HF50">
        <v>4.9726999999999997</v>
      </c>
      <c r="HG50">
        <v>3.2982499999999999</v>
      </c>
      <c r="HH50">
        <v>9999</v>
      </c>
      <c r="HI50">
        <v>9999</v>
      </c>
      <c r="HJ50">
        <v>9999</v>
      </c>
      <c r="HK50">
        <v>999.9</v>
      </c>
      <c r="HL50">
        <v>1.8736299999999999</v>
      </c>
      <c r="HM50">
        <v>1.8813200000000001</v>
      </c>
      <c r="HN50">
        <v>1.8847799999999999</v>
      </c>
      <c r="HO50">
        <v>1.88154</v>
      </c>
      <c r="HP50">
        <v>1.8788199999999999</v>
      </c>
      <c r="HQ50">
        <v>1.8736299999999999</v>
      </c>
      <c r="HR50">
        <v>1.8764700000000001</v>
      </c>
      <c r="HS50">
        <v>1.8806499999999999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-0.90400000000000003</v>
      </c>
      <c r="IH50">
        <v>0.2185</v>
      </c>
      <c r="II50">
        <v>-0.92633478434558592</v>
      </c>
      <c r="IJ50">
        <v>9.4905977090923709E-4</v>
      </c>
      <c r="IK50">
        <v>-1.9106666302146479E-6</v>
      </c>
      <c r="IL50">
        <v>7.5819610513223293E-10</v>
      </c>
      <c r="IM50">
        <v>-7.8885603752811784E-2</v>
      </c>
      <c r="IN50">
        <v>-1.0595840490420019E-2</v>
      </c>
      <c r="IO50">
        <v>1.2407080968752471E-3</v>
      </c>
      <c r="IP50">
        <v>-1.3015442653884381E-5</v>
      </c>
      <c r="IQ50">
        <v>33</v>
      </c>
      <c r="IR50">
        <v>2014</v>
      </c>
      <c r="IS50">
        <v>1</v>
      </c>
      <c r="IT50">
        <v>26</v>
      </c>
      <c r="IU50">
        <v>0.8</v>
      </c>
      <c r="IV50">
        <v>0.6</v>
      </c>
      <c r="IW50">
        <v>0.20385700000000001</v>
      </c>
      <c r="IX50">
        <v>2.5891099999999998</v>
      </c>
      <c r="IY50">
        <v>1.5979000000000001</v>
      </c>
      <c r="IZ50">
        <v>2.2985799999999998</v>
      </c>
      <c r="JA50">
        <v>1.5490699999999999</v>
      </c>
      <c r="JB50">
        <v>2.34741</v>
      </c>
      <c r="JC50">
        <v>40.095300000000002</v>
      </c>
      <c r="JD50">
        <v>24.043700000000001</v>
      </c>
      <c r="JE50">
        <v>18</v>
      </c>
      <c r="JF50">
        <v>480.36</v>
      </c>
      <c r="JG50">
        <v>487.69200000000001</v>
      </c>
      <c r="JH50">
        <v>22.670100000000001</v>
      </c>
      <c r="JI50">
        <v>32.1404</v>
      </c>
      <c r="JJ50">
        <v>30.000299999999999</v>
      </c>
      <c r="JK50">
        <v>32.168399999999998</v>
      </c>
      <c r="JL50">
        <v>32.117800000000003</v>
      </c>
      <c r="JM50">
        <v>4.1294599999999999</v>
      </c>
      <c r="JN50">
        <v>48.638399999999997</v>
      </c>
      <c r="JO50">
        <v>0</v>
      </c>
      <c r="JP50">
        <v>22.670200000000001</v>
      </c>
      <c r="JQ50">
        <v>30</v>
      </c>
      <c r="JR50">
        <v>16.5959</v>
      </c>
      <c r="JS50">
        <v>99.840599999999995</v>
      </c>
      <c r="JT50">
        <v>98.526899999999998</v>
      </c>
    </row>
    <row r="51" spans="1:280" x14ac:dyDescent="0.25">
      <c r="A51">
        <v>35</v>
      </c>
      <c r="B51">
        <v>1674581845.5999999</v>
      </c>
      <c r="C51">
        <v>6420.5999999046326</v>
      </c>
      <c r="D51" t="s">
        <v>594</v>
      </c>
      <c r="E51" t="s">
        <v>595</v>
      </c>
      <c r="F51" t="s">
        <v>412</v>
      </c>
      <c r="G51" t="s">
        <v>564</v>
      </c>
      <c r="H51" t="s">
        <v>565</v>
      </c>
      <c r="I51">
        <v>1674581845.5999999</v>
      </c>
      <c r="J51">
        <f t="shared" si="46"/>
        <v>7.0422191161562918E-3</v>
      </c>
      <c r="K51">
        <f t="shared" si="47"/>
        <v>7.0422191161562919</v>
      </c>
      <c r="L51">
        <f t="shared" si="48"/>
        <v>1.6062173556315422</v>
      </c>
      <c r="M51">
        <f t="shared" si="49"/>
        <v>8.04819</v>
      </c>
      <c r="N51">
        <f t="shared" si="50"/>
        <v>3.4994604440612869</v>
      </c>
      <c r="O51">
        <f t="shared" si="51"/>
        <v>0.34975523562552419</v>
      </c>
      <c r="P51">
        <f t="shared" si="52"/>
        <v>0.80438017083061197</v>
      </c>
      <c r="Q51">
        <f t="shared" si="53"/>
        <v>0.63884577389340091</v>
      </c>
      <c r="R51">
        <f t="shared" si="54"/>
        <v>2.9329727565519086</v>
      </c>
      <c r="S51">
        <f t="shared" si="55"/>
        <v>0.5704283956818319</v>
      </c>
      <c r="T51">
        <f t="shared" si="56"/>
        <v>0.36205227805494555</v>
      </c>
      <c r="U51">
        <f t="shared" si="57"/>
        <v>344.37509965775911</v>
      </c>
      <c r="V51">
        <f t="shared" si="58"/>
        <v>28.205548025686603</v>
      </c>
      <c r="W51">
        <f t="shared" si="59"/>
        <v>27.470199999999998</v>
      </c>
      <c r="X51">
        <f t="shared" si="60"/>
        <v>3.6792012899039017</v>
      </c>
      <c r="Y51">
        <f t="shared" si="61"/>
        <v>65.41579081798119</v>
      </c>
      <c r="Z51">
        <f t="shared" si="62"/>
        <v>2.4833652014505603</v>
      </c>
      <c r="AA51">
        <f t="shared" si="63"/>
        <v>3.7962778870326588</v>
      </c>
      <c r="AB51">
        <f t="shared" si="64"/>
        <v>1.1958360884533414</v>
      </c>
      <c r="AC51">
        <f t="shared" si="65"/>
        <v>-310.56186302249245</v>
      </c>
      <c r="AD51">
        <f t="shared" si="66"/>
        <v>84.801057734832881</v>
      </c>
      <c r="AE51">
        <f t="shared" si="67"/>
        <v>6.285954474236072</v>
      </c>
      <c r="AF51">
        <f t="shared" si="68"/>
        <v>124.90024884433561</v>
      </c>
      <c r="AG51">
        <v>0</v>
      </c>
      <c r="AH51">
        <v>0</v>
      </c>
      <c r="AI51">
        <f t="shared" si="69"/>
        <v>1</v>
      </c>
      <c r="AJ51">
        <f t="shared" si="70"/>
        <v>0</v>
      </c>
      <c r="AK51">
        <f t="shared" si="71"/>
        <v>52795.646988422384</v>
      </c>
      <c r="AL51" t="s">
        <v>415</v>
      </c>
      <c r="AM51">
        <v>10297.6</v>
      </c>
      <c r="AN51">
        <v>785.57400000000007</v>
      </c>
      <c r="AO51">
        <v>3597.65</v>
      </c>
      <c r="AP51">
        <f t="shared" si="72"/>
        <v>0.7816424610509638</v>
      </c>
      <c r="AQ51">
        <v>-0.62398835798131469</v>
      </c>
      <c r="AR51" t="s">
        <v>596</v>
      </c>
      <c r="AS51">
        <v>10240</v>
      </c>
      <c r="AT51">
        <v>829.39023999999995</v>
      </c>
      <c r="AU51">
        <v>893.41618648274505</v>
      </c>
      <c r="AV51">
        <f t="shared" si="73"/>
        <v>7.1664189043637472E-2</v>
      </c>
      <c r="AW51">
        <v>0.5</v>
      </c>
      <c r="AX51">
        <f t="shared" si="74"/>
        <v>1513.2098998288795</v>
      </c>
      <c r="AY51">
        <f t="shared" si="75"/>
        <v>1.6062173556315422</v>
      </c>
      <c r="AZ51">
        <f t="shared" si="76"/>
        <v>54.221480162020271</v>
      </c>
      <c r="BA51">
        <f t="shared" si="77"/>
        <v>1.4738244270441651E-3</v>
      </c>
      <c r="BB51">
        <f t="shared" si="78"/>
        <v>3.0268466750792218</v>
      </c>
      <c r="BC51">
        <f t="shared" si="79"/>
        <v>472.97100667449308</v>
      </c>
      <c r="BD51" t="s">
        <v>597</v>
      </c>
      <c r="BE51">
        <v>583.95000000000005</v>
      </c>
      <c r="BF51">
        <f t="shared" si="80"/>
        <v>583.95000000000005</v>
      </c>
      <c r="BG51">
        <f t="shared" si="81"/>
        <v>0.34638524706057794</v>
      </c>
      <c r="BH51">
        <f t="shared" si="82"/>
        <v>0.20689157419889884</v>
      </c>
      <c r="BI51">
        <f t="shared" si="83"/>
        <v>0.89731353934275315</v>
      </c>
      <c r="BJ51">
        <f t="shared" si="84"/>
        <v>0.59370037432419276</v>
      </c>
      <c r="BK51">
        <f t="shared" si="85"/>
        <v>0.96165033004700262</v>
      </c>
      <c r="BL51">
        <f t="shared" si="86"/>
        <v>0.14566645340973267</v>
      </c>
      <c r="BM51">
        <f t="shared" si="87"/>
        <v>0.85433354659026728</v>
      </c>
      <c r="BN51">
        <v>69</v>
      </c>
      <c r="BO51">
        <v>290.00000000000011</v>
      </c>
      <c r="BP51">
        <v>871.11</v>
      </c>
      <c r="BQ51">
        <v>95</v>
      </c>
      <c r="BR51">
        <v>10240</v>
      </c>
      <c r="BS51">
        <v>867.99</v>
      </c>
      <c r="BT51">
        <v>3.12</v>
      </c>
      <c r="BU51">
        <v>300.00000000000011</v>
      </c>
      <c r="BV51">
        <v>24.1</v>
      </c>
      <c r="BW51">
        <v>893.41618648274505</v>
      </c>
      <c r="BX51">
        <v>1.946285553462292</v>
      </c>
      <c r="BY51">
        <v>-26.034535068340642</v>
      </c>
      <c r="BZ51">
        <v>1.770583837129355</v>
      </c>
      <c r="CA51">
        <v>0.88534244998821154</v>
      </c>
      <c r="CB51">
        <v>-6.9623919911012194E-3</v>
      </c>
      <c r="CC51">
        <v>289.99999999999989</v>
      </c>
      <c r="CD51">
        <v>864.01</v>
      </c>
      <c r="CE51">
        <v>665</v>
      </c>
      <c r="CF51">
        <v>10194.799999999999</v>
      </c>
      <c r="CG51">
        <v>867.88</v>
      </c>
      <c r="CH51">
        <v>-3.87</v>
      </c>
      <c r="CV51">
        <f t="shared" si="88"/>
        <v>1800.03</v>
      </c>
      <c r="CW51">
        <f t="shared" si="89"/>
        <v>1513.2098998288795</v>
      </c>
      <c r="CX51">
        <f t="shared" si="90"/>
        <v>0.8406581556023397</v>
      </c>
      <c r="CY51">
        <f t="shared" si="91"/>
        <v>0.19131631120467943</v>
      </c>
      <c r="CZ51">
        <v>6</v>
      </c>
      <c r="DA51">
        <v>0.5</v>
      </c>
      <c r="DB51" t="s">
        <v>418</v>
      </c>
      <c r="DC51">
        <v>2</v>
      </c>
      <c r="DD51">
        <v>1674581845.5999999</v>
      </c>
      <c r="DE51">
        <v>8.04819</v>
      </c>
      <c r="DF51">
        <v>10.0434</v>
      </c>
      <c r="DG51">
        <v>24.847200000000001</v>
      </c>
      <c r="DH51">
        <v>16.607600000000001</v>
      </c>
      <c r="DI51">
        <v>8.9443599999999996</v>
      </c>
      <c r="DJ51">
        <v>24.628900000000002</v>
      </c>
      <c r="DK51">
        <v>500.06599999999997</v>
      </c>
      <c r="DL51">
        <v>99.845799999999997</v>
      </c>
      <c r="DM51">
        <v>9.9674799999999994E-2</v>
      </c>
      <c r="DN51">
        <v>28.006499999999999</v>
      </c>
      <c r="DO51">
        <v>27.470199999999998</v>
      </c>
      <c r="DP51">
        <v>999.9</v>
      </c>
      <c r="DQ51">
        <v>0</v>
      </c>
      <c r="DR51">
        <v>0</v>
      </c>
      <c r="DS51">
        <v>10035</v>
      </c>
      <c r="DT51">
        <v>0</v>
      </c>
      <c r="DU51">
        <v>602.52599999999995</v>
      </c>
      <c r="DV51">
        <v>-1.99522</v>
      </c>
      <c r="DW51">
        <v>8.2532599999999992</v>
      </c>
      <c r="DX51">
        <v>10.212999999999999</v>
      </c>
      <c r="DY51">
        <v>8.2395700000000005</v>
      </c>
      <c r="DZ51">
        <v>10.0434</v>
      </c>
      <c r="EA51">
        <v>16.607600000000001</v>
      </c>
      <c r="EB51">
        <v>2.48089</v>
      </c>
      <c r="EC51">
        <v>1.6581999999999999</v>
      </c>
      <c r="ED51">
        <v>20.901599999999998</v>
      </c>
      <c r="EE51">
        <v>14.5105</v>
      </c>
      <c r="EF51">
        <v>1800.03</v>
      </c>
      <c r="EG51">
        <v>0.97800200000000004</v>
      </c>
      <c r="EH51">
        <v>2.1998199999999999E-2</v>
      </c>
      <c r="EI51">
        <v>0</v>
      </c>
      <c r="EJ51">
        <v>829.64099999999996</v>
      </c>
      <c r="EK51">
        <v>5.0002599999999999</v>
      </c>
      <c r="EL51">
        <v>15704.1</v>
      </c>
      <c r="EM51">
        <v>17103.7</v>
      </c>
      <c r="EN51">
        <v>49.936999999999998</v>
      </c>
      <c r="EO51">
        <v>51.5</v>
      </c>
      <c r="EP51">
        <v>50.875</v>
      </c>
      <c r="EQ51">
        <v>50.686999999999998</v>
      </c>
      <c r="ER51">
        <v>51.061999999999998</v>
      </c>
      <c r="ES51">
        <v>1755.54</v>
      </c>
      <c r="ET51">
        <v>39.49</v>
      </c>
      <c r="EU51">
        <v>0</v>
      </c>
      <c r="EV51">
        <v>129.79999995231631</v>
      </c>
      <c r="EW51">
        <v>0</v>
      </c>
      <c r="EX51">
        <v>829.39023999999995</v>
      </c>
      <c r="EY51">
        <v>-0.87799999888110813</v>
      </c>
      <c r="EZ51">
        <v>-21.676923100735991</v>
      </c>
      <c r="FA51">
        <v>15706.763999999999</v>
      </c>
      <c r="FB51">
        <v>15</v>
      </c>
      <c r="FC51">
        <v>1674581810.5999999</v>
      </c>
      <c r="FD51" t="s">
        <v>598</v>
      </c>
      <c r="FE51">
        <v>1674581795.5999999</v>
      </c>
      <c r="FF51">
        <v>1674581810.5999999</v>
      </c>
      <c r="FG51">
        <v>40</v>
      </c>
      <c r="FH51">
        <v>2.1999999999999999E-2</v>
      </c>
      <c r="FI51">
        <v>0</v>
      </c>
      <c r="FJ51">
        <v>-0.89400000000000002</v>
      </c>
      <c r="FK51">
        <v>2.3E-2</v>
      </c>
      <c r="FL51">
        <v>10</v>
      </c>
      <c r="FM51">
        <v>16</v>
      </c>
      <c r="FN51">
        <v>0.3</v>
      </c>
      <c r="FO51">
        <v>0.01</v>
      </c>
      <c r="FP51">
        <v>1.6474717950748361</v>
      </c>
      <c r="FQ51">
        <v>-0.24528803671615801</v>
      </c>
      <c r="FR51">
        <v>2.443166994331453E-2</v>
      </c>
      <c r="FS51">
        <v>1</v>
      </c>
      <c r="FT51">
        <v>0.6385084229041309</v>
      </c>
      <c r="FU51">
        <v>3.4592360307218517E-2</v>
      </c>
      <c r="FV51">
        <v>5.993069446257865E-3</v>
      </c>
      <c r="FW51">
        <v>1</v>
      </c>
      <c r="FX51">
        <v>2</v>
      </c>
      <c r="FY51">
        <v>2</v>
      </c>
      <c r="FZ51" t="s">
        <v>420</v>
      </c>
      <c r="GA51">
        <v>2.92875</v>
      </c>
      <c r="GB51">
        <v>2.8068900000000001</v>
      </c>
      <c r="GC51">
        <v>2.5572099999999999E-3</v>
      </c>
      <c r="GD51">
        <v>2.92093E-3</v>
      </c>
      <c r="GE51">
        <v>0.11513</v>
      </c>
      <c r="GF51">
        <v>8.7985499999999994E-2</v>
      </c>
      <c r="GG51">
        <v>29691.3</v>
      </c>
      <c r="GH51">
        <v>30014.3</v>
      </c>
      <c r="GI51">
        <v>28273.3</v>
      </c>
      <c r="GJ51">
        <v>27124.9</v>
      </c>
      <c r="GK51">
        <v>35917.699999999997</v>
      </c>
      <c r="GL51">
        <v>32648.400000000001</v>
      </c>
      <c r="GM51">
        <v>42105.9</v>
      </c>
      <c r="GN51">
        <v>36783.1</v>
      </c>
      <c r="GO51">
        <v>1.91815</v>
      </c>
      <c r="GP51">
        <v>1.8769</v>
      </c>
      <c r="GQ51">
        <v>5.5547800000000001E-2</v>
      </c>
      <c r="GR51">
        <v>0</v>
      </c>
      <c r="GS51">
        <v>26.561900000000001</v>
      </c>
      <c r="GT51">
        <v>999.9</v>
      </c>
      <c r="GU51">
        <v>48.1</v>
      </c>
      <c r="GV51">
        <v>36.1</v>
      </c>
      <c r="GW51">
        <v>28.910399999999999</v>
      </c>
      <c r="GX51">
        <v>61.716900000000003</v>
      </c>
      <c r="GY51">
        <v>27.7043</v>
      </c>
      <c r="GZ51">
        <v>1</v>
      </c>
      <c r="HA51">
        <v>0.40039400000000003</v>
      </c>
      <c r="HB51">
        <v>3.1782400000000002</v>
      </c>
      <c r="HC51">
        <v>20.314699999999998</v>
      </c>
      <c r="HD51">
        <v>5.2370599999999996</v>
      </c>
      <c r="HE51">
        <v>11.9381</v>
      </c>
      <c r="HF51">
        <v>4.9729999999999999</v>
      </c>
      <c r="HG51">
        <v>3.2982300000000002</v>
      </c>
      <c r="HH51">
        <v>9999</v>
      </c>
      <c r="HI51">
        <v>9999</v>
      </c>
      <c r="HJ51">
        <v>9999</v>
      </c>
      <c r="HK51">
        <v>999.9</v>
      </c>
      <c r="HL51">
        <v>1.8736299999999999</v>
      </c>
      <c r="HM51">
        <v>1.8812800000000001</v>
      </c>
      <c r="HN51">
        <v>1.8847700000000001</v>
      </c>
      <c r="HO51">
        <v>1.88148</v>
      </c>
      <c r="HP51">
        <v>1.8788100000000001</v>
      </c>
      <c r="HQ51">
        <v>1.87361</v>
      </c>
      <c r="HR51">
        <v>1.8764099999999999</v>
      </c>
      <c r="HS51">
        <v>1.8806499999999999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-0.89600000000000002</v>
      </c>
      <c r="IH51">
        <v>0.21829999999999999</v>
      </c>
      <c r="II51">
        <v>-0.90450405025370906</v>
      </c>
      <c r="IJ51">
        <v>9.4905977090923709E-4</v>
      </c>
      <c r="IK51">
        <v>-1.9106666302146479E-6</v>
      </c>
      <c r="IL51">
        <v>7.5819610513223293E-10</v>
      </c>
      <c r="IM51">
        <v>-7.8928426865929963E-2</v>
      </c>
      <c r="IN51">
        <v>-1.0595840490420019E-2</v>
      </c>
      <c r="IO51">
        <v>1.2407080968752471E-3</v>
      </c>
      <c r="IP51">
        <v>-1.3015442653884381E-5</v>
      </c>
      <c r="IQ51">
        <v>33</v>
      </c>
      <c r="IR51">
        <v>2014</v>
      </c>
      <c r="IS51">
        <v>1</v>
      </c>
      <c r="IT51">
        <v>26</v>
      </c>
      <c r="IU51">
        <v>0.8</v>
      </c>
      <c r="IV51">
        <v>0.6</v>
      </c>
      <c r="IW51">
        <v>0.159912</v>
      </c>
      <c r="IX51">
        <v>2.6061999999999999</v>
      </c>
      <c r="IY51">
        <v>1.5979000000000001</v>
      </c>
      <c r="IZ51">
        <v>2.2985799999999998</v>
      </c>
      <c r="JA51">
        <v>1.5490699999999999</v>
      </c>
      <c r="JB51">
        <v>2.36938</v>
      </c>
      <c r="JC51">
        <v>40.095300000000002</v>
      </c>
      <c r="JD51">
        <v>24.026199999999999</v>
      </c>
      <c r="JE51">
        <v>18</v>
      </c>
      <c r="JF51">
        <v>480.43599999999998</v>
      </c>
      <c r="JG51">
        <v>487.221</v>
      </c>
      <c r="JH51">
        <v>22.597999999999999</v>
      </c>
      <c r="JI51">
        <v>32.234499999999997</v>
      </c>
      <c r="JJ51">
        <v>30.000299999999999</v>
      </c>
      <c r="JK51">
        <v>32.261600000000001</v>
      </c>
      <c r="JL51">
        <v>32.209200000000003</v>
      </c>
      <c r="JM51">
        <v>3.2406799999999998</v>
      </c>
      <c r="JN51">
        <v>49.008699999999997</v>
      </c>
      <c r="JO51">
        <v>0</v>
      </c>
      <c r="JP51">
        <v>22.597899999999999</v>
      </c>
      <c r="JQ51">
        <v>10</v>
      </c>
      <c r="JR51">
        <v>16.548400000000001</v>
      </c>
      <c r="JS51">
        <v>99.822999999999993</v>
      </c>
      <c r="JT51">
        <v>98.510400000000004</v>
      </c>
    </row>
    <row r="52" spans="1:280" x14ac:dyDescent="0.25">
      <c r="A52">
        <v>36</v>
      </c>
      <c r="B52">
        <v>1674582035.5</v>
      </c>
      <c r="C52">
        <v>6610.5</v>
      </c>
      <c r="D52" t="s">
        <v>599</v>
      </c>
      <c r="E52" t="s">
        <v>600</v>
      </c>
      <c r="F52" t="s">
        <v>412</v>
      </c>
      <c r="G52" t="s">
        <v>564</v>
      </c>
      <c r="H52" t="s">
        <v>565</v>
      </c>
      <c r="I52">
        <v>1674582035.5</v>
      </c>
      <c r="J52">
        <f t="shared" si="46"/>
        <v>6.0765842610644343E-3</v>
      </c>
      <c r="K52">
        <f t="shared" si="47"/>
        <v>6.0765842610644345</v>
      </c>
      <c r="L52">
        <f t="shared" si="48"/>
        <v>43.604478343686282</v>
      </c>
      <c r="M52">
        <f t="shared" si="49"/>
        <v>345.08600000000001</v>
      </c>
      <c r="N52">
        <f t="shared" si="50"/>
        <v>196.09375731537611</v>
      </c>
      <c r="O52">
        <f t="shared" si="51"/>
        <v>19.5977993365745</v>
      </c>
      <c r="P52">
        <f t="shared" si="52"/>
        <v>34.488227847990004</v>
      </c>
      <c r="Q52">
        <f t="shared" si="53"/>
        <v>0.52732695056399381</v>
      </c>
      <c r="R52">
        <f t="shared" si="54"/>
        <v>2.9246716608526464</v>
      </c>
      <c r="S52">
        <f t="shared" si="55"/>
        <v>0.47963878471145382</v>
      </c>
      <c r="T52">
        <f t="shared" si="56"/>
        <v>0.3036986337424305</v>
      </c>
      <c r="U52">
        <f t="shared" si="57"/>
        <v>344.35799965774197</v>
      </c>
      <c r="V52">
        <f t="shared" si="58"/>
        <v>28.460415769626408</v>
      </c>
      <c r="W52">
        <f t="shared" si="59"/>
        <v>27.4846</v>
      </c>
      <c r="X52">
        <f t="shared" si="60"/>
        <v>3.6823032149990276</v>
      </c>
      <c r="Y52">
        <f t="shared" si="61"/>
        <v>64.657443238347298</v>
      </c>
      <c r="Z52">
        <f t="shared" si="62"/>
        <v>2.4550198229355003</v>
      </c>
      <c r="AA52">
        <f t="shared" si="63"/>
        <v>3.7969639688435239</v>
      </c>
      <c r="AB52">
        <f t="shared" si="64"/>
        <v>1.2272833920635273</v>
      </c>
      <c r="AC52">
        <f t="shared" si="65"/>
        <v>-267.97736591294154</v>
      </c>
      <c r="AD52">
        <f t="shared" si="66"/>
        <v>82.779321754440915</v>
      </c>
      <c r="AE52">
        <f t="shared" si="67"/>
        <v>6.1540444711731102</v>
      </c>
      <c r="AF52">
        <f t="shared" si="68"/>
        <v>165.31399997041444</v>
      </c>
      <c r="AG52">
        <v>0</v>
      </c>
      <c r="AH52">
        <v>0</v>
      </c>
      <c r="AI52">
        <f t="shared" si="69"/>
        <v>1</v>
      </c>
      <c r="AJ52">
        <f t="shared" si="70"/>
        <v>0</v>
      </c>
      <c r="AK52">
        <f t="shared" si="71"/>
        <v>52555.957586340344</v>
      </c>
      <c r="AL52" t="s">
        <v>415</v>
      </c>
      <c r="AM52">
        <v>10297.6</v>
      </c>
      <c r="AN52">
        <v>785.57400000000007</v>
      </c>
      <c r="AO52">
        <v>3597.65</v>
      </c>
      <c r="AP52">
        <f t="shared" si="72"/>
        <v>0.7816424610509638</v>
      </c>
      <c r="AQ52">
        <v>-0.62398835798131469</v>
      </c>
      <c r="AR52" t="s">
        <v>601</v>
      </c>
      <c r="AS52">
        <v>10211.4</v>
      </c>
      <c r="AT52">
        <v>727.66426923076926</v>
      </c>
      <c r="AU52">
        <v>1000.776641970586</v>
      </c>
      <c r="AV52">
        <f t="shared" si="73"/>
        <v>0.27290042681456173</v>
      </c>
      <c r="AW52">
        <v>0.5</v>
      </c>
      <c r="AX52">
        <f t="shared" si="74"/>
        <v>1513.134299828871</v>
      </c>
      <c r="AY52">
        <f t="shared" si="75"/>
        <v>43.604478343686282</v>
      </c>
      <c r="AZ52">
        <f t="shared" si="76"/>
        <v>206.46749812552596</v>
      </c>
      <c r="BA52">
        <f t="shared" si="77"/>
        <v>2.9229703342703719E-2</v>
      </c>
      <c r="BB52">
        <f t="shared" si="78"/>
        <v>2.5948580823349587</v>
      </c>
      <c r="BC52">
        <f t="shared" si="79"/>
        <v>501.44936660159095</v>
      </c>
      <c r="BD52" t="s">
        <v>602</v>
      </c>
      <c r="BE52">
        <v>552.89</v>
      </c>
      <c r="BF52">
        <f t="shared" si="80"/>
        <v>552.89</v>
      </c>
      <c r="BG52">
        <f t="shared" si="81"/>
        <v>0.44753906434973523</v>
      </c>
      <c r="BH52">
        <f t="shared" si="82"/>
        <v>0.60978012547592964</v>
      </c>
      <c r="BI52">
        <f t="shared" si="83"/>
        <v>0.85289919666227032</v>
      </c>
      <c r="BJ52">
        <f t="shared" si="84"/>
        <v>1.2690939583220635</v>
      </c>
      <c r="BK52">
        <f t="shared" si="85"/>
        <v>0.92347196805115306</v>
      </c>
      <c r="BL52">
        <f t="shared" si="86"/>
        <v>0.46331989604324897</v>
      </c>
      <c r="BM52">
        <f t="shared" si="87"/>
        <v>0.53668010395675103</v>
      </c>
      <c r="BN52">
        <v>71</v>
      </c>
      <c r="BO52">
        <v>290.00000000000011</v>
      </c>
      <c r="BP52">
        <v>933.59</v>
      </c>
      <c r="BQ52">
        <v>295</v>
      </c>
      <c r="BR52">
        <v>10211.4</v>
      </c>
      <c r="BS52">
        <v>935.67</v>
      </c>
      <c r="BT52">
        <v>-2.08</v>
      </c>
      <c r="BU52">
        <v>300.00000000000011</v>
      </c>
      <c r="BV52">
        <v>24.1</v>
      </c>
      <c r="BW52">
        <v>1000.776641970586</v>
      </c>
      <c r="BX52">
        <v>2.4096255682998011</v>
      </c>
      <c r="BY52">
        <v>-66.479678243514101</v>
      </c>
      <c r="BZ52">
        <v>2.1921910543531782</v>
      </c>
      <c r="CA52">
        <v>0.97045312341034562</v>
      </c>
      <c r="CB52">
        <v>-6.962931701890984E-3</v>
      </c>
      <c r="CC52">
        <v>289.99999999999989</v>
      </c>
      <c r="CD52">
        <v>933.31</v>
      </c>
      <c r="CE52">
        <v>655</v>
      </c>
      <c r="CF52">
        <v>10195.9</v>
      </c>
      <c r="CG52">
        <v>935.57</v>
      </c>
      <c r="CH52">
        <v>-2.2599999999999998</v>
      </c>
      <c r="CV52">
        <f t="shared" si="88"/>
        <v>1799.94</v>
      </c>
      <c r="CW52">
        <f t="shared" si="89"/>
        <v>1513.134299828871</v>
      </c>
      <c r="CX52">
        <f t="shared" si="90"/>
        <v>0.84065818851121199</v>
      </c>
      <c r="CY52">
        <f t="shared" si="91"/>
        <v>0.19131637702242407</v>
      </c>
      <c r="CZ52">
        <v>6</v>
      </c>
      <c r="DA52">
        <v>0.5</v>
      </c>
      <c r="DB52" t="s">
        <v>418</v>
      </c>
      <c r="DC52">
        <v>2</v>
      </c>
      <c r="DD52">
        <v>1674582035.5</v>
      </c>
      <c r="DE52">
        <v>345.08600000000001</v>
      </c>
      <c r="DF52">
        <v>399.91399999999999</v>
      </c>
      <c r="DG52">
        <v>24.564699999999998</v>
      </c>
      <c r="DH52">
        <v>17.453700000000001</v>
      </c>
      <c r="DI52">
        <v>346.09699999999998</v>
      </c>
      <c r="DJ52">
        <v>24.351500000000001</v>
      </c>
      <c r="DK52">
        <v>500.125</v>
      </c>
      <c r="DL52">
        <v>99.840800000000002</v>
      </c>
      <c r="DM52">
        <v>0.100165</v>
      </c>
      <c r="DN52">
        <v>28.009599999999999</v>
      </c>
      <c r="DO52">
        <v>27.4846</v>
      </c>
      <c r="DP52">
        <v>999.9</v>
      </c>
      <c r="DQ52">
        <v>0</v>
      </c>
      <c r="DR52">
        <v>0</v>
      </c>
      <c r="DS52">
        <v>9988.1200000000008</v>
      </c>
      <c r="DT52">
        <v>0</v>
      </c>
      <c r="DU52">
        <v>610.94299999999998</v>
      </c>
      <c r="DV52">
        <v>-54.8279</v>
      </c>
      <c r="DW52">
        <v>353.77600000000001</v>
      </c>
      <c r="DX52">
        <v>407.01799999999997</v>
      </c>
      <c r="DY52">
        <v>7.1109900000000001</v>
      </c>
      <c r="DZ52">
        <v>399.91399999999999</v>
      </c>
      <c r="EA52">
        <v>17.453700000000001</v>
      </c>
      <c r="EB52">
        <v>2.4525600000000001</v>
      </c>
      <c r="EC52">
        <v>1.7425900000000001</v>
      </c>
      <c r="ED52">
        <v>20.7151</v>
      </c>
      <c r="EE52">
        <v>15.2812</v>
      </c>
      <c r="EF52">
        <v>1799.94</v>
      </c>
      <c r="EG52">
        <v>0.97800200000000004</v>
      </c>
      <c r="EH52">
        <v>2.1998199999999999E-2</v>
      </c>
      <c r="EI52">
        <v>0</v>
      </c>
      <c r="EJ52">
        <v>727.08600000000001</v>
      </c>
      <c r="EK52">
        <v>5.0002599999999999</v>
      </c>
      <c r="EL52">
        <v>13931.4</v>
      </c>
      <c r="EM52">
        <v>17102.8</v>
      </c>
      <c r="EN52">
        <v>50</v>
      </c>
      <c r="EO52">
        <v>51.686999999999998</v>
      </c>
      <c r="EP52">
        <v>51.061999999999998</v>
      </c>
      <c r="EQ52">
        <v>50.811999999999998</v>
      </c>
      <c r="ER52">
        <v>51.25</v>
      </c>
      <c r="ES52">
        <v>1755.45</v>
      </c>
      <c r="ET52">
        <v>39.49</v>
      </c>
      <c r="EU52">
        <v>0</v>
      </c>
      <c r="EV52">
        <v>187.79999995231631</v>
      </c>
      <c r="EW52">
        <v>0</v>
      </c>
      <c r="EX52">
        <v>727.66426923076926</v>
      </c>
      <c r="EY52">
        <v>-5.4736752049625634</v>
      </c>
      <c r="EZ52">
        <v>-100.119658445973</v>
      </c>
      <c r="FA52">
        <v>13955.619230769231</v>
      </c>
      <c r="FB52">
        <v>15</v>
      </c>
      <c r="FC52">
        <v>1674581986</v>
      </c>
      <c r="FD52" t="s">
        <v>603</v>
      </c>
      <c r="FE52">
        <v>1674581973</v>
      </c>
      <c r="FF52">
        <v>1674581986</v>
      </c>
      <c r="FG52">
        <v>41</v>
      </c>
      <c r="FH52">
        <v>-0.23799999999999999</v>
      </c>
      <c r="FI52">
        <v>2E-3</v>
      </c>
      <c r="FJ52">
        <v>-1.02</v>
      </c>
      <c r="FK52">
        <v>3.4000000000000002E-2</v>
      </c>
      <c r="FL52">
        <v>400</v>
      </c>
      <c r="FM52">
        <v>17</v>
      </c>
      <c r="FN52">
        <v>0.03</v>
      </c>
      <c r="FO52">
        <v>0.01</v>
      </c>
      <c r="FP52">
        <v>42.464805947178618</v>
      </c>
      <c r="FQ52">
        <v>6.5412819681440846</v>
      </c>
      <c r="FR52">
        <v>0.64711549228613896</v>
      </c>
      <c r="FS52">
        <v>0</v>
      </c>
      <c r="FT52">
        <v>0.54084076034613227</v>
      </c>
      <c r="FU52">
        <v>-6.6726346207586204E-2</v>
      </c>
      <c r="FV52">
        <v>6.5958433557387428E-3</v>
      </c>
      <c r="FW52">
        <v>0</v>
      </c>
      <c r="FX52">
        <v>0</v>
      </c>
      <c r="FY52">
        <v>2</v>
      </c>
      <c r="FZ52" t="s">
        <v>604</v>
      </c>
      <c r="GA52">
        <v>2.9286400000000001</v>
      </c>
      <c r="GB52">
        <v>2.8069700000000002</v>
      </c>
      <c r="GC52">
        <v>8.7580599999999995E-2</v>
      </c>
      <c r="GD52">
        <v>9.9365400000000006E-2</v>
      </c>
      <c r="GE52">
        <v>0.11418300000000001</v>
      </c>
      <c r="GF52">
        <v>9.1152999999999998E-2</v>
      </c>
      <c r="GG52">
        <v>27150.5</v>
      </c>
      <c r="GH52">
        <v>27106</v>
      </c>
      <c r="GI52">
        <v>28264.799999999999</v>
      </c>
      <c r="GJ52">
        <v>27121.200000000001</v>
      </c>
      <c r="GK52">
        <v>35946.699999999997</v>
      </c>
      <c r="GL52">
        <v>32532.5</v>
      </c>
      <c r="GM52">
        <v>42093.7</v>
      </c>
      <c r="GN52">
        <v>36779.599999999999</v>
      </c>
      <c r="GO52">
        <v>1.9167700000000001</v>
      </c>
      <c r="GP52">
        <v>1.8775200000000001</v>
      </c>
      <c r="GQ52">
        <v>5.3308899999999999E-2</v>
      </c>
      <c r="GR52">
        <v>0</v>
      </c>
      <c r="GS52">
        <v>26.6129</v>
      </c>
      <c r="GT52">
        <v>999.9</v>
      </c>
      <c r="GU52">
        <v>48.2</v>
      </c>
      <c r="GV52">
        <v>36.200000000000003</v>
      </c>
      <c r="GW52">
        <v>29.129300000000001</v>
      </c>
      <c r="GX52">
        <v>62.486899999999999</v>
      </c>
      <c r="GY52">
        <v>27.612200000000001</v>
      </c>
      <c r="GZ52">
        <v>1</v>
      </c>
      <c r="HA52">
        <v>0.41231499999999999</v>
      </c>
      <c r="HB52">
        <v>3.3613200000000001</v>
      </c>
      <c r="HC52">
        <v>20.312200000000001</v>
      </c>
      <c r="HD52">
        <v>5.2400500000000001</v>
      </c>
      <c r="HE52">
        <v>11.9381</v>
      </c>
      <c r="HF52">
        <v>4.9736000000000002</v>
      </c>
      <c r="HG52">
        <v>3.2989999999999999</v>
      </c>
      <c r="HH52">
        <v>9999</v>
      </c>
      <c r="HI52">
        <v>9999</v>
      </c>
      <c r="HJ52">
        <v>9999</v>
      </c>
      <c r="HK52">
        <v>999.9</v>
      </c>
      <c r="HL52">
        <v>1.8735900000000001</v>
      </c>
      <c r="HM52">
        <v>1.8812599999999999</v>
      </c>
      <c r="HN52">
        <v>1.8847400000000001</v>
      </c>
      <c r="HO52">
        <v>1.88141</v>
      </c>
      <c r="HP52">
        <v>1.8788</v>
      </c>
      <c r="HQ52">
        <v>1.8734900000000001</v>
      </c>
      <c r="HR52">
        <v>1.8763700000000001</v>
      </c>
      <c r="HS52">
        <v>1.8806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-1.0109999999999999</v>
      </c>
      <c r="IH52">
        <v>0.2132</v>
      </c>
      <c r="II52">
        <v>-1.142312692586591</v>
      </c>
      <c r="IJ52">
        <v>9.4905977090923709E-4</v>
      </c>
      <c r="IK52">
        <v>-1.9106666302146479E-6</v>
      </c>
      <c r="IL52">
        <v>7.5819610513223293E-10</v>
      </c>
      <c r="IM52">
        <v>-7.659392615203299E-2</v>
      </c>
      <c r="IN52">
        <v>-1.0595840490420019E-2</v>
      </c>
      <c r="IO52">
        <v>1.2407080968752471E-3</v>
      </c>
      <c r="IP52">
        <v>-1.3015442653884381E-5</v>
      </c>
      <c r="IQ52">
        <v>33</v>
      </c>
      <c r="IR52">
        <v>2014</v>
      </c>
      <c r="IS52">
        <v>1</v>
      </c>
      <c r="IT52">
        <v>26</v>
      </c>
      <c r="IU52">
        <v>1</v>
      </c>
      <c r="IV52">
        <v>0.8</v>
      </c>
      <c r="IW52">
        <v>1.0083</v>
      </c>
      <c r="IX52">
        <v>2.5329600000000001</v>
      </c>
      <c r="IY52">
        <v>1.5979000000000001</v>
      </c>
      <c r="IZ52">
        <v>2.2985799999999998</v>
      </c>
      <c r="JA52">
        <v>1.5502899999999999</v>
      </c>
      <c r="JB52">
        <v>2.3791500000000001</v>
      </c>
      <c r="JC52">
        <v>40.07</v>
      </c>
      <c r="JD52">
        <v>24.061199999999999</v>
      </c>
      <c r="JE52">
        <v>18</v>
      </c>
      <c r="JF52">
        <v>480.565</v>
      </c>
      <c r="JG52">
        <v>488.73</v>
      </c>
      <c r="JH52">
        <v>22.450800000000001</v>
      </c>
      <c r="JI52">
        <v>32.3658</v>
      </c>
      <c r="JJ52">
        <v>30.000399999999999</v>
      </c>
      <c r="JK52">
        <v>32.390500000000003</v>
      </c>
      <c r="JL52">
        <v>32.341999999999999</v>
      </c>
      <c r="JM52">
        <v>20.2498</v>
      </c>
      <c r="JN52">
        <v>46.386099999999999</v>
      </c>
      <c r="JO52">
        <v>0</v>
      </c>
      <c r="JP52">
        <v>22.445699999999999</v>
      </c>
      <c r="JQ52">
        <v>400</v>
      </c>
      <c r="JR52">
        <v>17.5473</v>
      </c>
      <c r="JS52">
        <v>99.793499999999995</v>
      </c>
      <c r="JT52">
        <v>98.499300000000005</v>
      </c>
    </row>
    <row r="53" spans="1:280" x14ac:dyDescent="0.25">
      <c r="A53">
        <v>37</v>
      </c>
      <c r="B53">
        <v>1674582198</v>
      </c>
      <c r="C53">
        <v>6773</v>
      </c>
      <c r="D53" t="s">
        <v>605</v>
      </c>
      <c r="E53" t="s">
        <v>606</v>
      </c>
      <c r="F53" t="s">
        <v>412</v>
      </c>
      <c r="G53" t="s">
        <v>564</v>
      </c>
      <c r="H53" t="s">
        <v>565</v>
      </c>
      <c r="I53">
        <v>1674582198</v>
      </c>
      <c r="J53">
        <f t="shared" si="46"/>
        <v>5.3351909886323618E-3</v>
      </c>
      <c r="K53">
        <f t="shared" si="47"/>
        <v>5.3351909886323616</v>
      </c>
      <c r="L53">
        <f t="shared" si="48"/>
        <v>50.204196213452185</v>
      </c>
      <c r="M53">
        <f t="shared" si="49"/>
        <v>337.64600000000002</v>
      </c>
      <c r="N53">
        <f t="shared" si="50"/>
        <v>145.6550680274737</v>
      </c>
      <c r="O53">
        <f t="shared" si="51"/>
        <v>14.55561056046038</v>
      </c>
      <c r="P53">
        <f t="shared" si="52"/>
        <v>33.741659317821998</v>
      </c>
      <c r="Q53">
        <f t="shared" si="53"/>
        <v>0.46110373814790079</v>
      </c>
      <c r="R53">
        <f t="shared" si="54"/>
        <v>2.9274756603985015</v>
      </c>
      <c r="S53">
        <f t="shared" si="55"/>
        <v>0.42422481368157111</v>
      </c>
      <c r="T53">
        <f t="shared" si="56"/>
        <v>0.26820770874891697</v>
      </c>
      <c r="U53">
        <f t="shared" si="57"/>
        <v>344.330799657802</v>
      </c>
      <c r="V53">
        <f t="shared" si="58"/>
        <v>28.644461011716135</v>
      </c>
      <c r="W53">
        <f t="shared" si="59"/>
        <v>27.540800000000001</v>
      </c>
      <c r="X53">
        <f t="shared" si="60"/>
        <v>3.6944311852821525</v>
      </c>
      <c r="Y53">
        <f t="shared" si="61"/>
        <v>65.253195900232541</v>
      </c>
      <c r="Z53">
        <f t="shared" si="62"/>
        <v>2.4764562773398002</v>
      </c>
      <c r="AA53">
        <f t="shared" si="63"/>
        <v>3.7951494071280805</v>
      </c>
      <c r="AB53">
        <f t="shared" si="64"/>
        <v>1.2179749079423523</v>
      </c>
      <c r="AC53">
        <f t="shared" si="65"/>
        <v>-235.28192259868715</v>
      </c>
      <c r="AD53">
        <f t="shared" si="66"/>
        <v>72.694686830247804</v>
      </c>
      <c r="AE53">
        <f t="shared" si="67"/>
        <v>5.4004400812381546</v>
      </c>
      <c r="AF53">
        <f t="shared" si="68"/>
        <v>187.14400397060083</v>
      </c>
      <c r="AG53">
        <v>0</v>
      </c>
      <c r="AH53">
        <v>0</v>
      </c>
      <c r="AI53">
        <f t="shared" si="69"/>
        <v>1</v>
      </c>
      <c r="AJ53">
        <f t="shared" si="70"/>
        <v>0</v>
      </c>
      <c r="AK53">
        <f t="shared" si="71"/>
        <v>52637.893089099482</v>
      </c>
      <c r="AL53" t="s">
        <v>415</v>
      </c>
      <c r="AM53">
        <v>10297.6</v>
      </c>
      <c r="AN53">
        <v>785.57400000000007</v>
      </c>
      <c r="AO53">
        <v>3597.65</v>
      </c>
      <c r="AP53">
        <f t="shared" si="72"/>
        <v>0.7816424610509638</v>
      </c>
      <c r="AQ53">
        <v>-0.62398835798131469</v>
      </c>
      <c r="AR53" t="s">
        <v>607</v>
      </c>
      <c r="AS53">
        <v>10227.5</v>
      </c>
      <c r="AT53">
        <v>730.17571999999996</v>
      </c>
      <c r="AU53">
        <v>1076.628344436625</v>
      </c>
      <c r="AV53">
        <f t="shared" si="73"/>
        <v>0.32179407706186269</v>
      </c>
      <c r="AW53">
        <v>0.5</v>
      </c>
      <c r="AX53">
        <f t="shared" si="74"/>
        <v>1513.0163998289011</v>
      </c>
      <c r="AY53">
        <f t="shared" si="75"/>
        <v>50.204196213452185</v>
      </c>
      <c r="AZ53">
        <f t="shared" si="76"/>
        <v>243.43985798120173</v>
      </c>
      <c r="BA53">
        <f t="shared" si="77"/>
        <v>3.3593941597183874E-2</v>
      </c>
      <c r="BB53">
        <f t="shared" si="78"/>
        <v>2.3415895267763625</v>
      </c>
      <c r="BC53">
        <f t="shared" si="79"/>
        <v>519.79889040932778</v>
      </c>
      <c r="BD53" t="s">
        <v>608</v>
      </c>
      <c r="BE53">
        <v>558.80999999999995</v>
      </c>
      <c r="BF53">
        <f t="shared" si="80"/>
        <v>558.80999999999995</v>
      </c>
      <c r="BG53">
        <f t="shared" si="81"/>
        <v>0.4809629498539606</v>
      </c>
      <c r="BH53">
        <f t="shared" si="82"/>
        <v>0.66906209128909455</v>
      </c>
      <c r="BI53">
        <f t="shared" si="83"/>
        <v>0.82959999722373501</v>
      </c>
      <c r="BJ53">
        <f t="shared" si="84"/>
        <v>1.1903365507470125</v>
      </c>
      <c r="BK53">
        <f t="shared" si="85"/>
        <v>0.89649840742688858</v>
      </c>
      <c r="BL53">
        <f t="shared" si="86"/>
        <v>0.51203919411790211</v>
      </c>
      <c r="BM53">
        <f t="shared" si="87"/>
        <v>0.48796080588209789</v>
      </c>
      <c r="BN53">
        <v>73</v>
      </c>
      <c r="BO53">
        <v>290.00000000000011</v>
      </c>
      <c r="BP53">
        <v>989.59</v>
      </c>
      <c r="BQ53">
        <v>165</v>
      </c>
      <c r="BR53">
        <v>10227.5</v>
      </c>
      <c r="BS53">
        <v>990.7</v>
      </c>
      <c r="BT53">
        <v>-1.1100000000000001</v>
      </c>
      <c r="BU53">
        <v>300.00000000000011</v>
      </c>
      <c r="BV53">
        <v>24.1</v>
      </c>
      <c r="BW53">
        <v>1076.628344436625</v>
      </c>
      <c r="BX53">
        <v>2.2824272635135152</v>
      </c>
      <c r="BY53">
        <v>-87.881896101612426</v>
      </c>
      <c r="BZ53">
        <v>2.0763977564177272</v>
      </c>
      <c r="CA53">
        <v>0.98460979348709921</v>
      </c>
      <c r="CB53">
        <v>-6.9628778642936559E-3</v>
      </c>
      <c r="CC53">
        <v>289.99999999999989</v>
      </c>
      <c r="CD53">
        <v>988.57</v>
      </c>
      <c r="CE53">
        <v>645</v>
      </c>
      <c r="CF53">
        <v>10196.200000000001</v>
      </c>
      <c r="CG53">
        <v>990.44</v>
      </c>
      <c r="CH53">
        <v>-1.87</v>
      </c>
      <c r="CV53">
        <f t="shared" si="88"/>
        <v>1799.8</v>
      </c>
      <c r="CW53">
        <f t="shared" si="89"/>
        <v>1513.0163998289011</v>
      </c>
      <c r="CX53">
        <f t="shared" si="90"/>
        <v>0.84065807302416995</v>
      </c>
      <c r="CY53">
        <f t="shared" si="91"/>
        <v>0.19131614604833982</v>
      </c>
      <c r="CZ53">
        <v>6</v>
      </c>
      <c r="DA53">
        <v>0.5</v>
      </c>
      <c r="DB53" t="s">
        <v>418</v>
      </c>
      <c r="DC53">
        <v>2</v>
      </c>
      <c r="DD53">
        <v>1674582198</v>
      </c>
      <c r="DE53">
        <v>337.64600000000002</v>
      </c>
      <c r="DF53">
        <v>400.03699999999998</v>
      </c>
      <c r="DG53">
        <v>24.781400000000001</v>
      </c>
      <c r="DH53">
        <v>18.539400000000001</v>
      </c>
      <c r="DI53">
        <v>338.63400000000001</v>
      </c>
      <c r="DJ53">
        <v>24.566400000000002</v>
      </c>
      <c r="DK53">
        <v>500.12599999999998</v>
      </c>
      <c r="DL53">
        <v>99.831900000000005</v>
      </c>
      <c r="DM53">
        <v>0.100157</v>
      </c>
      <c r="DN53">
        <v>28.0014</v>
      </c>
      <c r="DO53">
        <v>27.540800000000001</v>
      </c>
      <c r="DP53">
        <v>999.9</v>
      </c>
      <c r="DQ53">
        <v>0</v>
      </c>
      <c r="DR53">
        <v>0</v>
      </c>
      <c r="DS53">
        <v>10005</v>
      </c>
      <c r="DT53">
        <v>0</v>
      </c>
      <c r="DU53">
        <v>571.346</v>
      </c>
      <c r="DV53">
        <v>-62.390799999999999</v>
      </c>
      <c r="DW53">
        <v>346.226</v>
      </c>
      <c r="DX53">
        <v>407.59300000000002</v>
      </c>
      <c r="DY53">
        <v>6.2420299999999997</v>
      </c>
      <c r="DZ53">
        <v>400.03699999999998</v>
      </c>
      <c r="EA53">
        <v>18.539400000000001</v>
      </c>
      <c r="EB53">
        <v>2.47397</v>
      </c>
      <c r="EC53">
        <v>1.8508199999999999</v>
      </c>
      <c r="ED53">
        <v>20.856300000000001</v>
      </c>
      <c r="EE53">
        <v>16.2227</v>
      </c>
      <c r="EF53">
        <v>1799.8</v>
      </c>
      <c r="EG53">
        <v>0.97800200000000004</v>
      </c>
      <c r="EH53">
        <v>2.1998199999999999E-2</v>
      </c>
      <c r="EI53">
        <v>0</v>
      </c>
      <c r="EJ53">
        <v>730.72799999999995</v>
      </c>
      <c r="EK53">
        <v>5.0002599999999999</v>
      </c>
      <c r="EL53">
        <v>13923.7</v>
      </c>
      <c r="EM53">
        <v>17101.5</v>
      </c>
      <c r="EN53">
        <v>50.061999999999998</v>
      </c>
      <c r="EO53">
        <v>51.75</v>
      </c>
      <c r="EP53">
        <v>51.125</v>
      </c>
      <c r="EQ53">
        <v>50.875</v>
      </c>
      <c r="ER53">
        <v>51.25</v>
      </c>
      <c r="ES53">
        <v>1755.32</v>
      </c>
      <c r="ET53">
        <v>39.479999999999997</v>
      </c>
      <c r="EU53">
        <v>0</v>
      </c>
      <c r="EV53">
        <v>160.79999995231631</v>
      </c>
      <c r="EW53">
        <v>0</v>
      </c>
      <c r="EX53">
        <v>730.17571999999996</v>
      </c>
      <c r="EY53">
        <v>5.5489230698497511</v>
      </c>
      <c r="EZ53">
        <v>142.38461561999671</v>
      </c>
      <c r="FA53">
        <v>13909.392</v>
      </c>
      <c r="FB53">
        <v>15</v>
      </c>
      <c r="FC53">
        <v>1674582161</v>
      </c>
      <c r="FD53" t="s">
        <v>609</v>
      </c>
      <c r="FE53">
        <v>1674582161</v>
      </c>
      <c r="FF53">
        <v>1674582156.5</v>
      </c>
      <c r="FG53">
        <v>42</v>
      </c>
      <c r="FH53">
        <v>2.3E-2</v>
      </c>
      <c r="FI53">
        <v>-4.0000000000000001E-3</v>
      </c>
      <c r="FJ53">
        <v>-0.997</v>
      </c>
      <c r="FK53">
        <v>0.06</v>
      </c>
      <c r="FL53">
        <v>400</v>
      </c>
      <c r="FM53">
        <v>18</v>
      </c>
      <c r="FN53">
        <v>0.03</v>
      </c>
      <c r="FO53">
        <v>0.02</v>
      </c>
      <c r="FP53">
        <v>50.083058524237337</v>
      </c>
      <c r="FQ53">
        <v>0.33799043214896107</v>
      </c>
      <c r="FR53">
        <v>6.4928682373563654E-2</v>
      </c>
      <c r="FS53">
        <v>1</v>
      </c>
      <c r="FT53">
        <v>0.45684765749757228</v>
      </c>
      <c r="FU53">
        <v>4.533068400098033E-2</v>
      </c>
      <c r="FV53">
        <v>4.92752341264478E-3</v>
      </c>
      <c r="FW53">
        <v>1</v>
      </c>
      <c r="FX53">
        <v>2</v>
      </c>
      <c r="FY53">
        <v>2</v>
      </c>
      <c r="FZ53" t="s">
        <v>420</v>
      </c>
      <c r="GA53">
        <v>2.9283999999999999</v>
      </c>
      <c r="GB53">
        <v>2.8071100000000002</v>
      </c>
      <c r="GC53">
        <v>8.6028499999999994E-2</v>
      </c>
      <c r="GD53">
        <v>9.9361400000000002E-2</v>
      </c>
      <c r="GE53">
        <v>0.114846</v>
      </c>
      <c r="GF53">
        <v>9.5135899999999995E-2</v>
      </c>
      <c r="GG53">
        <v>27189.8</v>
      </c>
      <c r="GH53">
        <v>27098.5</v>
      </c>
      <c r="GI53">
        <v>28258.3</v>
      </c>
      <c r="GJ53">
        <v>27114</v>
      </c>
      <c r="GK53">
        <v>35912.5</v>
      </c>
      <c r="GL53">
        <v>32382.3</v>
      </c>
      <c r="GM53">
        <v>42085.2</v>
      </c>
      <c r="GN53">
        <v>36771.199999999997</v>
      </c>
      <c r="GO53">
        <v>1.91472</v>
      </c>
      <c r="GP53">
        <v>1.8773</v>
      </c>
      <c r="GQ53">
        <v>5.3331299999999998E-2</v>
      </c>
      <c r="GR53">
        <v>0</v>
      </c>
      <c r="GS53">
        <v>26.668800000000001</v>
      </c>
      <c r="GT53">
        <v>999.9</v>
      </c>
      <c r="GU53">
        <v>48.3</v>
      </c>
      <c r="GV53">
        <v>36.200000000000003</v>
      </c>
      <c r="GW53">
        <v>29.194299999999998</v>
      </c>
      <c r="GX53">
        <v>62.476999999999997</v>
      </c>
      <c r="GY53">
        <v>27.099399999999999</v>
      </c>
      <c r="GZ53">
        <v>1</v>
      </c>
      <c r="HA53">
        <v>0.42288100000000001</v>
      </c>
      <c r="HB53">
        <v>3.4553799999999999</v>
      </c>
      <c r="HC53">
        <v>20.310199999999998</v>
      </c>
      <c r="HD53">
        <v>5.2406499999999996</v>
      </c>
      <c r="HE53">
        <v>11.9381</v>
      </c>
      <c r="HF53">
        <v>4.9736500000000001</v>
      </c>
      <c r="HG53">
        <v>3.2989999999999999</v>
      </c>
      <c r="HH53">
        <v>9999</v>
      </c>
      <c r="HI53">
        <v>9999</v>
      </c>
      <c r="HJ53">
        <v>9999</v>
      </c>
      <c r="HK53">
        <v>999.9</v>
      </c>
      <c r="HL53">
        <v>1.8735599999999999</v>
      </c>
      <c r="HM53">
        <v>1.8812599999999999</v>
      </c>
      <c r="HN53">
        <v>1.88476</v>
      </c>
      <c r="HO53">
        <v>1.88141</v>
      </c>
      <c r="HP53">
        <v>1.8788100000000001</v>
      </c>
      <c r="HQ53">
        <v>1.87347</v>
      </c>
      <c r="HR53">
        <v>1.8763700000000001</v>
      </c>
      <c r="HS53">
        <v>1.8806099999999999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-0.98799999999999999</v>
      </c>
      <c r="IH53">
        <v>0.215</v>
      </c>
      <c r="II53">
        <v>-1.1195665556326151</v>
      </c>
      <c r="IJ53">
        <v>9.4905977090923709E-4</v>
      </c>
      <c r="IK53">
        <v>-1.9106666302146479E-6</v>
      </c>
      <c r="IL53">
        <v>7.5819610513223293E-10</v>
      </c>
      <c r="IM53">
        <v>-8.0557700383828118E-2</v>
      </c>
      <c r="IN53">
        <v>-1.0595840490420019E-2</v>
      </c>
      <c r="IO53">
        <v>1.2407080968752471E-3</v>
      </c>
      <c r="IP53">
        <v>-1.3015442653884381E-5</v>
      </c>
      <c r="IQ53">
        <v>33</v>
      </c>
      <c r="IR53">
        <v>2014</v>
      </c>
      <c r="IS53">
        <v>1</v>
      </c>
      <c r="IT53">
        <v>26</v>
      </c>
      <c r="IU53">
        <v>0.6</v>
      </c>
      <c r="IV53">
        <v>0.7</v>
      </c>
      <c r="IW53">
        <v>1.00952</v>
      </c>
      <c r="IX53">
        <v>2.5378400000000001</v>
      </c>
      <c r="IY53">
        <v>1.5991200000000001</v>
      </c>
      <c r="IZ53">
        <v>2.2973599999999998</v>
      </c>
      <c r="JA53">
        <v>1.5502899999999999</v>
      </c>
      <c r="JB53">
        <v>2.3107899999999999</v>
      </c>
      <c r="JC53">
        <v>40.019399999999997</v>
      </c>
      <c r="JD53">
        <v>24.052499999999998</v>
      </c>
      <c r="JE53">
        <v>18</v>
      </c>
      <c r="JF53">
        <v>480.18299999999999</v>
      </c>
      <c r="JG53">
        <v>489.51799999999997</v>
      </c>
      <c r="JH53">
        <v>22.3261</v>
      </c>
      <c r="JI53">
        <v>32.4846</v>
      </c>
      <c r="JJ53">
        <v>30.000299999999999</v>
      </c>
      <c r="JK53">
        <v>32.508800000000001</v>
      </c>
      <c r="JL53">
        <v>32.458599999999997</v>
      </c>
      <c r="JM53">
        <v>20.269500000000001</v>
      </c>
      <c r="JN53">
        <v>43.1526</v>
      </c>
      <c r="JO53">
        <v>0</v>
      </c>
      <c r="JP53">
        <v>22.361499999999999</v>
      </c>
      <c r="JQ53">
        <v>400</v>
      </c>
      <c r="JR53">
        <v>18.536899999999999</v>
      </c>
      <c r="JS53">
        <v>99.772400000000005</v>
      </c>
      <c r="JT53">
        <v>98.475200000000001</v>
      </c>
    </row>
    <row r="54" spans="1:280" x14ac:dyDescent="0.25">
      <c r="A54">
        <v>38</v>
      </c>
      <c r="B54">
        <v>1674582313</v>
      </c>
      <c r="C54">
        <v>6888</v>
      </c>
      <c r="D54" t="s">
        <v>610</v>
      </c>
      <c r="E54" t="s">
        <v>611</v>
      </c>
      <c r="F54" t="s">
        <v>412</v>
      </c>
      <c r="G54" t="s">
        <v>564</v>
      </c>
      <c r="H54" t="s">
        <v>565</v>
      </c>
      <c r="I54">
        <v>1674582313</v>
      </c>
      <c r="J54">
        <f t="shared" si="46"/>
        <v>5.1170703609326592E-3</v>
      </c>
      <c r="K54">
        <f t="shared" si="47"/>
        <v>5.1170703609326589</v>
      </c>
      <c r="L54">
        <f t="shared" si="48"/>
        <v>54.433953297133364</v>
      </c>
      <c r="M54">
        <f t="shared" si="49"/>
        <v>432.07499999999999</v>
      </c>
      <c r="N54">
        <f t="shared" si="50"/>
        <v>214.82239416555669</v>
      </c>
      <c r="O54">
        <f t="shared" si="51"/>
        <v>21.466901742079429</v>
      </c>
      <c r="P54">
        <f t="shared" si="52"/>
        <v>43.176651141224994</v>
      </c>
      <c r="Q54">
        <f t="shared" si="53"/>
        <v>0.44266134008130448</v>
      </c>
      <c r="R54">
        <f t="shared" si="54"/>
        <v>2.9243486929455469</v>
      </c>
      <c r="S54">
        <f t="shared" si="55"/>
        <v>0.4085231598348783</v>
      </c>
      <c r="T54">
        <f t="shared" si="56"/>
        <v>0.25817440864668129</v>
      </c>
      <c r="U54">
        <f t="shared" si="57"/>
        <v>344.37259965784386</v>
      </c>
      <c r="V54">
        <f t="shared" si="58"/>
        <v>28.700328917286622</v>
      </c>
      <c r="W54">
        <f t="shared" si="59"/>
        <v>27.523900000000001</v>
      </c>
      <c r="X54">
        <f t="shared" si="60"/>
        <v>3.6907805025022311</v>
      </c>
      <c r="Y54">
        <f t="shared" si="61"/>
        <v>65.293601275493344</v>
      </c>
      <c r="Z54">
        <f t="shared" si="62"/>
        <v>2.4777297113849999</v>
      </c>
      <c r="AA54">
        <f t="shared" si="63"/>
        <v>3.7947511899837059</v>
      </c>
      <c r="AB54">
        <f t="shared" si="64"/>
        <v>1.2130507911172312</v>
      </c>
      <c r="AC54">
        <f t="shared" si="65"/>
        <v>-225.66280291713028</v>
      </c>
      <c r="AD54">
        <f t="shared" si="66"/>
        <v>74.997666439401996</v>
      </c>
      <c r="AE54">
        <f t="shared" si="67"/>
        <v>5.5769645459526105</v>
      </c>
      <c r="AF54">
        <f t="shared" si="68"/>
        <v>199.28442772606817</v>
      </c>
      <c r="AG54">
        <v>0</v>
      </c>
      <c r="AH54">
        <v>0</v>
      </c>
      <c r="AI54">
        <f t="shared" si="69"/>
        <v>1</v>
      </c>
      <c r="AJ54">
        <f t="shared" si="70"/>
        <v>0</v>
      </c>
      <c r="AK54">
        <f t="shared" si="71"/>
        <v>52548.151681858981</v>
      </c>
      <c r="AL54" t="s">
        <v>415</v>
      </c>
      <c r="AM54">
        <v>10297.6</v>
      </c>
      <c r="AN54">
        <v>785.57400000000007</v>
      </c>
      <c r="AO54">
        <v>3597.65</v>
      </c>
      <c r="AP54">
        <f t="shared" si="72"/>
        <v>0.7816424610509638</v>
      </c>
      <c r="AQ54">
        <v>-0.62398835798131469</v>
      </c>
      <c r="AR54" t="s">
        <v>612</v>
      </c>
      <c r="AS54">
        <v>10210.9</v>
      </c>
      <c r="AT54">
        <v>740.10228000000006</v>
      </c>
      <c r="AU54">
        <v>1123.4538920055811</v>
      </c>
      <c r="AV54">
        <f t="shared" si="73"/>
        <v>0.34122594147697927</v>
      </c>
      <c r="AW54">
        <v>0.5</v>
      </c>
      <c r="AX54">
        <f t="shared" si="74"/>
        <v>1513.201199828922</v>
      </c>
      <c r="AY54">
        <f t="shared" si="75"/>
        <v>54.433953297133364</v>
      </c>
      <c r="AZ54">
        <f t="shared" si="76"/>
        <v>258.17175202785927</v>
      </c>
      <c r="BA54">
        <f t="shared" si="77"/>
        <v>3.6385076658239084E-2</v>
      </c>
      <c r="BB54">
        <f t="shared" si="78"/>
        <v>2.2023121069770859</v>
      </c>
      <c r="BC54">
        <f t="shared" si="79"/>
        <v>530.47372183173763</v>
      </c>
      <c r="BD54" t="s">
        <v>613</v>
      </c>
      <c r="BE54">
        <v>562.54999999999995</v>
      </c>
      <c r="BF54">
        <f t="shared" si="80"/>
        <v>562.54999999999995</v>
      </c>
      <c r="BG54">
        <f t="shared" si="81"/>
        <v>0.49926738960711592</v>
      </c>
      <c r="BH54">
        <f t="shared" si="82"/>
        <v>0.68345329292485379</v>
      </c>
      <c r="BI54">
        <f t="shared" si="83"/>
        <v>0.81519426311963983</v>
      </c>
      <c r="BJ54">
        <f t="shared" si="84"/>
        <v>1.1345795386937347</v>
      </c>
      <c r="BK54">
        <f t="shared" si="85"/>
        <v>0.87984681352652594</v>
      </c>
      <c r="BL54">
        <f t="shared" si="86"/>
        <v>0.51949123833921507</v>
      </c>
      <c r="BM54">
        <f t="shared" si="87"/>
        <v>0.48050876166078493</v>
      </c>
      <c r="BN54">
        <v>75</v>
      </c>
      <c r="BO54">
        <v>290.00000000000011</v>
      </c>
      <c r="BP54">
        <v>1031.3</v>
      </c>
      <c r="BQ54">
        <v>295</v>
      </c>
      <c r="BR54">
        <v>10210.9</v>
      </c>
      <c r="BS54">
        <v>1031.9100000000001</v>
      </c>
      <c r="BT54">
        <v>-0.61</v>
      </c>
      <c r="BU54">
        <v>300.00000000000011</v>
      </c>
      <c r="BV54">
        <v>24.1</v>
      </c>
      <c r="BW54">
        <v>1123.4538920055811</v>
      </c>
      <c r="BX54">
        <v>2.6314765849313</v>
      </c>
      <c r="BY54">
        <v>-93.473863557599444</v>
      </c>
      <c r="BZ54">
        <v>2.393871556557599</v>
      </c>
      <c r="CA54">
        <v>0.98196666388256149</v>
      </c>
      <c r="CB54">
        <v>-6.9628754171301493E-3</v>
      </c>
      <c r="CC54">
        <v>289.99999999999989</v>
      </c>
      <c r="CD54">
        <v>1030.3</v>
      </c>
      <c r="CE54">
        <v>655</v>
      </c>
      <c r="CF54">
        <v>10195.299999999999</v>
      </c>
      <c r="CG54">
        <v>1031.77</v>
      </c>
      <c r="CH54">
        <v>-1.47</v>
      </c>
      <c r="CV54">
        <f t="shared" si="88"/>
        <v>1800.02</v>
      </c>
      <c r="CW54">
        <f t="shared" si="89"/>
        <v>1513.201199828922</v>
      </c>
      <c r="CX54">
        <f t="shared" si="90"/>
        <v>0.84065799259392782</v>
      </c>
      <c r="CY54">
        <f t="shared" si="91"/>
        <v>0.19131598518785561</v>
      </c>
      <c r="CZ54">
        <v>6</v>
      </c>
      <c r="DA54">
        <v>0.5</v>
      </c>
      <c r="DB54" t="s">
        <v>418</v>
      </c>
      <c r="DC54">
        <v>2</v>
      </c>
      <c r="DD54">
        <v>1674582313</v>
      </c>
      <c r="DE54">
        <v>432.07499999999999</v>
      </c>
      <c r="DF54">
        <v>500.04399999999998</v>
      </c>
      <c r="DG54">
        <v>24.795000000000002</v>
      </c>
      <c r="DH54">
        <v>18.807200000000002</v>
      </c>
      <c r="DI54">
        <v>433.19</v>
      </c>
      <c r="DJ54">
        <v>24.58</v>
      </c>
      <c r="DK54">
        <v>500.036</v>
      </c>
      <c r="DL54">
        <v>99.828599999999994</v>
      </c>
      <c r="DM54">
        <v>0.10000299999999999</v>
      </c>
      <c r="DN54">
        <v>27.999600000000001</v>
      </c>
      <c r="DO54">
        <v>27.523900000000001</v>
      </c>
      <c r="DP54">
        <v>999.9</v>
      </c>
      <c r="DQ54">
        <v>0</v>
      </c>
      <c r="DR54">
        <v>0</v>
      </c>
      <c r="DS54">
        <v>9987.5</v>
      </c>
      <c r="DT54">
        <v>0</v>
      </c>
      <c r="DU54">
        <v>589.23500000000001</v>
      </c>
      <c r="DV54">
        <v>-67.969300000000004</v>
      </c>
      <c r="DW54">
        <v>443.06099999999998</v>
      </c>
      <c r="DX54">
        <v>509.62900000000002</v>
      </c>
      <c r="DY54">
        <v>5.9878799999999996</v>
      </c>
      <c r="DZ54">
        <v>500.04399999999998</v>
      </c>
      <c r="EA54">
        <v>18.807200000000002</v>
      </c>
      <c r="EB54">
        <v>2.47525</v>
      </c>
      <c r="EC54">
        <v>1.8774900000000001</v>
      </c>
      <c r="ED54">
        <v>20.864699999999999</v>
      </c>
      <c r="EE54">
        <v>16.447399999999998</v>
      </c>
      <c r="EF54">
        <v>1800.02</v>
      </c>
      <c r="EG54">
        <v>0.97800600000000004</v>
      </c>
      <c r="EH54">
        <v>2.19945E-2</v>
      </c>
      <c r="EI54">
        <v>0</v>
      </c>
      <c r="EJ54">
        <v>740.79300000000001</v>
      </c>
      <c r="EK54">
        <v>5.0002599999999999</v>
      </c>
      <c r="EL54">
        <v>14153.9</v>
      </c>
      <c r="EM54">
        <v>17103.7</v>
      </c>
      <c r="EN54">
        <v>50.186999999999998</v>
      </c>
      <c r="EO54">
        <v>51.75</v>
      </c>
      <c r="EP54">
        <v>51.125</v>
      </c>
      <c r="EQ54">
        <v>50.936999999999998</v>
      </c>
      <c r="ER54">
        <v>51.25</v>
      </c>
      <c r="ES54">
        <v>1755.54</v>
      </c>
      <c r="ET54">
        <v>39.479999999999997</v>
      </c>
      <c r="EU54">
        <v>0</v>
      </c>
      <c r="EV54">
        <v>112.7999999523163</v>
      </c>
      <c r="EW54">
        <v>0</v>
      </c>
      <c r="EX54">
        <v>740.10228000000006</v>
      </c>
      <c r="EY54">
        <v>2.331538478993465</v>
      </c>
      <c r="EZ54">
        <v>94.000000024454067</v>
      </c>
      <c r="FA54">
        <v>14142.132</v>
      </c>
      <c r="FB54">
        <v>15</v>
      </c>
      <c r="FC54">
        <v>1674582280</v>
      </c>
      <c r="FD54" t="s">
        <v>614</v>
      </c>
      <c r="FE54">
        <v>1674582280</v>
      </c>
      <c r="FF54">
        <v>1674582271.5</v>
      </c>
      <c r="FG54">
        <v>43</v>
      </c>
      <c r="FH54">
        <v>-0.109</v>
      </c>
      <c r="FI54">
        <v>0</v>
      </c>
      <c r="FJ54">
        <v>-1.1379999999999999</v>
      </c>
      <c r="FK54">
        <v>6.5000000000000002E-2</v>
      </c>
      <c r="FL54">
        <v>500</v>
      </c>
      <c r="FM54">
        <v>19</v>
      </c>
      <c r="FN54">
        <v>0.04</v>
      </c>
      <c r="FO54">
        <v>0.02</v>
      </c>
      <c r="FP54">
        <v>54.422144495890038</v>
      </c>
      <c r="FQ54">
        <v>0.24463722395033211</v>
      </c>
      <c r="FR54">
        <v>7.4309629935576896E-2</v>
      </c>
      <c r="FS54">
        <v>1</v>
      </c>
      <c r="FT54">
        <v>0.43842019100701218</v>
      </c>
      <c r="FU54">
        <v>4.4879479998600258E-2</v>
      </c>
      <c r="FV54">
        <v>4.7727501065546263E-3</v>
      </c>
      <c r="FW54">
        <v>1</v>
      </c>
      <c r="FX54">
        <v>2</v>
      </c>
      <c r="FY54">
        <v>2</v>
      </c>
      <c r="FZ54" t="s">
        <v>420</v>
      </c>
      <c r="GA54">
        <v>2.9280300000000001</v>
      </c>
      <c r="GB54">
        <v>2.8068</v>
      </c>
      <c r="GC54">
        <v>0.10428</v>
      </c>
      <c r="GD54">
        <v>0.117518</v>
      </c>
      <c r="GE54">
        <v>0.114866</v>
      </c>
      <c r="GF54">
        <v>9.6091599999999999E-2</v>
      </c>
      <c r="GG54">
        <v>26642.7</v>
      </c>
      <c r="GH54">
        <v>26549.200000000001</v>
      </c>
      <c r="GI54">
        <v>28254.799999999999</v>
      </c>
      <c r="GJ54">
        <v>27111.8</v>
      </c>
      <c r="GK54">
        <v>35907.699999999997</v>
      </c>
      <c r="GL54">
        <v>32346.400000000001</v>
      </c>
      <c r="GM54">
        <v>42080.4</v>
      </c>
      <c r="GN54">
        <v>36769.199999999997</v>
      </c>
      <c r="GO54">
        <v>1.9134800000000001</v>
      </c>
      <c r="GP54">
        <v>1.8768199999999999</v>
      </c>
      <c r="GQ54">
        <v>5.3051899999999999E-2</v>
      </c>
      <c r="GR54">
        <v>0</v>
      </c>
      <c r="GS54">
        <v>26.656400000000001</v>
      </c>
      <c r="GT54">
        <v>999.9</v>
      </c>
      <c r="GU54">
        <v>48.3</v>
      </c>
      <c r="GV54">
        <v>36.200000000000003</v>
      </c>
      <c r="GW54">
        <v>29.197399999999998</v>
      </c>
      <c r="GX54">
        <v>62.557000000000002</v>
      </c>
      <c r="GY54">
        <v>27.3598</v>
      </c>
      <c r="GZ54">
        <v>1</v>
      </c>
      <c r="HA54">
        <v>0.42851600000000001</v>
      </c>
      <c r="HB54">
        <v>3.3572099999999998</v>
      </c>
      <c r="HC54">
        <v>20.311399999999999</v>
      </c>
      <c r="HD54">
        <v>5.2366099999999998</v>
      </c>
      <c r="HE54">
        <v>11.9381</v>
      </c>
      <c r="HF54">
        <v>4.97295</v>
      </c>
      <c r="HG54">
        <v>3.2982300000000002</v>
      </c>
      <c r="HH54">
        <v>9999</v>
      </c>
      <c r="HI54">
        <v>9999</v>
      </c>
      <c r="HJ54">
        <v>9999</v>
      </c>
      <c r="HK54">
        <v>999.9</v>
      </c>
      <c r="HL54">
        <v>1.8735900000000001</v>
      </c>
      <c r="HM54">
        <v>1.8812599999999999</v>
      </c>
      <c r="HN54">
        <v>1.8847400000000001</v>
      </c>
      <c r="HO54">
        <v>1.88141</v>
      </c>
      <c r="HP54">
        <v>1.8788100000000001</v>
      </c>
      <c r="HQ54">
        <v>1.8735200000000001</v>
      </c>
      <c r="HR54">
        <v>1.8763700000000001</v>
      </c>
      <c r="HS54">
        <v>1.8806400000000001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-1.115</v>
      </c>
      <c r="IH54">
        <v>0.215</v>
      </c>
      <c r="II54">
        <v>-1.229090437841754</v>
      </c>
      <c r="IJ54">
        <v>9.4905977090923709E-4</v>
      </c>
      <c r="IK54">
        <v>-1.9106666302146479E-6</v>
      </c>
      <c r="IL54">
        <v>7.5819610513223293E-10</v>
      </c>
      <c r="IM54">
        <v>-8.0820174035778208E-2</v>
      </c>
      <c r="IN54">
        <v>-1.0595840490420019E-2</v>
      </c>
      <c r="IO54">
        <v>1.2407080968752471E-3</v>
      </c>
      <c r="IP54">
        <v>-1.3015442653884381E-5</v>
      </c>
      <c r="IQ54">
        <v>33</v>
      </c>
      <c r="IR54">
        <v>2014</v>
      </c>
      <c r="IS54">
        <v>1</v>
      </c>
      <c r="IT54">
        <v>26</v>
      </c>
      <c r="IU54">
        <v>0.6</v>
      </c>
      <c r="IV54">
        <v>0.7</v>
      </c>
      <c r="IW54">
        <v>1.2097199999999999</v>
      </c>
      <c r="IX54">
        <v>2.5268600000000001</v>
      </c>
      <c r="IY54">
        <v>1.5991200000000001</v>
      </c>
      <c r="IZ54">
        <v>2.2973599999999998</v>
      </c>
      <c r="JA54">
        <v>1.5502899999999999</v>
      </c>
      <c r="JB54">
        <v>2.33521</v>
      </c>
      <c r="JC54">
        <v>39.994199999999999</v>
      </c>
      <c r="JD54">
        <v>24.052499999999998</v>
      </c>
      <c r="JE54">
        <v>18</v>
      </c>
      <c r="JF54">
        <v>479.98399999999998</v>
      </c>
      <c r="JG54">
        <v>489.80700000000002</v>
      </c>
      <c r="JH54">
        <v>22.383500000000002</v>
      </c>
      <c r="JI54">
        <v>32.558700000000002</v>
      </c>
      <c r="JJ54">
        <v>30.000399999999999</v>
      </c>
      <c r="JK54">
        <v>32.585700000000003</v>
      </c>
      <c r="JL54">
        <v>32.534999999999997</v>
      </c>
      <c r="JM54">
        <v>24.267299999999999</v>
      </c>
      <c r="JN54">
        <v>42.7104</v>
      </c>
      <c r="JO54">
        <v>0</v>
      </c>
      <c r="JP54">
        <v>22.384799999999998</v>
      </c>
      <c r="JQ54">
        <v>500</v>
      </c>
      <c r="JR54">
        <v>18.687899999999999</v>
      </c>
      <c r="JS54">
        <v>99.760599999999997</v>
      </c>
      <c r="JT54">
        <v>98.468800000000002</v>
      </c>
    </row>
    <row r="55" spans="1:280" x14ac:dyDescent="0.25">
      <c r="A55">
        <v>39</v>
      </c>
      <c r="B55">
        <v>1674582461.5</v>
      </c>
      <c r="C55">
        <v>7036.5</v>
      </c>
      <c r="D55" t="s">
        <v>615</v>
      </c>
      <c r="E55" t="s">
        <v>616</v>
      </c>
      <c r="F55" t="s">
        <v>412</v>
      </c>
      <c r="G55" t="s">
        <v>564</v>
      </c>
      <c r="H55" t="s">
        <v>565</v>
      </c>
      <c r="I55">
        <v>1674582461.5</v>
      </c>
      <c r="J55">
        <f t="shared" si="46"/>
        <v>4.4583330737619211E-3</v>
      </c>
      <c r="K55">
        <f t="shared" si="47"/>
        <v>4.4583330737619216</v>
      </c>
      <c r="L55">
        <f t="shared" si="48"/>
        <v>55.881329545945881</v>
      </c>
      <c r="M55">
        <f t="shared" si="49"/>
        <v>530.15300000000002</v>
      </c>
      <c r="N55">
        <f t="shared" si="50"/>
        <v>266.45374983337098</v>
      </c>
      <c r="O55">
        <f t="shared" si="51"/>
        <v>26.625759750734741</v>
      </c>
      <c r="P55">
        <f t="shared" si="52"/>
        <v>52.97627230976731</v>
      </c>
      <c r="Q55">
        <f t="shared" si="53"/>
        <v>0.37081622931421732</v>
      </c>
      <c r="R55">
        <f t="shared" si="54"/>
        <v>2.9277120340503369</v>
      </c>
      <c r="S55">
        <f t="shared" si="55"/>
        <v>0.34656039801511951</v>
      </c>
      <c r="T55">
        <f t="shared" si="56"/>
        <v>0.21864718469732081</v>
      </c>
      <c r="U55">
        <f t="shared" si="57"/>
        <v>344.36689965783813</v>
      </c>
      <c r="V55">
        <f t="shared" si="58"/>
        <v>28.875440312589959</v>
      </c>
      <c r="W55">
        <f t="shared" si="59"/>
        <v>27.6191</v>
      </c>
      <c r="X55">
        <f t="shared" si="60"/>
        <v>3.7113864484796117</v>
      </c>
      <c r="Y55">
        <f t="shared" si="61"/>
        <v>64.956893468806214</v>
      </c>
      <c r="Z55">
        <f t="shared" si="62"/>
        <v>2.4656135791986298</v>
      </c>
      <c r="AA55">
        <f t="shared" si="63"/>
        <v>3.7957689284858951</v>
      </c>
      <c r="AB55">
        <f t="shared" si="64"/>
        <v>1.245772869280982</v>
      </c>
      <c r="AC55">
        <f t="shared" si="65"/>
        <v>-196.61248855290071</v>
      </c>
      <c r="AD55">
        <f t="shared" si="66"/>
        <v>60.783726185311068</v>
      </c>
      <c r="AE55">
        <f t="shared" si="67"/>
        <v>4.5170438156203634</v>
      </c>
      <c r="AF55">
        <f t="shared" si="68"/>
        <v>213.05518110586883</v>
      </c>
      <c r="AG55">
        <v>0</v>
      </c>
      <c r="AH55">
        <v>0</v>
      </c>
      <c r="AI55">
        <f t="shared" si="69"/>
        <v>1</v>
      </c>
      <c r="AJ55">
        <f t="shared" si="70"/>
        <v>0</v>
      </c>
      <c r="AK55">
        <f t="shared" si="71"/>
        <v>52644.089052603646</v>
      </c>
      <c r="AL55" t="s">
        <v>415</v>
      </c>
      <c r="AM55">
        <v>10297.6</v>
      </c>
      <c r="AN55">
        <v>785.57400000000007</v>
      </c>
      <c r="AO55">
        <v>3597.65</v>
      </c>
      <c r="AP55">
        <f t="shared" si="72"/>
        <v>0.7816424610509638</v>
      </c>
      <c r="AQ55">
        <v>-0.62398835798131469</v>
      </c>
      <c r="AR55" t="s">
        <v>617</v>
      </c>
      <c r="AS55">
        <v>10210.5</v>
      </c>
      <c r="AT55">
        <v>743.90927999999997</v>
      </c>
      <c r="AU55">
        <v>1145.2258542495331</v>
      </c>
      <c r="AV55">
        <f t="shared" si="73"/>
        <v>0.3504257022843027</v>
      </c>
      <c r="AW55">
        <v>0.5</v>
      </c>
      <c r="AX55">
        <f t="shared" si="74"/>
        <v>1513.175999828919</v>
      </c>
      <c r="AY55">
        <f t="shared" si="75"/>
        <v>55.881329545945881</v>
      </c>
      <c r="AZ55">
        <f t="shared" si="76"/>
        <v>265.12788120990041</v>
      </c>
      <c r="BA55">
        <f t="shared" si="77"/>
        <v>3.7342198072343034E-2</v>
      </c>
      <c r="BB55">
        <f t="shared" si="78"/>
        <v>2.1414327459080473</v>
      </c>
      <c r="BC55">
        <f t="shared" si="79"/>
        <v>535.27874012227574</v>
      </c>
      <c r="BD55" t="s">
        <v>618</v>
      </c>
      <c r="BE55">
        <v>564.37</v>
      </c>
      <c r="BF55">
        <f t="shared" si="80"/>
        <v>564.37</v>
      </c>
      <c r="BG55">
        <f t="shared" si="81"/>
        <v>0.50719764323707839</v>
      </c>
      <c r="BH55">
        <f t="shared" si="82"/>
        <v>0.69090562023866475</v>
      </c>
      <c r="BI55">
        <f t="shared" si="83"/>
        <v>0.80850569210572931</v>
      </c>
      <c r="BJ55">
        <f t="shared" si="84"/>
        <v>1.1158473660227326</v>
      </c>
      <c r="BK55">
        <f t="shared" si="85"/>
        <v>0.87210450419919905</v>
      </c>
      <c r="BL55">
        <f t="shared" si="86"/>
        <v>0.52415854375965742</v>
      </c>
      <c r="BM55">
        <f t="shared" si="87"/>
        <v>0.47584145624034258</v>
      </c>
      <c r="BN55">
        <v>77</v>
      </c>
      <c r="BO55">
        <v>290.00000000000011</v>
      </c>
      <c r="BP55">
        <v>1047.19</v>
      </c>
      <c r="BQ55">
        <v>295</v>
      </c>
      <c r="BR55">
        <v>10210.5</v>
      </c>
      <c r="BS55">
        <v>1047.8399999999999</v>
      </c>
      <c r="BT55">
        <v>-0.65</v>
      </c>
      <c r="BU55">
        <v>300.00000000000011</v>
      </c>
      <c r="BV55">
        <v>24.1</v>
      </c>
      <c r="BW55">
        <v>1145.2258542495331</v>
      </c>
      <c r="BX55">
        <v>2.298113511748316</v>
      </c>
      <c r="BY55">
        <v>-99.432640023726535</v>
      </c>
      <c r="BZ55">
        <v>2.090532445495108</v>
      </c>
      <c r="CA55">
        <v>0.98777435831666749</v>
      </c>
      <c r="CB55">
        <v>-6.9626907675194747E-3</v>
      </c>
      <c r="CC55">
        <v>289.99999999999989</v>
      </c>
      <c r="CD55">
        <v>1046.52</v>
      </c>
      <c r="CE55">
        <v>665</v>
      </c>
      <c r="CF55">
        <v>10194.200000000001</v>
      </c>
      <c r="CG55">
        <v>1047.69</v>
      </c>
      <c r="CH55">
        <v>-1.17</v>
      </c>
      <c r="CV55">
        <f t="shared" si="88"/>
        <v>1799.99</v>
      </c>
      <c r="CW55">
        <f t="shared" si="89"/>
        <v>1513.175999828919</v>
      </c>
      <c r="CX55">
        <f t="shared" si="90"/>
        <v>0.84065800356053033</v>
      </c>
      <c r="CY55">
        <f t="shared" si="91"/>
        <v>0.19131600712106075</v>
      </c>
      <c r="CZ55">
        <v>6</v>
      </c>
      <c r="DA55">
        <v>0.5</v>
      </c>
      <c r="DB55" t="s">
        <v>418</v>
      </c>
      <c r="DC55">
        <v>2</v>
      </c>
      <c r="DD55">
        <v>1674582461.5</v>
      </c>
      <c r="DE55">
        <v>530.15300000000002</v>
      </c>
      <c r="DF55">
        <v>600.04300000000001</v>
      </c>
      <c r="DG55">
        <v>24.674299999999999</v>
      </c>
      <c r="DH55">
        <v>19.456600000000002</v>
      </c>
      <c r="DI55">
        <v>531.37699999999995</v>
      </c>
      <c r="DJ55">
        <v>24.4617</v>
      </c>
      <c r="DK55">
        <v>500.02800000000002</v>
      </c>
      <c r="DL55">
        <v>99.826400000000007</v>
      </c>
      <c r="DM55">
        <v>9.9984100000000006E-2</v>
      </c>
      <c r="DN55">
        <v>28.004200000000001</v>
      </c>
      <c r="DO55">
        <v>27.6191</v>
      </c>
      <c r="DP55">
        <v>999.9</v>
      </c>
      <c r="DQ55">
        <v>0</v>
      </c>
      <c r="DR55">
        <v>0</v>
      </c>
      <c r="DS55">
        <v>10006.9</v>
      </c>
      <c r="DT55">
        <v>0</v>
      </c>
      <c r="DU55">
        <v>603.20299999999997</v>
      </c>
      <c r="DV55">
        <v>-69.889799999999994</v>
      </c>
      <c r="DW55">
        <v>543.56500000000005</v>
      </c>
      <c r="DX55">
        <v>611.94899999999996</v>
      </c>
      <c r="DY55">
        <v>5.21767</v>
      </c>
      <c r="DZ55">
        <v>600.04300000000001</v>
      </c>
      <c r="EA55">
        <v>19.456600000000002</v>
      </c>
      <c r="EB55">
        <v>2.4631500000000002</v>
      </c>
      <c r="EC55">
        <v>1.9422900000000001</v>
      </c>
      <c r="ED55">
        <v>20.785</v>
      </c>
      <c r="EE55">
        <v>16.9815</v>
      </c>
      <c r="EF55">
        <v>1799.99</v>
      </c>
      <c r="EG55">
        <v>0.97800600000000004</v>
      </c>
      <c r="EH55">
        <v>2.19945E-2</v>
      </c>
      <c r="EI55">
        <v>0</v>
      </c>
      <c r="EJ55">
        <v>743.904</v>
      </c>
      <c r="EK55">
        <v>5.0002599999999999</v>
      </c>
      <c r="EL55">
        <v>14256</v>
      </c>
      <c r="EM55">
        <v>17103.3</v>
      </c>
      <c r="EN55">
        <v>50.25</v>
      </c>
      <c r="EO55">
        <v>51.811999999999998</v>
      </c>
      <c r="EP55">
        <v>51.311999999999998</v>
      </c>
      <c r="EQ55">
        <v>51</v>
      </c>
      <c r="ER55">
        <v>51.5</v>
      </c>
      <c r="ES55">
        <v>1755.51</v>
      </c>
      <c r="ET55">
        <v>39.479999999999997</v>
      </c>
      <c r="EU55">
        <v>0</v>
      </c>
      <c r="EV55">
        <v>146.39999985694891</v>
      </c>
      <c r="EW55">
        <v>0</v>
      </c>
      <c r="EX55">
        <v>743.90927999999997</v>
      </c>
      <c r="EY55">
        <v>0.30138461557320112</v>
      </c>
      <c r="EZ55">
        <v>35.89230767487134</v>
      </c>
      <c r="FA55">
        <v>14251.352000000001</v>
      </c>
      <c r="FB55">
        <v>15</v>
      </c>
      <c r="FC55">
        <v>1674582422.5</v>
      </c>
      <c r="FD55" t="s">
        <v>619</v>
      </c>
      <c r="FE55">
        <v>1674582416.5</v>
      </c>
      <c r="FF55">
        <v>1674582422.5</v>
      </c>
      <c r="FG55">
        <v>44</v>
      </c>
      <c r="FH55">
        <v>-7.2999999999999995E-2</v>
      </c>
      <c r="FI55">
        <v>1E-3</v>
      </c>
      <c r="FJ55">
        <v>-1.2569999999999999</v>
      </c>
      <c r="FK55">
        <v>7.5999999999999998E-2</v>
      </c>
      <c r="FL55">
        <v>600</v>
      </c>
      <c r="FM55">
        <v>19</v>
      </c>
      <c r="FN55">
        <v>0.03</v>
      </c>
      <c r="FO55">
        <v>0.02</v>
      </c>
      <c r="FP55">
        <v>55.892354088196157</v>
      </c>
      <c r="FQ55">
        <v>-0.61672495344319611</v>
      </c>
      <c r="FR55">
        <v>7.8459694935563637E-2</v>
      </c>
      <c r="FS55">
        <v>1</v>
      </c>
      <c r="FT55">
        <v>0.37555380253346721</v>
      </c>
      <c r="FU55">
        <v>4.8058560703416976E-3</v>
      </c>
      <c r="FV55">
        <v>2.1538735319815501E-3</v>
      </c>
      <c r="FW55">
        <v>1</v>
      </c>
      <c r="FX55">
        <v>2</v>
      </c>
      <c r="FY55">
        <v>2</v>
      </c>
      <c r="FZ55" t="s">
        <v>420</v>
      </c>
      <c r="GA55">
        <v>2.9278900000000001</v>
      </c>
      <c r="GB55">
        <v>2.8069500000000001</v>
      </c>
      <c r="GC55">
        <v>0.121335</v>
      </c>
      <c r="GD55">
        <v>0.13397999999999999</v>
      </c>
      <c r="GE55">
        <v>0.114455</v>
      </c>
      <c r="GF55">
        <v>9.8414100000000004E-2</v>
      </c>
      <c r="GG55">
        <v>26129.4</v>
      </c>
      <c r="GH55">
        <v>26048.9</v>
      </c>
      <c r="GI55">
        <v>28249.599999999999</v>
      </c>
      <c r="GJ55">
        <v>27107.5</v>
      </c>
      <c r="GK55">
        <v>35918.300000000003</v>
      </c>
      <c r="GL55">
        <v>32258.799999999999</v>
      </c>
      <c r="GM55">
        <v>42072.9</v>
      </c>
      <c r="GN55">
        <v>36763.9</v>
      </c>
      <c r="GO55">
        <v>1.9125799999999999</v>
      </c>
      <c r="GP55">
        <v>1.8771</v>
      </c>
      <c r="GQ55">
        <v>6.0945699999999998E-2</v>
      </c>
      <c r="GR55">
        <v>0</v>
      </c>
      <c r="GS55">
        <v>26.622599999999998</v>
      </c>
      <c r="GT55">
        <v>999.9</v>
      </c>
      <c r="GU55">
        <v>48.4</v>
      </c>
      <c r="GV55">
        <v>36.299999999999997</v>
      </c>
      <c r="GW55">
        <v>29.418600000000001</v>
      </c>
      <c r="GX55">
        <v>62.487000000000002</v>
      </c>
      <c r="GY55">
        <v>27.087299999999999</v>
      </c>
      <c r="GZ55">
        <v>1</v>
      </c>
      <c r="HA55">
        <v>0.43488300000000002</v>
      </c>
      <c r="HB55">
        <v>3.3944899999999998</v>
      </c>
      <c r="HC55">
        <v>20.311199999999999</v>
      </c>
      <c r="HD55">
        <v>5.2381099999999998</v>
      </c>
      <c r="HE55">
        <v>11.9381</v>
      </c>
      <c r="HF55">
        <v>4.9734999999999996</v>
      </c>
      <c r="HG55">
        <v>3.2989999999999999</v>
      </c>
      <c r="HH55">
        <v>9999</v>
      </c>
      <c r="HI55">
        <v>9999</v>
      </c>
      <c r="HJ55">
        <v>9999</v>
      </c>
      <c r="HK55">
        <v>999.9</v>
      </c>
      <c r="HL55">
        <v>1.87357</v>
      </c>
      <c r="HM55">
        <v>1.8812599999999999</v>
      </c>
      <c r="HN55">
        <v>1.88473</v>
      </c>
      <c r="HO55">
        <v>1.88141</v>
      </c>
      <c r="HP55">
        <v>1.8788100000000001</v>
      </c>
      <c r="HQ55">
        <v>1.8734900000000001</v>
      </c>
      <c r="HR55">
        <v>1.8763700000000001</v>
      </c>
      <c r="HS55">
        <v>1.88062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-1.224</v>
      </c>
      <c r="IH55">
        <v>0.21260000000000001</v>
      </c>
      <c r="II55">
        <v>-1.3021284849165611</v>
      </c>
      <c r="IJ55">
        <v>9.4905977090923709E-4</v>
      </c>
      <c r="IK55">
        <v>-1.9106666302146479E-6</v>
      </c>
      <c r="IL55">
        <v>7.5819610513223293E-10</v>
      </c>
      <c r="IM55">
        <v>-8.0079224854400111E-2</v>
      </c>
      <c r="IN55">
        <v>-1.0595840490420019E-2</v>
      </c>
      <c r="IO55">
        <v>1.2407080968752471E-3</v>
      </c>
      <c r="IP55">
        <v>-1.3015442653884381E-5</v>
      </c>
      <c r="IQ55">
        <v>33</v>
      </c>
      <c r="IR55">
        <v>2014</v>
      </c>
      <c r="IS55">
        <v>1</v>
      </c>
      <c r="IT55">
        <v>26</v>
      </c>
      <c r="IU55">
        <v>0.8</v>
      </c>
      <c r="IV55">
        <v>0.7</v>
      </c>
      <c r="IW55">
        <v>1.40381</v>
      </c>
      <c r="IX55">
        <v>2.5293000000000001</v>
      </c>
      <c r="IY55">
        <v>1.5991200000000001</v>
      </c>
      <c r="IZ55">
        <v>2.2973599999999998</v>
      </c>
      <c r="JA55">
        <v>1.5502899999999999</v>
      </c>
      <c r="JB55">
        <v>2.3059099999999999</v>
      </c>
      <c r="JC55">
        <v>40.019399999999997</v>
      </c>
      <c r="JD55">
        <v>24.052499999999998</v>
      </c>
      <c r="JE55">
        <v>18</v>
      </c>
      <c r="JF55">
        <v>480.04199999999997</v>
      </c>
      <c r="JG55">
        <v>490.69099999999997</v>
      </c>
      <c r="JH55">
        <v>22.3675</v>
      </c>
      <c r="JI55">
        <v>32.631399999999999</v>
      </c>
      <c r="JJ55">
        <v>30.000399999999999</v>
      </c>
      <c r="JK55">
        <v>32.667400000000001</v>
      </c>
      <c r="JL55">
        <v>32.620699999999999</v>
      </c>
      <c r="JM55">
        <v>28.143000000000001</v>
      </c>
      <c r="JN55">
        <v>39.864699999999999</v>
      </c>
      <c r="JO55">
        <v>0</v>
      </c>
      <c r="JP55">
        <v>22.3626</v>
      </c>
      <c r="JQ55">
        <v>600</v>
      </c>
      <c r="JR55">
        <v>19.473299999999998</v>
      </c>
      <c r="JS55">
        <v>99.742500000000007</v>
      </c>
      <c r="JT55">
        <v>98.453900000000004</v>
      </c>
    </row>
    <row r="56" spans="1:280" x14ac:dyDescent="0.25">
      <c r="A56">
        <v>40</v>
      </c>
      <c r="B56">
        <v>1674582567.5</v>
      </c>
      <c r="C56">
        <v>7142.5</v>
      </c>
      <c r="D56" t="s">
        <v>620</v>
      </c>
      <c r="E56" t="s">
        <v>621</v>
      </c>
      <c r="F56" t="s">
        <v>412</v>
      </c>
      <c r="G56" t="s">
        <v>564</v>
      </c>
      <c r="H56" t="s">
        <v>565</v>
      </c>
      <c r="I56">
        <v>1674582567.5</v>
      </c>
      <c r="J56">
        <f t="shared" si="46"/>
        <v>4.0234203764230756E-3</v>
      </c>
      <c r="K56">
        <f t="shared" si="47"/>
        <v>4.0234203764230756</v>
      </c>
      <c r="L56">
        <f t="shared" si="48"/>
        <v>57.019910301263735</v>
      </c>
      <c r="M56">
        <f t="shared" si="49"/>
        <v>728.05399999999997</v>
      </c>
      <c r="N56">
        <f t="shared" si="50"/>
        <v>427.54974489472988</v>
      </c>
      <c r="O56">
        <f t="shared" si="51"/>
        <v>42.721940713533193</v>
      </c>
      <c r="P56">
        <f t="shared" si="52"/>
        <v>72.749148363798014</v>
      </c>
      <c r="Q56">
        <f t="shared" si="53"/>
        <v>0.33300052490872217</v>
      </c>
      <c r="R56">
        <f t="shared" si="54"/>
        <v>2.9274156983391975</v>
      </c>
      <c r="S56">
        <f t="shared" si="55"/>
        <v>0.31329677393917932</v>
      </c>
      <c r="T56">
        <f t="shared" si="56"/>
        <v>0.19748356011669366</v>
      </c>
      <c r="U56">
        <f t="shared" si="57"/>
        <v>344.35359965782487</v>
      </c>
      <c r="V56">
        <f t="shared" si="58"/>
        <v>28.985950025626146</v>
      </c>
      <c r="W56">
        <f t="shared" si="59"/>
        <v>27.624400000000001</v>
      </c>
      <c r="X56">
        <f t="shared" si="60"/>
        <v>3.7125365724368891</v>
      </c>
      <c r="Y56">
        <f t="shared" si="61"/>
        <v>65.05599252044405</v>
      </c>
      <c r="Z56">
        <f t="shared" si="62"/>
        <v>2.4690009008067006</v>
      </c>
      <c r="AA56">
        <f t="shared" si="63"/>
        <v>3.795193655727886</v>
      </c>
      <c r="AB56">
        <f t="shared" si="64"/>
        <v>1.2435356716301884</v>
      </c>
      <c r="AC56">
        <f t="shared" si="65"/>
        <v>-177.43283860025764</v>
      </c>
      <c r="AD56">
        <f t="shared" si="66"/>
        <v>59.530773410606812</v>
      </c>
      <c r="AE56">
        <f t="shared" si="67"/>
        <v>4.4244399860489638</v>
      </c>
      <c r="AF56">
        <f t="shared" si="68"/>
        <v>230.87597445422301</v>
      </c>
      <c r="AG56">
        <v>0</v>
      </c>
      <c r="AH56">
        <v>0</v>
      </c>
      <c r="AI56">
        <f t="shared" si="69"/>
        <v>1</v>
      </c>
      <c r="AJ56">
        <f t="shared" si="70"/>
        <v>0</v>
      </c>
      <c r="AK56">
        <f t="shared" si="71"/>
        <v>52635.928802796778</v>
      </c>
      <c r="AL56" t="s">
        <v>415</v>
      </c>
      <c r="AM56">
        <v>10297.6</v>
      </c>
      <c r="AN56">
        <v>785.57400000000007</v>
      </c>
      <c r="AO56">
        <v>3597.65</v>
      </c>
      <c r="AP56">
        <f t="shared" si="72"/>
        <v>0.7816424610509638</v>
      </c>
      <c r="AQ56">
        <v>-0.62398835798131469</v>
      </c>
      <c r="AR56" t="s">
        <v>622</v>
      </c>
      <c r="AS56">
        <v>10216.299999999999</v>
      </c>
      <c r="AT56">
        <v>746.96226923076927</v>
      </c>
      <c r="AU56">
        <v>1161.2722104050119</v>
      </c>
      <c r="AV56">
        <f t="shared" si="73"/>
        <v>0.35677245822471337</v>
      </c>
      <c r="AW56">
        <v>0.5</v>
      </c>
      <c r="AX56">
        <f t="shared" si="74"/>
        <v>1513.1171998289124</v>
      </c>
      <c r="AY56">
        <f t="shared" si="75"/>
        <v>57.019910301263735</v>
      </c>
      <c r="AZ56">
        <f t="shared" si="76"/>
        <v>269.91927148252796</v>
      </c>
      <c r="BA56">
        <f t="shared" si="77"/>
        <v>3.8096122802491986E-2</v>
      </c>
      <c r="BB56">
        <f t="shared" si="78"/>
        <v>2.0980247075276717</v>
      </c>
      <c r="BC56">
        <f t="shared" si="79"/>
        <v>538.75830729102256</v>
      </c>
      <c r="BD56" t="s">
        <v>623</v>
      </c>
      <c r="BE56">
        <v>565.83000000000004</v>
      </c>
      <c r="BF56">
        <f t="shared" si="80"/>
        <v>565.83000000000004</v>
      </c>
      <c r="BG56">
        <f t="shared" si="81"/>
        <v>0.51274990055720182</v>
      </c>
      <c r="BH56">
        <f t="shared" si="82"/>
        <v>0.69580210125250364</v>
      </c>
      <c r="BI56">
        <f t="shared" si="83"/>
        <v>0.80360238721130794</v>
      </c>
      <c r="BJ56">
        <f t="shared" si="84"/>
        <v>1.1027732624214697</v>
      </c>
      <c r="BK56">
        <f t="shared" si="85"/>
        <v>0.8663982728756221</v>
      </c>
      <c r="BL56">
        <f t="shared" si="86"/>
        <v>0.52707575625894332</v>
      </c>
      <c r="BM56">
        <f t="shared" si="87"/>
        <v>0.47292424374105668</v>
      </c>
      <c r="BN56">
        <v>79</v>
      </c>
      <c r="BO56">
        <v>290.00000000000011</v>
      </c>
      <c r="BP56">
        <v>1060.19</v>
      </c>
      <c r="BQ56">
        <v>235</v>
      </c>
      <c r="BR56">
        <v>10216.299999999999</v>
      </c>
      <c r="BS56">
        <v>1061.3499999999999</v>
      </c>
      <c r="BT56">
        <v>-1.1599999999999999</v>
      </c>
      <c r="BU56">
        <v>300.00000000000011</v>
      </c>
      <c r="BV56">
        <v>24.1</v>
      </c>
      <c r="BW56">
        <v>1161.2722104050119</v>
      </c>
      <c r="BX56">
        <v>2.4073736826074961</v>
      </c>
      <c r="BY56">
        <v>-102.079545029012</v>
      </c>
      <c r="BZ56">
        <v>2.1898592040630489</v>
      </c>
      <c r="CA56">
        <v>0.98727808577441101</v>
      </c>
      <c r="CB56">
        <v>-6.9625094549499531E-3</v>
      </c>
      <c r="CC56">
        <v>289.99999999999989</v>
      </c>
      <c r="CD56">
        <v>1059.31</v>
      </c>
      <c r="CE56">
        <v>705</v>
      </c>
      <c r="CF56">
        <v>10191.4</v>
      </c>
      <c r="CG56">
        <v>1061.1099999999999</v>
      </c>
      <c r="CH56">
        <v>-1.8</v>
      </c>
      <c r="CV56">
        <f t="shared" si="88"/>
        <v>1799.92</v>
      </c>
      <c r="CW56">
        <f t="shared" si="89"/>
        <v>1513.1171998289124</v>
      </c>
      <c r="CX56">
        <f t="shared" si="90"/>
        <v>0.84065802915069132</v>
      </c>
      <c r="CY56">
        <f t="shared" si="91"/>
        <v>0.19131605830138276</v>
      </c>
      <c r="CZ56">
        <v>6</v>
      </c>
      <c r="DA56">
        <v>0.5</v>
      </c>
      <c r="DB56" t="s">
        <v>418</v>
      </c>
      <c r="DC56">
        <v>2</v>
      </c>
      <c r="DD56">
        <v>1674582567.5</v>
      </c>
      <c r="DE56">
        <v>728.05399999999997</v>
      </c>
      <c r="DF56">
        <v>799.97</v>
      </c>
      <c r="DG56">
        <v>24.709099999999999</v>
      </c>
      <c r="DH56">
        <v>20.001799999999999</v>
      </c>
      <c r="DI56">
        <v>729.53700000000003</v>
      </c>
      <c r="DJ56">
        <v>24.5002</v>
      </c>
      <c r="DK56">
        <v>500.16</v>
      </c>
      <c r="DL56">
        <v>99.822500000000005</v>
      </c>
      <c r="DM56">
        <v>0.10023700000000001</v>
      </c>
      <c r="DN56">
        <v>28.0016</v>
      </c>
      <c r="DO56">
        <v>27.624400000000001</v>
      </c>
      <c r="DP56">
        <v>999.9</v>
      </c>
      <c r="DQ56">
        <v>0</v>
      </c>
      <c r="DR56">
        <v>0</v>
      </c>
      <c r="DS56">
        <v>10005.6</v>
      </c>
      <c r="DT56">
        <v>0</v>
      </c>
      <c r="DU56">
        <v>606.04399999999998</v>
      </c>
      <c r="DV56">
        <v>-71.916200000000003</v>
      </c>
      <c r="DW56">
        <v>746.5</v>
      </c>
      <c r="DX56">
        <v>816.298</v>
      </c>
      <c r="DY56">
        <v>4.7072200000000004</v>
      </c>
      <c r="DZ56">
        <v>799.97</v>
      </c>
      <c r="EA56">
        <v>20.001799999999999</v>
      </c>
      <c r="EB56">
        <v>2.46652</v>
      </c>
      <c r="EC56">
        <v>1.9966299999999999</v>
      </c>
      <c r="ED56">
        <v>20.807200000000002</v>
      </c>
      <c r="EE56">
        <v>17.4177</v>
      </c>
      <c r="EF56">
        <v>1799.92</v>
      </c>
      <c r="EG56">
        <v>0.97800600000000004</v>
      </c>
      <c r="EH56">
        <v>2.19945E-2</v>
      </c>
      <c r="EI56">
        <v>0</v>
      </c>
      <c r="EJ56">
        <v>747.14499999999998</v>
      </c>
      <c r="EK56">
        <v>5.0002599999999999</v>
      </c>
      <c r="EL56">
        <v>14363.9</v>
      </c>
      <c r="EM56">
        <v>17102.7</v>
      </c>
      <c r="EN56">
        <v>50.25</v>
      </c>
      <c r="EO56">
        <v>51.875</v>
      </c>
      <c r="EP56">
        <v>51.311999999999998</v>
      </c>
      <c r="EQ56">
        <v>51</v>
      </c>
      <c r="ER56">
        <v>51.375</v>
      </c>
      <c r="ES56">
        <v>1755.44</v>
      </c>
      <c r="ET56">
        <v>39.479999999999997</v>
      </c>
      <c r="EU56">
        <v>0</v>
      </c>
      <c r="EV56">
        <v>104</v>
      </c>
      <c r="EW56">
        <v>0</v>
      </c>
      <c r="EX56">
        <v>746.96226923076927</v>
      </c>
      <c r="EY56">
        <v>0.39764102426883702</v>
      </c>
      <c r="EZ56">
        <v>46.471794854088543</v>
      </c>
      <c r="FA56">
        <v>14359.98076923077</v>
      </c>
      <c r="FB56">
        <v>15</v>
      </c>
      <c r="FC56">
        <v>1674582531</v>
      </c>
      <c r="FD56" t="s">
        <v>624</v>
      </c>
      <c r="FE56">
        <v>1674582531</v>
      </c>
      <c r="FF56">
        <v>1674582531</v>
      </c>
      <c r="FG56">
        <v>45</v>
      </c>
      <c r="FH56">
        <v>-0.15</v>
      </c>
      <c r="FI56">
        <v>-5.0000000000000001E-3</v>
      </c>
      <c r="FJ56">
        <v>-1.5289999999999999</v>
      </c>
      <c r="FK56">
        <v>8.5000000000000006E-2</v>
      </c>
      <c r="FL56">
        <v>800</v>
      </c>
      <c r="FM56">
        <v>20</v>
      </c>
      <c r="FN56">
        <v>0.06</v>
      </c>
      <c r="FO56">
        <v>0.02</v>
      </c>
      <c r="FP56">
        <v>57.098755766713303</v>
      </c>
      <c r="FQ56">
        <v>-0.35433990333957333</v>
      </c>
      <c r="FR56">
        <v>5.8911957125872397E-2</v>
      </c>
      <c r="FS56">
        <v>1</v>
      </c>
      <c r="FT56">
        <v>0.33526876484332879</v>
      </c>
      <c r="FU56">
        <v>1.1422185658280799E-2</v>
      </c>
      <c r="FV56">
        <v>2.1328626613383111E-3</v>
      </c>
      <c r="FW56">
        <v>1</v>
      </c>
      <c r="FX56">
        <v>2</v>
      </c>
      <c r="FY56">
        <v>2</v>
      </c>
      <c r="FZ56" t="s">
        <v>420</v>
      </c>
      <c r="GA56">
        <v>2.92815</v>
      </c>
      <c r="GB56">
        <v>2.8071899999999999</v>
      </c>
      <c r="GC56">
        <v>0.151588</v>
      </c>
      <c r="GD56">
        <v>0.163242</v>
      </c>
      <c r="GE56">
        <v>0.114565</v>
      </c>
      <c r="GF56">
        <v>0.100343</v>
      </c>
      <c r="GG56">
        <v>25226.3</v>
      </c>
      <c r="GH56">
        <v>25166.2</v>
      </c>
      <c r="GI56">
        <v>28247.5</v>
      </c>
      <c r="GJ56">
        <v>27106.400000000001</v>
      </c>
      <c r="GK56">
        <v>35911.699999999997</v>
      </c>
      <c r="GL56">
        <v>32188.7</v>
      </c>
      <c r="GM56">
        <v>42070.1</v>
      </c>
      <c r="GN56">
        <v>36762.5</v>
      </c>
      <c r="GO56">
        <v>1.9118200000000001</v>
      </c>
      <c r="GP56">
        <v>1.8777699999999999</v>
      </c>
      <c r="GQ56">
        <v>6.3329899999999995E-2</v>
      </c>
      <c r="GR56">
        <v>0</v>
      </c>
      <c r="GS56">
        <v>26.588899999999999</v>
      </c>
      <c r="GT56">
        <v>999.9</v>
      </c>
      <c r="GU56">
        <v>48.4</v>
      </c>
      <c r="GV56">
        <v>36.299999999999997</v>
      </c>
      <c r="GW56">
        <v>29.4221</v>
      </c>
      <c r="GX56">
        <v>62.387</v>
      </c>
      <c r="GY56">
        <v>26.955100000000002</v>
      </c>
      <c r="GZ56">
        <v>1</v>
      </c>
      <c r="HA56">
        <v>0.43796200000000002</v>
      </c>
      <c r="HB56">
        <v>3.3498600000000001</v>
      </c>
      <c r="HC56">
        <v>20.311599999999999</v>
      </c>
      <c r="HD56">
        <v>5.2389999999999999</v>
      </c>
      <c r="HE56">
        <v>11.9381</v>
      </c>
      <c r="HF56">
        <v>4.9734999999999996</v>
      </c>
      <c r="HG56">
        <v>3.2989999999999999</v>
      </c>
      <c r="HH56">
        <v>9999</v>
      </c>
      <c r="HI56">
        <v>9999</v>
      </c>
      <c r="HJ56">
        <v>9999</v>
      </c>
      <c r="HK56">
        <v>999.9</v>
      </c>
      <c r="HL56">
        <v>1.87355</v>
      </c>
      <c r="HM56">
        <v>1.8812599999999999</v>
      </c>
      <c r="HN56">
        <v>1.8846799999999999</v>
      </c>
      <c r="HO56">
        <v>1.88141</v>
      </c>
      <c r="HP56">
        <v>1.8788100000000001</v>
      </c>
      <c r="HQ56">
        <v>1.87351</v>
      </c>
      <c r="HR56">
        <v>1.8763700000000001</v>
      </c>
      <c r="HS56">
        <v>1.88063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-1.4830000000000001</v>
      </c>
      <c r="IH56">
        <v>0.2089</v>
      </c>
      <c r="II56">
        <v>-1.4526617683747149</v>
      </c>
      <c r="IJ56">
        <v>9.4905977090923709E-4</v>
      </c>
      <c r="IK56">
        <v>-1.9106666302146479E-6</v>
      </c>
      <c r="IL56">
        <v>7.5819610513223293E-10</v>
      </c>
      <c r="IM56">
        <v>-8.4930271613304353E-2</v>
      </c>
      <c r="IN56">
        <v>-1.0595840490420019E-2</v>
      </c>
      <c r="IO56">
        <v>1.2407080968752471E-3</v>
      </c>
      <c r="IP56">
        <v>-1.3015442653884381E-5</v>
      </c>
      <c r="IQ56">
        <v>33</v>
      </c>
      <c r="IR56">
        <v>2014</v>
      </c>
      <c r="IS56">
        <v>1</v>
      </c>
      <c r="IT56">
        <v>26</v>
      </c>
      <c r="IU56">
        <v>0.6</v>
      </c>
      <c r="IV56">
        <v>0.6</v>
      </c>
      <c r="IW56">
        <v>1.7761199999999999</v>
      </c>
      <c r="IX56">
        <v>2.51831</v>
      </c>
      <c r="IY56">
        <v>1.5991200000000001</v>
      </c>
      <c r="IZ56">
        <v>2.2973599999999998</v>
      </c>
      <c r="JA56">
        <v>1.5502899999999999</v>
      </c>
      <c r="JB56">
        <v>2.3303199999999999</v>
      </c>
      <c r="JC56">
        <v>40.019399999999997</v>
      </c>
      <c r="JD56">
        <v>24.052499999999998</v>
      </c>
      <c r="JE56">
        <v>18</v>
      </c>
      <c r="JF56">
        <v>479.911</v>
      </c>
      <c r="JG56">
        <v>491.548</v>
      </c>
      <c r="JH56">
        <v>22.369800000000001</v>
      </c>
      <c r="JI56">
        <v>32.666899999999998</v>
      </c>
      <c r="JJ56">
        <v>30.0001</v>
      </c>
      <c r="JK56">
        <v>32.712000000000003</v>
      </c>
      <c r="JL56">
        <v>32.668199999999999</v>
      </c>
      <c r="JM56">
        <v>35.5901</v>
      </c>
      <c r="JN56">
        <v>38.252299999999998</v>
      </c>
      <c r="JO56">
        <v>0</v>
      </c>
      <c r="JP56">
        <v>22.370799999999999</v>
      </c>
      <c r="JQ56">
        <v>800</v>
      </c>
      <c r="JR56">
        <v>20</v>
      </c>
      <c r="JS56">
        <v>99.735699999999994</v>
      </c>
      <c r="JT56">
        <v>98.450100000000006</v>
      </c>
    </row>
    <row r="57" spans="1:280" x14ac:dyDescent="0.25">
      <c r="A57">
        <v>41</v>
      </c>
      <c r="B57">
        <v>1674582687.5</v>
      </c>
      <c r="C57">
        <v>7262.5</v>
      </c>
      <c r="D57" t="s">
        <v>625</v>
      </c>
      <c r="E57" t="s">
        <v>626</v>
      </c>
      <c r="F57" t="s">
        <v>412</v>
      </c>
      <c r="G57" t="s">
        <v>564</v>
      </c>
      <c r="H57" t="s">
        <v>565</v>
      </c>
      <c r="I57">
        <v>1674582687.5</v>
      </c>
      <c r="J57">
        <f t="shared" si="46"/>
        <v>3.3663311060044359E-3</v>
      </c>
      <c r="K57">
        <f t="shared" si="47"/>
        <v>3.3663311060044361</v>
      </c>
      <c r="L57">
        <f t="shared" si="48"/>
        <v>56.603468388158191</v>
      </c>
      <c r="M57">
        <f t="shared" si="49"/>
        <v>1127.58</v>
      </c>
      <c r="N57">
        <f t="shared" si="50"/>
        <v>757.73417339210641</v>
      </c>
      <c r="O57">
        <f t="shared" si="51"/>
        <v>75.711731715623131</v>
      </c>
      <c r="P57">
        <f t="shared" si="52"/>
        <v>112.66620596735999</v>
      </c>
      <c r="Q57">
        <f t="shared" si="53"/>
        <v>0.2699077954323415</v>
      </c>
      <c r="R57">
        <f t="shared" si="54"/>
        <v>2.9268073540918764</v>
      </c>
      <c r="S57">
        <f t="shared" si="55"/>
        <v>0.25680284702794359</v>
      </c>
      <c r="T57">
        <f t="shared" si="56"/>
        <v>0.1616261695032544</v>
      </c>
      <c r="U57">
        <f t="shared" si="57"/>
        <v>344.40869965787994</v>
      </c>
      <c r="V57">
        <f t="shared" si="58"/>
        <v>29.163078243354853</v>
      </c>
      <c r="W57">
        <f t="shared" si="59"/>
        <v>27.706299999999999</v>
      </c>
      <c r="X57">
        <f t="shared" si="60"/>
        <v>3.7303488212604301</v>
      </c>
      <c r="Y57">
        <f t="shared" si="61"/>
        <v>64.827183578802249</v>
      </c>
      <c r="Z57">
        <f t="shared" si="62"/>
        <v>2.4611348069887993</v>
      </c>
      <c r="AA57">
        <f t="shared" si="63"/>
        <v>3.7964549300481449</v>
      </c>
      <c r="AB57">
        <f t="shared" si="64"/>
        <v>1.2692140142716308</v>
      </c>
      <c r="AC57">
        <f t="shared" si="65"/>
        <v>-148.45520177479563</v>
      </c>
      <c r="AD57">
        <f t="shared" si="66"/>
        <v>47.494801460214475</v>
      </c>
      <c r="AE57">
        <f t="shared" si="67"/>
        <v>3.5321793823069583</v>
      </c>
      <c r="AF57">
        <f t="shared" si="68"/>
        <v>246.98047872560574</v>
      </c>
      <c r="AG57">
        <v>0</v>
      </c>
      <c r="AH57">
        <v>0</v>
      </c>
      <c r="AI57">
        <f t="shared" si="69"/>
        <v>1</v>
      </c>
      <c r="AJ57">
        <f t="shared" si="70"/>
        <v>0</v>
      </c>
      <c r="AK57">
        <f t="shared" si="71"/>
        <v>52617.342024922575</v>
      </c>
      <c r="AL57" t="s">
        <v>415</v>
      </c>
      <c r="AM57">
        <v>10297.6</v>
      </c>
      <c r="AN57">
        <v>785.57400000000007</v>
      </c>
      <c r="AO57">
        <v>3597.65</v>
      </c>
      <c r="AP57">
        <f t="shared" si="72"/>
        <v>0.7816424610509638</v>
      </c>
      <c r="AQ57">
        <v>-0.62398835798131469</v>
      </c>
      <c r="AR57" t="s">
        <v>627</v>
      </c>
      <c r="AS57">
        <v>10210.1</v>
      </c>
      <c r="AT57">
        <v>747.49823076923087</v>
      </c>
      <c r="AU57">
        <v>1178.0043346860441</v>
      </c>
      <c r="AV57">
        <f t="shared" si="73"/>
        <v>0.36545375194357799</v>
      </c>
      <c r="AW57">
        <v>0.5</v>
      </c>
      <c r="AX57">
        <f t="shared" si="74"/>
        <v>1513.3607998289399</v>
      </c>
      <c r="AY57">
        <f t="shared" si="75"/>
        <v>56.603468388158191</v>
      </c>
      <c r="AZ57">
        <f t="shared" si="76"/>
        <v>276.53169117091011</v>
      </c>
      <c r="BA57">
        <f t="shared" si="77"/>
        <v>3.7814813726249626E-2</v>
      </c>
      <c r="BB57">
        <f t="shared" si="78"/>
        <v>2.054021020184809</v>
      </c>
      <c r="BC57">
        <f t="shared" si="79"/>
        <v>542.33210075949592</v>
      </c>
      <c r="BD57" t="s">
        <v>628</v>
      </c>
      <c r="BE57">
        <v>564.83000000000004</v>
      </c>
      <c r="BF57">
        <f t="shared" si="80"/>
        <v>564.83000000000004</v>
      </c>
      <c r="BG57">
        <f t="shared" si="81"/>
        <v>0.5205195911689614</v>
      </c>
      <c r="BH57">
        <f t="shared" si="82"/>
        <v>0.70209413467580939</v>
      </c>
      <c r="BI57">
        <f t="shared" si="83"/>
        <v>0.797820399929424</v>
      </c>
      <c r="BJ57">
        <f t="shared" si="84"/>
        <v>1.0970255504361837</v>
      </c>
      <c r="BK57">
        <f t="shared" si="85"/>
        <v>0.86044817612111324</v>
      </c>
      <c r="BL57">
        <f t="shared" si="86"/>
        <v>0.53052142970404625</v>
      </c>
      <c r="BM57">
        <f t="shared" si="87"/>
        <v>0.46947857029595375</v>
      </c>
      <c r="BN57">
        <v>81</v>
      </c>
      <c r="BO57">
        <v>290.00000000000011</v>
      </c>
      <c r="BP57">
        <v>1067.19</v>
      </c>
      <c r="BQ57">
        <v>295</v>
      </c>
      <c r="BR57">
        <v>10210.1</v>
      </c>
      <c r="BS57">
        <v>1067.92</v>
      </c>
      <c r="BT57">
        <v>-0.73</v>
      </c>
      <c r="BU57">
        <v>300.00000000000011</v>
      </c>
      <c r="BV57">
        <v>24.1</v>
      </c>
      <c r="BW57">
        <v>1178.0043346860441</v>
      </c>
      <c r="BX57">
        <v>2.119118921292876</v>
      </c>
      <c r="BY57">
        <v>-112.39755567895089</v>
      </c>
      <c r="BZ57">
        <v>1.927624483112226</v>
      </c>
      <c r="CA57">
        <v>0.99183178450044829</v>
      </c>
      <c r="CB57">
        <v>-6.9625038932146881E-3</v>
      </c>
      <c r="CC57">
        <v>289.99999999999989</v>
      </c>
      <c r="CD57">
        <v>1065.29</v>
      </c>
      <c r="CE57">
        <v>655</v>
      </c>
      <c r="CF57">
        <v>10194.4</v>
      </c>
      <c r="CG57">
        <v>1067.75</v>
      </c>
      <c r="CH57">
        <v>-2.46</v>
      </c>
      <c r="CV57">
        <f t="shared" si="88"/>
        <v>1800.21</v>
      </c>
      <c r="CW57">
        <f t="shared" si="89"/>
        <v>1513.3607998289399</v>
      </c>
      <c r="CX57">
        <f t="shared" si="90"/>
        <v>0.84065792314726606</v>
      </c>
      <c r="CY57">
        <f t="shared" si="91"/>
        <v>0.19131584629453227</v>
      </c>
      <c r="CZ57">
        <v>6</v>
      </c>
      <c r="DA57">
        <v>0.5</v>
      </c>
      <c r="DB57" t="s">
        <v>418</v>
      </c>
      <c r="DC57">
        <v>2</v>
      </c>
      <c r="DD57">
        <v>1674582687.5</v>
      </c>
      <c r="DE57">
        <v>1127.58</v>
      </c>
      <c r="DF57">
        <v>1200.05</v>
      </c>
      <c r="DG57">
        <v>24.631399999999999</v>
      </c>
      <c r="DH57">
        <v>20.691800000000001</v>
      </c>
      <c r="DI57">
        <v>1129.3399999999999</v>
      </c>
      <c r="DJ57">
        <v>24.420500000000001</v>
      </c>
      <c r="DK57">
        <v>500.06299999999999</v>
      </c>
      <c r="DL57">
        <v>99.818799999999996</v>
      </c>
      <c r="DM57">
        <v>9.9792000000000006E-2</v>
      </c>
      <c r="DN57">
        <v>28.007300000000001</v>
      </c>
      <c r="DO57">
        <v>27.706299999999999</v>
      </c>
      <c r="DP57">
        <v>999.9</v>
      </c>
      <c r="DQ57">
        <v>0</v>
      </c>
      <c r="DR57">
        <v>0</v>
      </c>
      <c r="DS57">
        <v>10002.5</v>
      </c>
      <c r="DT57">
        <v>0</v>
      </c>
      <c r="DU57">
        <v>610.245</v>
      </c>
      <c r="DV57">
        <v>-72.466399999999993</v>
      </c>
      <c r="DW57">
        <v>1156.05</v>
      </c>
      <c r="DX57">
        <v>1225.4000000000001</v>
      </c>
      <c r="DY57">
        <v>3.9396300000000002</v>
      </c>
      <c r="DZ57">
        <v>1200.05</v>
      </c>
      <c r="EA57">
        <v>20.691800000000001</v>
      </c>
      <c r="EB57">
        <v>2.4586800000000002</v>
      </c>
      <c r="EC57">
        <v>2.0654300000000001</v>
      </c>
      <c r="ED57">
        <v>20.755500000000001</v>
      </c>
      <c r="EE57">
        <v>17.955100000000002</v>
      </c>
      <c r="EF57">
        <v>1800.21</v>
      </c>
      <c r="EG57">
        <v>0.97800900000000002</v>
      </c>
      <c r="EH57">
        <v>2.1990699999999998E-2</v>
      </c>
      <c r="EI57">
        <v>0</v>
      </c>
      <c r="EJ57">
        <v>747.55399999999997</v>
      </c>
      <c r="EK57">
        <v>5.0002599999999999</v>
      </c>
      <c r="EL57">
        <v>14408.8</v>
      </c>
      <c r="EM57">
        <v>17105.400000000001</v>
      </c>
      <c r="EN57">
        <v>50.25</v>
      </c>
      <c r="EO57">
        <v>51.936999999999998</v>
      </c>
      <c r="EP57">
        <v>51.311999999999998</v>
      </c>
      <c r="EQ57">
        <v>51</v>
      </c>
      <c r="ER57">
        <v>51.436999999999998</v>
      </c>
      <c r="ES57">
        <v>1755.73</v>
      </c>
      <c r="ET57">
        <v>39.479999999999997</v>
      </c>
      <c r="EU57">
        <v>0</v>
      </c>
      <c r="EV57">
        <v>117.7999999523163</v>
      </c>
      <c r="EW57">
        <v>0</v>
      </c>
      <c r="EX57">
        <v>747.49823076923087</v>
      </c>
      <c r="EY57">
        <v>-0.1758632411748717</v>
      </c>
      <c r="EZ57">
        <v>22.591453080910409</v>
      </c>
      <c r="FA57">
        <v>14392.48461538461</v>
      </c>
      <c r="FB57">
        <v>15</v>
      </c>
      <c r="FC57">
        <v>1674582653.5</v>
      </c>
      <c r="FD57" t="s">
        <v>629</v>
      </c>
      <c r="FE57">
        <v>1674582644</v>
      </c>
      <c r="FF57">
        <v>1674582653.5</v>
      </c>
      <c r="FG57">
        <v>46</v>
      </c>
      <c r="FH57">
        <v>-3.5000000000000003E-2</v>
      </c>
      <c r="FI57">
        <v>4.0000000000000001E-3</v>
      </c>
      <c r="FJ57">
        <v>-1.7889999999999999</v>
      </c>
      <c r="FK57">
        <v>0.10299999999999999</v>
      </c>
      <c r="FL57">
        <v>1200</v>
      </c>
      <c r="FM57">
        <v>20</v>
      </c>
      <c r="FN57">
        <v>0.06</v>
      </c>
      <c r="FO57">
        <v>0.02</v>
      </c>
      <c r="FP57">
        <v>56.715316616809538</v>
      </c>
      <c r="FQ57">
        <v>-0.56911093587036488</v>
      </c>
      <c r="FR57">
        <v>7.7402848045182021E-2</v>
      </c>
      <c r="FS57">
        <v>1</v>
      </c>
      <c r="FT57">
        <v>0.26933826131748728</v>
      </c>
      <c r="FU57">
        <v>1.0692512537769689E-2</v>
      </c>
      <c r="FV57">
        <v>2.112929773812445E-3</v>
      </c>
      <c r="FW57">
        <v>1</v>
      </c>
      <c r="FX57">
        <v>2</v>
      </c>
      <c r="FY57">
        <v>2</v>
      </c>
      <c r="FZ57" t="s">
        <v>420</v>
      </c>
      <c r="GA57">
        <v>2.9278400000000002</v>
      </c>
      <c r="GB57">
        <v>2.8067199999999999</v>
      </c>
      <c r="GC57">
        <v>0.20205000000000001</v>
      </c>
      <c r="GD57">
        <v>0.21235899999999999</v>
      </c>
      <c r="GE57">
        <v>0.11429</v>
      </c>
      <c r="GF57">
        <v>0.102758</v>
      </c>
      <c r="GG57">
        <v>23720</v>
      </c>
      <c r="GH57">
        <v>23684.9</v>
      </c>
      <c r="GI57">
        <v>28244.3</v>
      </c>
      <c r="GJ57">
        <v>27105.5</v>
      </c>
      <c r="GK57">
        <v>35919.300000000003</v>
      </c>
      <c r="GL57">
        <v>32102.1</v>
      </c>
      <c r="GM57">
        <v>42065.4</v>
      </c>
      <c r="GN57">
        <v>36762</v>
      </c>
      <c r="GO57">
        <v>1.9106799999999999</v>
      </c>
      <c r="GP57">
        <v>1.87947</v>
      </c>
      <c r="GQ57">
        <v>6.7800299999999994E-2</v>
      </c>
      <c r="GR57">
        <v>0</v>
      </c>
      <c r="GS57">
        <v>26.597799999999999</v>
      </c>
      <c r="GT57">
        <v>999.9</v>
      </c>
      <c r="GU57">
        <v>48.5</v>
      </c>
      <c r="GV57">
        <v>36.299999999999997</v>
      </c>
      <c r="GW57">
        <v>29.4818</v>
      </c>
      <c r="GX57">
        <v>62.447000000000003</v>
      </c>
      <c r="GY57">
        <v>27.331700000000001</v>
      </c>
      <c r="GZ57">
        <v>1</v>
      </c>
      <c r="HA57">
        <v>0.44075500000000001</v>
      </c>
      <c r="HB57">
        <v>3.4762599999999999</v>
      </c>
      <c r="HC57">
        <v>20.309000000000001</v>
      </c>
      <c r="HD57">
        <v>5.2363099999999996</v>
      </c>
      <c r="HE57">
        <v>11.9381</v>
      </c>
      <c r="HF57">
        <v>4.9723499999999996</v>
      </c>
      <c r="HG57">
        <v>3.2982300000000002</v>
      </c>
      <c r="HH57">
        <v>9999</v>
      </c>
      <c r="HI57">
        <v>9999</v>
      </c>
      <c r="HJ57">
        <v>9999</v>
      </c>
      <c r="HK57">
        <v>999.9</v>
      </c>
      <c r="HL57">
        <v>1.8735200000000001</v>
      </c>
      <c r="HM57">
        <v>1.8812500000000001</v>
      </c>
      <c r="HN57">
        <v>1.8846499999999999</v>
      </c>
      <c r="HO57">
        <v>1.88141</v>
      </c>
      <c r="HP57">
        <v>1.8788100000000001</v>
      </c>
      <c r="HQ57">
        <v>1.87347</v>
      </c>
      <c r="HR57">
        <v>1.8763700000000001</v>
      </c>
      <c r="HS57">
        <v>1.88063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-1.76</v>
      </c>
      <c r="IH57">
        <v>0.2109</v>
      </c>
      <c r="II57">
        <v>-1.4859771366130781</v>
      </c>
      <c r="IJ57">
        <v>9.4905977090923709E-4</v>
      </c>
      <c r="IK57">
        <v>-1.9106666302146479E-6</v>
      </c>
      <c r="IL57">
        <v>7.5819610513223293E-10</v>
      </c>
      <c r="IM57">
        <v>-8.0638082356491919E-2</v>
      </c>
      <c r="IN57">
        <v>-1.0595840490420019E-2</v>
      </c>
      <c r="IO57">
        <v>1.2407080968752471E-3</v>
      </c>
      <c r="IP57">
        <v>-1.3015442653884381E-5</v>
      </c>
      <c r="IQ57">
        <v>33</v>
      </c>
      <c r="IR57">
        <v>2014</v>
      </c>
      <c r="IS57">
        <v>1</v>
      </c>
      <c r="IT57">
        <v>26</v>
      </c>
      <c r="IU57">
        <v>0.7</v>
      </c>
      <c r="IV57">
        <v>0.6</v>
      </c>
      <c r="IW57">
        <v>2.47925</v>
      </c>
      <c r="IX57">
        <v>2.5</v>
      </c>
      <c r="IY57">
        <v>1.5991200000000001</v>
      </c>
      <c r="IZ57">
        <v>2.2973599999999998</v>
      </c>
      <c r="JA57">
        <v>1.5502899999999999</v>
      </c>
      <c r="JB57">
        <v>2.3877000000000002</v>
      </c>
      <c r="JC57">
        <v>39.994199999999999</v>
      </c>
      <c r="JD57">
        <v>24.061199999999999</v>
      </c>
      <c r="JE57">
        <v>18</v>
      </c>
      <c r="JF57">
        <v>479.49</v>
      </c>
      <c r="JG57">
        <v>493.08600000000001</v>
      </c>
      <c r="JH57">
        <v>22.257300000000001</v>
      </c>
      <c r="JI57">
        <v>32.6952</v>
      </c>
      <c r="JJ57">
        <v>30.000299999999999</v>
      </c>
      <c r="JK57">
        <v>32.752000000000002</v>
      </c>
      <c r="JL57">
        <v>32.711500000000001</v>
      </c>
      <c r="JM57">
        <v>49.682499999999997</v>
      </c>
      <c r="JN57">
        <v>36.026400000000002</v>
      </c>
      <c r="JO57">
        <v>0</v>
      </c>
      <c r="JP57">
        <v>22.257200000000001</v>
      </c>
      <c r="JQ57">
        <v>1200</v>
      </c>
      <c r="JR57">
        <v>20.692799999999998</v>
      </c>
      <c r="JS57">
        <v>99.724299999999999</v>
      </c>
      <c r="JT57">
        <v>98.447900000000004</v>
      </c>
    </row>
    <row r="58" spans="1:280" x14ac:dyDescent="0.25">
      <c r="A58">
        <v>42</v>
      </c>
      <c r="B58">
        <v>1674582805.5</v>
      </c>
      <c r="C58">
        <v>7380.5</v>
      </c>
      <c r="D58" t="s">
        <v>630</v>
      </c>
      <c r="E58" t="s">
        <v>631</v>
      </c>
      <c r="F58" t="s">
        <v>412</v>
      </c>
      <c r="G58" t="s">
        <v>564</v>
      </c>
      <c r="H58" t="s">
        <v>565</v>
      </c>
      <c r="I58">
        <v>1674582805.5</v>
      </c>
      <c r="J58">
        <f t="shared" si="46"/>
        <v>2.8175579700025662E-3</v>
      </c>
      <c r="K58">
        <f t="shared" si="47"/>
        <v>2.8175579700025661</v>
      </c>
      <c r="L58">
        <f t="shared" si="48"/>
        <v>56.093511092097408</v>
      </c>
      <c r="M58">
        <f t="shared" si="49"/>
        <v>1428.03</v>
      </c>
      <c r="N58">
        <f t="shared" si="50"/>
        <v>985.64850044374055</v>
      </c>
      <c r="O58">
        <f t="shared" si="51"/>
        <v>98.479066098434927</v>
      </c>
      <c r="P58">
        <f t="shared" si="52"/>
        <v>142.67871426501</v>
      </c>
      <c r="Q58">
        <f t="shared" si="53"/>
        <v>0.22295759594293035</v>
      </c>
      <c r="R58">
        <f t="shared" si="54"/>
        <v>2.9247309701621003</v>
      </c>
      <c r="S58">
        <f t="shared" si="55"/>
        <v>0.21392724956915043</v>
      </c>
      <c r="T58">
        <f t="shared" si="56"/>
        <v>0.13448539484528302</v>
      </c>
      <c r="U58">
        <f t="shared" si="57"/>
        <v>344.40299965787426</v>
      </c>
      <c r="V58">
        <f t="shared" si="58"/>
        <v>29.299151642961473</v>
      </c>
      <c r="W58">
        <f t="shared" si="59"/>
        <v>27.7531</v>
      </c>
      <c r="X58">
        <f t="shared" si="60"/>
        <v>3.7405606932169393</v>
      </c>
      <c r="Y58">
        <f t="shared" si="61"/>
        <v>64.970888787204302</v>
      </c>
      <c r="Z58">
        <f t="shared" si="62"/>
        <v>2.4655123214721999</v>
      </c>
      <c r="AA58">
        <f t="shared" si="63"/>
        <v>3.7947954345327819</v>
      </c>
      <c r="AB58">
        <f t="shared" si="64"/>
        <v>1.2750483717447394</v>
      </c>
      <c r="AC58">
        <f t="shared" si="65"/>
        <v>-124.25430647711316</v>
      </c>
      <c r="AD58">
        <f t="shared" si="66"/>
        <v>38.899186298835737</v>
      </c>
      <c r="AE58">
        <f t="shared" si="67"/>
        <v>2.8955459581159984</v>
      </c>
      <c r="AF58">
        <f t="shared" si="68"/>
        <v>261.94342543771279</v>
      </c>
      <c r="AG58">
        <v>0</v>
      </c>
      <c r="AH58">
        <v>0</v>
      </c>
      <c r="AI58">
        <f t="shared" si="69"/>
        <v>1</v>
      </c>
      <c r="AJ58">
        <f t="shared" si="70"/>
        <v>0</v>
      </c>
      <c r="AK58">
        <f t="shared" si="71"/>
        <v>52558.778255945537</v>
      </c>
      <c r="AL58" t="s">
        <v>415</v>
      </c>
      <c r="AM58">
        <v>10297.6</v>
      </c>
      <c r="AN58">
        <v>785.57400000000007</v>
      </c>
      <c r="AO58">
        <v>3597.65</v>
      </c>
      <c r="AP58">
        <f t="shared" si="72"/>
        <v>0.7816424610509638</v>
      </c>
      <c r="AQ58">
        <v>-0.62398835798131469</v>
      </c>
      <c r="AR58" t="s">
        <v>632</v>
      </c>
      <c r="AS58">
        <v>10211.1</v>
      </c>
      <c r="AT58">
        <v>748.03069230769245</v>
      </c>
      <c r="AU58">
        <v>1185.2774666322191</v>
      </c>
      <c r="AV58">
        <f t="shared" si="73"/>
        <v>0.36889824250763414</v>
      </c>
      <c r="AW58">
        <v>0.5</v>
      </c>
      <c r="AX58">
        <f t="shared" si="74"/>
        <v>1513.3355998289371</v>
      </c>
      <c r="AY58">
        <f t="shared" si="75"/>
        <v>56.093511092097408</v>
      </c>
      <c r="AZ58">
        <f t="shared" si="76"/>
        <v>279.13342155056563</v>
      </c>
      <c r="BA58">
        <f t="shared" si="77"/>
        <v>3.7478467734777338E-2</v>
      </c>
      <c r="BB58">
        <f t="shared" si="78"/>
        <v>2.0352808530328019</v>
      </c>
      <c r="BC58">
        <f t="shared" si="79"/>
        <v>543.86853435324679</v>
      </c>
      <c r="BD58" t="s">
        <v>633</v>
      </c>
      <c r="BE58">
        <v>564.23</v>
      </c>
      <c r="BF58">
        <f t="shared" si="80"/>
        <v>564.23</v>
      </c>
      <c r="BG58">
        <f t="shared" si="81"/>
        <v>0.52396800252756726</v>
      </c>
      <c r="BH58">
        <f t="shared" si="82"/>
        <v>0.70404727145189661</v>
      </c>
      <c r="BI58">
        <f t="shared" si="83"/>
        <v>0.79526492650796166</v>
      </c>
      <c r="BJ58">
        <f t="shared" si="84"/>
        <v>1.0939279011228904</v>
      </c>
      <c r="BK58">
        <f t="shared" si="85"/>
        <v>0.85786178373834177</v>
      </c>
      <c r="BL58">
        <f t="shared" si="86"/>
        <v>0.5310538672494769</v>
      </c>
      <c r="BM58">
        <f t="shared" si="87"/>
        <v>0.4689461327505231</v>
      </c>
      <c r="BN58">
        <v>83</v>
      </c>
      <c r="BO58">
        <v>290.00000000000011</v>
      </c>
      <c r="BP58">
        <v>1070.56</v>
      </c>
      <c r="BQ58">
        <v>275</v>
      </c>
      <c r="BR58">
        <v>10211.1</v>
      </c>
      <c r="BS58">
        <v>1071.6300000000001</v>
      </c>
      <c r="BT58">
        <v>-1.07</v>
      </c>
      <c r="BU58">
        <v>300.00000000000011</v>
      </c>
      <c r="BV58">
        <v>24.1</v>
      </c>
      <c r="BW58">
        <v>1185.2774666322191</v>
      </c>
      <c r="BX58">
        <v>1.9172908264317829</v>
      </c>
      <c r="BY58">
        <v>-116.0458472742142</v>
      </c>
      <c r="BZ58">
        <v>1.744000881097725</v>
      </c>
      <c r="CA58">
        <v>0.99371573643589817</v>
      </c>
      <c r="CB58">
        <v>-6.9623192436040109E-3</v>
      </c>
      <c r="CC58">
        <v>289.99999999999989</v>
      </c>
      <c r="CD58">
        <v>1067.7</v>
      </c>
      <c r="CE58">
        <v>675</v>
      </c>
      <c r="CF58">
        <v>10192.9</v>
      </c>
      <c r="CG58">
        <v>1071.43</v>
      </c>
      <c r="CH58">
        <v>-3.73</v>
      </c>
      <c r="CV58">
        <f t="shared" si="88"/>
        <v>1800.18</v>
      </c>
      <c r="CW58">
        <f t="shared" si="89"/>
        <v>1513.3355998289371</v>
      </c>
      <c r="CX58">
        <f t="shared" si="90"/>
        <v>0.84065793411155387</v>
      </c>
      <c r="CY58">
        <f t="shared" si="91"/>
        <v>0.19131586822310784</v>
      </c>
      <c r="CZ58">
        <v>6</v>
      </c>
      <c r="DA58">
        <v>0.5</v>
      </c>
      <c r="DB58" t="s">
        <v>418</v>
      </c>
      <c r="DC58">
        <v>2</v>
      </c>
      <c r="DD58">
        <v>1674582805.5</v>
      </c>
      <c r="DE58">
        <v>1428.03</v>
      </c>
      <c r="DF58">
        <v>1500.15</v>
      </c>
      <c r="DG58">
        <v>24.676600000000001</v>
      </c>
      <c r="DH58">
        <v>21.379899999999999</v>
      </c>
      <c r="DI58">
        <v>1430.04</v>
      </c>
      <c r="DJ58">
        <v>24.467500000000001</v>
      </c>
      <c r="DK58">
        <v>500.142</v>
      </c>
      <c r="DL58">
        <v>99.812899999999999</v>
      </c>
      <c r="DM58">
        <v>0.100067</v>
      </c>
      <c r="DN58">
        <v>27.9998</v>
      </c>
      <c r="DO58">
        <v>27.7531</v>
      </c>
      <c r="DP58">
        <v>999.9</v>
      </c>
      <c r="DQ58">
        <v>0</v>
      </c>
      <c r="DR58">
        <v>0</v>
      </c>
      <c r="DS58">
        <v>9991.25</v>
      </c>
      <c r="DT58">
        <v>0</v>
      </c>
      <c r="DU58">
        <v>617.91300000000001</v>
      </c>
      <c r="DV58">
        <v>-72.114099999999993</v>
      </c>
      <c r="DW58">
        <v>1464.16</v>
      </c>
      <c r="DX58">
        <v>1532.92</v>
      </c>
      <c r="DY58">
        <v>3.2966600000000001</v>
      </c>
      <c r="DZ58">
        <v>1500.15</v>
      </c>
      <c r="EA58">
        <v>21.379899999999999</v>
      </c>
      <c r="EB58">
        <v>2.4630399999999999</v>
      </c>
      <c r="EC58">
        <v>2.1339899999999998</v>
      </c>
      <c r="ED58">
        <v>20.784300000000002</v>
      </c>
      <c r="EE58">
        <v>18.475200000000001</v>
      </c>
      <c r="EF58">
        <v>1800.18</v>
      </c>
      <c r="EG58">
        <v>0.97800900000000002</v>
      </c>
      <c r="EH58">
        <v>2.1990699999999998E-2</v>
      </c>
      <c r="EI58">
        <v>0</v>
      </c>
      <c r="EJ58">
        <v>747.96199999999999</v>
      </c>
      <c r="EK58">
        <v>5.0002599999999999</v>
      </c>
      <c r="EL58">
        <v>14448.3</v>
      </c>
      <c r="EM58">
        <v>17105.099999999999</v>
      </c>
      <c r="EN58">
        <v>50.25</v>
      </c>
      <c r="EO58">
        <v>52</v>
      </c>
      <c r="EP58">
        <v>51.311999999999998</v>
      </c>
      <c r="EQ58">
        <v>51</v>
      </c>
      <c r="ER58">
        <v>51.5</v>
      </c>
      <c r="ES58">
        <v>1755.7</v>
      </c>
      <c r="ET58">
        <v>39.479999999999997</v>
      </c>
      <c r="EU58">
        <v>0</v>
      </c>
      <c r="EV58">
        <v>115.7999999523163</v>
      </c>
      <c r="EW58">
        <v>0</v>
      </c>
      <c r="EX58">
        <v>748.03069230769245</v>
      </c>
      <c r="EY58">
        <v>1.0839657996708869</v>
      </c>
      <c r="EZ58">
        <v>-75.022222344548894</v>
      </c>
      <c r="FA58">
        <v>14456.353846153839</v>
      </c>
      <c r="FB58">
        <v>15</v>
      </c>
      <c r="FC58">
        <v>1674582767</v>
      </c>
      <c r="FD58" t="s">
        <v>634</v>
      </c>
      <c r="FE58">
        <v>1674582763</v>
      </c>
      <c r="FF58">
        <v>1674582767</v>
      </c>
      <c r="FG58">
        <v>47</v>
      </c>
      <c r="FH58">
        <v>-0.191</v>
      </c>
      <c r="FI58">
        <v>-3.0000000000000001E-3</v>
      </c>
      <c r="FJ58">
        <v>-1.994</v>
      </c>
      <c r="FK58">
        <v>0.114</v>
      </c>
      <c r="FL58">
        <v>1500</v>
      </c>
      <c r="FM58">
        <v>21</v>
      </c>
      <c r="FN58">
        <v>0.06</v>
      </c>
      <c r="FO58">
        <v>0.03</v>
      </c>
      <c r="FP58">
        <v>56.037140487717963</v>
      </c>
      <c r="FQ58">
        <v>-0.4081254622916024</v>
      </c>
      <c r="FR58">
        <v>8.8662591282905073E-2</v>
      </c>
      <c r="FS58">
        <v>1</v>
      </c>
      <c r="FT58">
        <v>0.22441923467455779</v>
      </c>
      <c r="FU58">
        <v>3.284331476068944E-3</v>
      </c>
      <c r="FV58">
        <v>1.242884037551014E-3</v>
      </c>
      <c r="FW58">
        <v>1</v>
      </c>
      <c r="FX58">
        <v>2</v>
      </c>
      <c r="FY58">
        <v>2</v>
      </c>
      <c r="FZ58" t="s">
        <v>420</v>
      </c>
      <c r="GA58">
        <v>2.9279899999999999</v>
      </c>
      <c r="GB58">
        <v>2.8069000000000002</v>
      </c>
      <c r="GC58">
        <v>0.23419000000000001</v>
      </c>
      <c r="GD58">
        <v>0.243809</v>
      </c>
      <c r="GE58">
        <v>0.114428</v>
      </c>
      <c r="GF58">
        <v>0.105133</v>
      </c>
      <c r="GG58">
        <v>22760.7</v>
      </c>
      <c r="GH58">
        <v>22736.5</v>
      </c>
      <c r="GI58">
        <v>28242.9</v>
      </c>
      <c r="GJ58">
        <v>27105.599999999999</v>
      </c>
      <c r="GK58">
        <v>35912.699999999997</v>
      </c>
      <c r="GL58">
        <v>32017.7</v>
      </c>
      <c r="GM58">
        <v>42063.9</v>
      </c>
      <c r="GN58">
        <v>36762.400000000001</v>
      </c>
      <c r="GO58">
        <v>1.91028</v>
      </c>
      <c r="GP58">
        <v>1.8812</v>
      </c>
      <c r="GQ58">
        <v>6.9700200000000004E-2</v>
      </c>
      <c r="GR58">
        <v>0</v>
      </c>
      <c r="GS58">
        <v>26.613600000000002</v>
      </c>
      <c r="GT58">
        <v>999.9</v>
      </c>
      <c r="GU58">
        <v>48.5</v>
      </c>
      <c r="GV58">
        <v>36.299999999999997</v>
      </c>
      <c r="GW58">
        <v>29.488099999999999</v>
      </c>
      <c r="GX58">
        <v>62.497</v>
      </c>
      <c r="GY58">
        <v>27.2516</v>
      </c>
      <c r="GZ58">
        <v>1</v>
      </c>
      <c r="HA58">
        <v>0.442998</v>
      </c>
      <c r="HB58">
        <v>3.4908199999999998</v>
      </c>
      <c r="HC58">
        <v>20.309100000000001</v>
      </c>
      <c r="HD58">
        <v>5.2397499999999999</v>
      </c>
      <c r="HE58">
        <v>11.9381</v>
      </c>
      <c r="HF58">
        <v>4.9736500000000001</v>
      </c>
      <c r="HG58">
        <v>3.2989999999999999</v>
      </c>
      <c r="HH58">
        <v>9999</v>
      </c>
      <c r="HI58">
        <v>9999</v>
      </c>
      <c r="HJ58">
        <v>9999</v>
      </c>
      <c r="HK58">
        <v>999.9</v>
      </c>
      <c r="HL58">
        <v>1.8735299999999999</v>
      </c>
      <c r="HM58">
        <v>1.8812599999999999</v>
      </c>
      <c r="HN58">
        <v>1.88472</v>
      </c>
      <c r="HO58">
        <v>1.88141</v>
      </c>
      <c r="HP58">
        <v>1.8788100000000001</v>
      </c>
      <c r="HQ58">
        <v>1.8735599999999999</v>
      </c>
      <c r="HR58">
        <v>1.8763700000000001</v>
      </c>
      <c r="HS58">
        <v>1.88059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-2.0099999999999998</v>
      </c>
      <c r="IH58">
        <v>0.20910000000000001</v>
      </c>
      <c r="II58">
        <v>-1.678237757356037</v>
      </c>
      <c r="IJ58">
        <v>9.4905977090923709E-4</v>
      </c>
      <c r="IK58">
        <v>-1.9106666302146479E-6</v>
      </c>
      <c r="IL58">
        <v>7.5819610513223293E-10</v>
      </c>
      <c r="IM58">
        <v>-8.3721214019219864E-2</v>
      </c>
      <c r="IN58">
        <v>-1.0595840490420019E-2</v>
      </c>
      <c r="IO58">
        <v>1.2407080968752471E-3</v>
      </c>
      <c r="IP58">
        <v>-1.3015442653884381E-5</v>
      </c>
      <c r="IQ58">
        <v>33</v>
      </c>
      <c r="IR58">
        <v>2014</v>
      </c>
      <c r="IS58">
        <v>1</v>
      </c>
      <c r="IT58">
        <v>26</v>
      </c>
      <c r="IU58">
        <v>0.7</v>
      </c>
      <c r="IV58">
        <v>0.6</v>
      </c>
      <c r="IW58">
        <v>2.9797400000000001</v>
      </c>
      <c r="IX58">
        <v>2.49146</v>
      </c>
      <c r="IY58">
        <v>1.5979000000000001</v>
      </c>
      <c r="IZ58">
        <v>2.2973599999999998</v>
      </c>
      <c r="JA58">
        <v>1.5490699999999999</v>
      </c>
      <c r="JB58">
        <v>2.36328</v>
      </c>
      <c r="JC58">
        <v>39.968899999999998</v>
      </c>
      <c r="JD58">
        <v>24.061199999999999</v>
      </c>
      <c r="JE58">
        <v>18</v>
      </c>
      <c r="JF58">
        <v>479.49</v>
      </c>
      <c r="JG58">
        <v>494.58499999999998</v>
      </c>
      <c r="JH58">
        <v>22.209599999999998</v>
      </c>
      <c r="JI58">
        <v>32.722900000000003</v>
      </c>
      <c r="JJ58">
        <v>30.000299999999999</v>
      </c>
      <c r="JK58">
        <v>32.7849</v>
      </c>
      <c r="JL58">
        <v>32.747199999999999</v>
      </c>
      <c r="JM58">
        <v>59.701700000000002</v>
      </c>
      <c r="JN58">
        <v>33.765799999999999</v>
      </c>
      <c r="JO58">
        <v>0</v>
      </c>
      <c r="JP58">
        <v>22.2057</v>
      </c>
      <c r="JQ58">
        <v>1500</v>
      </c>
      <c r="JR58">
        <v>21.321999999999999</v>
      </c>
      <c r="JS58">
        <v>99.720200000000006</v>
      </c>
      <c r="JT58">
        <v>98.448599999999999</v>
      </c>
    </row>
    <row r="59" spans="1:280" x14ac:dyDescent="0.25">
      <c r="A59">
        <v>43</v>
      </c>
      <c r="B59">
        <v>1674584424.0999999</v>
      </c>
      <c r="C59">
        <v>8999.0999999046326</v>
      </c>
      <c r="D59" t="s">
        <v>635</v>
      </c>
      <c r="E59" t="s">
        <v>636</v>
      </c>
      <c r="F59" t="s">
        <v>412</v>
      </c>
      <c r="G59" t="s">
        <v>31</v>
      </c>
      <c r="H59" t="s">
        <v>637</v>
      </c>
      <c r="I59">
        <v>1674584424.0999999</v>
      </c>
      <c r="J59">
        <f t="shared" si="46"/>
        <v>4.7437109199482339E-3</v>
      </c>
      <c r="K59">
        <f t="shared" si="47"/>
        <v>4.7437109199482341</v>
      </c>
      <c r="L59">
        <f t="shared" si="48"/>
        <v>46.629957759247233</v>
      </c>
      <c r="M59">
        <f t="shared" si="49"/>
        <v>342.13099999999997</v>
      </c>
      <c r="N59">
        <f t="shared" si="50"/>
        <v>138.15682295610105</v>
      </c>
      <c r="O59">
        <f t="shared" si="51"/>
        <v>13.798253397923723</v>
      </c>
      <c r="P59">
        <f t="shared" si="52"/>
        <v>34.169939147956995</v>
      </c>
      <c r="Q59">
        <f t="shared" si="53"/>
        <v>0.39890593821615222</v>
      </c>
      <c r="R59">
        <f t="shared" si="54"/>
        <v>2.9238197655047795</v>
      </c>
      <c r="S59">
        <f t="shared" si="55"/>
        <v>0.37095007769659583</v>
      </c>
      <c r="T59">
        <f t="shared" si="56"/>
        <v>0.23419205188999964</v>
      </c>
      <c r="U59">
        <f t="shared" si="57"/>
        <v>344.33709965772107</v>
      </c>
      <c r="V59">
        <f t="shared" si="58"/>
        <v>28.808939022816023</v>
      </c>
      <c r="W59">
        <f t="shared" si="59"/>
        <v>27.648700000000002</v>
      </c>
      <c r="X59">
        <f t="shared" si="60"/>
        <v>3.7178137651785672</v>
      </c>
      <c r="Y59">
        <f t="shared" si="61"/>
        <v>65.316402521226053</v>
      </c>
      <c r="Z59">
        <f t="shared" si="62"/>
        <v>2.4802571290133</v>
      </c>
      <c r="AA59">
        <f t="shared" si="63"/>
        <v>3.7972959827468822</v>
      </c>
      <c r="AB59">
        <f t="shared" si="64"/>
        <v>1.2375566361652672</v>
      </c>
      <c r="AC59">
        <f t="shared" si="65"/>
        <v>-209.19765156971712</v>
      </c>
      <c r="AD59">
        <f t="shared" si="66"/>
        <v>57.124739162116263</v>
      </c>
      <c r="AE59">
        <f t="shared" si="67"/>
        <v>4.2515569000020541</v>
      </c>
      <c r="AF59">
        <f t="shared" si="68"/>
        <v>196.51574415012229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52529.753381885443</v>
      </c>
      <c r="AL59" t="s">
        <v>415</v>
      </c>
      <c r="AM59">
        <v>10297.6</v>
      </c>
      <c r="AN59">
        <v>785.57400000000007</v>
      </c>
      <c r="AO59">
        <v>3597.65</v>
      </c>
      <c r="AP59">
        <f t="shared" si="72"/>
        <v>0.7816424610509638</v>
      </c>
      <c r="AQ59">
        <v>-0.62398835798131469</v>
      </c>
      <c r="AR59" t="s">
        <v>638</v>
      </c>
      <c r="AS59">
        <v>10235.700000000001</v>
      </c>
      <c r="AT59">
        <v>737.3018800000001</v>
      </c>
      <c r="AU59">
        <v>1073.900443436597</v>
      </c>
      <c r="AV59">
        <f t="shared" si="73"/>
        <v>0.31343553817656067</v>
      </c>
      <c r="AW59">
        <v>0.5</v>
      </c>
      <c r="AX59">
        <f t="shared" si="74"/>
        <v>1513.0418998288606</v>
      </c>
      <c r="AY59">
        <f t="shared" si="75"/>
        <v>46.629957759247233</v>
      </c>
      <c r="AZ59">
        <f t="shared" si="76"/>
        <v>237.12055107827234</v>
      </c>
      <c r="BA59">
        <f t="shared" si="77"/>
        <v>3.1231088922635535E-2</v>
      </c>
      <c r="BB59">
        <f t="shared" si="78"/>
        <v>2.3500777674391613</v>
      </c>
      <c r="BC59">
        <f t="shared" si="79"/>
        <v>519.16218700003719</v>
      </c>
      <c r="BD59" t="s">
        <v>639</v>
      </c>
      <c r="BE59">
        <v>562.27</v>
      </c>
      <c r="BF59">
        <f t="shared" si="80"/>
        <v>562.27</v>
      </c>
      <c r="BG59">
        <f t="shared" si="81"/>
        <v>0.47642260189345353</v>
      </c>
      <c r="BH59">
        <f t="shared" si="82"/>
        <v>0.6578939305794248</v>
      </c>
      <c r="BI59">
        <f t="shared" si="83"/>
        <v>0.83144435179891907</v>
      </c>
      <c r="BJ59">
        <f t="shared" si="84"/>
        <v>1.167421757868057</v>
      </c>
      <c r="BK59">
        <f t="shared" si="85"/>
        <v>0.8974684740253831</v>
      </c>
      <c r="BL59">
        <f t="shared" si="86"/>
        <v>0.5017131115234551</v>
      </c>
      <c r="BM59">
        <f t="shared" si="87"/>
        <v>0.4982868884765449</v>
      </c>
      <c r="BN59">
        <v>85</v>
      </c>
      <c r="BO59">
        <v>290.00000000000011</v>
      </c>
      <c r="BP59">
        <v>982.57</v>
      </c>
      <c r="BQ59">
        <v>245</v>
      </c>
      <c r="BR59">
        <v>10235.700000000001</v>
      </c>
      <c r="BS59">
        <v>981.69</v>
      </c>
      <c r="BT59">
        <v>0.88</v>
      </c>
      <c r="BU59">
        <v>300.00000000000011</v>
      </c>
      <c r="BV59">
        <v>24.1</v>
      </c>
      <c r="BW59">
        <v>1073.900443436597</v>
      </c>
      <c r="BX59">
        <v>2.1052357814517229</v>
      </c>
      <c r="BY59">
        <v>-94.383283204118413</v>
      </c>
      <c r="BZ59">
        <v>1.9191098589960891</v>
      </c>
      <c r="CA59">
        <v>0.98855623520909075</v>
      </c>
      <c r="CB59">
        <v>-6.9751590656284843E-3</v>
      </c>
      <c r="CC59">
        <v>289.99999999999989</v>
      </c>
      <c r="CD59">
        <v>978.72</v>
      </c>
      <c r="CE59">
        <v>695</v>
      </c>
      <c r="CF59">
        <v>10214.5</v>
      </c>
      <c r="CG59">
        <v>981.5</v>
      </c>
      <c r="CH59">
        <v>-2.78</v>
      </c>
      <c r="CV59">
        <f t="shared" si="88"/>
        <v>1799.83</v>
      </c>
      <c r="CW59">
        <f t="shared" si="89"/>
        <v>1513.0418998288606</v>
      </c>
      <c r="CX59">
        <f t="shared" si="90"/>
        <v>0.84065822873763663</v>
      </c>
      <c r="CY59">
        <f t="shared" si="91"/>
        <v>0.19131645747527326</v>
      </c>
      <c r="CZ59">
        <v>6</v>
      </c>
      <c r="DA59">
        <v>0.5</v>
      </c>
      <c r="DB59" t="s">
        <v>418</v>
      </c>
      <c r="DC59">
        <v>2</v>
      </c>
      <c r="DD59">
        <v>1674584424.0999999</v>
      </c>
      <c r="DE59">
        <v>342.13099999999997</v>
      </c>
      <c r="DF59">
        <v>400.01900000000001</v>
      </c>
      <c r="DG59">
        <v>24.8339</v>
      </c>
      <c r="DH59">
        <v>19.284300000000002</v>
      </c>
      <c r="DI59">
        <v>343.15899999999999</v>
      </c>
      <c r="DJ59">
        <v>24.619199999999999</v>
      </c>
      <c r="DK59">
        <v>500.13400000000001</v>
      </c>
      <c r="DL59">
        <v>99.773499999999999</v>
      </c>
      <c r="DM59">
        <v>0.10034700000000001</v>
      </c>
      <c r="DN59">
        <v>28.011099999999999</v>
      </c>
      <c r="DO59">
        <v>27.648700000000002</v>
      </c>
      <c r="DP59">
        <v>999.9</v>
      </c>
      <c r="DQ59">
        <v>0</v>
      </c>
      <c r="DR59">
        <v>0</v>
      </c>
      <c r="DS59">
        <v>9990</v>
      </c>
      <c r="DT59">
        <v>0</v>
      </c>
      <c r="DU59">
        <v>605.90099999999995</v>
      </c>
      <c r="DV59">
        <v>-57.887799999999999</v>
      </c>
      <c r="DW59">
        <v>350.84399999999999</v>
      </c>
      <c r="DX59">
        <v>407.88499999999999</v>
      </c>
      <c r="DY59">
        <v>5.5495599999999996</v>
      </c>
      <c r="DZ59">
        <v>400.01900000000001</v>
      </c>
      <c r="EA59">
        <v>19.284300000000002</v>
      </c>
      <c r="EB59">
        <v>2.47776</v>
      </c>
      <c r="EC59">
        <v>1.9240600000000001</v>
      </c>
      <c r="ED59">
        <v>20.8812</v>
      </c>
      <c r="EE59">
        <v>16.832899999999999</v>
      </c>
      <c r="EF59">
        <v>1799.83</v>
      </c>
      <c r="EG59">
        <v>0.97799899999999995</v>
      </c>
      <c r="EH59">
        <v>2.2000700000000002E-2</v>
      </c>
      <c r="EI59">
        <v>0</v>
      </c>
      <c r="EJ59">
        <v>737.39499999999998</v>
      </c>
      <c r="EK59">
        <v>5.0002599999999999</v>
      </c>
      <c r="EL59">
        <v>14003.7</v>
      </c>
      <c r="EM59">
        <v>17101.8</v>
      </c>
      <c r="EN59">
        <v>47.375</v>
      </c>
      <c r="EO59">
        <v>49.25</v>
      </c>
      <c r="EP59">
        <v>48.375</v>
      </c>
      <c r="EQ59">
        <v>48.561999999999998</v>
      </c>
      <c r="ER59">
        <v>48.875</v>
      </c>
      <c r="ES59">
        <v>1755.34</v>
      </c>
      <c r="ET59">
        <v>39.49</v>
      </c>
      <c r="EU59">
        <v>0</v>
      </c>
      <c r="EV59">
        <v>1616.3999998569491</v>
      </c>
      <c r="EW59">
        <v>0</v>
      </c>
      <c r="EX59">
        <v>737.3018800000001</v>
      </c>
      <c r="EY59">
        <v>-0.106692319145497</v>
      </c>
      <c r="EZ59">
        <v>38.692307762916109</v>
      </c>
      <c r="FA59">
        <v>13998.816000000001</v>
      </c>
      <c r="FB59">
        <v>15</v>
      </c>
      <c r="FC59">
        <v>1674584387.0999999</v>
      </c>
      <c r="FD59" t="s">
        <v>640</v>
      </c>
      <c r="FE59">
        <v>1674584383.0999999</v>
      </c>
      <c r="FF59">
        <v>1674584387.0999999</v>
      </c>
      <c r="FG59">
        <v>49</v>
      </c>
      <c r="FH59">
        <v>0.13800000000000001</v>
      </c>
      <c r="FI59">
        <v>4.0000000000000001E-3</v>
      </c>
      <c r="FJ59">
        <v>-1.0369999999999999</v>
      </c>
      <c r="FK59">
        <v>8.4000000000000005E-2</v>
      </c>
      <c r="FL59">
        <v>400</v>
      </c>
      <c r="FM59">
        <v>19</v>
      </c>
      <c r="FN59">
        <v>0.02</v>
      </c>
      <c r="FO59">
        <v>0.02</v>
      </c>
      <c r="FP59">
        <v>46.596478642294187</v>
      </c>
      <c r="FQ59">
        <v>-0.1022625435056152</v>
      </c>
      <c r="FR59">
        <v>2.9176695529484761E-2</v>
      </c>
      <c r="FS59">
        <v>1</v>
      </c>
      <c r="FT59">
        <v>0.39846244552370491</v>
      </c>
      <c r="FU59">
        <v>4.2356261920025007E-2</v>
      </c>
      <c r="FV59">
        <v>5.1849037915817258E-3</v>
      </c>
      <c r="FW59">
        <v>1</v>
      </c>
      <c r="FX59">
        <v>2</v>
      </c>
      <c r="FY59">
        <v>2</v>
      </c>
      <c r="FZ59" t="s">
        <v>420</v>
      </c>
      <c r="GA59">
        <v>2.9277000000000002</v>
      </c>
      <c r="GB59">
        <v>2.8071700000000002</v>
      </c>
      <c r="GC59">
        <v>8.6792900000000006E-2</v>
      </c>
      <c r="GD59">
        <v>9.9181500000000006E-2</v>
      </c>
      <c r="GE59">
        <v>0.114826</v>
      </c>
      <c r="GF59">
        <v>9.7667000000000004E-2</v>
      </c>
      <c r="GG59">
        <v>27136.6</v>
      </c>
      <c r="GH59">
        <v>27095.200000000001</v>
      </c>
      <c r="GI59">
        <v>28228.9</v>
      </c>
      <c r="GJ59">
        <v>27106.799999999999</v>
      </c>
      <c r="GK59">
        <v>35877.9</v>
      </c>
      <c r="GL59">
        <v>32288.7</v>
      </c>
      <c r="GM59">
        <v>42043.3</v>
      </c>
      <c r="GN59">
        <v>36768</v>
      </c>
      <c r="GO59">
        <v>1.91893</v>
      </c>
      <c r="GP59">
        <v>1.8706</v>
      </c>
      <c r="GQ59">
        <v>6.22049E-2</v>
      </c>
      <c r="GR59">
        <v>0</v>
      </c>
      <c r="GS59">
        <v>26.631599999999999</v>
      </c>
      <c r="GT59">
        <v>999.9</v>
      </c>
      <c r="GU59">
        <v>49</v>
      </c>
      <c r="GV59">
        <v>36.4</v>
      </c>
      <c r="GW59">
        <v>29.967700000000001</v>
      </c>
      <c r="GX59">
        <v>62.5837</v>
      </c>
      <c r="GY59">
        <v>26.7989</v>
      </c>
      <c r="GZ59">
        <v>1</v>
      </c>
      <c r="HA59">
        <v>0.45332299999999998</v>
      </c>
      <c r="HB59">
        <v>2.9588399999999999</v>
      </c>
      <c r="HC59">
        <v>20.319099999999999</v>
      </c>
      <c r="HD59">
        <v>5.2398999999999996</v>
      </c>
      <c r="HE59">
        <v>11.9381</v>
      </c>
      <c r="HF59">
        <v>4.9739000000000004</v>
      </c>
      <c r="HG59">
        <v>3.2989999999999999</v>
      </c>
      <c r="HH59">
        <v>9999</v>
      </c>
      <c r="HI59">
        <v>9999</v>
      </c>
      <c r="HJ59">
        <v>9999</v>
      </c>
      <c r="HK59">
        <v>999.9</v>
      </c>
      <c r="HL59">
        <v>1.87355</v>
      </c>
      <c r="HM59">
        <v>1.8812599999999999</v>
      </c>
      <c r="HN59">
        <v>1.8846700000000001</v>
      </c>
      <c r="HO59">
        <v>1.88141</v>
      </c>
      <c r="HP59">
        <v>1.8787799999999999</v>
      </c>
      <c r="HQ59">
        <v>1.87347</v>
      </c>
      <c r="HR59">
        <v>1.8763700000000001</v>
      </c>
      <c r="HS59">
        <v>1.88059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-1.028</v>
      </c>
      <c r="IH59">
        <v>0.2147</v>
      </c>
      <c r="II59">
        <v>-1.15911861203986</v>
      </c>
      <c r="IJ59">
        <v>9.4905977090923709E-4</v>
      </c>
      <c r="IK59">
        <v>-1.9106666302146479E-6</v>
      </c>
      <c r="IL59">
        <v>7.5819610513223293E-10</v>
      </c>
      <c r="IM59">
        <v>-8.2209700745093317E-2</v>
      </c>
      <c r="IN59">
        <v>-1.0595840490420019E-2</v>
      </c>
      <c r="IO59">
        <v>1.2407080968752471E-3</v>
      </c>
      <c r="IP59">
        <v>-1.3015442653884381E-5</v>
      </c>
      <c r="IQ59">
        <v>33</v>
      </c>
      <c r="IR59">
        <v>2014</v>
      </c>
      <c r="IS59">
        <v>1</v>
      </c>
      <c r="IT59">
        <v>26</v>
      </c>
      <c r="IU59">
        <v>0.7</v>
      </c>
      <c r="IV59">
        <v>0.6</v>
      </c>
      <c r="IW59">
        <v>1.00952</v>
      </c>
      <c r="IX59">
        <v>2.5146500000000001</v>
      </c>
      <c r="IY59">
        <v>1.5991200000000001</v>
      </c>
      <c r="IZ59">
        <v>2.2985799999999998</v>
      </c>
      <c r="JA59">
        <v>1.5490699999999999</v>
      </c>
      <c r="JB59">
        <v>2.2900399999999999</v>
      </c>
      <c r="JC59">
        <v>39.868000000000002</v>
      </c>
      <c r="JD59">
        <v>24.061199999999999</v>
      </c>
      <c r="JE59">
        <v>18</v>
      </c>
      <c r="JF59">
        <v>486.56099999999998</v>
      </c>
      <c r="JG59">
        <v>488.92500000000001</v>
      </c>
      <c r="JH59">
        <v>23.067299999999999</v>
      </c>
      <c r="JI59">
        <v>32.869199999999999</v>
      </c>
      <c r="JJ59">
        <v>30.0001</v>
      </c>
      <c r="JK59">
        <v>32.987499999999997</v>
      </c>
      <c r="JL59">
        <v>32.963299999999997</v>
      </c>
      <c r="JM59">
        <v>20.270299999999999</v>
      </c>
      <c r="JN59">
        <v>42.631599999999999</v>
      </c>
      <c r="JO59">
        <v>0</v>
      </c>
      <c r="JP59">
        <v>23.057300000000001</v>
      </c>
      <c r="JQ59">
        <v>400</v>
      </c>
      <c r="JR59">
        <v>19.282800000000002</v>
      </c>
      <c r="JS59">
        <v>99.671300000000002</v>
      </c>
      <c r="JT59">
        <v>98.459100000000007</v>
      </c>
    </row>
    <row r="60" spans="1:280" x14ac:dyDescent="0.25">
      <c r="A60">
        <v>44</v>
      </c>
      <c r="B60">
        <v>1674584544.0999999</v>
      </c>
      <c r="C60">
        <v>9119.0999999046326</v>
      </c>
      <c r="D60" t="s">
        <v>641</v>
      </c>
      <c r="E60" t="s">
        <v>642</v>
      </c>
      <c r="F60" t="s">
        <v>412</v>
      </c>
      <c r="G60" t="s">
        <v>31</v>
      </c>
      <c r="H60" t="s">
        <v>637</v>
      </c>
      <c r="I60">
        <v>1674584544.0999999</v>
      </c>
      <c r="J60">
        <f t="shared" si="46"/>
        <v>4.7873285964298044E-3</v>
      </c>
      <c r="K60">
        <f t="shared" si="47"/>
        <v>4.7873285964298047</v>
      </c>
      <c r="L60">
        <f t="shared" si="48"/>
        <v>37.986523670409916</v>
      </c>
      <c r="M60">
        <f t="shared" si="49"/>
        <v>252.92400000000001</v>
      </c>
      <c r="N60">
        <f t="shared" si="50"/>
        <v>89.729872150491403</v>
      </c>
      <c r="O60">
        <f t="shared" si="51"/>
        <v>8.9614904854499873</v>
      </c>
      <c r="P60">
        <f t="shared" si="52"/>
        <v>25.259993859576003</v>
      </c>
      <c r="Q60">
        <f t="shared" si="53"/>
        <v>0.405444714569691</v>
      </c>
      <c r="R60">
        <f t="shared" si="54"/>
        <v>2.9236776355067926</v>
      </c>
      <c r="S60">
        <f t="shared" si="55"/>
        <v>0.37659907163534723</v>
      </c>
      <c r="T60">
        <f t="shared" si="56"/>
        <v>0.23779484300199649</v>
      </c>
      <c r="U60">
        <f t="shared" si="57"/>
        <v>344.3687996578401</v>
      </c>
      <c r="V60">
        <f t="shared" si="58"/>
        <v>28.78891037319044</v>
      </c>
      <c r="W60">
        <f t="shared" si="59"/>
        <v>27.621200000000002</v>
      </c>
      <c r="X60">
        <f t="shared" si="60"/>
        <v>3.7118421207758483</v>
      </c>
      <c r="Y60">
        <f t="shared" si="61"/>
        <v>65.386637016576614</v>
      </c>
      <c r="Z60">
        <f t="shared" si="62"/>
        <v>2.4816362995268002</v>
      </c>
      <c r="AA60">
        <f t="shared" si="63"/>
        <v>3.7953264042279216</v>
      </c>
      <c r="AB60">
        <f t="shared" si="64"/>
        <v>1.2302058212490481</v>
      </c>
      <c r="AC60">
        <f t="shared" si="65"/>
        <v>-211.12119110255438</v>
      </c>
      <c r="AD60">
        <f t="shared" si="66"/>
        <v>60.053718609152952</v>
      </c>
      <c r="AE60">
        <f t="shared" si="67"/>
        <v>4.4689549129877228</v>
      </c>
      <c r="AF60">
        <f t="shared" si="68"/>
        <v>197.7702820774264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52527.178513090272</v>
      </c>
      <c r="AL60" t="s">
        <v>415</v>
      </c>
      <c r="AM60">
        <v>10297.6</v>
      </c>
      <c r="AN60">
        <v>785.57400000000007</v>
      </c>
      <c r="AO60">
        <v>3597.65</v>
      </c>
      <c r="AP60">
        <f t="shared" si="72"/>
        <v>0.7816424610509638</v>
      </c>
      <c r="AQ60">
        <v>-0.62398835798131469</v>
      </c>
      <c r="AR60" t="s">
        <v>643</v>
      </c>
      <c r="AS60">
        <v>10241.9</v>
      </c>
      <c r="AT60">
        <v>727.77053846153831</v>
      </c>
      <c r="AU60">
        <v>1005.85342350972</v>
      </c>
      <c r="AV60">
        <f t="shared" si="73"/>
        <v>0.27646462053871457</v>
      </c>
      <c r="AW60">
        <v>0.5</v>
      </c>
      <c r="AX60">
        <f t="shared" si="74"/>
        <v>1513.18439982892</v>
      </c>
      <c r="AY60">
        <f t="shared" si="75"/>
        <v>37.986523670409916</v>
      </c>
      <c r="AZ60">
        <f t="shared" si="76"/>
        <v>209.17097545190245</v>
      </c>
      <c r="BA60">
        <f t="shared" si="77"/>
        <v>2.5516065347195305E-2</v>
      </c>
      <c r="BB60">
        <f t="shared" si="78"/>
        <v>2.5767139783118056</v>
      </c>
      <c r="BC60">
        <f t="shared" si="79"/>
        <v>502.72073232880825</v>
      </c>
      <c r="BD60" t="s">
        <v>644</v>
      </c>
      <c r="BE60">
        <v>551.71</v>
      </c>
      <c r="BF60">
        <f t="shared" si="80"/>
        <v>551.71</v>
      </c>
      <c r="BG60">
        <f t="shared" si="81"/>
        <v>0.45150059928719954</v>
      </c>
      <c r="BH60">
        <f t="shared" si="82"/>
        <v>0.61232392819672732</v>
      </c>
      <c r="BI60">
        <f t="shared" si="83"/>
        <v>0.85090204550656945</v>
      </c>
      <c r="BJ60">
        <f t="shared" si="84"/>
        <v>1.2624097186086525</v>
      </c>
      <c r="BK60">
        <f t="shared" si="85"/>
        <v>0.92166661800402272</v>
      </c>
      <c r="BL60">
        <f t="shared" si="86"/>
        <v>0.4641919624000691</v>
      </c>
      <c r="BM60">
        <f t="shared" si="87"/>
        <v>0.5358080375999309</v>
      </c>
      <c r="BN60">
        <v>87</v>
      </c>
      <c r="BO60">
        <v>290.00000000000011</v>
      </c>
      <c r="BP60">
        <v>928.2</v>
      </c>
      <c r="BQ60">
        <v>175</v>
      </c>
      <c r="BR60">
        <v>10241.9</v>
      </c>
      <c r="BS60">
        <v>926.97</v>
      </c>
      <c r="BT60">
        <v>1.23</v>
      </c>
      <c r="BU60">
        <v>300.00000000000011</v>
      </c>
      <c r="BV60">
        <v>24.1</v>
      </c>
      <c r="BW60">
        <v>1005.85342350972</v>
      </c>
      <c r="BX60">
        <v>1.987502722173651</v>
      </c>
      <c r="BY60">
        <v>-80.793763374662859</v>
      </c>
      <c r="BZ60">
        <v>1.8111856341730559</v>
      </c>
      <c r="CA60">
        <v>0.98612414107715174</v>
      </c>
      <c r="CB60">
        <v>-6.9731045606229109E-3</v>
      </c>
      <c r="CC60">
        <v>289.99999999999989</v>
      </c>
      <c r="CD60">
        <v>923.72</v>
      </c>
      <c r="CE60">
        <v>695</v>
      </c>
      <c r="CF60">
        <v>10211</v>
      </c>
      <c r="CG60">
        <v>926.73</v>
      </c>
      <c r="CH60">
        <v>-3.01</v>
      </c>
      <c r="CV60">
        <f t="shared" si="88"/>
        <v>1800</v>
      </c>
      <c r="CW60">
        <f t="shared" si="89"/>
        <v>1513.18439982892</v>
      </c>
      <c r="CX60">
        <f t="shared" si="90"/>
        <v>0.8406579999049556</v>
      </c>
      <c r="CY60">
        <f t="shared" si="91"/>
        <v>0.19131599980991115</v>
      </c>
      <c r="CZ60">
        <v>6</v>
      </c>
      <c r="DA60">
        <v>0.5</v>
      </c>
      <c r="DB60" t="s">
        <v>418</v>
      </c>
      <c r="DC60">
        <v>2</v>
      </c>
      <c r="DD60">
        <v>1674584544.0999999</v>
      </c>
      <c r="DE60">
        <v>252.92400000000001</v>
      </c>
      <c r="DF60">
        <v>299.947</v>
      </c>
      <c r="DG60">
        <v>24.848199999999999</v>
      </c>
      <c r="DH60">
        <v>19.247800000000002</v>
      </c>
      <c r="DI60">
        <v>253.89</v>
      </c>
      <c r="DJ60">
        <v>24.632400000000001</v>
      </c>
      <c r="DK60">
        <v>500.14699999999999</v>
      </c>
      <c r="DL60">
        <v>99.771600000000007</v>
      </c>
      <c r="DM60">
        <v>0.100274</v>
      </c>
      <c r="DN60">
        <v>28.002199999999998</v>
      </c>
      <c r="DO60">
        <v>27.621200000000002</v>
      </c>
      <c r="DP60">
        <v>999.9</v>
      </c>
      <c r="DQ60">
        <v>0</v>
      </c>
      <c r="DR60">
        <v>0</v>
      </c>
      <c r="DS60">
        <v>9989.3799999999992</v>
      </c>
      <c r="DT60">
        <v>0</v>
      </c>
      <c r="DU60">
        <v>586.36500000000001</v>
      </c>
      <c r="DV60">
        <v>-47.022399999999998</v>
      </c>
      <c r="DW60">
        <v>259.36900000000003</v>
      </c>
      <c r="DX60">
        <v>305.83300000000003</v>
      </c>
      <c r="DY60">
        <v>5.6003499999999997</v>
      </c>
      <c r="DZ60">
        <v>299.947</v>
      </c>
      <c r="EA60">
        <v>19.247800000000002</v>
      </c>
      <c r="EB60">
        <v>2.4791400000000001</v>
      </c>
      <c r="EC60">
        <v>1.92039</v>
      </c>
      <c r="ED60">
        <v>20.8902</v>
      </c>
      <c r="EE60">
        <v>16.802800000000001</v>
      </c>
      <c r="EF60">
        <v>1800</v>
      </c>
      <c r="EG60">
        <v>0.97800699999999996</v>
      </c>
      <c r="EH60">
        <v>2.1993200000000001E-2</v>
      </c>
      <c r="EI60">
        <v>0</v>
      </c>
      <c r="EJ60">
        <v>727.31600000000003</v>
      </c>
      <c r="EK60">
        <v>5.0002599999999999</v>
      </c>
      <c r="EL60">
        <v>13812.1</v>
      </c>
      <c r="EM60">
        <v>17103.400000000001</v>
      </c>
      <c r="EN60">
        <v>47.875</v>
      </c>
      <c r="EO60">
        <v>49.625</v>
      </c>
      <c r="EP60">
        <v>48.875</v>
      </c>
      <c r="EQ60">
        <v>48.811999999999998</v>
      </c>
      <c r="ER60">
        <v>49.25</v>
      </c>
      <c r="ES60">
        <v>1755.52</v>
      </c>
      <c r="ET60">
        <v>39.479999999999997</v>
      </c>
      <c r="EU60">
        <v>0</v>
      </c>
      <c r="EV60">
        <v>118.2000000476837</v>
      </c>
      <c r="EW60">
        <v>0</v>
      </c>
      <c r="EX60">
        <v>727.77053846153831</v>
      </c>
      <c r="EY60">
        <v>-5.4407521312076694</v>
      </c>
      <c r="EZ60">
        <v>-64.717948793744057</v>
      </c>
      <c r="FA60">
        <v>13817.469230769229</v>
      </c>
      <c r="FB60">
        <v>15</v>
      </c>
      <c r="FC60">
        <v>1674584506.5999999</v>
      </c>
      <c r="FD60" t="s">
        <v>645</v>
      </c>
      <c r="FE60">
        <v>1674584493.5999999</v>
      </c>
      <c r="FF60">
        <v>1674584506.5999999</v>
      </c>
      <c r="FG60">
        <v>50</v>
      </c>
      <c r="FH60">
        <v>6.3E-2</v>
      </c>
      <c r="FI60">
        <v>1E-3</v>
      </c>
      <c r="FJ60">
        <v>-0.96299999999999997</v>
      </c>
      <c r="FK60">
        <v>7.9000000000000001E-2</v>
      </c>
      <c r="FL60">
        <v>300</v>
      </c>
      <c r="FM60">
        <v>19</v>
      </c>
      <c r="FN60">
        <v>0.06</v>
      </c>
      <c r="FO60">
        <v>0.02</v>
      </c>
      <c r="FP60">
        <v>37.975972471547742</v>
      </c>
      <c r="FQ60">
        <v>-3.0647152794939389E-2</v>
      </c>
      <c r="FR60">
        <v>2.798516531296074E-2</v>
      </c>
      <c r="FS60">
        <v>1</v>
      </c>
      <c r="FT60">
        <v>0.4060740770221577</v>
      </c>
      <c r="FU60">
        <v>3.7056098578975419E-2</v>
      </c>
      <c r="FV60">
        <v>6.6071777758865647E-3</v>
      </c>
      <c r="FW60">
        <v>1</v>
      </c>
      <c r="FX60">
        <v>2</v>
      </c>
      <c r="FY60">
        <v>2</v>
      </c>
      <c r="FZ60" t="s">
        <v>420</v>
      </c>
      <c r="GA60">
        <v>2.9277799999999998</v>
      </c>
      <c r="GB60">
        <v>2.8070900000000001</v>
      </c>
      <c r="GC60">
        <v>6.7571000000000006E-2</v>
      </c>
      <c r="GD60">
        <v>7.8794699999999995E-2</v>
      </c>
      <c r="GE60">
        <v>0.114874</v>
      </c>
      <c r="GF60">
        <v>9.7539399999999998E-2</v>
      </c>
      <c r="GG60">
        <v>27709.7</v>
      </c>
      <c r="GH60">
        <v>27710.400000000001</v>
      </c>
      <c r="GI60">
        <v>28230.2</v>
      </c>
      <c r="GJ60">
        <v>27108.1</v>
      </c>
      <c r="GK60">
        <v>35876.9</v>
      </c>
      <c r="GL60">
        <v>32294.5</v>
      </c>
      <c r="GM60">
        <v>42044.7</v>
      </c>
      <c r="GN60">
        <v>36769.5</v>
      </c>
      <c r="GO60">
        <v>1.91917</v>
      </c>
      <c r="GP60">
        <v>1.8705700000000001</v>
      </c>
      <c r="GQ60">
        <v>6.1936699999999997E-2</v>
      </c>
      <c r="GR60">
        <v>0</v>
      </c>
      <c r="GS60">
        <v>26.608499999999999</v>
      </c>
      <c r="GT60">
        <v>999.9</v>
      </c>
      <c r="GU60">
        <v>49</v>
      </c>
      <c r="GV60">
        <v>36.4</v>
      </c>
      <c r="GW60">
        <v>29.9621</v>
      </c>
      <c r="GX60">
        <v>62.433700000000002</v>
      </c>
      <c r="GY60">
        <v>27.4359</v>
      </c>
      <c r="GZ60">
        <v>1</v>
      </c>
      <c r="HA60">
        <v>0.45053399999999999</v>
      </c>
      <c r="HB60">
        <v>2.8359999999999999</v>
      </c>
      <c r="HC60">
        <v>20.321899999999999</v>
      </c>
      <c r="HD60">
        <v>5.2391500000000004</v>
      </c>
      <c r="HE60">
        <v>11.9381</v>
      </c>
      <c r="HF60">
        <v>4.9734499999999997</v>
      </c>
      <c r="HG60">
        <v>3.2989999999999999</v>
      </c>
      <c r="HH60">
        <v>9999</v>
      </c>
      <c r="HI60">
        <v>9999</v>
      </c>
      <c r="HJ60">
        <v>9999</v>
      </c>
      <c r="HK60">
        <v>999.9</v>
      </c>
      <c r="HL60">
        <v>1.8735299999999999</v>
      </c>
      <c r="HM60">
        <v>1.8812500000000001</v>
      </c>
      <c r="HN60">
        <v>1.8846499999999999</v>
      </c>
      <c r="HO60">
        <v>1.88141</v>
      </c>
      <c r="HP60">
        <v>1.8788100000000001</v>
      </c>
      <c r="HQ60">
        <v>1.87347</v>
      </c>
      <c r="HR60">
        <v>1.8763700000000001</v>
      </c>
      <c r="HS60">
        <v>1.8805499999999999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-0.96599999999999997</v>
      </c>
      <c r="IH60">
        <v>0.21579999999999999</v>
      </c>
      <c r="II60">
        <v>-1.095884907868875</v>
      </c>
      <c r="IJ60">
        <v>9.4905977090923709E-4</v>
      </c>
      <c r="IK60">
        <v>-1.9106666302146479E-6</v>
      </c>
      <c r="IL60">
        <v>7.5819610513223293E-10</v>
      </c>
      <c r="IM60">
        <v>-8.1477386908815563E-2</v>
      </c>
      <c r="IN60">
        <v>-1.0595840490420019E-2</v>
      </c>
      <c r="IO60">
        <v>1.2407080968752471E-3</v>
      </c>
      <c r="IP60">
        <v>-1.3015442653884381E-5</v>
      </c>
      <c r="IQ60">
        <v>33</v>
      </c>
      <c r="IR60">
        <v>2014</v>
      </c>
      <c r="IS60">
        <v>1</v>
      </c>
      <c r="IT60">
        <v>26</v>
      </c>
      <c r="IU60">
        <v>0.8</v>
      </c>
      <c r="IV60">
        <v>0.6</v>
      </c>
      <c r="IW60">
        <v>0.80200199999999999</v>
      </c>
      <c r="IX60">
        <v>2.52075</v>
      </c>
      <c r="IY60">
        <v>1.5991200000000001</v>
      </c>
      <c r="IZ60">
        <v>2.2973599999999998</v>
      </c>
      <c r="JA60">
        <v>1.5502899999999999</v>
      </c>
      <c r="JB60">
        <v>2.3535200000000001</v>
      </c>
      <c r="JC60">
        <v>39.842799999999997</v>
      </c>
      <c r="JD60">
        <v>24.07</v>
      </c>
      <c r="JE60">
        <v>18</v>
      </c>
      <c r="JF60">
        <v>486.52600000000001</v>
      </c>
      <c r="JG60">
        <v>488.71899999999999</v>
      </c>
      <c r="JH60">
        <v>23.0275</v>
      </c>
      <c r="JI60">
        <v>32.845300000000002</v>
      </c>
      <c r="JJ60">
        <v>29.9998</v>
      </c>
      <c r="JK60">
        <v>32.962200000000003</v>
      </c>
      <c r="JL60">
        <v>32.939799999999998</v>
      </c>
      <c r="JM60">
        <v>16.106999999999999</v>
      </c>
      <c r="JN60">
        <v>42.565800000000003</v>
      </c>
      <c r="JO60">
        <v>0</v>
      </c>
      <c r="JP60">
        <v>23.025200000000002</v>
      </c>
      <c r="JQ60">
        <v>300</v>
      </c>
      <c r="JR60">
        <v>19.181899999999999</v>
      </c>
      <c r="JS60">
        <v>99.674999999999997</v>
      </c>
      <c r="JT60">
        <v>98.463499999999996</v>
      </c>
    </row>
    <row r="61" spans="1:280" x14ac:dyDescent="0.25">
      <c r="A61">
        <v>45</v>
      </c>
      <c r="B61">
        <v>1674584669.0999999</v>
      </c>
      <c r="C61">
        <v>9244.0999999046326</v>
      </c>
      <c r="D61" t="s">
        <v>646</v>
      </c>
      <c r="E61" t="s">
        <v>647</v>
      </c>
      <c r="F61" t="s">
        <v>412</v>
      </c>
      <c r="G61" t="s">
        <v>31</v>
      </c>
      <c r="H61" t="s">
        <v>637</v>
      </c>
      <c r="I61">
        <v>1674584669.0999999</v>
      </c>
      <c r="J61">
        <f t="shared" si="46"/>
        <v>4.9907960469765334E-3</v>
      </c>
      <c r="K61">
        <f t="shared" si="47"/>
        <v>4.9907960469765333</v>
      </c>
      <c r="L61">
        <f t="shared" si="48"/>
        <v>26.704188547293285</v>
      </c>
      <c r="M61">
        <f t="shared" si="49"/>
        <v>167.035</v>
      </c>
      <c r="N61">
        <f t="shared" si="50"/>
        <v>57.632940169855829</v>
      </c>
      <c r="O61">
        <f t="shared" si="51"/>
        <v>5.755368623218124</v>
      </c>
      <c r="P61">
        <f t="shared" si="52"/>
        <v>16.680530181974998</v>
      </c>
      <c r="Q61">
        <f t="shared" si="53"/>
        <v>0.42624662631921839</v>
      </c>
      <c r="R61">
        <f t="shared" si="54"/>
        <v>2.9246086516102681</v>
      </c>
      <c r="S61">
        <f t="shared" si="55"/>
        <v>0.39449864536044299</v>
      </c>
      <c r="T61">
        <f t="shared" si="56"/>
        <v>0.2492167379980344</v>
      </c>
      <c r="U61">
        <f t="shared" si="57"/>
        <v>344.3680996576648</v>
      </c>
      <c r="V61">
        <f t="shared" si="58"/>
        <v>28.73751075655651</v>
      </c>
      <c r="W61">
        <f t="shared" si="59"/>
        <v>27.596900000000002</v>
      </c>
      <c r="X61">
        <f t="shared" si="60"/>
        <v>3.7065723261674681</v>
      </c>
      <c r="Y61">
        <f t="shared" si="61"/>
        <v>65.398886716261515</v>
      </c>
      <c r="Z61">
        <f t="shared" si="62"/>
        <v>2.4823616796329997</v>
      </c>
      <c r="AA61">
        <f t="shared" si="63"/>
        <v>3.795724674034485</v>
      </c>
      <c r="AB61">
        <f t="shared" si="64"/>
        <v>1.2242106465344684</v>
      </c>
      <c r="AC61">
        <f t="shared" si="65"/>
        <v>-220.09410567166512</v>
      </c>
      <c r="AD61">
        <f t="shared" si="66"/>
        <v>64.188068311786921</v>
      </c>
      <c r="AE61">
        <f t="shared" si="67"/>
        <v>4.7745604616391182</v>
      </c>
      <c r="AF61">
        <f t="shared" si="68"/>
        <v>193.2366227594257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52553.441324062973</v>
      </c>
      <c r="AL61" t="s">
        <v>415</v>
      </c>
      <c r="AM61">
        <v>10297.6</v>
      </c>
      <c r="AN61">
        <v>785.57400000000007</v>
      </c>
      <c r="AO61">
        <v>3597.65</v>
      </c>
      <c r="AP61">
        <f t="shared" si="72"/>
        <v>0.7816424610509638</v>
      </c>
      <c r="AQ61">
        <v>-0.62398835798131469</v>
      </c>
      <c r="AR61" t="s">
        <v>648</v>
      </c>
      <c r="AS61">
        <v>10232.200000000001</v>
      </c>
      <c r="AT61">
        <v>728.88861538461549</v>
      </c>
      <c r="AU61">
        <v>927.72766741075395</v>
      </c>
      <c r="AV61">
        <f t="shared" si="73"/>
        <v>0.21432911727327186</v>
      </c>
      <c r="AW61">
        <v>0.5</v>
      </c>
      <c r="AX61">
        <f t="shared" si="74"/>
        <v>1513.1765998288324</v>
      </c>
      <c r="AY61">
        <f t="shared" si="75"/>
        <v>26.704188547293285</v>
      </c>
      <c r="AZ61">
        <f t="shared" si="76"/>
        <v>162.15890245994228</v>
      </c>
      <c r="BA61">
        <f t="shared" si="77"/>
        <v>1.8060137136911784E-2</v>
      </c>
      <c r="BB61">
        <f t="shared" si="78"/>
        <v>2.8779160376243591</v>
      </c>
      <c r="BC61">
        <f t="shared" si="79"/>
        <v>482.41643711241449</v>
      </c>
      <c r="BD61" t="s">
        <v>649</v>
      </c>
      <c r="BE61">
        <v>546.04999999999995</v>
      </c>
      <c r="BF61">
        <f t="shared" si="80"/>
        <v>546.04999999999995</v>
      </c>
      <c r="BG61">
        <f t="shared" si="81"/>
        <v>0.41141132340700703</v>
      </c>
      <c r="BH61">
        <f t="shared" si="82"/>
        <v>0.52096066656200712</v>
      </c>
      <c r="BI61">
        <f t="shared" si="83"/>
        <v>0.87492539408482306</v>
      </c>
      <c r="BJ61">
        <f t="shared" si="84"/>
        <v>1.3987613239100742</v>
      </c>
      <c r="BK61">
        <f t="shared" si="85"/>
        <v>0.94944885294325121</v>
      </c>
      <c r="BL61">
        <f t="shared" si="86"/>
        <v>0.39027989458454676</v>
      </c>
      <c r="BM61">
        <f t="shared" si="87"/>
        <v>0.6097201054154533</v>
      </c>
      <c r="BN61">
        <v>89</v>
      </c>
      <c r="BO61">
        <v>290.00000000000011</v>
      </c>
      <c r="BP61">
        <v>871.78</v>
      </c>
      <c r="BQ61">
        <v>225</v>
      </c>
      <c r="BR61">
        <v>10232.200000000001</v>
      </c>
      <c r="BS61">
        <v>871.47</v>
      </c>
      <c r="BT61">
        <v>0.31</v>
      </c>
      <c r="BU61">
        <v>300.00000000000011</v>
      </c>
      <c r="BV61">
        <v>24.1</v>
      </c>
      <c r="BW61">
        <v>927.72766741075395</v>
      </c>
      <c r="BX61">
        <v>1.720650250138871</v>
      </c>
      <c r="BY61">
        <v>-57.564525725055383</v>
      </c>
      <c r="BZ61">
        <v>1.567560641121545</v>
      </c>
      <c r="CA61">
        <v>0.9796590227811014</v>
      </c>
      <c r="CB61">
        <v>-6.9712031145717562E-3</v>
      </c>
      <c r="CC61">
        <v>289.99999999999989</v>
      </c>
      <c r="CD61">
        <v>870.85</v>
      </c>
      <c r="CE61">
        <v>705</v>
      </c>
      <c r="CF61">
        <v>10207.4</v>
      </c>
      <c r="CG61">
        <v>871.33</v>
      </c>
      <c r="CH61">
        <v>-0.48</v>
      </c>
      <c r="CV61">
        <f t="shared" si="88"/>
        <v>1799.99</v>
      </c>
      <c r="CW61">
        <f t="shared" si="89"/>
        <v>1513.1765998288324</v>
      </c>
      <c r="CX61">
        <f t="shared" si="90"/>
        <v>0.84065833689566749</v>
      </c>
      <c r="CY61">
        <f t="shared" si="91"/>
        <v>0.19131667379133485</v>
      </c>
      <c r="CZ61">
        <v>6</v>
      </c>
      <c r="DA61">
        <v>0.5</v>
      </c>
      <c r="DB61" t="s">
        <v>418</v>
      </c>
      <c r="DC61">
        <v>2</v>
      </c>
      <c r="DD61">
        <v>1674584669.0999999</v>
      </c>
      <c r="DE61">
        <v>167.035</v>
      </c>
      <c r="DF61">
        <v>200.072</v>
      </c>
      <c r="DG61">
        <v>24.857800000000001</v>
      </c>
      <c r="DH61">
        <v>19.019200000000001</v>
      </c>
      <c r="DI61">
        <v>168.05</v>
      </c>
      <c r="DJ61">
        <v>24.6404</v>
      </c>
      <c r="DK61">
        <v>500.12700000000001</v>
      </c>
      <c r="DL61">
        <v>99.762299999999996</v>
      </c>
      <c r="DM61">
        <v>0.100185</v>
      </c>
      <c r="DN61">
        <v>28.004000000000001</v>
      </c>
      <c r="DO61">
        <v>27.596900000000002</v>
      </c>
      <c r="DP61">
        <v>999.9</v>
      </c>
      <c r="DQ61">
        <v>0</v>
      </c>
      <c r="DR61">
        <v>0</v>
      </c>
      <c r="DS61">
        <v>9995.6200000000008</v>
      </c>
      <c r="DT61">
        <v>0</v>
      </c>
      <c r="DU61">
        <v>564.83699999999999</v>
      </c>
      <c r="DV61">
        <v>-33.036700000000003</v>
      </c>
      <c r="DW61">
        <v>171.29300000000001</v>
      </c>
      <c r="DX61">
        <v>203.95099999999999</v>
      </c>
      <c r="DY61">
        <v>5.8385400000000001</v>
      </c>
      <c r="DZ61">
        <v>200.072</v>
      </c>
      <c r="EA61">
        <v>19.019200000000001</v>
      </c>
      <c r="EB61">
        <v>2.47987</v>
      </c>
      <c r="EC61">
        <v>1.8974</v>
      </c>
      <c r="ED61">
        <v>20.895</v>
      </c>
      <c r="EE61">
        <v>16.613199999999999</v>
      </c>
      <c r="EF61">
        <v>1799.99</v>
      </c>
      <c r="EG61">
        <v>0.977993</v>
      </c>
      <c r="EH61">
        <v>2.2006899999999999E-2</v>
      </c>
      <c r="EI61">
        <v>0</v>
      </c>
      <c r="EJ61">
        <v>728.33500000000004</v>
      </c>
      <c r="EK61">
        <v>5.0002599999999999</v>
      </c>
      <c r="EL61">
        <v>13788</v>
      </c>
      <c r="EM61">
        <v>17103.3</v>
      </c>
      <c r="EN61">
        <v>48.25</v>
      </c>
      <c r="EO61">
        <v>49.936999999999998</v>
      </c>
      <c r="EP61">
        <v>49.186999999999998</v>
      </c>
      <c r="EQ61">
        <v>49.125</v>
      </c>
      <c r="ER61">
        <v>49.5</v>
      </c>
      <c r="ES61">
        <v>1755.49</v>
      </c>
      <c r="ET61">
        <v>39.5</v>
      </c>
      <c r="EU61">
        <v>0</v>
      </c>
      <c r="EV61">
        <v>123</v>
      </c>
      <c r="EW61">
        <v>0</v>
      </c>
      <c r="EX61">
        <v>728.88861538461549</v>
      </c>
      <c r="EY61">
        <v>-2.910085465463482</v>
      </c>
      <c r="EZ61">
        <v>-84.885469964022789</v>
      </c>
      <c r="FA61">
        <v>13798.45</v>
      </c>
      <c r="FB61">
        <v>15</v>
      </c>
      <c r="FC61">
        <v>1674584633.5999999</v>
      </c>
      <c r="FD61" t="s">
        <v>650</v>
      </c>
      <c r="FE61">
        <v>1674584627.0999999</v>
      </c>
      <c r="FF61">
        <v>1674584633.5999999</v>
      </c>
      <c r="FG61">
        <v>51</v>
      </c>
      <c r="FH61">
        <v>-2.8000000000000001E-2</v>
      </c>
      <c r="FI61">
        <v>1E-3</v>
      </c>
      <c r="FJ61">
        <v>-1.004</v>
      </c>
      <c r="FK61">
        <v>0.08</v>
      </c>
      <c r="FL61">
        <v>200</v>
      </c>
      <c r="FM61">
        <v>19</v>
      </c>
      <c r="FN61">
        <v>0.04</v>
      </c>
      <c r="FO61">
        <v>0.02</v>
      </c>
      <c r="FP61">
        <v>26.64262828605175</v>
      </c>
      <c r="FQ61">
        <v>-4.603345024536494E-2</v>
      </c>
      <c r="FR61">
        <v>4.3887406884026321E-2</v>
      </c>
      <c r="FS61">
        <v>1</v>
      </c>
      <c r="FT61">
        <v>0.42707918848165849</v>
      </c>
      <c r="FU61">
        <v>3.0207003310906509E-2</v>
      </c>
      <c r="FV61">
        <v>4.8105188149134724E-3</v>
      </c>
      <c r="FW61">
        <v>1</v>
      </c>
      <c r="FX61">
        <v>2</v>
      </c>
      <c r="FY61">
        <v>2</v>
      </c>
      <c r="FZ61" t="s">
        <v>420</v>
      </c>
      <c r="GA61">
        <v>2.9278</v>
      </c>
      <c r="GB61">
        <v>2.8070499999999998</v>
      </c>
      <c r="GC61">
        <v>4.6727600000000001E-2</v>
      </c>
      <c r="GD61">
        <v>5.5556800000000003E-2</v>
      </c>
      <c r="GE61">
        <v>0.114898</v>
      </c>
      <c r="GF61">
        <v>9.6713900000000005E-2</v>
      </c>
      <c r="GG61">
        <v>28331.9</v>
      </c>
      <c r="GH61">
        <v>28412.400000000001</v>
      </c>
      <c r="GI61">
        <v>28232.5</v>
      </c>
      <c r="GJ61">
        <v>27110.5</v>
      </c>
      <c r="GK61">
        <v>35878.199999999997</v>
      </c>
      <c r="GL61">
        <v>32327.5</v>
      </c>
      <c r="GM61">
        <v>42047.6</v>
      </c>
      <c r="GN61">
        <v>36773.599999999999</v>
      </c>
      <c r="GO61">
        <v>1.9195</v>
      </c>
      <c r="GP61">
        <v>1.8704499999999999</v>
      </c>
      <c r="GQ61">
        <v>6.3579499999999997E-2</v>
      </c>
      <c r="GR61">
        <v>0</v>
      </c>
      <c r="GS61">
        <v>26.557300000000001</v>
      </c>
      <c r="GT61">
        <v>999.9</v>
      </c>
      <c r="GU61">
        <v>49</v>
      </c>
      <c r="GV61">
        <v>36.4</v>
      </c>
      <c r="GW61">
        <v>29.970800000000001</v>
      </c>
      <c r="GX61">
        <v>62.473799999999997</v>
      </c>
      <c r="GY61">
        <v>27.223600000000001</v>
      </c>
      <c r="GZ61">
        <v>1</v>
      </c>
      <c r="HA61">
        <v>0.447797</v>
      </c>
      <c r="HB61">
        <v>2.9178700000000002</v>
      </c>
      <c r="HC61">
        <v>20.319500000000001</v>
      </c>
      <c r="HD61">
        <v>5.23766</v>
      </c>
      <c r="HE61">
        <v>11.9381</v>
      </c>
      <c r="HF61">
        <v>4.9731500000000004</v>
      </c>
      <c r="HG61">
        <v>3.2984800000000001</v>
      </c>
      <c r="HH61">
        <v>9999</v>
      </c>
      <c r="HI61">
        <v>9999</v>
      </c>
      <c r="HJ61">
        <v>9999</v>
      </c>
      <c r="HK61">
        <v>999.9</v>
      </c>
      <c r="HL61">
        <v>1.87351</v>
      </c>
      <c r="HM61">
        <v>1.8812500000000001</v>
      </c>
      <c r="HN61">
        <v>1.88463</v>
      </c>
      <c r="HO61">
        <v>1.88141</v>
      </c>
      <c r="HP61">
        <v>1.8788</v>
      </c>
      <c r="HQ61">
        <v>1.87348</v>
      </c>
      <c r="HR61">
        <v>1.8763700000000001</v>
      </c>
      <c r="HS61">
        <v>1.88059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-1.0149999999999999</v>
      </c>
      <c r="IH61">
        <v>0.21740000000000001</v>
      </c>
      <c r="II61">
        <v>-1.123815778403799</v>
      </c>
      <c r="IJ61">
        <v>9.4905977090923709E-4</v>
      </c>
      <c r="IK61">
        <v>-1.9106666302146479E-6</v>
      </c>
      <c r="IL61">
        <v>7.5819610513223293E-10</v>
      </c>
      <c r="IM61">
        <v>-8.0085177689501047E-2</v>
      </c>
      <c r="IN61">
        <v>-1.0595840490420019E-2</v>
      </c>
      <c r="IO61">
        <v>1.2407080968752471E-3</v>
      </c>
      <c r="IP61">
        <v>-1.3015442653884381E-5</v>
      </c>
      <c r="IQ61">
        <v>33</v>
      </c>
      <c r="IR61">
        <v>2014</v>
      </c>
      <c r="IS61">
        <v>1</v>
      </c>
      <c r="IT61">
        <v>26</v>
      </c>
      <c r="IU61">
        <v>0.7</v>
      </c>
      <c r="IV61">
        <v>0.6</v>
      </c>
      <c r="IW61">
        <v>0.58349600000000001</v>
      </c>
      <c r="IX61">
        <v>2.5268600000000001</v>
      </c>
      <c r="IY61">
        <v>1.5991200000000001</v>
      </c>
      <c r="IZ61">
        <v>2.2985799999999998</v>
      </c>
      <c r="JA61">
        <v>1.5502899999999999</v>
      </c>
      <c r="JB61">
        <v>2.36694</v>
      </c>
      <c r="JC61">
        <v>39.817700000000002</v>
      </c>
      <c r="JD61">
        <v>24.07</v>
      </c>
      <c r="JE61">
        <v>18</v>
      </c>
      <c r="JF61">
        <v>486.48200000000003</v>
      </c>
      <c r="JG61">
        <v>488.37299999999999</v>
      </c>
      <c r="JH61">
        <v>22.966699999999999</v>
      </c>
      <c r="JI61">
        <v>32.8093</v>
      </c>
      <c r="JJ61">
        <v>29.9999</v>
      </c>
      <c r="JK61">
        <v>32.9298</v>
      </c>
      <c r="JL61">
        <v>32.907499999999999</v>
      </c>
      <c r="JM61">
        <v>11.7431</v>
      </c>
      <c r="JN61">
        <v>43.515700000000002</v>
      </c>
      <c r="JO61">
        <v>0</v>
      </c>
      <c r="JP61">
        <v>22.965599999999998</v>
      </c>
      <c r="JQ61">
        <v>200</v>
      </c>
      <c r="JR61">
        <v>18.939299999999999</v>
      </c>
      <c r="JS61">
        <v>99.682299999999998</v>
      </c>
      <c r="JT61">
        <v>98.473600000000005</v>
      </c>
    </row>
    <row r="62" spans="1:280" x14ac:dyDescent="0.25">
      <c r="A62">
        <v>46</v>
      </c>
      <c r="B62">
        <v>1674584779.5999999</v>
      </c>
      <c r="C62">
        <v>9354.5999999046326</v>
      </c>
      <c r="D62" t="s">
        <v>651</v>
      </c>
      <c r="E62" t="s">
        <v>652</v>
      </c>
      <c r="F62" t="s">
        <v>412</v>
      </c>
      <c r="G62" t="s">
        <v>31</v>
      </c>
      <c r="H62" t="s">
        <v>637</v>
      </c>
      <c r="I62">
        <v>1674584779.5999999</v>
      </c>
      <c r="J62">
        <f t="shared" si="46"/>
        <v>5.2235806368280766E-3</v>
      </c>
      <c r="K62">
        <f t="shared" si="47"/>
        <v>5.2235806368280766</v>
      </c>
      <c r="L62">
        <f t="shared" si="48"/>
        <v>16.571114414113119</v>
      </c>
      <c r="M62">
        <f t="shared" si="49"/>
        <v>99.510199999999998</v>
      </c>
      <c r="N62">
        <f t="shared" si="50"/>
        <v>35.31401126301553</v>
      </c>
      <c r="O62">
        <f t="shared" si="51"/>
        <v>3.5264410509413917</v>
      </c>
      <c r="P62">
        <f t="shared" si="52"/>
        <v>9.937043165495739</v>
      </c>
      <c r="Q62">
        <f t="shared" si="53"/>
        <v>0.45264535417166996</v>
      </c>
      <c r="R62">
        <f t="shared" si="54"/>
        <v>2.9268746806753203</v>
      </c>
      <c r="S62">
        <f t="shared" si="55"/>
        <v>0.4170444020936025</v>
      </c>
      <c r="T62">
        <f t="shared" si="56"/>
        <v>0.26361762772418157</v>
      </c>
      <c r="U62">
        <f t="shared" si="57"/>
        <v>344.37569965767244</v>
      </c>
      <c r="V62">
        <f t="shared" si="58"/>
        <v>28.666882646282847</v>
      </c>
      <c r="W62">
        <f t="shared" si="59"/>
        <v>27.5548</v>
      </c>
      <c r="X62">
        <f t="shared" si="60"/>
        <v>3.6974578056388778</v>
      </c>
      <c r="Y62">
        <f t="shared" si="61"/>
        <v>65.515961638367486</v>
      </c>
      <c r="Z62">
        <f t="shared" si="62"/>
        <v>2.4854141691036697</v>
      </c>
      <c r="AA62">
        <f t="shared" si="63"/>
        <v>3.7936009896680822</v>
      </c>
      <c r="AB62">
        <f t="shared" si="64"/>
        <v>1.2120436365352081</v>
      </c>
      <c r="AC62">
        <f t="shared" si="65"/>
        <v>-230.35990608411817</v>
      </c>
      <c r="AD62">
        <f t="shared" si="66"/>
        <v>69.366096358095831</v>
      </c>
      <c r="AE62">
        <f t="shared" si="67"/>
        <v>5.154399076776901</v>
      </c>
      <c r="AF62">
        <f t="shared" si="68"/>
        <v>188.53628900842699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52620.258928612289</v>
      </c>
      <c r="AL62" t="s">
        <v>415</v>
      </c>
      <c r="AM62">
        <v>10297.6</v>
      </c>
      <c r="AN62">
        <v>785.57400000000007</v>
      </c>
      <c r="AO62">
        <v>3597.65</v>
      </c>
      <c r="AP62">
        <f t="shared" si="72"/>
        <v>0.7816424610509638</v>
      </c>
      <c r="AQ62">
        <v>-0.62398835798131469</v>
      </c>
      <c r="AR62" t="s">
        <v>653</v>
      </c>
      <c r="AS62">
        <v>10225.4</v>
      </c>
      <c r="AT62">
        <v>745.7279615384615</v>
      </c>
      <c r="AU62">
        <v>878.58252348958956</v>
      </c>
      <c r="AV62">
        <f t="shared" si="73"/>
        <v>0.15121466498497027</v>
      </c>
      <c r="AW62">
        <v>0.5</v>
      </c>
      <c r="AX62">
        <f t="shared" si="74"/>
        <v>1513.210199828836</v>
      </c>
      <c r="AY62">
        <f t="shared" si="75"/>
        <v>16.571114414113119</v>
      </c>
      <c r="AZ62">
        <f t="shared" si="76"/>
        <v>114.40978670947868</v>
      </c>
      <c r="BA62">
        <f t="shared" si="77"/>
        <v>1.1363327298507125E-2</v>
      </c>
      <c r="BB62">
        <f t="shared" si="78"/>
        <v>3.0948344678092483</v>
      </c>
      <c r="BC62">
        <f t="shared" si="79"/>
        <v>468.78098243586084</v>
      </c>
      <c r="BD62" t="s">
        <v>654</v>
      </c>
      <c r="BE62">
        <v>543.77</v>
      </c>
      <c r="BF62">
        <f t="shared" si="80"/>
        <v>543.77</v>
      </c>
      <c r="BG62">
        <f t="shared" si="81"/>
        <v>0.38108261266086618</v>
      </c>
      <c r="BH62">
        <f t="shared" si="82"/>
        <v>0.39680284526531145</v>
      </c>
      <c r="BI62">
        <f t="shared" si="83"/>
        <v>0.89036487239525142</v>
      </c>
      <c r="BJ62">
        <f t="shared" si="84"/>
        <v>1.4284127622561233</v>
      </c>
      <c r="BK62">
        <f t="shared" si="85"/>
        <v>0.96692531656698122</v>
      </c>
      <c r="BL62">
        <f t="shared" si="86"/>
        <v>0.28934074394203863</v>
      </c>
      <c r="BM62">
        <f t="shared" si="87"/>
        <v>0.71065925605796143</v>
      </c>
      <c r="BN62">
        <v>91</v>
      </c>
      <c r="BO62">
        <v>290.00000000000011</v>
      </c>
      <c r="BP62">
        <v>844.95</v>
      </c>
      <c r="BQ62">
        <v>265</v>
      </c>
      <c r="BR62">
        <v>10225.4</v>
      </c>
      <c r="BS62">
        <v>845.24</v>
      </c>
      <c r="BT62">
        <v>-0.28999999999999998</v>
      </c>
      <c r="BU62">
        <v>300.00000000000011</v>
      </c>
      <c r="BV62">
        <v>24.1</v>
      </c>
      <c r="BW62">
        <v>878.58252348958956</v>
      </c>
      <c r="BX62">
        <v>1.8058233181305761</v>
      </c>
      <c r="BY62">
        <v>-34.094969114170787</v>
      </c>
      <c r="BZ62">
        <v>1.6448350636221549</v>
      </c>
      <c r="CA62">
        <v>0.93882066129037056</v>
      </c>
      <c r="CB62">
        <v>-6.9698086763070122E-3</v>
      </c>
      <c r="CC62">
        <v>289.99999999999989</v>
      </c>
      <c r="CD62">
        <v>845.01</v>
      </c>
      <c r="CE62">
        <v>705</v>
      </c>
      <c r="CF62">
        <v>10205.4</v>
      </c>
      <c r="CG62">
        <v>845.17</v>
      </c>
      <c r="CH62">
        <v>-0.16</v>
      </c>
      <c r="CV62">
        <f t="shared" si="88"/>
        <v>1800.03</v>
      </c>
      <c r="CW62">
        <f t="shared" si="89"/>
        <v>1513.210199828836</v>
      </c>
      <c r="CX62">
        <f t="shared" si="90"/>
        <v>0.84065832226620452</v>
      </c>
      <c r="CY62">
        <f t="shared" si="91"/>
        <v>0.19131664453240915</v>
      </c>
      <c r="CZ62">
        <v>6</v>
      </c>
      <c r="DA62">
        <v>0.5</v>
      </c>
      <c r="DB62" t="s">
        <v>418</v>
      </c>
      <c r="DC62">
        <v>2</v>
      </c>
      <c r="DD62">
        <v>1674584779.5999999</v>
      </c>
      <c r="DE62">
        <v>99.510199999999998</v>
      </c>
      <c r="DF62">
        <v>120.017</v>
      </c>
      <c r="DG62">
        <v>24.889099999999999</v>
      </c>
      <c r="DH62">
        <v>18.7775</v>
      </c>
      <c r="DI62">
        <v>100.494</v>
      </c>
      <c r="DJ62">
        <v>24.671199999999999</v>
      </c>
      <c r="DK62">
        <v>500.05599999999998</v>
      </c>
      <c r="DL62">
        <v>99.759799999999998</v>
      </c>
      <c r="DM62">
        <v>9.9743700000000005E-2</v>
      </c>
      <c r="DN62">
        <v>27.994399999999999</v>
      </c>
      <c r="DO62">
        <v>27.5548</v>
      </c>
      <c r="DP62">
        <v>999.9</v>
      </c>
      <c r="DQ62">
        <v>0</v>
      </c>
      <c r="DR62">
        <v>0</v>
      </c>
      <c r="DS62">
        <v>10008.799999999999</v>
      </c>
      <c r="DT62">
        <v>0</v>
      </c>
      <c r="DU62">
        <v>550.9</v>
      </c>
      <c r="DV62">
        <v>-20.506399999999999</v>
      </c>
      <c r="DW62">
        <v>102.05</v>
      </c>
      <c r="DX62">
        <v>122.313</v>
      </c>
      <c r="DY62">
        <v>6.1116000000000001</v>
      </c>
      <c r="DZ62">
        <v>120.017</v>
      </c>
      <c r="EA62">
        <v>18.7775</v>
      </c>
      <c r="EB62">
        <v>2.4829300000000001</v>
      </c>
      <c r="EC62">
        <v>1.87324</v>
      </c>
      <c r="ED62">
        <v>20.914999999999999</v>
      </c>
      <c r="EE62">
        <v>16.4117</v>
      </c>
      <c r="EF62">
        <v>1800.03</v>
      </c>
      <c r="EG62">
        <v>0.97799700000000001</v>
      </c>
      <c r="EH62">
        <v>2.2003200000000001E-2</v>
      </c>
      <c r="EI62">
        <v>0</v>
      </c>
      <c r="EJ62">
        <v>745.42600000000004</v>
      </c>
      <c r="EK62">
        <v>5.0002599999999999</v>
      </c>
      <c r="EL62">
        <v>14068.5</v>
      </c>
      <c r="EM62">
        <v>17103.599999999999</v>
      </c>
      <c r="EN62">
        <v>48.375</v>
      </c>
      <c r="EO62">
        <v>50.125</v>
      </c>
      <c r="EP62">
        <v>49.5</v>
      </c>
      <c r="EQ62">
        <v>49.311999999999998</v>
      </c>
      <c r="ER62">
        <v>49.811999999999998</v>
      </c>
      <c r="ES62">
        <v>1755.53</v>
      </c>
      <c r="ET62">
        <v>39.5</v>
      </c>
      <c r="EU62">
        <v>0</v>
      </c>
      <c r="EV62">
        <v>108.7999999523163</v>
      </c>
      <c r="EW62">
        <v>0</v>
      </c>
      <c r="EX62">
        <v>745.7279615384615</v>
      </c>
      <c r="EY62">
        <v>-3.18273503819802</v>
      </c>
      <c r="EZ62">
        <v>-13.907692244331921</v>
      </c>
      <c r="FA62">
        <v>14071.04615384615</v>
      </c>
      <c r="FB62">
        <v>15</v>
      </c>
      <c r="FC62">
        <v>1674584744.5999999</v>
      </c>
      <c r="FD62" t="s">
        <v>655</v>
      </c>
      <c r="FE62">
        <v>1674584738.5999999</v>
      </c>
      <c r="FF62">
        <v>1674584744.5999999</v>
      </c>
      <c r="FG62">
        <v>52</v>
      </c>
      <c r="FH62">
        <v>6.4000000000000001E-2</v>
      </c>
      <c r="FI62">
        <v>0</v>
      </c>
      <c r="FJ62">
        <v>-0.97199999999999998</v>
      </c>
      <c r="FK62">
        <v>7.2999999999999995E-2</v>
      </c>
      <c r="FL62">
        <v>120</v>
      </c>
      <c r="FM62">
        <v>19</v>
      </c>
      <c r="FN62">
        <v>0.04</v>
      </c>
      <c r="FO62">
        <v>0.01</v>
      </c>
      <c r="FP62">
        <v>16.561121129503881</v>
      </c>
      <c r="FQ62">
        <v>-0.37825824634225919</v>
      </c>
      <c r="FR62">
        <v>5.1473850006042203E-2</v>
      </c>
      <c r="FS62">
        <v>1</v>
      </c>
      <c r="FT62">
        <v>0.44994745371266542</v>
      </c>
      <c r="FU62">
        <v>4.8711318007972737E-2</v>
      </c>
      <c r="FV62">
        <v>7.4110727960042958E-3</v>
      </c>
      <c r="FW62">
        <v>1</v>
      </c>
      <c r="FX62">
        <v>2</v>
      </c>
      <c r="FY62">
        <v>2</v>
      </c>
      <c r="FZ62" t="s">
        <v>420</v>
      </c>
      <c r="GA62">
        <v>2.9277000000000002</v>
      </c>
      <c r="GB62">
        <v>2.8067199999999999</v>
      </c>
      <c r="GC62">
        <v>2.8614400000000002E-2</v>
      </c>
      <c r="GD62">
        <v>3.4500400000000001E-2</v>
      </c>
      <c r="GE62">
        <v>0.115005</v>
      </c>
      <c r="GF62">
        <v>9.5843999999999999E-2</v>
      </c>
      <c r="GG62">
        <v>28872.1</v>
      </c>
      <c r="GH62">
        <v>29050.400000000001</v>
      </c>
      <c r="GI62">
        <v>28233.8</v>
      </c>
      <c r="GJ62">
        <v>27114.400000000001</v>
      </c>
      <c r="GK62">
        <v>35875.4</v>
      </c>
      <c r="GL62">
        <v>32363</v>
      </c>
      <c r="GM62">
        <v>42049.7</v>
      </c>
      <c r="GN62">
        <v>36778.699999999997</v>
      </c>
      <c r="GO62">
        <v>1.9202699999999999</v>
      </c>
      <c r="GP62">
        <v>1.8704000000000001</v>
      </c>
      <c r="GQ62">
        <v>6.5542799999999998E-2</v>
      </c>
      <c r="GR62">
        <v>0</v>
      </c>
      <c r="GS62">
        <v>26.483000000000001</v>
      </c>
      <c r="GT62">
        <v>999.9</v>
      </c>
      <c r="GU62">
        <v>48.9</v>
      </c>
      <c r="GV62">
        <v>36.4</v>
      </c>
      <c r="GW62">
        <v>29.907699999999998</v>
      </c>
      <c r="GX62">
        <v>62.183799999999998</v>
      </c>
      <c r="GY62">
        <v>26.895</v>
      </c>
      <c r="GZ62">
        <v>1</v>
      </c>
      <c r="HA62">
        <v>0.44390000000000002</v>
      </c>
      <c r="HB62">
        <v>2.8321000000000001</v>
      </c>
      <c r="HC62">
        <v>20.320799999999998</v>
      </c>
      <c r="HD62">
        <v>5.2340600000000004</v>
      </c>
      <c r="HE62">
        <v>11.9381</v>
      </c>
      <c r="HF62">
        <v>4.9727499999999996</v>
      </c>
      <c r="HG62">
        <v>3.29833</v>
      </c>
      <c r="HH62">
        <v>9999</v>
      </c>
      <c r="HI62">
        <v>9999</v>
      </c>
      <c r="HJ62">
        <v>9999</v>
      </c>
      <c r="HK62">
        <v>999.9</v>
      </c>
      <c r="HL62">
        <v>1.8734999999999999</v>
      </c>
      <c r="HM62">
        <v>1.8812500000000001</v>
      </c>
      <c r="HN62">
        <v>1.8846799999999999</v>
      </c>
      <c r="HO62">
        <v>1.8814</v>
      </c>
      <c r="HP62">
        <v>1.8787700000000001</v>
      </c>
      <c r="HQ62">
        <v>1.87347</v>
      </c>
      <c r="HR62">
        <v>1.8763700000000001</v>
      </c>
      <c r="HS62">
        <v>1.8805499999999999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-0.98399999999999999</v>
      </c>
      <c r="IH62">
        <v>0.21790000000000001</v>
      </c>
      <c r="II62">
        <v>-1.0602098159513349</v>
      </c>
      <c r="IJ62">
        <v>9.4905977090923709E-4</v>
      </c>
      <c r="IK62">
        <v>-1.9106666302146479E-6</v>
      </c>
      <c r="IL62">
        <v>7.5819610513223293E-10</v>
      </c>
      <c r="IM62">
        <v>-8.0405627972825411E-2</v>
      </c>
      <c r="IN62">
        <v>-1.0595840490420019E-2</v>
      </c>
      <c r="IO62">
        <v>1.2407080968752471E-3</v>
      </c>
      <c r="IP62">
        <v>-1.3015442653884381E-5</v>
      </c>
      <c r="IQ62">
        <v>33</v>
      </c>
      <c r="IR62">
        <v>2014</v>
      </c>
      <c r="IS62">
        <v>1</v>
      </c>
      <c r="IT62">
        <v>26</v>
      </c>
      <c r="IU62">
        <v>0.7</v>
      </c>
      <c r="IV62">
        <v>0.6</v>
      </c>
      <c r="IW62">
        <v>0.404053</v>
      </c>
      <c r="IX62">
        <v>2.5537100000000001</v>
      </c>
      <c r="IY62">
        <v>1.5991200000000001</v>
      </c>
      <c r="IZ62">
        <v>2.2973599999999998</v>
      </c>
      <c r="JA62">
        <v>1.5490699999999999</v>
      </c>
      <c r="JB62">
        <v>2.2277800000000001</v>
      </c>
      <c r="JC62">
        <v>39.817700000000002</v>
      </c>
      <c r="JD62">
        <v>24.061199999999999</v>
      </c>
      <c r="JE62">
        <v>18</v>
      </c>
      <c r="JF62">
        <v>486.69499999999999</v>
      </c>
      <c r="JG62">
        <v>488.048</v>
      </c>
      <c r="JH62">
        <v>23.009899999999998</v>
      </c>
      <c r="JI62">
        <v>32.766500000000001</v>
      </c>
      <c r="JJ62">
        <v>29.9999</v>
      </c>
      <c r="JK62">
        <v>32.893300000000004</v>
      </c>
      <c r="JL62">
        <v>32.871099999999998</v>
      </c>
      <c r="JM62">
        <v>8.1460000000000008</v>
      </c>
      <c r="JN62">
        <v>43.981099999999998</v>
      </c>
      <c r="JO62">
        <v>0</v>
      </c>
      <c r="JP62">
        <v>23.0152</v>
      </c>
      <c r="JQ62">
        <v>120</v>
      </c>
      <c r="JR62">
        <v>18.706099999999999</v>
      </c>
      <c r="JS62">
        <v>99.687200000000004</v>
      </c>
      <c r="JT62">
        <v>98.487399999999994</v>
      </c>
    </row>
    <row r="63" spans="1:280" x14ac:dyDescent="0.25">
      <c r="A63">
        <v>47</v>
      </c>
      <c r="B63">
        <v>1674584910.5999999</v>
      </c>
      <c r="C63">
        <v>9485.5999999046326</v>
      </c>
      <c r="D63" t="s">
        <v>656</v>
      </c>
      <c r="E63" t="s">
        <v>657</v>
      </c>
      <c r="F63" t="s">
        <v>412</v>
      </c>
      <c r="G63" t="s">
        <v>31</v>
      </c>
      <c r="H63" t="s">
        <v>637</v>
      </c>
      <c r="I63">
        <v>1674584910.5999999</v>
      </c>
      <c r="J63">
        <f t="shared" si="46"/>
        <v>5.4623626755383034E-3</v>
      </c>
      <c r="K63">
        <f t="shared" si="47"/>
        <v>5.4623626755383032</v>
      </c>
      <c r="L63">
        <f t="shared" si="48"/>
        <v>10.026558783585006</v>
      </c>
      <c r="M63">
        <f t="shared" si="49"/>
        <v>57.598999999999997</v>
      </c>
      <c r="N63">
        <f t="shared" si="50"/>
        <v>20.601384021308071</v>
      </c>
      <c r="O63">
        <f t="shared" si="51"/>
        <v>2.0572438458716613</v>
      </c>
      <c r="P63">
        <f t="shared" si="52"/>
        <v>5.7518071677030003</v>
      </c>
      <c r="Q63">
        <f t="shared" si="53"/>
        <v>0.47698310056633431</v>
      </c>
      <c r="R63">
        <f t="shared" si="54"/>
        <v>2.9261983535462219</v>
      </c>
      <c r="S63">
        <f t="shared" si="55"/>
        <v>0.43762075939342626</v>
      </c>
      <c r="T63">
        <f t="shared" si="56"/>
        <v>0.27677832590424201</v>
      </c>
      <c r="U63">
        <f t="shared" si="57"/>
        <v>344.34849965773248</v>
      </c>
      <c r="V63">
        <f t="shared" si="58"/>
        <v>28.620937390709276</v>
      </c>
      <c r="W63">
        <f t="shared" si="59"/>
        <v>27.516400000000001</v>
      </c>
      <c r="X63">
        <f t="shared" si="60"/>
        <v>3.6891613858290619</v>
      </c>
      <c r="Y63">
        <f t="shared" si="61"/>
        <v>65.343897971431502</v>
      </c>
      <c r="Z63">
        <f t="shared" si="62"/>
        <v>2.4812288938584</v>
      </c>
      <c r="AA63">
        <f t="shared" si="63"/>
        <v>3.7971853086315712</v>
      </c>
      <c r="AB63">
        <f t="shared" si="64"/>
        <v>1.207932491970662</v>
      </c>
      <c r="AC63">
        <f t="shared" si="65"/>
        <v>-240.89019399123919</v>
      </c>
      <c r="AD63">
        <f t="shared" si="66"/>
        <v>77.963611025500825</v>
      </c>
      <c r="AE63">
        <f t="shared" si="67"/>
        <v>5.793954437177784</v>
      </c>
      <c r="AF63">
        <f t="shared" si="68"/>
        <v>187.21587112917189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52597.953266815392</v>
      </c>
      <c r="AL63" t="s">
        <v>415</v>
      </c>
      <c r="AM63">
        <v>10297.6</v>
      </c>
      <c r="AN63">
        <v>785.57400000000007</v>
      </c>
      <c r="AO63">
        <v>3597.65</v>
      </c>
      <c r="AP63">
        <f t="shared" si="72"/>
        <v>0.7816424610509638</v>
      </c>
      <c r="AQ63">
        <v>-0.62398835798131469</v>
      </c>
      <c r="AR63" t="s">
        <v>658</v>
      </c>
      <c r="AS63">
        <v>10222.9</v>
      </c>
      <c r="AT63">
        <v>758.57896000000005</v>
      </c>
      <c r="AU63">
        <v>850.27381272368609</v>
      </c>
      <c r="AV63">
        <f t="shared" si="73"/>
        <v>0.10784155803876816</v>
      </c>
      <c r="AW63">
        <v>0.5</v>
      </c>
      <c r="AX63">
        <f t="shared" si="74"/>
        <v>1513.0922998288663</v>
      </c>
      <c r="AY63">
        <f t="shared" si="75"/>
        <v>10.026558783585006</v>
      </c>
      <c r="AZ63">
        <f t="shared" si="76"/>
        <v>81.587115535003946</v>
      </c>
      <c r="BA63">
        <f t="shared" si="77"/>
        <v>7.0389275940211434E-3</v>
      </c>
      <c r="BB63">
        <f t="shared" si="78"/>
        <v>3.2311664150582633</v>
      </c>
      <c r="BC63">
        <f t="shared" si="79"/>
        <v>460.59875639017599</v>
      </c>
      <c r="BD63" t="s">
        <v>659</v>
      </c>
      <c r="BE63">
        <v>556.03</v>
      </c>
      <c r="BF63">
        <f t="shared" si="80"/>
        <v>556.03</v>
      </c>
      <c r="BG63">
        <f t="shared" si="81"/>
        <v>0.34605771496258775</v>
      </c>
      <c r="BH63">
        <f t="shared" si="82"/>
        <v>0.31162882194499503</v>
      </c>
      <c r="BI63">
        <f t="shared" si="83"/>
        <v>0.90326082392814155</v>
      </c>
      <c r="BJ63">
        <f t="shared" si="84"/>
        <v>1.4172352107924631</v>
      </c>
      <c r="BK63">
        <f t="shared" si="85"/>
        <v>0.97699215358202052</v>
      </c>
      <c r="BL63">
        <f t="shared" si="86"/>
        <v>0.22842048488409905</v>
      </c>
      <c r="BM63">
        <f t="shared" si="87"/>
        <v>0.77157951511590095</v>
      </c>
      <c r="BN63">
        <v>93</v>
      </c>
      <c r="BO63">
        <v>290.00000000000011</v>
      </c>
      <c r="BP63">
        <v>830.56</v>
      </c>
      <c r="BQ63">
        <v>275</v>
      </c>
      <c r="BR63">
        <v>10222.9</v>
      </c>
      <c r="BS63">
        <v>830.69</v>
      </c>
      <c r="BT63">
        <v>-0.13</v>
      </c>
      <c r="BU63">
        <v>300.00000000000011</v>
      </c>
      <c r="BV63">
        <v>24.1</v>
      </c>
      <c r="BW63">
        <v>850.27381272368609</v>
      </c>
      <c r="BX63">
        <v>1.773832184831533</v>
      </c>
      <c r="BY63">
        <v>-20.020065230408189</v>
      </c>
      <c r="BZ63">
        <v>1.6154705639506961</v>
      </c>
      <c r="CA63">
        <v>0.84579745936575557</v>
      </c>
      <c r="CB63">
        <v>-6.9691459399332592E-3</v>
      </c>
      <c r="CC63">
        <v>289.99999999999989</v>
      </c>
      <c r="CD63">
        <v>830.55</v>
      </c>
      <c r="CE63">
        <v>625</v>
      </c>
      <c r="CF63">
        <v>10208.9</v>
      </c>
      <c r="CG63">
        <v>830.66</v>
      </c>
      <c r="CH63">
        <v>-0.11</v>
      </c>
      <c r="CV63">
        <f t="shared" si="88"/>
        <v>1799.89</v>
      </c>
      <c r="CW63">
        <f t="shared" si="89"/>
        <v>1513.0922998288663</v>
      </c>
      <c r="CX63">
        <f t="shared" si="90"/>
        <v>0.84065820679534098</v>
      </c>
      <c r="CY63">
        <f t="shared" si="91"/>
        <v>0.19131641359068191</v>
      </c>
      <c r="CZ63">
        <v>6</v>
      </c>
      <c r="DA63">
        <v>0.5</v>
      </c>
      <c r="DB63" t="s">
        <v>418</v>
      </c>
      <c r="DC63">
        <v>2</v>
      </c>
      <c r="DD63">
        <v>1674584910.5999999</v>
      </c>
      <c r="DE63">
        <v>57.598999999999997</v>
      </c>
      <c r="DF63">
        <v>70.004800000000003</v>
      </c>
      <c r="DG63">
        <v>24.847200000000001</v>
      </c>
      <c r="DH63">
        <v>18.457100000000001</v>
      </c>
      <c r="DI63">
        <v>58.542400000000001</v>
      </c>
      <c r="DJ63">
        <v>24.628599999999999</v>
      </c>
      <c r="DK63">
        <v>500.14600000000002</v>
      </c>
      <c r="DL63">
        <v>99.759200000000007</v>
      </c>
      <c r="DM63">
        <v>0.100297</v>
      </c>
      <c r="DN63">
        <v>28.0106</v>
      </c>
      <c r="DO63">
        <v>27.516400000000001</v>
      </c>
      <c r="DP63">
        <v>999.9</v>
      </c>
      <c r="DQ63">
        <v>0</v>
      </c>
      <c r="DR63">
        <v>0</v>
      </c>
      <c r="DS63">
        <v>10005</v>
      </c>
      <c r="DT63">
        <v>0</v>
      </c>
      <c r="DU63">
        <v>562.74099999999999</v>
      </c>
      <c r="DV63">
        <v>-12.405799999999999</v>
      </c>
      <c r="DW63">
        <v>59.066699999999997</v>
      </c>
      <c r="DX63">
        <v>71.321200000000005</v>
      </c>
      <c r="DY63">
        <v>6.3900399999999999</v>
      </c>
      <c r="DZ63">
        <v>70.004800000000003</v>
      </c>
      <c r="EA63">
        <v>18.457100000000001</v>
      </c>
      <c r="EB63">
        <v>2.4787300000000001</v>
      </c>
      <c r="EC63">
        <v>1.84127</v>
      </c>
      <c r="ED63">
        <v>20.887499999999999</v>
      </c>
      <c r="EE63">
        <v>16.1416</v>
      </c>
      <c r="EF63">
        <v>1799.89</v>
      </c>
      <c r="EG63">
        <v>0.97799700000000001</v>
      </c>
      <c r="EH63">
        <v>2.2003200000000001E-2</v>
      </c>
      <c r="EI63">
        <v>0</v>
      </c>
      <c r="EJ63">
        <v>758.76300000000003</v>
      </c>
      <c r="EK63">
        <v>5.0002599999999999</v>
      </c>
      <c r="EL63">
        <v>14315</v>
      </c>
      <c r="EM63">
        <v>17102.3</v>
      </c>
      <c r="EN63">
        <v>48.686999999999998</v>
      </c>
      <c r="EO63">
        <v>50.375</v>
      </c>
      <c r="EP63">
        <v>49.686999999999998</v>
      </c>
      <c r="EQ63">
        <v>49.561999999999998</v>
      </c>
      <c r="ER63">
        <v>50.061999999999998</v>
      </c>
      <c r="ES63">
        <v>1755.4</v>
      </c>
      <c r="ET63">
        <v>39.49</v>
      </c>
      <c r="EU63">
        <v>0</v>
      </c>
      <c r="EV63">
        <v>129</v>
      </c>
      <c r="EW63">
        <v>0</v>
      </c>
      <c r="EX63">
        <v>758.57896000000005</v>
      </c>
      <c r="EY63">
        <v>-0.25723077056711241</v>
      </c>
      <c r="EZ63">
        <v>-9.4615384441973962</v>
      </c>
      <c r="FA63">
        <v>14314.004000000001</v>
      </c>
      <c r="FB63">
        <v>15</v>
      </c>
      <c r="FC63">
        <v>1674584874.0999999</v>
      </c>
      <c r="FD63" t="s">
        <v>660</v>
      </c>
      <c r="FE63">
        <v>1674584861.0999999</v>
      </c>
      <c r="FF63">
        <v>1674584874.0999999</v>
      </c>
      <c r="FG63">
        <v>53</v>
      </c>
      <c r="FH63">
        <v>6.8000000000000005E-2</v>
      </c>
      <c r="FI63">
        <v>2E-3</v>
      </c>
      <c r="FJ63">
        <v>-0.93500000000000005</v>
      </c>
      <c r="FK63">
        <v>6.4000000000000001E-2</v>
      </c>
      <c r="FL63">
        <v>70</v>
      </c>
      <c r="FM63">
        <v>18</v>
      </c>
      <c r="FN63">
        <v>0.08</v>
      </c>
      <c r="FO63">
        <v>0.02</v>
      </c>
      <c r="FP63">
        <v>10.019500814549851</v>
      </c>
      <c r="FQ63">
        <v>-0.26904173454284819</v>
      </c>
      <c r="FR63">
        <v>3.2419028232524627E-2</v>
      </c>
      <c r="FS63">
        <v>1</v>
      </c>
      <c r="FT63">
        <v>0.47720562055909321</v>
      </c>
      <c r="FU63">
        <v>3.7109956822440351E-2</v>
      </c>
      <c r="FV63">
        <v>5.0334784693967472E-3</v>
      </c>
      <c r="FW63">
        <v>1</v>
      </c>
      <c r="FX63">
        <v>2</v>
      </c>
      <c r="FY63">
        <v>2</v>
      </c>
      <c r="FZ63" t="s">
        <v>420</v>
      </c>
      <c r="GA63">
        <v>2.9280400000000002</v>
      </c>
      <c r="GB63">
        <v>2.8072499999999998</v>
      </c>
      <c r="GC63">
        <v>1.67712E-2</v>
      </c>
      <c r="GD63">
        <v>2.0355600000000001E-2</v>
      </c>
      <c r="GE63">
        <v>0.11487799999999999</v>
      </c>
      <c r="GF63">
        <v>9.4686300000000001E-2</v>
      </c>
      <c r="GG63">
        <v>29227.200000000001</v>
      </c>
      <c r="GH63">
        <v>29480.1</v>
      </c>
      <c r="GI63">
        <v>28236.5</v>
      </c>
      <c r="GJ63">
        <v>27118</v>
      </c>
      <c r="GK63">
        <v>35883.300000000003</v>
      </c>
      <c r="GL63">
        <v>32408.3</v>
      </c>
      <c r="GM63">
        <v>42052.9</v>
      </c>
      <c r="GN63">
        <v>36783.199999999997</v>
      </c>
      <c r="GO63">
        <v>1.92143</v>
      </c>
      <c r="GP63">
        <v>1.8707</v>
      </c>
      <c r="GQ63">
        <v>6.6176100000000002E-2</v>
      </c>
      <c r="GR63">
        <v>0</v>
      </c>
      <c r="GS63">
        <v>26.434100000000001</v>
      </c>
      <c r="GT63">
        <v>999.9</v>
      </c>
      <c r="GU63">
        <v>48.8</v>
      </c>
      <c r="GV63">
        <v>36.4</v>
      </c>
      <c r="GW63">
        <v>29.846299999999999</v>
      </c>
      <c r="GX63">
        <v>62.253799999999998</v>
      </c>
      <c r="GY63">
        <v>27.407900000000001</v>
      </c>
      <c r="GZ63">
        <v>1</v>
      </c>
      <c r="HA63">
        <v>0.43925599999999998</v>
      </c>
      <c r="HB63">
        <v>2.8296899999999998</v>
      </c>
      <c r="HC63">
        <v>20.3215</v>
      </c>
      <c r="HD63">
        <v>5.2408000000000001</v>
      </c>
      <c r="HE63">
        <v>11.9381</v>
      </c>
      <c r="HF63">
        <v>4.9737499999999999</v>
      </c>
      <c r="HG63">
        <v>3.2989999999999999</v>
      </c>
      <c r="HH63">
        <v>9999</v>
      </c>
      <c r="HI63">
        <v>9999</v>
      </c>
      <c r="HJ63">
        <v>9999</v>
      </c>
      <c r="HK63">
        <v>999.9</v>
      </c>
      <c r="HL63">
        <v>1.87348</v>
      </c>
      <c r="HM63">
        <v>1.88124</v>
      </c>
      <c r="HN63">
        <v>1.8847100000000001</v>
      </c>
      <c r="HO63">
        <v>1.88141</v>
      </c>
      <c r="HP63">
        <v>1.8787700000000001</v>
      </c>
      <c r="HQ63">
        <v>1.87347</v>
      </c>
      <c r="HR63">
        <v>1.8763700000000001</v>
      </c>
      <c r="HS63">
        <v>1.8806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-0.94299999999999995</v>
      </c>
      <c r="IH63">
        <v>0.21859999999999999</v>
      </c>
      <c r="II63">
        <v>-0.99256492465385715</v>
      </c>
      <c r="IJ63">
        <v>9.4905977090923709E-4</v>
      </c>
      <c r="IK63">
        <v>-1.9106666302146479E-6</v>
      </c>
      <c r="IL63">
        <v>7.5819610513223293E-10</v>
      </c>
      <c r="IM63">
        <v>-7.8595775769652043E-2</v>
      </c>
      <c r="IN63">
        <v>-1.0595840490420019E-2</v>
      </c>
      <c r="IO63">
        <v>1.2407080968752471E-3</v>
      </c>
      <c r="IP63">
        <v>-1.3015442653884381E-5</v>
      </c>
      <c r="IQ63">
        <v>33</v>
      </c>
      <c r="IR63">
        <v>2014</v>
      </c>
      <c r="IS63">
        <v>1</v>
      </c>
      <c r="IT63">
        <v>26</v>
      </c>
      <c r="IU63">
        <v>0.8</v>
      </c>
      <c r="IV63">
        <v>0.6</v>
      </c>
      <c r="IW63">
        <v>0.29174800000000001</v>
      </c>
      <c r="IX63">
        <v>2.5634800000000002</v>
      </c>
      <c r="IY63">
        <v>1.5991200000000001</v>
      </c>
      <c r="IZ63">
        <v>2.2985799999999998</v>
      </c>
      <c r="JA63">
        <v>1.5502899999999999</v>
      </c>
      <c r="JB63">
        <v>2.3767100000000001</v>
      </c>
      <c r="JC63">
        <v>39.767299999999999</v>
      </c>
      <c r="JD63">
        <v>24.061199999999999</v>
      </c>
      <c r="JE63">
        <v>18</v>
      </c>
      <c r="JF63">
        <v>487.06099999999998</v>
      </c>
      <c r="JG63">
        <v>487.88600000000002</v>
      </c>
      <c r="JH63">
        <v>23.043299999999999</v>
      </c>
      <c r="JI63">
        <v>32.711300000000001</v>
      </c>
      <c r="JJ63">
        <v>30.0001</v>
      </c>
      <c r="JK63">
        <v>32.845700000000001</v>
      </c>
      <c r="JL63">
        <v>32.825000000000003</v>
      </c>
      <c r="JM63">
        <v>5.8959099999999998</v>
      </c>
      <c r="JN63">
        <v>44.743200000000002</v>
      </c>
      <c r="JO63">
        <v>0</v>
      </c>
      <c r="JP63">
        <v>23.034300000000002</v>
      </c>
      <c r="JQ63">
        <v>70</v>
      </c>
      <c r="JR63">
        <v>18.409700000000001</v>
      </c>
      <c r="JS63">
        <v>99.695700000000002</v>
      </c>
      <c r="JT63">
        <v>98.499899999999997</v>
      </c>
    </row>
    <row r="64" spans="1:280" x14ac:dyDescent="0.25">
      <c r="A64">
        <v>48</v>
      </c>
      <c r="B64">
        <v>1674585022.0999999</v>
      </c>
      <c r="C64">
        <v>9597.0999999046326</v>
      </c>
      <c r="D64" t="s">
        <v>661</v>
      </c>
      <c r="E64" t="s">
        <v>662</v>
      </c>
      <c r="F64" t="s">
        <v>412</v>
      </c>
      <c r="G64" t="s">
        <v>31</v>
      </c>
      <c r="H64" t="s">
        <v>637</v>
      </c>
      <c r="I64">
        <v>1674585022.0999999</v>
      </c>
      <c r="J64">
        <f t="shared" si="46"/>
        <v>5.6235154388826628E-3</v>
      </c>
      <c r="K64">
        <f t="shared" si="47"/>
        <v>5.6235154388826629</v>
      </c>
      <c r="L64">
        <f t="shared" si="48"/>
        <v>4.3758187433143529</v>
      </c>
      <c r="M64">
        <f t="shared" si="49"/>
        <v>24.635999999999999</v>
      </c>
      <c r="N64">
        <f t="shared" si="50"/>
        <v>9.0148760708321802</v>
      </c>
      <c r="O64">
        <f t="shared" si="51"/>
        <v>0.90019476567614787</v>
      </c>
      <c r="P64">
        <f t="shared" si="52"/>
        <v>2.4600669019679997</v>
      </c>
      <c r="Q64">
        <f t="shared" si="53"/>
        <v>0.49453875277820464</v>
      </c>
      <c r="R64">
        <f t="shared" si="54"/>
        <v>2.9211011987293469</v>
      </c>
      <c r="S64">
        <f t="shared" si="55"/>
        <v>0.45229582668738222</v>
      </c>
      <c r="T64">
        <f t="shared" si="56"/>
        <v>0.28617895064037369</v>
      </c>
      <c r="U64">
        <f t="shared" si="57"/>
        <v>344.37889965776287</v>
      </c>
      <c r="V64">
        <f t="shared" si="58"/>
        <v>28.583612846491633</v>
      </c>
      <c r="W64">
        <f t="shared" si="59"/>
        <v>27.508600000000001</v>
      </c>
      <c r="X64">
        <f t="shared" si="60"/>
        <v>3.6874781620684671</v>
      </c>
      <c r="Y64">
        <f t="shared" si="61"/>
        <v>65.411485093790063</v>
      </c>
      <c r="Z64">
        <f t="shared" si="62"/>
        <v>2.4843020958755999</v>
      </c>
      <c r="AA64">
        <f t="shared" si="63"/>
        <v>3.7979600865405994</v>
      </c>
      <c r="AB64">
        <f t="shared" si="64"/>
        <v>1.2031760661928672</v>
      </c>
      <c r="AC64">
        <f t="shared" si="65"/>
        <v>-247.99703085472544</v>
      </c>
      <c r="AD64">
        <f t="shared" si="66"/>
        <v>79.607357155990371</v>
      </c>
      <c r="AE64">
        <f t="shared" si="67"/>
        <v>5.9263076681829387</v>
      </c>
      <c r="AF64">
        <f t="shared" si="68"/>
        <v>181.91553362721072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52450.704879744517</v>
      </c>
      <c r="AL64" t="s">
        <v>415</v>
      </c>
      <c r="AM64">
        <v>10297.6</v>
      </c>
      <c r="AN64">
        <v>785.57400000000007</v>
      </c>
      <c r="AO64">
        <v>3597.65</v>
      </c>
      <c r="AP64">
        <f t="shared" si="72"/>
        <v>0.7816424610509638</v>
      </c>
      <c r="AQ64">
        <v>-0.62398835798131469</v>
      </c>
      <c r="AR64" t="s">
        <v>663</v>
      </c>
      <c r="AS64">
        <v>10229.299999999999</v>
      </c>
      <c r="AT64">
        <v>768.76192307692304</v>
      </c>
      <c r="AU64">
        <v>840.47756257118692</v>
      </c>
      <c r="AV64">
        <f t="shared" si="73"/>
        <v>8.5327250468021476E-2</v>
      </c>
      <c r="AW64">
        <v>0.5</v>
      </c>
      <c r="AX64">
        <f t="shared" si="74"/>
        <v>1513.2266998288815</v>
      </c>
      <c r="AY64">
        <f t="shared" si="75"/>
        <v>4.3758187433143529</v>
      </c>
      <c r="AZ64">
        <f t="shared" si="76"/>
        <v>64.559736815598256</v>
      </c>
      <c r="BA64">
        <f t="shared" si="77"/>
        <v>3.3040701052004006E-3</v>
      </c>
      <c r="BB64">
        <f t="shared" si="78"/>
        <v>3.2804830970074659</v>
      </c>
      <c r="BC64">
        <f t="shared" si="79"/>
        <v>457.70882861210134</v>
      </c>
      <c r="BD64" t="s">
        <v>664</v>
      </c>
      <c r="BE64">
        <v>568.39</v>
      </c>
      <c r="BF64">
        <f t="shared" si="80"/>
        <v>568.39</v>
      </c>
      <c r="BG64">
        <f t="shared" si="81"/>
        <v>0.3237297159234297</v>
      </c>
      <c r="BH64">
        <f t="shared" si="82"/>
        <v>0.26357558874268922</v>
      </c>
      <c r="BI64">
        <f t="shared" si="83"/>
        <v>0.91018018837234604</v>
      </c>
      <c r="BJ64">
        <f t="shared" si="84"/>
        <v>1.3062110386967845</v>
      </c>
      <c r="BK64">
        <f t="shared" si="85"/>
        <v>0.98047578992488582</v>
      </c>
      <c r="BL64">
        <f t="shared" si="86"/>
        <v>0.19487662485394275</v>
      </c>
      <c r="BM64">
        <f t="shared" si="87"/>
        <v>0.80512337514605725</v>
      </c>
      <c r="BN64">
        <v>95</v>
      </c>
      <c r="BO64">
        <v>290.00000000000011</v>
      </c>
      <c r="BP64">
        <v>817.59</v>
      </c>
      <c r="BQ64">
        <v>215</v>
      </c>
      <c r="BR64">
        <v>10229.299999999999</v>
      </c>
      <c r="BS64">
        <v>816.74</v>
      </c>
      <c r="BT64">
        <v>0.85</v>
      </c>
      <c r="BU64">
        <v>300.00000000000011</v>
      </c>
      <c r="BV64">
        <v>24.1</v>
      </c>
      <c r="BW64">
        <v>840.47756257118692</v>
      </c>
      <c r="BX64">
        <v>1.87196460495899</v>
      </c>
      <c r="BY64">
        <v>-24.278089202342851</v>
      </c>
      <c r="BZ64">
        <v>1.704657292979803</v>
      </c>
      <c r="CA64">
        <v>0.87870416895282366</v>
      </c>
      <c r="CB64">
        <v>-6.9684411568409314E-3</v>
      </c>
      <c r="CC64">
        <v>289.99999999999989</v>
      </c>
      <c r="CD64">
        <v>814.12</v>
      </c>
      <c r="CE64">
        <v>695</v>
      </c>
      <c r="CF64">
        <v>10203.299999999999</v>
      </c>
      <c r="CG64">
        <v>816.68</v>
      </c>
      <c r="CH64">
        <v>-2.56</v>
      </c>
      <c r="CV64">
        <f t="shared" si="88"/>
        <v>1800.05</v>
      </c>
      <c r="CW64">
        <f t="shared" si="89"/>
        <v>1513.2266998288815</v>
      </c>
      <c r="CX64">
        <f t="shared" si="90"/>
        <v>0.84065814828970387</v>
      </c>
      <c r="CY64">
        <f t="shared" si="91"/>
        <v>0.19131629657940774</v>
      </c>
      <c r="CZ64">
        <v>6</v>
      </c>
      <c r="DA64">
        <v>0.5</v>
      </c>
      <c r="DB64" t="s">
        <v>418</v>
      </c>
      <c r="DC64">
        <v>2</v>
      </c>
      <c r="DD64">
        <v>1674585022.0999999</v>
      </c>
      <c r="DE64">
        <v>24.635999999999999</v>
      </c>
      <c r="DF64">
        <v>30.052299999999999</v>
      </c>
      <c r="DG64">
        <v>24.878699999999998</v>
      </c>
      <c r="DH64">
        <v>18.299499999999998</v>
      </c>
      <c r="DI64">
        <v>25.515899999999998</v>
      </c>
      <c r="DJ64">
        <v>24.657</v>
      </c>
      <c r="DK64">
        <v>500.08600000000001</v>
      </c>
      <c r="DL64">
        <v>99.756100000000004</v>
      </c>
      <c r="DM64">
        <v>0.10048799999999999</v>
      </c>
      <c r="DN64">
        <v>28.014099999999999</v>
      </c>
      <c r="DO64">
        <v>27.508600000000001</v>
      </c>
      <c r="DP64">
        <v>999.9</v>
      </c>
      <c r="DQ64">
        <v>0</v>
      </c>
      <c r="DR64">
        <v>0</v>
      </c>
      <c r="DS64">
        <v>9976.25</v>
      </c>
      <c r="DT64">
        <v>0</v>
      </c>
      <c r="DU64">
        <v>544.04999999999995</v>
      </c>
      <c r="DV64">
        <v>-5.4163399999999999</v>
      </c>
      <c r="DW64">
        <v>25.264600000000002</v>
      </c>
      <c r="DX64">
        <v>30.612500000000001</v>
      </c>
      <c r="DY64">
        <v>6.5791700000000004</v>
      </c>
      <c r="DZ64">
        <v>30.052299999999999</v>
      </c>
      <c r="EA64">
        <v>18.299499999999998</v>
      </c>
      <c r="EB64">
        <v>2.4817999999999998</v>
      </c>
      <c r="EC64">
        <v>1.8254900000000001</v>
      </c>
      <c r="ED64">
        <v>20.907599999999999</v>
      </c>
      <c r="EE64">
        <v>16.006799999999998</v>
      </c>
      <c r="EF64">
        <v>1800.05</v>
      </c>
      <c r="EG64">
        <v>0.97800100000000001</v>
      </c>
      <c r="EH64">
        <v>2.1999399999999999E-2</v>
      </c>
      <c r="EI64">
        <v>0</v>
      </c>
      <c r="EJ64">
        <v>768.40899999999999</v>
      </c>
      <c r="EK64">
        <v>5.0002599999999999</v>
      </c>
      <c r="EL64">
        <v>14444.6</v>
      </c>
      <c r="EM64">
        <v>17103.900000000001</v>
      </c>
      <c r="EN64">
        <v>48.875</v>
      </c>
      <c r="EO64">
        <v>50.5</v>
      </c>
      <c r="EP64">
        <v>49.875</v>
      </c>
      <c r="EQ64">
        <v>49.75</v>
      </c>
      <c r="ER64">
        <v>50.186999999999998</v>
      </c>
      <c r="ES64">
        <v>1755.56</v>
      </c>
      <c r="ET64">
        <v>39.49</v>
      </c>
      <c r="EU64">
        <v>0</v>
      </c>
      <c r="EV64">
        <v>109.3999998569489</v>
      </c>
      <c r="EW64">
        <v>0</v>
      </c>
      <c r="EX64">
        <v>768.76192307692304</v>
      </c>
      <c r="EY64">
        <v>-1.940854703537445</v>
      </c>
      <c r="EZ64">
        <v>-82.307692296342836</v>
      </c>
      <c r="FA64">
        <v>14454.773076923069</v>
      </c>
      <c r="FB64">
        <v>15</v>
      </c>
      <c r="FC64">
        <v>1674584986.0999999</v>
      </c>
      <c r="FD64" t="s">
        <v>665</v>
      </c>
      <c r="FE64">
        <v>1674584978.0999999</v>
      </c>
      <c r="FF64">
        <v>1674584986.0999999</v>
      </c>
      <c r="FG64">
        <v>54</v>
      </c>
      <c r="FH64">
        <v>0.09</v>
      </c>
      <c r="FI64">
        <v>2E-3</v>
      </c>
      <c r="FJ64">
        <v>-0.875</v>
      </c>
      <c r="FK64">
        <v>6.4000000000000001E-2</v>
      </c>
      <c r="FL64">
        <v>30</v>
      </c>
      <c r="FM64">
        <v>18</v>
      </c>
      <c r="FN64">
        <v>0.3</v>
      </c>
      <c r="FO64">
        <v>0.01</v>
      </c>
      <c r="FP64">
        <v>4.3596362163099363</v>
      </c>
      <c r="FQ64">
        <v>-0.30035245398423988</v>
      </c>
      <c r="FR64">
        <v>4.0883292787273123E-2</v>
      </c>
      <c r="FS64">
        <v>1</v>
      </c>
      <c r="FT64">
        <v>0.49308503545444887</v>
      </c>
      <c r="FU64">
        <v>3.6692857697979017E-2</v>
      </c>
      <c r="FV64">
        <v>5.356271304111703E-3</v>
      </c>
      <c r="FW64">
        <v>1</v>
      </c>
      <c r="FX64">
        <v>2</v>
      </c>
      <c r="FY64">
        <v>2</v>
      </c>
      <c r="FZ64" t="s">
        <v>420</v>
      </c>
      <c r="GA64">
        <v>2.9279600000000001</v>
      </c>
      <c r="GB64">
        <v>2.8071899999999999</v>
      </c>
      <c r="GC64">
        <v>7.2986500000000003E-3</v>
      </c>
      <c r="GD64">
        <v>8.7433800000000002E-3</v>
      </c>
      <c r="GE64">
        <v>0.114978</v>
      </c>
      <c r="GF64">
        <v>9.4115099999999993E-2</v>
      </c>
      <c r="GG64">
        <v>29510.5</v>
      </c>
      <c r="GH64">
        <v>29833.3</v>
      </c>
      <c r="GI64">
        <v>28237.8</v>
      </c>
      <c r="GJ64">
        <v>27121.3</v>
      </c>
      <c r="GK64">
        <v>35880.199999999997</v>
      </c>
      <c r="GL64">
        <v>32432.6</v>
      </c>
      <c r="GM64">
        <v>42054.2</v>
      </c>
      <c r="GN64">
        <v>36787.599999999999</v>
      </c>
      <c r="GO64">
        <v>1.9216</v>
      </c>
      <c r="GP64">
        <v>1.8707499999999999</v>
      </c>
      <c r="GQ64">
        <v>6.4879699999999998E-2</v>
      </c>
      <c r="GR64">
        <v>0</v>
      </c>
      <c r="GS64">
        <v>26.447600000000001</v>
      </c>
      <c r="GT64">
        <v>999.9</v>
      </c>
      <c r="GU64">
        <v>48.8</v>
      </c>
      <c r="GV64">
        <v>36.4</v>
      </c>
      <c r="GW64">
        <v>29.847000000000001</v>
      </c>
      <c r="GX64">
        <v>62.393799999999999</v>
      </c>
      <c r="GY64">
        <v>27.1875</v>
      </c>
      <c r="GZ64">
        <v>1</v>
      </c>
      <c r="HA64">
        <v>0.43658999999999998</v>
      </c>
      <c r="HB64">
        <v>2.9467500000000002</v>
      </c>
      <c r="HC64">
        <v>20.319900000000001</v>
      </c>
      <c r="HD64">
        <v>5.2393000000000001</v>
      </c>
      <c r="HE64">
        <v>11.9381</v>
      </c>
      <c r="HF64">
        <v>4.9734999999999996</v>
      </c>
      <c r="HG64">
        <v>3.2989299999999999</v>
      </c>
      <c r="HH64">
        <v>9999</v>
      </c>
      <c r="HI64">
        <v>9999</v>
      </c>
      <c r="HJ64">
        <v>9999</v>
      </c>
      <c r="HK64">
        <v>999.9</v>
      </c>
      <c r="HL64">
        <v>1.87347</v>
      </c>
      <c r="HM64">
        <v>1.88124</v>
      </c>
      <c r="HN64">
        <v>1.8846499999999999</v>
      </c>
      <c r="HO64">
        <v>1.88141</v>
      </c>
      <c r="HP64">
        <v>1.8787400000000001</v>
      </c>
      <c r="HQ64">
        <v>1.8734900000000001</v>
      </c>
      <c r="HR64">
        <v>1.8763700000000001</v>
      </c>
      <c r="HS64">
        <v>1.8805700000000001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-0.88</v>
      </c>
      <c r="IH64">
        <v>0.22170000000000001</v>
      </c>
      <c r="II64">
        <v>-0.90283358891518761</v>
      </c>
      <c r="IJ64">
        <v>9.4905977090923709E-4</v>
      </c>
      <c r="IK64">
        <v>-1.9106666302146479E-6</v>
      </c>
      <c r="IL64">
        <v>7.5819610513223293E-10</v>
      </c>
      <c r="IM64">
        <v>-7.6252479183369776E-2</v>
      </c>
      <c r="IN64">
        <v>-1.0595840490420019E-2</v>
      </c>
      <c r="IO64">
        <v>1.2407080968752471E-3</v>
      </c>
      <c r="IP64">
        <v>-1.3015442653884381E-5</v>
      </c>
      <c r="IQ64">
        <v>33</v>
      </c>
      <c r="IR64">
        <v>2014</v>
      </c>
      <c r="IS64">
        <v>1</v>
      </c>
      <c r="IT64">
        <v>26</v>
      </c>
      <c r="IU64">
        <v>0.7</v>
      </c>
      <c r="IV64">
        <v>0.6</v>
      </c>
      <c r="IW64">
        <v>0.20507800000000001</v>
      </c>
      <c r="IX64">
        <v>2.5952099999999998</v>
      </c>
      <c r="IY64">
        <v>1.5991200000000001</v>
      </c>
      <c r="IZ64">
        <v>2.2973599999999998</v>
      </c>
      <c r="JA64">
        <v>1.5502899999999999</v>
      </c>
      <c r="JB64">
        <v>2.2863799999999999</v>
      </c>
      <c r="JC64">
        <v>39.742199999999997</v>
      </c>
      <c r="JD64">
        <v>24.061199999999999</v>
      </c>
      <c r="JE64">
        <v>18</v>
      </c>
      <c r="JF64">
        <v>486.85599999999999</v>
      </c>
      <c r="JG64">
        <v>487.59699999999998</v>
      </c>
      <c r="JH64">
        <v>22.9085</v>
      </c>
      <c r="JI64">
        <v>32.6706</v>
      </c>
      <c r="JJ64">
        <v>29.9999</v>
      </c>
      <c r="JK64">
        <v>32.805</v>
      </c>
      <c r="JL64">
        <v>32.784700000000001</v>
      </c>
      <c r="JM64">
        <v>4.1502299999999996</v>
      </c>
      <c r="JN64">
        <v>45.094099999999997</v>
      </c>
      <c r="JO64">
        <v>0</v>
      </c>
      <c r="JP64">
        <v>22.907900000000001</v>
      </c>
      <c r="JQ64">
        <v>30</v>
      </c>
      <c r="JR64">
        <v>18.2622</v>
      </c>
      <c r="JS64">
        <v>99.699399999999997</v>
      </c>
      <c r="JT64">
        <v>98.511799999999994</v>
      </c>
    </row>
    <row r="65" spans="1:280" x14ac:dyDescent="0.25">
      <c r="A65">
        <v>49</v>
      </c>
      <c r="B65">
        <v>1674585136.0999999</v>
      </c>
      <c r="C65">
        <v>9711.0999999046326</v>
      </c>
      <c r="D65" t="s">
        <v>666</v>
      </c>
      <c r="E65" t="s">
        <v>667</v>
      </c>
      <c r="F65" t="s">
        <v>412</v>
      </c>
      <c r="G65" t="s">
        <v>31</v>
      </c>
      <c r="H65" t="s">
        <v>637</v>
      </c>
      <c r="I65">
        <v>1674585136.0999999</v>
      </c>
      <c r="J65">
        <f t="shared" si="46"/>
        <v>5.7275959029214861E-3</v>
      </c>
      <c r="K65">
        <f t="shared" si="47"/>
        <v>5.727595902921486</v>
      </c>
      <c r="L65">
        <f t="shared" si="48"/>
        <v>1.280770366095314</v>
      </c>
      <c r="M65">
        <f t="shared" si="49"/>
        <v>8.4116800000000005</v>
      </c>
      <c r="N65">
        <f t="shared" si="50"/>
        <v>3.9104820657508932</v>
      </c>
      <c r="O65">
        <f t="shared" si="51"/>
        <v>0.39044320533639543</v>
      </c>
      <c r="P65">
        <f t="shared" si="52"/>
        <v>0.83986660627566401</v>
      </c>
      <c r="Q65">
        <f t="shared" si="53"/>
        <v>0.50607489177158138</v>
      </c>
      <c r="R65">
        <f t="shared" si="54"/>
        <v>2.9247482670089604</v>
      </c>
      <c r="S65">
        <f t="shared" si="55"/>
        <v>0.46198220535758272</v>
      </c>
      <c r="T65">
        <f t="shared" si="56"/>
        <v>0.29237962155874947</v>
      </c>
      <c r="U65">
        <f t="shared" si="57"/>
        <v>344.40739965779142</v>
      </c>
      <c r="V65">
        <f t="shared" si="58"/>
        <v>28.542035229865476</v>
      </c>
      <c r="W65">
        <f t="shared" si="59"/>
        <v>27.489599999999999</v>
      </c>
      <c r="X65">
        <f t="shared" si="60"/>
        <v>3.6833808060055135</v>
      </c>
      <c r="Y65">
        <f t="shared" si="61"/>
        <v>65.450114175593683</v>
      </c>
      <c r="Z65">
        <f t="shared" si="62"/>
        <v>2.4837413823460701</v>
      </c>
      <c r="AA65">
        <f t="shared" si="63"/>
        <v>3.7948618022002716</v>
      </c>
      <c r="AB65">
        <f t="shared" si="64"/>
        <v>1.1996394236594434</v>
      </c>
      <c r="AC65">
        <f t="shared" si="65"/>
        <v>-252.58697931883754</v>
      </c>
      <c r="AD65">
        <f t="shared" si="66"/>
        <v>80.49514408548896</v>
      </c>
      <c r="AE65">
        <f t="shared" si="67"/>
        <v>5.9839410693741488</v>
      </c>
      <c r="AF65">
        <f t="shared" si="68"/>
        <v>178.29950549381701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52557.772583869417</v>
      </c>
      <c r="AL65" t="s">
        <v>415</v>
      </c>
      <c r="AM65">
        <v>10297.6</v>
      </c>
      <c r="AN65">
        <v>785.57400000000007</v>
      </c>
      <c r="AO65">
        <v>3597.65</v>
      </c>
      <c r="AP65">
        <f t="shared" si="72"/>
        <v>0.7816424610509638</v>
      </c>
      <c r="AQ65">
        <v>-0.62398835798131469</v>
      </c>
      <c r="AR65" t="s">
        <v>668</v>
      </c>
      <c r="AS65">
        <v>10242.6</v>
      </c>
      <c r="AT65">
        <v>771.72028000000023</v>
      </c>
      <c r="AU65">
        <v>828.35005197206783</v>
      </c>
      <c r="AV65">
        <f t="shared" si="73"/>
        <v>6.8364542064370148E-2</v>
      </c>
      <c r="AW65">
        <v>0.5</v>
      </c>
      <c r="AX65">
        <f t="shared" si="74"/>
        <v>1513.3526998288958</v>
      </c>
      <c r="AY65">
        <f t="shared" si="75"/>
        <v>1.280770366095314</v>
      </c>
      <c r="AZ65">
        <f t="shared" si="76"/>
        <v>51.729832152840338</v>
      </c>
      <c r="BA65">
        <f t="shared" si="77"/>
        <v>1.2586350321983676E-3</v>
      </c>
      <c r="BB65">
        <f t="shared" si="78"/>
        <v>3.3431517767579177</v>
      </c>
      <c r="BC65">
        <f t="shared" si="79"/>
        <v>454.08838888639639</v>
      </c>
      <c r="BD65" t="s">
        <v>669</v>
      </c>
      <c r="BE65">
        <v>578.98</v>
      </c>
      <c r="BF65">
        <f t="shared" si="80"/>
        <v>578.98</v>
      </c>
      <c r="BG65">
        <f t="shared" si="81"/>
        <v>0.30104428843625719</v>
      </c>
      <c r="BH65">
        <f t="shared" si="82"/>
        <v>0.22709131078182057</v>
      </c>
      <c r="BI65">
        <f t="shared" si="83"/>
        <v>0.91739075421557581</v>
      </c>
      <c r="BJ65">
        <f t="shared" si="84"/>
        <v>1.3238662607069522</v>
      </c>
      <c r="BK65">
        <f t="shared" si="85"/>
        <v>0.98478844384999986</v>
      </c>
      <c r="BL65">
        <f t="shared" si="86"/>
        <v>0.17037433189712009</v>
      </c>
      <c r="BM65">
        <f t="shared" si="87"/>
        <v>0.82962566810287997</v>
      </c>
      <c r="BN65">
        <v>97</v>
      </c>
      <c r="BO65">
        <v>290.00000000000011</v>
      </c>
      <c r="BP65">
        <v>810.56</v>
      </c>
      <c r="BQ65">
        <v>125</v>
      </c>
      <c r="BR65">
        <v>10242.6</v>
      </c>
      <c r="BS65">
        <v>807.78</v>
      </c>
      <c r="BT65">
        <v>2.78</v>
      </c>
      <c r="BU65">
        <v>300.00000000000011</v>
      </c>
      <c r="BV65">
        <v>24.1</v>
      </c>
      <c r="BW65">
        <v>828.35005197206783</v>
      </c>
      <c r="BX65">
        <v>1.7410280992869329</v>
      </c>
      <c r="BY65">
        <v>-21.067900147942812</v>
      </c>
      <c r="BZ65">
        <v>1.585266072593194</v>
      </c>
      <c r="CA65">
        <v>0.86316051684595674</v>
      </c>
      <c r="CB65">
        <v>-6.9679461624026651E-3</v>
      </c>
      <c r="CC65">
        <v>289.99999999999989</v>
      </c>
      <c r="CD65">
        <v>805.23</v>
      </c>
      <c r="CE65">
        <v>615</v>
      </c>
      <c r="CF65">
        <v>10207.6</v>
      </c>
      <c r="CG65">
        <v>807.71</v>
      </c>
      <c r="CH65">
        <v>-2.48</v>
      </c>
      <c r="CV65">
        <f t="shared" si="88"/>
        <v>1800.2</v>
      </c>
      <c r="CW65">
        <f t="shared" si="89"/>
        <v>1513.3526998288958</v>
      </c>
      <c r="CX65">
        <f t="shared" si="90"/>
        <v>0.84065809345011422</v>
      </c>
      <c r="CY65">
        <f t="shared" si="91"/>
        <v>0.19131618690022853</v>
      </c>
      <c r="CZ65">
        <v>6</v>
      </c>
      <c r="DA65">
        <v>0.5</v>
      </c>
      <c r="DB65" t="s">
        <v>418</v>
      </c>
      <c r="DC65">
        <v>2</v>
      </c>
      <c r="DD65">
        <v>1674585136.0999999</v>
      </c>
      <c r="DE65">
        <v>8.4116800000000005</v>
      </c>
      <c r="DF65">
        <v>10.0061</v>
      </c>
      <c r="DG65">
        <v>24.875900000000001</v>
      </c>
      <c r="DH65">
        <v>18.1751</v>
      </c>
      <c r="DI65">
        <v>9.2559500000000003</v>
      </c>
      <c r="DJ65">
        <v>24.651</v>
      </c>
      <c r="DK65">
        <v>500.1</v>
      </c>
      <c r="DL65">
        <v>99.7453</v>
      </c>
      <c r="DM65">
        <v>9.9987300000000001E-2</v>
      </c>
      <c r="DN65">
        <v>28.0001</v>
      </c>
      <c r="DO65">
        <v>27.489599999999999</v>
      </c>
      <c r="DP65">
        <v>999.9</v>
      </c>
      <c r="DQ65">
        <v>0</v>
      </c>
      <c r="DR65">
        <v>0</v>
      </c>
      <c r="DS65">
        <v>9998.1200000000008</v>
      </c>
      <c r="DT65">
        <v>0</v>
      </c>
      <c r="DU65">
        <v>503.98500000000001</v>
      </c>
      <c r="DV65">
        <v>-1.5944100000000001</v>
      </c>
      <c r="DW65">
        <v>8.6262699999999999</v>
      </c>
      <c r="DX65">
        <v>10.1913</v>
      </c>
      <c r="DY65">
        <v>6.7008599999999996</v>
      </c>
      <c r="DZ65">
        <v>10.0061</v>
      </c>
      <c r="EA65">
        <v>18.1751</v>
      </c>
      <c r="EB65">
        <v>2.4812599999999998</v>
      </c>
      <c r="EC65">
        <v>1.81288</v>
      </c>
      <c r="ED65">
        <v>20.9041</v>
      </c>
      <c r="EE65">
        <v>15.898300000000001</v>
      </c>
      <c r="EF65">
        <v>1800.2</v>
      </c>
      <c r="EG65">
        <v>0.97800399999999998</v>
      </c>
      <c r="EH65">
        <v>2.19957E-2</v>
      </c>
      <c r="EI65">
        <v>0</v>
      </c>
      <c r="EJ65">
        <v>771.47</v>
      </c>
      <c r="EK65">
        <v>5.0002599999999999</v>
      </c>
      <c r="EL65">
        <v>14414</v>
      </c>
      <c r="EM65">
        <v>17105.3</v>
      </c>
      <c r="EN65">
        <v>49</v>
      </c>
      <c r="EO65">
        <v>50.625</v>
      </c>
      <c r="EP65">
        <v>50</v>
      </c>
      <c r="EQ65">
        <v>49.811999999999998</v>
      </c>
      <c r="ER65">
        <v>50.311999999999998</v>
      </c>
      <c r="ES65">
        <v>1755.71</v>
      </c>
      <c r="ET65">
        <v>39.49</v>
      </c>
      <c r="EU65">
        <v>0</v>
      </c>
      <c r="EV65">
        <v>111.7999999523163</v>
      </c>
      <c r="EW65">
        <v>0</v>
      </c>
      <c r="EX65">
        <v>771.72028000000023</v>
      </c>
      <c r="EY65">
        <v>-2.2581538586624852</v>
      </c>
      <c r="EZ65">
        <v>-32.215384614825084</v>
      </c>
      <c r="FA65">
        <v>14416.208000000001</v>
      </c>
      <c r="FB65">
        <v>15</v>
      </c>
      <c r="FC65">
        <v>1674585100.5999999</v>
      </c>
      <c r="FD65" t="s">
        <v>670</v>
      </c>
      <c r="FE65">
        <v>1674585082.5999999</v>
      </c>
      <c r="FF65">
        <v>1674585100.5999999</v>
      </c>
      <c r="FG65">
        <v>55</v>
      </c>
      <c r="FH65">
        <v>0.05</v>
      </c>
      <c r="FI65">
        <v>3.0000000000000001E-3</v>
      </c>
      <c r="FJ65">
        <v>-0.84299999999999997</v>
      </c>
      <c r="FK65">
        <v>6.6000000000000003E-2</v>
      </c>
      <c r="FL65">
        <v>10</v>
      </c>
      <c r="FM65">
        <v>18</v>
      </c>
      <c r="FN65">
        <v>0.25</v>
      </c>
      <c r="FO65">
        <v>0.01</v>
      </c>
      <c r="FP65">
        <v>1.3586465828636161</v>
      </c>
      <c r="FQ65">
        <v>-0.59220830132235047</v>
      </c>
      <c r="FR65">
        <v>6.1186854790568873E-2</v>
      </c>
      <c r="FS65">
        <v>1</v>
      </c>
      <c r="FT65">
        <v>0.51140484911019823</v>
      </c>
      <c r="FU65">
        <v>2.5598225845353109E-2</v>
      </c>
      <c r="FV65">
        <v>6.3903943664067823E-3</v>
      </c>
      <c r="FW65">
        <v>1</v>
      </c>
      <c r="FX65">
        <v>2</v>
      </c>
      <c r="FY65">
        <v>2</v>
      </c>
      <c r="FZ65" t="s">
        <v>420</v>
      </c>
      <c r="GA65">
        <v>2.9280599999999999</v>
      </c>
      <c r="GB65">
        <v>2.80688</v>
      </c>
      <c r="GC65">
        <v>2.6395300000000002E-3</v>
      </c>
      <c r="GD65">
        <v>2.9020999999999999E-3</v>
      </c>
      <c r="GE65">
        <v>0.114956</v>
      </c>
      <c r="GF65">
        <v>9.3656199999999995E-2</v>
      </c>
      <c r="GG65">
        <v>29651.8</v>
      </c>
      <c r="GH65">
        <v>30011.599999999999</v>
      </c>
      <c r="GI65">
        <v>28240.3</v>
      </c>
      <c r="GJ65">
        <v>27123.4</v>
      </c>
      <c r="GK65">
        <v>35883.800000000003</v>
      </c>
      <c r="GL65">
        <v>32451.7</v>
      </c>
      <c r="GM65">
        <v>42057.4</v>
      </c>
      <c r="GN65">
        <v>36790.699999999997</v>
      </c>
      <c r="GO65">
        <v>1.92262</v>
      </c>
      <c r="GP65">
        <v>1.8712500000000001</v>
      </c>
      <c r="GQ65">
        <v>6.4369300000000004E-2</v>
      </c>
      <c r="GR65">
        <v>0</v>
      </c>
      <c r="GS65">
        <v>26.436800000000002</v>
      </c>
      <c r="GT65">
        <v>999.9</v>
      </c>
      <c r="GU65">
        <v>48.7</v>
      </c>
      <c r="GV65">
        <v>36.4</v>
      </c>
      <c r="GW65">
        <v>29.789300000000001</v>
      </c>
      <c r="GX65">
        <v>61.523800000000001</v>
      </c>
      <c r="GY65">
        <v>26.867000000000001</v>
      </c>
      <c r="GZ65">
        <v>1</v>
      </c>
      <c r="HA65">
        <v>0.43352400000000002</v>
      </c>
      <c r="HB65">
        <v>2.8906800000000001</v>
      </c>
      <c r="HC65">
        <v>20.320599999999999</v>
      </c>
      <c r="HD65">
        <v>5.2384000000000004</v>
      </c>
      <c r="HE65">
        <v>11.9381</v>
      </c>
      <c r="HF65">
        <v>4.9732500000000002</v>
      </c>
      <c r="HG65">
        <v>3.2985500000000001</v>
      </c>
      <c r="HH65">
        <v>9999</v>
      </c>
      <c r="HI65">
        <v>9999</v>
      </c>
      <c r="HJ65">
        <v>9999</v>
      </c>
      <c r="HK65">
        <v>999.9</v>
      </c>
      <c r="HL65">
        <v>1.8734900000000001</v>
      </c>
      <c r="HM65">
        <v>1.88121</v>
      </c>
      <c r="HN65">
        <v>1.8847100000000001</v>
      </c>
      <c r="HO65">
        <v>1.88141</v>
      </c>
      <c r="HP65">
        <v>1.8787700000000001</v>
      </c>
      <c r="HQ65">
        <v>1.87348</v>
      </c>
      <c r="HR65">
        <v>1.8763700000000001</v>
      </c>
      <c r="HS65">
        <v>1.88056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-0.84399999999999997</v>
      </c>
      <c r="IH65">
        <v>0.22489999999999999</v>
      </c>
      <c r="II65">
        <v>-0.8528871730350458</v>
      </c>
      <c r="IJ65">
        <v>9.4905977090923709E-4</v>
      </c>
      <c r="IK65">
        <v>-1.9106666302146479E-6</v>
      </c>
      <c r="IL65">
        <v>7.5819610513223293E-10</v>
      </c>
      <c r="IM65">
        <v>-7.2885634387625353E-2</v>
      </c>
      <c r="IN65">
        <v>-1.0595840490420019E-2</v>
      </c>
      <c r="IO65">
        <v>1.2407080968752471E-3</v>
      </c>
      <c r="IP65">
        <v>-1.3015442653884381E-5</v>
      </c>
      <c r="IQ65">
        <v>33</v>
      </c>
      <c r="IR65">
        <v>2014</v>
      </c>
      <c r="IS65">
        <v>1</v>
      </c>
      <c r="IT65">
        <v>26</v>
      </c>
      <c r="IU65">
        <v>0.9</v>
      </c>
      <c r="IV65">
        <v>0.6</v>
      </c>
      <c r="IW65">
        <v>0.161133</v>
      </c>
      <c r="IX65">
        <v>2.6184099999999999</v>
      </c>
      <c r="IY65">
        <v>1.5991200000000001</v>
      </c>
      <c r="IZ65">
        <v>2.2973599999999998</v>
      </c>
      <c r="JA65">
        <v>1.5502899999999999</v>
      </c>
      <c r="JB65">
        <v>2.2497600000000002</v>
      </c>
      <c r="JC65">
        <v>39.692</v>
      </c>
      <c r="JD65">
        <v>24.061199999999999</v>
      </c>
      <c r="JE65">
        <v>18</v>
      </c>
      <c r="JF65">
        <v>487.22800000000001</v>
      </c>
      <c r="JG65">
        <v>487.64</v>
      </c>
      <c r="JH65">
        <v>22.909600000000001</v>
      </c>
      <c r="JI65">
        <v>32.635800000000003</v>
      </c>
      <c r="JJ65">
        <v>29.9999</v>
      </c>
      <c r="JK65">
        <v>32.768500000000003</v>
      </c>
      <c r="JL65">
        <v>32.746699999999997</v>
      </c>
      <c r="JM65">
        <v>3.27657</v>
      </c>
      <c r="JN65">
        <v>45.602699999999999</v>
      </c>
      <c r="JO65">
        <v>0</v>
      </c>
      <c r="JP65">
        <v>22.909099999999999</v>
      </c>
      <c r="JQ65">
        <v>10</v>
      </c>
      <c r="JR65">
        <v>18.090699999999998</v>
      </c>
      <c r="JS65">
        <v>99.707400000000007</v>
      </c>
      <c r="JT65">
        <v>98.5197</v>
      </c>
    </row>
    <row r="66" spans="1:280" x14ac:dyDescent="0.25">
      <c r="A66">
        <v>50</v>
      </c>
      <c r="B66">
        <v>1674585325.5999999</v>
      </c>
      <c r="C66">
        <v>9900.5999999046326</v>
      </c>
      <c r="D66" t="s">
        <v>671</v>
      </c>
      <c r="E66" t="s">
        <v>672</v>
      </c>
      <c r="F66" t="s">
        <v>412</v>
      </c>
      <c r="G66" t="s">
        <v>31</v>
      </c>
      <c r="H66" t="s">
        <v>637</v>
      </c>
      <c r="I66">
        <v>1674585325.5999999</v>
      </c>
      <c r="J66">
        <f t="shared" si="46"/>
        <v>5.4064749707599348E-3</v>
      </c>
      <c r="K66">
        <f t="shared" si="47"/>
        <v>5.4064749707599349</v>
      </c>
      <c r="L66">
        <f t="shared" si="48"/>
        <v>42.462171625614232</v>
      </c>
      <c r="M66">
        <f t="shared" si="49"/>
        <v>346.75900000000001</v>
      </c>
      <c r="N66">
        <f t="shared" si="50"/>
        <v>185.69376680018252</v>
      </c>
      <c r="O66">
        <f t="shared" si="51"/>
        <v>18.539638974566554</v>
      </c>
      <c r="P66">
        <f t="shared" si="52"/>
        <v>34.620368696055806</v>
      </c>
      <c r="Q66">
        <f t="shared" si="53"/>
        <v>0.46920496552021562</v>
      </c>
      <c r="R66">
        <f t="shared" si="54"/>
        <v>2.924435998158633</v>
      </c>
      <c r="S66">
        <f t="shared" si="55"/>
        <v>0.43103997766307039</v>
      </c>
      <c r="T66">
        <f t="shared" si="56"/>
        <v>0.27256979691923056</v>
      </c>
      <c r="U66">
        <f t="shared" si="57"/>
        <v>344.36499965783628</v>
      </c>
      <c r="V66">
        <f t="shared" si="58"/>
        <v>28.626829000494567</v>
      </c>
      <c r="W66">
        <f t="shared" si="59"/>
        <v>27.425899999999999</v>
      </c>
      <c r="X66">
        <f t="shared" si="60"/>
        <v>3.6696728560551044</v>
      </c>
      <c r="Y66">
        <f t="shared" si="61"/>
        <v>64.708823898451698</v>
      </c>
      <c r="Z66">
        <f t="shared" si="62"/>
        <v>2.4558108628794999</v>
      </c>
      <c r="AA66">
        <f t="shared" si="63"/>
        <v>3.7951715313717216</v>
      </c>
      <c r="AB66">
        <f t="shared" si="64"/>
        <v>1.2138619931756045</v>
      </c>
      <c r="AC66">
        <f t="shared" si="65"/>
        <v>-238.42554621051312</v>
      </c>
      <c r="AD66">
        <f t="shared" si="66"/>
        <v>90.750358597438591</v>
      </c>
      <c r="AE66">
        <f t="shared" si="67"/>
        <v>6.7449304685482785</v>
      </c>
      <c r="AF66">
        <f t="shared" si="68"/>
        <v>203.43474251331003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52548.430771038256</v>
      </c>
      <c r="AL66" t="s">
        <v>415</v>
      </c>
      <c r="AM66">
        <v>10297.6</v>
      </c>
      <c r="AN66">
        <v>785.57400000000007</v>
      </c>
      <c r="AO66">
        <v>3597.65</v>
      </c>
      <c r="AP66">
        <f t="shared" si="72"/>
        <v>0.7816424610509638</v>
      </c>
      <c r="AQ66">
        <v>-0.62398835798131469</v>
      </c>
      <c r="AR66" t="s">
        <v>673</v>
      </c>
      <c r="AS66">
        <v>10219.5</v>
      </c>
      <c r="AT66">
        <v>713.25557692307689</v>
      </c>
      <c r="AU66">
        <v>988.88609587364203</v>
      </c>
      <c r="AV66">
        <f t="shared" si="73"/>
        <v>0.27872827831304114</v>
      </c>
      <c r="AW66">
        <v>0.5</v>
      </c>
      <c r="AX66">
        <f t="shared" si="74"/>
        <v>1513.1675998289181</v>
      </c>
      <c r="AY66">
        <f t="shared" si="75"/>
        <v>42.462171625614232</v>
      </c>
      <c r="AZ66">
        <f t="shared" si="76"/>
        <v>210.88129994969557</v>
      </c>
      <c r="BA66">
        <f t="shared" si="77"/>
        <v>2.8474149187748245E-2</v>
      </c>
      <c r="BB66">
        <f t="shared" si="78"/>
        <v>2.6380833091010527</v>
      </c>
      <c r="BC66">
        <f t="shared" si="79"/>
        <v>498.44630777027567</v>
      </c>
      <c r="BD66" t="s">
        <v>674</v>
      </c>
      <c r="BE66">
        <v>558.58000000000004</v>
      </c>
      <c r="BF66">
        <f t="shared" si="80"/>
        <v>558.58000000000004</v>
      </c>
      <c r="BG66">
        <f t="shared" si="81"/>
        <v>0.4351422248418646</v>
      </c>
      <c r="BH66">
        <f t="shared" si="82"/>
        <v>0.64054523418023612</v>
      </c>
      <c r="BI66">
        <f t="shared" si="83"/>
        <v>0.85840862636476234</v>
      </c>
      <c r="BJ66">
        <f t="shared" si="84"/>
        <v>1.3557015275759536</v>
      </c>
      <c r="BK66">
        <f t="shared" si="85"/>
        <v>0.92770035522736882</v>
      </c>
      <c r="BL66">
        <f t="shared" si="86"/>
        <v>0.50163751744065765</v>
      </c>
      <c r="BM66">
        <f t="shared" si="87"/>
        <v>0.49836248255934235</v>
      </c>
      <c r="BN66">
        <v>99</v>
      </c>
      <c r="BO66">
        <v>290.00000000000011</v>
      </c>
      <c r="BP66">
        <v>916.97</v>
      </c>
      <c r="BQ66">
        <v>295</v>
      </c>
      <c r="BR66">
        <v>10219.5</v>
      </c>
      <c r="BS66">
        <v>918.48</v>
      </c>
      <c r="BT66">
        <v>-1.51</v>
      </c>
      <c r="BU66">
        <v>300.00000000000011</v>
      </c>
      <c r="BV66">
        <v>24.1</v>
      </c>
      <c r="BW66">
        <v>988.88609587364203</v>
      </c>
      <c r="BX66">
        <v>1.964898270659635</v>
      </c>
      <c r="BY66">
        <v>-71.955282922060448</v>
      </c>
      <c r="BZ66">
        <v>1.789039299462472</v>
      </c>
      <c r="CA66">
        <v>0.98298548679044595</v>
      </c>
      <c r="CB66">
        <v>-6.9681194660734108E-3</v>
      </c>
      <c r="CC66">
        <v>289.99999999999989</v>
      </c>
      <c r="CD66">
        <v>916.06</v>
      </c>
      <c r="CE66">
        <v>675</v>
      </c>
      <c r="CF66">
        <v>10203</v>
      </c>
      <c r="CG66">
        <v>918.36</v>
      </c>
      <c r="CH66">
        <v>-2.2999999999999998</v>
      </c>
      <c r="CV66">
        <f t="shared" si="88"/>
        <v>1799.98</v>
      </c>
      <c r="CW66">
        <f t="shared" si="89"/>
        <v>1513.1675998289181</v>
      </c>
      <c r="CX66">
        <f t="shared" si="90"/>
        <v>0.84065800721614581</v>
      </c>
      <c r="CY66">
        <f t="shared" si="91"/>
        <v>0.19131601443229163</v>
      </c>
      <c r="CZ66">
        <v>6</v>
      </c>
      <c r="DA66">
        <v>0.5</v>
      </c>
      <c r="DB66" t="s">
        <v>418</v>
      </c>
      <c r="DC66">
        <v>2</v>
      </c>
      <c r="DD66">
        <v>1674585325.5999999</v>
      </c>
      <c r="DE66">
        <v>346.75900000000001</v>
      </c>
      <c r="DF66">
        <v>399.95499999999998</v>
      </c>
      <c r="DG66">
        <v>24.5975</v>
      </c>
      <c r="DH66">
        <v>18.270299999999999</v>
      </c>
      <c r="DI66">
        <v>347.62</v>
      </c>
      <c r="DJ66">
        <v>24.380700000000001</v>
      </c>
      <c r="DK66">
        <v>500.07799999999997</v>
      </c>
      <c r="DL66">
        <v>99.739900000000006</v>
      </c>
      <c r="DM66">
        <v>9.9956199999999995E-2</v>
      </c>
      <c r="DN66">
        <v>28.0015</v>
      </c>
      <c r="DO66">
        <v>27.425899999999999</v>
      </c>
      <c r="DP66">
        <v>999.9</v>
      </c>
      <c r="DQ66">
        <v>0</v>
      </c>
      <c r="DR66">
        <v>0</v>
      </c>
      <c r="DS66">
        <v>9996.8799999999992</v>
      </c>
      <c r="DT66">
        <v>0</v>
      </c>
      <c r="DU66">
        <v>486.36500000000001</v>
      </c>
      <c r="DV66">
        <v>-53.196399999999997</v>
      </c>
      <c r="DW66">
        <v>355.50299999999999</v>
      </c>
      <c r="DX66">
        <v>407.39800000000002</v>
      </c>
      <c r="DY66">
        <v>6.3272199999999996</v>
      </c>
      <c r="DZ66">
        <v>399.95499999999998</v>
      </c>
      <c r="EA66">
        <v>18.270299999999999</v>
      </c>
      <c r="EB66">
        <v>2.4533499999999999</v>
      </c>
      <c r="EC66">
        <v>1.8222799999999999</v>
      </c>
      <c r="ED66">
        <v>20.720300000000002</v>
      </c>
      <c r="EE66">
        <v>15.979200000000001</v>
      </c>
      <c r="EF66">
        <v>1799.98</v>
      </c>
      <c r="EG66">
        <v>0.97800399999999998</v>
      </c>
      <c r="EH66">
        <v>2.19957E-2</v>
      </c>
      <c r="EI66">
        <v>0</v>
      </c>
      <c r="EJ66">
        <v>713.19200000000001</v>
      </c>
      <c r="EK66">
        <v>5.0002599999999999</v>
      </c>
      <c r="EL66">
        <v>13368.7</v>
      </c>
      <c r="EM66">
        <v>17103.2</v>
      </c>
      <c r="EN66">
        <v>49.25</v>
      </c>
      <c r="EO66">
        <v>50.75</v>
      </c>
      <c r="EP66">
        <v>50.25</v>
      </c>
      <c r="EQ66">
        <v>49.936999999999998</v>
      </c>
      <c r="ER66">
        <v>50.436999999999998</v>
      </c>
      <c r="ES66">
        <v>1755.5</v>
      </c>
      <c r="ET66">
        <v>39.479999999999997</v>
      </c>
      <c r="EU66">
        <v>0</v>
      </c>
      <c r="EV66">
        <v>187.79999995231631</v>
      </c>
      <c r="EW66">
        <v>0</v>
      </c>
      <c r="EX66">
        <v>713.25557692307689</v>
      </c>
      <c r="EY66">
        <v>-3.963111115645598</v>
      </c>
      <c r="EZ66">
        <v>-72.225640786132402</v>
      </c>
      <c r="FA66">
        <v>13383.83846153846</v>
      </c>
      <c r="FB66">
        <v>15</v>
      </c>
      <c r="FC66">
        <v>1674585213.5999999</v>
      </c>
      <c r="FD66" t="s">
        <v>675</v>
      </c>
      <c r="FE66">
        <v>1674585202.5999999</v>
      </c>
      <c r="FF66">
        <v>1674585213.5999999</v>
      </c>
      <c r="FG66">
        <v>56</v>
      </c>
      <c r="FH66">
        <v>-0.13900000000000001</v>
      </c>
      <c r="FI66">
        <v>-1E-3</v>
      </c>
      <c r="FJ66">
        <v>-0.87</v>
      </c>
      <c r="FK66">
        <v>0.06</v>
      </c>
      <c r="FL66">
        <v>400</v>
      </c>
      <c r="FM66">
        <v>18</v>
      </c>
      <c r="FN66">
        <v>0.06</v>
      </c>
      <c r="FO66">
        <v>0.01</v>
      </c>
      <c r="FP66">
        <v>41.600537245333847</v>
      </c>
      <c r="FQ66">
        <v>4.9720696277360936</v>
      </c>
      <c r="FR66">
        <v>0.49115755299871822</v>
      </c>
      <c r="FS66">
        <v>0</v>
      </c>
      <c r="FT66">
        <v>0.47438588016307442</v>
      </c>
      <c r="FU66">
        <v>-1.6992461493023268E-2</v>
      </c>
      <c r="FV66">
        <v>1.86513492625733E-3</v>
      </c>
      <c r="FW66">
        <v>1</v>
      </c>
      <c r="FX66">
        <v>1</v>
      </c>
      <c r="FY66">
        <v>2</v>
      </c>
      <c r="FZ66" t="s">
        <v>459</v>
      </c>
      <c r="GA66">
        <v>2.92814</v>
      </c>
      <c r="GB66">
        <v>2.8068499999999998</v>
      </c>
      <c r="GC66">
        <v>8.7733000000000005E-2</v>
      </c>
      <c r="GD66">
        <v>9.9199099999999998E-2</v>
      </c>
      <c r="GE66">
        <v>0.11408600000000001</v>
      </c>
      <c r="GF66">
        <v>9.40164E-2</v>
      </c>
      <c r="GG66">
        <v>27123.3</v>
      </c>
      <c r="GH66">
        <v>27118.6</v>
      </c>
      <c r="GI66">
        <v>28242.400000000001</v>
      </c>
      <c r="GJ66">
        <v>27129.5</v>
      </c>
      <c r="GK66">
        <v>35922.1</v>
      </c>
      <c r="GL66">
        <v>32446.7</v>
      </c>
      <c r="GM66">
        <v>42060.1</v>
      </c>
      <c r="GN66">
        <v>36798.800000000003</v>
      </c>
      <c r="GO66">
        <v>1.92323</v>
      </c>
      <c r="GP66">
        <v>1.87402</v>
      </c>
      <c r="GQ66">
        <v>6.4928100000000002E-2</v>
      </c>
      <c r="GR66">
        <v>0</v>
      </c>
      <c r="GS66">
        <v>26.364000000000001</v>
      </c>
      <c r="GT66">
        <v>999.9</v>
      </c>
      <c r="GU66">
        <v>48.6</v>
      </c>
      <c r="GV66">
        <v>36.299999999999997</v>
      </c>
      <c r="GW66">
        <v>29.565100000000001</v>
      </c>
      <c r="GX66">
        <v>61.613799999999998</v>
      </c>
      <c r="GY66">
        <v>26.902999999999999</v>
      </c>
      <c r="GZ66">
        <v>1</v>
      </c>
      <c r="HA66">
        <v>0.42675099999999999</v>
      </c>
      <c r="HB66">
        <v>2.8026499999999999</v>
      </c>
      <c r="HC66">
        <v>20.322700000000001</v>
      </c>
      <c r="HD66">
        <v>5.2398999999999996</v>
      </c>
      <c r="HE66">
        <v>11.9381</v>
      </c>
      <c r="HF66">
        <v>4.9735500000000004</v>
      </c>
      <c r="HG66">
        <v>3.2989999999999999</v>
      </c>
      <c r="HH66">
        <v>9999</v>
      </c>
      <c r="HI66">
        <v>9999</v>
      </c>
      <c r="HJ66">
        <v>9999</v>
      </c>
      <c r="HK66">
        <v>999.9</v>
      </c>
      <c r="HL66">
        <v>1.87347</v>
      </c>
      <c r="HM66">
        <v>1.88121</v>
      </c>
      <c r="HN66">
        <v>1.8846400000000001</v>
      </c>
      <c r="HO66">
        <v>1.88141</v>
      </c>
      <c r="HP66">
        <v>1.8787499999999999</v>
      </c>
      <c r="HQ66">
        <v>1.87347</v>
      </c>
      <c r="HR66">
        <v>1.8763700000000001</v>
      </c>
      <c r="HS66">
        <v>1.8805000000000001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-0.86099999999999999</v>
      </c>
      <c r="IH66">
        <v>0.21679999999999999</v>
      </c>
      <c r="II66">
        <v>-0.99211542554062315</v>
      </c>
      <c r="IJ66">
        <v>9.4905977090923709E-4</v>
      </c>
      <c r="IK66">
        <v>-1.9106666302146479E-6</v>
      </c>
      <c r="IL66">
        <v>7.5819610513223293E-10</v>
      </c>
      <c r="IM66">
        <v>-7.3666821852121145E-2</v>
      </c>
      <c r="IN66">
        <v>-1.0595840490420019E-2</v>
      </c>
      <c r="IO66">
        <v>1.2407080968752471E-3</v>
      </c>
      <c r="IP66">
        <v>-1.3015442653884381E-5</v>
      </c>
      <c r="IQ66">
        <v>33</v>
      </c>
      <c r="IR66">
        <v>2014</v>
      </c>
      <c r="IS66">
        <v>1</v>
      </c>
      <c r="IT66">
        <v>26</v>
      </c>
      <c r="IU66">
        <v>2</v>
      </c>
      <c r="IV66">
        <v>1.9</v>
      </c>
      <c r="IW66">
        <v>1.01074</v>
      </c>
      <c r="IX66">
        <v>2.5415000000000001</v>
      </c>
      <c r="IY66">
        <v>1.5991200000000001</v>
      </c>
      <c r="IZ66">
        <v>2.2973599999999998</v>
      </c>
      <c r="JA66">
        <v>1.5502899999999999</v>
      </c>
      <c r="JB66">
        <v>2.2912599999999999</v>
      </c>
      <c r="JC66">
        <v>39.641800000000003</v>
      </c>
      <c r="JD66">
        <v>24.061199999999999</v>
      </c>
      <c r="JE66">
        <v>18</v>
      </c>
      <c r="JF66">
        <v>487.03399999999999</v>
      </c>
      <c r="JG66">
        <v>489.00799999999998</v>
      </c>
      <c r="JH66">
        <v>23.0123</v>
      </c>
      <c r="JI66">
        <v>32.5608</v>
      </c>
      <c r="JJ66">
        <v>30</v>
      </c>
      <c r="JK66">
        <v>32.694499999999998</v>
      </c>
      <c r="JL66">
        <v>32.677100000000003</v>
      </c>
      <c r="JM66">
        <v>20.281300000000002</v>
      </c>
      <c r="JN66">
        <v>44.674500000000002</v>
      </c>
      <c r="JO66">
        <v>0</v>
      </c>
      <c r="JP66">
        <v>23.008199999999999</v>
      </c>
      <c r="JQ66">
        <v>400</v>
      </c>
      <c r="JR66">
        <v>18.357700000000001</v>
      </c>
      <c r="JS66">
        <v>99.714100000000002</v>
      </c>
      <c r="JT66">
        <v>98.541700000000006</v>
      </c>
    </row>
    <row r="67" spans="1:280" x14ac:dyDescent="0.25">
      <c r="A67">
        <v>51</v>
      </c>
      <c r="B67">
        <v>1674585464.0999999</v>
      </c>
      <c r="C67">
        <v>10039.099999904631</v>
      </c>
      <c r="D67" t="s">
        <v>676</v>
      </c>
      <c r="E67" t="s">
        <v>677</v>
      </c>
      <c r="F67" t="s">
        <v>412</v>
      </c>
      <c r="G67" t="s">
        <v>31</v>
      </c>
      <c r="H67" t="s">
        <v>637</v>
      </c>
      <c r="I67">
        <v>1674585464.0999999</v>
      </c>
      <c r="J67">
        <f t="shared" si="46"/>
        <v>5.1242554907623356E-3</v>
      </c>
      <c r="K67">
        <f t="shared" si="47"/>
        <v>5.1242554907623354</v>
      </c>
      <c r="L67">
        <f t="shared" si="48"/>
        <v>47.110851089489621</v>
      </c>
      <c r="M67">
        <f t="shared" si="49"/>
        <v>341.43900000000002</v>
      </c>
      <c r="N67">
        <f t="shared" si="50"/>
        <v>155.06046742854491</v>
      </c>
      <c r="O67">
        <f t="shared" si="51"/>
        <v>15.479949523474632</v>
      </c>
      <c r="P67">
        <f t="shared" si="52"/>
        <v>34.086434621263507</v>
      </c>
      <c r="Q67">
        <f t="shared" si="53"/>
        <v>0.44517114501077976</v>
      </c>
      <c r="R67">
        <f t="shared" si="54"/>
        <v>2.9335946088350919</v>
      </c>
      <c r="S67">
        <f t="shared" si="55"/>
        <v>0.41076067828231749</v>
      </c>
      <c r="T67">
        <f t="shared" si="56"/>
        <v>0.25959505895350837</v>
      </c>
      <c r="U67">
        <f t="shared" si="57"/>
        <v>344.40109965787241</v>
      </c>
      <c r="V67">
        <f t="shared" si="58"/>
        <v>28.689879190108869</v>
      </c>
      <c r="W67">
        <f t="shared" si="59"/>
        <v>27.4376</v>
      </c>
      <c r="X67">
        <f t="shared" si="60"/>
        <v>3.6721872998261809</v>
      </c>
      <c r="Y67">
        <f t="shared" si="61"/>
        <v>64.985215888623117</v>
      </c>
      <c r="Z67">
        <f t="shared" si="62"/>
        <v>2.4650642163173</v>
      </c>
      <c r="AA67">
        <f t="shared" si="63"/>
        <v>3.7932692576448854</v>
      </c>
      <c r="AB67">
        <f t="shared" si="64"/>
        <v>1.2071230835088809</v>
      </c>
      <c r="AC67">
        <f t="shared" si="65"/>
        <v>-225.97966714261901</v>
      </c>
      <c r="AD67">
        <f t="shared" si="66"/>
        <v>87.824000451857501</v>
      </c>
      <c r="AE67">
        <f t="shared" si="67"/>
        <v>6.5071535242792429</v>
      </c>
      <c r="AF67">
        <f t="shared" si="68"/>
        <v>212.75258649139016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52813.434521786279</v>
      </c>
      <c r="AL67" t="s">
        <v>415</v>
      </c>
      <c r="AM67">
        <v>10297.6</v>
      </c>
      <c r="AN67">
        <v>785.57400000000007</v>
      </c>
      <c r="AO67">
        <v>3597.65</v>
      </c>
      <c r="AP67">
        <f t="shared" si="72"/>
        <v>0.7816424610509638</v>
      </c>
      <c r="AQ67">
        <v>-0.62398835798131469</v>
      </c>
      <c r="AR67" t="s">
        <v>678</v>
      </c>
      <c r="AS67">
        <v>10219</v>
      </c>
      <c r="AT67">
        <v>715.16465384615378</v>
      </c>
      <c r="AU67">
        <v>1028.4649401291019</v>
      </c>
      <c r="AV67">
        <f t="shared" si="73"/>
        <v>0.30462903892826909</v>
      </c>
      <c r="AW67">
        <v>0.5</v>
      </c>
      <c r="AX67">
        <f t="shared" si="74"/>
        <v>1513.327199828936</v>
      </c>
      <c r="AY67">
        <f t="shared" si="75"/>
        <v>47.110851089489621</v>
      </c>
      <c r="AZ67">
        <f t="shared" si="76"/>
        <v>230.50170523394871</v>
      </c>
      <c r="BA67">
        <f t="shared" si="77"/>
        <v>3.1542973292799342E-2</v>
      </c>
      <c r="BB67">
        <f t="shared" si="78"/>
        <v>2.4980774352389603</v>
      </c>
      <c r="BC67">
        <f t="shared" si="79"/>
        <v>508.30617611757674</v>
      </c>
      <c r="BD67" t="s">
        <v>679</v>
      </c>
      <c r="BE67">
        <v>559.73</v>
      </c>
      <c r="BF67">
        <f t="shared" si="80"/>
        <v>559.73</v>
      </c>
      <c r="BG67">
        <f t="shared" si="81"/>
        <v>0.45576171033138202</v>
      </c>
      <c r="BH67">
        <f t="shared" si="82"/>
        <v>0.66839541809419423</v>
      </c>
      <c r="BI67">
        <f t="shared" si="83"/>
        <v>0.84570530490299212</v>
      </c>
      <c r="BJ67">
        <f t="shared" si="84"/>
        <v>1.2898804958160324</v>
      </c>
      <c r="BK67">
        <f t="shared" si="85"/>
        <v>0.91362575544576241</v>
      </c>
      <c r="BL67">
        <f t="shared" si="86"/>
        <v>0.52312564016949348</v>
      </c>
      <c r="BM67">
        <f t="shared" si="87"/>
        <v>0.47687435983050652</v>
      </c>
      <c r="BN67">
        <v>101</v>
      </c>
      <c r="BO67">
        <v>290.00000000000011</v>
      </c>
      <c r="BP67">
        <v>940.95</v>
      </c>
      <c r="BQ67">
        <v>285</v>
      </c>
      <c r="BR67">
        <v>10219</v>
      </c>
      <c r="BS67">
        <v>940.43</v>
      </c>
      <c r="BT67">
        <v>0.52</v>
      </c>
      <c r="BU67">
        <v>300.00000000000011</v>
      </c>
      <c r="BV67">
        <v>24.1</v>
      </c>
      <c r="BW67">
        <v>1028.4649401291019</v>
      </c>
      <c r="BX67">
        <v>1.989895520131854</v>
      </c>
      <c r="BY67">
        <v>-89.961370499440207</v>
      </c>
      <c r="BZ67">
        <v>1.8116969562297141</v>
      </c>
      <c r="CA67">
        <v>0.98877172467243046</v>
      </c>
      <c r="CB67">
        <v>-6.9679392658509413E-3</v>
      </c>
      <c r="CC67">
        <v>289.99999999999989</v>
      </c>
      <c r="CD67">
        <v>936.24</v>
      </c>
      <c r="CE67">
        <v>655</v>
      </c>
      <c r="CF67">
        <v>10203.700000000001</v>
      </c>
      <c r="CG67">
        <v>940.3</v>
      </c>
      <c r="CH67">
        <v>-4.0599999999999996</v>
      </c>
      <c r="CV67">
        <f t="shared" si="88"/>
        <v>1800.17</v>
      </c>
      <c r="CW67">
        <f t="shared" si="89"/>
        <v>1513.327199828936</v>
      </c>
      <c r="CX67">
        <f t="shared" si="90"/>
        <v>0.84065793776639763</v>
      </c>
      <c r="CY67">
        <f t="shared" si="91"/>
        <v>0.19131587553279544</v>
      </c>
      <c r="CZ67">
        <v>6</v>
      </c>
      <c r="DA67">
        <v>0.5</v>
      </c>
      <c r="DB67" t="s">
        <v>418</v>
      </c>
      <c r="DC67">
        <v>2</v>
      </c>
      <c r="DD67">
        <v>1674585464.0999999</v>
      </c>
      <c r="DE67">
        <v>341.43900000000002</v>
      </c>
      <c r="DF67">
        <v>400.065</v>
      </c>
      <c r="DG67">
        <v>24.6922</v>
      </c>
      <c r="DH67">
        <v>18.695599999999999</v>
      </c>
      <c r="DI67">
        <v>342.34699999999998</v>
      </c>
      <c r="DJ67">
        <v>24.4709</v>
      </c>
      <c r="DK67">
        <v>500.05599999999998</v>
      </c>
      <c r="DL67">
        <v>99.732100000000003</v>
      </c>
      <c r="DM67">
        <v>9.9596500000000004E-2</v>
      </c>
      <c r="DN67">
        <v>27.992899999999999</v>
      </c>
      <c r="DO67">
        <v>27.4376</v>
      </c>
      <c r="DP67">
        <v>999.9</v>
      </c>
      <c r="DQ67">
        <v>0</v>
      </c>
      <c r="DR67">
        <v>0</v>
      </c>
      <c r="DS67">
        <v>10050</v>
      </c>
      <c r="DT67">
        <v>0</v>
      </c>
      <c r="DU67">
        <v>464.00900000000001</v>
      </c>
      <c r="DV67">
        <v>-58.625900000000001</v>
      </c>
      <c r="DW67">
        <v>350.08300000000003</v>
      </c>
      <c r="DX67">
        <v>407.68700000000001</v>
      </c>
      <c r="DY67">
        <v>5.9966900000000001</v>
      </c>
      <c r="DZ67">
        <v>400.065</v>
      </c>
      <c r="EA67">
        <v>18.695599999999999</v>
      </c>
      <c r="EB67">
        <v>2.4626100000000002</v>
      </c>
      <c r="EC67">
        <v>1.8645499999999999</v>
      </c>
      <c r="ED67">
        <v>20.781500000000001</v>
      </c>
      <c r="EE67">
        <v>16.338699999999999</v>
      </c>
      <c r="EF67">
        <v>1800.17</v>
      </c>
      <c r="EG67">
        <v>0.97800799999999999</v>
      </c>
      <c r="EH67">
        <v>2.1992000000000001E-2</v>
      </c>
      <c r="EI67">
        <v>0</v>
      </c>
      <c r="EJ67">
        <v>715.90599999999995</v>
      </c>
      <c r="EK67">
        <v>5.0002599999999999</v>
      </c>
      <c r="EL67">
        <v>13376.5</v>
      </c>
      <c r="EM67">
        <v>17105</v>
      </c>
      <c r="EN67">
        <v>49.25</v>
      </c>
      <c r="EO67">
        <v>50.811999999999998</v>
      </c>
      <c r="EP67">
        <v>50.25</v>
      </c>
      <c r="EQ67">
        <v>50</v>
      </c>
      <c r="ER67">
        <v>50.561999999999998</v>
      </c>
      <c r="ES67">
        <v>1755.69</v>
      </c>
      <c r="ET67">
        <v>39.479999999999997</v>
      </c>
      <c r="EU67">
        <v>0</v>
      </c>
      <c r="EV67">
        <v>136.79999995231631</v>
      </c>
      <c r="EW67">
        <v>0</v>
      </c>
      <c r="EX67">
        <v>715.16465384615378</v>
      </c>
      <c r="EY67">
        <v>4.2336068371010658</v>
      </c>
      <c r="EZ67">
        <v>72.97435912229237</v>
      </c>
      <c r="FA67">
        <v>13367.41923076923</v>
      </c>
      <c r="FB67">
        <v>15</v>
      </c>
      <c r="FC67">
        <v>1674585396.5999999</v>
      </c>
      <c r="FD67" t="s">
        <v>680</v>
      </c>
      <c r="FE67">
        <v>1674585391.0999999</v>
      </c>
      <c r="FF67">
        <v>1674585396.5999999</v>
      </c>
      <c r="FG67">
        <v>57</v>
      </c>
      <c r="FH67">
        <v>-4.7E-2</v>
      </c>
      <c r="FI67">
        <v>2E-3</v>
      </c>
      <c r="FJ67">
        <v>-0.91700000000000004</v>
      </c>
      <c r="FK67">
        <v>7.2999999999999995E-2</v>
      </c>
      <c r="FL67">
        <v>400</v>
      </c>
      <c r="FM67">
        <v>18</v>
      </c>
      <c r="FN67">
        <v>0.08</v>
      </c>
      <c r="FO67">
        <v>0.02</v>
      </c>
      <c r="FP67">
        <v>46.974486442213433</v>
      </c>
      <c r="FQ67">
        <v>0.65890948784186854</v>
      </c>
      <c r="FR67">
        <v>7.3075900530670992E-2</v>
      </c>
      <c r="FS67">
        <v>1</v>
      </c>
      <c r="FT67">
        <v>0.44756983748959228</v>
      </c>
      <c r="FU67">
        <v>-1.1746660746968909E-2</v>
      </c>
      <c r="FV67">
        <v>1.1752706194660179E-3</v>
      </c>
      <c r="FW67">
        <v>1</v>
      </c>
      <c r="FX67">
        <v>2</v>
      </c>
      <c r="FY67">
        <v>2</v>
      </c>
      <c r="FZ67" t="s">
        <v>420</v>
      </c>
      <c r="GA67">
        <v>2.92821</v>
      </c>
      <c r="GB67">
        <v>2.8069799999999998</v>
      </c>
      <c r="GC67">
        <v>8.6673600000000003E-2</v>
      </c>
      <c r="GD67">
        <v>9.9232699999999993E-2</v>
      </c>
      <c r="GE67">
        <v>0.114389</v>
      </c>
      <c r="GF67">
        <v>9.5577599999999999E-2</v>
      </c>
      <c r="GG67">
        <v>27159.3</v>
      </c>
      <c r="GH67">
        <v>27123.599999999999</v>
      </c>
      <c r="GI67">
        <v>28246.5</v>
      </c>
      <c r="GJ67">
        <v>27135.200000000001</v>
      </c>
      <c r="GK67">
        <v>35914.6</v>
      </c>
      <c r="GL67">
        <v>32397.1</v>
      </c>
      <c r="GM67">
        <v>42065.9</v>
      </c>
      <c r="GN67">
        <v>36805.9</v>
      </c>
      <c r="GO67">
        <v>1.92378</v>
      </c>
      <c r="GP67">
        <v>1.87625</v>
      </c>
      <c r="GQ67">
        <v>7.0214299999999993E-2</v>
      </c>
      <c r="GR67">
        <v>0</v>
      </c>
      <c r="GS67">
        <v>26.289100000000001</v>
      </c>
      <c r="GT67">
        <v>999.9</v>
      </c>
      <c r="GU67">
        <v>48.5</v>
      </c>
      <c r="GV67">
        <v>36.299999999999997</v>
      </c>
      <c r="GW67">
        <v>29.507200000000001</v>
      </c>
      <c r="GX67">
        <v>59.7438</v>
      </c>
      <c r="GY67">
        <v>27.107399999999998</v>
      </c>
      <c r="GZ67">
        <v>1</v>
      </c>
      <c r="HA67">
        <v>0.419464</v>
      </c>
      <c r="HB67">
        <v>2.61992</v>
      </c>
      <c r="HC67">
        <v>20.325399999999998</v>
      </c>
      <c r="HD67">
        <v>5.2408000000000001</v>
      </c>
      <c r="HE67">
        <v>11.9381</v>
      </c>
      <c r="HF67">
        <v>4.9736000000000002</v>
      </c>
      <c r="HG67">
        <v>3.2989999999999999</v>
      </c>
      <c r="HH67">
        <v>9999</v>
      </c>
      <c r="HI67">
        <v>9999</v>
      </c>
      <c r="HJ67">
        <v>9999</v>
      </c>
      <c r="HK67">
        <v>999.9</v>
      </c>
      <c r="HL67">
        <v>1.87348</v>
      </c>
      <c r="HM67">
        <v>1.8812199999999999</v>
      </c>
      <c r="HN67">
        <v>1.8846700000000001</v>
      </c>
      <c r="HO67">
        <v>1.88141</v>
      </c>
      <c r="HP67">
        <v>1.8787199999999999</v>
      </c>
      <c r="HQ67">
        <v>1.87347</v>
      </c>
      <c r="HR67">
        <v>1.8763700000000001</v>
      </c>
      <c r="HS67">
        <v>1.8805700000000001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-0.90800000000000003</v>
      </c>
      <c r="IH67">
        <v>0.2213</v>
      </c>
      <c r="II67">
        <v>-1.0391192757099581</v>
      </c>
      <c r="IJ67">
        <v>9.4905977090923709E-4</v>
      </c>
      <c r="IK67">
        <v>-1.9106666302146479E-6</v>
      </c>
      <c r="IL67">
        <v>7.5819610513223293E-10</v>
      </c>
      <c r="IM67">
        <v>-7.1639350902152121E-2</v>
      </c>
      <c r="IN67">
        <v>-1.0595840490420019E-2</v>
      </c>
      <c r="IO67">
        <v>1.2407080968752471E-3</v>
      </c>
      <c r="IP67">
        <v>-1.3015442653884381E-5</v>
      </c>
      <c r="IQ67">
        <v>33</v>
      </c>
      <c r="IR67">
        <v>2014</v>
      </c>
      <c r="IS67">
        <v>1</v>
      </c>
      <c r="IT67">
        <v>26</v>
      </c>
      <c r="IU67">
        <v>1.2</v>
      </c>
      <c r="IV67">
        <v>1.1000000000000001</v>
      </c>
      <c r="IW67">
        <v>1.01074</v>
      </c>
      <c r="IX67">
        <v>2.5439500000000002</v>
      </c>
      <c r="IY67">
        <v>1.5991200000000001</v>
      </c>
      <c r="IZ67">
        <v>2.2973599999999998</v>
      </c>
      <c r="JA67">
        <v>1.5502899999999999</v>
      </c>
      <c r="JB67">
        <v>2.3010299999999999</v>
      </c>
      <c r="JC67">
        <v>39.566600000000001</v>
      </c>
      <c r="JD67">
        <v>24.052499999999998</v>
      </c>
      <c r="JE67">
        <v>18</v>
      </c>
      <c r="JF67">
        <v>486.87200000000001</v>
      </c>
      <c r="JG67">
        <v>490.03800000000001</v>
      </c>
      <c r="JH67">
        <v>23.072500000000002</v>
      </c>
      <c r="JI67">
        <v>32.486899999999999</v>
      </c>
      <c r="JJ67">
        <v>29.9998</v>
      </c>
      <c r="JK67">
        <v>32.628700000000002</v>
      </c>
      <c r="JL67">
        <v>32.613100000000003</v>
      </c>
      <c r="JM67">
        <v>20.2913</v>
      </c>
      <c r="JN67">
        <v>43.315600000000003</v>
      </c>
      <c r="JO67">
        <v>0</v>
      </c>
      <c r="JP67">
        <v>23.074300000000001</v>
      </c>
      <c r="JQ67">
        <v>400</v>
      </c>
      <c r="JR67">
        <v>18.731999999999999</v>
      </c>
      <c r="JS67">
        <v>99.728300000000004</v>
      </c>
      <c r="JT67">
        <v>98.561499999999995</v>
      </c>
    </row>
    <row r="68" spans="1:280" x14ac:dyDescent="0.25">
      <c r="A68">
        <v>52</v>
      </c>
      <c r="B68">
        <v>1674585580</v>
      </c>
      <c r="C68">
        <v>10155</v>
      </c>
      <c r="D68" t="s">
        <v>681</v>
      </c>
      <c r="E68" t="s">
        <v>682</v>
      </c>
      <c r="F68" t="s">
        <v>412</v>
      </c>
      <c r="G68" t="s">
        <v>31</v>
      </c>
      <c r="H68" t="s">
        <v>637</v>
      </c>
      <c r="I68">
        <v>1674585580</v>
      </c>
      <c r="J68">
        <f t="shared" si="46"/>
        <v>5.0925879793701874E-3</v>
      </c>
      <c r="K68">
        <f t="shared" si="47"/>
        <v>5.0925879793701876</v>
      </c>
      <c r="L68">
        <f t="shared" si="48"/>
        <v>51.082015242797723</v>
      </c>
      <c r="M68">
        <f t="shared" si="49"/>
        <v>436.15</v>
      </c>
      <c r="N68">
        <f t="shared" si="50"/>
        <v>234.15487424719339</v>
      </c>
      <c r="O68">
        <f t="shared" si="51"/>
        <v>23.374897379733213</v>
      </c>
      <c r="P68">
        <f t="shared" si="52"/>
        <v>43.539394705950002</v>
      </c>
      <c r="Q68">
        <f t="shared" si="53"/>
        <v>0.44848285305490093</v>
      </c>
      <c r="R68">
        <f t="shared" si="54"/>
        <v>2.9236535180613177</v>
      </c>
      <c r="S68">
        <f t="shared" si="55"/>
        <v>0.41347125252585087</v>
      </c>
      <c r="T68">
        <f t="shared" si="56"/>
        <v>0.2613370412707422</v>
      </c>
      <c r="U68">
        <f t="shared" si="57"/>
        <v>344.34409965781532</v>
      </c>
      <c r="V68">
        <f t="shared" si="58"/>
        <v>28.694496253210687</v>
      </c>
      <c r="W68">
        <f t="shared" si="59"/>
        <v>27.4374</v>
      </c>
      <c r="X68">
        <f t="shared" si="60"/>
        <v>3.6721443052531191</v>
      </c>
      <c r="Y68">
        <f t="shared" si="61"/>
        <v>65.413183193441512</v>
      </c>
      <c r="Z68">
        <f t="shared" si="62"/>
        <v>2.4805026564093002</v>
      </c>
      <c r="AA68">
        <f t="shared" si="63"/>
        <v>3.7920531234107582</v>
      </c>
      <c r="AB68">
        <f t="shared" si="64"/>
        <v>1.1916416488438188</v>
      </c>
      <c r="AC68">
        <f t="shared" si="65"/>
        <v>-224.58312989022525</v>
      </c>
      <c r="AD68">
        <f t="shared" si="66"/>
        <v>86.691004656147086</v>
      </c>
      <c r="AE68">
        <f t="shared" si="67"/>
        <v>6.444863361045388</v>
      </c>
      <c r="AF68">
        <f t="shared" si="68"/>
        <v>212.89683778478258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52528.104036172968</v>
      </c>
      <c r="AL68" t="s">
        <v>415</v>
      </c>
      <c r="AM68">
        <v>10297.6</v>
      </c>
      <c r="AN68">
        <v>785.57400000000007</v>
      </c>
      <c r="AO68">
        <v>3597.65</v>
      </c>
      <c r="AP68">
        <f t="shared" si="72"/>
        <v>0.7816424610509638</v>
      </c>
      <c r="AQ68">
        <v>-0.62398835798131469</v>
      </c>
      <c r="AR68" t="s">
        <v>683</v>
      </c>
      <c r="AS68">
        <v>10229</v>
      </c>
      <c r="AT68">
        <v>726.66764000000012</v>
      </c>
      <c r="AU68">
        <v>1071.154207281565</v>
      </c>
      <c r="AV68">
        <f t="shared" si="73"/>
        <v>0.32160315007847673</v>
      </c>
      <c r="AW68">
        <v>0.5</v>
      </c>
      <c r="AX68">
        <f t="shared" si="74"/>
        <v>1513.0751998289077</v>
      </c>
      <c r="AY68">
        <f t="shared" si="75"/>
        <v>51.082015242797723</v>
      </c>
      <c r="AZ68">
        <f t="shared" si="76"/>
        <v>243.30487528529869</v>
      </c>
      <c r="BA68">
        <f t="shared" si="77"/>
        <v>3.4172791680562697E-2</v>
      </c>
      <c r="BB68">
        <f t="shared" si="78"/>
        <v>2.3586667312172698</v>
      </c>
      <c r="BC68">
        <f t="shared" si="79"/>
        <v>518.51951405226885</v>
      </c>
      <c r="BD68" t="s">
        <v>684</v>
      </c>
      <c r="BE68">
        <v>563.54999999999995</v>
      </c>
      <c r="BF68">
        <f t="shared" si="80"/>
        <v>563.54999999999995</v>
      </c>
      <c r="BG68">
        <f t="shared" si="81"/>
        <v>0.47388527611705078</v>
      </c>
      <c r="BH68">
        <f t="shared" si="82"/>
        <v>0.67865191489730947</v>
      </c>
      <c r="BI68">
        <f t="shared" si="83"/>
        <v>0.8327002381986206</v>
      </c>
      <c r="BJ68">
        <f t="shared" si="84"/>
        <v>1.206269056811496</v>
      </c>
      <c r="BK68">
        <f t="shared" si="85"/>
        <v>0.89844506077304986</v>
      </c>
      <c r="BL68">
        <f t="shared" si="86"/>
        <v>0.52631253352685237</v>
      </c>
      <c r="BM68">
        <f t="shared" si="87"/>
        <v>0.47368746647314763</v>
      </c>
      <c r="BN68">
        <v>103</v>
      </c>
      <c r="BO68">
        <v>290.00000000000011</v>
      </c>
      <c r="BP68">
        <v>977.33</v>
      </c>
      <c r="BQ68">
        <v>205</v>
      </c>
      <c r="BR68">
        <v>10229</v>
      </c>
      <c r="BS68">
        <v>976.01</v>
      </c>
      <c r="BT68">
        <v>1.32</v>
      </c>
      <c r="BU68">
        <v>300.00000000000011</v>
      </c>
      <c r="BV68">
        <v>24.1</v>
      </c>
      <c r="BW68">
        <v>1071.154207281565</v>
      </c>
      <c r="BX68">
        <v>1.7832289745551411</v>
      </c>
      <c r="BY68">
        <v>-97.326142915656931</v>
      </c>
      <c r="BZ68">
        <v>1.623545137440463</v>
      </c>
      <c r="CA68">
        <v>0.99226862037417873</v>
      </c>
      <c r="CB68">
        <v>-6.9679535038932256E-3</v>
      </c>
      <c r="CC68">
        <v>289.99999999999989</v>
      </c>
      <c r="CD68">
        <v>972.41</v>
      </c>
      <c r="CE68">
        <v>685</v>
      </c>
      <c r="CF68">
        <v>10201.799999999999</v>
      </c>
      <c r="CG68">
        <v>975.75</v>
      </c>
      <c r="CH68">
        <v>-3.34</v>
      </c>
      <c r="CV68">
        <f t="shared" si="88"/>
        <v>1799.87</v>
      </c>
      <c r="CW68">
        <f t="shared" si="89"/>
        <v>1513.0751998289077</v>
      </c>
      <c r="CX68">
        <f t="shared" si="90"/>
        <v>0.84065804743059647</v>
      </c>
      <c r="CY68">
        <f t="shared" si="91"/>
        <v>0.19131609486119294</v>
      </c>
      <c r="CZ68">
        <v>6</v>
      </c>
      <c r="DA68">
        <v>0.5</v>
      </c>
      <c r="DB68" t="s">
        <v>418</v>
      </c>
      <c r="DC68">
        <v>2</v>
      </c>
      <c r="DD68">
        <v>1674585580</v>
      </c>
      <c r="DE68">
        <v>436.15</v>
      </c>
      <c r="DF68">
        <v>500.096</v>
      </c>
      <c r="DG68">
        <v>24.848099999999999</v>
      </c>
      <c r="DH68">
        <v>18.890499999999999</v>
      </c>
      <c r="DI68">
        <v>437.14600000000002</v>
      </c>
      <c r="DJ68">
        <v>24.621600000000001</v>
      </c>
      <c r="DK68">
        <v>500.13900000000001</v>
      </c>
      <c r="DL68">
        <v>99.726600000000005</v>
      </c>
      <c r="DM68">
        <v>0.100053</v>
      </c>
      <c r="DN68">
        <v>27.987400000000001</v>
      </c>
      <c r="DO68">
        <v>27.4374</v>
      </c>
      <c r="DP68">
        <v>999.9</v>
      </c>
      <c r="DQ68">
        <v>0</v>
      </c>
      <c r="DR68">
        <v>0</v>
      </c>
      <c r="DS68">
        <v>9993.75</v>
      </c>
      <c r="DT68">
        <v>0</v>
      </c>
      <c r="DU68">
        <v>461.39600000000002</v>
      </c>
      <c r="DV68">
        <v>-63.945399999999999</v>
      </c>
      <c r="DW68">
        <v>447.26400000000001</v>
      </c>
      <c r="DX68">
        <v>509.72500000000002</v>
      </c>
      <c r="DY68">
        <v>5.9576799999999999</v>
      </c>
      <c r="DZ68">
        <v>500.096</v>
      </c>
      <c r="EA68">
        <v>18.890499999999999</v>
      </c>
      <c r="EB68">
        <v>2.4780199999999999</v>
      </c>
      <c r="EC68">
        <v>1.88388</v>
      </c>
      <c r="ED68">
        <v>20.8828</v>
      </c>
      <c r="EE68">
        <v>16.500699999999998</v>
      </c>
      <c r="EF68">
        <v>1799.87</v>
      </c>
      <c r="EG68">
        <v>0.97800399999999998</v>
      </c>
      <c r="EH68">
        <v>2.1995600000000001E-2</v>
      </c>
      <c r="EI68">
        <v>0</v>
      </c>
      <c r="EJ68">
        <v>727.09199999999998</v>
      </c>
      <c r="EK68">
        <v>5.0002599999999999</v>
      </c>
      <c r="EL68">
        <v>13579.2</v>
      </c>
      <c r="EM68">
        <v>17102.2</v>
      </c>
      <c r="EN68">
        <v>49.311999999999998</v>
      </c>
      <c r="EO68">
        <v>50.75</v>
      </c>
      <c r="EP68">
        <v>50.311999999999998</v>
      </c>
      <c r="EQ68">
        <v>49.936999999999998</v>
      </c>
      <c r="ER68">
        <v>50.561999999999998</v>
      </c>
      <c r="ES68">
        <v>1755.39</v>
      </c>
      <c r="ET68">
        <v>39.479999999999997</v>
      </c>
      <c r="EU68">
        <v>0</v>
      </c>
      <c r="EV68">
        <v>114</v>
      </c>
      <c r="EW68">
        <v>0</v>
      </c>
      <c r="EX68">
        <v>726.66764000000012</v>
      </c>
      <c r="EY68">
        <v>2.803615381822004</v>
      </c>
      <c r="EZ68">
        <v>44.653846200681009</v>
      </c>
      <c r="FA68">
        <v>13574.56</v>
      </c>
      <c r="FB68">
        <v>15</v>
      </c>
      <c r="FC68">
        <v>1674585544</v>
      </c>
      <c r="FD68" t="s">
        <v>685</v>
      </c>
      <c r="FE68">
        <v>1674585542.5</v>
      </c>
      <c r="FF68">
        <v>1674585544</v>
      </c>
      <c r="FG68">
        <v>58</v>
      </c>
      <c r="FH68">
        <v>-7.0000000000000007E-2</v>
      </c>
      <c r="FI68">
        <v>1E-3</v>
      </c>
      <c r="FJ68">
        <v>-1.018</v>
      </c>
      <c r="FK68">
        <v>7.9000000000000001E-2</v>
      </c>
      <c r="FL68">
        <v>500</v>
      </c>
      <c r="FM68">
        <v>19</v>
      </c>
      <c r="FN68">
        <v>0.02</v>
      </c>
      <c r="FO68">
        <v>0.01</v>
      </c>
      <c r="FP68">
        <v>50.970965258233193</v>
      </c>
      <c r="FQ68">
        <v>-0.13358340257813589</v>
      </c>
      <c r="FR68">
        <v>4.0261312620649713E-2</v>
      </c>
      <c r="FS68">
        <v>1</v>
      </c>
      <c r="FT68">
        <v>0.44353109765234222</v>
      </c>
      <c r="FU68">
        <v>4.0044394834923343E-2</v>
      </c>
      <c r="FV68">
        <v>4.4821141538031071E-3</v>
      </c>
      <c r="FW68">
        <v>1</v>
      </c>
      <c r="FX68">
        <v>2</v>
      </c>
      <c r="FY68">
        <v>2</v>
      </c>
      <c r="FZ68" t="s">
        <v>420</v>
      </c>
      <c r="GA68">
        <v>2.9285600000000001</v>
      </c>
      <c r="GB68">
        <v>2.8069099999999998</v>
      </c>
      <c r="GC68">
        <v>0.104904</v>
      </c>
      <c r="GD68">
        <v>0.117408</v>
      </c>
      <c r="GE68">
        <v>0.114893</v>
      </c>
      <c r="GF68">
        <v>9.6294900000000003E-2</v>
      </c>
      <c r="GG68">
        <v>26619.599999999999</v>
      </c>
      <c r="GH68">
        <v>26580.3</v>
      </c>
      <c r="GI68">
        <v>28249.200000000001</v>
      </c>
      <c r="GJ68">
        <v>27139.599999999999</v>
      </c>
      <c r="GK68">
        <v>35896.9</v>
      </c>
      <c r="GL68">
        <v>32376.7</v>
      </c>
      <c r="GM68">
        <v>42069.1</v>
      </c>
      <c r="GN68">
        <v>36811.800000000003</v>
      </c>
      <c r="GO68">
        <v>1.9239299999999999</v>
      </c>
      <c r="GP68">
        <v>1.87795</v>
      </c>
      <c r="GQ68">
        <v>7.3686199999999993E-2</v>
      </c>
      <c r="GR68">
        <v>0</v>
      </c>
      <c r="GS68">
        <v>26.231999999999999</v>
      </c>
      <c r="GT68">
        <v>999.9</v>
      </c>
      <c r="GU68">
        <v>48.4</v>
      </c>
      <c r="GV68">
        <v>36.299999999999997</v>
      </c>
      <c r="GW68">
        <v>29.4495</v>
      </c>
      <c r="GX68">
        <v>61.793799999999997</v>
      </c>
      <c r="GY68">
        <v>27.2075</v>
      </c>
      <c r="GZ68">
        <v>1</v>
      </c>
      <c r="HA68">
        <v>0.41281800000000002</v>
      </c>
      <c r="HB68">
        <v>2.5063599999999999</v>
      </c>
      <c r="HC68">
        <v>20.326899999999998</v>
      </c>
      <c r="HD68">
        <v>5.2403500000000003</v>
      </c>
      <c r="HE68">
        <v>11.9381</v>
      </c>
      <c r="HF68">
        <v>4.9734999999999996</v>
      </c>
      <c r="HG68">
        <v>3.2988499999999998</v>
      </c>
      <c r="HH68">
        <v>9999</v>
      </c>
      <c r="HI68">
        <v>9999</v>
      </c>
      <c r="HJ68">
        <v>9999</v>
      </c>
      <c r="HK68">
        <v>999.9</v>
      </c>
      <c r="HL68">
        <v>1.87347</v>
      </c>
      <c r="HM68">
        <v>1.8812199999999999</v>
      </c>
      <c r="HN68">
        <v>1.88463</v>
      </c>
      <c r="HO68">
        <v>1.88141</v>
      </c>
      <c r="HP68">
        <v>1.8787700000000001</v>
      </c>
      <c r="HQ68">
        <v>1.87347</v>
      </c>
      <c r="HR68">
        <v>1.87635</v>
      </c>
      <c r="HS68">
        <v>1.88052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-0.996</v>
      </c>
      <c r="IH68">
        <v>0.22650000000000001</v>
      </c>
      <c r="II68">
        <v>-1.109176112309908</v>
      </c>
      <c r="IJ68">
        <v>9.4905977090923709E-4</v>
      </c>
      <c r="IK68">
        <v>-1.9106666302146479E-6</v>
      </c>
      <c r="IL68">
        <v>7.5819610513223293E-10</v>
      </c>
      <c r="IM68">
        <v>-7.0489026176620284E-2</v>
      </c>
      <c r="IN68">
        <v>-1.0595840490420019E-2</v>
      </c>
      <c r="IO68">
        <v>1.2407080968752471E-3</v>
      </c>
      <c r="IP68">
        <v>-1.3015442653884381E-5</v>
      </c>
      <c r="IQ68">
        <v>33</v>
      </c>
      <c r="IR68">
        <v>2014</v>
      </c>
      <c r="IS68">
        <v>1</v>
      </c>
      <c r="IT68">
        <v>26</v>
      </c>
      <c r="IU68">
        <v>0.6</v>
      </c>
      <c r="IV68">
        <v>0.6</v>
      </c>
      <c r="IW68">
        <v>1.2109399999999999</v>
      </c>
      <c r="IX68">
        <v>2.5293000000000001</v>
      </c>
      <c r="IY68">
        <v>1.5991200000000001</v>
      </c>
      <c r="IZ68">
        <v>2.2973599999999998</v>
      </c>
      <c r="JA68">
        <v>1.5502899999999999</v>
      </c>
      <c r="JB68">
        <v>2.31934</v>
      </c>
      <c r="JC68">
        <v>39.491599999999998</v>
      </c>
      <c r="JD68">
        <v>24.052499999999998</v>
      </c>
      <c r="JE68">
        <v>18</v>
      </c>
      <c r="JF68">
        <v>486.45299999999997</v>
      </c>
      <c r="JG68">
        <v>490.68299999999999</v>
      </c>
      <c r="JH68">
        <v>23.144200000000001</v>
      </c>
      <c r="JI68">
        <v>32.412300000000002</v>
      </c>
      <c r="JJ68">
        <v>29.999700000000001</v>
      </c>
      <c r="JK68">
        <v>32.562800000000003</v>
      </c>
      <c r="JL68">
        <v>32.546500000000002</v>
      </c>
      <c r="JM68">
        <v>24.299299999999999</v>
      </c>
      <c r="JN68">
        <v>42.573900000000002</v>
      </c>
      <c r="JO68">
        <v>0</v>
      </c>
      <c r="JP68">
        <v>23.148700000000002</v>
      </c>
      <c r="JQ68">
        <v>500</v>
      </c>
      <c r="JR68">
        <v>18.805599999999998</v>
      </c>
      <c r="JS68">
        <v>99.736699999999999</v>
      </c>
      <c r="JT68">
        <v>98.577200000000005</v>
      </c>
    </row>
    <row r="69" spans="1:280" x14ac:dyDescent="0.25">
      <c r="A69">
        <v>53</v>
      </c>
      <c r="B69">
        <v>1674585693</v>
      </c>
      <c r="C69">
        <v>10268</v>
      </c>
      <c r="D69" t="s">
        <v>686</v>
      </c>
      <c r="E69" t="s">
        <v>687</v>
      </c>
      <c r="F69" t="s">
        <v>412</v>
      </c>
      <c r="G69" t="s">
        <v>31</v>
      </c>
      <c r="H69" t="s">
        <v>637</v>
      </c>
      <c r="I69">
        <v>1674585693</v>
      </c>
      <c r="J69">
        <f t="shared" si="46"/>
        <v>4.930628210689232E-3</v>
      </c>
      <c r="K69">
        <f t="shared" si="47"/>
        <v>4.9306282106892318</v>
      </c>
      <c r="L69">
        <f t="shared" si="48"/>
        <v>52.408199018914843</v>
      </c>
      <c r="M69">
        <f t="shared" si="49"/>
        <v>534.03700000000003</v>
      </c>
      <c r="N69">
        <f t="shared" si="50"/>
        <v>317.97097523017476</v>
      </c>
      <c r="O69">
        <f t="shared" si="51"/>
        <v>31.740926900938849</v>
      </c>
      <c r="P69">
        <f t="shared" si="52"/>
        <v>53.309360601627901</v>
      </c>
      <c r="Q69">
        <f t="shared" si="53"/>
        <v>0.4318046978612109</v>
      </c>
      <c r="R69">
        <f t="shared" si="54"/>
        <v>2.9286369702629229</v>
      </c>
      <c r="S69">
        <f t="shared" si="55"/>
        <v>0.39929838423576736</v>
      </c>
      <c r="T69">
        <f t="shared" si="56"/>
        <v>0.25227782274507926</v>
      </c>
      <c r="U69">
        <f t="shared" si="57"/>
        <v>344.33459965780582</v>
      </c>
      <c r="V69">
        <f t="shared" si="58"/>
        <v>28.739322096925392</v>
      </c>
      <c r="W69">
        <f t="shared" si="59"/>
        <v>27.432099999999998</v>
      </c>
      <c r="X69">
        <f t="shared" si="60"/>
        <v>3.6710051091306757</v>
      </c>
      <c r="Y69">
        <f t="shared" si="61"/>
        <v>65.287977072869012</v>
      </c>
      <c r="Z69">
        <f t="shared" si="62"/>
        <v>2.4763177615869001</v>
      </c>
      <c r="AA69">
        <f t="shared" si="63"/>
        <v>3.7929154380492447</v>
      </c>
      <c r="AB69">
        <f t="shared" si="64"/>
        <v>1.1946873475437756</v>
      </c>
      <c r="AC69">
        <f t="shared" si="65"/>
        <v>-217.44070409139513</v>
      </c>
      <c r="AD69">
        <f t="shared" si="66"/>
        <v>88.291347809783687</v>
      </c>
      <c r="AE69">
        <f t="shared" si="67"/>
        <v>6.552622773159011</v>
      </c>
      <c r="AF69">
        <f t="shared" si="68"/>
        <v>221.73786614935335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52670.735337395956</v>
      </c>
      <c r="AL69" t="s">
        <v>415</v>
      </c>
      <c r="AM69">
        <v>10297.6</v>
      </c>
      <c r="AN69">
        <v>785.57400000000007</v>
      </c>
      <c r="AO69">
        <v>3597.65</v>
      </c>
      <c r="AP69">
        <f t="shared" si="72"/>
        <v>0.7816424610509638</v>
      </c>
      <c r="AQ69">
        <v>-0.62398835798131469</v>
      </c>
      <c r="AR69" t="s">
        <v>688</v>
      </c>
      <c r="AS69">
        <v>10236.700000000001</v>
      </c>
      <c r="AT69">
        <v>730.1484999999999</v>
      </c>
      <c r="AU69">
        <v>1088.29212349555</v>
      </c>
      <c r="AV69">
        <f t="shared" si="73"/>
        <v>0.32908776583368748</v>
      </c>
      <c r="AW69">
        <v>0.5</v>
      </c>
      <c r="AX69">
        <f t="shared" si="74"/>
        <v>1513.0331998289028</v>
      </c>
      <c r="AY69">
        <f t="shared" si="75"/>
        <v>52.408199018914843</v>
      </c>
      <c r="AZ69">
        <f t="shared" si="76"/>
        <v>248.96035768194443</v>
      </c>
      <c r="BA69">
        <f t="shared" si="77"/>
        <v>3.5050247002440638E-2</v>
      </c>
      <c r="BB69">
        <f t="shared" si="78"/>
        <v>2.3057760157672509</v>
      </c>
      <c r="BC69">
        <f t="shared" si="79"/>
        <v>522.50254838223429</v>
      </c>
      <c r="BD69" t="s">
        <v>689</v>
      </c>
      <c r="BE69">
        <v>566.95000000000005</v>
      </c>
      <c r="BF69">
        <f t="shared" si="80"/>
        <v>566.95000000000005</v>
      </c>
      <c r="BG69">
        <f t="shared" si="81"/>
        <v>0.47904612395890567</v>
      </c>
      <c r="BH69">
        <f t="shared" si="82"/>
        <v>0.68696467704207509</v>
      </c>
      <c r="BI69">
        <f t="shared" si="83"/>
        <v>0.82797963391442586</v>
      </c>
      <c r="BJ69">
        <f t="shared" si="84"/>
        <v>1.1830927707928096</v>
      </c>
      <c r="BK69">
        <f t="shared" si="85"/>
        <v>0.8923506606878514</v>
      </c>
      <c r="BL69">
        <f t="shared" si="86"/>
        <v>0.53341837126146885</v>
      </c>
      <c r="BM69">
        <f t="shared" si="87"/>
        <v>0.46658162873853115</v>
      </c>
      <c r="BN69">
        <v>105</v>
      </c>
      <c r="BO69">
        <v>290.00000000000011</v>
      </c>
      <c r="BP69">
        <v>990.18</v>
      </c>
      <c r="BQ69">
        <v>155</v>
      </c>
      <c r="BR69">
        <v>10236.700000000001</v>
      </c>
      <c r="BS69">
        <v>988.74</v>
      </c>
      <c r="BT69">
        <v>1.44</v>
      </c>
      <c r="BU69">
        <v>300.00000000000011</v>
      </c>
      <c r="BV69">
        <v>24.1</v>
      </c>
      <c r="BW69">
        <v>1088.29212349555</v>
      </c>
      <c r="BX69">
        <v>2.0418667990425949</v>
      </c>
      <c r="BY69">
        <v>-101.9108760796274</v>
      </c>
      <c r="BZ69">
        <v>1.8589975684369111</v>
      </c>
      <c r="CA69">
        <v>0.99076903657284576</v>
      </c>
      <c r="CB69">
        <v>-6.9678978865406003E-3</v>
      </c>
      <c r="CC69">
        <v>289.99999999999989</v>
      </c>
      <c r="CD69">
        <v>983.1</v>
      </c>
      <c r="CE69">
        <v>645</v>
      </c>
      <c r="CF69">
        <v>10204.299999999999</v>
      </c>
      <c r="CG69">
        <v>988.42</v>
      </c>
      <c r="CH69">
        <v>-5.32</v>
      </c>
      <c r="CV69">
        <f t="shared" si="88"/>
        <v>1799.82</v>
      </c>
      <c r="CW69">
        <f t="shared" si="89"/>
        <v>1513.0331998289028</v>
      </c>
      <c r="CX69">
        <f t="shared" si="90"/>
        <v>0.84065806571151713</v>
      </c>
      <c r="CY69">
        <f t="shared" si="91"/>
        <v>0.19131613142303444</v>
      </c>
      <c r="CZ69">
        <v>6</v>
      </c>
      <c r="DA69">
        <v>0.5</v>
      </c>
      <c r="DB69" t="s">
        <v>418</v>
      </c>
      <c r="DC69">
        <v>2</v>
      </c>
      <c r="DD69">
        <v>1674585693</v>
      </c>
      <c r="DE69">
        <v>534.03700000000003</v>
      </c>
      <c r="DF69">
        <v>600.08000000000004</v>
      </c>
      <c r="DG69">
        <v>24.806999999999999</v>
      </c>
      <c r="DH69">
        <v>19.037600000000001</v>
      </c>
      <c r="DI69">
        <v>535.10699999999997</v>
      </c>
      <c r="DJ69">
        <v>24.582899999999999</v>
      </c>
      <c r="DK69">
        <v>500.05</v>
      </c>
      <c r="DL69">
        <v>99.723600000000005</v>
      </c>
      <c r="DM69">
        <v>9.9746699999999994E-2</v>
      </c>
      <c r="DN69">
        <v>27.991299999999999</v>
      </c>
      <c r="DO69">
        <v>27.432099999999998</v>
      </c>
      <c r="DP69">
        <v>999.9</v>
      </c>
      <c r="DQ69">
        <v>0</v>
      </c>
      <c r="DR69">
        <v>0</v>
      </c>
      <c r="DS69">
        <v>10022.5</v>
      </c>
      <c r="DT69">
        <v>0</v>
      </c>
      <c r="DU69">
        <v>479.39800000000002</v>
      </c>
      <c r="DV69">
        <v>-66.043199999999999</v>
      </c>
      <c r="DW69">
        <v>547.62199999999996</v>
      </c>
      <c r="DX69">
        <v>611.726</v>
      </c>
      <c r="DY69">
        <v>5.7694000000000001</v>
      </c>
      <c r="DZ69">
        <v>600.08000000000004</v>
      </c>
      <c r="EA69">
        <v>19.037600000000001</v>
      </c>
      <c r="EB69">
        <v>2.47384</v>
      </c>
      <c r="EC69">
        <v>1.8985000000000001</v>
      </c>
      <c r="ED69">
        <v>20.855399999999999</v>
      </c>
      <c r="EE69">
        <v>16.622299999999999</v>
      </c>
      <c r="EF69">
        <v>1799.82</v>
      </c>
      <c r="EG69">
        <v>0.97800399999999998</v>
      </c>
      <c r="EH69">
        <v>2.19957E-2</v>
      </c>
      <c r="EI69">
        <v>0</v>
      </c>
      <c r="EJ69">
        <v>730.06600000000003</v>
      </c>
      <c r="EK69">
        <v>5.0002599999999999</v>
      </c>
      <c r="EL69">
        <v>13669.6</v>
      </c>
      <c r="EM69">
        <v>17101.7</v>
      </c>
      <c r="EN69">
        <v>49.311999999999998</v>
      </c>
      <c r="EO69">
        <v>50.811999999999998</v>
      </c>
      <c r="EP69">
        <v>50.375</v>
      </c>
      <c r="EQ69">
        <v>49.936999999999998</v>
      </c>
      <c r="ER69">
        <v>50.625</v>
      </c>
      <c r="ES69">
        <v>1755.34</v>
      </c>
      <c r="ET69">
        <v>39.479999999999997</v>
      </c>
      <c r="EU69">
        <v>0</v>
      </c>
      <c r="EV69">
        <v>111.2000000476837</v>
      </c>
      <c r="EW69">
        <v>0</v>
      </c>
      <c r="EX69">
        <v>730.1484999999999</v>
      </c>
      <c r="EY69">
        <v>0.65883759991698487</v>
      </c>
      <c r="EZ69">
        <v>44.102564158950557</v>
      </c>
      <c r="FA69">
        <v>13666.553846153851</v>
      </c>
      <c r="FB69">
        <v>15</v>
      </c>
      <c r="FC69">
        <v>1674585660</v>
      </c>
      <c r="FD69" t="s">
        <v>690</v>
      </c>
      <c r="FE69">
        <v>1674585652.5</v>
      </c>
      <c r="FF69">
        <v>1674585660</v>
      </c>
      <c r="FG69">
        <v>59</v>
      </c>
      <c r="FH69">
        <v>-3.7999999999999999E-2</v>
      </c>
      <c r="FI69">
        <v>-1E-3</v>
      </c>
      <c r="FJ69">
        <v>-1.1020000000000001</v>
      </c>
      <c r="FK69">
        <v>7.8E-2</v>
      </c>
      <c r="FL69">
        <v>600</v>
      </c>
      <c r="FM69">
        <v>19</v>
      </c>
      <c r="FN69">
        <v>0.03</v>
      </c>
      <c r="FO69">
        <v>0.02</v>
      </c>
      <c r="FP69">
        <v>52.467956374772143</v>
      </c>
      <c r="FQ69">
        <v>-0.49399421517732828</v>
      </c>
      <c r="FR69">
        <v>6.7068151824664607E-2</v>
      </c>
      <c r="FS69">
        <v>1</v>
      </c>
      <c r="FT69">
        <v>0.4286600013576275</v>
      </c>
      <c r="FU69">
        <v>3.8864724636791491E-2</v>
      </c>
      <c r="FV69">
        <v>4.4430562864218853E-3</v>
      </c>
      <c r="FW69">
        <v>1</v>
      </c>
      <c r="FX69">
        <v>2</v>
      </c>
      <c r="FY69">
        <v>2</v>
      </c>
      <c r="FZ69" t="s">
        <v>420</v>
      </c>
      <c r="GA69">
        <v>2.9285100000000002</v>
      </c>
      <c r="GB69">
        <v>2.8068599999999999</v>
      </c>
      <c r="GC69">
        <v>0.12188499999999999</v>
      </c>
      <c r="GD69">
        <v>0.13389200000000001</v>
      </c>
      <c r="GE69">
        <v>0.114784</v>
      </c>
      <c r="GF69">
        <v>9.6841899999999995E-2</v>
      </c>
      <c r="GG69">
        <v>26119.4</v>
      </c>
      <c r="GH69">
        <v>26088.2</v>
      </c>
      <c r="GI69">
        <v>28254.400000000001</v>
      </c>
      <c r="GJ69">
        <v>27144.3</v>
      </c>
      <c r="GK69">
        <v>35907.5</v>
      </c>
      <c r="GL69">
        <v>32362.9</v>
      </c>
      <c r="GM69">
        <v>42076.3</v>
      </c>
      <c r="GN69">
        <v>36818.199999999997</v>
      </c>
      <c r="GO69">
        <v>1.9245000000000001</v>
      </c>
      <c r="GP69">
        <v>1.8803000000000001</v>
      </c>
      <c r="GQ69">
        <v>7.75531E-2</v>
      </c>
      <c r="GR69">
        <v>0</v>
      </c>
      <c r="GS69">
        <v>26.163399999999999</v>
      </c>
      <c r="GT69">
        <v>999.9</v>
      </c>
      <c r="GU69">
        <v>48.3</v>
      </c>
      <c r="GV69">
        <v>36.200000000000003</v>
      </c>
      <c r="GW69">
        <v>29.231300000000001</v>
      </c>
      <c r="GX69">
        <v>62.1038</v>
      </c>
      <c r="GY69">
        <v>27.383800000000001</v>
      </c>
      <c r="GZ69">
        <v>1</v>
      </c>
      <c r="HA69">
        <v>0.40543699999999999</v>
      </c>
      <c r="HB69">
        <v>2.4859800000000001</v>
      </c>
      <c r="HC69">
        <v>20.326599999999999</v>
      </c>
      <c r="HD69">
        <v>5.2364600000000001</v>
      </c>
      <c r="HE69">
        <v>11.9381</v>
      </c>
      <c r="HF69">
        <v>4.9726999999999997</v>
      </c>
      <c r="HG69">
        <v>3.2982499999999999</v>
      </c>
      <c r="HH69">
        <v>9999</v>
      </c>
      <c r="HI69">
        <v>9999</v>
      </c>
      <c r="HJ69">
        <v>9999</v>
      </c>
      <c r="HK69">
        <v>999.9</v>
      </c>
      <c r="HL69">
        <v>1.87347</v>
      </c>
      <c r="HM69">
        <v>1.88123</v>
      </c>
      <c r="HN69">
        <v>1.8846400000000001</v>
      </c>
      <c r="HO69">
        <v>1.88141</v>
      </c>
      <c r="HP69">
        <v>1.8787499999999999</v>
      </c>
      <c r="HQ69">
        <v>1.87347</v>
      </c>
      <c r="HR69">
        <v>1.8763700000000001</v>
      </c>
      <c r="HS69">
        <v>1.88053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-1.07</v>
      </c>
      <c r="IH69">
        <v>0.22409999999999999</v>
      </c>
      <c r="II69">
        <v>-1.146807524900946</v>
      </c>
      <c r="IJ69">
        <v>9.4905977090923709E-4</v>
      </c>
      <c r="IK69">
        <v>-1.9106666302146479E-6</v>
      </c>
      <c r="IL69">
        <v>7.5819610513223293E-10</v>
      </c>
      <c r="IM69">
        <v>-7.1891979398534173E-2</v>
      </c>
      <c r="IN69">
        <v>-1.0595840490420019E-2</v>
      </c>
      <c r="IO69">
        <v>1.2407080968752471E-3</v>
      </c>
      <c r="IP69">
        <v>-1.3015442653884381E-5</v>
      </c>
      <c r="IQ69">
        <v>33</v>
      </c>
      <c r="IR69">
        <v>2014</v>
      </c>
      <c r="IS69">
        <v>1</v>
      </c>
      <c r="IT69">
        <v>26</v>
      </c>
      <c r="IU69">
        <v>0.7</v>
      </c>
      <c r="IV69">
        <v>0.6</v>
      </c>
      <c r="IW69">
        <v>1.40381</v>
      </c>
      <c r="IX69">
        <v>2.51953</v>
      </c>
      <c r="IY69">
        <v>1.5991200000000001</v>
      </c>
      <c r="IZ69">
        <v>2.2985799999999998</v>
      </c>
      <c r="JA69">
        <v>1.5490699999999999</v>
      </c>
      <c r="JB69">
        <v>2.36084</v>
      </c>
      <c r="JC69">
        <v>39.416600000000003</v>
      </c>
      <c r="JD69">
        <v>24.061199999999999</v>
      </c>
      <c r="JE69">
        <v>18</v>
      </c>
      <c r="JF69">
        <v>486.18700000000001</v>
      </c>
      <c r="JG69">
        <v>491.69400000000002</v>
      </c>
      <c r="JH69">
        <v>23.2011</v>
      </c>
      <c r="JI69">
        <v>32.320599999999999</v>
      </c>
      <c r="JJ69">
        <v>29.999500000000001</v>
      </c>
      <c r="JK69">
        <v>32.481900000000003</v>
      </c>
      <c r="JL69">
        <v>32.469200000000001</v>
      </c>
      <c r="JM69">
        <v>28.167000000000002</v>
      </c>
      <c r="JN69">
        <v>41.589799999999997</v>
      </c>
      <c r="JO69">
        <v>0</v>
      </c>
      <c r="JP69">
        <v>23.2209</v>
      </c>
      <c r="JQ69">
        <v>600</v>
      </c>
      <c r="JR69">
        <v>18.9373</v>
      </c>
      <c r="JS69">
        <v>99.754199999999997</v>
      </c>
      <c r="JT69">
        <v>98.594399999999993</v>
      </c>
    </row>
    <row r="70" spans="1:280" x14ac:dyDescent="0.25">
      <c r="A70">
        <v>54</v>
      </c>
      <c r="B70">
        <v>1674585812</v>
      </c>
      <c r="C70">
        <v>10387</v>
      </c>
      <c r="D70" t="s">
        <v>691</v>
      </c>
      <c r="E70" t="s">
        <v>692</v>
      </c>
      <c r="F70" t="s">
        <v>412</v>
      </c>
      <c r="G70" t="s">
        <v>31</v>
      </c>
      <c r="H70" t="s">
        <v>637</v>
      </c>
      <c r="I70">
        <v>1674585812</v>
      </c>
      <c r="J70">
        <f t="shared" si="46"/>
        <v>4.7892137846774459E-3</v>
      </c>
      <c r="K70">
        <f t="shared" si="47"/>
        <v>4.7892137846774459</v>
      </c>
      <c r="L70">
        <f t="shared" si="48"/>
        <v>52.997351541482267</v>
      </c>
      <c r="M70">
        <f t="shared" si="49"/>
        <v>732.20799999999997</v>
      </c>
      <c r="N70">
        <f t="shared" si="50"/>
        <v>501.91989655889665</v>
      </c>
      <c r="O70">
        <f t="shared" si="51"/>
        <v>50.10219116719631</v>
      </c>
      <c r="P70">
        <f t="shared" si="52"/>
        <v>73.089800666719995</v>
      </c>
      <c r="Q70">
        <f t="shared" si="53"/>
        <v>0.41485525072453311</v>
      </c>
      <c r="R70">
        <f t="shared" si="54"/>
        <v>2.9235498445331554</v>
      </c>
      <c r="S70">
        <f t="shared" si="55"/>
        <v>0.38470716746851014</v>
      </c>
      <c r="T70">
        <f t="shared" si="56"/>
        <v>0.24296783842731018</v>
      </c>
      <c r="U70">
        <f t="shared" si="57"/>
        <v>344.32319965779436</v>
      </c>
      <c r="V70">
        <f t="shared" si="58"/>
        <v>28.785983461815366</v>
      </c>
      <c r="W70">
        <f t="shared" si="59"/>
        <v>27.475000000000001</v>
      </c>
      <c r="X70">
        <f t="shared" si="60"/>
        <v>3.680235011462401</v>
      </c>
      <c r="Y70">
        <f t="shared" si="61"/>
        <v>65.243400738167352</v>
      </c>
      <c r="Z70">
        <f t="shared" si="62"/>
        <v>2.4758824594879996</v>
      </c>
      <c r="AA70">
        <f t="shared" si="63"/>
        <v>3.7948396795319246</v>
      </c>
      <c r="AB70">
        <f t="shared" si="64"/>
        <v>1.2043525519744014</v>
      </c>
      <c r="AC70">
        <f t="shared" si="65"/>
        <v>-211.20432790427537</v>
      </c>
      <c r="AD70">
        <f t="shared" si="66"/>
        <v>82.747570089697305</v>
      </c>
      <c r="AE70">
        <f t="shared" si="67"/>
        <v>6.1534551696193791</v>
      </c>
      <c r="AF70">
        <f t="shared" si="68"/>
        <v>222.01989701283571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52522.797660928743</v>
      </c>
      <c r="AL70" t="s">
        <v>415</v>
      </c>
      <c r="AM70">
        <v>10297.6</v>
      </c>
      <c r="AN70">
        <v>785.57400000000007</v>
      </c>
      <c r="AO70">
        <v>3597.65</v>
      </c>
      <c r="AP70">
        <f t="shared" si="72"/>
        <v>0.7816424610509638</v>
      </c>
      <c r="AQ70">
        <v>-0.62398835798131469</v>
      </c>
      <c r="AR70" t="s">
        <v>693</v>
      </c>
      <c r="AS70">
        <v>10233.1</v>
      </c>
      <c r="AT70">
        <v>730.65512000000001</v>
      </c>
      <c r="AU70">
        <v>1099.562505836238</v>
      </c>
      <c r="AV70">
        <f t="shared" si="73"/>
        <v>0.33550378798672931</v>
      </c>
      <c r="AW70">
        <v>0.5</v>
      </c>
      <c r="AX70">
        <f t="shared" si="74"/>
        <v>1512.9827998288972</v>
      </c>
      <c r="AY70">
        <f t="shared" si="75"/>
        <v>52.997351541482267</v>
      </c>
      <c r="AZ70">
        <f t="shared" si="76"/>
        <v>253.80573025068122</v>
      </c>
      <c r="BA70">
        <f t="shared" si="77"/>
        <v>3.5440812615667283E-2</v>
      </c>
      <c r="BB70">
        <f t="shared" si="78"/>
        <v>2.2718922124976602</v>
      </c>
      <c r="BC70">
        <f t="shared" si="79"/>
        <v>525.08654860638364</v>
      </c>
      <c r="BD70" t="s">
        <v>694</v>
      </c>
      <c r="BE70">
        <v>566.41999999999996</v>
      </c>
      <c r="BF70">
        <f t="shared" si="80"/>
        <v>566.41999999999996</v>
      </c>
      <c r="BG70">
        <f t="shared" si="81"/>
        <v>0.48486784789990001</v>
      </c>
      <c r="BH70">
        <f t="shared" si="82"/>
        <v>0.69194892884708936</v>
      </c>
      <c r="BI70">
        <f t="shared" si="83"/>
        <v>0.82411677575233888</v>
      </c>
      <c r="BJ70">
        <f t="shared" si="84"/>
        <v>1.1749072943091847</v>
      </c>
      <c r="BK70">
        <f t="shared" si="85"/>
        <v>0.88834280942754107</v>
      </c>
      <c r="BL70">
        <f t="shared" si="86"/>
        <v>0.53641410502614184</v>
      </c>
      <c r="BM70">
        <f t="shared" si="87"/>
        <v>0.46358589497385816</v>
      </c>
      <c r="BN70">
        <v>107</v>
      </c>
      <c r="BO70">
        <v>290.00000000000011</v>
      </c>
      <c r="BP70">
        <v>996.04</v>
      </c>
      <c r="BQ70">
        <v>175</v>
      </c>
      <c r="BR70">
        <v>10233.1</v>
      </c>
      <c r="BS70">
        <v>994.21</v>
      </c>
      <c r="BT70">
        <v>1.83</v>
      </c>
      <c r="BU70">
        <v>300.00000000000011</v>
      </c>
      <c r="BV70">
        <v>24.1</v>
      </c>
      <c r="BW70">
        <v>1099.562505836238</v>
      </c>
      <c r="BX70">
        <v>1.7021642988158201</v>
      </c>
      <c r="BY70">
        <v>-107.81229708957871</v>
      </c>
      <c r="BZ70">
        <v>1.5496714325338561</v>
      </c>
      <c r="CA70">
        <v>0.99424830897979333</v>
      </c>
      <c r="CB70">
        <v>-6.9678180200222501E-3</v>
      </c>
      <c r="CC70">
        <v>289.99999999999989</v>
      </c>
      <c r="CD70">
        <v>988.9</v>
      </c>
      <c r="CE70">
        <v>675</v>
      </c>
      <c r="CF70">
        <v>10202</v>
      </c>
      <c r="CG70">
        <v>993.88</v>
      </c>
      <c r="CH70">
        <v>-4.9800000000000004</v>
      </c>
      <c r="CV70">
        <f t="shared" si="88"/>
        <v>1799.76</v>
      </c>
      <c r="CW70">
        <f t="shared" si="89"/>
        <v>1512.9827998288972</v>
      </c>
      <c r="CX70">
        <f t="shared" si="90"/>
        <v>0.84065808764996286</v>
      </c>
      <c r="CY70">
        <f t="shared" si="91"/>
        <v>0.19131617529992576</v>
      </c>
      <c r="CZ70">
        <v>6</v>
      </c>
      <c r="DA70">
        <v>0.5</v>
      </c>
      <c r="DB70" t="s">
        <v>418</v>
      </c>
      <c r="DC70">
        <v>2</v>
      </c>
      <c r="DD70">
        <v>1674585812</v>
      </c>
      <c r="DE70">
        <v>732.20799999999997</v>
      </c>
      <c r="DF70">
        <v>799.99699999999996</v>
      </c>
      <c r="DG70">
        <v>24.8032</v>
      </c>
      <c r="DH70">
        <v>19.2</v>
      </c>
      <c r="DI70">
        <v>733.51099999999997</v>
      </c>
      <c r="DJ70">
        <v>24.5777</v>
      </c>
      <c r="DK70">
        <v>500.11700000000002</v>
      </c>
      <c r="DL70">
        <v>99.720699999999994</v>
      </c>
      <c r="DM70">
        <v>0.10038999999999999</v>
      </c>
      <c r="DN70">
        <v>28</v>
      </c>
      <c r="DO70">
        <v>27.475000000000001</v>
      </c>
      <c r="DP70">
        <v>999.9</v>
      </c>
      <c r="DQ70">
        <v>0</v>
      </c>
      <c r="DR70">
        <v>0</v>
      </c>
      <c r="DS70">
        <v>9993.75</v>
      </c>
      <c r="DT70">
        <v>0</v>
      </c>
      <c r="DU70">
        <v>485.90699999999998</v>
      </c>
      <c r="DV70">
        <v>-67.788499999999999</v>
      </c>
      <c r="DW70">
        <v>750.83100000000002</v>
      </c>
      <c r="DX70">
        <v>815.65800000000002</v>
      </c>
      <c r="DY70">
        <v>5.6032000000000002</v>
      </c>
      <c r="DZ70">
        <v>799.99699999999996</v>
      </c>
      <c r="EA70">
        <v>19.2</v>
      </c>
      <c r="EB70">
        <v>2.4733900000000002</v>
      </c>
      <c r="EC70">
        <v>1.9146300000000001</v>
      </c>
      <c r="ED70">
        <v>20.852399999999999</v>
      </c>
      <c r="EE70">
        <v>16.755500000000001</v>
      </c>
      <c r="EF70">
        <v>1799.76</v>
      </c>
      <c r="EG70">
        <v>0.97800399999999998</v>
      </c>
      <c r="EH70">
        <v>2.19957E-2</v>
      </c>
      <c r="EI70">
        <v>0</v>
      </c>
      <c r="EJ70">
        <v>730.53800000000001</v>
      </c>
      <c r="EK70">
        <v>5.0002599999999999</v>
      </c>
      <c r="EL70">
        <v>13695</v>
      </c>
      <c r="EM70">
        <v>17101.099999999999</v>
      </c>
      <c r="EN70">
        <v>49.311999999999998</v>
      </c>
      <c r="EO70">
        <v>50.811999999999998</v>
      </c>
      <c r="EP70">
        <v>50.311999999999998</v>
      </c>
      <c r="EQ70">
        <v>49.936999999999998</v>
      </c>
      <c r="ER70">
        <v>50.561999999999998</v>
      </c>
      <c r="ES70">
        <v>1755.28</v>
      </c>
      <c r="ET70">
        <v>39.479999999999997</v>
      </c>
      <c r="EU70">
        <v>0</v>
      </c>
      <c r="EV70">
        <v>117</v>
      </c>
      <c r="EW70">
        <v>0</v>
      </c>
      <c r="EX70">
        <v>730.65512000000001</v>
      </c>
      <c r="EY70">
        <v>0.71700000087307181</v>
      </c>
      <c r="EZ70">
        <v>13.27692300211257</v>
      </c>
      <c r="FA70">
        <v>13697.664000000001</v>
      </c>
      <c r="FB70">
        <v>15</v>
      </c>
      <c r="FC70">
        <v>1674585776</v>
      </c>
      <c r="FD70" t="s">
        <v>695</v>
      </c>
      <c r="FE70">
        <v>1674585773.5</v>
      </c>
      <c r="FF70">
        <v>1674585776</v>
      </c>
      <c r="FG70">
        <v>60</v>
      </c>
      <c r="FH70">
        <v>-0.123</v>
      </c>
      <c r="FI70">
        <v>2E-3</v>
      </c>
      <c r="FJ70">
        <v>-1.3460000000000001</v>
      </c>
      <c r="FK70">
        <v>8.3000000000000004E-2</v>
      </c>
      <c r="FL70">
        <v>800</v>
      </c>
      <c r="FM70">
        <v>19</v>
      </c>
      <c r="FN70">
        <v>0.03</v>
      </c>
      <c r="FO70">
        <v>0.02</v>
      </c>
      <c r="FP70">
        <v>52.937504934341952</v>
      </c>
      <c r="FQ70">
        <v>-0.6638541479075436</v>
      </c>
      <c r="FR70">
        <v>7.8219833090824059E-2</v>
      </c>
      <c r="FS70">
        <v>1</v>
      </c>
      <c r="FT70">
        <v>0.4183109971064678</v>
      </c>
      <c r="FU70">
        <v>8.6465884675304642E-3</v>
      </c>
      <c r="FV70">
        <v>4.0131956449328083E-3</v>
      </c>
      <c r="FW70">
        <v>1</v>
      </c>
      <c r="FX70">
        <v>2</v>
      </c>
      <c r="FY70">
        <v>2</v>
      </c>
      <c r="FZ70" t="s">
        <v>420</v>
      </c>
      <c r="GA70">
        <v>2.9288599999999998</v>
      </c>
      <c r="GB70">
        <v>2.8072400000000002</v>
      </c>
      <c r="GC70">
        <v>0.15210899999999999</v>
      </c>
      <c r="GD70">
        <v>0.16316800000000001</v>
      </c>
      <c r="GE70">
        <v>0.114788</v>
      </c>
      <c r="GF70">
        <v>9.7444799999999998E-2</v>
      </c>
      <c r="GG70">
        <v>25223.3</v>
      </c>
      <c r="GH70">
        <v>25210.799999999999</v>
      </c>
      <c r="GI70">
        <v>28258.400000000001</v>
      </c>
      <c r="GJ70">
        <v>27150</v>
      </c>
      <c r="GK70">
        <v>35912.1</v>
      </c>
      <c r="GL70">
        <v>32348</v>
      </c>
      <c r="GM70">
        <v>42081.599999999999</v>
      </c>
      <c r="GN70">
        <v>36825.5</v>
      </c>
      <c r="GO70">
        <v>1.9259299999999999</v>
      </c>
      <c r="GP70">
        <v>1.88293</v>
      </c>
      <c r="GQ70">
        <v>7.9188499999999995E-2</v>
      </c>
      <c r="GR70">
        <v>0</v>
      </c>
      <c r="GS70">
        <v>26.179600000000001</v>
      </c>
      <c r="GT70">
        <v>999.9</v>
      </c>
      <c r="GU70">
        <v>48.3</v>
      </c>
      <c r="GV70">
        <v>36.200000000000003</v>
      </c>
      <c r="GW70">
        <v>29.228100000000001</v>
      </c>
      <c r="GX70">
        <v>62.023800000000001</v>
      </c>
      <c r="GY70">
        <v>27.323699999999999</v>
      </c>
      <c r="GZ70">
        <v>1</v>
      </c>
      <c r="HA70">
        <v>0.39704499999999998</v>
      </c>
      <c r="HB70">
        <v>2.5249000000000001</v>
      </c>
      <c r="HC70">
        <v>20.3263</v>
      </c>
      <c r="HD70">
        <v>5.2389999999999999</v>
      </c>
      <c r="HE70">
        <v>11.9381</v>
      </c>
      <c r="HF70">
        <v>4.9734499999999997</v>
      </c>
      <c r="HG70">
        <v>3.2988499999999998</v>
      </c>
      <c r="HH70">
        <v>9999</v>
      </c>
      <c r="HI70">
        <v>9999</v>
      </c>
      <c r="HJ70">
        <v>9999</v>
      </c>
      <c r="HK70">
        <v>999.9</v>
      </c>
      <c r="HL70">
        <v>1.87347</v>
      </c>
      <c r="HM70">
        <v>1.88113</v>
      </c>
      <c r="HN70">
        <v>1.8846499999999999</v>
      </c>
      <c r="HO70">
        <v>1.88141</v>
      </c>
      <c r="HP70">
        <v>1.8787499999999999</v>
      </c>
      <c r="HQ70">
        <v>1.87347</v>
      </c>
      <c r="HR70">
        <v>1.8763300000000001</v>
      </c>
      <c r="HS70">
        <v>1.8805099999999999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-1.3029999999999999</v>
      </c>
      <c r="IH70">
        <v>0.22550000000000001</v>
      </c>
      <c r="II70">
        <v>-1.26985921563905</v>
      </c>
      <c r="IJ70">
        <v>9.4905977090923709E-4</v>
      </c>
      <c r="IK70">
        <v>-1.9106666302146479E-6</v>
      </c>
      <c r="IL70">
        <v>7.5819610513223293E-10</v>
      </c>
      <c r="IM70">
        <v>-7.031439108215945E-2</v>
      </c>
      <c r="IN70">
        <v>-1.0595840490420019E-2</v>
      </c>
      <c r="IO70">
        <v>1.2407080968752471E-3</v>
      </c>
      <c r="IP70">
        <v>-1.3015442653884381E-5</v>
      </c>
      <c r="IQ70">
        <v>33</v>
      </c>
      <c r="IR70">
        <v>2014</v>
      </c>
      <c r="IS70">
        <v>1</v>
      </c>
      <c r="IT70">
        <v>26</v>
      </c>
      <c r="IU70">
        <v>0.6</v>
      </c>
      <c r="IV70">
        <v>0.6</v>
      </c>
      <c r="IW70">
        <v>1.7761199999999999</v>
      </c>
      <c r="IX70">
        <v>2.5097700000000001</v>
      </c>
      <c r="IY70">
        <v>1.5979000000000001</v>
      </c>
      <c r="IZ70">
        <v>2.2973599999999998</v>
      </c>
      <c r="JA70">
        <v>1.5490699999999999</v>
      </c>
      <c r="JB70">
        <v>2.3535200000000001</v>
      </c>
      <c r="JC70">
        <v>39.366700000000002</v>
      </c>
      <c r="JD70">
        <v>24.061199999999999</v>
      </c>
      <c r="JE70">
        <v>18</v>
      </c>
      <c r="JF70">
        <v>486.37400000000002</v>
      </c>
      <c r="JG70">
        <v>492.80599999999998</v>
      </c>
      <c r="JH70">
        <v>23.186299999999999</v>
      </c>
      <c r="JI70">
        <v>32.222900000000003</v>
      </c>
      <c r="JJ70">
        <v>29.9998</v>
      </c>
      <c r="JK70">
        <v>32.389699999999998</v>
      </c>
      <c r="JL70">
        <v>32.380800000000001</v>
      </c>
      <c r="JM70">
        <v>35.611800000000002</v>
      </c>
      <c r="JN70">
        <v>39.859900000000003</v>
      </c>
      <c r="JO70">
        <v>0</v>
      </c>
      <c r="JP70">
        <v>23.184699999999999</v>
      </c>
      <c r="JQ70">
        <v>800</v>
      </c>
      <c r="JR70">
        <v>19.1479</v>
      </c>
      <c r="JS70">
        <v>99.767499999999998</v>
      </c>
      <c r="JT70">
        <v>98.614400000000003</v>
      </c>
    </row>
    <row r="71" spans="1:280" x14ac:dyDescent="0.25">
      <c r="A71">
        <v>55</v>
      </c>
      <c r="B71">
        <v>1674585924.5</v>
      </c>
      <c r="C71">
        <v>10499.5</v>
      </c>
      <c r="D71" t="s">
        <v>696</v>
      </c>
      <c r="E71" t="s">
        <v>697</v>
      </c>
      <c r="F71" t="s">
        <v>412</v>
      </c>
      <c r="G71" t="s">
        <v>31</v>
      </c>
      <c r="H71" t="s">
        <v>637</v>
      </c>
      <c r="I71">
        <v>1674585924.5</v>
      </c>
      <c r="J71">
        <f t="shared" si="46"/>
        <v>4.6339618107343605E-3</v>
      </c>
      <c r="K71">
        <f t="shared" si="47"/>
        <v>4.6339618107343608</v>
      </c>
      <c r="L71">
        <f t="shared" si="48"/>
        <v>51.989434093134477</v>
      </c>
      <c r="M71">
        <f t="shared" si="49"/>
        <v>1131.29</v>
      </c>
      <c r="N71">
        <f t="shared" si="50"/>
        <v>888.5644988030665</v>
      </c>
      <c r="O71">
        <f t="shared" si="51"/>
        <v>88.691768667485476</v>
      </c>
      <c r="P71">
        <f t="shared" si="52"/>
        <v>112.91933349914</v>
      </c>
      <c r="Q71">
        <f t="shared" si="53"/>
        <v>0.39761221839202737</v>
      </c>
      <c r="R71">
        <f t="shared" si="54"/>
        <v>2.922341295121587</v>
      </c>
      <c r="S71">
        <f t="shared" si="55"/>
        <v>0.3698176243541958</v>
      </c>
      <c r="T71">
        <f t="shared" si="56"/>
        <v>0.23347113557921118</v>
      </c>
      <c r="U71">
        <f t="shared" si="57"/>
        <v>344.36499965783628</v>
      </c>
      <c r="V71">
        <f t="shared" si="58"/>
        <v>28.844963054558892</v>
      </c>
      <c r="W71">
        <f t="shared" si="59"/>
        <v>27.5108</v>
      </c>
      <c r="X71">
        <f t="shared" si="60"/>
        <v>3.6879528496160257</v>
      </c>
      <c r="Y71">
        <f t="shared" si="61"/>
        <v>65.174200255610145</v>
      </c>
      <c r="Z71">
        <f t="shared" si="62"/>
        <v>2.4758528827970001</v>
      </c>
      <c r="AA71">
        <f t="shared" si="63"/>
        <v>3.7988235729580437</v>
      </c>
      <c r="AB71">
        <f t="shared" si="64"/>
        <v>1.2120999668190255</v>
      </c>
      <c r="AC71">
        <f t="shared" si="65"/>
        <v>-204.35771585338529</v>
      </c>
      <c r="AD71">
        <f t="shared" si="66"/>
        <v>79.908986651396347</v>
      </c>
      <c r="AE71">
        <f t="shared" si="67"/>
        <v>5.9464188131042368</v>
      </c>
      <c r="AF71">
        <f t="shared" si="68"/>
        <v>225.86268926895156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52484.777644489928</v>
      </c>
      <c r="AL71" t="s">
        <v>415</v>
      </c>
      <c r="AM71">
        <v>10297.6</v>
      </c>
      <c r="AN71">
        <v>785.57400000000007</v>
      </c>
      <c r="AO71">
        <v>3597.65</v>
      </c>
      <c r="AP71">
        <f t="shared" si="72"/>
        <v>0.7816424610509638</v>
      </c>
      <c r="AQ71">
        <v>-0.62398835798131469</v>
      </c>
      <c r="AR71" t="s">
        <v>698</v>
      </c>
      <c r="AS71">
        <v>10226.799999999999</v>
      </c>
      <c r="AT71">
        <v>729.97238461538461</v>
      </c>
      <c r="AU71">
        <v>1098.105370621977</v>
      </c>
      <c r="AV71">
        <f t="shared" si="73"/>
        <v>0.33524377154997298</v>
      </c>
      <c r="AW71">
        <v>0.5</v>
      </c>
      <c r="AX71">
        <f t="shared" si="74"/>
        <v>1513.1675998289181</v>
      </c>
      <c r="AY71">
        <f t="shared" si="75"/>
        <v>51.989434093134477</v>
      </c>
      <c r="AZ71">
        <f t="shared" si="76"/>
        <v>253.64000657693339</v>
      </c>
      <c r="BA71">
        <f t="shared" si="77"/>
        <v>3.4770386609562866E-2</v>
      </c>
      <c r="BB71">
        <f t="shared" si="78"/>
        <v>2.2762338626595171</v>
      </c>
      <c r="BC71">
        <f t="shared" si="79"/>
        <v>524.75402491950604</v>
      </c>
      <c r="BD71" t="s">
        <v>699</v>
      </c>
      <c r="BE71">
        <v>564.27</v>
      </c>
      <c r="BF71">
        <f t="shared" si="80"/>
        <v>564.27</v>
      </c>
      <c r="BG71">
        <f t="shared" si="81"/>
        <v>0.48614220903009309</v>
      </c>
      <c r="BH71">
        <f t="shared" si="82"/>
        <v>0.68960021434637597</v>
      </c>
      <c r="BI71">
        <f t="shared" si="83"/>
        <v>0.8240130248692954</v>
      </c>
      <c r="BJ71">
        <f t="shared" si="84"/>
        <v>1.177907309829286</v>
      </c>
      <c r="BK71">
        <f t="shared" si="85"/>
        <v>0.8888609800652697</v>
      </c>
      <c r="BL71">
        <f t="shared" si="86"/>
        <v>0.53306223790130569</v>
      </c>
      <c r="BM71">
        <f t="shared" si="87"/>
        <v>0.46693776209869431</v>
      </c>
      <c r="BN71">
        <v>109</v>
      </c>
      <c r="BO71">
        <v>290.00000000000011</v>
      </c>
      <c r="BP71">
        <v>996.81</v>
      </c>
      <c r="BQ71">
        <v>215</v>
      </c>
      <c r="BR71">
        <v>10226.799999999999</v>
      </c>
      <c r="BS71">
        <v>994.95</v>
      </c>
      <c r="BT71">
        <v>1.86</v>
      </c>
      <c r="BU71">
        <v>300.00000000000011</v>
      </c>
      <c r="BV71">
        <v>24.1</v>
      </c>
      <c r="BW71">
        <v>1098.105370621977</v>
      </c>
      <c r="BX71">
        <v>2.054759849872462</v>
      </c>
      <c r="BY71">
        <v>-105.49806034602879</v>
      </c>
      <c r="BZ71">
        <v>1.870604433303503</v>
      </c>
      <c r="CA71">
        <v>0.99127377081736956</v>
      </c>
      <c r="CB71">
        <v>-6.9674318131256966E-3</v>
      </c>
      <c r="CC71">
        <v>289.99999999999989</v>
      </c>
      <c r="CD71">
        <v>989.65</v>
      </c>
      <c r="CE71">
        <v>645</v>
      </c>
      <c r="CF71">
        <v>10203.6</v>
      </c>
      <c r="CG71">
        <v>994.71</v>
      </c>
      <c r="CH71">
        <v>-5.0599999999999996</v>
      </c>
      <c r="CV71">
        <f t="shared" si="88"/>
        <v>1799.98</v>
      </c>
      <c r="CW71">
        <f t="shared" si="89"/>
        <v>1513.1675998289181</v>
      </c>
      <c r="CX71">
        <f t="shared" si="90"/>
        <v>0.84065800721614581</v>
      </c>
      <c r="CY71">
        <f t="shared" si="91"/>
        <v>0.19131601443229163</v>
      </c>
      <c r="CZ71">
        <v>6</v>
      </c>
      <c r="DA71">
        <v>0.5</v>
      </c>
      <c r="DB71" t="s">
        <v>418</v>
      </c>
      <c r="DC71">
        <v>2</v>
      </c>
      <c r="DD71">
        <v>1674585924.5</v>
      </c>
      <c r="DE71">
        <v>1131.29</v>
      </c>
      <c r="DF71">
        <v>1199.94</v>
      </c>
      <c r="DG71">
        <v>24.804500000000001</v>
      </c>
      <c r="DH71">
        <v>19.383900000000001</v>
      </c>
      <c r="DI71">
        <v>1132.8699999999999</v>
      </c>
      <c r="DJ71">
        <v>24.579000000000001</v>
      </c>
      <c r="DK71">
        <v>500.20499999999998</v>
      </c>
      <c r="DL71">
        <v>99.714299999999994</v>
      </c>
      <c r="DM71">
        <v>0.100366</v>
      </c>
      <c r="DN71">
        <v>28.018000000000001</v>
      </c>
      <c r="DO71">
        <v>27.5108</v>
      </c>
      <c r="DP71">
        <v>999.9</v>
      </c>
      <c r="DQ71">
        <v>0</v>
      </c>
      <c r="DR71">
        <v>0</v>
      </c>
      <c r="DS71">
        <v>9987.5</v>
      </c>
      <c r="DT71">
        <v>0</v>
      </c>
      <c r="DU71">
        <v>467.34399999999999</v>
      </c>
      <c r="DV71">
        <v>-68.653199999999998</v>
      </c>
      <c r="DW71">
        <v>1160.06</v>
      </c>
      <c r="DX71">
        <v>1223.6600000000001</v>
      </c>
      <c r="DY71">
        <v>5.4205100000000002</v>
      </c>
      <c r="DZ71">
        <v>1199.94</v>
      </c>
      <c r="EA71">
        <v>19.383900000000001</v>
      </c>
      <c r="EB71">
        <v>2.47336</v>
      </c>
      <c r="EC71">
        <v>1.93286</v>
      </c>
      <c r="ED71">
        <v>20.8522</v>
      </c>
      <c r="EE71">
        <v>16.904800000000002</v>
      </c>
      <c r="EF71">
        <v>1799.98</v>
      </c>
      <c r="EG71">
        <v>0.97800799999999999</v>
      </c>
      <c r="EH71">
        <v>2.1992000000000001E-2</v>
      </c>
      <c r="EI71">
        <v>0</v>
      </c>
      <c r="EJ71">
        <v>730.42899999999997</v>
      </c>
      <c r="EK71">
        <v>5.0002599999999999</v>
      </c>
      <c r="EL71">
        <v>13648.2</v>
      </c>
      <c r="EM71">
        <v>17103.3</v>
      </c>
      <c r="EN71">
        <v>49.311999999999998</v>
      </c>
      <c r="EO71">
        <v>50.811999999999998</v>
      </c>
      <c r="EP71">
        <v>50.375</v>
      </c>
      <c r="EQ71">
        <v>50</v>
      </c>
      <c r="ER71">
        <v>50.561999999999998</v>
      </c>
      <c r="ES71">
        <v>1755.5</v>
      </c>
      <c r="ET71">
        <v>39.479999999999997</v>
      </c>
      <c r="EU71">
        <v>0</v>
      </c>
      <c r="EV71">
        <v>110.5999999046326</v>
      </c>
      <c r="EW71">
        <v>0</v>
      </c>
      <c r="EX71">
        <v>729.97238461538461</v>
      </c>
      <c r="EY71">
        <v>0.72232477445597665</v>
      </c>
      <c r="EZ71">
        <v>-22.471794836222472</v>
      </c>
      <c r="FA71">
        <v>13651.31923076923</v>
      </c>
      <c r="FB71">
        <v>15</v>
      </c>
      <c r="FC71">
        <v>1674585887.5</v>
      </c>
      <c r="FD71" t="s">
        <v>700</v>
      </c>
      <c r="FE71">
        <v>1674585887.5</v>
      </c>
      <c r="FF71">
        <v>1674585882.5</v>
      </c>
      <c r="FG71">
        <v>61</v>
      </c>
      <c r="FH71">
        <v>-0.04</v>
      </c>
      <c r="FI71">
        <v>0</v>
      </c>
      <c r="FJ71">
        <v>-1.6120000000000001</v>
      </c>
      <c r="FK71">
        <v>8.7999999999999995E-2</v>
      </c>
      <c r="FL71">
        <v>1200</v>
      </c>
      <c r="FM71">
        <v>19</v>
      </c>
      <c r="FN71">
        <v>0.03</v>
      </c>
      <c r="FO71">
        <v>0.01</v>
      </c>
      <c r="FP71">
        <v>52.143019947357217</v>
      </c>
      <c r="FQ71">
        <v>-0.65461500730077926</v>
      </c>
      <c r="FR71">
        <v>0.10171567753990381</v>
      </c>
      <c r="FS71">
        <v>1</v>
      </c>
      <c r="FT71">
        <v>0.39817647740218548</v>
      </c>
      <c r="FU71">
        <v>3.002251295876519E-2</v>
      </c>
      <c r="FV71">
        <v>3.8168766805319388E-3</v>
      </c>
      <c r="FW71">
        <v>1</v>
      </c>
      <c r="FX71">
        <v>2</v>
      </c>
      <c r="FY71">
        <v>2</v>
      </c>
      <c r="FZ71" t="s">
        <v>420</v>
      </c>
      <c r="GA71">
        <v>2.9291900000000002</v>
      </c>
      <c r="GB71">
        <v>2.8071700000000002</v>
      </c>
      <c r="GC71">
        <v>0.202429</v>
      </c>
      <c r="GD71">
        <v>0.21226100000000001</v>
      </c>
      <c r="GE71">
        <v>0.114802</v>
      </c>
      <c r="GF71">
        <v>9.8115300000000003E-2</v>
      </c>
      <c r="GG71">
        <v>23726.3</v>
      </c>
      <c r="GH71">
        <v>23732.7</v>
      </c>
      <c r="GI71">
        <v>28261.3</v>
      </c>
      <c r="GJ71">
        <v>27153.9</v>
      </c>
      <c r="GK71">
        <v>35915.199999999997</v>
      </c>
      <c r="GL71">
        <v>32328.7</v>
      </c>
      <c r="GM71">
        <v>42085.5</v>
      </c>
      <c r="GN71">
        <v>36830.5</v>
      </c>
      <c r="GO71">
        <v>1.92635</v>
      </c>
      <c r="GP71">
        <v>1.8854200000000001</v>
      </c>
      <c r="GQ71">
        <v>7.3373300000000002E-2</v>
      </c>
      <c r="GR71">
        <v>0</v>
      </c>
      <c r="GS71">
        <v>26.310700000000001</v>
      </c>
      <c r="GT71">
        <v>999.9</v>
      </c>
      <c r="GU71">
        <v>48.2</v>
      </c>
      <c r="GV71">
        <v>36.1</v>
      </c>
      <c r="GW71">
        <v>29.011099999999999</v>
      </c>
      <c r="GX71">
        <v>61.9238</v>
      </c>
      <c r="GY71">
        <v>26.999199999999998</v>
      </c>
      <c r="GZ71">
        <v>1</v>
      </c>
      <c r="HA71">
        <v>0.39457599999999998</v>
      </c>
      <c r="HB71">
        <v>2.9636</v>
      </c>
      <c r="HC71">
        <v>20.32</v>
      </c>
      <c r="HD71">
        <v>5.2397499999999999</v>
      </c>
      <c r="HE71">
        <v>11.9381</v>
      </c>
      <c r="HF71">
        <v>4.9736000000000002</v>
      </c>
      <c r="HG71">
        <v>3.2989999999999999</v>
      </c>
      <c r="HH71">
        <v>9999</v>
      </c>
      <c r="HI71">
        <v>9999</v>
      </c>
      <c r="HJ71">
        <v>9999</v>
      </c>
      <c r="HK71">
        <v>999.9</v>
      </c>
      <c r="HL71">
        <v>1.87347</v>
      </c>
      <c r="HM71">
        <v>1.8811800000000001</v>
      </c>
      <c r="HN71">
        <v>1.88466</v>
      </c>
      <c r="HO71">
        <v>1.88141</v>
      </c>
      <c r="HP71">
        <v>1.87869</v>
      </c>
      <c r="HQ71">
        <v>1.87347</v>
      </c>
      <c r="HR71">
        <v>1.87632</v>
      </c>
      <c r="HS71">
        <v>1.88049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-1.58</v>
      </c>
      <c r="IH71">
        <v>0.22550000000000001</v>
      </c>
      <c r="II71">
        <v>-1.3091102276191029</v>
      </c>
      <c r="IJ71">
        <v>9.4905977090923709E-4</v>
      </c>
      <c r="IK71">
        <v>-1.9106666302146479E-6</v>
      </c>
      <c r="IL71">
        <v>7.5819610513223293E-10</v>
      </c>
      <c r="IM71">
        <v>-7.0405284489802905E-2</v>
      </c>
      <c r="IN71">
        <v>-1.0595840490420019E-2</v>
      </c>
      <c r="IO71">
        <v>1.2407080968752471E-3</v>
      </c>
      <c r="IP71">
        <v>-1.3015442653884381E-5</v>
      </c>
      <c r="IQ71">
        <v>33</v>
      </c>
      <c r="IR71">
        <v>2014</v>
      </c>
      <c r="IS71">
        <v>1</v>
      </c>
      <c r="IT71">
        <v>26</v>
      </c>
      <c r="IU71">
        <v>0.6</v>
      </c>
      <c r="IV71">
        <v>0.7</v>
      </c>
      <c r="IW71">
        <v>2.47925</v>
      </c>
      <c r="IX71">
        <v>2.50488</v>
      </c>
      <c r="IY71">
        <v>1.5979000000000001</v>
      </c>
      <c r="IZ71">
        <v>2.2973599999999998</v>
      </c>
      <c r="JA71">
        <v>1.5502899999999999</v>
      </c>
      <c r="JB71">
        <v>2.34863</v>
      </c>
      <c r="JC71">
        <v>39.316899999999997</v>
      </c>
      <c r="JD71">
        <v>24.061199999999999</v>
      </c>
      <c r="JE71">
        <v>18</v>
      </c>
      <c r="JF71">
        <v>486.13600000000002</v>
      </c>
      <c r="JG71">
        <v>494.00200000000001</v>
      </c>
      <c r="JH71">
        <v>22.780200000000001</v>
      </c>
      <c r="JI71">
        <v>32.171300000000002</v>
      </c>
      <c r="JJ71">
        <v>30</v>
      </c>
      <c r="JK71">
        <v>32.3247</v>
      </c>
      <c r="JL71">
        <v>32.313600000000001</v>
      </c>
      <c r="JM71">
        <v>49.688600000000001</v>
      </c>
      <c r="JN71">
        <v>39.088500000000003</v>
      </c>
      <c r="JO71">
        <v>0</v>
      </c>
      <c r="JP71">
        <v>22.773199999999999</v>
      </c>
      <c r="JQ71">
        <v>1200</v>
      </c>
      <c r="JR71">
        <v>19.449000000000002</v>
      </c>
      <c r="JS71">
        <v>99.777000000000001</v>
      </c>
      <c r="JT71">
        <v>98.628200000000007</v>
      </c>
    </row>
    <row r="72" spans="1:280" x14ac:dyDescent="0.25">
      <c r="A72">
        <v>56</v>
      </c>
      <c r="B72">
        <v>1674586032.5</v>
      </c>
      <c r="C72">
        <v>10607.5</v>
      </c>
      <c r="D72" t="s">
        <v>701</v>
      </c>
      <c r="E72" t="s">
        <v>702</v>
      </c>
      <c r="F72" t="s">
        <v>412</v>
      </c>
      <c r="G72" t="s">
        <v>31</v>
      </c>
      <c r="H72" t="s">
        <v>637</v>
      </c>
      <c r="I72">
        <v>1674586032.5</v>
      </c>
      <c r="J72">
        <f t="shared" si="46"/>
        <v>4.5571111184829205E-3</v>
      </c>
      <c r="K72">
        <f t="shared" si="47"/>
        <v>4.5571111184829203</v>
      </c>
      <c r="L72">
        <f t="shared" si="48"/>
        <v>50.981969163894043</v>
      </c>
      <c r="M72">
        <f t="shared" si="49"/>
        <v>1431.17</v>
      </c>
      <c r="N72">
        <f t="shared" si="50"/>
        <v>1180.9178809981449</v>
      </c>
      <c r="O72">
        <f t="shared" si="51"/>
        <v>117.864288285161</v>
      </c>
      <c r="P72">
        <f t="shared" si="52"/>
        <v>142.84128996547801</v>
      </c>
      <c r="Q72">
        <f t="shared" si="53"/>
        <v>0.38675883787272264</v>
      </c>
      <c r="R72">
        <f t="shared" si="54"/>
        <v>2.9296694066027231</v>
      </c>
      <c r="S72">
        <f t="shared" si="55"/>
        <v>0.36046812403536332</v>
      </c>
      <c r="T72">
        <f t="shared" si="56"/>
        <v>0.22750559217421662</v>
      </c>
      <c r="U72">
        <f t="shared" si="57"/>
        <v>344.34919965790777</v>
      </c>
      <c r="V72">
        <f t="shared" si="58"/>
        <v>28.854620989792963</v>
      </c>
      <c r="W72">
        <f t="shared" si="59"/>
        <v>27.563300000000002</v>
      </c>
      <c r="X72">
        <f t="shared" si="60"/>
        <v>3.6992964520481291</v>
      </c>
      <c r="Y72">
        <f t="shared" si="61"/>
        <v>65.224094462968168</v>
      </c>
      <c r="Z72">
        <f t="shared" si="62"/>
        <v>2.4765498021202204</v>
      </c>
      <c r="AA72">
        <f t="shared" si="63"/>
        <v>3.7969861023157843</v>
      </c>
      <c r="AB72">
        <f t="shared" si="64"/>
        <v>1.2227466499279087</v>
      </c>
      <c r="AC72">
        <f t="shared" si="65"/>
        <v>-200.96860032509679</v>
      </c>
      <c r="AD72">
        <f t="shared" si="66"/>
        <v>70.50635205856868</v>
      </c>
      <c r="AE72">
        <f t="shared" si="67"/>
        <v>5.2347518236155608</v>
      </c>
      <c r="AF72">
        <f t="shared" si="68"/>
        <v>219.12170321499525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52696.887963357629</v>
      </c>
      <c r="AL72" t="s">
        <v>415</v>
      </c>
      <c r="AM72">
        <v>10297.6</v>
      </c>
      <c r="AN72">
        <v>785.57400000000007</v>
      </c>
      <c r="AO72">
        <v>3597.65</v>
      </c>
      <c r="AP72">
        <f t="shared" si="72"/>
        <v>0.7816424610509638</v>
      </c>
      <c r="AQ72">
        <v>-0.62398835798131469</v>
      </c>
      <c r="AR72" t="s">
        <v>703</v>
      </c>
      <c r="AS72">
        <v>10235.4</v>
      </c>
      <c r="AT72">
        <v>729.50442307692299</v>
      </c>
      <c r="AU72">
        <v>1103.5236902954971</v>
      </c>
      <c r="AV72">
        <f t="shared" si="73"/>
        <v>0.33893179685016162</v>
      </c>
      <c r="AW72">
        <v>0.5</v>
      </c>
      <c r="AX72">
        <f t="shared" si="74"/>
        <v>1513.1000998289537</v>
      </c>
      <c r="AY72">
        <f t="shared" si="75"/>
        <v>50.981969163894043</v>
      </c>
      <c r="AZ72">
        <f t="shared" si="76"/>
        <v>256.41886782459312</v>
      </c>
      <c r="BA72">
        <f t="shared" si="77"/>
        <v>3.4106109389398023E-2</v>
      </c>
      <c r="BB72">
        <f t="shared" si="78"/>
        <v>2.2601474999024589</v>
      </c>
      <c r="BC72">
        <f t="shared" si="79"/>
        <v>525.98818277853104</v>
      </c>
      <c r="BD72" t="s">
        <v>704</v>
      </c>
      <c r="BE72">
        <v>564.47</v>
      </c>
      <c r="BF72">
        <f t="shared" si="80"/>
        <v>564.47</v>
      </c>
      <c r="BG72">
        <f t="shared" si="81"/>
        <v>0.48848402171697058</v>
      </c>
      <c r="BH72">
        <f t="shared" si="82"/>
        <v>0.69384418278176552</v>
      </c>
      <c r="BI72">
        <f t="shared" si="83"/>
        <v>0.82228100861290887</v>
      </c>
      <c r="BJ72">
        <f t="shared" si="84"/>
        <v>1.1763473236000543</v>
      </c>
      <c r="BK72">
        <f t="shared" si="85"/>
        <v>0.8869341759271453</v>
      </c>
      <c r="BL72">
        <f t="shared" si="86"/>
        <v>0.53687710926123478</v>
      </c>
      <c r="BM72">
        <f t="shared" si="87"/>
        <v>0.46312289073876522</v>
      </c>
      <c r="BN72">
        <v>111</v>
      </c>
      <c r="BO72">
        <v>290.00000000000011</v>
      </c>
      <c r="BP72">
        <v>996.33</v>
      </c>
      <c r="BQ72">
        <v>155</v>
      </c>
      <c r="BR72">
        <v>10235.4</v>
      </c>
      <c r="BS72">
        <v>994.89</v>
      </c>
      <c r="BT72">
        <v>1.44</v>
      </c>
      <c r="BU72">
        <v>300.00000000000011</v>
      </c>
      <c r="BV72">
        <v>24.1</v>
      </c>
      <c r="BW72">
        <v>1103.5236902954971</v>
      </c>
      <c r="BX72">
        <v>2.7885315735244118</v>
      </c>
      <c r="BY72">
        <v>-111.1943340603283</v>
      </c>
      <c r="BZ72">
        <v>2.5384638308029439</v>
      </c>
      <c r="CA72">
        <v>0.98561721609915276</v>
      </c>
      <c r="CB72">
        <v>-6.9672242491657412E-3</v>
      </c>
      <c r="CC72">
        <v>289.99999999999989</v>
      </c>
      <c r="CD72">
        <v>988.36</v>
      </c>
      <c r="CE72">
        <v>625</v>
      </c>
      <c r="CF72">
        <v>10204.4</v>
      </c>
      <c r="CG72">
        <v>994.56</v>
      </c>
      <c r="CH72">
        <v>-6.2</v>
      </c>
      <c r="CV72">
        <f t="shared" si="88"/>
        <v>1799.9</v>
      </c>
      <c r="CW72">
        <f t="shared" si="89"/>
        <v>1513.1000998289537</v>
      </c>
      <c r="CX72">
        <f t="shared" si="90"/>
        <v>0.84065786978662904</v>
      </c>
      <c r="CY72">
        <f t="shared" si="91"/>
        <v>0.19131573957325837</v>
      </c>
      <c r="CZ72">
        <v>6</v>
      </c>
      <c r="DA72">
        <v>0.5</v>
      </c>
      <c r="DB72" t="s">
        <v>418</v>
      </c>
      <c r="DC72">
        <v>2</v>
      </c>
      <c r="DD72">
        <v>1674586032.5</v>
      </c>
      <c r="DE72">
        <v>1431.17</v>
      </c>
      <c r="DF72">
        <v>1500.16</v>
      </c>
      <c r="DG72">
        <v>24.813300000000002</v>
      </c>
      <c r="DH72">
        <v>19.4816</v>
      </c>
      <c r="DI72">
        <v>1432.94</v>
      </c>
      <c r="DJ72">
        <v>24.586300000000001</v>
      </c>
      <c r="DK72">
        <v>500.10700000000003</v>
      </c>
      <c r="DL72">
        <v>99.707700000000003</v>
      </c>
      <c r="DM72">
        <v>9.9653400000000003E-2</v>
      </c>
      <c r="DN72">
        <v>28.009699999999999</v>
      </c>
      <c r="DO72">
        <v>27.563300000000002</v>
      </c>
      <c r="DP72">
        <v>999.9</v>
      </c>
      <c r="DQ72">
        <v>0</v>
      </c>
      <c r="DR72">
        <v>0</v>
      </c>
      <c r="DS72">
        <v>10030</v>
      </c>
      <c r="DT72">
        <v>0</v>
      </c>
      <c r="DU72">
        <v>470.27800000000002</v>
      </c>
      <c r="DV72">
        <v>-68.996099999999998</v>
      </c>
      <c r="DW72">
        <v>1467.58</v>
      </c>
      <c r="DX72">
        <v>1529.97</v>
      </c>
      <c r="DY72">
        <v>5.3316800000000004</v>
      </c>
      <c r="DZ72">
        <v>1500.16</v>
      </c>
      <c r="EA72">
        <v>19.4816</v>
      </c>
      <c r="EB72">
        <v>2.4740799999999998</v>
      </c>
      <c r="EC72">
        <v>1.9424699999999999</v>
      </c>
      <c r="ED72">
        <v>20.856999999999999</v>
      </c>
      <c r="EE72">
        <v>16.983000000000001</v>
      </c>
      <c r="EF72">
        <v>1799.9</v>
      </c>
      <c r="EG72">
        <v>0.97800799999999999</v>
      </c>
      <c r="EH72">
        <v>2.1992000000000001E-2</v>
      </c>
      <c r="EI72">
        <v>0</v>
      </c>
      <c r="EJ72">
        <v>729.75199999999995</v>
      </c>
      <c r="EK72">
        <v>5.0002599999999999</v>
      </c>
      <c r="EL72">
        <v>13648.6</v>
      </c>
      <c r="EM72">
        <v>17102.5</v>
      </c>
      <c r="EN72">
        <v>49.5</v>
      </c>
      <c r="EO72">
        <v>50.875</v>
      </c>
      <c r="EP72">
        <v>50.375</v>
      </c>
      <c r="EQ72">
        <v>50.061999999999998</v>
      </c>
      <c r="ER72">
        <v>50.686999999999998</v>
      </c>
      <c r="ES72">
        <v>1755.43</v>
      </c>
      <c r="ET72">
        <v>39.47</v>
      </c>
      <c r="EU72">
        <v>0</v>
      </c>
      <c r="EV72">
        <v>105.7999999523163</v>
      </c>
      <c r="EW72">
        <v>0</v>
      </c>
      <c r="EX72">
        <v>729.50442307692299</v>
      </c>
      <c r="EY72">
        <v>1.0362734970669989</v>
      </c>
      <c r="EZ72">
        <v>44.201709241476692</v>
      </c>
      <c r="FA72">
        <v>13635.83461538462</v>
      </c>
      <c r="FB72">
        <v>15</v>
      </c>
      <c r="FC72">
        <v>1674585998</v>
      </c>
      <c r="FD72" t="s">
        <v>705</v>
      </c>
      <c r="FE72">
        <v>1674585989</v>
      </c>
      <c r="FF72">
        <v>1674585998</v>
      </c>
      <c r="FG72">
        <v>62</v>
      </c>
      <c r="FH72">
        <v>-0.129</v>
      </c>
      <c r="FI72">
        <v>1E-3</v>
      </c>
      <c r="FJ72">
        <v>-1.7529999999999999</v>
      </c>
      <c r="FK72">
        <v>9.4E-2</v>
      </c>
      <c r="FL72">
        <v>1500</v>
      </c>
      <c r="FM72">
        <v>19</v>
      </c>
      <c r="FN72">
        <v>0.03</v>
      </c>
      <c r="FO72">
        <v>0.02</v>
      </c>
      <c r="FP72">
        <v>51.111702079617572</v>
      </c>
      <c r="FQ72">
        <v>-0.67386597795407455</v>
      </c>
      <c r="FR72">
        <v>0.1146315501842987</v>
      </c>
      <c r="FS72">
        <v>1</v>
      </c>
      <c r="FT72">
        <v>0.38093727802912197</v>
      </c>
      <c r="FU72">
        <v>3.1400955711398268E-2</v>
      </c>
      <c r="FV72">
        <v>3.6147598437027118E-3</v>
      </c>
      <c r="FW72">
        <v>1</v>
      </c>
      <c r="FX72">
        <v>2</v>
      </c>
      <c r="FY72">
        <v>2</v>
      </c>
      <c r="FZ72" t="s">
        <v>420</v>
      </c>
      <c r="GA72">
        <v>2.9289499999999999</v>
      </c>
      <c r="GB72">
        <v>2.8068300000000002</v>
      </c>
      <c r="GC72">
        <v>0.23447399999999999</v>
      </c>
      <c r="GD72">
        <v>0.24371000000000001</v>
      </c>
      <c r="GE72">
        <v>0.114826</v>
      </c>
      <c r="GF72">
        <v>9.8466899999999996E-2</v>
      </c>
      <c r="GG72">
        <v>22770.400000000001</v>
      </c>
      <c r="GH72">
        <v>22784</v>
      </c>
      <c r="GI72">
        <v>28260.7</v>
      </c>
      <c r="GJ72">
        <v>27155</v>
      </c>
      <c r="GK72">
        <v>35913.5</v>
      </c>
      <c r="GL72">
        <v>32317.599999999999</v>
      </c>
      <c r="GM72">
        <v>42084.5</v>
      </c>
      <c r="GN72">
        <v>36832</v>
      </c>
      <c r="GO72">
        <v>1.9261999999999999</v>
      </c>
      <c r="GP72">
        <v>1.8872</v>
      </c>
      <c r="GQ72">
        <v>7.1451100000000003E-2</v>
      </c>
      <c r="GR72">
        <v>0</v>
      </c>
      <c r="GS72">
        <v>26.3948</v>
      </c>
      <c r="GT72">
        <v>999.9</v>
      </c>
      <c r="GU72">
        <v>48.2</v>
      </c>
      <c r="GV72">
        <v>36.1</v>
      </c>
      <c r="GW72">
        <v>29.0106</v>
      </c>
      <c r="GX72">
        <v>61.623800000000003</v>
      </c>
      <c r="GY72">
        <v>27.147400000000001</v>
      </c>
      <c r="GZ72">
        <v>1</v>
      </c>
      <c r="HA72">
        <v>0.39369700000000002</v>
      </c>
      <c r="HB72">
        <v>2.9588700000000001</v>
      </c>
      <c r="HC72">
        <v>20.319800000000001</v>
      </c>
      <c r="HD72">
        <v>5.2370599999999996</v>
      </c>
      <c r="HE72">
        <v>11.9381</v>
      </c>
      <c r="HF72">
        <v>4.9728000000000003</v>
      </c>
      <c r="HG72">
        <v>3.2983500000000001</v>
      </c>
      <c r="HH72">
        <v>9999</v>
      </c>
      <c r="HI72">
        <v>9999</v>
      </c>
      <c r="HJ72">
        <v>9999</v>
      </c>
      <c r="HK72">
        <v>999.9</v>
      </c>
      <c r="HL72">
        <v>1.87347</v>
      </c>
      <c r="HM72">
        <v>1.88114</v>
      </c>
      <c r="HN72">
        <v>1.8846099999999999</v>
      </c>
      <c r="HO72">
        <v>1.88141</v>
      </c>
      <c r="HP72">
        <v>1.8787100000000001</v>
      </c>
      <c r="HQ72">
        <v>1.87347</v>
      </c>
      <c r="HR72">
        <v>1.8763399999999999</v>
      </c>
      <c r="HS72">
        <v>1.88049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-1.77</v>
      </c>
      <c r="IH72">
        <v>0.22700000000000001</v>
      </c>
      <c r="II72">
        <v>-1.437622525832702</v>
      </c>
      <c r="IJ72">
        <v>9.4905977090923709E-4</v>
      </c>
      <c r="IK72">
        <v>-1.9106666302146479E-6</v>
      </c>
      <c r="IL72">
        <v>7.5819610513223293E-10</v>
      </c>
      <c r="IM72">
        <v>-6.9087476838560813E-2</v>
      </c>
      <c r="IN72">
        <v>-1.0595840490420019E-2</v>
      </c>
      <c r="IO72">
        <v>1.2407080968752471E-3</v>
      </c>
      <c r="IP72">
        <v>-1.3015442653884381E-5</v>
      </c>
      <c r="IQ72">
        <v>33</v>
      </c>
      <c r="IR72">
        <v>2014</v>
      </c>
      <c r="IS72">
        <v>1</v>
      </c>
      <c r="IT72">
        <v>26</v>
      </c>
      <c r="IU72">
        <v>0.7</v>
      </c>
      <c r="IV72">
        <v>0.6</v>
      </c>
      <c r="IW72">
        <v>2.9785200000000001</v>
      </c>
      <c r="IX72">
        <v>2.49634</v>
      </c>
      <c r="IY72">
        <v>1.5991200000000001</v>
      </c>
      <c r="IZ72">
        <v>2.2973599999999998</v>
      </c>
      <c r="JA72">
        <v>1.5490699999999999</v>
      </c>
      <c r="JB72">
        <v>2.32422</v>
      </c>
      <c r="JC72">
        <v>39.267099999999999</v>
      </c>
      <c r="JD72">
        <v>24.07</v>
      </c>
      <c r="JE72">
        <v>18</v>
      </c>
      <c r="JF72">
        <v>485.815</v>
      </c>
      <c r="JG72">
        <v>494.96300000000002</v>
      </c>
      <c r="JH72">
        <v>22.798400000000001</v>
      </c>
      <c r="JI72">
        <v>32.162799999999997</v>
      </c>
      <c r="JJ72">
        <v>30.0002</v>
      </c>
      <c r="JK72">
        <v>32.295999999999999</v>
      </c>
      <c r="JL72">
        <v>32.279299999999999</v>
      </c>
      <c r="JM72">
        <v>59.678600000000003</v>
      </c>
      <c r="JN72">
        <v>38.676699999999997</v>
      </c>
      <c r="JO72">
        <v>0</v>
      </c>
      <c r="JP72">
        <v>22.796299999999999</v>
      </c>
      <c r="JQ72">
        <v>1500</v>
      </c>
      <c r="JR72">
        <v>19.540299999999998</v>
      </c>
      <c r="JS72">
        <v>99.774699999999996</v>
      </c>
      <c r="JT72">
        <v>98.632099999999994</v>
      </c>
    </row>
    <row r="73" spans="1:280" x14ac:dyDescent="0.25">
      <c r="A73">
        <v>57</v>
      </c>
      <c r="B73">
        <v>1674589526.5</v>
      </c>
      <c r="C73">
        <v>14101.5</v>
      </c>
      <c r="D73" t="s">
        <v>706</v>
      </c>
      <c r="E73" t="s">
        <v>707</v>
      </c>
      <c r="F73" t="s">
        <v>412</v>
      </c>
      <c r="G73" t="s">
        <v>708</v>
      </c>
      <c r="H73" t="s">
        <v>414</v>
      </c>
      <c r="I73">
        <v>1674589526.5</v>
      </c>
      <c r="J73">
        <f t="shared" si="46"/>
        <v>5.8791421345290315E-3</v>
      </c>
      <c r="K73">
        <f t="shared" si="47"/>
        <v>5.8791421345290313</v>
      </c>
      <c r="L73">
        <f t="shared" si="48"/>
        <v>54.905865213905429</v>
      </c>
      <c r="M73">
        <f t="shared" si="49"/>
        <v>331.79899999999998</v>
      </c>
      <c r="N73">
        <f t="shared" si="50"/>
        <v>148.31326517730173</v>
      </c>
      <c r="O73">
        <f t="shared" si="51"/>
        <v>14.780672050081312</v>
      </c>
      <c r="P73">
        <f t="shared" si="52"/>
        <v>33.066578364937001</v>
      </c>
      <c r="Q73">
        <f t="shared" si="53"/>
        <v>0.53345029107571384</v>
      </c>
      <c r="R73">
        <f t="shared" si="54"/>
        <v>2.92256027207518</v>
      </c>
      <c r="S73">
        <f t="shared" si="55"/>
        <v>0.48467115881166078</v>
      </c>
      <c r="T73">
        <f t="shared" si="56"/>
        <v>0.30692952447817584</v>
      </c>
      <c r="U73">
        <f t="shared" si="57"/>
        <v>344.39729965786853</v>
      </c>
      <c r="V73">
        <f t="shared" si="58"/>
        <v>28.507878931036231</v>
      </c>
      <c r="W73">
        <f t="shared" si="59"/>
        <v>27.362100000000002</v>
      </c>
      <c r="X73">
        <f t="shared" si="60"/>
        <v>3.6559880344836473</v>
      </c>
      <c r="Y73">
        <f t="shared" si="61"/>
        <v>65.44722913436712</v>
      </c>
      <c r="Z73">
        <f t="shared" si="62"/>
        <v>2.4843559265880999</v>
      </c>
      <c r="AA73">
        <f t="shared" si="63"/>
        <v>3.795968079087912</v>
      </c>
      <c r="AB73">
        <f t="shared" si="64"/>
        <v>1.1716321078955474</v>
      </c>
      <c r="AC73">
        <f t="shared" si="65"/>
        <v>-259.2701681327303</v>
      </c>
      <c r="AD73">
        <f t="shared" si="66"/>
        <v>101.31176761655885</v>
      </c>
      <c r="AE73">
        <f t="shared" si="67"/>
        <v>7.5324688521425669</v>
      </c>
      <c r="AF73">
        <f t="shared" si="68"/>
        <v>193.97136799383966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52489.969067969483</v>
      </c>
      <c r="AL73" t="s">
        <v>415</v>
      </c>
      <c r="AM73">
        <v>10297.6</v>
      </c>
      <c r="AN73">
        <v>785.57400000000007</v>
      </c>
      <c r="AO73">
        <v>3597.65</v>
      </c>
      <c r="AP73">
        <f t="shared" si="72"/>
        <v>0.7816424610509638</v>
      </c>
      <c r="AQ73">
        <v>-0.62398835798131469</v>
      </c>
      <c r="AR73" t="s">
        <v>709</v>
      </c>
      <c r="AS73">
        <v>10235.6</v>
      </c>
      <c r="AT73">
        <v>762.3574799999999</v>
      </c>
      <c r="AU73">
        <v>1189.0280931960101</v>
      </c>
      <c r="AV73">
        <f t="shared" si="73"/>
        <v>0.35883980844317531</v>
      </c>
      <c r="AW73">
        <v>0.5</v>
      </c>
      <c r="AX73">
        <f t="shared" si="74"/>
        <v>1513.3103998289344</v>
      </c>
      <c r="AY73">
        <f t="shared" si="75"/>
        <v>54.905865213905429</v>
      </c>
      <c r="AZ73">
        <f t="shared" si="76"/>
        <v>271.51800699483994</v>
      </c>
      <c r="BA73">
        <f t="shared" si="77"/>
        <v>3.6694291916690644E-2</v>
      </c>
      <c r="BB73">
        <f t="shared" si="78"/>
        <v>2.0257064745457876</v>
      </c>
      <c r="BC73">
        <f t="shared" si="79"/>
        <v>544.65686533858752</v>
      </c>
      <c r="BD73" t="s">
        <v>710</v>
      </c>
      <c r="BE73">
        <v>567.69000000000005</v>
      </c>
      <c r="BF73">
        <f t="shared" si="80"/>
        <v>567.69000000000005</v>
      </c>
      <c r="BG73">
        <f t="shared" si="81"/>
        <v>0.52255964072800354</v>
      </c>
      <c r="BH73">
        <f t="shared" si="82"/>
        <v>0.6866963700894656</v>
      </c>
      <c r="BI73">
        <f t="shared" si="83"/>
        <v>0.79493521591175786</v>
      </c>
      <c r="BJ73">
        <f t="shared" si="84"/>
        <v>1.0575443907783602</v>
      </c>
      <c r="BK73">
        <f t="shared" si="85"/>
        <v>0.85652802655546645</v>
      </c>
      <c r="BL73">
        <f t="shared" si="86"/>
        <v>0.51134890463210103</v>
      </c>
      <c r="BM73">
        <f t="shared" si="87"/>
        <v>0.48865109536789897</v>
      </c>
      <c r="BN73">
        <v>113</v>
      </c>
      <c r="BO73">
        <v>290.00000000000011</v>
      </c>
      <c r="BP73">
        <v>1080.1099999999999</v>
      </c>
      <c r="BQ73">
        <v>115</v>
      </c>
      <c r="BR73">
        <v>10235.6</v>
      </c>
      <c r="BS73">
        <v>1076.57</v>
      </c>
      <c r="BT73">
        <v>3.54</v>
      </c>
      <c r="BU73">
        <v>300.00000000000011</v>
      </c>
      <c r="BV73">
        <v>24.1</v>
      </c>
      <c r="BW73">
        <v>1189.0280931960101</v>
      </c>
      <c r="BX73">
        <v>1.9631620575014119</v>
      </c>
      <c r="BY73">
        <v>-115.1105204380741</v>
      </c>
      <c r="BZ73">
        <v>1.7858493577353429</v>
      </c>
      <c r="CA73">
        <v>0.99330577047781343</v>
      </c>
      <c r="CB73">
        <v>-6.9623474972191398E-3</v>
      </c>
      <c r="CC73">
        <v>289.99999999999989</v>
      </c>
      <c r="CD73">
        <v>1074.43</v>
      </c>
      <c r="CE73">
        <v>645</v>
      </c>
      <c r="CF73">
        <v>10195.700000000001</v>
      </c>
      <c r="CG73">
        <v>1076.1300000000001</v>
      </c>
      <c r="CH73">
        <v>-1.7</v>
      </c>
      <c r="CV73">
        <f t="shared" si="88"/>
        <v>1800.15</v>
      </c>
      <c r="CW73">
        <f t="shared" si="89"/>
        <v>1513.3103998289344</v>
      </c>
      <c r="CX73">
        <f t="shared" si="90"/>
        <v>0.84065794507620717</v>
      </c>
      <c r="CY73">
        <f t="shared" si="91"/>
        <v>0.19131589015241426</v>
      </c>
      <c r="CZ73">
        <v>6</v>
      </c>
      <c r="DA73">
        <v>0.5</v>
      </c>
      <c r="DB73" t="s">
        <v>418</v>
      </c>
      <c r="DC73">
        <v>2</v>
      </c>
      <c r="DD73">
        <v>1674589526.5</v>
      </c>
      <c r="DE73">
        <v>331.79899999999998</v>
      </c>
      <c r="DF73">
        <v>400.012</v>
      </c>
      <c r="DG73">
        <v>24.928699999999999</v>
      </c>
      <c r="DH73">
        <v>18.051100000000002</v>
      </c>
      <c r="DI73">
        <v>332.63299999999998</v>
      </c>
      <c r="DJ73">
        <v>24.695399999999999</v>
      </c>
      <c r="DK73">
        <v>500.10899999999998</v>
      </c>
      <c r="DL73">
        <v>99.558300000000003</v>
      </c>
      <c r="DM73">
        <v>0.100163</v>
      </c>
      <c r="DN73">
        <v>28.005099999999999</v>
      </c>
      <c r="DO73">
        <v>27.362100000000002</v>
      </c>
      <c r="DP73">
        <v>999.9</v>
      </c>
      <c r="DQ73">
        <v>0</v>
      </c>
      <c r="DR73">
        <v>0</v>
      </c>
      <c r="DS73">
        <v>10004.4</v>
      </c>
      <c r="DT73">
        <v>0</v>
      </c>
      <c r="DU73">
        <v>383.565</v>
      </c>
      <c r="DV73">
        <v>-68.213099999999997</v>
      </c>
      <c r="DW73">
        <v>340.28100000000001</v>
      </c>
      <c r="DX73">
        <v>407.36500000000001</v>
      </c>
      <c r="DY73">
        <v>6.8776200000000003</v>
      </c>
      <c r="DZ73">
        <v>400.012</v>
      </c>
      <c r="EA73">
        <v>18.051100000000002</v>
      </c>
      <c r="EB73">
        <v>2.4818600000000002</v>
      </c>
      <c r="EC73">
        <v>1.7971299999999999</v>
      </c>
      <c r="ED73">
        <v>20.908000000000001</v>
      </c>
      <c r="EE73">
        <v>15.761900000000001</v>
      </c>
      <c r="EF73">
        <v>1800.15</v>
      </c>
      <c r="EG73">
        <v>0.97800900000000002</v>
      </c>
      <c r="EH73">
        <v>2.1990699999999998E-2</v>
      </c>
      <c r="EI73">
        <v>0</v>
      </c>
      <c r="EJ73">
        <v>762.59299999999996</v>
      </c>
      <c r="EK73">
        <v>5.0002599999999999</v>
      </c>
      <c r="EL73">
        <v>14049.9</v>
      </c>
      <c r="EM73">
        <v>17104.900000000001</v>
      </c>
      <c r="EN73">
        <v>49.811999999999998</v>
      </c>
      <c r="EO73">
        <v>51.125</v>
      </c>
      <c r="EP73">
        <v>50.811999999999998</v>
      </c>
      <c r="EQ73">
        <v>50.311999999999998</v>
      </c>
      <c r="ER73">
        <v>50.936999999999998</v>
      </c>
      <c r="ES73">
        <v>1755.67</v>
      </c>
      <c r="ET73">
        <v>39.479999999999997</v>
      </c>
      <c r="EU73">
        <v>0</v>
      </c>
      <c r="EV73">
        <v>3492</v>
      </c>
      <c r="EW73">
        <v>0</v>
      </c>
      <c r="EX73">
        <v>762.3574799999999</v>
      </c>
      <c r="EY73">
        <v>-0.1595384475078471</v>
      </c>
      <c r="EZ73">
        <v>-16.776922937668711</v>
      </c>
      <c r="FA73">
        <v>14051.791999999999</v>
      </c>
      <c r="FB73">
        <v>15</v>
      </c>
      <c r="FC73">
        <v>1674589490.5</v>
      </c>
      <c r="FD73" t="s">
        <v>711</v>
      </c>
      <c r="FE73">
        <v>1674589485.5</v>
      </c>
      <c r="FF73">
        <v>1674589490.5</v>
      </c>
      <c r="FG73">
        <v>65</v>
      </c>
      <c r="FH73">
        <v>0.109</v>
      </c>
      <c r="FI73">
        <v>1.4E-2</v>
      </c>
      <c r="FJ73">
        <v>-0.84399999999999997</v>
      </c>
      <c r="FK73">
        <v>7.0000000000000007E-2</v>
      </c>
      <c r="FL73">
        <v>400</v>
      </c>
      <c r="FM73">
        <v>18</v>
      </c>
      <c r="FN73">
        <v>0.02</v>
      </c>
      <c r="FO73">
        <v>0.02</v>
      </c>
      <c r="FP73">
        <v>54.917718940198377</v>
      </c>
      <c r="FQ73">
        <v>-0.37172139285336619</v>
      </c>
      <c r="FR73">
        <v>5.3568118062068897E-2</v>
      </c>
      <c r="FS73">
        <v>1</v>
      </c>
      <c r="FT73">
        <v>0.53331409618348713</v>
      </c>
      <c r="FU73">
        <v>4.727506337857481E-2</v>
      </c>
      <c r="FV73">
        <v>5.0641100501573749E-3</v>
      </c>
      <c r="FW73">
        <v>1</v>
      </c>
      <c r="FX73">
        <v>2</v>
      </c>
      <c r="FY73">
        <v>2</v>
      </c>
      <c r="FZ73" t="s">
        <v>420</v>
      </c>
      <c r="GA73">
        <v>2.92862</v>
      </c>
      <c r="GB73">
        <v>2.8071100000000002</v>
      </c>
      <c r="GC73">
        <v>8.4586999999999996E-2</v>
      </c>
      <c r="GD73">
        <v>9.9099000000000007E-2</v>
      </c>
      <c r="GE73">
        <v>0.11497499999999999</v>
      </c>
      <c r="GF73">
        <v>9.3101299999999998E-2</v>
      </c>
      <c r="GG73">
        <v>27214.7</v>
      </c>
      <c r="GH73">
        <v>27155</v>
      </c>
      <c r="GI73">
        <v>28238.799999999999</v>
      </c>
      <c r="GJ73">
        <v>27162</v>
      </c>
      <c r="GK73">
        <v>35877.4</v>
      </c>
      <c r="GL73">
        <v>32522.799999999999</v>
      </c>
      <c r="GM73">
        <v>42050.400000000001</v>
      </c>
      <c r="GN73">
        <v>36847.699999999997</v>
      </c>
      <c r="GO73">
        <v>1.9293499999999999</v>
      </c>
      <c r="GP73">
        <v>1.88435</v>
      </c>
      <c r="GQ73">
        <v>5.0276500000000002E-2</v>
      </c>
      <c r="GR73">
        <v>0</v>
      </c>
      <c r="GS73">
        <v>26.539899999999999</v>
      </c>
      <c r="GT73">
        <v>999.9</v>
      </c>
      <c r="GU73">
        <v>49</v>
      </c>
      <c r="GV73">
        <v>35.200000000000003</v>
      </c>
      <c r="GW73">
        <v>28.106999999999999</v>
      </c>
      <c r="GX73">
        <v>61.909199999999998</v>
      </c>
      <c r="GY73">
        <v>26.630600000000001</v>
      </c>
      <c r="GZ73">
        <v>1</v>
      </c>
      <c r="HA73">
        <v>0.41048299999999999</v>
      </c>
      <c r="HB73">
        <v>3.3040400000000001</v>
      </c>
      <c r="HC73">
        <v>20.314499999999999</v>
      </c>
      <c r="HD73">
        <v>5.2404999999999999</v>
      </c>
      <c r="HE73">
        <v>11.9381</v>
      </c>
      <c r="HF73">
        <v>4.9734499999999997</v>
      </c>
      <c r="HG73">
        <v>3.2989299999999999</v>
      </c>
      <c r="HH73">
        <v>9999</v>
      </c>
      <c r="HI73">
        <v>9999</v>
      </c>
      <c r="HJ73">
        <v>9999</v>
      </c>
      <c r="HK73">
        <v>999.9</v>
      </c>
      <c r="HL73">
        <v>1.87337</v>
      </c>
      <c r="HM73">
        <v>1.8810899999999999</v>
      </c>
      <c r="HN73">
        <v>1.8846099999999999</v>
      </c>
      <c r="HO73">
        <v>1.88127</v>
      </c>
      <c r="HP73">
        <v>1.87866</v>
      </c>
      <c r="HQ73">
        <v>1.87344</v>
      </c>
      <c r="HR73">
        <v>1.87622</v>
      </c>
      <c r="HS73">
        <v>1.88049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-0.83399999999999996</v>
      </c>
      <c r="IH73">
        <v>0.23330000000000001</v>
      </c>
      <c r="II73">
        <v>-0.96653578020764042</v>
      </c>
      <c r="IJ73">
        <v>9.4905977090923709E-4</v>
      </c>
      <c r="IK73">
        <v>-1.9106666302146479E-6</v>
      </c>
      <c r="IL73">
        <v>7.5819610513223293E-10</v>
      </c>
      <c r="IM73">
        <v>-6.5650309342279167E-2</v>
      </c>
      <c r="IN73">
        <v>-1.0595840490420019E-2</v>
      </c>
      <c r="IO73">
        <v>1.2407080968752471E-3</v>
      </c>
      <c r="IP73">
        <v>-1.3015442653884381E-5</v>
      </c>
      <c r="IQ73">
        <v>33</v>
      </c>
      <c r="IR73">
        <v>2014</v>
      </c>
      <c r="IS73">
        <v>1</v>
      </c>
      <c r="IT73">
        <v>26</v>
      </c>
      <c r="IU73">
        <v>0.7</v>
      </c>
      <c r="IV73">
        <v>0.6</v>
      </c>
      <c r="IW73">
        <v>1.01074</v>
      </c>
      <c r="IX73">
        <v>2.5061</v>
      </c>
      <c r="IY73">
        <v>1.5991200000000001</v>
      </c>
      <c r="IZ73">
        <v>2.2985799999999998</v>
      </c>
      <c r="JA73">
        <v>1.5502899999999999</v>
      </c>
      <c r="JB73">
        <v>2.3742700000000001</v>
      </c>
      <c r="JC73">
        <v>38.599499999999999</v>
      </c>
      <c r="JD73">
        <v>24.061199999999999</v>
      </c>
      <c r="JE73">
        <v>18</v>
      </c>
      <c r="JF73">
        <v>488.96199999999999</v>
      </c>
      <c r="JG73">
        <v>494.05200000000002</v>
      </c>
      <c r="JH73">
        <v>22.5473</v>
      </c>
      <c r="JI73">
        <v>32.345199999999998</v>
      </c>
      <c r="JJ73">
        <v>30</v>
      </c>
      <c r="JK73">
        <v>32.440199999999997</v>
      </c>
      <c r="JL73">
        <v>32.4116</v>
      </c>
      <c r="JM73">
        <v>20.293700000000001</v>
      </c>
      <c r="JN73">
        <v>42.591500000000003</v>
      </c>
      <c r="JO73">
        <v>0</v>
      </c>
      <c r="JP73">
        <v>22.543800000000001</v>
      </c>
      <c r="JQ73">
        <v>400</v>
      </c>
      <c r="JR73">
        <v>17.993300000000001</v>
      </c>
      <c r="JS73">
        <v>99.695300000000003</v>
      </c>
      <c r="JT73">
        <v>98.667199999999994</v>
      </c>
    </row>
    <row r="74" spans="1:280" x14ac:dyDescent="0.25">
      <c r="A74">
        <v>58</v>
      </c>
      <c r="B74">
        <v>1674589642</v>
      </c>
      <c r="C74">
        <v>14217</v>
      </c>
      <c r="D74" t="s">
        <v>712</v>
      </c>
      <c r="E74" t="s">
        <v>713</v>
      </c>
      <c r="F74" t="s">
        <v>412</v>
      </c>
      <c r="G74" t="s">
        <v>708</v>
      </c>
      <c r="H74" t="s">
        <v>414</v>
      </c>
      <c r="I74">
        <v>1674589642</v>
      </c>
      <c r="J74">
        <f t="shared" si="46"/>
        <v>5.9032323960882165E-3</v>
      </c>
      <c r="K74">
        <f t="shared" si="47"/>
        <v>5.9032323960882165</v>
      </c>
      <c r="L74">
        <f t="shared" si="48"/>
        <v>46.99856814813031</v>
      </c>
      <c r="M74">
        <f t="shared" si="49"/>
        <v>241.947</v>
      </c>
      <c r="N74">
        <f t="shared" si="50"/>
        <v>85.774464247691469</v>
      </c>
      <c r="O74">
        <f t="shared" si="51"/>
        <v>8.5474719721263277</v>
      </c>
      <c r="P74">
        <f t="shared" si="52"/>
        <v>24.110150023999804</v>
      </c>
      <c r="Q74">
        <f t="shared" si="53"/>
        <v>0.5336217232728423</v>
      </c>
      <c r="R74">
        <f t="shared" si="54"/>
        <v>2.9363040997161658</v>
      </c>
      <c r="S74">
        <f t="shared" si="55"/>
        <v>0.4850189716473568</v>
      </c>
      <c r="T74">
        <f t="shared" si="56"/>
        <v>0.30713387536029368</v>
      </c>
      <c r="U74">
        <f t="shared" si="57"/>
        <v>344.38151281416435</v>
      </c>
      <c r="V74">
        <f t="shared" si="58"/>
        <v>28.51504274677627</v>
      </c>
      <c r="W74">
        <f t="shared" si="59"/>
        <v>27.374600000000001</v>
      </c>
      <c r="X74">
        <f t="shared" si="60"/>
        <v>3.6586657161087612</v>
      </c>
      <c r="Y74">
        <f t="shared" si="61"/>
        <v>65.356462047841092</v>
      </c>
      <c r="Z74">
        <f t="shared" si="62"/>
        <v>2.4831819259302601</v>
      </c>
      <c r="AA74">
        <f t="shared" si="63"/>
        <v>3.7994436175455228</v>
      </c>
      <c r="AB74">
        <f t="shared" si="64"/>
        <v>1.1754837901785011</v>
      </c>
      <c r="AC74">
        <f t="shared" si="65"/>
        <v>-260.33254866749036</v>
      </c>
      <c r="AD74">
        <f t="shared" si="66"/>
        <v>102.2947696043629</v>
      </c>
      <c r="AE74">
        <f t="shared" si="67"/>
        <v>7.5710205504171668</v>
      </c>
      <c r="AF74">
        <f t="shared" si="68"/>
        <v>193.91475430145408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52882.5455904591</v>
      </c>
      <c r="AL74" t="s">
        <v>415</v>
      </c>
      <c r="AM74">
        <v>10297.6</v>
      </c>
      <c r="AN74">
        <v>785.57400000000007</v>
      </c>
      <c r="AO74">
        <v>3597.65</v>
      </c>
      <c r="AP74">
        <f t="shared" si="72"/>
        <v>0.7816424610509638</v>
      </c>
      <c r="AQ74">
        <v>-0.62398835798131469</v>
      </c>
      <c r="AR74" t="s">
        <v>714</v>
      </c>
      <c r="AS74">
        <v>10232.9</v>
      </c>
      <c r="AT74">
        <v>750.51300000000015</v>
      </c>
      <c r="AU74">
        <v>1124.735060772847</v>
      </c>
      <c r="AV74">
        <f t="shared" si="73"/>
        <v>0.33272018791314728</v>
      </c>
      <c r="AW74">
        <v>0.5</v>
      </c>
      <c r="AX74">
        <f t="shared" si="74"/>
        <v>1513.242906407082</v>
      </c>
      <c r="AY74">
        <f t="shared" si="75"/>
        <v>46.99856814813031</v>
      </c>
      <c r="AZ74">
        <f t="shared" si="76"/>
        <v>251.74323208900074</v>
      </c>
      <c r="BA74">
        <f t="shared" si="77"/>
        <v>3.1470530147194059E-2</v>
      </c>
      <c r="BB74">
        <f t="shared" si="78"/>
        <v>2.198664401488402</v>
      </c>
      <c r="BC74">
        <f t="shared" si="79"/>
        <v>530.759193002659</v>
      </c>
      <c r="BD74" t="s">
        <v>715</v>
      </c>
      <c r="BE74">
        <v>560.97</v>
      </c>
      <c r="BF74">
        <f t="shared" si="80"/>
        <v>560.97</v>
      </c>
      <c r="BG74">
        <f t="shared" si="81"/>
        <v>0.5012425418528903</v>
      </c>
      <c r="BH74">
        <f t="shared" si="82"/>
        <v>0.66379080012485725</v>
      </c>
      <c r="BI74">
        <f t="shared" si="83"/>
        <v>0.81434821556013559</v>
      </c>
      <c r="BJ74">
        <f t="shared" si="84"/>
        <v>1.1033756644117882</v>
      </c>
      <c r="BK74">
        <f t="shared" si="85"/>
        <v>0.87939121817018917</v>
      </c>
      <c r="BL74">
        <f t="shared" si="86"/>
        <v>0.49614960053462248</v>
      </c>
      <c r="BM74">
        <f t="shared" si="87"/>
        <v>0.50385039946537757</v>
      </c>
      <c r="BN74">
        <v>115</v>
      </c>
      <c r="BO74">
        <v>290.00000000000011</v>
      </c>
      <c r="BP74">
        <v>1021.13</v>
      </c>
      <c r="BQ74">
        <v>125</v>
      </c>
      <c r="BR74">
        <v>10232.9</v>
      </c>
      <c r="BS74">
        <v>1018.02</v>
      </c>
      <c r="BT74">
        <v>3.11</v>
      </c>
      <c r="BU74">
        <v>300.00000000000011</v>
      </c>
      <c r="BV74">
        <v>24.1</v>
      </c>
      <c r="BW74">
        <v>1124.735060772847</v>
      </c>
      <c r="BX74">
        <v>1.899440132697255</v>
      </c>
      <c r="BY74">
        <v>-109.1971239539992</v>
      </c>
      <c r="BZ74">
        <v>1.7277385940318819</v>
      </c>
      <c r="CA74">
        <v>0.99303921691390973</v>
      </c>
      <c r="CB74">
        <v>-6.9618389321468343E-3</v>
      </c>
      <c r="CC74">
        <v>289.99999999999989</v>
      </c>
      <c r="CD74">
        <v>1013.53</v>
      </c>
      <c r="CE74">
        <v>665</v>
      </c>
      <c r="CF74">
        <v>10193.5</v>
      </c>
      <c r="CG74">
        <v>1017.61</v>
      </c>
      <c r="CH74">
        <v>-4.08</v>
      </c>
      <c r="CV74">
        <f t="shared" si="88"/>
        <v>1800.07</v>
      </c>
      <c r="CW74">
        <f t="shared" si="89"/>
        <v>1513.242906407082</v>
      </c>
      <c r="CX74">
        <f t="shared" si="90"/>
        <v>0.84065781131127237</v>
      </c>
      <c r="CY74">
        <f t="shared" si="91"/>
        <v>0.19131562262254487</v>
      </c>
      <c r="CZ74">
        <v>6</v>
      </c>
      <c r="DA74">
        <v>0.5</v>
      </c>
      <c r="DB74" t="s">
        <v>418</v>
      </c>
      <c r="DC74">
        <v>2</v>
      </c>
      <c r="DD74">
        <v>1674589642</v>
      </c>
      <c r="DE74">
        <v>241.947</v>
      </c>
      <c r="DF74">
        <v>300.05200000000002</v>
      </c>
      <c r="DG74">
        <v>24.918900000000001</v>
      </c>
      <c r="DH74">
        <v>18.0124</v>
      </c>
      <c r="DI74">
        <v>242.75200000000001</v>
      </c>
      <c r="DJ74">
        <v>24.687100000000001</v>
      </c>
      <c r="DK74">
        <v>500.06200000000001</v>
      </c>
      <c r="DL74">
        <v>99.551299999999998</v>
      </c>
      <c r="DM74">
        <v>9.9243399999999996E-2</v>
      </c>
      <c r="DN74">
        <v>28.020800000000001</v>
      </c>
      <c r="DO74">
        <v>27.374600000000001</v>
      </c>
      <c r="DP74">
        <v>999.9</v>
      </c>
      <c r="DQ74">
        <v>0</v>
      </c>
      <c r="DR74">
        <v>0</v>
      </c>
      <c r="DS74">
        <v>10083.799999999999</v>
      </c>
      <c r="DT74">
        <v>0</v>
      </c>
      <c r="DU74">
        <v>390.834</v>
      </c>
      <c r="DV74">
        <v>-58.105400000000003</v>
      </c>
      <c r="DW74">
        <v>248.13</v>
      </c>
      <c r="DX74">
        <v>305.55599999999998</v>
      </c>
      <c r="DY74">
        <v>6.9064199999999998</v>
      </c>
      <c r="DZ74">
        <v>300.05200000000002</v>
      </c>
      <c r="EA74">
        <v>18.0124</v>
      </c>
      <c r="EB74">
        <v>2.4807000000000001</v>
      </c>
      <c r="EC74">
        <v>1.7931600000000001</v>
      </c>
      <c r="ED74">
        <v>20.900500000000001</v>
      </c>
      <c r="EE74">
        <v>15.7273</v>
      </c>
      <c r="EF74">
        <v>1800.07</v>
      </c>
      <c r="EG74">
        <v>0.97800900000000002</v>
      </c>
      <c r="EH74">
        <v>2.1990699999999998E-2</v>
      </c>
      <c r="EI74">
        <v>0</v>
      </c>
      <c r="EJ74">
        <v>750.24</v>
      </c>
      <c r="EK74">
        <v>5.0002599999999999</v>
      </c>
      <c r="EL74">
        <v>13851.6</v>
      </c>
      <c r="EM74">
        <v>17104.099999999999</v>
      </c>
      <c r="EN74">
        <v>49.875</v>
      </c>
      <c r="EO74">
        <v>51.186999999999998</v>
      </c>
      <c r="EP74">
        <v>50.875</v>
      </c>
      <c r="EQ74">
        <v>50.5</v>
      </c>
      <c r="ER74">
        <v>51.125</v>
      </c>
      <c r="ES74">
        <v>1755.59</v>
      </c>
      <c r="ET74">
        <v>39.47</v>
      </c>
      <c r="EU74">
        <v>0</v>
      </c>
      <c r="EV74">
        <v>113.6000001430511</v>
      </c>
      <c r="EW74">
        <v>0</v>
      </c>
      <c r="EX74">
        <v>750.51300000000015</v>
      </c>
      <c r="EY74">
        <v>-2.636717956027824</v>
      </c>
      <c r="EZ74">
        <v>-3.258119578313655</v>
      </c>
      <c r="FA74">
        <v>13847.288461538459</v>
      </c>
      <c r="FB74">
        <v>15</v>
      </c>
      <c r="FC74">
        <v>1674589602</v>
      </c>
      <c r="FD74" t="s">
        <v>716</v>
      </c>
      <c r="FE74">
        <v>1674589600.5</v>
      </c>
      <c r="FF74">
        <v>1674589602</v>
      </c>
      <c r="FG74">
        <v>66</v>
      </c>
      <c r="FH74">
        <v>3.3000000000000002E-2</v>
      </c>
      <c r="FI74">
        <v>-1E-3</v>
      </c>
      <c r="FJ74">
        <v>-0.80100000000000005</v>
      </c>
      <c r="FK74">
        <v>6.4000000000000001E-2</v>
      </c>
      <c r="FL74">
        <v>300</v>
      </c>
      <c r="FM74">
        <v>18</v>
      </c>
      <c r="FN74">
        <v>0.05</v>
      </c>
      <c r="FO74">
        <v>0.01</v>
      </c>
      <c r="FP74">
        <v>46.924686147864072</v>
      </c>
      <c r="FQ74">
        <v>-8.3550038053492273E-2</v>
      </c>
      <c r="FR74">
        <v>3.9718058905506032E-2</v>
      </c>
      <c r="FS74">
        <v>1</v>
      </c>
      <c r="FT74">
        <v>0.5349828827720885</v>
      </c>
      <c r="FU74">
        <v>3.1792089385672351E-2</v>
      </c>
      <c r="FV74">
        <v>4.4765830583318794E-3</v>
      </c>
      <c r="FW74">
        <v>1</v>
      </c>
      <c r="FX74">
        <v>2</v>
      </c>
      <c r="FY74">
        <v>2</v>
      </c>
      <c r="FZ74" t="s">
        <v>420</v>
      </c>
      <c r="GA74">
        <v>2.9283999999999999</v>
      </c>
      <c r="GB74">
        <v>2.8069099999999998</v>
      </c>
      <c r="GC74">
        <v>6.4955700000000005E-2</v>
      </c>
      <c r="GD74">
        <v>7.8748700000000005E-2</v>
      </c>
      <c r="GE74">
        <v>0.11493100000000001</v>
      </c>
      <c r="GF74">
        <v>9.2947000000000002E-2</v>
      </c>
      <c r="GG74">
        <v>27795</v>
      </c>
      <c r="GH74">
        <v>27765.599999999999</v>
      </c>
      <c r="GI74">
        <v>28235.3</v>
      </c>
      <c r="GJ74">
        <v>27159.1</v>
      </c>
      <c r="GK74">
        <v>35874.5</v>
      </c>
      <c r="GL74">
        <v>32525.1</v>
      </c>
      <c r="GM74">
        <v>42045.1</v>
      </c>
      <c r="GN74">
        <v>36844.199999999997</v>
      </c>
      <c r="GO74">
        <v>1.92875</v>
      </c>
      <c r="GP74">
        <v>1.88317</v>
      </c>
      <c r="GQ74">
        <v>4.7054100000000001E-2</v>
      </c>
      <c r="GR74">
        <v>0</v>
      </c>
      <c r="GS74">
        <v>26.6051</v>
      </c>
      <c r="GT74">
        <v>999.9</v>
      </c>
      <c r="GU74">
        <v>49</v>
      </c>
      <c r="GV74">
        <v>35.200000000000003</v>
      </c>
      <c r="GW74">
        <v>28.110700000000001</v>
      </c>
      <c r="GX74">
        <v>61.319200000000002</v>
      </c>
      <c r="GY74">
        <v>27.1875</v>
      </c>
      <c r="GZ74">
        <v>1</v>
      </c>
      <c r="HA74">
        <v>0.41549799999999998</v>
      </c>
      <c r="HB74">
        <v>3.3961600000000001</v>
      </c>
      <c r="HC74">
        <v>20.312799999999999</v>
      </c>
      <c r="HD74">
        <v>5.2409499999999998</v>
      </c>
      <c r="HE74">
        <v>11.9381</v>
      </c>
      <c r="HF74">
        <v>4.9737499999999999</v>
      </c>
      <c r="HG74">
        <v>3.2989999999999999</v>
      </c>
      <c r="HH74">
        <v>9999</v>
      </c>
      <c r="HI74">
        <v>9999</v>
      </c>
      <c r="HJ74">
        <v>9999</v>
      </c>
      <c r="HK74">
        <v>999.9</v>
      </c>
      <c r="HL74">
        <v>1.8734200000000001</v>
      </c>
      <c r="HM74">
        <v>1.8811</v>
      </c>
      <c r="HN74">
        <v>1.8846099999999999</v>
      </c>
      <c r="HO74">
        <v>1.8813200000000001</v>
      </c>
      <c r="HP74">
        <v>1.87866</v>
      </c>
      <c r="HQ74">
        <v>1.8734299999999999</v>
      </c>
      <c r="HR74">
        <v>1.87622</v>
      </c>
      <c r="HS74">
        <v>1.88049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-0.80500000000000005</v>
      </c>
      <c r="IH74">
        <v>0.23180000000000001</v>
      </c>
      <c r="II74">
        <v>-0.93380562767447151</v>
      </c>
      <c r="IJ74">
        <v>9.4905977090923709E-4</v>
      </c>
      <c r="IK74">
        <v>-1.9106666302146479E-6</v>
      </c>
      <c r="IL74">
        <v>7.5819610513223293E-10</v>
      </c>
      <c r="IM74">
        <v>-6.7031167601890929E-2</v>
      </c>
      <c r="IN74">
        <v>-1.0595840490420019E-2</v>
      </c>
      <c r="IO74">
        <v>1.2407080968752471E-3</v>
      </c>
      <c r="IP74">
        <v>-1.3015442653884381E-5</v>
      </c>
      <c r="IQ74">
        <v>33</v>
      </c>
      <c r="IR74">
        <v>2014</v>
      </c>
      <c r="IS74">
        <v>1</v>
      </c>
      <c r="IT74">
        <v>26</v>
      </c>
      <c r="IU74">
        <v>0.7</v>
      </c>
      <c r="IV74">
        <v>0.7</v>
      </c>
      <c r="IW74">
        <v>0.80322300000000002</v>
      </c>
      <c r="IX74">
        <v>2.5158700000000001</v>
      </c>
      <c r="IY74">
        <v>1.5991200000000001</v>
      </c>
      <c r="IZ74">
        <v>2.2997999999999998</v>
      </c>
      <c r="JA74">
        <v>1.5502899999999999</v>
      </c>
      <c r="JB74">
        <v>2.3315399999999999</v>
      </c>
      <c r="JC74">
        <v>38.599499999999999</v>
      </c>
      <c r="JD74">
        <v>24.061199999999999</v>
      </c>
      <c r="JE74">
        <v>18</v>
      </c>
      <c r="JF74">
        <v>488.84100000000001</v>
      </c>
      <c r="JG74">
        <v>493.43799999999999</v>
      </c>
      <c r="JH74">
        <v>22.521899999999999</v>
      </c>
      <c r="JI74">
        <v>32.3996</v>
      </c>
      <c r="JJ74">
        <v>30.0002</v>
      </c>
      <c r="JK74">
        <v>32.473700000000001</v>
      </c>
      <c r="JL74">
        <v>32.437100000000001</v>
      </c>
      <c r="JM74">
        <v>16.133299999999998</v>
      </c>
      <c r="JN74">
        <v>42.860799999999998</v>
      </c>
      <c r="JO74">
        <v>0</v>
      </c>
      <c r="JP74">
        <v>22.5199</v>
      </c>
      <c r="JQ74">
        <v>300</v>
      </c>
      <c r="JR74">
        <v>17.9391</v>
      </c>
      <c r="JS74">
        <v>99.6828</v>
      </c>
      <c r="JT74">
        <v>98.657300000000006</v>
      </c>
    </row>
    <row r="75" spans="1:280" x14ac:dyDescent="0.25">
      <c r="A75">
        <v>59</v>
      </c>
      <c r="B75">
        <v>1674589765.5</v>
      </c>
      <c r="C75">
        <v>14340.5</v>
      </c>
      <c r="D75" t="s">
        <v>717</v>
      </c>
      <c r="E75" t="s">
        <v>718</v>
      </c>
      <c r="F75" t="s">
        <v>412</v>
      </c>
      <c r="G75" t="s">
        <v>708</v>
      </c>
      <c r="H75" t="s">
        <v>414</v>
      </c>
      <c r="I75">
        <v>1674589765.5</v>
      </c>
      <c r="J75">
        <f t="shared" si="46"/>
        <v>6.2267596408049075E-3</v>
      </c>
      <c r="K75">
        <f t="shared" si="47"/>
        <v>6.2267596408049073</v>
      </c>
      <c r="L75">
        <f t="shared" si="48"/>
        <v>33.253900702239342</v>
      </c>
      <c r="M75">
        <f t="shared" si="49"/>
        <v>158.90899999999999</v>
      </c>
      <c r="N75">
        <f t="shared" si="50"/>
        <v>55.395562540099633</v>
      </c>
      <c r="O75">
        <f t="shared" si="51"/>
        <v>5.5203188542013066</v>
      </c>
      <c r="P75">
        <f t="shared" si="52"/>
        <v>15.835715147170299</v>
      </c>
      <c r="Q75">
        <f t="shared" si="53"/>
        <v>0.5728637647627205</v>
      </c>
      <c r="R75">
        <f t="shared" si="54"/>
        <v>2.9226771368807638</v>
      </c>
      <c r="S75">
        <f t="shared" si="55"/>
        <v>0.5170157643592147</v>
      </c>
      <c r="T75">
        <f t="shared" si="56"/>
        <v>0.32769766935633277</v>
      </c>
      <c r="U75">
        <f t="shared" si="57"/>
        <v>344.36819965792671</v>
      </c>
      <c r="V75">
        <f t="shared" si="58"/>
        <v>28.41684997607889</v>
      </c>
      <c r="W75">
        <f t="shared" si="59"/>
        <v>27.352399999999999</v>
      </c>
      <c r="X75">
        <f t="shared" si="60"/>
        <v>3.6539113322837702</v>
      </c>
      <c r="Y75">
        <f t="shared" si="61"/>
        <v>65.616299283894335</v>
      </c>
      <c r="Z75">
        <f t="shared" si="62"/>
        <v>2.4907302164124698</v>
      </c>
      <c r="AA75">
        <f t="shared" si="63"/>
        <v>3.7959016945410462</v>
      </c>
      <c r="AB75">
        <f t="shared" si="64"/>
        <v>1.1631811158713004</v>
      </c>
      <c r="AC75">
        <f t="shared" si="65"/>
        <v>-274.60010015949644</v>
      </c>
      <c r="AD75">
        <f t="shared" si="66"/>
        <v>102.79695205981368</v>
      </c>
      <c r="AE75">
        <f t="shared" si="67"/>
        <v>7.6422048185767872</v>
      </c>
      <c r="AF75">
        <f t="shared" si="68"/>
        <v>180.20725637682074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52493.264671441779</v>
      </c>
      <c r="AL75" t="s">
        <v>415</v>
      </c>
      <c r="AM75">
        <v>10297.6</v>
      </c>
      <c r="AN75">
        <v>785.57400000000007</v>
      </c>
      <c r="AO75">
        <v>3597.65</v>
      </c>
      <c r="AP75">
        <f t="shared" si="72"/>
        <v>0.7816424610509638</v>
      </c>
      <c r="AQ75">
        <v>-0.62398835798131469</v>
      </c>
      <c r="AR75" t="s">
        <v>719</v>
      </c>
      <c r="AS75">
        <v>10223.299999999999</v>
      </c>
      <c r="AT75">
        <v>749.75651999999991</v>
      </c>
      <c r="AU75">
        <v>1018.9703031690231</v>
      </c>
      <c r="AV75">
        <f t="shared" si="73"/>
        <v>0.26420179501969931</v>
      </c>
      <c r="AW75">
        <v>0.5</v>
      </c>
      <c r="AX75">
        <f t="shared" si="74"/>
        <v>1513.1840998289631</v>
      </c>
      <c r="AY75">
        <f t="shared" si="75"/>
        <v>33.253900702239342</v>
      </c>
      <c r="AZ75">
        <f t="shared" si="76"/>
        <v>199.89297768503997</v>
      </c>
      <c r="BA75">
        <f t="shared" si="77"/>
        <v>2.2388478086737704E-2</v>
      </c>
      <c r="BB75">
        <f t="shared" si="78"/>
        <v>2.5306720802473035</v>
      </c>
      <c r="BC75">
        <f t="shared" si="79"/>
        <v>505.97603256681691</v>
      </c>
      <c r="BD75" t="s">
        <v>720</v>
      </c>
      <c r="BE75">
        <v>549</v>
      </c>
      <c r="BF75">
        <f t="shared" si="80"/>
        <v>549</v>
      </c>
      <c r="BG75">
        <f t="shared" si="81"/>
        <v>0.46122080467644999</v>
      </c>
      <c r="BH75">
        <f t="shared" si="82"/>
        <v>0.57283147755019193</v>
      </c>
      <c r="BI75">
        <f t="shared" si="83"/>
        <v>0.84584314264706584</v>
      </c>
      <c r="BJ75">
        <f t="shared" si="84"/>
        <v>1.1534620707940757</v>
      </c>
      <c r="BK75">
        <f t="shared" si="85"/>
        <v>0.91700213537293351</v>
      </c>
      <c r="BL75">
        <f t="shared" si="86"/>
        <v>0.4194488114288828</v>
      </c>
      <c r="BM75">
        <f t="shared" si="87"/>
        <v>0.5805511885711172</v>
      </c>
      <c r="BN75">
        <v>117</v>
      </c>
      <c r="BO75">
        <v>290.00000000000011</v>
      </c>
      <c r="BP75">
        <v>945.37</v>
      </c>
      <c r="BQ75">
        <v>175</v>
      </c>
      <c r="BR75">
        <v>10223.299999999999</v>
      </c>
      <c r="BS75">
        <v>942.99</v>
      </c>
      <c r="BT75">
        <v>2.38</v>
      </c>
      <c r="BU75">
        <v>300.00000000000011</v>
      </c>
      <c r="BV75">
        <v>24.1</v>
      </c>
      <c r="BW75">
        <v>1018.9703031690231</v>
      </c>
      <c r="BX75">
        <v>2.359280671095815</v>
      </c>
      <c r="BY75">
        <v>-77.676369586830432</v>
      </c>
      <c r="BZ75">
        <v>2.1457834792251842</v>
      </c>
      <c r="CA75">
        <v>0.97907959978043302</v>
      </c>
      <c r="CB75">
        <v>-6.9610097886540646E-3</v>
      </c>
      <c r="CC75">
        <v>289.99999999999989</v>
      </c>
      <c r="CD75">
        <v>940.49</v>
      </c>
      <c r="CE75">
        <v>725</v>
      </c>
      <c r="CF75">
        <v>10188.799999999999</v>
      </c>
      <c r="CG75">
        <v>942.73</v>
      </c>
      <c r="CH75">
        <v>-2.2400000000000002</v>
      </c>
      <c r="CV75">
        <f t="shared" si="88"/>
        <v>1800</v>
      </c>
      <c r="CW75">
        <f t="shared" si="89"/>
        <v>1513.1840998289631</v>
      </c>
      <c r="CX75">
        <f t="shared" si="90"/>
        <v>0.84065783323831289</v>
      </c>
      <c r="CY75">
        <f t="shared" si="91"/>
        <v>0.19131566647662596</v>
      </c>
      <c r="CZ75">
        <v>6</v>
      </c>
      <c r="DA75">
        <v>0.5</v>
      </c>
      <c r="DB75" t="s">
        <v>418</v>
      </c>
      <c r="DC75">
        <v>2</v>
      </c>
      <c r="DD75">
        <v>1674589765.5</v>
      </c>
      <c r="DE75">
        <v>158.90899999999999</v>
      </c>
      <c r="DF75">
        <v>199.994</v>
      </c>
      <c r="DG75">
        <v>24.9941</v>
      </c>
      <c r="DH75">
        <v>17.71</v>
      </c>
      <c r="DI75">
        <v>159.858</v>
      </c>
      <c r="DJ75">
        <v>24.761700000000001</v>
      </c>
      <c r="DK75">
        <v>500.08600000000001</v>
      </c>
      <c r="DL75">
        <v>99.552999999999997</v>
      </c>
      <c r="DM75">
        <v>9.9726700000000001E-2</v>
      </c>
      <c r="DN75">
        <v>28.004799999999999</v>
      </c>
      <c r="DO75">
        <v>27.352399999999999</v>
      </c>
      <c r="DP75">
        <v>999.9</v>
      </c>
      <c r="DQ75">
        <v>0</v>
      </c>
      <c r="DR75">
        <v>0</v>
      </c>
      <c r="DS75">
        <v>10005.6</v>
      </c>
      <c r="DT75">
        <v>0</v>
      </c>
      <c r="DU75">
        <v>414.87099999999998</v>
      </c>
      <c r="DV75">
        <v>-41.084600000000002</v>
      </c>
      <c r="DW75">
        <v>162.983</v>
      </c>
      <c r="DX75">
        <v>203.6</v>
      </c>
      <c r="DY75">
        <v>7.2840699999999998</v>
      </c>
      <c r="DZ75">
        <v>199.994</v>
      </c>
      <c r="EA75">
        <v>17.71</v>
      </c>
      <c r="EB75">
        <v>2.4882300000000002</v>
      </c>
      <c r="EC75">
        <v>1.76308</v>
      </c>
      <c r="ED75">
        <v>20.9497</v>
      </c>
      <c r="EE75">
        <v>15.4633</v>
      </c>
      <c r="EF75">
        <v>1800</v>
      </c>
      <c r="EG75">
        <v>0.97800900000000002</v>
      </c>
      <c r="EH75">
        <v>2.1990699999999998E-2</v>
      </c>
      <c r="EI75">
        <v>0</v>
      </c>
      <c r="EJ75">
        <v>749.19399999999996</v>
      </c>
      <c r="EK75">
        <v>5.0002599999999999</v>
      </c>
      <c r="EL75">
        <v>13861.2</v>
      </c>
      <c r="EM75">
        <v>17103.5</v>
      </c>
      <c r="EN75">
        <v>50</v>
      </c>
      <c r="EO75">
        <v>51.25</v>
      </c>
      <c r="EP75">
        <v>50.936999999999998</v>
      </c>
      <c r="EQ75">
        <v>50.625</v>
      </c>
      <c r="ER75">
        <v>51.186999999999998</v>
      </c>
      <c r="ES75">
        <v>1755.53</v>
      </c>
      <c r="ET75">
        <v>39.47</v>
      </c>
      <c r="EU75">
        <v>0</v>
      </c>
      <c r="EV75">
        <v>121.4000000953674</v>
      </c>
      <c r="EW75">
        <v>0</v>
      </c>
      <c r="EX75">
        <v>749.75651999999991</v>
      </c>
      <c r="EY75">
        <v>-5.3970769186516527</v>
      </c>
      <c r="EZ75">
        <v>-81.492307585084092</v>
      </c>
      <c r="FA75">
        <v>13868.66</v>
      </c>
      <c r="FB75">
        <v>15</v>
      </c>
      <c r="FC75">
        <v>1674589727</v>
      </c>
      <c r="FD75" t="s">
        <v>721</v>
      </c>
      <c r="FE75">
        <v>1674589714.5</v>
      </c>
      <c r="FF75">
        <v>1674589727</v>
      </c>
      <c r="FG75">
        <v>67</v>
      </c>
      <c r="FH75">
        <v>-0.121</v>
      </c>
      <c r="FI75">
        <v>-1E-3</v>
      </c>
      <c r="FJ75">
        <v>-0.93500000000000005</v>
      </c>
      <c r="FK75">
        <v>6.4000000000000001E-2</v>
      </c>
      <c r="FL75">
        <v>200</v>
      </c>
      <c r="FM75">
        <v>18</v>
      </c>
      <c r="FN75">
        <v>0.05</v>
      </c>
      <c r="FO75">
        <v>0.02</v>
      </c>
      <c r="FP75">
        <v>33.276827241856402</v>
      </c>
      <c r="FQ75">
        <v>0.1007780939780501</v>
      </c>
      <c r="FR75">
        <v>4.2135137693263783E-2</v>
      </c>
      <c r="FS75">
        <v>1</v>
      </c>
      <c r="FT75">
        <v>0.56890998683561478</v>
      </c>
      <c r="FU75">
        <v>3.830064255423124E-2</v>
      </c>
      <c r="FV75">
        <v>5.1961368281682784E-3</v>
      </c>
      <c r="FW75">
        <v>1</v>
      </c>
      <c r="FX75">
        <v>2</v>
      </c>
      <c r="FY75">
        <v>2</v>
      </c>
      <c r="FZ75" t="s">
        <v>420</v>
      </c>
      <c r="GA75">
        <v>2.9283299999999999</v>
      </c>
      <c r="GB75">
        <v>2.8067000000000002</v>
      </c>
      <c r="GC75">
        <v>4.4572599999999997E-2</v>
      </c>
      <c r="GD75">
        <v>5.5490499999999998E-2</v>
      </c>
      <c r="GE75">
        <v>0.115162</v>
      </c>
      <c r="GF75">
        <v>9.1819700000000004E-2</v>
      </c>
      <c r="GG75">
        <v>28397.7</v>
      </c>
      <c r="GH75">
        <v>28463.599999999999</v>
      </c>
      <c r="GI75">
        <v>28232.2</v>
      </c>
      <c r="GJ75">
        <v>27156.2</v>
      </c>
      <c r="GK75">
        <v>35861.599999999999</v>
      </c>
      <c r="GL75">
        <v>32562.3</v>
      </c>
      <c r="GM75">
        <v>42041.1</v>
      </c>
      <c r="GN75">
        <v>36840.800000000003</v>
      </c>
      <c r="GO75">
        <v>1.9283999999999999</v>
      </c>
      <c r="GP75">
        <v>1.8815</v>
      </c>
      <c r="GQ75">
        <v>4.3384699999999998E-2</v>
      </c>
      <c r="GR75">
        <v>0</v>
      </c>
      <c r="GS75">
        <v>26.642900000000001</v>
      </c>
      <c r="GT75">
        <v>999.9</v>
      </c>
      <c r="GU75">
        <v>49.2</v>
      </c>
      <c r="GV75">
        <v>35.200000000000003</v>
      </c>
      <c r="GW75">
        <v>28.226400000000002</v>
      </c>
      <c r="GX75">
        <v>61.2592</v>
      </c>
      <c r="GY75">
        <v>27.195499999999999</v>
      </c>
      <c r="GZ75">
        <v>1</v>
      </c>
      <c r="HA75">
        <v>0.42092200000000002</v>
      </c>
      <c r="HB75">
        <v>3.3666800000000001</v>
      </c>
      <c r="HC75">
        <v>20.313600000000001</v>
      </c>
      <c r="HD75">
        <v>5.24125</v>
      </c>
      <c r="HE75">
        <v>11.9381</v>
      </c>
      <c r="HF75">
        <v>4.9737</v>
      </c>
      <c r="HG75">
        <v>3.2989999999999999</v>
      </c>
      <c r="HH75">
        <v>9999</v>
      </c>
      <c r="HI75">
        <v>9999</v>
      </c>
      <c r="HJ75">
        <v>9999</v>
      </c>
      <c r="HK75">
        <v>999.9</v>
      </c>
      <c r="HL75">
        <v>1.8734200000000001</v>
      </c>
      <c r="HM75">
        <v>1.8811</v>
      </c>
      <c r="HN75">
        <v>1.8846099999999999</v>
      </c>
      <c r="HO75">
        <v>1.8812899999999999</v>
      </c>
      <c r="HP75">
        <v>1.87866</v>
      </c>
      <c r="HQ75">
        <v>1.8734299999999999</v>
      </c>
      <c r="HR75">
        <v>1.87622</v>
      </c>
      <c r="HS75">
        <v>1.8804799999999999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-0.94899999999999995</v>
      </c>
      <c r="IH75">
        <v>0.2324</v>
      </c>
      <c r="II75">
        <v>-1.054741102980556</v>
      </c>
      <c r="IJ75">
        <v>9.4905977090923709E-4</v>
      </c>
      <c r="IK75">
        <v>-1.9106666302146479E-6</v>
      </c>
      <c r="IL75">
        <v>7.5819610513223293E-10</v>
      </c>
      <c r="IM75">
        <v>-6.8362846455947757E-2</v>
      </c>
      <c r="IN75">
        <v>-1.0595840490420019E-2</v>
      </c>
      <c r="IO75">
        <v>1.2407080968752471E-3</v>
      </c>
      <c r="IP75">
        <v>-1.3015442653884381E-5</v>
      </c>
      <c r="IQ75">
        <v>33</v>
      </c>
      <c r="IR75">
        <v>2014</v>
      </c>
      <c r="IS75">
        <v>1</v>
      </c>
      <c r="IT75">
        <v>26</v>
      </c>
      <c r="IU75">
        <v>0.8</v>
      </c>
      <c r="IV75">
        <v>0.6</v>
      </c>
      <c r="IW75">
        <v>0.58593799999999996</v>
      </c>
      <c r="IX75">
        <v>2.5366200000000001</v>
      </c>
      <c r="IY75">
        <v>1.5991200000000001</v>
      </c>
      <c r="IZ75">
        <v>2.2997999999999998</v>
      </c>
      <c r="JA75">
        <v>1.5502899999999999</v>
      </c>
      <c r="JB75">
        <v>2.2827099999999998</v>
      </c>
      <c r="JC75">
        <v>38.624099999999999</v>
      </c>
      <c r="JD75">
        <v>24.052499999999998</v>
      </c>
      <c r="JE75">
        <v>18</v>
      </c>
      <c r="JF75">
        <v>489.029</v>
      </c>
      <c r="JG75">
        <v>492.64299999999997</v>
      </c>
      <c r="JH75">
        <v>22.479700000000001</v>
      </c>
      <c r="JI75">
        <v>32.4711</v>
      </c>
      <c r="JJ75">
        <v>30.0001</v>
      </c>
      <c r="JK75">
        <v>32.5261</v>
      </c>
      <c r="JL75">
        <v>32.482999999999997</v>
      </c>
      <c r="JM75">
        <v>11.774900000000001</v>
      </c>
      <c r="JN75">
        <v>43.988799999999998</v>
      </c>
      <c r="JO75">
        <v>0</v>
      </c>
      <c r="JP75">
        <v>22.471599999999999</v>
      </c>
      <c r="JQ75">
        <v>200</v>
      </c>
      <c r="JR75">
        <v>17.646999999999998</v>
      </c>
      <c r="JS75">
        <v>99.672799999999995</v>
      </c>
      <c r="JT75">
        <v>98.647499999999994</v>
      </c>
    </row>
    <row r="76" spans="1:280" x14ac:dyDescent="0.25">
      <c r="A76">
        <v>60</v>
      </c>
      <c r="B76">
        <v>1674589899.5</v>
      </c>
      <c r="C76">
        <v>14474.5</v>
      </c>
      <c r="D76" t="s">
        <v>722</v>
      </c>
      <c r="E76" t="s">
        <v>723</v>
      </c>
      <c r="F76" t="s">
        <v>412</v>
      </c>
      <c r="G76" t="s">
        <v>708</v>
      </c>
      <c r="H76" t="s">
        <v>414</v>
      </c>
      <c r="I76">
        <v>1674589899.5</v>
      </c>
      <c r="J76">
        <f t="shared" si="46"/>
        <v>6.5243398302241165E-3</v>
      </c>
      <c r="K76">
        <f t="shared" si="47"/>
        <v>6.5243398302241165</v>
      </c>
      <c r="L76">
        <f t="shared" si="48"/>
        <v>20.598236892450608</v>
      </c>
      <c r="M76">
        <f t="shared" si="49"/>
        <v>94.54</v>
      </c>
      <c r="N76">
        <f t="shared" si="50"/>
        <v>33.509947250592063</v>
      </c>
      <c r="O76">
        <f t="shared" si="51"/>
        <v>3.3393665052836727</v>
      </c>
      <c r="P76">
        <f t="shared" si="52"/>
        <v>9.421193863680001</v>
      </c>
      <c r="Q76">
        <f t="shared" si="53"/>
        <v>0.60484448680825487</v>
      </c>
      <c r="R76">
        <f t="shared" si="54"/>
        <v>2.9208150881538963</v>
      </c>
      <c r="S76">
        <f t="shared" si="55"/>
        <v>0.54291169648381576</v>
      </c>
      <c r="T76">
        <f t="shared" si="56"/>
        <v>0.34435424239752205</v>
      </c>
      <c r="U76">
        <f t="shared" si="57"/>
        <v>344.38959965759904</v>
      </c>
      <c r="V76">
        <f t="shared" si="58"/>
        <v>28.330470984729956</v>
      </c>
      <c r="W76">
        <f t="shared" si="59"/>
        <v>27.3293</v>
      </c>
      <c r="X76">
        <f t="shared" si="60"/>
        <v>3.6489699284809878</v>
      </c>
      <c r="Y76">
        <f t="shared" si="61"/>
        <v>65.587058837933824</v>
      </c>
      <c r="Z76">
        <f t="shared" si="62"/>
        <v>2.488285383744</v>
      </c>
      <c r="AA76">
        <f t="shared" si="63"/>
        <v>3.7938663935099979</v>
      </c>
      <c r="AB76">
        <f t="shared" si="64"/>
        <v>1.1606845447369878</v>
      </c>
      <c r="AC76">
        <f t="shared" si="65"/>
        <v>-287.72338651288356</v>
      </c>
      <c r="AD76">
        <f t="shared" si="66"/>
        <v>104.92025079458992</v>
      </c>
      <c r="AE76">
        <f t="shared" si="67"/>
        <v>7.8037720282317036</v>
      </c>
      <c r="AF76">
        <f t="shared" si="68"/>
        <v>169.39023596753711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52441.370007243531</v>
      </c>
      <c r="AL76" t="s">
        <v>415</v>
      </c>
      <c r="AM76">
        <v>10297.6</v>
      </c>
      <c r="AN76">
        <v>785.57400000000007</v>
      </c>
      <c r="AO76">
        <v>3597.65</v>
      </c>
      <c r="AP76">
        <f t="shared" si="72"/>
        <v>0.7816424610509638</v>
      </c>
      <c r="AQ76">
        <v>-0.62398835798131469</v>
      </c>
      <c r="AR76" t="s">
        <v>724</v>
      </c>
      <c r="AS76">
        <v>10214.299999999999</v>
      </c>
      <c r="AT76">
        <v>770.05496153846173</v>
      </c>
      <c r="AU76">
        <v>934.42139220692798</v>
      </c>
      <c r="AV76">
        <f t="shared" si="73"/>
        <v>0.17590182763288797</v>
      </c>
      <c r="AW76">
        <v>0.5</v>
      </c>
      <c r="AX76">
        <f t="shared" si="74"/>
        <v>1513.2692998287994</v>
      </c>
      <c r="AY76">
        <f t="shared" si="75"/>
        <v>20.598236892450608</v>
      </c>
      <c r="AZ76">
        <f t="shared" si="76"/>
        <v>133.09341777031327</v>
      </c>
      <c r="BA76">
        <f t="shared" si="77"/>
        <v>1.402409026128585E-2</v>
      </c>
      <c r="BB76">
        <f t="shared" si="78"/>
        <v>2.8501365979036781</v>
      </c>
      <c r="BC76">
        <f t="shared" si="79"/>
        <v>484.22015883062454</v>
      </c>
      <c r="BD76" t="s">
        <v>725</v>
      </c>
      <c r="BE76">
        <v>548.69000000000005</v>
      </c>
      <c r="BF76">
        <f t="shared" si="80"/>
        <v>548.69000000000005</v>
      </c>
      <c r="BG76">
        <f t="shared" si="81"/>
        <v>0.41280239881484604</v>
      </c>
      <c r="BH76">
        <f t="shared" si="82"/>
        <v>0.42611629229360437</v>
      </c>
      <c r="BI76">
        <f t="shared" si="83"/>
        <v>0.87348755240904175</v>
      </c>
      <c r="BJ76">
        <f t="shared" si="84"/>
        <v>1.1042614064743825</v>
      </c>
      <c r="BK76">
        <f t="shared" si="85"/>
        <v>0.94706850305364154</v>
      </c>
      <c r="BL76">
        <f t="shared" si="86"/>
        <v>0.30362215698405048</v>
      </c>
      <c r="BM76">
        <f t="shared" si="87"/>
        <v>0.69637784301594952</v>
      </c>
      <c r="BN76">
        <v>119</v>
      </c>
      <c r="BO76">
        <v>290.00000000000011</v>
      </c>
      <c r="BP76">
        <v>895.81</v>
      </c>
      <c r="BQ76">
        <v>235</v>
      </c>
      <c r="BR76">
        <v>10214.299999999999</v>
      </c>
      <c r="BS76">
        <v>895.11</v>
      </c>
      <c r="BT76">
        <v>0.7</v>
      </c>
      <c r="BU76">
        <v>300.00000000000011</v>
      </c>
      <c r="BV76">
        <v>24.1</v>
      </c>
      <c r="BW76">
        <v>934.42139220692798</v>
      </c>
      <c r="BX76">
        <v>1.6597084632563861</v>
      </c>
      <c r="BY76">
        <v>-40.149800590432243</v>
      </c>
      <c r="BZ76">
        <v>1.50948008347304</v>
      </c>
      <c r="CA76">
        <v>0.96192944237009004</v>
      </c>
      <c r="CB76">
        <v>-6.9605915461624047E-3</v>
      </c>
      <c r="CC76">
        <v>289.99999999999989</v>
      </c>
      <c r="CD76">
        <v>894.11</v>
      </c>
      <c r="CE76">
        <v>645</v>
      </c>
      <c r="CF76">
        <v>10193.4</v>
      </c>
      <c r="CG76">
        <v>895.03</v>
      </c>
      <c r="CH76">
        <v>-0.92</v>
      </c>
      <c r="CV76">
        <f t="shared" si="88"/>
        <v>1800.1</v>
      </c>
      <c r="CW76">
        <f t="shared" si="89"/>
        <v>1513.2692998287994</v>
      </c>
      <c r="CX76">
        <f t="shared" si="90"/>
        <v>0.84065846332359284</v>
      </c>
      <c r="CY76">
        <f t="shared" si="91"/>
        <v>0.19131692664718575</v>
      </c>
      <c r="CZ76">
        <v>6</v>
      </c>
      <c r="DA76">
        <v>0.5</v>
      </c>
      <c r="DB76" t="s">
        <v>418</v>
      </c>
      <c r="DC76">
        <v>2</v>
      </c>
      <c r="DD76">
        <v>1674589899.5</v>
      </c>
      <c r="DE76">
        <v>94.54</v>
      </c>
      <c r="DF76">
        <v>119.992</v>
      </c>
      <c r="DG76">
        <v>24.9695</v>
      </c>
      <c r="DH76">
        <v>17.337599999999998</v>
      </c>
      <c r="DI76">
        <v>95.409099999999995</v>
      </c>
      <c r="DJ76">
        <v>24.7394</v>
      </c>
      <c r="DK76">
        <v>500.11900000000003</v>
      </c>
      <c r="DL76">
        <v>99.552700000000002</v>
      </c>
      <c r="DM76">
        <v>0.10029200000000001</v>
      </c>
      <c r="DN76">
        <v>27.9956</v>
      </c>
      <c r="DO76">
        <v>27.3293</v>
      </c>
      <c r="DP76">
        <v>999.9</v>
      </c>
      <c r="DQ76">
        <v>0</v>
      </c>
      <c r="DR76">
        <v>0</v>
      </c>
      <c r="DS76">
        <v>9995</v>
      </c>
      <c r="DT76">
        <v>0</v>
      </c>
      <c r="DU76">
        <v>410.90499999999997</v>
      </c>
      <c r="DV76">
        <v>-25.451599999999999</v>
      </c>
      <c r="DW76">
        <v>96.961100000000002</v>
      </c>
      <c r="DX76">
        <v>122.10899999999999</v>
      </c>
      <c r="DY76">
        <v>7.6318799999999998</v>
      </c>
      <c r="DZ76">
        <v>119.992</v>
      </c>
      <c r="EA76">
        <v>17.337599999999998</v>
      </c>
      <c r="EB76">
        <v>2.4857800000000001</v>
      </c>
      <c r="EC76">
        <v>1.72601</v>
      </c>
      <c r="ED76">
        <v>20.933700000000002</v>
      </c>
      <c r="EE76">
        <v>15.132300000000001</v>
      </c>
      <c r="EF76">
        <v>1800.1</v>
      </c>
      <c r="EG76">
        <v>0.97799199999999997</v>
      </c>
      <c r="EH76">
        <v>2.2008199999999999E-2</v>
      </c>
      <c r="EI76">
        <v>0</v>
      </c>
      <c r="EJ76">
        <v>769.59199999999998</v>
      </c>
      <c r="EK76">
        <v>5.0002599999999999</v>
      </c>
      <c r="EL76">
        <v>14222.6</v>
      </c>
      <c r="EM76">
        <v>17104.3</v>
      </c>
      <c r="EN76">
        <v>50.061999999999998</v>
      </c>
      <c r="EO76">
        <v>51.375</v>
      </c>
      <c r="EP76">
        <v>51</v>
      </c>
      <c r="EQ76">
        <v>50.625</v>
      </c>
      <c r="ER76">
        <v>51.25</v>
      </c>
      <c r="ES76">
        <v>1755.59</v>
      </c>
      <c r="ET76">
        <v>39.51</v>
      </c>
      <c r="EU76">
        <v>0</v>
      </c>
      <c r="EV76">
        <v>132.20000004768369</v>
      </c>
      <c r="EW76">
        <v>0</v>
      </c>
      <c r="EX76">
        <v>770.05496153846173</v>
      </c>
      <c r="EY76">
        <v>-1.6319658146767111</v>
      </c>
      <c r="EZ76">
        <v>-47.8769230121368</v>
      </c>
      <c r="FA76">
        <v>14234</v>
      </c>
      <c r="FB76">
        <v>15</v>
      </c>
      <c r="FC76">
        <v>1674589864</v>
      </c>
      <c r="FD76" t="s">
        <v>726</v>
      </c>
      <c r="FE76">
        <v>1674589850</v>
      </c>
      <c r="FF76">
        <v>1674589864</v>
      </c>
      <c r="FG76">
        <v>68</v>
      </c>
      <c r="FH76">
        <v>0.112</v>
      </c>
      <c r="FI76">
        <v>-2E-3</v>
      </c>
      <c r="FJ76">
        <v>-0.85499999999999998</v>
      </c>
      <c r="FK76">
        <v>5.0999999999999997E-2</v>
      </c>
      <c r="FL76">
        <v>120</v>
      </c>
      <c r="FM76">
        <v>17</v>
      </c>
      <c r="FN76">
        <v>0.05</v>
      </c>
      <c r="FO76">
        <v>0.01</v>
      </c>
      <c r="FP76">
        <v>20.653184413534749</v>
      </c>
      <c r="FQ76">
        <v>-0.43918946493798727</v>
      </c>
      <c r="FR76">
        <v>5.1582485046220927E-2</v>
      </c>
      <c r="FS76">
        <v>1</v>
      </c>
      <c r="FT76">
        <v>0.60002518121488724</v>
      </c>
      <c r="FU76">
        <v>3.5866519190234619E-2</v>
      </c>
      <c r="FV76">
        <v>6.8111238425266488E-3</v>
      </c>
      <c r="FW76">
        <v>1</v>
      </c>
      <c r="FX76">
        <v>2</v>
      </c>
      <c r="FY76">
        <v>2</v>
      </c>
      <c r="FZ76" t="s">
        <v>420</v>
      </c>
      <c r="GA76">
        <v>2.9283000000000001</v>
      </c>
      <c r="GB76">
        <v>2.8071999999999999</v>
      </c>
      <c r="GC76">
        <v>2.7170099999999999E-2</v>
      </c>
      <c r="GD76">
        <v>3.4459499999999997E-2</v>
      </c>
      <c r="GE76">
        <v>0.115074</v>
      </c>
      <c r="GF76">
        <v>9.042E-2</v>
      </c>
      <c r="GG76">
        <v>28909.1</v>
      </c>
      <c r="GH76">
        <v>29092.3</v>
      </c>
      <c r="GI76">
        <v>28226.7</v>
      </c>
      <c r="GJ76">
        <v>27151.5</v>
      </c>
      <c r="GK76">
        <v>35858.5</v>
      </c>
      <c r="GL76">
        <v>32606.799999999999</v>
      </c>
      <c r="GM76">
        <v>42033.3</v>
      </c>
      <c r="GN76">
        <v>36834.6</v>
      </c>
      <c r="GO76">
        <v>1.9278</v>
      </c>
      <c r="GP76">
        <v>1.87937</v>
      </c>
      <c r="GQ76">
        <v>4.3898800000000002E-2</v>
      </c>
      <c r="GR76">
        <v>0</v>
      </c>
      <c r="GS76">
        <v>26.6114</v>
      </c>
      <c r="GT76">
        <v>999.9</v>
      </c>
      <c r="GU76">
        <v>49.3</v>
      </c>
      <c r="GV76">
        <v>35.200000000000003</v>
      </c>
      <c r="GW76">
        <v>28.284300000000002</v>
      </c>
      <c r="GX76">
        <v>59.979199999999999</v>
      </c>
      <c r="GY76">
        <v>27.063300000000002</v>
      </c>
      <c r="GZ76">
        <v>1</v>
      </c>
      <c r="HA76">
        <v>0.42593799999999998</v>
      </c>
      <c r="HB76">
        <v>3.2018399999999998</v>
      </c>
      <c r="HC76">
        <v>20.316099999999999</v>
      </c>
      <c r="HD76">
        <v>5.2384000000000004</v>
      </c>
      <c r="HE76">
        <v>11.9381</v>
      </c>
      <c r="HF76">
        <v>4.9732000000000003</v>
      </c>
      <c r="HG76">
        <v>3.2985500000000001</v>
      </c>
      <c r="HH76">
        <v>9999</v>
      </c>
      <c r="HI76">
        <v>9999</v>
      </c>
      <c r="HJ76">
        <v>9999</v>
      </c>
      <c r="HK76">
        <v>999.9</v>
      </c>
      <c r="HL76">
        <v>1.87344</v>
      </c>
      <c r="HM76">
        <v>1.8811</v>
      </c>
      <c r="HN76">
        <v>1.88463</v>
      </c>
      <c r="HO76">
        <v>1.8813</v>
      </c>
      <c r="HP76">
        <v>1.8786700000000001</v>
      </c>
      <c r="HQ76">
        <v>1.87341</v>
      </c>
      <c r="HR76">
        <v>1.87622</v>
      </c>
      <c r="HS76">
        <v>1.88049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-0.86899999999999999</v>
      </c>
      <c r="IH76">
        <v>0.2301</v>
      </c>
      <c r="II76">
        <v>-0.94298556656685284</v>
      </c>
      <c r="IJ76">
        <v>9.4905977090923709E-4</v>
      </c>
      <c r="IK76">
        <v>-1.9106666302146479E-6</v>
      </c>
      <c r="IL76">
        <v>7.5819610513223293E-10</v>
      </c>
      <c r="IM76">
        <v>-7.0063382861582979E-2</v>
      </c>
      <c r="IN76">
        <v>-1.0595840490420019E-2</v>
      </c>
      <c r="IO76">
        <v>1.2407080968752471E-3</v>
      </c>
      <c r="IP76">
        <v>-1.3015442653884381E-5</v>
      </c>
      <c r="IQ76">
        <v>33</v>
      </c>
      <c r="IR76">
        <v>2014</v>
      </c>
      <c r="IS76">
        <v>1</v>
      </c>
      <c r="IT76">
        <v>26</v>
      </c>
      <c r="IU76">
        <v>0.8</v>
      </c>
      <c r="IV76">
        <v>0.6</v>
      </c>
      <c r="IW76">
        <v>0.40649400000000002</v>
      </c>
      <c r="IX76">
        <v>2.5537100000000001</v>
      </c>
      <c r="IY76">
        <v>1.5991200000000001</v>
      </c>
      <c r="IZ76">
        <v>2.2997999999999998</v>
      </c>
      <c r="JA76">
        <v>1.5502899999999999</v>
      </c>
      <c r="JB76">
        <v>2.2412100000000001</v>
      </c>
      <c r="JC76">
        <v>38.648699999999998</v>
      </c>
      <c r="JD76">
        <v>24.052499999999998</v>
      </c>
      <c r="JE76">
        <v>18</v>
      </c>
      <c r="JF76">
        <v>489.101</v>
      </c>
      <c r="JG76">
        <v>491.60599999999999</v>
      </c>
      <c r="JH76">
        <v>22.540099999999999</v>
      </c>
      <c r="JI76">
        <v>32.534700000000001</v>
      </c>
      <c r="JJ76">
        <v>30.0001</v>
      </c>
      <c r="JK76">
        <v>32.584099999999999</v>
      </c>
      <c r="JL76">
        <v>32.5379</v>
      </c>
      <c r="JM76">
        <v>8.1732800000000001</v>
      </c>
      <c r="JN76">
        <v>45.285899999999998</v>
      </c>
      <c r="JO76">
        <v>0</v>
      </c>
      <c r="JP76">
        <v>22.555299999999999</v>
      </c>
      <c r="JQ76">
        <v>120</v>
      </c>
      <c r="JR76">
        <v>17.2774</v>
      </c>
      <c r="JS76">
        <v>99.653999999999996</v>
      </c>
      <c r="JT76">
        <v>98.630899999999997</v>
      </c>
    </row>
    <row r="77" spans="1:280" x14ac:dyDescent="0.25">
      <c r="A77">
        <v>61</v>
      </c>
      <c r="B77">
        <v>1674590037</v>
      </c>
      <c r="C77">
        <v>14612</v>
      </c>
      <c r="D77" t="s">
        <v>727</v>
      </c>
      <c r="E77" t="s">
        <v>728</v>
      </c>
      <c r="F77" t="s">
        <v>412</v>
      </c>
      <c r="G77" t="s">
        <v>708</v>
      </c>
      <c r="H77" t="s">
        <v>414</v>
      </c>
      <c r="I77">
        <v>1674590037</v>
      </c>
      <c r="J77">
        <f t="shared" si="46"/>
        <v>6.7467857320876248E-3</v>
      </c>
      <c r="K77">
        <f t="shared" si="47"/>
        <v>6.7467857320876252</v>
      </c>
      <c r="L77">
        <f t="shared" si="48"/>
        <v>12.329966538989359</v>
      </c>
      <c r="M77">
        <f t="shared" si="49"/>
        <v>54.765500000000003</v>
      </c>
      <c r="N77">
        <f t="shared" si="50"/>
        <v>19.632300218210542</v>
      </c>
      <c r="O77">
        <f t="shared" si="51"/>
        <v>1.9563974905376111</v>
      </c>
      <c r="P77">
        <f t="shared" si="52"/>
        <v>5.4574902368625002</v>
      </c>
      <c r="Q77">
        <f t="shared" si="53"/>
        <v>0.63161036723017616</v>
      </c>
      <c r="R77">
        <f t="shared" si="54"/>
        <v>2.9121284926192104</v>
      </c>
      <c r="S77">
        <f t="shared" si="55"/>
        <v>0.56422254332665689</v>
      </c>
      <c r="T77">
        <f t="shared" si="56"/>
        <v>0.35809261967695538</v>
      </c>
      <c r="U77">
        <f t="shared" si="57"/>
        <v>344.38399965785527</v>
      </c>
      <c r="V77">
        <f t="shared" si="58"/>
        <v>28.277633659452981</v>
      </c>
      <c r="W77">
        <f t="shared" si="59"/>
        <v>27.309100000000001</v>
      </c>
      <c r="X77">
        <f t="shared" si="60"/>
        <v>3.6446536550793911</v>
      </c>
      <c r="Y77">
        <f t="shared" si="61"/>
        <v>65.608170148102161</v>
      </c>
      <c r="Z77">
        <f t="shared" si="62"/>
        <v>2.4897248737949997</v>
      </c>
      <c r="AA77">
        <f t="shared" si="63"/>
        <v>3.7948396795319246</v>
      </c>
      <c r="AB77">
        <f t="shared" si="64"/>
        <v>1.1549287812843914</v>
      </c>
      <c r="AC77">
        <f t="shared" si="65"/>
        <v>-297.53325078506424</v>
      </c>
      <c r="AD77">
        <f t="shared" si="66"/>
        <v>108.47038199708449</v>
      </c>
      <c r="AE77">
        <f t="shared" si="67"/>
        <v>8.0912525943936213</v>
      </c>
      <c r="AF77">
        <f t="shared" si="68"/>
        <v>163.41238346426911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52191.324385525877</v>
      </c>
      <c r="AL77" t="s">
        <v>415</v>
      </c>
      <c r="AM77">
        <v>10297.6</v>
      </c>
      <c r="AN77">
        <v>785.57400000000007</v>
      </c>
      <c r="AO77">
        <v>3597.65</v>
      </c>
      <c r="AP77">
        <f t="shared" si="72"/>
        <v>0.7816424610509638</v>
      </c>
      <c r="AQ77">
        <v>-0.62398835798131469</v>
      </c>
      <c r="AR77" t="s">
        <v>729</v>
      </c>
      <c r="AS77">
        <v>10218.200000000001</v>
      </c>
      <c r="AT77">
        <v>787.58667999999989</v>
      </c>
      <c r="AU77">
        <v>897.98505681156018</v>
      </c>
      <c r="AV77">
        <f t="shared" si="73"/>
        <v>0.12294010459767268</v>
      </c>
      <c r="AW77">
        <v>0.5</v>
      </c>
      <c r="AX77">
        <f t="shared" si="74"/>
        <v>1513.2515998289273</v>
      </c>
      <c r="AY77">
        <f t="shared" si="75"/>
        <v>12.329966538989359</v>
      </c>
      <c r="AZ77">
        <f t="shared" si="76"/>
        <v>93.01965498278193</v>
      </c>
      <c r="BA77">
        <f t="shared" si="77"/>
        <v>8.5603444254974612E-3</v>
      </c>
      <c r="BB77">
        <f t="shared" si="78"/>
        <v>3.0063584273596184</v>
      </c>
      <c r="BC77">
        <f t="shared" si="79"/>
        <v>474.24840488670992</v>
      </c>
      <c r="BD77" t="s">
        <v>730</v>
      </c>
      <c r="BE77">
        <v>557.33000000000004</v>
      </c>
      <c r="BF77">
        <f t="shared" si="80"/>
        <v>557.33000000000004</v>
      </c>
      <c r="BG77">
        <f t="shared" si="81"/>
        <v>0.3793549282669697</v>
      </c>
      <c r="BH77">
        <f t="shared" si="82"/>
        <v>0.32407672983004998</v>
      </c>
      <c r="BI77">
        <f t="shared" si="83"/>
        <v>0.88795420981621664</v>
      </c>
      <c r="BJ77">
        <f t="shared" si="84"/>
        <v>0.98209535558967509</v>
      </c>
      <c r="BK77">
        <f t="shared" si="85"/>
        <v>0.96002559788157926</v>
      </c>
      <c r="BL77">
        <f t="shared" si="86"/>
        <v>0.22933054662146116</v>
      </c>
      <c r="BM77">
        <f t="shared" si="87"/>
        <v>0.77066945337853887</v>
      </c>
      <c r="BN77">
        <v>121</v>
      </c>
      <c r="BO77">
        <v>290.00000000000011</v>
      </c>
      <c r="BP77">
        <v>865.77</v>
      </c>
      <c r="BQ77">
        <v>205</v>
      </c>
      <c r="BR77">
        <v>10218.200000000001</v>
      </c>
      <c r="BS77">
        <v>865.04</v>
      </c>
      <c r="BT77">
        <v>0.73</v>
      </c>
      <c r="BU77">
        <v>300.00000000000011</v>
      </c>
      <c r="BV77">
        <v>24.1</v>
      </c>
      <c r="BW77">
        <v>897.98505681156018</v>
      </c>
      <c r="BX77">
        <v>1.712503690147029</v>
      </c>
      <c r="BY77">
        <v>-33.661925333823639</v>
      </c>
      <c r="BZ77">
        <v>1.557461690929991</v>
      </c>
      <c r="CA77">
        <v>0.94344985843616369</v>
      </c>
      <c r="CB77">
        <v>-6.9605359288097933E-3</v>
      </c>
      <c r="CC77">
        <v>289.99999999999989</v>
      </c>
      <c r="CD77">
        <v>861.53</v>
      </c>
      <c r="CE77">
        <v>705</v>
      </c>
      <c r="CF77">
        <v>10189.4</v>
      </c>
      <c r="CG77">
        <v>864.95</v>
      </c>
      <c r="CH77">
        <v>-3.42</v>
      </c>
      <c r="CV77">
        <f t="shared" si="88"/>
        <v>1800.08</v>
      </c>
      <c r="CW77">
        <f t="shared" si="89"/>
        <v>1513.2515998289273</v>
      </c>
      <c r="CX77">
        <f t="shared" si="90"/>
        <v>0.84065797066181913</v>
      </c>
      <c r="CY77">
        <f t="shared" si="91"/>
        <v>0.19131594132363855</v>
      </c>
      <c r="CZ77">
        <v>6</v>
      </c>
      <c r="DA77">
        <v>0.5</v>
      </c>
      <c r="DB77" t="s">
        <v>418</v>
      </c>
      <c r="DC77">
        <v>2</v>
      </c>
      <c r="DD77">
        <v>1674590037</v>
      </c>
      <c r="DE77">
        <v>54.765500000000003</v>
      </c>
      <c r="DF77">
        <v>69.999700000000004</v>
      </c>
      <c r="DG77">
        <v>24.984200000000001</v>
      </c>
      <c r="DH77">
        <v>17.093</v>
      </c>
      <c r="DI77">
        <v>55.6419</v>
      </c>
      <c r="DJ77">
        <v>24.751799999999999</v>
      </c>
      <c r="DK77">
        <v>500.16899999999998</v>
      </c>
      <c r="DL77">
        <v>99.551599999999993</v>
      </c>
      <c r="DM77">
        <v>0.10037500000000001</v>
      </c>
      <c r="DN77">
        <v>28</v>
      </c>
      <c r="DO77">
        <v>27.309100000000001</v>
      </c>
      <c r="DP77">
        <v>999.9</v>
      </c>
      <c r="DQ77">
        <v>0</v>
      </c>
      <c r="DR77">
        <v>0</v>
      </c>
      <c r="DS77">
        <v>9945.6200000000008</v>
      </c>
      <c r="DT77">
        <v>0</v>
      </c>
      <c r="DU77">
        <v>415.91899999999998</v>
      </c>
      <c r="DV77">
        <v>-15.2342</v>
      </c>
      <c r="DW77">
        <v>56.168799999999997</v>
      </c>
      <c r="DX77">
        <v>71.217100000000002</v>
      </c>
      <c r="DY77">
        <v>7.8911699999999998</v>
      </c>
      <c r="DZ77">
        <v>69.999700000000004</v>
      </c>
      <c r="EA77">
        <v>17.093</v>
      </c>
      <c r="EB77">
        <v>2.4872100000000001</v>
      </c>
      <c r="EC77">
        <v>1.70163</v>
      </c>
      <c r="ED77">
        <v>20.943100000000001</v>
      </c>
      <c r="EE77">
        <v>14.911300000000001</v>
      </c>
      <c r="EF77">
        <v>1800.08</v>
      </c>
      <c r="EG77">
        <v>0.97800900000000002</v>
      </c>
      <c r="EH77">
        <v>2.1990699999999998E-2</v>
      </c>
      <c r="EI77">
        <v>0</v>
      </c>
      <c r="EJ77">
        <v>787.524</v>
      </c>
      <c r="EK77">
        <v>5.0002599999999999</v>
      </c>
      <c r="EL77">
        <v>14551.4</v>
      </c>
      <c r="EM77">
        <v>17104.2</v>
      </c>
      <c r="EN77">
        <v>50.061999999999998</v>
      </c>
      <c r="EO77">
        <v>51.375</v>
      </c>
      <c r="EP77">
        <v>51</v>
      </c>
      <c r="EQ77">
        <v>50.625</v>
      </c>
      <c r="ER77">
        <v>51.25</v>
      </c>
      <c r="ES77">
        <v>1755.6</v>
      </c>
      <c r="ET77">
        <v>39.479999999999997</v>
      </c>
      <c r="EU77">
        <v>0</v>
      </c>
      <c r="EV77">
        <v>135.5999999046326</v>
      </c>
      <c r="EW77">
        <v>0</v>
      </c>
      <c r="EX77">
        <v>787.58667999999989</v>
      </c>
      <c r="EY77">
        <v>-2.229692301175211</v>
      </c>
      <c r="EZ77">
        <v>-20.146153928504059</v>
      </c>
      <c r="FA77">
        <v>14553.175999999999</v>
      </c>
      <c r="FB77">
        <v>15</v>
      </c>
      <c r="FC77">
        <v>1674590000</v>
      </c>
      <c r="FD77" t="s">
        <v>731</v>
      </c>
      <c r="FE77">
        <v>1674589988.5</v>
      </c>
      <c r="FF77">
        <v>1674590000</v>
      </c>
      <c r="FG77">
        <v>69</v>
      </c>
      <c r="FH77">
        <v>0.02</v>
      </c>
      <c r="FI77">
        <v>2E-3</v>
      </c>
      <c r="FJ77">
        <v>-0.86499999999999999</v>
      </c>
      <c r="FK77">
        <v>4.8000000000000001E-2</v>
      </c>
      <c r="FL77">
        <v>70</v>
      </c>
      <c r="FM77">
        <v>17</v>
      </c>
      <c r="FN77">
        <v>0.1</v>
      </c>
      <c r="FO77">
        <v>0.01</v>
      </c>
      <c r="FP77">
        <v>12.37434524883659</v>
      </c>
      <c r="FQ77">
        <v>-0.25681514896532143</v>
      </c>
      <c r="FR77">
        <v>4.282593642696414E-2</v>
      </c>
      <c r="FS77">
        <v>1</v>
      </c>
      <c r="FT77">
        <v>0.63259719509511581</v>
      </c>
      <c r="FU77">
        <v>4.1560156895222973E-2</v>
      </c>
      <c r="FV77">
        <v>4.9743290528326146E-3</v>
      </c>
      <c r="FW77">
        <v>1</v>
      </c>
      <c r="FX77">
        <v>2</v>
      </c>
      <c r="FY77">
        <v>2</v>
      </c>
      <c r="FZ77" t="s">
        <v>420</v>
      </c>
      <c r="GA77">
        <v>2.9283399999999999</v>
      </c>
      <c r="GB77">
        <v>2.80681</v>
      </c>
      <c r="GC77">
        <v>1.5920799999999999E-2</v>
      </c>
      <c r="GD77">
        <v>2.0328700000000002E-2</v>
      </c>
      <c r="GE77">
        <v>0.11509999999999999</v>
      </c>
      <c r="GF77">
        <v>8.9490200000000006E-2</v>
      </c>
      <c r="GG77">
        <v>29240.799999999999</v>
      </c>
      <c r="GH77">
        <v>29515.9</v>
      </c>
      <c r="GI77">
        <v>28224.400000000001</v>
      </c>
      <c r="GJ77">
        <v>27149.7</v>
      </c>
      <c r="GK77">
        <v>35854.9</v>
      </c>
      <c r="GL77">
        <v>32638.7</v>
      </c>
      <c r="GM77">
        <v>42030.5</v>
      </c>
      <c r="GN77">
        <v>36833</v>
      </c>
      <c r="GO77">
        <v>1.9274500000000001</v>
      </c>
      <c r="GP77">
        <v>1.87812</v>
      </c>
      <c r="GQ77">
        <v>4.2110700000000001E-2</v>
      </c>
      <c r="GR77">
        <v>0</v>
      </c>
      <c r="GS77">
        <v>26.6204</v>
      </c>
      <c r="GT77">
        <v>999.9</v>
      </c>
      <c r="GU77">
        <v>49.3</v>
      </c>
      <c r="GV77">
        <v>35.200000000000003</v>
      </c>
      <c r="GW77">
        <v>28.283000000000001</v>
      </c>
      <c r="GX77">
        <v>62.049199999999999</v>
      </c>
      <c r="GY77">
        <v>26.754799999999999</v>
      </c>
      <c r="GZ77">
        <v>1</v>
      </c>
      <c r="HA77">
        <v>0.43088399999999999</v>
      </c>
      <c r="HB77">
        <v>3.40144</v>
      </c>
      <c r="HC77">
        <v>20.3125</v>
      </c>
      <c r="HD77">
        <v>5.2404999999999999</v>
      </c>
      <c r="HE77">
        <v>11.9381</v>
      </c>
      <c r="HF77">
        <v>4.9736500000000001</v>
      </c>
      <c r="HG77">
        <v>3.2989999999999999</v>
      </c>
      <c r="HH77">
        <v>9999</v>
      </c>
      <c r="HI77">
        <v>9999</v>
      </c>
      <c r="HJ77">
        <v>9999</v>
      </c>
      <c r="HK77">
        <v>999.9</v>
      </c>
      <c r="HL77">
        <v>1.8734</v>
      </c>
      <c r="HM77">
        <v>1.8811</v>
      </c>
      <c r="HN77">
        <v>1.8846099999999999</v>
      </c>
      <c r="HO77">
        <v>1.88131</v>
      </c>
      <c r="HP77">
        <v>1.8786700000000001</v>
      </c>
      <c r="HQ77">
        <v>1.8734299999999999</v>
      </c>
      <c r="HR77">
        <v>1.8762300000000001</v>
      </c>
      <c r="HS77">
        <v>1.88049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-0.876</v>
      </c>
      <c r="IH77">
        <v>0.2324</v>
      </c>
      <c r="II77">
        <v>-0.9234192932274673</v>
      </c>
      <c r="IJ77">
        <v>9.4905977090923709E-4</v>
      </c>
      <c r="IK77">
        <v>-1.9106666302146479E-6</v>
      </c>
      <c r="IL77">
        <v>7.5819610513223293E-10</v>
      </c>
      <c r="IM77">
        <v>-6.8151879095938783E-2</v>
      </c>
      <c r="IN77">
        <v>-1.0595840490420019E-2</v>
      </c>
      <c r="IO77">
        <v>1.2407080968752471E-3</v>
      </c>
      <c r="IP77">
        <v>-1.3015442653884381E-5</v>
      </c>
      <c r="IQ77">
        <v>33</v>
      </c>
      <c r="IR77">
        <v>2014</v>
      </c>
      <c r="IS77">
        <v>1</v>
      </c>
      <c r="IT77">
        <v>26</v>
      </c>
      <c r="IU77">
        <v>0.8</v>
      </c>
      <c r="IV77">
        <v>0.6</v>
      </c>
      <c r="IW77">
        <v>0.29418899999999998</v>
      </c>
      <c r="IX77">
        <v>2.5695800000000002</v>
      </c>
      <c r="IY77">
        <v>1.5991200000000001</v>
      </c>
      <c r="IZ77">
        <v>2.2997999999999998</v>
      </c>
      <c r="JA77">
        <v>1.5502899999999999</v>
      </c>
      <c r="JB77">
        <v>2.2534200000000002</v>
      </c>
      <c r="JC77">
        <v>38.673299999999998</v>
      </c>
      <c r="JD77">
        <v>24.052499999999998</v>
      </c>
      <c r="JE77">
        <v>18</v>
      </c>
      <c r="JF77">
        <v>489.27100000000002</v>
      </c>
      <c r="JG77">
        <v>491.14499999999998</v>
      </c>
      <c r="JH77">
        <v>22.462499999999999</v>
      </c>
      <c r="JI77">
        <v>32.583799999999997</v>
      </c>
      <c r="JJ77">
        <v>30.000299999999999</v>
      </c>
      <c r="JK77">
        <v>32.634399999999999</v>
      </c>
      <c r="JL77">
        <v>32.5886</v>
      </c>
      <c r="JM77">
        <v>5.9260400000000004</v>
      </c>
      <c r="JN77">
        <v>46.112299999999998</v>
      </c>
      <c r="JO77">
        <v>0</v>
      </c>
      <c r="JP77">
        <v>22.459</v>
      </c>
      <c r="JQ77">
        <v>70</v>
      </c>
      <c r="JR77">
        <v>17.029499999999999</v>
      </c>
      <c r="JS77">
        <v>99.646699999999996</v>
      </c>
      <c r="JT77">
        <v>98.625500000000002</v>
      </c>
    </row>
    <row r="78" spans="1:280" x14ac:dyDescent="0.25">
      <c r="A78">
        <v>62</v>
      </c>
      <c r="B78">
        <v>1674590168</v>
      </c>
      <c r="C78">
        <v>14743</v>
      </c>
      <c r="D78" t="s">
        <v>732</v>
      </c>
      <c r="E78" t="s">
        <v>733</v>
      </c>
      <c r="F78" t="s">
        <v>412</v>
      </c>
      <c r="G78" t="s">
        <v>708</v>
      </c>
      <c r="H78" t="s">
        <v>414</v>
      </c>
      <c r="I78">
        <v>1674590168</v>
      </c>
      <c r="J78">
        <f t="shared" si="46"/>
        <v>6.9144318041190755E-3</v>
      </c>
      <c r="K78">
        <f t="shared" si="47"/>
        <v>6.9144318041190758</v>
      </c>
      <c r="L78">
        <f t="shared" si="48"/>
        <v>5.4197059308392541</v>
      </c>
      <c r="M78">
        <f t="shared" si="49"/>
        <v>23.316500000000001</v>
      </c>
      <c r="N78">
        <f t="shared" si="50"/>
        <v>8.255497915512592</v>
      </c>
      <c r="O78">
        <f t="shared" si="51"/>
        <v>0.82266546917854155</v>
      </c>
      <c r="P78">
        <f t="shared" si="52"/>
        <v>2.3235036345970004</v>
      </c>
      <c r="Q78">
        <f t="shared" si="53"/>
        <v>0.64905752670185157</v>
      </c>
      <c r="R78">
        <f t="shared" si="54"/>
        <v>2.9161708016070667</v>
      </c>
      <c r="S78">
        <f t="shared" si="55"/>
        <v>0.57820541167521744</v>
      </c>
      <c r="T78">
        <f t="shared" si="56"/>
        <v>0.36709756184066855</v>
      </c>
      <c r="U78">
        <f t="shared" si="57"/>
        <v>344.33839965780965</v>
      </c>
      <c r="V78">
        <f t="shared" si="58"/>
        <v>28.237850024614815</v>
      </c>
      <c r="W78">
        <f t="shared" si="59"/>
        <v>27.285499999999999</v>
      </c>
      <c r="X78">
        <f t="shared" si="60"/>
        <v>3.6396165250112671</v>
      </c>
      <c r="Y78">
        <f t="shared" si="61"/>
        <v>65.454748197700269</v>
      </c>
      <c r="Z78">
        <f t="shared" si="62"/>
        <v>2.4845689284704</v>
      </c>
      <c r="AA78">
        <f t="shared" si="63"/>
        <v>3.7958574387391719</v>
      </c>
      <c r="AB78">
        <f t="shared" si="64"/>
        <v>1.1550475965408671</v>
      </c>
      <c r="AC78">
        <f t="shared" si="65"/>
        <v>-304.92644256165124</v>
      </c>
      <c r="AD78">
        <f t="shared" si="66"/>
        <v>113.05445724426247</v>
      </c>
      <c r="AE78">
        <f t="shared" si="67"/>
        <v>8.4207104528536156</v>
      </c>
      <c r="AF78">
        <f t="shared" si="68"/>
        <v>160.88712479327447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52306.432096166151</v>
      </c>
      <c r="AL78" t="s">
        <v>415</v>
      </c>
      <c r="AM78">
        <v>10297.6</v>
      </c>
      <c r="AN78">
        <v>785.57400000000007</v>
      </c>
      <c r="AO78">
        <v>3597.65</v>
      </c>
      <c r="AP78">
        <f t="shared" si="72"/>
        <v>0.7816424610509638</v>
      </c>
      <c r="AQ78">
        <v>-0.62398835798131469</v>
      </c>
      <c r="AR78" t="s">
        <v>734</v>
      </c>
      <c r="AS78">
        <v>10235.299999999999</v>
      </c>
      <c r="AT78">
        <v>805.85800000000006</v>
      </c>
      <c r="AU78">
        <v>879.58246512000358</v>
      </c>
      <c r="AV78">
        <f t="shared" si="73"/>
        <v>8.3817570317235801E-2</v>
      </c>
      <c r="AW78">
        <v>0.5</v>
      </c>
      <c r="AX78">
        <f t="shared" si="74"/>
        <v>1513.0499998289047</v>
      </c>
      <c r="AY78">
        <f t="shared" si="75"/>
        <v>5.4197059308392541</v>
      </c>
      <c r="AZ78">
        <f t="shared" si="76"/>
        <v>63.410087377076415</v>
      </c>
      <c r="BA78">
        <f t="shared" si="77"/>
        <v>3.9943784339605357E-3</v>
      </c>
      <c r="BB78">
        <f t="shared" si="78"/>
        <v>3.0901793096900403</v>
      </c>
      <c r="BC78">
        <f t="shared" si="79"/>
        <v>469.06550650360157</v>
      </c>
      <c r="BD78" t="s">
        <v>735</v>
      </c>
      <c r="BE78">
        <v>576.12</v>
      </c>
      <c r="BF78">
        <f t="shared" si="80"/>
        <v>576.12</v>
      </c>
      <c r="BG78">
        <f t="shared" si="81"/>
        <v>0.34500740652964412</v>
      </c>
      <c r="BH78">
        <f t="shared" si="82"/>
        <v>0.2429442636039002</v>
      </c>
      <c r="BI78">
        <f t="shared" si="83"/>
        <v>0.89956662183727987</v>
      </c>
      <c r="BJ78">
        <f t="shared" si="84"/>
        <v>0.78423219681220091</v>
      </c>
      <c r="BK78">
        <f t="shared" si="85"/>
        <v>0.96656972815812814</v>
      </c>
      <c r="BL78">
        <f t="shared" si="86"/>
        <v>0.17368450663451748</v>
      </c>
      <c r="BM78">
        <f t="shared" si="87"/>
        <v>0.82631549336548249</v>
      </c>
      <c r="BN78">
        <v>123</v>
      </c>
      <c r="BO78">
        <v>290.00000000000011</v>
      </c>
      <c r="BP78">
        <v>857.6</v>
      </c>
      <c r="BQ78">
        <v>105</v>
      </c>
      <c r="BR78">
        <v>10235.299999999999</v>
      </c>
      <c r="BS78">
        <v>854.61</v>
      </c>
      <c r="BT78">
        <v>2.99</v>
      </c>
      <c r="BU78">
        <v>300.00000000000011</v>
      </c>
      <c r="BV78">
        <v>24.1</v>
      </c>
      <c r="BW78">
        <v>879.58246512000358</v>
      </c>
      <c r="BX78">
        <v>2.0125978014862982</v>
      </c>
      <c r="BY78">
        <v>-25.557811956843089</v>
      </c>
      <c r="BZ78">
        <v>1.8303936787890001</v>
      </c>
      <c r="CA78">
        <v>0.87442017479447487</v>
      </c>
      <c r="CB78">
        <v>-6.9604602892102364E-3</v>
      </c>
      <c r="CC78">
        <v>289.99999999999989</v>
      </c>
      <c r="CD78">
        <v>851.79</v>
      </c>
      <c r="CE78">
        <v>675</v>
      </c>
      <c r="CF78">
        <v>10191.200000000001</v>
      </c>
      <c r="CG78">
        <v>854.5</v>
      </c>
      <c r="CH78">
        <v>-2.71</v>
      </c>
      <c r="CV78">
        <f t="shared" si="88"/>
        <v>1799.84</v>
      </c>
      <c r="CW78">
        <f t="shared" si="89"/>
        <v>1513.0499998289047</v>
      </c>
      <c r="CX78">
        <f t="shared" si="90"/>
        <v>0.84065805839902696</v>
      </c>
      <c r="CY78">
        <f t="shared" si="91"/>
        <v>0.19131611679805408</v>
      </c>
      <c r="CZ78">
        <v>6</v>
      </c>
      <c r="DA78">
        <v>0.5</v>
      </c>
      <c r="DB78" t="s">
        <v>418</v>
      </c>
      <c r="DC78">
        <v>2</v>
      </c>
      <c r="DD78">
        <v>1674590168</v>
      </c>
      <c r="DE78">
        <v>23.316500000000001</v>
      </c>
      <c r="DF78">
        <v>30.012499999999999</v>
      </c>
      <c r="DG78">
        <v>24.9328</v>
      </c>
      <c r="DH78">
        <v>16.843699999999998</v>
      </c>
      <c r="DI78">
        <v>24.124099999999999</v>
      </c>
      <c r="DJ78">
        <v>24.701000000000001</v>
      </c>
      <c r="DK78">
        <v>500.08300000000003</v>
      </c>
      <c r="DL78">
        <v>99.550399999999996</v>
      </c>
      <c r="DM78">
        <v>0.100218</v>
      </c>
      <c r="DN78">
        <v>28.0046</v>
      </c>
      <c r="DO78">
        <v>27.285499999999999</v>
      </c>
      <c r="DP78">
        <v>999.9</v>
      </c>
      <c r="DQ78">
        <v>0</v>
      </c>
      <c r="DR78">
        <v>0</v>
      </c>
      <c r="DS78">
        <v>9968.75</v>
      </c>
      <c r="DT78">
        <v>0</v>
      </c>
      <c r="DU78">
        <v>433.02499999999998</v>
      </c>
      <c r="DV78">
        <v>-6.69604</v>
      </c>
      <c r="DW78">
        <v>23.912700000000001</v>
      </c>
      <c r="DX78">
        <v>30.526700000000002</v>
      </c>
      <c r="DY78">
        <v>8.0890900000000006</v>
      </c>
      <c r="DZ78">
        <v>30.012499999999999</v>
      </c>
      <c r="EA78">
        <v>16.843699999999998</v>
      </c>
      <c r="EB78">
        <v>2.4820600000000002</v>
      </c>
      <c r="EC78">
        <v>1.67679</v>
      </c>
      <c r="ED78">
        <v>20.909400000000002</v>
      </c>
      <c r="EE78">
        <v>14.683199999999999</v>
      </c>
      <c r="EF78">
        <v>1799.84</v>
      </c>
      <c r="EG78">
        <v>0.97800600000000004</v>
      </c>
      <c r="EH78">
        <v>2.19945E-2</v>
      </c>
      <c r="EI78">
        <v>0</v>
      </c>
      <c r="EJ78">
        <v>805.78099999999995</v>
      </c>
      <c r="EK78">
        <v>5.0002599999999999</v>
      </c>
      <c r="EL78">
        <v>14881.6</v>
      </c>
      <c r="EM78">
        <v>17101.900000000001</v>
      </c>
      <c r="EN78">
        <v>50</v>
      </c>
      <c r="EO78">
        <v>51.375</v>
      </c>
      <c r="EP78">
        <v>51.061999999999998</v>
      </c>
      <c r="EQ78">
        <v>50.625</v>
      </c>
      <c r="ER78">
        <v>51.311999999999998</v>
      </c>
      <c r="ES78">
        <v>1755.36</v>
      </c>
      <c r="ET78">
        <v>39.479999999999997</v>
      </c>
      <c r="EU78">
        <v>0</v>
      </c>
      <c r="EV78">
        <v>129.20000004768369</v>
      </c>
      <c r="EW78">
        <v>0</v>
      </c>
      <c r="EX78">
        <v>805.85800000000006</v>
      </c>
      <c r="EY78">
        <v>-0.71107692770390962</v>
      </c>
      <c r="EZ78">
        <v>12.484615246407481</v>
      </c>
      <c r="FA78">
        <v>14881.843999999999</v>
      </c>
      <c r="FB78">
        <v>15</v>
      </c>
      <c r="FC78">
        <v>1674590132.5</v>
      </c>
      <c r="FD78" t="s">
        <v>736</v>
      </c>
      <c r="FE78">
        <v>1674590119.5</v>
      </c>
      <c r="FF78">
        <v>1674590132.5</v>
      </c>
      <c r="FG78">
        <v>70</v>
      </c>
      <c r="FH78">
        <v>9.4E-2</v>
      </c>
      <c r="FI78">
        <v>1E-3</v>
      </c>
      <c r="FJ78">
        <v>-0.80200000000000005</v>
      </c>
      <c r="FK78">
        <v>0.04</v>
      </c>
      <c r="FL78">
        <v>30</v>
      </c>
      <c r="FM78">
        <v>17</v>
      </c>
      <c r="FN78">
        <v>0.23</v>
      </c>
      <c r="FO78">
        <v>0.01</v>
      </c>
      <c r="FP78">
        <v>5.4299103440081407</v>
      </c>
      <c r="FQ78">
        <v>-0.53322391814102732</v>
      </c>
      <c r="FR78">
        <v>5.8383942551950833E-2</v>
      </c>
      <c r="FS78">
        <v>1</v>
      </c>
      <c r="FT78">
        <v>0.64772445098771148</v>
      </c>
      <c r="FU78">
        <v>3.9749132260691801E-2</v>
      </c>
      <c r="FV78">
        <v>6.5796788805931039E-3</v>
      </c>
      <c r="FW78">
        <v>1</v>
      </c>
      <c r="FX78">
        <v>2</v>
      </c>
      <c r="FY78">
        <v>2</v>
      </c>
      <c r="FZ78" t="s">
        <v>420</v>
      </c>
      <c r="GA78">
        <v>2.9280599999999999</v>
      </c>
      <c r="GB78">
        <v>2.8068599999999999</v>
      </c>
      <c r="GC78">
        <v>6.8883700000000004E-3</v>
      </c>
      <c r="GD78">
        <v>8.7187900000000006E-3</v>
      </c>
      <c r="GE78">
        <v>0.114923</v>
      </c>
      <c r="GF78">
        <v>8.8539499999999993E-2</v>
      </c>
      <c r="GG78">
        <v>29505.4</v>
      </c>
      <c r="GH78">
        <v>29863.5</v>
      </c>
      <c r="GI78">
        <v>28221</v>
      </c>
      <c r="GJ78">
        <v>27147.9</v>
      </c>
      <c r="GK78">
        <v>35857.9</v>
      </c>
      <c r="GL78">
        <v>32670.9</v>
      </c>
      <c r="GM78">
        <v>42025.599999999999</v>
      </c>
      <c r="GN78">
        <v>36831.1</v>
      </c>
      <c r="GO78">
        <v>1.92675</v>
      </c>
      <c r="GP78">
        <v>1.87703</v>
      </c>
      <c r="GQ78">
        <v>4.2870600000000002E-2</v>
      </c>
      <c r="GR78">
        <v>0</v>
      </c>
      <c r="GS78">
        <v>26.584299999999999</v>
      </c>
      <c r="GT78">
        <v>999.9</v>
      </c>
      <c r="GU78">
        <v>49.4</v>
      </c>
      <c r="GV78">
        <v>35.200000000000003</v>
      </c>
      <c r="GW78">
        <v>28.341699999999999</v>
      </c>
      <c r="GX78">
        <v>61.519199999999998</v>
      </c>
      <c r="GY78">
        <v>26.614599999999999</v>
      </c>
      <c r="GZ78">
        <v>1</v>
      </c>
      <c r="HA78">
        <v>0.43331599999999998</v>
      </c>
      <c r="HB78">
        <v>3.2332200000000002</v>
      </c>
      <c r="HC78">
        <v>20.314900000000002</v>
      </c>
      <c r="HD78">
        <v>5.2373599999999998</v>
      </c>
      <c r="HE78">
        <v>11.9381</v>
      </c>
      <c r="HF78">
        <v>4.9732500000000002</v>
      </c>
      <c r="HG78">
        <v>3.2985500000000001</v>
      </c>
      <c r="HH78">
        <v>9999</v>
      </c>
      <c r="HI78">
        <v>9999</v>
      </c>
      <c r="HJ78">
        <v>9999</v>
      </c>
      <c r="HK78">
        <v>999.9</v>
      </c>
      <c r="HL78">
        <v>1.8734299999999999</v>
      </c>
      <c r="HM78">
        <v>1.8811</v>
      </c>
      <c r="HN78">
        <v>1.8846099999999999</v>
      </c>
      <c r="HO78">
        <v>1.8813299999999999</v>
      </c>
      <c r="HP78">
        <v>1.87866</v>
      </c>
      <c r="HQ78">
        <v>1.8733900000000001</v>
      </c>
      <c r="HR78">
        <v>1.8762300000000001</v>
      </c>
      <c r="HS78">
        <v>1.88049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-0.80800000000000005</v>
      </c>
      <c r="IH78">
        <v>0.23180000000000001</v>
      </c>
      <c r="II78">
        <v>-0.82939720067639189</v>
      </c>
      <c r="IJ78">
        <v>9.4905977090923709E-4</v>
      </c>
      <c r="IK78">
        <v>-1.9106666302146479E-6</v>
      </c>
      <c r="IL78">
        <v>7.5819610513223293E-10</v>
      </c>
      <c r="IM78">
        <v>-6.7410356233272961E-2</v>
      </c>
      <c r="IN78">
        <v>-1.0595840490420019E-2</v>
      </c>
      <c r="IO78">
        <v>1.2407080968752471E-3</v>
      </c>
      <c r="IP78">
        <v>-1.3015442653884381E-5</v>
      </c>
      <c r="IQ78">
        <v>33</v>
      </c>
      <c r="IR78">
        <v>2014</v>
      </c>
      <c r="IS78">
        <v>1</v>
      </c>
      <c r="IT78">
        <v>26</v>
      </c>
      <c r="IU78">
        <v>0.8</v>
      </c>
      <c r="IV78">
        <v>0.6</v>
      </c>
      <c r="IW78">
        <v>0.20629900000000001</v>
      </c>
      <c r="IX78">
        <v>2.5878899999999998</v>
      </c>
      <c r="IY78">
        <v>1.5991200000000001</v>
      </c>
      <c r="IZ78">
        <v>2.2997999999999998</v>
      </c>
      <c r="JA78">
        <v>1.5502899999999999</v>
      </c>
      <c r="JB78">
        <v>2.32056</v>
      </c>
      <c r="JC78">
        <v>38.697899999999997</v>
      </c>
      <c r="JD78">
        <v>24.061199999999999</v>
      </c>
      <c r="JE78">
        <v>18</v>
      </c>
      <c r="JF78">
        <v>489.13400000000001</v>
      </c>
      <c r="JG78">
        <v>490.71899999999999</v>
      </c>
      <c r="JH78">
        <v>22.566299999999998</v>
      </c>
      <c r="JI78">
        <v>32.620699999999999</v>
      </c>
      <c r="JJ78">
        <v>30.000299999999999</v>
      </c>
      <c r="JK78">
        <v>32.674100000000003</v>
      </c>
      <c r="JL78">
        <v>32.630499999999998</v>
      </c>
      <c r="JM78">
        <v>4.1802299999999999</v>
      </c>
      <c r="JN78">
        <v>47.278399999999998</v>
      </c>
      <c r="JO78">
        <v>0</v>
      </c>
      <c r="JP78">
        <v>22.551600000000001</v>
      </c>
      <c r="JQ78">
        <v>30</v>
      </c>
      <c r="JR78">
        <v>16.761800000000001</v>
      </c>
      <c r="JS78">
        <v>99.634900000000002</v>
      </c>
      <c r="JT78">
        <v>98.619799999999998</v>
      </c>
    </row>
    <row r="79" spans="1:280" x14ac:dyDescent="0.25">
      <c r="A79">
        <v>63</v>
      </c>
      <c r="B79">
        <v>1674590278</v>
      </c>
      <c r="C79">
        <v>14853</v>
      </c>
      <c r="D79" t="s">
        <v>737</v>
      </c>
      <c r="E79" t="s">
        <v>738</v>
      </c>
      <c r="F79" t="s">
        <v>412</v>
      </c>
      <c r="G79" t="s">
        <v>708</v>
      </c>
      <c r="H79" t="s">
        <v>414</v>
      </c>
      <c r="I79">
        <v>1674590278</v>
      </c>
      <c r="J79">
        <f t="shared" si="46"/>
        <v>6.9830673439866013E-3</v>
      </c>
      <c r="K79">
        <f t="shared" si="47"/>
        <v>6.9830673439866011</v>
      </c>
      <c r="L79">
        <f t="shared" si="48"/>
        <v>1.6899391537307447</v>
      </c>
      <c r="M79">
        <f t="shared" si="49"/>
        <v>7.9114599999999999</v>
      </c>
      <c r="N79">
        <f t="shared" si="50"/>
        <v>3.2499634718373844</v>
      </c>
      <c r="O79">
        <f t="shared" si="51"/>
        <v>0.3238442123832278</v>
      </c>
      <c r="P79">
        <f t="shared" si="52"/>
        <v>0.78834133204978007</v>
      </c>
      <c r="Q79">
        <f t="shared" si="53"/>
        <v>0.6563915467270639</v>
      </c>
      <c r="R79">
        <f t="shared" si="54"/>
        <v>2.9195895074186651</v>
      </c>
      <c r="S79">
        <f t="shared" si="55"/>
        <v>0.58409925520456751</v>
      </c>
      <c r="T79">
        <f t="shared" si="56"/>
        <v>0.37089154291218818</v>
      </c>
      <c r="U79">
        <f t="shared" si="57"/>
        <v>344.39539965786668</v>
      </c>
      <c r="V79">
        <f t="shared" si="58"/>
        <v>28.227437726040645</v>
      </c>
      <c r="W79">
        <f t="shared" si="59"/>
        <v>27.282599999999999</v>
      </c>
      <c r="X79">
        <f t="shared" si="60"/>
        <v>3.6389979750249277</v>
      </c>
      <c r="Y79">
        <f t="shared" si="61"/>
        <v>65.419743166645191</v>
      </c>
      <c r="Z79">
        <f t="shared" si="62"/>
        <v>2.4843116087295001</v>
      </c>
      <c r="AA79">
        <f t="shared" si="63"/>
        <v>3.7974952032464526</v>
      </c>
      <c r="AB79">
        <f t="shared" si="64"/>
        <v>1.1546863662954276</v>
      </c>
      <c r="AC79">
        <f t="shared" si="65"/>
        <v>-307.95326986980911</v>
      </c>
      <c r="AD79">
        <f t="shared" si="66"/>
        <v>114.80822340677312</v>
      </c>
      <c r="AE79">
        <f t="shared" si="67"/>
        <v>8.5415162823685051</v>
      </c>
      <c r="AF79">
        <f t="shared" si="68"/>
        <v>159.79186947719919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52403.160254667477</v>
      </c>
      <c r="AL79" t="s">
        <v>415</v>
      </c>
      <c r="AM79">
        <v>10297.6</v>
      </c>
      <c r="AN79">
        <v>785.57400000000007</v>
      </c>
      <c r="AO79">
        <v>3597.65</v>
      </c>
      <c r="AP79">
        <f t="shared" si="72"/>
        <v>0.7816424610509638</v>
      </c>
      <c r="AQ79">
        <v>-0.62398835798131469</v>
      </c>
      <c r="AR79" t="s">
        <v>739</v>
      </c>
      <c r="AS79">
        <v>10239.4</v>
      </c>
      <c r="AT79">
        <v>814.73271999999997</v>
      </c>
      <c r="AU79">
        <v>877.28871363059648</v>
      </c>
      <c r="AV79">
        <f t="shared" si="73"/>
        <v>7.1306050857206427E-2</v>
      </c>
      <c r="AW79">
        <v>0.5</v>
      </c>
      <c r="AX79">
        <f t="shared" si="74"/>
        <v>1513.3019998289333</v>
      </c>
      <c r="AY79">
        <f t="shared" si="75"/>
        <v>1.6899391537307447</v>
      </c>
      <c r="AZ79">
        <f t="shared" si="76"/>
        <v>53.953794681057055</v>
      </c>
      <c r="BA79">
        <f t="shared" si="77"/>
        <v>1.5290586492145194E-3</v>
      </c>
      <c r="BB79">
        <f t="shared" si="78"/>
        <v>3.1008734571671202</v>
      </c>
      <c r="BC79">
        <f t="shared" si="79"/>
        <v>468.4123922945526</v>
      </c>
      <c r="BD79" t="s">
        <v>740</v>
      </c>
      <c r="BE79">
        <v>585.24</v>
      </c>
      <c r="BF79">
        <f t="shared" si="80"/>
        <v>585.24</v>
      </c>
      <c r="BG79">
        <f t="shared" si="81"/>
        <v>0.33289920307075849</v>
      </c>
      <c r="BH79">
        <f t="shared" si="82"/>
        <v>0.21419712092867382</v>
      </c>
      <c r="BI79">
        <f t="shared" si="83"/>
        <v>0.90305147253176143</v>
      </c>
      <c r="BJ79">
        <f t="shared" si="84"/>
        <v>0.68207151452880477</v>
      </c>
      <c r="BK79">
        <f t="shared" si="85"/>
        <v>0.96738540721139943</v>
      </c>
      <c r="BL79">
        <f t="shared" si="86"/>
        <v>0.15386238943772515</v>
      </c>
      <c r="BM79">
        <f t="shared" si="87"/>
        <v>0.84613761056227488</v>
      </c>
      <c r="BN79">
        <v>125</v>
      </c>
      <c r="BO79">
        <v>290.00000000000011</v>
      </c>
      <c r="BP79">
        <v>856.86</v>
      </c>
      <c r="BQ79">
        <v>85</v>
      </c>
      <c r="BR79">
        <v>10239.4</v>
      </c>
      <c r="BS79">
        <v>852.72</v>
      </c>
      <c r="BT79">
        <v>4.1399999999999997</v>
      </c>
      <c r="BU79">
        <v>300.00000000000011</v>
      </c>
      <c r="BV79">
        <v>24.1</v>
      </c>
      <c r="BW79">
        <v>877.28871363059648</v>
      </c>
      <c r="BX79">
        <v>1.6981846167009089</v>
      </c>
      <c r="BY79">
        <v>-25.161059682506341</v>
      </c>
      <c r="BZ79">
        <v>1.544446074979299</v>
      </c>
      <c r="CA79">
        <v>0.90456941748376896</v>
      </c>
      <c r="CB79">
        <v>-6.9604028921023383E-3</v>
      </c>
      <c r="CC79">
        <v>289.99999999999989</v>
      </c>
      <c r="CD79">
        <v>849.51</v>
      </c>
      <c r="CE79">
        <v>625</v>
      </c>
      <c r="CF79">
        <v>10194.700000000001</v>
      </c>
      <c r="CG79">
        <v>852.61</v>
      </c>
      <c r="CH79">
        <v>-3.1</v>
      </c>
      <c r="CV79">
        <f t="shared" si="88"/>
        <v>1800.14</v>
      </c>
      <c r="CW79">
        <f t="shared" si="89"/>
        <v>1513.3019998289333</v>
      </c>
      <c r="CX79">
        <f t="shared" si="90"/>
        <v>0.84065794873117272</v>
      </c>
      <c r="CY79">
        <f t="shared" si="91"/>
        <v>0.19131589746234551</v>
      </c>
      <c r="CZ79">
        <v>6</v>
      </c>
      <c r="DA79">
        <v>0.5</v>
      </c>
      <c r="DB79" t="s">
        <v>418</v>
      </c>
      <c r="DC79">
        <v>2</v>
      </c>
      <c r="DD79">
        <v>1674590278</v>
      </c>
      <c r="DE79">
        <v>7.9114599999999999</v>
      </c>
      <c r="DF79">
        <v>10.005000000000001</v>
      </c>
      <c r="DG79">
        <v>24.9315</v>
      </c>
      <c r="DH79">
        <v>16.763400000000001</v>
      </c>
      <c r="DI79">
        <v>8.6885300000000001</v>
      </c>
      <c r="DJ79">
        <v>24.702000000000002</v>
      </c>
      <c r="DK79">
        <v>500.16300000000001</v>
      </c>
      <c r="DL79">
        <v>99.545299999999997</v>
      </c>
      <c r="DM79">
        <v>0.100193</v>
      </c>
      <c r="DN79">
        <v>28.012</v>
      </c>
      <c r="DO79">
        <v>27.282599999999999</v>
      </c>
      <c r="DP79">
        <v>999.9</v>
      </c>
      <c r="DQ79">
        <v>0</v>
      </c>
      <c r="DR79">
        <v>0</v>
      </c>
      <c r="DS79">
        <v>9988.75</v>
      </c>
      <c r="DT79">
        <v>0</v>
      </c>
      <c r="DU79">
        <v>427.32</v>
      </c>
      <c r="DV79">
        <v>-2.09354</v>
      </c>
      <c r="DW79">
        <v>8.1137499999999996</v>
      </c>
      <c r="DX79">
        <v>10.175599999999999</v>
      </c>
      <c r="DY79">
        <v>8.1681100000000004</v>
      </c>
      <c r="DZ79">
        <v>10.005000000000001</v>
      </c>
      <c r="EA79">
        <v>16.763400000000001</v>
      </c>
      <c r="EB79">
        <v>2.4818099999999998</v>
      </c>
      <c r="EC79">
        <v>1.66872</v>
      </c>
      <c r="ED79">
        <v>20.907699999999998</v>
      </c>
      <c r="EE79">
        <v>14.6084</v>
      </c>
      <c r="EF79">
        <v>1800.14</v>
      </c>
      <c r="EG79">
        <v>0.97800900000000002</v>
      </c>
      <c r="EH79">
        <v>2.1990699999999998E-2</v>
      </c>
      <c r="EI79">
        <v>0</v>
      </c>
      <c r="EJ79">
        <v>814.51300000000003</v>
      </c>
      <c r="EK79">
        <v>5.0002599999999999</v>
      </c>
      <c r="EL79">
        <v>15025.7</v>
      </c>
      <c r="EM79">
        <v>17104.8</v>
      </c>
      <c r="EN79">
        <v>50.125</v>
      </c>
      <c r="EO79">
        <v>51.436999999999998</v>
      </c>
      <c r="EP79">
        <v>51.061999999999998</v>
      </c>
      <c r="EQ79">
        <v>50.686999999999998</v>
      </c>
      <c r="ER79">
        <v>51.311999999999998</v>
      </c>
      <c r="ES79">
        <v>1755.66</v>
      </c>
      <c r="ET79">
        <v>39.479999999999997</v>
      </c>
      <c r="EU79">
        <v>0</v>
      </c>
      <c r="EV79">
        <v>108</v>
      </c>
      <c r="EW79">
        <v>0</v>
      </c>
      <c r="EX79">
        <v>814.73271999999997</v>
      </c>
      <c r="EY79">
        <v>-0.30992307830373222</v>
      </c>
      <c r="EZ79">
        <v>-13.34615371432532</v>
      </c>
      <c r="FA79">
        <v>15025.464</v>
      </c>
      <c r="FB79">
        <v>15</v>
      </c>
      <c r="FC79">
        <v>1674590241.5</v>
      </c>
      <c r="FD79" t="s">
        <v>741</v>
      </c>
      <c r="FE79">
        <v>1674590227</v>
      </c>
      <c r="FF79">
        <v>1674590241.5</v>
      </c>
      <c r="FG79">
        <v>71</v>
      </c>
      <c r="FH79">
        <v>4.3999999999999997E-2</v>
      </c>
      <c r="FI79">
        <v>-2E-3</v>
      </c>
      <c r="FJ79">
        <v>-0.77500000000000002</v>
      </c>
      <c r="FK79">
        <v>0.04</v>
      </c>
      <c r="FL79">
        <v>10</v>
      </c>
      <c r="FM79">
        <v>17</v>
      </c>
      <c r="FN79">
        <v>0.28000000000000003</v>
      </c>
      <c r="FO79">
        <v>0.01</v>
      </c>
      <c r="FP79">
        <v>1.7370215822917909</v>
      </c>
      <c r="FQ79">
        <v>-0.60554529482664843</v>
      </c>
      <c r="FR79">
        <v>7.0559840528563386E-2</v>
      </c>
      <c r="FS79">
        <v>1</v>
      </c>
      <c r="FT79">
        <v>0.6585044619185888</v>
      </c>
      <c r="FU79">
        <v>-7.7344235669324626E-3</v>
      </c>
      <c r="FV79">
        <v>3.1556204608303331E-3</v>
      </c>
      <c r="FW79">
        <v>1</v>
      </c>
      <c r="FX79">
        <v>2</v>
      </c>
      <c r="FY79">
        <v>2</v>
      </c>
      <c r="FZ79" t="s">
        <v>420</v>
      </c>
      <c r="GA79">
        <v>2.9282300000000001</v>
      </c>
      <c r="GB79">
        <v>2.8070300000000001</v>
      </c>
      <c r="GC79">
        <v>2.4731499999999999E-3</v>
      </c>
      <c r="GD79">
        <v>2.8970300000000001E-3</v>
      </c>
      <c r="GE79">
        <v>0.114914</v>
      </c>
      <c r="GF79">
        <v>8.8225700000000004E-2</v>
      </c>
      <c r="GG79">
        <v>29634.9</v>
      </c>
      <c r="GH79">
        <v>30038.5</v>
      </c>
      <c r="GI79">
        <v>28219.599999999999</v>
      </c>
      <c r="GJ79">
        <v>27147.7</v>
      </c>
      <c r="GK79">
        <v>35856.5</v>
      </c>
      <c r="GL79">
        <v>32682.3</v>
      </c>
      <c r="GM79">
        <v>42023.5</v>
      </c>
      <c r="GN79">
        <v>36831.300000000003</v>
      </c>
      <c r="GO79">
        <v>1.9272800000000001</v>
      </c>
      <c r="GP79">
        <v>1.8764000000000001</v>
      </c>
      <c r="GQ79">
        <v>4.4070199999999997E-2</v>
      </c>
      <c r="GR79">
        <v>0</v>
      </c>
      <c r="GS79">
        <v>26.561900000000001</v>
      </c>
      <c r="GT79">
        <v>999.9</v>
      </c>
      <c r="GU79">
        <v>49.4</v>
      </c>
      <c r="GV79">
        <v>35.200000000000003</v>
      </c>
      <c r="GW79">
        <v>28.342600000000001</v>
      </c>
      <c r="GX79">
        <v>61.049199999999999</v>
      </c>
      <c r="GY79">
        <v>26.786899999999999</v>
      </c>
      <c r="GZ79">
        <v>1</v>
      </c>
      <c r="HA79">
        <v>0.434284</v>
      </c>
      <c r="HB79">
        <v>3.1008599999999999</v>
      </c>
      <c r="HC79">
        <v>20.3185</v>
      </c>
      <c r="HD79">
        <v>5.2406499999999996</v>
      </c>
      <c r="HE79">
        <v>11.9381</v>
      </c>
      <c r="HF79">
        <v>4.9737</v>
      </c>
      <c r="HG79">
        <v>3.2989999999999999</v>
      </c>
      <c r="HH79">
        <v>9999</v>
      </c>
      <c r="HI79">
        <v>9999</v>
      </c>
      <c r="HJ79">
        <v>9999</v>
      </c>
      <c r="HK79">
        <v>999.9</v>
      </c>
      <c r="HL79">
        <v>1.8734599999999999</v>
      </c>
      <c r="HM79">
        <v>1.8811</v>
      </c>
      <c r="HN79">
        <v>1.8846099999999999</v>
      </c>
      <c r="HO79">
        <v>1.8813200000000001</v>
      </c>
      <c r="HP79">
        <v>1.8786700000000001</v>
      </c>
      <c r="HQ79">
        <v>1.8734299999999999</v>
      </c>
      <c r="HR79">
        <v>1.8762399999999999</v>
      </c>
      <c r="HS79">
        <v>1.88049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-0.77700000000000002</v>
      </c>
      <c r="IH79">
        <v>0.22950000000000001</v>
      </c>
      <c r="II79">
        <v>-0.78517434589187562</v>
      </c>
      <c r="IJ79">
        <v>9.4905977090923709E-4</v>
      </c>
      <c r="IK79">
        <v>-1.9106666302146479E-6</v>
      </c>
      <c r="IL79">
        <v>7.5819610513223293E-10</v>
      </c>
      <c r="IM79">
        <v>-6.9645052784358966E-2</v>
      </c>
      <c r="IN79">
        <v>-1.0595840490420019E-2</v>
      </c>
      <c r="IO79">
        <v>1.2407080968752471E-3</v>
      </c>
      <c r="IP79">
        <v>-1.3015442653884381E-5</v>
      </c>
      <c r="IQ79">
        <v>33</v>
      </c>
      <c r="IR79">
        <v>2014</v>
      </c>
      <c r="IS79">
        <v>1</v>
      </c>
      <c r="IT79">
        <v>26</v>
      </c>
      <c r="IU79">
        <v>0.8</v>
      </c>
      <c r="IV79">
        <v>0.6</v>
      </c>
      <c r="IW79">
        <v>0.163574</v>
      </c>
      <c r="IX79">
        <v>2.6086399999999998</v>
      </c>
      <c r="IY79">
        <v>1.5991200000000001</v>
      </c>
      <c r="IZ79">
        <v>2.2997999999999998</v>
      </c>
      <c r="JA79">
        <v>1.5502899999999999</v>
      </c>
      <c r="JB79">
        <v>2.2924799999999999</v>
      </c>
      <c r="JC79">
        <v>38.722499999999997</v>
      </c>
      <c r="JD79">
        <v>24.052499999999998</v>
      </c>
      <c r="JE79">
        <v>18</v>
      </c>
      <c r="JF79">
        <v>489.67700000000002</v>
      </c>
      <c r="JG79">
        <v>490.495</v>
      </c>
      <c r="JH79">
        <v>22.662600000000001</v>
      </c>
      <c r="JI79">
        <v>32.638800000000003</v>
      </c>
      <c r="JJ79">
        <v>30.0001</v>
      </c>
      <c r="JK79">
        <v>32.700299999999999</v>
      </c>
      <c r="JL79">
        <v>32.656599999999997</v>
      </c>
      <c r="JM79">
        <v>3.3223400000000001</v>
      </c>
      <c r="JN79">
        <v>47.218600000000002</v>
      </c>
      <c r="JO79">
        <v>0</v>
      </c>
      <c r="JP79">
        <v>22.590299999999999</v>
      </c>
      <c r="JQ79">
        <v>10</v>
      </c>
      <c r="JR79">
        <v>16.695399999999999</v>
      </c>
      <c r="JS79">
        <v>99.629900000000006</v>
      </c>
      <c r="JT79">
        <v>98.619699999999995</v>
      </c>
    </row>
    <row r="80" spans="1:280" x14ac:dyDescent="0.25">
      <c r="A80">
        <v>64</v>
      </c>
      <c r="B80">
        <v>1674590467.5999999</v>
      </c>
      <c r="C80">
        <v>15042.599999904631</v>
      </c>
      <c r="D80" t="s">
        <v>742</v>
      </c>
      <c r="E80" t="s">
        <v>743</v>
      </c>
      <c r="F80" t="s">
        <v>412</v>
      </c>
      <c r="G80" t="s">
        <v>708</v>
      </c>
      <c r="H80" t="s">
        <v>414</v>
      </c>
      <c r="I80">
        <v>1674590467.5999999</v>
      </c>
      <c r="J80">
        <f t="shared" si="46"/>
        <v>6.7210569706872324E-3</v>
      </c>
      <c r="K80">
        <f t="shared" si="47"/>
        <v>6.7210569706872327</v>
      </c>
      <c r="L80">
        <f t="shared" si="48"/>
        <v>42.238591290428971</v>
      </c>
      <c r="M80">
        <f t="shared" si="49"/>
        <v>346.50400000000002</v>
      </c>
      <c r="N80">
        <f t="shared" si="50"/>
        <v>221.70631956723599</v>
      </c>
      <c r="O80">
        <f t="shared" si="51"/>
        <v>22.089345862106317</v>
      </c>
      <c r="P80">
        <f t="shared" si="52"/>
        <v>34.523358258545606</v>
      </c>
      <c r="Q80">
        <f t="shared" si="53"/>
        <v>0.62287395116531097</v>
      </c>
      <c r="R80">
        <f t="shared" si="54"/>
        <v>2.9272686199307616</v>
      </c>
      <c r="S80">
        <f t="shared" si="55"/>
        <v>0.55753547455433317</v>
      </c>
      <c r="T80">
        <f t="shared" si="56"/>
        <v>0.35375720207224592</v>
      </c>
      <c r="U80">
        <f t="shared" si="57"/>
        <v>344.32508649619149</v>
      </c>
      <c r="V80">
        <f t="shared" si="58"/>
        <v>28.269843698836613</v>
      </c>
      <c r="W80">
        <f t="shared" si="59"/>
        <v>27.211200000000002</v>
      </c>
      <c r="X80">
        <f t="shared" si="60"/>
        <v>3.6237977576346672</v>
      </c>
      <c r="Y80">
        <f t="shared" si="61"/>
        <v>64.857172190681737</v>
      </c>
      <c r="Z80">
        <f t="shared" si="62"/>
        <v>2.4593897461421603</v>
      </c>
      <c r="AA80">
        <f t="shared" si="63"/>
        <v>3.7920089067582103</v>
      </c>
      <c r="AB80">
        <f t="shared" si="64"/>
        <v>1.1644080114925068</v>
      </c>
      <c r="AC80">
        <f t="shared" si="65"/>
        <v>-296.39861240730693</v>
      </c>
      <c r="AD80">
        <f t="shared" si="66"/>
        <v>122.46436693006079</v>
      </c>
      <c r="AE80">
        <f t="shared" si="67"/>
        <v>9.0828586852639983</v>
      </c>
      <c r="AF80">
        <f t="shared" si="68"/>
        <v>179.47369970420937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52627.907613951596</v>
      </c>
      <c r="AL80" t="s">
        <v>415</v>
      </c>
      <c r="AM80">
        <v>10297.6</v>
      </c>
      <c r="AN80">
        <v>785.57400000000007</v>
      </c>
      <c r="AO80">
        <v>3597.65</v>
      </c>
      <c r="AP80">
        <f t="shared" si="72"/>
        <v>0.7816424610509638</v>
      </c>
      <c r="AQ80">
        <v>-0.62398835798131469</v>
      </c>
      <c r="AR80" t="s">
        <v>744</v>
      </c>
      <c r="AS80">
        <v>10208.799999999999</v>
      </c>
      <c r="AT80">
        <v>728.56236000000001</v>
      </c>
      <c r="AU80">
        <v>987.17801082761491</v>
      </c>
      <c r="AV80">
        <f t="shared" si="73"/>
        <v>0.26197468743332397</v>
      </c>
      <c r="AW80">
        <v>0.5</v>
      </c>
      <c r="AX80">
        <f t="shared" si="74"/>
        <v>1512.9911932480957</v>
      </c>
      <c r="AY80">
        <f t="shared" si="75"/>
        <v>42.238591290428971</v>
      </c>
      <c r="AZ80">
        <f t="shared" si="76"/>
        <v>198.18269747027085</v>
      </c>
      <c r="BA80">
        <f t="shared" si="77"/>
        <v>2.8329695400534836E-2</v>
      </c>
      <c r="BB80">
        <f t="shared" si="78"/>
        <v>2.6443781775323969</v>
      </c>
      <c r="BC80">
        <f t="shared" si="79"/>
        <v>498.01197168452535</v>
      </c>
      <c r="BD80" t="s">
        <v>745</v>
      </c>
      <c r="BE80">
        <v>555.92999999999995</v>
      </c>
      <c r="BF80">
        <f t="shared" si="80"/>
        <v>555.92999999999995</v>
      </c>
      <c r="BG80">
        <f t="shared" si="81"/>
        <v>0.43684928766400699</v>
      </c>
      <c r="BH80">
        <f t="shared" si="82"/>
        <v>0.59969123180719486</v>
      </c>
      <c r="BI80">
        <f t="shared" si="83"/>
        <v>0.85822231802150928</v>
      </c>
      <c r="BJ80">
        <f t="shared" si="84"/>
        <v>1.2827902072283119</v>
      </c>
      <c r="BK80">
        <f t="shared" si="85"/>
        <v>0.92830776592538222</v>
      </c>
      <c r="BL80">
        <f t="shared" si="86"/>
        <v>0.4575947987466355</v>
      </c>
      <c r="BM80">
        <f t="shared" si="87"/>
        <v>0.54240520125336444</v>
      </c>
      <c r="BN80">
        <v>127</v>
      </c>
      <c r="BO80">
        <v>290.00000000000011</v>
      </c>
      <c r="BP80">
        <v>928.78</v>
      </c>
      <c r="BQ80">
        <v>295</v>
      </c>
      <c r="BR80">
        <v>10208.799999999999</v>
      </c>
      <c r="BS80">
        <v>929.46</v>
      </c>
      <c r="BT80">
        <v>-0.68</v>
      </c>
      <c r="BU80">
        <v>300.00000000000011</v>
      </c>
      <c r="BV80">
        <v>24.1</v>
      </c>
      <c r="BW80">
        <v>987.17801082761491</v>
      </c>
      <c r="BX80">
        <v>2.3606952520193691</v>
      </c>
      <c r="BY80">
        <v>-58.918543440585907</v>
      </c>
      <c r="BZ80">
        <v>2.1471170040146821</v>
      </c>
      <c r="CA80">
        <v>0.96414833689483781</v>
      </c>
      <c r="CB80">
        <v>-6.961141713014464E-3</v>
      </c>
      <c r="CC80">
        <v>289.99999999999989</v>
      </c>
      <c r="CD80">
        <v>929.2</v>
      </c>
      <c r="CE80">
        <v>635</v>
      </c>
      <c r="CF80">
        <v>10194.6</v>
      </c>
      <c r="CG80">
        <v>929.38</v>
      </c>
      <c r="CH80">
        <v>-0.18</v>
      </c>
      <c r="CV80">
        <f t="shared" si="88"/>
        <v>1799.77</v>
      </c>
      <c r="CW80">
        <f t="shared" si="89"/>
        <v>1512.9911932480957</v>
      </c>
      <c r="CX80">
        <f t="shared" si="90"/>
        <v>0.84065808033698508</v>
      </c>
      <c r="CY80">
        <f t="shared" si="91"/>
        <v>0.19131616067397028</v>
      </c>
      <c r="CZ80">
        <v>6</v>
      </c>
      <c r="DA80">
        <v>0.5</v>
      </c>
      <c r="DB80" t="s">
        <v>418</v>
      </c>
      <c r="DC80">
        <v>2</v>
      </c>
      <c r="DD80">
        <v>1674590467.5999999</v>
      </c>
      <c r="DE80">
        <v>346.50400000000002</v>
      </c>
      <c r="DF80">
        <v>399.98099999999999</v>
      </c>
      <c r="DG80">
        <v>24.6844</v>
      </c>
      <c r="DH80">
        <v>16.8188</v>
      </c>
      <c r="DI80">
        <v>347.31</v>
      </c>
      <c r="DJ80">
        <v>24.458300000000001</v>
      </c>
      <c r="DK80">
        <v>500.03699999999998</v>
      </c>
      <c r="DL80">
        <v>99.533600000000007</v>
      </c>
      <c r="DM80">
        <v>9.97614E-2</v>
      </c>
      <c r="DN80">
        <v>27.987200000000001</v>
      </c>
      <c r="DO80">
        <v>27.211200000000002</v>
      </c>
      <c r="DP80">
        <v>999.9</v>
      </c>
      <c r="DQ80">
        <v>0</v>
      </c>
      <c r="DR80">
        <v>0</v>
      </c>
      <c r="DS80">
        <v>10033.799999999999</v>
      </c>
      <c r="DT80">
        <v>0</v>
      </c>
      <c r="DU80">
        <v>420.74200000000002</v>
      </c>
      <c r="DV80">
        <v>-53.476700000000001</v>
      </c>
      <c r="DW80">
        <v>355.274</v>
      </c>
      <c r="DX80">
        <v>406.82299999999998</v>
      </c>
      <c r="DY80">
        <v>7.8656300000000003</v>
      </c>
      <c r="DZ80">
        <v>399.98099999999999</v>
      </c>
      <c r="EA80">
        <v>16.8188</v>
      </c>
      <c r="EB80">
        <v>2.4569299999999998</v>
      </c>
      <c r="EC80">
        <v>1.6740299999999999</v>
      </c>
      <c r="ED80">
        <v>20.7439</v>
      </c>
      <c r="EE80">
        <v>14.6577</v>
      </c>
      <c r="EF80">
        <v>1799.77</v>
      </c>
      <c r="EG80">
        <v>0.97800600000000004</v>
      </c>
      <c r="EH80">
        <v>2.19945E-2</v>
      </c>
      <c r="EI80">
        <v>0</v>
      </c>
      <c r="EJ80">
        <v>727.91300000000001</v>
      </c>
      <c r="EK80">
        <v>5.0002599999999999</v>
      </c>
      <c r="EL80">
        <v>13509.4</v>
      </c>
      <c r="EM80">
        <v>17101.2</v>
      </c>
      <c r="EN80">
        <v>50.186999999999998</v>
      </c>
      <c r="EO80">
        <v>51.436999999999998</v>
      </c>
      <c r="EP80">
        <v>51.125</v>
      </c>
      <c r="EQ80">
        <v>50.75</v>
      </c>
      <c r="ER80">
        <v>51.311999999999998</v>
      </c>
      <c r="ES80">
        <v>1755.3</v>
      </c>
      <c r="ET80">
        <v>39.479999999999997</v>
      </c>
      <c r="EU80">
        <v>0</v>
      </c>
      <c r="EV80">
        <v>187.4000000953674</v>
      </c>
      <c r="EW80">
        <v>0</v>
      </c>
      <c r="EX80">
        <v>728.56236000000001</v>
      </c>
      <c r="EY80">
        <v>-6.1756153661559674</v>
      </c>
      <c r="EZ80">
        <v>-111.38461530464789</v>
      </c>
      <c r="FA80">
        <v>13525.044</v>
      </c>
      <c r="FB80">
        <v>15</v>
      </c>
      <c r="FC80">
        <v>1674590355.0999999</v>
      </c>
      <c r="FD80" t="s">
        <v>746</v>
      </c>
      <c r="FE80">
        <v>1674590351.5</v>
      </c>
      <c r="FF80">
        <v>1674590355.0999999</v>
      </c>
      <c r="FG80">
        <v>72</v>
      </c>
      <c r="FH80">
        <v>-0.152</v>
      </c>
      <c r="FI80">
        <v>3.0000000000000001E-3</v>
      </c>
      <c r="FJ80">
        <v>-0.81399999999999995</v>
      </c>
      <c r="FK80">
        <v>3.9E-2</v>
      </c>
      <c r="FL80">
        <v>401</v>
      </c>
      <c r="FM80">
        <v>17</v>
      </c>
      <c r="FN80">
        <v>0.04</v>
      </c>
      <c r="FO80">
        <v>0.01</v>
      </c>
      <c r="FP80">
        <v>41.225527045495198</v>
      </c>
      <c r="FQ80">
        <v>5.5164325007476958</v>
      </c>
      <c r="FR80">
        <v>0.53259649450289392</v>
      </c>
      <c r="FS80">
        <v>0</v>
      </c>
      <c r="FT80">
        <v>0.62640805182364012</v>
      </c>
      <c r="FU80">
        <v>-1.0867874428482961E-2</v>
      </c>
      <c r="FV80">
        <v>1.4872762508343911E-3</v>
      </c>
      <c r="FW80">
        <v>1</v>
      </c>
      <c r="FX80">
        <v>1</v>
      </c>
      <c r="FY80">
        <v>2</v>
      </c>
      <c r="FZ80" t="s">
        <v>459</v>
      </c>
      <c r="GA80">
        <v>2.9279000000000002</v>
      </c>
      <c r="GB80">
        <v>2.80701</v>
      </c>
      <c r="GC80">
        <v>8.74891E-2</v>
      </c>
      <c r="GD80">
        <v>9.8989400000000005E-2</v>
      </c>
      <c r="GE80">
        <v>0.11410099999999999</v>
      </c>
      <c r="GF80">
        <v>8.8419300000000006E-2</v>
      </c>
      <c r="GG80">
        <v>27107.8</v>
      </c>
      <c r="GH80">
        <v>27144.1</v>
      </c>
      <c r="GI80">
        <v>28219.1</v>
      </c>
      <c r="GJ80">
        <v>27149</v>
      </c>
      <c r="GK80">
        <v>35889.5</v>
      </c>
      <c r="GL80">
        <v>32677.8</v>
      </c>
      <c r="GM80">
        <v>42022.6</v>
      </c>
      <c r="GN80">
        <v>36833.199999999997</v>
      </c>
      <c r="GO80">
        <v>1.9272499999999999</v>
      </c>
      <c r="GP80">
        <v>1.87795</v>
      </c>
      <c r="GQ80">
        <v>4.3764699999999997E-2</v>
      </c>
      <c r="GR80">
        <v>0</v>
      </c>
      <c r="GS80">
        <v>26.4953</v>
      </c>
      <c r="GT80">
        <v>999.9</v>
      </c>
      <c r="GU80">
        <v>49.4</v>
      </c>
      <c r="GV80">
        <v>35.200000000000003</v>
      </c>
      <c r="GW80">
        <v>28.345400000000001</v>
      </c>
      <c r="GX80">
        <v>60.749200000000002</v>
      </c>
      <c r="GY80">
        <v>26.634599999999999</v>
      </c>
      <c r="GZ80">
        <v>1</v>
      </c>
      <c r="HA80">
        <v>0.43429400000000001</v>
      </c>
      <c r="HB80">
        <v>3.0816400000000002</v>
      </c>
      <c r="HC80">
        <v>20.3187</v>
      </c>
      <c r="HD80">
        <v>5.2406499999999996</v>
      </c>
      <c r="HE80">
        <v>11.9381</v>
      </c>
      <c r="HF80">
        <v>4.9736000000000002</v>
      </c>
      <c r="HG80">
        <v>3.2989999999999999</v>
      </c>
      <c r="HH80">
        <v>9999</v>
      </c>
      <c r="HI80">
        <v>9999</v>
      </c>
      <c r="HJ80">
        <v>9999</v>
      </c>
      <c r="HK80">
        <v>999.9</v>
      </c>
      <c r="HL80">
        <v>1.8734500000000001</v>
      </c>
      <c r="HM80">
        <v>1.8811</v>
      </c>
      <c r="HN80">
        <v>1.8846099999999999</v>
      </c>
      <c r="HO80">
        <v>1.88134</v>
      </c>
      <c r="HP80">
        <v>1.87866</v>
      </c>
      <c r="HQ80">
        <v>1.87338</v>
      </c>
      <c r="HR80">
        <v>1.87622</v>
      </c>
      <c r="HS80">
        <v>1.88049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-0.80600000000000005</v>
      </c>
      <c r="IH80">
        <v>0.2261</v>
      </c>
      <c r="II80">
        <v>-0.93655361319124519</v>
      </c>
      <c r="IJ80">
        <v>9.4905977090923709E-4</v>
      </c>
      <c r="IK80">
        <v>-1.9106666302146479E-6</v>
      </c>
      <c r="IL80">
        <v>7.5819610513223293E-10</v>
      </c>
      <c r="IM80">
        <v>-6.6506295567136997E-2</v>
      </c>
      <c r="IN80">
        <v>-1.0595840490420019E-2</v>
      </c>
      <c r="IO80">
        <v>1.2407080968752471E-3</v>
      </c>
      <c r="IP80">
        <v>-1.3015442653884381E-5</v>
      </c>
      <c r="IQ80">
        <v>33</v>
      </c>
      <c r="IR80">
        <v>2014</v>
      </c>
      <c r="IS80">
        <v>1</v>
      </c>
      <c r="IT80">
        <v>26</v>
      </c>
      <c r="IU80">
        <v>1.9</v>
      </c>
      <c r="IV80">
        <v>1.9</v>
      </c>
      <c r="IW80">
        <v>1.00952</v>
      </c>
      <c r="IX80">
        <v>2.5293000000000001</v>
      </c>
      <c r="IY80">
        <v>1.5991200000000001</v>
      </c>
      <c r="IZ80">
        <v>2.2997999999999998</v>
      </c>
      <c r="JA80">
        <v>1.5502899999999999</v>
      </c>
      <c r="JB80">
        <v>2.36084</v>
      </c>
      <c r="JC80">
        <v>38.747100000000003</v>
      </c>
      <c r="JD80">
        <v>24.061199999999999</v>
      </c>
      <c r="JE80">
        <v>18</v>
      </c>
      <c r="JF80">
        <v>489.79899999999998</v>
      </c>
      <c r="JG80">
        <v>491.78699999999998</v>
      </c>
      <c r="JH80">
        <v>22.6799</v>
      </c>
      <c r="JI80">
        <v>32.6432</v>
      </c>
      <c r="JJ80">
        <v>30</v>
      </c>
      <c r="JK80">
        <v>32.717799999999997</v>
      </c>
      <c r="JL80">
        <v>32.682699999999997</v>
      </c>
      <c r="JM80">
        <v>20.2684</v>
      </c>
      <c r="JN80">
        <v>46.964799999999997</v>
      </c>
      <c r="JO80">
        <v>0</v>
      </c>
      <c r="JP80">
        <v>22.6769</v>
      </c>
      <c r="JQ80">
        <v>400</v>
      </c>
      <c r="JR80">
        <v>16.8872</v>
      </c>
      <c r="JS80">
        <v>99.627899999999997</v>
      </c>
      <c r="JT80">
        <v>98.624700000000004</v>
      </c>
    </row>
    <row r="81" spans="1:280" x14ac:dyDescent="0.25">
      <c r="A81">
        <v>65</v>
      </c>
      <c r="B81">
        <v>1674590657.0999999</v>
      </c>
      <c r="C81">
        <v>15232.099999904631</v>
      </c>
      <c r="D81" t="s">
        <v>747</v>
      </c>
      <c r="E81" t="s">
        <v>748</v>
      </c>
      <c r="F81" t="s">
        <v>412</v>
      </c>
      <c r="G81" t="s">
        <v>708</v>
      </c>
      <c r="H81" t="s">
        <v>414</v>
      </c>
      <c r="I81">
        <v>1674590657.0999999</v>
      </c>
      <c r="J81">
        <f t="shared" ref="J81:J112" si="92">(K81)/1000</f>
        <v>6.4051423509146081E-3</v>
      </c>
      <c r="K81">
        <f t="shared" ref="K81:K112" si="93">1000*DK81*AI81*(DG81-DH81)/(100*CZ81*(1000-AI81*DG81))</f>
        <v>6.4051423509146082</v>
      </c>
      <c r="L81">
        <f t="shared" ref="L81:L112" si="94">DK81*AI81*(DF81-DE81*(1000-AI81*DH81)/(1000-AI81*DG81))/(100*CZ81)</f>
        <v>51.678607686072674</v>
      </c>
      <c r="M81">
        <f t="shared" ref="M81:M112" si="95">DE81 - IF(AI81&gt;1, L81*CZ81*100/(AK81*DS81), 0)</f>
        <v>335.39600000000002</v>
      </c>
      <c r="N81">
        <f t="shared" ref="N81:N112" si="96">((T81-J81/2)*M81-L81)/(T81+J81/2)</f>
        <v>177.52890787469127</v>
      </c>
      <c r="O81">
        <f t="shared" ref="O81:O112" si="97">N81*(DL81+DM81)/1000</f>
        <v>17.688379090223265</v>
      </c>
      <c r="P81">
        <f t="shared" ref="P81:P112" si="98">(DE81 - IF(AI81&gt;1, L81*CZ81*100/(AK81*DS81), 0))*(DL81+DM81)/1000</f>
        <v>33.417721453748001</v>
      </c>
      <c r="Q81">
        <f t="shared" ref="Q81:Q112" si="99">2/((1/S81-1/R81)+SIGN(S81)*SQRT((1/S81-1/R81)*(1/S81-1/R81) + 4*DA81/((DA81+1)*(DA81+1))*(2*1/S81*1/R81-1/R81*1/R81)))</f>
        <v>0.59244901674237349</v>
      </c>
      <c r="R81">
        <f t="shared" ref="R81:R112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2.9060235790320412</v>
      </c>
      <c r="S81">
        <f t="shared" ref="S81:S112" si="101">J81*(1000-(1000*0.61365*EXP(17.502*W81/(240.97+W81))/(DL81+DM81)+DG81)/2)/(1000*0.61365*EXP(17.502*W81/(240.97+W81))/(DL81+DM81)-DG81)</f>
        <v>0.53262474007709293</v>
      </c>
      <c r="T81">
        <f t="shared" ref="T81:T112" si="102">1/((DA81+1)/(Q81/1.6)+1/(R81/1.37)) + DA81/((DA81+1)/(Q81/1.6) + DA81/(R81/1.37))</f>
        <v>0.33776061554919812</v>
      </c>
      <c r="U81">
        <f t="shared" ref="U81:U112" si="103">(CV81*CY81)</f>
        <v>344.324499657883</v>
      </c>
      <c r="V81">
        <f t="shared" ref="V81:V112" si="104">(DN81+(U81+2*0.95*0.0000000567*(((DN81+$B$7)+273)^4-(DN81+273)^4)-44100*J81)/(1.84*29.3*R81+8*0.95*0.0000000567*(DN81+273)^3))</f>
        <v>28.366380307558533</v>
      </c>
      <c r="W81">
        <f t="shared" ref="W81:W112" si="105">($C$7*DO81+$D$7*DP81+$E$7*V81)</f>
        <v>27.215</v>
      </c>
      <c r="X81">
        <f t="shared" ref="X81:X112" si="106">0.61365*EXP(17.502*W81/(240.97+W81))</f>
        <v>3.624605334334301</v>
      </c>
      <c r="Y81">
        <f t="shared" ref="Y81:Y112" si="107">(Z81/AA81*100)</f>
        <v>64.907782991756193</v>
      </c>
      <c r="Z81">
        <f t="shared" ref="Z81:Z112" si="108">DG81*(DL81+DM81)/1000</f>
        <v>2.4630170733599996</v>
      </c>
      <c r="AA81">
        <f t="shared" ref="AA81:AA112" si="109">0.61365*EXP(17.502*DN81/(240.97+DN81))</f>
        <v>3.7946405805800247</v>
      </c>
      <c r="AB81">
        <f t="shared" ref="AB81:AB112" si="110">(X81-DG81*(DL81+DM81)/1000)</f>
        <v>1.1615882609743013</v>
      </c>
      <c r="AC81">
        <f t="shared" ref="AC81:AC112" si="111">(-J81*44100)</f>
        <v>-282.46677767533424</v>
      </c>
      <c r="AD81">
        <f t="shared" ref="AD81:AD112" si="112">2*29.3*R81*0.92*(DN81-W81)</f>
        <v>122.844588817455</v>
      </c>
      <c r="AE81">
        <f t="shared" ref="AE81:AE112" si="113">2*0.95*0.0000000567*(((DN81+$B$7)+273)^4-(W81+273)^4)</f>
        <v>9.1783862247543411</v>
      </c>
      <c r="AF81">
        <f t="shared" ref="AF81:AF112" si="114">U81+AE81+AC81+AD81</f>
        <v>193.88069702475809</v>
      </c>
      <c r="AG81">
        <v>0</v>
      </c>
      <c r="AH81">
        <v>0</v>
      </c>
      <c r="AI81">
        <f t="shared" ref="AI81:AI112" si="115">IF(AG81*$H$13&gt;=AK81,1,(AK81/(AK81-AG81*$H$13)))</f>
        <v>1</v>
      </c>
      <c r="AJ81">
        <f t="shared" ref="AJ81:AJ112" si="116">(AI81-1)*100</f>
        <v>0</v>
      </c>
      <c r="AK81">
        <f t="shared" ref="AK81:AK112" si="117">MAX(0,($B$13+$C$13*DS81)/(1+$D$13*DS81)*DL81/(DN81+273)*$E$13)</f>
        <v>52016.267172220607</v>
      </c>
      <c r="AL81" t="s">
        <v>415</v>
      </c>
      <c r="AM81">
        <v>10297.6</v>
      </c>
      <c r="AN81">
        <v>785.57400000000007</v>
      </c>
      <c r="AO81">
        <v>3597.65</v>
      </c>
      <c r="AP81">
        <f t="shared" ref="AP81:AP112" si="118">1-AN81/AO81</f>
        <v>0.7816424610509638</v>
      </c>
      <c r="AQ81">
        <v>-0.62398835798131469</v>
      </c>
      <c r="AR81" t="s">
        <v>749</v>
      </c>
      <c r="AS81">
        <v>10227.1</v>
      </c>
      <c r="AT81">
        <v>730.40568000000019</v>
      </c>
      <c r="AU81">
        <v>1082.6015469188731</v>
      </c>
      <c r="AV81">
        <f t="shared" ref="AV81:AV112" si="119">1-AT81/AU81</f>
        <v>0.32532363169185952</v>
      </c>
      <c r="AW81">
        <v>0.5</v>
      </c>
      <c r="AX81">
        <f t="shared" ref="AX81:AX112" si="120">CW81</f>
        <v>1512.9908998289416</v>
      </c>
      <c r="AY81">
        <f t="shared" ref="AY81:AY112" si="121">L81</f>
        <v>51.678607686072674</v>
      </c>
      <c r="AZ81">
        <f t="shared" ref="AZ81:AZ112" si="122">AV81*AW81*AX81</f>
        <v>246.10584712454286</v>
      </c>
      <c r="BA81">
        <f t="shared" ref="BA81:BA112" si="123">(AY81-AQ81)/AX81</f>
        <v>3.4569009007236799E-2</v>
      </c>
      <c r="BB81">
        <f t="shared" ref="BB81:BB112" si="124">(AO81-AU81)/AU81</f>
        <v>2.323152465686988</v>
      </c>
      <c r="BC81">
        <f t="shared" ref="BC81:BC112" si="125">AN81/(AP81+AN81/AU81)</f>
        <v>521.18724984145229</v>
      </c>
      <c r="BD81" t="s">
        <v>750</v>
      </c>
      <c r="BE81">
        <v>563.48</v>
      </c>
      <c r="BF81">
        <f t="shared" ref="BF81:BF112" si="126">IF(BE81&lt;&gt;0, BE81, BC81)</f>
        <v>563.48</v>
      </c>
      <c r="BG81">
        <f t="shared" ref="BG81:BG112" si="127">1-BF81/AU81</f>
        <v>0.4795130289590972</v>
      </c>
      <c r="BH81">
        <f t="shared" ref="BH81:BH112" si="128">(AU81-AT81)/(AU81-BF81)</f>
        <v>0.67844586496024051</v>
      </c>
      <c r="BI81">
        <f t="shared" ref="BI81:BI112" si="129">(AO81-AU81)/(AO81-BF81)</f>
        <v>0.8289082197375649</v>
      </c>
      <c r="BJ81">
        <f t="shared" ref="BJ81:BJ112" si="130">(AU81-AT81)/(AU81-AN81)</f>
        <v>1.1857346921936098</v>
      </c>
      <c r="BK81">
        <f t="shared" ref="BK81:BK112" si="131">(AO81-AU81)/(AO81-AN81)</f>
        <v>0.89437428187613965</v>
      </c>
      <c r="BL81">
        <f t="shared" ref="BL81:BL112" si="132">(BH81*BF81/AT81)</f>
        <v>0.52339499329714445</v>
      </c>
      <c r="BM81">
        <f t="shared" ref="BM81:BM112" si="133">(1-BL81)</f>
        <v>0.47660500670285555</v>
      </c>
      <c r="BN81">
        <v>129</v>
      </c>
      <c r="BO81">
        <v>290.00000000000011</v>
      </c>
      <c r="BP81">
        <v>991.92</v>
      </c>
      <c r="BQ81">
        <v>155</v>
      </c>
      <c r="BR81">
        <v>10227.1</v>
      </c>
      <c r="BS81">
        <v>990.26</v>
      </c>
      <c r="BT81">
        <v>1.66</v>
      </c>
      <c r="BU81">
        <v>300.00000000000011</v>
      </c>
      <c r="BV81">
        <v>24.1</v>
      </c>
      <c r="BW81">
        <v>1082.6015469188731</v>
      </c>
      <c r="BX81">
        <v>1.788378109236886</v>
      </c>
      <c r="BY81">
        <v>-94.436099481695635</v>
      </c>
      <c r="BZ81">
        <v>1.6266062027206281</v>
      </c>
      <c r="CA81">
        <v>0.99176138906570621</v>
      </c>
      <c r="CB81">
        <v>-6.9614309232480624E-3</v>
      </c>
      <c r="CC81">
        <v>289.99999999999989</v>
      </c>
      <c r="CD81">
        <v>988.09</v>
      </c>
      <c r="CE81">
        <v>755</v>
      </c>
      <c r="CF81">
        <v>10187.5</v>
      </c>
      <c r="CG81">
        <v>989.9</v>
      </c>
      <c r="CH81">
        <v>-1.81</v>
      </c>
      <c r="CV81">
        <f t="shared" ref="CV81:CV112" si="134">$B$11*DT81+$C$11*DU81+$F$11*EF81*(1-EI81)</f>
        <v>1799.77</v>
      </c>
      <c r="CW81">
        <f t="shared" ref="CW81:CW112" si="135">CV81*CX81</f>
        <v>1512.9908998289416</v>
      </c>
      <c r="CX81">
        <f t="shared" ref="CX81:CX112" si="136">($B$11*$D$9+$C$11*$D$9+$F$11*((ES81+EK81)/MAX(ES81+EK81+ET81, 0.1)*$I$9+ET81/MAX(ES81+EK81+ET81, 0.1)*$J$9))/($B$11+$C$11+$F$11)</f>
        <v>0.84065791730551209</v>
      </c>
      <c r="CY81">
        <f t="shared" ref="CY81:CY112" si="137">($B$11*$K$9+$C$11*$K$9+$F$11*((ES81+EK81)/MAX(ES81+EK81+ET81, 0.1)*$P$9+ET81/MAX(ES81+EK81+ET81, 0.1)*$Q$9))/($B$11+$C$11+$F$11)</f>
        <v>0.19131583461102419</v>
      </c>
      <c r="CZ81">
        <v>6</v>
      </c>
      <c r="DA81">
        <v>0.5</v>
      </c>
      <c r="DB81" t="s">
        <v>418</v>
      </c>
      <c r="DC81">
        <v>2</v>
      </c>
      <c r="DD81">
        <v>1674590657.0999999</v>
      </c>
      <c r="DE81">
        <v>335.39600000000002</v>
      </c>
      <c r="DF81">
        <v>399.97300000000001</v>
      </c>
      <c r="DG81">
        <v>24.72</v>
      </c>
      <c r="DH81">
        <v>17.2256</v>
      </c>
      <c r="DI81">
        <v>336.24099999999999</v>
      </c>
      <c r="DJ81">
        <v>24.491099999999999</v>
      </c>
      <c r="DK81">
        <v>500.11799999999999</v>
      </c>
      <c r="DL81">
        <v>99.535899999999998</v>
      </c>
      <c r="DM81">
        <v>0.100713</v>
      </c>
      <c r="DN81">
        <v>27.999099999999999</v>
      </c>
      <c r="DO81">
        <v>27.215</v>
      </c>
      <c r="DP81">
        <v>999.9</v>
      </c>
      <c r="DQ81">
        <v>0</v>
      </c>
      <c r="DR81">
        <v>0</v>
      </c>
      <c r="DS81">
        <v>9912.5</v>
      </c>
      <c r="DT81">
        <v>0</v>
      </c>
      <c r="DU81">
        <v>417.14499999999998</v>
      </c>
      <c r="DV81">
        <v>-64.576999999999998</v>
      </c>
      <c r="DW81">
        <v>343.89699999999999</v>
      </c>
      <c r="DX81">
        <v>406.983</v>
      </c>
      <c r="DY81">
        <v>7.4943099999999996</v>
      </c>
      <c r="DZ81">
        <v>399.97300000000001</v>
      </c>
      <c r="EA81">
        <v>17.2256</v>
      </c>
      <c r="EB81">
        <v>2.4605199999999998</v>
      </c>
      <c r="EC81">
        <v>1.7145699999999999</v>
      </c>
      <c r="ED81">
        <v>20.767700000000001</v>
      </c>
      <c r="EE81">
        <v>15.029</v>
      </c>
      <c r="EF81">
        <v>1799.77</v>
      </c>
      <c r="EG81">
        <v>0.97800600000000004</v>
      </c>
      <c r="EH81">
        <v>2.1994300000000001E-2</v>
      </c>
      <c r="EI81">
        <v>0</v>
      </c>
      <c r="EJ81">
        <v>730.846</v>
      </c>
      <c r="EK81">
        <v>5.0002599999999999</v>
      </c>
      <c r="EL81">
        <v>13571.1</v>
      </c>
      <c r="EM81">
        <v>17101.2</v>
      </c>
      <c r="EN81">
        <v>50.186999999999998</v>
      </c>
      <c r="EO81">
        <v>51.5</v>
      </c>
      <c r="EP81">
        <v>51.186999999999998</v>
      </c>
      <c r="EQ81">
        <v>50.811999999999998</v>
      </c>
      <c r="ER81">
        <v>51.375</v>
      </c>
      <c r="ES81">
        <v>1755.3</v>
      </c>
      <c r="ET81">
        <v>39.47</v>
      </c>
      <c r="EU81">
        <v>0</v>
      </c>
      <c r="EV81">
        <v>187.80000019073489</v>
      </c>
      <c r="EW81">
        <v>0</v>
      </c>
      <c r="EX81">
        <v>730.40568000000019</v>
      </c>
      <c r="EY81">
        <v>5.0522307681812473</v>
      </c>
      <c r="EZ81">
        <v>42.430769215433507</v>
      </c>
      <c r="FA81">
        <v>13568.536</v>
      </c>
      <c r="FB81">
        <v>15</v>
      </c>
      <c r="FC81">
        <v>1674590538.0999999</v>
      </c>
      <c r="FD81" t="s">
        <v>751</v>
      </c>
      <c r="FE81">
        <v>1674590529.0999999</v>
      </c>
      <c r="FF81">
        <v>1674590538.0999999</v>
      </c>
      <c r="FG81">
        <v>73</v>
      </c>
      <c r="FH81">
        <v>-4.1000000000000002E-2</v>
      </c>
      <c r="FI81">
        <v>2E-3</v>
      </c>
      <c r="FJ81">
        <v>-0.85499999999999998</v>
      </c>
      <c r="FK81">
        <v>4.8000000000000001E-2</v>
      </c>
      <c r="FL81">
        <v>400</v>
      </c>
      <c r="FM81">
        <v>17</v>
      </c>
      <c r="FN81">
        <v>0.04</v>
      </c>
      <c r="FO81">
        <v>0.01</v>
      </c>
      <c r="FP81">
        <v>51.444824567289317</v>
      </c>
      <c r="FQ81">
        <v>1.33287335983358</v>
      </c>
      <c r="FR81">
        <v>0.1457362537331495</v>
      </c>
      <c r="FS81">
        <v>0</v>
      </c>
      <c r="FT81">
        <v>0.59173092509328173</v>
      </c>
      <c r="FU81">
        <v>-2.712913536213982E-3</v>
      </c>
      <c r="FV81">
        <v>5.1960368030995517E-4</v>
      </c>
      <c r="FW81">
        <v>1</v>
      </c>
      <c r="FX81">
        <v>1</v>
      </c>
      <c r="FY81">
        <v>2</v>
      </c>
      <c r="FZ81" t="s">
        <v>459</v>
      </c>
      <c r="GA81">
        <v>2.92814</v>
      </c>
      <c r="GB81">
        <v>2.8069099999999998</v>
      </c>
      <c r="GC81">
        <v>8.5246500000000003E-2</v>
      </c>
      <c r="GD81">
        <v>9.8995899999999998E-2</v>
      </c>
      <c r="GE81">
        <v>0.114214</v>
      </c>
      <c r="GF81">
        <v>8.9956099999999997E-2</v>
      </c>
      <c r="GG81">
        <v>27174.6</v>
      </c>
      <c r="GH81">
        <v>27146.1</v>
      </c>
      <c r="GI81">
        <v>28219.200000000001</v>
      </c>
      <c r="GJ81">
        <v>27151.1</v>
      </c>
      <c r="GK81">
        <v>35884.9</v>
      </c>
      <c r="GL81">
        <v>32625.200000000001</v>
      </c>
      <c r="GM81">
        <v>42022.6</v>
      </c>
      <c r="GN81">
        <v>36836.1</v>
      </c>
      <c r="GO81">
        <v>1.9272499999999999</v>
      </c>
      <c r="GP81">
        <v>1.8787799999999999</v>
      </c>
      <c r="GQ81">
        <v>4.8011499999999999E-2</v>
      </c>
      <c r="GR81">
        <v>0</v>
      </c>
      <c r="GS81">
        <v>26.429600000000001</v>
      </c>
      <c r="GT81">
        <v>999.9</v>
      </c>
      <c r="GU81">
        <v>49.4</v>
      </c>
      <c r="GV81">
        <v>35.200000000000003</v>
      </c>
      <c r="GW81">
        <v>28.347100000000001</v>
      </c>
      <c r="GX81">
        <v>61.039200000000001</v>
      </c>
      <c r="GY81">
        <v>26.666699999999999</v>
      </c>
      <c r="GZ81">
        <v>1</v>
      </c>
      <c r="HA81">
        <v>0.43238599999999999</v>
      </c>
      <c r="HB81">
        <v>3.0509599999999999</v>
      </c>
      <c r="HC81">
        <v>20.319299999999998</v>
      </c>
      <c r="HD81">
        <v>5.2394499999999997</v>
      </c>
      <c r="HE81">
        <v>11.9381</v>
      </c>
      <c r="HF81">
        <v>4.9737499999999999</v>
      </c>
      <c r="HG81">
        <v>3.2989999999999999</v>
      </c>
      <c r="HH81">
        <v>9999</v>
      </c>
      <c r="HI81">
        <v>9999</v>
      </c>
      <c r="HJ81">
        <v>9999</v>
      </c>
      <c r="HK81">
        <v>999.9</v>
      </c>
      <c r="HL81">
        <v>1.87344</v>
      </c>
      <c r="HM81">
        <v>1.8811</v>
      </c>
      <c r="HN81">
        <v>1.88462</v>
      </c>
      <c r="HO81">
        <v>1.8813200000000001</v>
      </c>
      <c r="HP81">
        <v>1.87866</v>
      </c>
      <c r="HQ81">
        <v>1.8734500000000001</v>
      </c>
      <c r="HR81">
        <v>1.8762300000000001</v>
      </c>
      <c r="HS81">
        <v>1.88049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-0.84499999999999997</v>
      </c>
      <c r="IH81">
        <v>0.22889999999999999</v>
      </c>
      <c r="II81">
        <v>-0.97708308598321458</v>
      </c>
      <c r="IJ81">
        <v>9.4905977090923709E-4</v>
      </c>
      <c r="IK81">
        <v>-1.9106666302146479E-6</v>
      </c>
      <c r="IL81">
        <v>7.5819610513223293E-10</v>
      </c>
      <c r="IM81">
        <v>-6.4633414867351469E-2</v>
      </c>
      <c r="IN81">
        <v>-1.0595840490420019E-2</v>
      </c>
      <c r="IO81">
        <v>1.2407080968752471E-3</v>
      </c>
      <c r="IP81">
        <v>-1.3015442653884381E-5</v>
      </c>
      <c r="IQ81">
        <v>33</v>
      </c>
      <c r="IR81">
        <v>2014</v>
      </c>
      <c r="IS81">
        <v>1</v>
      </c>
      <c r="IT81">
        <v>26</v>
      </c>
      <c r="IU81">
        <v>2.1</v>
      </c>
      <c r="IV81">
        <v>2</v>
      </c>
      <c r="IW81">
        <v>1.00952</v>
      </c>
      <c r="IX81">
        <v>2.5366200000000001</v>
      </c>
      <c r="IY81">
        <v>1.5991200000000001</v>
      </c>
      <c r="IZ81">
        <v>2.2997999999999998</v>
      </c>
      <c r="JA81">
        <v>1.5490699999999999</v>
      </c>
      <c r="JB81">
        <v>2.3571800000000001</v>
      </c>
      <c r="JC81">
        <v>38.771700000000003</v>
      </c>
      <c r="JD81">
        <v>24.07</v>
      </c>
      <c r="JE81">
        <v>18</v>
      </c>
      <c r="JF81">
        <v>489.73</v>
      </c>
      <c r="JG81">
        <v>492.31700000000001</v>
      </c>
      <c r="JH81">
        <v>22.684999999999999</v>
      </c>
      <c r="JI81">
        <v>32.619700000000002</v>
      </c>
      <c r="JJ81">
        <v>30</v>
      </c>
      <c r="JK81">
        <v>32.709099999999999</v>
      </c>
      <c r="JL81">
        <v>32.676900000000003</v>
      </c>
      <c r="JM81">
        <v>20.270099999999999</v>
      </c>
      <c r="JN81">
        <v>45.775799999999997</v>
      </c>
      <c r="JO81">
        <v>0</v>
      </c>
      <c r="JP81">
        <v>22.687000000000001</v>
      </c>
      <c r="JQ81">
        <v>400</v>
      </c>
      <c r="JR81">
        <v>17.267600000000002</v>
      </c>
      <c r="JS81">
        <v>99.628100000000003</v>
      </c>
      <c r="JT81">
        <v>98.632400000000004</v>
      </c>
    </row>
    <row r="82" spans="1:280" x14ac:dyDescent="0.25">
      <c r="A82">
        <v>66</v>
      </c>
      <c r="B82">
        <v>1674590767.0999999</v>
      </c>
      <c r="C82">
        <v>15342.099999904631</v>
      </c>
      <c r="D82" t="s">
        <v>752</v>
      </c>
      <c r="E82" t="s">
        <v>753</v>
      </c>
      <c r="F82" t="s">
        <v>412</v>
      </c>
      <c r="G82" t="s">
        <v>708</v>
      </c>
      <c r="H82" t="s">
        <v>414</v>
      </c>
      <c r="I82">
        <v>1674590767.0999999</v>
      </c>
      <c r="J82">
        <f t="shared" si="92"/>
        <v>6.3086940530738015E-3</v>
      </c>
      <c r="K82">
        <f t="shared" si="93"/>
        <v>6.3086940530738014</v>
      </c>
      <c r="L82">
        <f t="shared" si="94"/>
        <v>54.557337944334918</v>
      </c>
      <c r="M82">
        <f t="shared" si="95"/>
        <v>431.39400000000001</v>
      </c>
      <c r="N82">
        <f t="shared" si="96"/>
        <v>262.85885433118693</v>
      </c>
      <c r="O82">
        <f t="shared" si="97"/>
        <v>26.190456366065732</v>
      </c>
      <c r="P82">
        <f t="shared" si="98"/>
        <v>42.982785428058001</v>
      </c>
      <c r="Q82">
        <f t="shared" si="99"/>
        <v>0.59038133629278933</v>
      </c>
      <c r="R82">
        <f t="shared" si="100"/>
        <v>2.9084469173741763</v>
      </c>
      <c r="S82">
        <f t="shared" si="101"/>
        <v>0.53099572979350262</v>
      </c>
      <c r="T82">
        <f t="shared" si="102"/>
        <v>0.33670871524075319</v>
      </c>
      <c r="U82">
        <f t="shared" si="103"/>
        <v>344.37961281423554</v>
      </c>
      <c r="V82">
        <f t="shared" si="104"/>
        <v>28.395856272609834</v>
      </c>
      <c r="W82">
        <f t="shared" si="105"/>
        <v>27.243500000000001</v>
      </c>
      <c r="X82">
        <f t="shared" si="106"/>
        <v>3.6306671682388778</v>
      </c>
      <c r="Y82">
        <f t="shared" si="107"/>
        <v>65.423959086029484</v>
      </c>
      <c r="Z82">
        <f t="shared" si="108"/>
        <v>2.4832120245281999</v>
      </c>
      <c r="AA82">
        <f t="shared" si="109"/>
        <v>3.7955697869994247</v>
      </c>
      <c r="AB82">
        <f t="shared" si="110"/>
        <v>1.1474551437106779</v>
      </c>
      <c r="AC82">
        <f t="shared" si="111"/>
        <v>-278.21340774055466</v>
      </c>
      <c r="AD82">
        <f t="shared" si="112"/>
        <v>119.13678452116008</v>
      </c>
      <c r="AE82">
        <f t="shared" si="113"/>
        <v>8.8953897384253064</v>
      </c>
      <c r="AF82">
        <f t="shared" si="114"/>
        <v>194.19837933326627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52084.936222593016</v>
      </c>
      <c r="AL82" t="s">
        <v>415</v>
      </c>
      <c r="AM82">
        <v>10297.6</v>
      </c>
      <c r="AN82">
        <v>785.57400000000007</v>
      </c>
      <c r="AO82">
        <v>3597.65</v>
      </c>
      <c r="AP82">
        <f t="shared" si="118"/>
        <v>0.7816424610509638</v>
      </c>
      <c r="AQ82">
        <v>-0.62398835798131469</v>
      </c>
      <c r="AR82" t="s">
        <v>754</v>
      </c>
      <c r="AS82">
        <v>10216.6</v>
      </c>
      <c r="AT82">
        <v>738.31232</v>
      </c>
      <c r="AU82">
        <v>1119.920662433371</v>
      </c>
      <c r="AV82">
        <f t="shared" si="119"/>
        <v>0.34074587176935367</v>
      </c>
      <c r="AW82">
        <v>0.5</v>
      </c>
      <c r="AX82">
        <f t="shared" si="120"/>
        <v>1513.2345064071178</v>
      </c>
      <c r="AY82">
        <f t="shared" si="121"/>
        <v>54.557337944334918</v>
      </c>
      <c r="AZ82">
        <f t="shared" si="122"/>
        <v>257.8142055385805</v>
      </c>
      <c r="BA82">
        <f t="shared" si="123"/>
        <v>3.6465812845712597E-2</v>
      </c>
      <c r="BB82">
        <f t="shared" si="124"/>
        <v>2.2124150582086792</v>
      </c>
      <c r="BC82">
        <f t="shared" si="125"/>
        <v>529.68466076090044</v>
      </c>
      <c r="BD82" t="s">
        <v>755</v>
      </c>
      <c r="BE82">
        <v>565.66999999999996</v>
      </c>
      <c r="BF82">
        <f t="shared" si="126"/>
        <v>565.66999999999996</v>
      </c>
      <c r="BG82">
        <f t="shared" si="127"/>
        <v>0.49490172029605339</v>
      </c>
      <c r="BH82">
        <f t="shared" si="128"/>
        <v>0.68851219907968242</v>
      </c>
      <c r="BI82">
        <f t="shared" si="129"/>
        <v>0.81719844377820072</v>
      </c>
      <c r="BJ82">
        <f t="shared" si="130"/>
        <v>1.1413553216174797</v>
      </c>
      <c r="BK82">
        <f t="shared" si="131"/>
        <v>0.88110326234661829</v>
      </c>
      <c r="BL82">
        <f t="shared" si="132"/>
        <v>0.52751482685999862</v>
      </c>
      <c r="BM82">
        <f t="shared" si="133"/>
        <v>0.47248517314000138</v>
      </c>
      <c r="BN82">
        <v>131</v>
      </c>
      <c r="BO82">
        <v>290.00000000000011</v>
      </c>
      <c r="BP82">
        <v>1018.18</v>
      </c>
      <c r="BQ82">
        <v>225</v>
      </c>
      <c r="BR82">
        <v>10216.6</v>
      </c>
      <c r="BS82">
        <v>1016.75</v>
      </c>
      <c r="BT82">
        <v>1.43</v>
      </c>
      <c r="BU82">
        <v>300.00000000000011</v>
      </c>
      <c r="BV82">
        <v>24.1</v>
      </c>
      <c r="BW82">
        <v>1119.920662433371</v>
      </c>
      <c r="BX82">
        <v>2.1289989380856218</v>
      </c>
      <c r="BY82">
        <v>-105.40094832245209</v>
      </c>
      <c r="BZ82">
        <v>1.9364488717431541</v>
      </c>
      <c r="CA82">
        <v>0.99063741463229726</v>
      </c>
      <c r="CB82">
        <v>-6.9617426028921172E-3</v>
      </c>
      <c r="CC82">
        <v>289.99999999999989</v>
      </c>
      <c r="CD82">
        <v>1012.55</v>
      </c>
      <c r="CE82">
        <v>735</v>
      </c>
      <c r="CF82">
        <v>10188.799999999999</v>
      </c>
      <c r="CG82">
        <v>1016.47</v>
      </c>
      <c r="CH82">
        <v>-3.92</v>
      </c>
      <c r="CV82">
        <f t="shared" si="134"/>
        <v>1800.06</v>
      </c>
      <c r="CW82">
        <f t="shared" si="135"/>
        <v>1513.2345064071178</v>
      </c>
      <c r="CX82">
        <f t="shared" si="136"/>
        <v>0.84065781496567771</v>
      </c>
      <c r="CY82">
        <f t="shared" si="137"/>
        <v>0.19131562993135537</v>
      </c>
      <c r="CZ82">
        <v>6</v>
      </c>
      <c r="DA82">
        <v>0.5</v>
      </c>
      <c r="DB82" t="s">
        <v>418</v>
      </c>
      <c r="DC82">
        <v>2</v>
      </c>
      <c r="DD82">
        <v>1674590767.0999999</v>
      </c>
      <c r="DE82">
        <v>431.39400000000001</v>
      </c>
      <c r="DF82">
        <v>500.11599999999999</v>
      </c>
      <c r="DG82">
        <v>24.922599999999999</v>
      </c>
      <c r="DH82">
        <v>17.542200000000001</v>
      </c>
      <c r="DI82">
        <v>432.25</v>
      </c>
      <c r="DJ82">
        <v>24.689599999999999</v>
      </c>
      <c r="DK82">
        <v>500.09199999999998</v>
      </c>
      <c r="DL82">
        <v>99.536000000000001</v>
      </c>
      <c r="DM82">
        <v>0.10095700000000001</v>
      </c>
      <c r="DN82">
        <v>28.003299999999999</v>
      </c>
      <c r="DO82">
        <v>27.243500000000001</v>
      </c>
      <c r="DP82">
        <v>999.9</v>
      </c>
      <c r="DQ82">
        <v>0</v>
      </c>
      <c r="DR82">
        <v>0</v>
      </c>
      <c r="DS82">
        <v>9926.25</v>
      </c>
      <c r="DT82">
        <v>0</v>
      </c>
      <c r="DU82">
        <v>400.25099999999998</v>
      </c>
      <c r="DV82">
        <v>-68.721699999999998</v>
      </c>
      <c r="DW82">
        <v>442.42099999999999</v>
      </c>
      <c r="DX82">
        <v>509.04599999999999</v>
      </c>
      <c r="DY82">
        <v>7.3803900000000002</v>
      </c>
      <c r="DZ82">
        <v>500.11599999999999</v>
      </c>
      <c r="EA82">
        <v>17.542200000000001</v>
      </c>
      <c r="EB82">
        <v>2.4807000000000001</v>
      </c>
      <c r="EC82">
        <v>1.7460800000000001</v>
      </c>
      <c r="ED82">
        <v>20.900400000000001</v>
      </c>
      <c r="EE82">
        <v>15.3123</v>
      </c>
      <c r="EF82">
        <v>1800.06</v>
      </c>
      <c r="EG82">
        <v>0.97800900000000002</v>
      </c>
      <c r="EH82">
        <v>2.1990699999999998E-2</v>
      </c>
      <c r="EI82">
        <v>0</v>
      </c>
      <c r="EJ82">
        <v>738.91099999999994</v>
      </c>
      <c r="EK82">
        <v>5.0002599999999999</v>
      </c>
      <c r="EL82">
        <v>13685.5</v>
      </c>
      <c r="EM82">
        <v>17104</v>
      </c>
      <c r="EN82">
        <v>50.125</v>
      </c>
      <c r="EO82">
        <v>51.5</v>
      </c>
      <c r="EP82">
        <v>51.125</v>
      </c>
      <c r="EQ82">
        <v>50.75</v>
      </c>
      <c r="ER82">
        <v>51.375</v>
      </c>
      <c r="ES82">
        <v>1755.58</v>
      </c>
      <c r="ET82">
        <v>39.47</v>
      </c>
      <c r="EU82">
        <v>0</v>
      </c>
      <c r="EV82">
        <v>108</v>
      </c>
      <c r="EW82">
        <v>0</v>
      </c>
      <c r="EX82">
        <v>738.31232</v>
      </c>
      <c r="EY82">
        <v>3.0997692416313369</v>
      </c>
      <c r="EZ82">
        <v>28.3538462050732</v>
      </c>
      <c r="FA82">
        <v>13680.428</v>
      </c>
      <c r="FB82">
        <v>15</v>
      </c>
      <c r="FC82">
        <v>1674590731.5999999</v>
      </c>
      <c r="FD82" t="s">
        <v>756</v>
      </c>
      <c r="FE82">
        <v>1674590723.5999999</v>
      </c>
      <c r="FF82">
        <v>1674590731.5999999</v>
      </c>
      <c r="FG82">
        <v>74</v>
      </c>
      <c r="FH82">
        <v>7.0000000000000001E-3</v>
      </c>
      <c r="FI82">
        <v>-1E-3</v>
      </c>
      <c r="FJ82">
        <v>-0.879</v>
      </c>
      <c r="FK82">
        <v>5.2999999999999999E-2</v>
      </c>
      <c r="FL82">
        <v>500</v>
      </c>
      <c r="FM82">
        <v>17</v>
      </c>
      <c r="FN82">
        <v>0.03</v>
      </c>
      <c r="FO82">
        <v>0.02</v>
      </c>
      <c r="FP82">
        <v>54.365216445484592</v>
      </c>
      <c r="FQ82">
        <v>-0.2875165541779548</v>
      </c>
      <c r="FR82">
        <v>6.6477670696443225E-2</v>
      </c>
      <c r="FS82">
        <v>1</v>
      </c>
      <c r="FT82">
        <v>0.59157586633175763</v>
      </c>
      <c r="FU82">
        <v>4.5388356667386963E-2</v>
      </c>
      <c r="FV82">
        <v>7.1822860349184921E-3</v>
      </c>
      <c r="FW82">
        <v>1</v>
      </c>
      <c r="FX82">
        <v>2</v>
      </c>
      <c r="FY82">
        <v>2</v>
      </c>
      <c r="FZ82" t="s">
        <v>420</v>
      </c>
      <c r="GA82">
        <v>2.9281199999999998</v>
      </c>
      <c r="GB82">
        <v>2.8072499999999998</v>
      </c>
      <c r="GC82">
        <v>0.103784</v>
      </c>
      <c r="GD82">
        <v>0.117143</v>
      </c>
      <c r="GE82">
        <v>0.11486399999999999</v>
      </c>
      <c r="GF82">
        <v>9.1142299999999996E-2</v>
      </c>
      <c r="GG82">
        <v>26625</v>
      </c>
      <c r="GH82">
        <v>26600.7</v>
      </c>
      <c r="GI82">
        <v>28220.7</v>
      </c>
      <c r="GJ82">
        <v>27153</v>
      </c>
      <c r="GK82">
        <v>35860.199999999997</v>
      </c>
      <c r="GL82">
        <v>32585.3</v>
      </c>
      <c r="GM82">
        <v>42024.6</v>
      </c>
      <c r="GN82">
        <v>36838.9</v>
      </c>
      <c r="GO82">
        <v>1.92703</v>
      </c>
      <c r="GP82">
        <v>1.87965</v>
      </c>
      <c r="GQ82">
        <v>5.1189199999999997E-2</v>
      </c>
      <c r="GR82">
        <v>0</v>
      </c>
      <c r="GS82">
        <v>26.406099999999999</v>
      </c>
      <c r="GT82">
        <v>999.9</v>
      </c>
      <c r="GU82">
        <v>49.3</v>
      </c>
      <c r="GV82">
        <v>35.200000000000003</v>
      </c>
      <c r="GW82">
        <v>28.285499999999999</v>
      </c>
      <c r="GX82">
        <v>61.109200000000001</v>
      </c>
      <c r="GY82">
        <v>27.055299999999999</v>
      </c>
      <c r="GZ82">
        <v>1</v>
      </c>
      <c r="HA82">
        <v>0.430114</v>
      </c>
      <c r="HB82">
        <v>3.00936</v>
      </c>
      <c r="HC82">
        <v>20.319400000000002</v>
      </c>
      <c r="HD82">
        <v>5.2373599999999998</v>
      </c>
      <c r="HE82">
        <v>11.9381</v>
      </c>
      <c r="HF82">
        <v>4.97295</v>
      </c>
      <c r="HG82">
        <v>3.2984800000000001</v>
      </c>
      <c r="HH82">
        <v>9999</v>
      </c>
      <c r="HI82">
        <v>9999</v>
      </c>
      <c r="HJ82">
        <v>9999</v>
      </c>
      <c r="HK82">
        <v>999.9</v>
      </c>
      <c r="HL82">
        <v>1.87341</v>
      </c>
      <c r="HM82">
        <v>1.8811</v>
      </c>
      <c r="HN82">
        <v>1.8846099999999999</v>
      </c>
      <c r="HO82">
        <v>1.8813299999999999</v>
      </c>
      <c r="HP82">
        <v>1.87866</v>
      </c>
      <c r="HQ82">
        <v>1.8734200000000001</v>
      </c>
      <c r="HR82">
        <v>1.87622</v>
      </c>
      <c r="HS82">
        <v>1.88049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-0.85599999999999998</v>
      </c>
      <c r="IH82">
        <v>0.23300000000000001</v>
      </c>
      <c r="II82">
        <v>-0.96991550683893946</v>
      </c>
      <c r="IJ82">
        <v>9.4905977090923709E-4</v>
      </c>
      <c r="IK82">
        <v>-1.9106666302146479E-6</v>
      </c>
      <c r="IL82">
        <v>7.5819610513223293E-10</v>
      </c>
      <c r="IM82">
        <v>-6.5771422331277529E-2</v>
      </c>
      <c r="IN82">
        <v>-1.0595840490420019E-2</v>
      </c>
      <c r="IO82">
        <v>1.2407080968752471E-3</v>
      </c>
      <c r="IP82">
        <v>-1.3015442653884381E-5</v>
      </c>
      <c r="IQ82">
        <v>33</v>
      </c>
      <c r="IR82">
        <v>2014</v>
      </c>
      <c r="IS82">
        <v>1</v>
      </c>
      <c r="IT82">
        <v>26</v>
      </c>
      <c r="IU82">
        <v>0.7</v>
      </c>
      <c r="IV82">
        <v>0.6</v>
      </c>
      <c r="IW82">
        <v>1.2097199999999999</v>
      </c>
      <c r="IX82">
        <v>2.5329600000000001</v>
      </c>
      <c r="IY82">
        <v>1.5991200000000001</v>
      </c>
      <c r="IZ82">
        <v>2.2997999999999998</v>
      </c>
      <c r="JA82">
        <v>1.5502899999999999</v>
      </c>
      <c r="JB82">
        <v>2.3034699999999999</v>
      </c>
      <c r="JC82">
        <v>38.747100000000003</v>
      </c>
      <c r="JD82">
        <v>24.061199999999999</v>
      </c>
      <c r="JE82">
        <v>18</v>
      </c>
      <c r="JF82">
        <v>489.459</v>
      </c>
      <c r="JG82">
        <v>492.81</v>
      </c>
      <c r="JH82">
        <v>22.704799999999999</v>
      </c>
      <c r="JI82">
        <v>32.591500000000003</v>
      </c>
      <c r="JJ82">
        <v>29.9998</v>
      </c>
      <c r="JK82">
        <v>32.692799999999998</v>
      </c>
      <c r="JL82">
        <v>32.662399999999998</v>
      </c>
      <c r="JM82">
        <v>24.261399999999998</v>
      </c>
      <c r="JN82">
        <v>44.837499999999999</v>
      </c>
      <c r="JO82">
        <v>0</v>
      </c>
      <c r="JP82">
        <v>22.703199999999999</v>
      </c>
      <c r="JQ82">
        <v>500</v>
      </c>
      <c r="JR82">
        <v>17.456199999999999</v>
      </c>
      <c r="JS82">
        <v>99.633099999999999</v>
      </c>
      <c r="JT82">
        <v>98.639700000000005</v>
      </c>
    </row>
    <row r="83" spans="1:280" x14ac:dyDescent="0.25">
      <c r="A83">
        <v>67</v>
      </c>
      <c r="B83">
        <v>1674590880.5999999</v>
      </c>
      <c r="C83">
        <v>15455.599999904631</v>
      </c>
      <c r="D83" t="s">
        <v>757</v>
      </c>
      <c r="E83" t="s">
        <v>758</v>
      </c>
      <c r="F83" t="s">
        <v>412</v>
      </c>
      <c r="G83" t="s">
        <v>708</v>
      </c>
      <c r="H83" t="s">
        <v>414</v>
      </c>
      <c r="I83">
        <v>1674590880.5999999</v>
      </c>
      <c r="J83">
        <f t="shared" si="92"/>
        <v>6.1930646410469047E-3</v>
      </c>
      <c r="K83">
        <f t="shared" si="93"/>
        <v>6.193064641046905</v>
      </c>
      <c r="L83">
        <f t="shared" si="94"/>
        <v>55.861113658472725</v>
      </c>
      <c r="M83">
        <f t="shared" si="95"/>
        <v>529.125</v>
      </c>
      <c r="N83">
        <f t="shared" si="96"/>
        <v>350.47877360386798</v>
      </c>
      <c r="O83">
        <f t="shared" si="97"/>
        <v>34.917640569647673</v>
      </c>
      <c r="P83">
        <f t="shared" si="98"/>
        <v>52.715878843200002</v>
      </c>
      <c r="Q83">
        <f t="shared" si="99"/>
        <v>0.57326858398243519</v>
      </c>
      <c r="R83">
        <f t="shared" si="100"/>
        <v>2.925640454006011</v>
      </c>
      <c r="S83">
        <f t="shared" si="101"/>
        <v>0.51739648505873637</v>
      </c>
      <c r="T83">
        <f t="shared" si="102"/>
        <v>0.3279377144120853</v>
      </c>
      <c r="U83">
        <f t="shared" si="103"/>
        <v>344.37579965793429</v>
      </c>
      <c r="V83">
        <f t="shared" si="104"/>
        <v>28.420775447289476</v>
      </c>
      <c r="W83">
        <f t="shared" si="105"/>
        <v>27.255299999999998</v>
      </c>
      <c r="X83">
        <f t="shared" si="106"/>
        <v>3.6331795691985702</v>
      </c>
      <c r="Y83">
        <f t="shared" si="107"/>
        <v>65.277778311125957</v>
      </c>
      <c r="Z83">
        <f t="shared" si="108"/>
        <v>2.47723035704704</v>
      </c>
      <c r="AA83">
        <f t="shared" si="109"/>
        <v>3.7949060478745191</v>
      </c>
      <c r="AB83">
        <f t="shared" si="110"/>
        <v>1.1559492121515302</v>
      </c>
      <c r="AC83">
        <f t="shared" si="111"/>
        <v>-273.1141506701685</v>
      </c>
      <c r="AD83">
        <f t="shared" si="112"/>
        <v>117.50671047649736</v>
      </c>
      <c r="AE83">
        <f t="shared" si="113"/>
        <v>8.7225005751493185</v>
      </c>
      <c r="AF83">
        <f t="shared" si="114"/>
        <v>197.49086003941244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52578.686676409648</v>
      </c>
      <c r="AL83" t="s">
        <v>415</v>
      </c>
      <c r="AM83">
        <v>10297.6</v>
      </c>
      <c r="AN83">
        <v>785.57400000000007</v>
      </c>
      <c r="AO83">
        <v>3597.65</v>
      </c>
      <c r="AP83">
        <f t="shared" si="118"/>
        <v>0.7816424610509638</v>
      </c>
      <c r="AQ83">
        <v>-0.62398835798131469</v>
      </c>
      <c r="AR83" t="s">
        <v>759</v>
      </c>
      <c r="AS83">
        <v>10232.6</v>
      </c>
      <c r="AT83">
        <v>743.14588000000003</v>
      </c>
      <c r="AU83">
        <v>1140.2682299282189</v>
      </c>
      <c r="AV83">
        <f t="shared" si="119"/>
        <v>0.34827099405656348</v>
      </c>
      <c r="AW83">
        <v>0.5</v>
      </c>
      <c r="AX83">
        <f t="shared" si="120"/>
        <v>1513.2176998289672</v>
      </c>
      <c r="AY83">
        <f t="shared" si="121"/>
        <v>55.861113658472725</v>
      </c>
      <c r="AZ83">
        <f t="shared" si="122"/>
        <v>263.50491627171044</v>
      </c>
      <c r="BA83">
        <f t="shared" si="123"/>
        <v>3.7327809490226238E-2</v>
      </c>
      <c r="BB83">
        <f t="shared" si="124"/>
        <v>2.1550909738373361</v>
      </c>
      <c r="BC83">
        <f t="shared" si="125"/>
        <v>534.1931802542025</v>
      </c>
      <c r="BD83" t="s">
        <v>760</v>
      </c>
      <c r="BE83">
        <v>568.71</v>
      </c>
      <c r="BF83">
        <f t="shared" si="126"/>
        <v>568.71</v>
      </c>
      <c r="BG83">
        <f t="shared" si="127"/>
        <v>0.50124892979277258</v>
      </c>
      <c r="BH83">
        <f t="shared" si="128"/>
        <v>0.69480645913906769</v>
      </c>
      <c r="BI83">
        <f t="shared" si="129"/>
        <v>0.8113009072717785</v>
      </c>
      <c r="BJ83">
        <f t="shared" si="130"/>
        <v>1.119618861599712</v>
      </c>
      <c r="BK83">
        <f t="shared" si="131"/>
        <v>0.87386748084752364</v>
      </c>
      <c r="BL83">
        <f t="shared" si="132"/>
        <v>0.53171711236154495</v>
      </c>
      <c r="BM83">
        <f t="shared" si="133"/>
        <v>0.46828288763845505</v>
      </c>
      <c r="BN83">
        <v>133</v>
      </c>
      <c r="BO83">
        <v>290.00000000000011</v>
      </c>
      <c r="BP83">
        <v>1033.27</v>
      </c>
      <c r="BQ83">
        <v>125</v>
      </c>
      <c r="BR83">
        <v>10232.6</v>
      </c>
      <c r="BS83">
        <v>1031.26</v>
      </c>
      <c r="BT83">
        <v>2.0099999999999998</v>
      </c>
      <c r="BU83">
        <v>300.00000000000011</v>
      </c>
      <c r="BV83">
        <v>24.1</v>
      </c>
      <c r="BW83">
        <v>1140.2682299282189</v>
      </c>
      <c r="BX83">
        <v>1.9152472427532261</v>
      </c>
      <c r="BY83">
        <v>-111.5463261446866</v>
      </c>
      <c r="BZ83">
        <v>1.742033918487748</v>
      </c>
      <c r="CA83">
        <v>0.99321726324201254</v>
      </c>
      <c r="CB83">
        <v>-6.961568631813143E-3</v>
      </c>
      <c r="CC83">
        <v>289.99999999999989</v>
      </c>
      <c r="CD83">
        <v>1026.75</v>
      </c>
      <c r="CE83">
        <v>645</v>
      </c>
      <c r="CF83">
        <v>10194.299999999999</v>
      </c>
      <c r="CG83">
        <v>1030.8499999999999</v>
      </c>
      <c r="CH83">
        <v>-4.0999999999999996</v>
      </c>
      <c r="CV83">
        <f t="shared" si="134"/>
        <v>1800.04</v>
      </c>
      <c r="CW83">
        <f t="shared" si="135"/>
        <v>1513.2176998289672</v>
      </c>
      <c r="CX83">
        <f t="shared" si="136"/>
        <v>0.84065781862012356</v>
      </c>
      <c r="CY83">
        <f t="shared" si="137"/>
        <v>0.19131563724024706</v>
      </c>
      <c r="CZ83">
        <v>6</v>
      </c>
      <c r="DA83">
        <v>0.5</v>
      </c>
      <c r="DB83" t="s">
        <v>418</v>
      </c>
      <c r="DC83">
        <v>2</v>
      </c>
      <c r="DD83">
        <v>1674590880.5999999</v>
      </c>
      <c r="DE83">
        <v>529.125</v>
      </c>
      <c r="DF83">
        <v>600.077</v>
      </c>
      <c r="DG83">
        <v>24.864699999999999</v>
      </c>
      <c r="DH83">
        <v>17.619199999999999</v>
      </c>
      <c r="DI83">
        <v>530.03899999999999</v>
      </c>
      <c r="DJ83">
        <v>24.630400000000002</v>
      </c>
      <c r="DK83">
        <v>500.096</v>
      </c>
      <c r="DL83">
        <v>99.528499999999994</v>
      </c>
      <c r="DM83">
        <v>9.9903199999999998E-2</v>
      </c>
      <c r="DN83">
        <v>28.000299999999999</v>
      </c>
      <c r="DO83">
        <v>27.255299999999998</v>
      </c>
      <c r="DP83">
        <v>999.9</v>
      </c>
      <c r="DQ83">
        <v>0</v>
      </c>
      <c r="DR83">
        <v>0</v>
      </c>
      <c r="DS83">
        <v>10025</v>
      </c>
      <c r="DT83">
        <v>0</v>
      </c>
      <c r="DU83">
        <v>387.46600000000001</v>
      </c>
      <c r="DV83">
        <v>-70.952100000000002</v>
      </c>
      <c r="DW83">
        <v>542.61699999999996</v>
      </c>
      <c r="DX83">
        <v>610.84</v>
      </c>
      <c r="DY83">
        <v>7.24552</v>
      </c>
      <c r="DZ83">
        <v>600.077</v>
      </c>
      <c r="EA83">
        <v>17.619199999999999</v>
      </c>
      <c r="EB83">
        <v>2.4747499999999998</v>
      </c>
      <c r="EC83">
        <v>1.7536099999999999</v>
      </c>
      <c r="ED83">
        <v>20.8614</v>
      </c>
      <c r="EE83">
        <v>15.379300000000001</v>
      </c>
      <c r="EF83">
        <v>1800.04</v>
      </c>
      <c r="EG83">
        <v>0.97800900000000002</v>
      </c>
      <c r="EH83">
        <v>2.1990699999999998E-2</v>
      </c>
      <c r="EI83">
        <v>0</v>
      </c>
      <c r="EJ83">
        <v>744.00599999999997</v>
      </c>
      <c r="EK83">
        <v>5.0002599999999999</v>
      </c>
      <c r="EL83">
        <v>13746.8</v>
      </c>
      <c r="EM83">
        <v>17103.900000000001</v>
      </c>
      <c r="EN83">
        <v>50.186999999999998</v>
      </c>
      <c r="EO83">
        <v>51.436999999999998</v>
      </c>
      <c r="EP83">
        <v>51.125</v>
      </c>
      <c r="EQ83">
        <v>50.686999999999998</v>
      </c>
      <c r="ER83">
        <v>51.311999999999998</v>
      </c>
      <c r="ES83">
        <v>1755.57</v>
      </c>
      <c r="ET83">
        <v>39.47</v>
      </c>
      <c r="EU83">
        <v>0</v>
      </c>
      <c r="EV83">
        <v>111.7999999523163</v>
      </c>
      <c r="EW83">
        <v>0</v>
      </c>
      <c r="EX83">
        <v>743.14588000000003</v>
      </c>
      <c r="EY83">
        <v>4.3757692382868756</v>
      </c>
      <c r="EZ83">
        <v>65.746153763152861</v>
      </c>
      <c r="FA83">
        <v>13739.492</v>
      </c>
      <c r="FB83">
        <v>15</v>
      </c>
      <c r="FC83">
        <v>1674590844.5999999</v>
      </c>
      <c r="FD83" t="s">
        <v>761</v>
      </c>
      <c r="FE83">
        <v>1674590835.5999999</v>
      </c>
      <c r="FF83">
        <v>1674590844.5999999</v>
      </c>
      <c r="FG83">
        <v>75</v>
      </c>
      <c r="FH83">
        <v>-2.3E-2</v>
      </c>
      <c r="FI83">
        <v>3.0000000000000001E-3</v>
      </c>
      <c r="FJ83">
        <v>-0.94799999999999995</v>
      </c>
      <c r="FK83">
        <v>0.06</v>
      </c>
      <c r="FL83">
        <v>600</v>
      </c>
      <c r="FM83">
        <v>17</v>
      </c>
      <c r="FN83">
        <v>0.02</v>
      </c>
      <c r="FO83">
        <v>0.01</v>
      </c>
      <c r="FP83">
        <v>55.776674110699098</v>
      </c>
      <c r="FQ83">
        <v>0.13458752206140881</v>
      </c>
      <c r="FR83">
        <v>8.6147229952135931E-2</v>
      </c>
      <c r="FS83">
        <v>1</v>
      </c>
      <c r="FT83">
        <v>0.57784540263403783</v>
      </c>
      <c r="FU83">
        <v>1.220788201780061E-2</v>
      </c>
      <c r="FV83">
        <v>6.1752542519851652E-3</v>
      </c>
      <c r="FW83">
        <v>1</v>
      </c>
      <c r="FX83">
        <v>2</v>
      </c>
      <c r="FY83">
        <v>2</v>
      </c>
      <c r="FZ83" t="s">
        <v>420</v>
      </c>
      <c r="GA83">
        <v>2.9281999999999999</v>
      </c>
      <c r="GB83">
        <v>2.8070400000000002</v>
      </c>
      <c r="GC83">
        <v>0.120764</v>
      </c>
      <c r="GD83">
        <v>0.13356199999999999</v>
      </c>
      <c r="GE83">
        <v>0.114671</v>
      </c>
      <c r="GF83">
        <v>9.1427599999999998E-2</v>
      </c>
      <c r="GG83">
        <v>26122.3</v>
      </c>
      <c r="GH83">
        <v>26107.9</v>
      </c>
      <c r="GI83">
        <v>28223</v>
      </c>
      <c r="GJ83">
        <v>27155.5</v>
      </c>
      <c r="GK83">
        <v>35871.1</v>
      </c>
      <c r="GL83">
        <v>32577.8</v>
      </c>
      <c r="GM83">
        <v>42028</v>
      </c>
      <c r="GN83">
        <v>36841.9</v>
      </c>
      <c r="GO83">
        <v>1.9271</v>
      </c>
      <c r="GP83">
        <v>1.8805700000000001</v>
      </c>
      <c r="GQ83">
        <v>5.4568100000000001E-2</v>
      </c>
      <c r="GR83">
        <v>0</v>
      </c>
      <c r="GS83">
        <v>26.3627</v>
      </c>
      <c r="GT83">
        <v>999.9</v>
      </c>
      <c r="GU83">
        <v>49.3</v>
      </c>
      <c r="GV83">
        <v>35.200000000000003</v>
      </c>
      <c r="GW83">
        <v>28.2926</v>
      </c>
      <c r="GX83">
        <v>61.359200000000001</v>
      </c>
      <c r="GY83">
        <v>26.726800000000001</v>
      </c>
      <c r="GZ83">
        <v>1</v>
      </c>
      <c r="HA83">
        <v>0.42747000000000002</v>
      </c>
      <c r="HB83">
        <v>3.0257700000000001</v>
      </c>
      <c r="HC83">
        <v>20.319099999999999</v>
      </c>
      <c r="HD83">
        <v>5.2389999999999999</v>
      </c>
      <c r="HE83">
        <v>11.9381</v>
      </c>
      <c r="HF83">
        <v>4.9732500000000002</v>
      </c>
      <c r="HG83">
        <v>3.2988499999999998</v>
      </c>
      <c r="HH83">
        <v>9999</v>
      </c>
      <c r="HI83">
        <v>9999</v>
      </c>
      <c r="HJ83">
        <v>9999</v>
      </c>
      <c r="HK83">
        <v>999.9</v>
      </c>
      <c r="HL83">
        <v>1.8734200000000001</v>
      </c>
      <c r="HM83">
        <v>1.8811</v>
      </c>
      <c r="HN83">
        <v>1.8846099999999999</v>
      </c>
      <c r="HO83">
        <v>1.8813200000000001</v>
      </c>
      <c r="HP83">
        <v>1.87866</v>
      </c>
      <c r="HQ83">
        <v>1.8733900000000001</v>
      </c>
      <c r="HR83">
        <v>1.87622</v>
      </c>
      <c r="HS83">
        <v>1.88049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-0.91400000000000003</v>
      </c>
      <c r="IH83">
        <v>0.23430000000000001</v>
      </c>
      <c r="II83">
        <v>-0.99296431214577741</v>
      </c>
      <c r="IJ83">
        <v>9.4905977090923709E-4</v>
      </c>
      <c r="IK83">
        <v>-1.9106666302146479E-6</v>
      </c>
      <c r="IL83">
        <v>7.5819610513223293E-10</v>
      </c>
      <c r="IM83">
        <v>-6.2883734130336613E-2</v>
      </c>
      <c r="IN83">
        <v>-1.0595840490420019E-2</v>
      </c>
      <c r="IO83">
        <v>1.2407080968752471E-3</v>
      </c>
      <c r="IP83">
        <v>-1.3015442653884381E-5</v>
      </c>
      <c r="IQ83">
        <v>33</v>
      </c>
      <c r="IR83">
        <v>2014</v>
      </c>
      <c r="IS83">
        <v>1</v>
      </c>
      <c r="IT83">
        <v>26</v>
      </c>
      <c r="IU83">
        <v>0.8</v>
      </c>
      <c r="IV83">
        <v>0.6</v>
      </c>
      <c r="IW83">
        <v>1.40137</v>
      </c>
      <c r="IX83">
        <v>2.51831</v>
      </c>
      <c r="IY83">
        <v>1.5991200000000001</v>
      </c>
      <c r="IZ83">
        <v>2.2997999999999998</v>
      </c>
      <c r="JA83">
        <v>1.5502899999999999</v>
      </c>
      <c r="JB83">
        <v>2.3864700000000001</v>
      </c>
      <c r="JC83">
        <v>38.771700000000003</v>
      </c>
      <c r="JD83">
        <v>24.07</v>
      </c>
      <c r="JE83">
        <v>18</v>
      </c>
      <c r="JF83">
        <v>489.29</v>
      </c>
      <c r="JG83">
        <v>493.245</v>
      </c>
      <c r="JH83">
        <v>22.745799999999999</v>
      </c>
      <c r="JI83">
        <v>32.554900000000004</v>
      </c>
      <c r="JJ83">
        <v>29.9999</v>
      </c>
      <c r="JK83">
        <v>32.665399999999998</v>
      </c>
      <c r="JL83">
        <v>32.636299999999999</v>
      </c>
      <c r="JM83">
        <v>28.110299999999999</v>
      </c>
      <c r="JN83">
        <v>44.483800000000002</v>
      </c>
      <c r="JO83">
        <v>0</v>
      </c>
      <c r="JP83">
        <v>22.753900000000002</v>
      </c>
      <c r="JQ83">
        <v>600</v>
      </c>
      <c r="JR83">
        <v>17.576499999999999</v>
      </c>
      <c r="JS83">
        <v>99.641099999999994</v>
      </c>
      <c r="JT83">
        <v>98.648099999999999</v>
      </c>
    </row>
    <row r="84" spans="1:280" x14ac:dyDescent="0.25">
      <c r="A84">
        <v>68</v>
      </c>
      <c r="B84">
        <v>1674590992.0999999</v>
      </c>
      <c r="C84">
        <v>15567.099999904631</v>
      </c>
      <c r="D84" t="s">
        <v>762</v>
      </c>
      <c r="E84" t="s">
        <v>763</v>
      </c>
      <c r="F84" t="s">
        <v>412</v>
      </c>
      <c r="G84" t="s">
        <v>708</v>
      </c>
      <c r="H84" t="s">
        <v>414</v>
      </c>
      <c r="I84">
        <v>1674590992.0999999</v>
      </c>
      <c r="J84">
        <f t="shared" si="92"/>
        <v>5.9406758185779366E-3</v>
      </c>
      <c r="K84">
        <f t="shared" si="93"/>
        <v>5.9406758185779367</v>
      </c>
      <c r="L84">
        <f t="shared" si="94"/>
        <v>56.231892021014879</v>
      </c>
      <c r="M84">
        <f t="shared" si="95"/>
        <v>727.351</v>
      </c>
      <c r="N84">
        <f t="shared" si="96"/>
        <v>533.51371098090863</v>
      </c>
      <c r="O84">
        <f t="shared" si="97"/>
        <v>53.151784685840326</v>
      </c>
      <c r="P84">
        <f t="shared" si="98"/>
        <v>72.462999445601994</v>
      </c>
      <c r="Q84">
        <f t="shared" si="99"/>
        <v>0.53815298481260165</v>
      </c>
      <c r="R84">
        <f t="shared" si="100"/>
        <v>2.9225292895362425</v>
      </c>
      <c r="S84">
        <f t="shared" si="101"/>
        <v>0.48855231090850987</v>
      </c>
      <c r="T84">
        <f t="shared" si="102"/>
        <v>0.30941975392886822</v>
      </c>
      <c r="U84">
        <f t="shared" si="103"/>
        <v>344.37771281430668</v>
      </c>
      <c r="V84">
        <f t="shared" si="104"/>
        <v>28.444356695589814</v>
      </c>
      <c r="W84">
        <f t="shared" si="105"/>
        <v>27.332899999999999</v>
      </c>
      <c r="X84">
        <f t="shared" si="106"/>
        <v>3.6497396335316123</v>
      </c>
      <c r="Y84">
        <f t="shared" si="107"/>
        <v>65.395840426926924</v>
      </c>
      <c r="Z84">
        <f t="shared" si="108"/>
        <v>2.475554225847</v>
      </c>
      <c r="AA84">
        <f t="shared" si="109"/>
        <v>3.7854918748435926</v>
      </c>
      <c r="AB84">
        <f t="shared" si="110"/>
        <v>1.1741854076846123</v>
      </c>
      <c r="AC84">
        <f t="shared" si="111"/>
        <v>-261.983803599287</v>
      </c>
      <c r="AD84">
        <f t="shared" si="112"/>
        <v>98.443112531112277</v>
      </c>
      <c r="AE84">
        <f t="shared" si="113"/>
        <v>7.3164666551307551</v>
      </c>
      <c r="AF84">
        <f t="shared" si="114"/>
        <v>188.15348840126268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52496.640607314468</v>
      </c>
      <c r="AL84" t="s">
        <v>415</v>
      </c>
      <c r="AM84">
        <v>10297.6</v>
      </c>
      <c r="AN84">
        <v>785.57400000000007</v>
      </c>
      <c r="AO84">
        <v>3597.65</v>
      </c>
      <c r="AP84">
        <f t="shared" si="118"/>
        <v>0.7816424610509638</v>
      </c>
      <c r="AQ84">
        <v>-0.62398835798131469</v>
      </c>
      <c r="AR84" t="s">
        <v>764</v>
      </c>
      <c r="AS84">
        <v>10227.299999999999</v>
      </c>
      <c r="AT84">
        <v>746.73892000000012</v>
      </c>
      <c r="AU84">
        <v>1152.053609185243</v>
      </c>
      <c r="AV84">
        <f t="shared" si="119"/>
        <v>0.35181929552036217</v>
      </c>
      <c r="AW84">
        <v>0.5</v>
      </c>
      <c r="AX84">
        <f t="shared" si="120"/>
        <v>1513.2261064071533</v>
      </c>
      <c r="AY84">
        <f t="shared" si="121"/>
        <v>56.231892021014879</v>
      </c>
      <c r="AZ84">
        <f t="shared" si="122"/>
        <v>266.19107135959263</v>
      </c>
      <c r="BA84">
        <f t="shared" si="123"/>
        <v>3.7572627209022241E-2</v>
      </c>
      <c r="BB84">
        <f t="shared" si="124"/>
        <v>2.1228147469147163</v>
      </c>
      <c r="BC84">
        <f t="shared" si="125"/>
        <v>536.76562993573168</v>
      </c>
      <c r="BD84" t="s">
        <v>765</v>
      </c>
      <c r="BE84">
        <v>573.21</v>
      </c>
      <c r="BF84">
        <f t="shared" si="126"/>
        <v>573.21</v>
      </c>
      <c r="BG84">
        <f t="shared" si="127"/>
        <v>0.50244502909427413</v>
      </c>
      <c r="BH84">
        <f t="shared" si="128"/>
        <v>0.70021450138448893</v>
      </c>
      <c r="BI84">
        <f t="shared" si="129"/>
        <v>0.80861131013171261</v>
      </c>
      <c r="BJ84">
        <f t="shared" si="130"/>
        <v>1.1059679147943267</v>
      </c>
      <c r="BK84">
        <f t="shared" si="131"/>
        <v>0.86967649196350205</v>
      </c>
      <c r="BL84">
        <f t="shared" si="132"/>
        <v>0.53749703355304268</v>
      </c>
      <c r="BM84">
        <f t="shared" si="133"/>
        <v>0.46250296644695732</v>
      </c>
      <c r="BN84">
        <v>135</v>
      </c>
      <c r="BO84">
        <v>290.00000000000011</v>
      </c>
      <c r="BP84">
        <v>1041.97</v>
      </c>
      <c r="BQ84">
        <v>155</v>
      </c>
      <c r="BR84">
        <v>10227.299999999999</v>
      </c>
      <c r="BS84">
        <v>1040.02</v>
      </c>
      <c r="BT84">
        <v>1.95</v>
      </c>
      <c r="BU84">
        <v>300.00000000000011</v>
      </c>
      <c r="BV84">
        <v>24.1</v>
      </c>
      <c r="BW84">
        <v>1152.053609185243</v>
      </c>
      <c r="BX84">
        <v>2.0868971159507241</v>
      </c>
      <c r="BY84">
        <v>-114.58264929085389</v>
      </c>
      <c r="BZ84">
        <v>1.898163591220841</v>
      </c>
      <c r="CA84">
        <v>0.99237458954386615</v>
      </c>
      <c r="CB84">
        <v>-6.9617668520578517E-3</v>
      </c>
      <c r="CC84">
        <v>289.99999999999989</v>
      </c>
      <c r="CD84">
        <v>1034.51</v>
      </c>
      <c r="CE84">
        <v>625</v>
      </c>
      <c r="CF84">
        <v>10195.799999999999</v>
      </c>
      <c r="CG84">
        <v>1039.67</v>
      </c>
      <c r="CH84">
        <v>-5.16</v>
      </c>
      <c r="CV84">
        <f t="shared" si="134"/>
        <v>1800.05</v>
      </c>
      <c r="CW84">
        <f t="shared" si="135"/>
        <v>1513.2261064071533</v>
      </c>
      <c r="CX84">
        <f t="shared" si="136"/>
        <v>0.84065781862012356</v>
      </c>
      <c r="CY84">
        <f t="shared" si="137"/>
        <v>0.19131563724024706</v>
      </c>
      <c r="CZ84">
        <v>6</v>
      </c>
      <c r="DA84">
        <v>0.5</v>
      </c>
      <c r="DB84" t="s">
        <v>418</v>
      </c>
      <c r="DC84">
        <v>2</v>
      </c>
      <c r="DD84">
        <v>1674590992.0999999</v>
      </c>
      <c r="DE84">
        <v>727.351</v>
      </c>
      <c r="DF84">
        <v>799.99800000000005</v>
      </c>
      <c r="DG84">
        <v>24.848500000000001</v>
      </c>
      <c r="DH84">
        <v>17.898399999999999</v>
      </c>
      <c r="DI84">
        <v>728.59199999999998</v>
      </c>
      <c r="DJ84">
        <v>24.616599999999998</v>
      </c>
      <c r="DK84">
        <v>500.113</v>
      </c>
      <c r="DL84">
        <v>99.525700000000001</v>
      </c>
      <c r="DM84">
        <v>0.100202</v>
      </c>
      <c r="DN84">
        <v>27.957699999999999</v>
      </c>
      <c r="DO84">
        <v>27.332899999999999</v>
      </c>
      <c r="DP84">
        <v>999.9</v>
      </c>
      <c r="DQ84">
        <v>0</v>
      </c>
      <c r="DR84">
        <v>0</v>
      </c>
      <c r="DS84">
        <v>10007.5</v>
      </c>
      <c r="DT84">
        <v>0</v>
      </c>
      <c r="DU84">
        <v>392.53699999999998</v>
      </c>
      <c r="DV84">
        <v>-72.647599999999997</v>
      </c>
      <c r="DW84">
        <v>745.88499999999999</v>
      </c>
      <c r="DX84">
        <v>814.57799999999997</v>
      </c>
      <c r="DY84">
        <v>6.9500799999999998</v>
      </c>
      <c r="DZ84">
        <v>799.99800000000005</v>
      </c>
      <c r="EA84">
        <v>17.898399999999999</v>
      </c>
      <c r="EB84">
        <v>2.4730599999999998</v>
      </c>
      <c r="EC84">
        <v>1.78135</v>
      </c>
      <c r="ED84">
        <v>20.850300000000001</v>
      </c>
      <c r="EE84">
        <v>15.6241</v>
      </c>
      <c r="EF84">
        <v>1800.05</v>
      </c>
      <c r="EG84">
        <v>0.97800900000000002</v>
      </c>
      <c r="EH84">
        <v>2.1990699999999998E-2</v>
      </c>
      <c r="EI84">
        <v>0</v>
      </c>
      <c r="EJ84">
        <v>747.06500000000005</v>
      </c>
      <c r="EK84">
        <v>5.0002599999999999</v>
      </c>
      <c r="EL84">
        <v>13814.4</v>
      </c>
      <c r="EM84">
        <v>17103.900000000001</v>
      </c>
      <c r="EN84">
        <v>50.125</v>
      </c>
      <c r="EO84">
        <v>51.436999999999998</v>
      </c>
      <c r="EP84">
        <v>51.125</v>
      </c>
      <c r="EQ84">
        <v>50.625</v>
      </c>
      <c r="ER84">
        <v>51.311999999999998</v>
      </c>
      <c r="ES84">
        <v>1755.57</v>
      </c>
      <c r="ET84">
        <v>39.47</v>
      </c>
      <c r="EU84">
        <v>0</v>
      </c>
      <c r="EV84">
        <v>109.80000019073491</v>
      </c>
      <c r="EW84">
        <v>0</v>
      </c>
      <c r="EX84">
        <v>746.73892000000012</v>
      </c>
      <c r="EY84">
        <v>5.4913076741419937</v>
      </c>
      <c r="EZ84">
        <v>102.38461515116821</v>
      </c>
      <c r="FA84">
        <v>13809.34</v>
      </c>
      <c r="FB84">
        <v>15</v>
      </c>
      <c r="FC84">
        <v>1674590956.0999999</v>
      </c>
      <c r="FD84" t="s">
        <v>766</v>
      </c>
      <c r="FE84">
        <v>1674590956.0999999</v>
      </c>
      <c r="FF84">
        <v>1674590954.0999999</v>
      </c>
      <c r="FG84">
        <v>76</v>
      </c>
      <c r="FH84">
        <v>-0.218</v>
      </c>
      <c r="FI84">
        <v>-2E-3</v>
      </c>
      <c r="FJ84">
        <v>-1.288</v>
      </c>
      <c r="FK84">
        <v>0.06</v>
      </c>
      <c r="FL84">
        <v>800</v>
      </c>
      <c r="FM84">
        <v>18</v>
      </c>
      <c r="FN84">
        <v>0.02</v>
      </c>
      <c r="FO84">
        <v>0.02</v>
      </c>
      <c r="FP84">
        <v>56.385347993431523</v>
      </c>
      <c r="FQ84">
        <v>-0.37861859784187812</v>
      </c>
      <c r="FR84">
        <v>5.9192411907798892E-2</v>
      </c>
      <c r="FS84">
        <v>1</v>
      </c>
      <c r="FT84">
        <v>0.53776091300010753</v>
      </c>
      <c r="FU84">
        <v>4.5021594514470652E-2</v>
      </c>
      <c r="FV84">
        <v>6.2805941059923976E-3</v>
      </c>
      <c r="FW84">
        <v>1</v>
      </c>
      <c r="FX84">
        <v>2</v>
      </c>
      <c r="FY84">
        <v>2</v>
      </c>
      <c r="FZ84" t="s">
        <v>420</v>
      </c>
      <c r="GA84">
        <v>2.9283299999999999</v>
      </c>
      <c r="GB84">
        <v>2.8071799999999998</v>
      </c>
      <c r="GC84">
        <v>0.15104600000000001</v>
      </c>
      <c r="GD84">
        <v>0.162749</v>
      </c>
      <c r="GE84">
        <v>0.114633</v>
      </c>
      <c r="GF84">
        <v>9.2467099999999997E-2</v>
      </c>
      <c r="GG84">
        <v>25223.4</v>
      </c>
      <c r="GH84">
        <v>25230.7</v>
      </c>
      <c r="GI84">
        <v>28225.1</v>
      </c>
      <c r="GJ84">
        <v>27159.200000000001</v>
      </c>
      <c r="GK84">
        <v>35875.4</v>
      </c>
      <c r="GL84">
        <v>32545.3</v>
      </c>
      <c r="GM84">
        <v>42030.9</v>
      </c>
      <c r="GN84">
        <v>36847</v>
      </c>
      <c r="GO84">
        <v>1.92717</v>
      </c>
      <c r="GP84">
        <v>1.8820300000000001</v>
      </c>
      <c r="GQ84">
        <v>6.04764E-2</v>
      </c>
      <c r="GR84">
        <v>0</v>
      </c>
      <c r="GS84">
        <v>26.343599999999999</v>
      </c>
      <c r="GT84">
        <v>999.9</v>
      </c>
      <c r="GU84">
        <v>49.2</v>
      </c>
      <c r="GV84">
        <v>35.200000000000003</v>
      </c>
      <c r="GW84">
        <v>28.2332</v>
      </c>
      <c r="GX84">
        <v>61.319200000000002</v>
      </c>
      <c r="GY84">
        <v>26.5184</v>
      </c>
      <c r="GZ84">
        <v>1</v>
      </c>
      <c r="HA84">
        <v>0.42246699999999998</v>
      </c>
      <c r="HB84">
        <v>2.8130799999999998</v>
      </c>
      <c r="HC84">
        <v>20.322800000000001</v>
      </c>
      <c r="HD84">
        <v>5.2393000000000001</v>
      </c>
      <c r="HE84">
        <v>11.9381</v>
      </c>
      <c r="HF84">
        <v>4.9733999999999998</v>
      </c>
      <c r="HG84">
        <v>3.2988499999999998</v>
      </c>
      <c r="HH84">
        <v>9999</v>
      </c>
      <c r="HI84">
        <v>9999</v>
      </c>
      <c r="HJ84">
        <v>9999</v>
      </c>
      <c r="HK84">
        <v>999.9</v>
      </c>
      <c r="HL84">
        <v>1.8734299999999999</v>
      </c>
      <c r="HM84">
        <v>1.8811</v>
      </c>
      <c r="HN84">
        <v>1.8846099999999999</v>
      </c>
      <c r="HO84">
        <v>1.8812899999999999</v>
      </c>
      <c r="HP84">
        <v>1.87866</v>
      </c>
      <c r="HQ84">
        <v>1.8734200000000001</v>
      </c>
      <c r="HR84">
        <v>1.8762300000000001</v>
      </c>
      <c r="HS84">
        <v>1.88049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-1.2410000000000001</v>
      </c>
      <c r="IH84">
        <v>0.2319</v>
      </c>
      <c r="II84">
        <v>-1.211448531228104</v>
      </c>
      <c r="IJ84">
        <v>9.4905977090923709E-4</v>
      </c>
      <c r="IK84">
        <v>-1.9106666302146479E-6</v>
      </c>
      <c r="IL84">
        <v>7.5819610513223293E-10</v>
      </c>
      <c r="IM84">
        <v>-6.5003948638102882E-2</v>
      </c>
      <c r="IN84">
        <v>-1.0595840490420019E-2</v>
      </c>
      <c r="IO84">
        <v>1.2407080968752471E-3</v>
      </c>
      <c r="IP84">
        <v>-1.3015442653884381E-5</v>
      </c>
      <c r="IQ84">
        <v>33</v>
      </c>
      <c r="IR84">
        <v>2014</v>
      </c>
      <c r="IS84">
        <v>1</v>
      </c>
      <c r="IT84">
        <v>26</v>
      </c>
      <c r="IU84">
        <v>0.6</v>
      </c>
      <c r="IV84">
        <v>0.6</v>
      </c>
      <c r="IW84">
        <v>1.7724599999999999</v>
      </c>
      <c r="IX84">
        <v>2.5122100000000001</v>
      </c>
      <c r="IY84">
        <v>1.5991200000000001</v>
      </c>
      <c r="IZ84">
        <v>2.2997999999999998</v>
      </c>
      <c r="JA84">
        <v>1.5502899999999999</v>
      </c>
      <c r="JB84">
        <v>2.3742700000000001</v>
      </c>
      <c r="JC84">
        <v>38.771700000000003</v>
      </c>
      <c r="JD84">
        <v>24.07</v>
      </c>
      <c r="JE84">
        <v>18</v>
      </c>
      <c r="JF84">
        <v>489.04199999999997</v>
      </c>
      <c r="JG84">
        <v>493.976</v>
      </c>
      <c r="JH84">
        <v>22.774000000000001</v>
      </c>
      <c r="JI84">
        <v>32.508600000000001</v>
      </c>
      <c r="JJ84">
        <v>29.9998</v>
      </c>
      <c r="JK84">
        <v>32.627600000000001</v>
      </c>
      <c r="JL84">
        <v>32.601500000000001</v>
      </c>
      <c r="JM84">
        <v>35.5334</v>
      </c>
      <c r="JN84">
        <v>43.505800000000001</v>
      </c>
      <c r="JO84">
        <v>0</v>
      </c>
      <c r="JP84">
        <v>22.788399999999999</v>
      </c>
      <c r="JQ84">
        <v>800</v>
      </c>
      <c r="JR84">
        <v>17.879200000000001</v>
      </c>
      <c r="JS84">
        <v>99.648200000000003</v>
      </c>
      <c r="JT84">
        <v>98.661600000000007</v>
      </c>
    </row>
    <row r="85" spans="1:280" x14ac:dyDescent="0.25">
      <c r="A85">
        <v>69</v>
      </c>
      <c r="B85">
        <v>1674591100.5999999</v>
      </c>
      <c r="C85">
        <v>15675.599999904631</v>
      </c>
      <c r="D85" t="s">
        <v>767</v>
      </c>
      <c r="E85" t="s">
        <v>768</v>
      </c>
      <c r="F85" t="s">
        <v>412</v>
      </c>
      <c r="G85" t="s">
        <v>708</v>
      </c>
      <c r="H85" t="s">
        <v>414</v>
      </c>
      <c r="I85">
        <v>1674591100.5999999</v>
      </c>
      <c r="J85">
        <f t="shared" si="92"/>
        <v>5.7000013882056383E-3</v>
      </c>
      <c r="K85">
        <f t="shared" si="93"/>
        <v>5.7000013882056386</v>
      </c>
      <c r="L85">
        <f t="shared" si="94"/>
        <v>55.664326303963556</v>
      </c>
      <c r="M85">
        <f t="shared" si="95"/>
        <v>1125.7</v>
      </c>
      <c r="N85">
        <f t="shared" si="96"/>
        <v>919.38412471310812</v>
      </c>
      <c r="O85">
        <f t="shared" si="97"/>
        <v>91.595419398857103</v>
      </c>
      <c r="P85">
        <f t="shared" si="98"/>
        <v>112.15003701469001</v>
      </c>
      <c r="Q85">
        <f t="shared" si="99"/>
        <v>0.51678148619125541</v>
      </c>
      <c r="R85">
        <f t="shared" si="100"/>
        <v>2.919709290823048</v>
      </c>
      <c r="S85">
        <f t="shared" si="101"/>
        <v>0.47082223550483127</v>
      </c>
      <c r="T85">
        <f t="shared" si="102"/>
        <v>0.29805179748473493</v>
      </c>
      <c r="U85">
        <f t="shared" si="103"/>
        <v>344.324499657883</v>
      </c>
      <c r="V85">
        <f t="shared" si="104"/>
        <v>28.560705189615845</v>
      </c>
      <c r="W85">
        <f t="shared" si="105"/>
        <v>27.323799999999999</v>
      </c>
      <c r="X85">
        <f t="shared" si="106"/>
        <v>3.6477942637701535</v>
      </c>
      <c r="Y85">
        <f t="shared" si="107"/>
        <v>65.27627846310952</v>
      </c>
      <c r="Z85">
        <f t="shared" si="108"/>
        <v>2.47874794877551</v>
      </c>
      <c r="AA85">
        <f t="shared" si="109"/>
        <v>3.7973181179076541</v>
      </c>
      <c r="AB85">
        <f t="shared" si="110"/>
        <v>1.1690463149946435</v>
      </c>
      <c r="AC85">
        <f t="shared" si="111"/>
        <v>-251.37006121986866</v>
      </c>
      <c r="AD85">
        <f t="shared" si="112"/>
        <v>108.20182427298221</v>
      </c>
      <c r="AE85">
        <f t="shared" si="113"/>
        <v>8.0513036488128158</v>
      </c>
      <c r="AF85">
        <f t="shared" si="114"/>
        <v>209.20756635980933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52406.351523069199</v>
      </c>
      <c r="AL85" t="s">
        <v>415</v>
      </c>
      <c r="AM85">
        <v>10297.6</v>
      </c>
      <c r="AN85">
        <v>785.57400000000007</v>
      </c>
      <c r="AO85">
        <v>3597.65</v>
      </c>
      <c r="AP85">
        <f t="shared" si="118"/>
        <v>0.7816424610509638</v>
      </c>
      <c r="AQ85">
        <v>-0.62398835798131469</v>
      </c>
      <c r="AR85" t="s">
        <v>769</v>
      </c>
      <c r="AS85">
        <v>10232.9</v>
      </c>
      <c r="AT85">
        <v>749.10415999999998</v>
      </c>
      <c r="AU85">
        <v>1164.8895852754749</v>
      </c>
      <c r="AV85">
        <f t="shared" si="119"/>
        <v>0.35693118947161795</v>
      </c>
      <c r="AW85">
        <v>0.5</v>
      </c>
      <c r="AX85">
        <f t="shared" si="120"/>
        <v>1512.9908998289416</v>
      </c>
      <c r="AY85">
        <f t="shared" si="121"/>
        <v>55.664326303963556</v>
      </c>
      <c r="AZ85">
        <f t="shared" si="122"/>
        <v>270.01682076783885</v>
      </c>
      <c r="BA85">
        <f t="shared" si="123"/>
        <v>3.7203339866954135E-2</v>
      </c>
      <c r="BB85">
        <f t="shared" si="124"/>
        <v>2.0884042964030982</v>
      </c>
      <c r="BC85">
        <f t="shared" si="125"/>
        <v>539.53560755131161</v>
      </c>
      <c r="BD85" t="s">
        <v>770</v>
      </c>
      <c r="BE85">
        <v>571.58000000000004</v>
      </c>
      <c r="BF85">
        <f t="shared" si="126"/>
        <v>571.58000000000004</v>
      </c>
      <c r="BG85">
        <f t="shared" si="127"/>
        <v>0.50932688623460232</v>
      </c>
      <c r="BH85">
        <f t="shared" si="128"/>
        <v>0.70079000170277861</v>
      </c>
      <c r="BI85">
        <f t="shared" si="129"/>
        <v>0.8039339521969171</v>
      </c>
      <c r="BJ85">
        <f t="shared" si="130"/>
        <v>1.0961464316672203</v>
      </c>
      <c r="BK85">
        <f t="shared" si="131"/>
        <v>0.86511190121622783</v>
      </c>
      <c r="BL85">
        <f t="shared" si="132"/>
        <v>0.53471542485263235</v>
      </c>
      <c r="BM85">
        <f t="shared" si="133"/>
        <v>0.46528457514736765</v>
      </c>
      <c r="BN85">
        <v>137</v>
      </c>
      <c r="BO85">
        <v>290.00000000000011</v>
      </c>
      <c r="BP85">
        <v>1050.79</v>
      </c>
      <c r="BQ85">
        <v>125</v>
      </c>
      <c r="BR85">
        <v>10232.9</v>
      </c>
      <c r="BS85">
        <v>1047.68</v>
      </c>
      <c r="BT85">
        <v>3.11</v>
      </c>
      <c r="BU85">
        <v>300.00000000000011</v>
      </c>
      <c r="BV85">
        <v>24.1</v>
      </c>
      <c r="BW85">
        <v>1164.8895852754749</v>
      </c>
      <c r="BX85">
        <v>1.9665086455106739</v>
      </c>
      <c r="BY85">
        <v>-119.9441541359998</v>
      </c>
      <c r="BZ85">
        <v>1.7887009407543539</v>
      </c>
      <c r="CA85">
        <v>0.99381158563833571</v>
      </c>
      <c r="CB85">
        <v>-6.9618318131257056E-3</v>
      </c>
      <c r="CC85">
        <v>289.99999999999989</v>
      </c>
      <c r="CD85">
        <v>1042.44</v>
      </c>
      <c r="CE85">
        <v>645</v>
      </c>
      <c r="CF85">
        <v>10194.6</v>
      </c>
      <c r="CG85">
        <v>1047.23</v>
      </c>
      <c r="CH85">
        <v>-4.79</v>
      </c>
      <c r="CV85">
        <f t="shared" si="134"/>
        <v>1799.77</v>
      </c>
      <c r="CW85">
        <f t="shared" si="135"/>
        <v>1512.9908998289416</v>
      </c>
      <c r="CX85">
        <f t="shared" si="136"/>
        <v>0.84065791730551209</v>
      </c>
      <c r="CY85">
        <f t="shared" si="137"/>
        <v>0.19131583461102419</v>
      </c>
      <c r="CZ85">
        <v>6</v>
      </c>
      <c r="DA85">
        <v>0.5</v>
      </c>
      <c r="DB85" t="s">
        <v>418</v>
      </c>
      <c r="DC85">
        <v>2</v>
      </c>
      <c r="DD85">
        <v>1674591100.5999999</v>
      </c>
      <c r="DE85">
        <v>1125.7</v>
      </c>
      <c r="DF85">
        <v>1200.18</v>
      </c>
      <c r="DG85">
        <v>24.880299999999998</v>
      </c>
      <c r="DH85">
        <v>18.212</v>
      </c>
      <c r="DI85">
        <v>1127.19</v>
      </c>
      <c r="DJ85">
        <v>24.646100000000001</v>
      </c>
      <c r="DK85">
        <v>500.11399999999998</v>
      </c>
      <c r="DL85">
        <v>99.527199999999993</v>
      </c>
      <c r="DM85">
        <v>9.9731700000000006E-2</v>
      </c>
      <c r="DN85">
        <v>28.011199999999999</v>
      </c>
      <c r="DO85">
        <v>27.323799999999999</v>
      </c>
      <c r="DP85">
        <v>999.9</v>
      </c>
      <c r="DQ85">
        <v>0</v>
      </c>
      <c r="DR85">
        <v>0</v>
      </c>
      <c r="DS85">
        <v>9991.25</v>
      </c>
      <c r="DT85">
        <v>0</v>
      </c>
      <c r="DU85">
        <v>399.36399999999998</v>
      </c>
      <c r="DV85">
        <v>-74.4803</v>
      </c>
      <c r="DW85">
        <v>1154.42</v>
      </c>
      <c r="DX85">
        <v>1222.44</v>
      </c>
      <c r="DY85">
        <v>6.6683199999999996</v>
      </c>
      <c r="DZ85">
        <v>1200.18</v>
      </c>
      <c r="EA85">
        <v>18.212</v>
      </c>
      <c r="EB85">
        <v>2.4762599999999999</v>
      </c>
      <c r="EC85">
        <v>1.8125899999999999</v>
      </c>
      <c r="ED85">
        <v>20.871300000000002</v>
      </c>
      <c r="EE85">
        <v>15.8957</v>
      </c>
      <c r="EF85">
        <v>1799.77</v>
      </c>
      <c r="EG85">
        <v>0.97800600000000004</v>
      </c>
      <c r="EH85">
        <v>2.1994400000000001E-2</v>
      </c>
      <c r="EI85">
        <v>0</v>
      </c>
      <c r="EJ85">
        <v>749.50599999999997</v>
      </c>
      <c r="EK85">
        <v>5.0002599999999999</v>
      </c>
      <c r="EL85">
        <v>13877.3</v>
      </c>
      <c r="EM85">
        <v>17101.2</v>
      </c>
      <c r="EN85">
        <v>50.125</v>
      </c>
      <c r="EO85">
        <v>51.375</v>
      </c>
      <c r="EP85">
        <v>51.061999999999998</v>
      </c>
      <c r="EQ85">
        <v>50.625</v>
      </c>
      <c r="ER85">
        <v>51.186999999999998</v>
      </c>
      <c r="ES85">
        <v>1755.3</v>
      </c>
      <c r="ET85">
        <v>39.47</v>
      </c>
      <c r="EU85">
        <v>0</v>
      </c>
      <c r="EV85">
        <v>106.80000019073491</v>
      </c>
      <c r="EW85">
        <v>0</v>
      </c>
      <c r="EX85">
        <v>749.10415999999998</v>
      </c>
      <c r="EY85">
        <v>4.1976153752788301</v>
      </c>
      <c r="EZ85">
        <v>31.06923073546832</v>
      </c>
      <c r="FA85">
        <v>13874.412</v>
      </c>
      <c r="FB85">
        <v>15</v>
      </c>
      <c r="FC85">
        <v>1674591065.5999999</v>
      </c>
      <c r="FD85" t="s">
        <v>771</v>
      </c>
      <c r="FE85">
        <v>1674591060.5999999</v>
      </c>
      <c r="FF85">
        <v>1674591065.5999999</v>
      </c>
      <c r="FG85">
        <v>77</v>
      </c>
      <c r="FH85">
        <v>-1.2999999999999999E-2</v>
      </c>
      <c r="FI85">
        <v>2E-3</v>
      </c>
      <c r="FJ85">
        <v>-1.528</v>
      </c>
      <c r="FK85">
        <v>6.8000000000000005E-2</v>
      </c>
      <c r="FL85">
        <v>1201</v>
      </c>
      <c r="FM85">
        <v>18</v>
      </c>
      <c r="FN85">
        <v>0.03</v>
      </c>
      <c r="FO85">
        <v>0.01</v>
      </c>
      <c r="FP85">
        <v>55.582485526452579</v>
      </c>
      <c r="FQ85">
        <v>-0.46781906427483039</v>
      </c>
      <c r="FR85">
        <v>0.11822587947267769</v>
      </c>
      <c r="FS85">
        <v>1</v>
      </c>
      <c r="FT85">
        <v>0.51552620776051639</v>
      </c>
      <c r="FU85">
        <v>3.0811534867785019E-2</v>
      </c>
      <c r="FV85">
        <v>4.7409572773934299E-3</v>
      </c>
      <c r="FW85">
        <v>1</v>
      </c>
      <c r="FX85">
        <v>2</v>
      </c>
      <c r="FY85">
        <v>2</v>
      </c>
      <c r="FZ85" t="s">
        <v>420</v>
      </c>
      <c r="GA85">
        <v>2.9284400000000002</v>
      </c>
      <c r="GB85">
        <v>2.8065600000000002</v>
      </c>
      <c r="GC85">
        <v>0.20130700000000001</v>
      </c>
      <c r="GD85">
        <v>0.211754</v>
      </c>
      <c r="GE85">
        <v>0.114743</v>
      </c>
      <c r="GF85">
        <v>9.3633099999999997E-2</v>
      </c>
      <c r="GG85">
        <v>23730.2</v>
      </c>
      <c r="GH85">
        <v>23753.7</v>
      </c>
      <c r="GI85">
        <v>28228.3</v>
      </c>
      <c r="GJ85">
        <v>27161.9</v>
      </c>
      <c r="GK85">
        <v>35874.800000000003</v>
      </c>
      <c r="GL85">
        <v>32506.3</v>
      </c>
      <c r="GM85">
        <v>42035.1</v>
      </c>
      <c r="GN85">
        <v>36849.800000000003</v>
      </c>
      <c r="GO85">
        <v>1.92763</v>
      </c>
      <c r="GP85">
        <v>1.8846000000000001</v>
      </c>
      <c r="GQ85">
        <v>6.3516199999999995E-2</v>
      </c>
      <c r="GR85">
        <v>0</v>
      </c>
      <c r="GS85">
        <v>26.284800000000001</v>
      </c>
      <c r="GT85">
        <v>999.9</v>
      </c>
      <c r="GU85">
        <v>49.2</v>
      </c>
      <c r="GV85">
        <v>35.200000000000003</v>
      </c>
      <c r="GW85">
        <v>28.232500000000002</v>
      </c>
      <c r="GX85">
        <v>61.8292</v>
      </c>
      <c r="GY85">
        <v>26.887</v>
      </c>
      <c r="GZ85">
        <v>1</v>
      </c>
      <c r="HA85">
        <v>0.41706799999999999</v>
      </c>
      <c r="HB85">
        <v>2.8424800000000001</v>
      </c>
      <c r="HC85">
        <v>20.3217</v>
      </c>
      <c r="HD85">
        <v>5.2364600000000001</v>
      </c>
      <c r="HE85">
        <v>11.9381</v>
      </c>
      <c r="HF85">
        <v>4.9722499999999998</v>
      </c>
      <c r="HG85">
        <v>3.29833</v>
      </c>
      <c r="HH85">
        <v>9999</v>
      </c>
      <c r="HI85">
        <v>9999</v>
      </c>
      <c r="HJ85">
        <v>9999</v>
      </c>
      <c r="HK85">
        <v>999.9</v>
      </c>
      <c r="HL85">
        <v>1.87341</v>
      </c>
      <c r="HM85">
        <v>1.8811</v>
      </c>
      <c r="HN85">
        <v>1.8846099999999999</v>
      </c>
      <c r="HO85">
        <v>1.8813299999999999</v>
      </c>
      <c r="HP85">
        <v>1.87866</v>
      </c>
      <c r="HQ85">
        <v>1.8734299999999999</v>
      </c>
      <c r="HR85">
        <v>1.87622</v>
      </c>
      <c r="HS85">
        <v>1.88049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-1.49</v>
      </c>
      <c r="IH85">
        <v>0.23419999999999999</v>
      </c>
      <c r="II85">
        <v>-1.2244454647249601</v>
      </c>
      <c r="IJ85">
        <v>9.4905977090923709E-4</v>
      </c>
      <c r="IK85">
        <v>-1.9106666302146479E-6</v>
      </c>
      <c r="IL85">
        <v>7.5819610513223293E-10</v>
      </c>
      <c r="IM85">
        <v>-6.3506759866090556E-2</v>
      </c>
      <c r="IN85">
        <v>-1.0595840490420019E-2</v>
      </c>
      <c r="IO85">
        <v>1.2407080968752471E-3</v>
      </c>
      <c r="IP85">
        <v>-1.3015442653884381E-5</v>
      </c>
      <c r="IQ85">
        <v>33</v>
      </c>
      <c r="IR85">
        <v>2014</v>
      </c>
      <c r="IS85">
        <v>1</v>
      </c>
      <c r="IT85">
        <v>26</v>
      </c>
      <c r="IU85">
        <v>0.7</v>
      </c>
      <c r="IV85">
        <v>0.6</v>
      </c>
      <c r="IW85">
        <v>2.4731399999999999</v>
      </c>
      <c r="IX85">
        <v>2.5109900000000001</v>
      </c>
      <c r="IY85">
        <v>1.5991200000000001</v>
      </c>
      <c r="IZ85">
        <v>2.2997999999999998</v>
      </c>
      <c r="JA85">
        <v>1.5502899999999999</v>
      </c>
      <c r="JB85">
        <v>2.2460900000000001</v>
      </c>
      <c r="JC85">
        <v>38.747100000000003</v>
      </c>
      <c r="JD85">
        <v>24.061199999999999</v>
      </c>
      <c r="JE85">
        <v>18</v>
      </c>
      <c r="JF85">
        <v>488.94499999999999</v>
      </c>
      <c r="JG85">
        <v>495.40300000000002</v>
      </c>
      <c r="JH85">
        <v>22.924900000000001</v>
      </c>
      <c r="JI85">
        <v>32.450699999999998</v>
      </c>
      <c r="JJ85">
        <v>29.9999</v>
      </c>
      <c r="JK85">
        <v>32.578499999999998</v>
      </c>
      <c r="JL85">
        <v>32.555199999999999</v>
      </c>
      <c r="JM85">
        <v>49.556800000000003</v>
      </c>
      <c r="JN85">
        <v>42.265700000000002</v>
      </c>
      <c r="JO85">
        <v>0</v>
      </c>
      <c r="JP85">
        <v>22.916</v>
      </c>
      <c r="JQ85">
        <v>1200</v>
      </c>
      <c r="JR85">
        <v>18.108499999999999</v>
      </c>
      <c r="JS85">
        <v>99.658699999999996</v>
      </c>
      <c r="JT85">
        <v>98.670299999999997</v>
      </c>
    </row>
    <row r="86" spans="1:280" x14ac:dyDescent="0.25">
      <c r="A86">
        <v>70</v>
      </c>
      <c r="B86">
        <v>1674591206.5999999</v>
      </c>
      <c r="C86">
        <v>15781.599999904631</v>
      </c>
      <c r="D86" t="s">
        <v>772</v>
      </c>
      <c r="E86" t="s">
        <v>773</v>
      </c>
      <c r="F86" t="s">
        <v>412</v>
      </c>
      <c r="G86" t="s">
        <v>708</v>
      </c>
      <c r="H86" t="s">
        <v>414</v>
      </c>
      <c r="I86">
        <v>1674591206.5999999</v>
      </c>
      <c r="J86">
        <f t="shared" si="92"/>
        <v>5.4323879267971394E-3</v>
      </c>
      <c r="K86">
        <f t="shared" si="93"/>
        <v>5.4323879267971398</v>
      </c>
      <c r="L86">
        <f t="shared" si="94"/>
        <v>54.852048278193337</v>
      </c>
      <c r="M86">
        <f t="shared" si="95"/>
        <v>1424.99</v>
      </c>
      <c r="N86">
        <f t="shared" si="96"/>
        <v>1204.7027417101749</v>
      </c>
      <c r="O86">
        <f t="shared" si="97"/>
        <v>120.02296394703119</v>
      </c>
      <c r="P86">
        <f t="shared" si="98"/>
        <v>141.969896368034</v>
      </c>
      <c r="Q86">
        <f t="shared" si="99"/>
        <v>0.48568064015935691</v>
      </c>
      <c r="R86">
        <f t="shared" si="100"/>
        <v>2.9214806954679169</v>
      </c>
      <c r="S86">
        <f t="shared" si="101"/>
        <v>0.44487545852816923</v>
      </c>
      <c r="T86">
        <f t="shared" si="102"/>
        <v>0.28142709800879551</v>
      </c>
      <c r="U86">
        <f t="shared" si="103"/>
        <v>344.39719965760668</v>
      </c>
      <c r="V86">
        <f t="shared" si="104"/>
        <v>28.634150464267254</v>
      </c>
      <c r="W86">
        <f t="shared" si="105"/>
        <v>27.373200000000001</v>
      </c>
      <c r="X86">
        <f t="shared" si="106"/>
        <v>3.6583657306775144</v>
      </c>
      <c r="Y86">
        <f t="shared" si="107"/>
        <v>65.276328901622634</v>
      </c>
      <c r="Z86">
        <f t="shared" si="108"/>
        <v>2.4792700777606602</v>
      </c>
      <c r="AA86">
        <f t="shared" si="109"/>
        <v>3.7981150586717973</v>
      </c>
      <c r="AB86">
        <f t="shared" si="110"/>
        <v>1.1790956529168541</v>
      </c>
      <c r="AC86">
        <f t="shared" si="111"/>
        <v>-239.56830757175385</v>
      </c>
      <c r="AD86">
        <f t="shared" si="112"/>
        <v>101.05383963020904</v>
      </c>
      <c r="AE86">
        <f t="shared" si="113"/>
        <v>7.5168483364004697</v>
      </c>
      <c r="AF86">
        <f t="shared" si="114"/>
        <v>213.39958005246234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52456.628017512245</v>
      </c>
      <c r="AL86" t="s">
        <v>415</v>
      </c>
      <c r="AM86">
        <v>10297.6</v>
      </c>
      <c r="AN86">
        <v>785.57400000000007</v>
      </c>
      <c r="AO86">
        <v>3597.65</v>
      </c>
      <c r="AP86">
        <f t="shared" si="118"/>
        <v>0.7816424610509638</v>
      </c>
      <c r="AQ86">
        <v>-0.62398835798131469</v>
      </c>
      <c r="AR86" t="s">
        <v>774</v>
      </c>
      <c r="AS86">
        <v>10227.700000000001</v>
      </c>
      <c r="AT86">
        <v>751.27967999999998</v>
      </c>
      <c r="AU86">
        <v>1174.558179683215</v>
      </c>
      <c r="AV86">
        <f t="shared" si="119"/>
        <v>0.36037252730841796</v>
      </c>
      <c r="AW86">
        <v>0.5</v>
      </c>
      <c r="AX86">
        <f t="shared" si="120"/>
        <v>1513.3028998288032</v>
      </c>
      <c r="AY86">
        <f t="shared" si="121"/>
        <v>54.852048278193337</v>
      </c>
      <c r="AZ86">
        <f t="shared" si="122"/>
        <v>272.67639529723175</v>
      </c>
      <c r="BA86">
        <f t="shared" si="123"/>
        <v>3.6658911208357917E-2</v>
      </c>
      <c r="BB86">
        <f t="shared" si="124"/>
        <v>2.0629815212476799</v>
      </c>
      <c r="BC86">
        <f t="shared" si="125"/>
        <v>541.60052758010136</v>
      </c>
      <c r="BD86" t="s">
        <v>775</v>
      </c>
      <c r="BE86">
        <v>572.5</v>
      </c>
      <c r="BF86">
        <f t="shared" si="126"/>
        <v>572.5</v>
      </c>
      <c r="BG86">
        <f t="shared" si="127"/>
        <v>0.51258268010665375</v>
      </c>
      <c r="BH86">
        <f t="shared" si="128"/>
        <v>0.70305248556863975</v>
      </c>
      <c r="BI86">
        <f t="shared" si="129"/>
        <v>0.80098237122681015</v>
      </c>
      <c r="BJ86">
        <f t="shared" si="130"/>
        <v>1.0881637912059279</v>
      </c>
      <c r="BK86">
        <f t="shared" si="131"/>
        <v>0.86167366042624194</v>
      </c>
      <c r="BL86">
        <f t="shared" si="132"/>
        <v>0.53574928046509429</v>
      </c>
      <c r="BM86">
        <f t="shared" si="133"/>
        <v>0.46425071953490571</v>
      </c>
      <c r="BN86">
        <v>139</v>
      </c>
      <c r="BO86">
        <v>290.00000000000011</v>
      </c>
      <c r="BP86">
        <v>1055.22</v>
      </c>
      <c r="BQ86">
        <v>155</v>
      </c>
      <c r="BR86">
        <v>10227.700000000001</v>
      </c>
      <c r="BS86">
        <v>1052.99</v>
      </c>
      <c r="BT86">
        <v>2.23</v>
      </c>
      <c r="BU86">
        <v>300.00000000000011</v>
      </c>
      <c r="BV86">
        <v>24.1</v>
      </c>
      <c r="BW86">
        <v>1174.558179683215</v>
      </c>
      <c r="BX86">
        <v>2.348139860552656</v>
      </c>
      <c r="BY86">
        <v>-124.33931492817079</v>
      </c>
      <c r="BZ86">
        <v>2.1358722574323949</v>
      </c>
      <c r="CA86">
        <v>0.99180558059589752</v>
      </c>
      <c r="CB86">
        <v>-6.9619793103448306E-3</v>
      </c>
      <c r="CC86">
        <v>289.99999999999989</v>
      </c>
      <c r="CD86">
        <v>1047.21</v>
      </c>
      <c r="CE86">
        <v>635</v>
      </c>
      <c r="CF86">
        <v>10195.5</v>
      </c>
      <c r="CG86">
        <v>1052.5999999999999</v>
      </c>
      <c r="CH86">
        <v>-5.39</v>
      </c>
      <c r="CV86">
        <f t="shared" si="134"/>
        <v>1800.14</v>
      </c>
      <c r="CW86">
        <f t="shared" si="135"/>
        <v>1513.3028998288032</v>
      </c>
      <c r="CX86">
        <f t="shared" si="136"/>
        <v>0.84065844869221462</v>
      </c>
      <c r="CY86">
        <f t="shared" si="137"/>
        <v>0.19131689738442936</v>
      </c>
      <c r="CZ86">
        <v>6</v>
      </c>
      <c r="DA86">
        <v>0.5</v>
      </c>
      <c r="DB86" t="s">
        <v>418</v>
      </c>
      <c r="DC86">
        <v>2</v>
      </c>
      <c r="DD86">
        <v>1674591206.5999999</v>
      </c>
      <c r="DE86">
        <v>1424.99</v>
      </c>
      <c r="DF86">
        <v>1500.08</v>
      </c>
      <c r="DG86">
        <v>24.885100000000001</v>
      </c>
      <c r="DH86">
        <v>18.5303</v>
      </c>
      <c r="DI86">
        <v>1426.64</v>
      </c>
      <c r="DJ86">
        <v>24.650400000000001</v>
      </c>
      <c r="DK86">
        <v>500.14499999999998</v>
      </c>
      <c r="DL86">
        <v>99.528800000000004</v>
      </c>
      <c r="DM86">
        <v>9.9896600000000002E-2</v>
      </c>
      <c r="DN86">
        <v>28.014800000000001</v>
      </c>
      <c r="DO86">
        <v>27.373200000000001</v>
      </c>
      <c r="DP86">
        <v>999.9</v>
      </c>
      <c r="DQ86">
        <v>0</v>
      </c>
      <c r="DR86">
        <v>0</v>
      </c>
      <c r="DS86">
        <v>10001.200000000001</v>
      </c>
      <c r="DT86">
        <v>0</v>
      </c>
      <c r="DU86">
        <v>403.21699999999998</v>
      </c>
      <c r="DV86">
        <v>-75.092699999999994</v>
      </c>
      <c r="DW86">
        <v>1461.36</v>
      </c>
      <c r="DX86">
        <v>1528.41</v>
      </c>
      <c r="DY86">
        <v>6.3547399999999996</v>
      </c>
      <c r="DZ86">
        <v>1500.08</v>
      </c>
      <c r="EA86">
        <v>18.5303</v>
      </c>
      <c r="EB86">
        <v>2.4767800000000002</v>
      </c>
      <c r="EC86">
        <v>1.8443000000000001</v>
      </c>
      <c r="ED86">
        <v>20.874700000000001</v>
      </c>
      <c r="EE86">
        <v>16.167400000000001</v>
      </c>
      <c r="EF86">
        <v>1800.14</v>
      </c>
      <c r="EG86">
        <v>0.97799199999999997</v>
      </c>
      <c r="EH86">
        <v>2.2008199999999999E-2</v>
      </c>
      <c r="EI86">
        <v>0</v>
      </c>
      <c r="EJ86">
        <v>751.65300000000002</v>
      </c>
      <c r="EK86">
        <v>5.0002599999999999</v>
      </c>
      <c r="EL86">
        <v>13923.1</v>
      </c>
      <c r="EM86">
        <v>17104.599999999999</v>
      </c>
      <c r="EN86">
        <v>50.061999999999998</v>
      </c>
      <c r="EO86">
        <v>51.311999999999998</v>
      </c>
      <c r="EP86">
        <v>51.061999999999998</v>
      </c>
      <c r="EQ86">
        <v>50.561999999999998</v>
      </c>
      <c r="ER86">
        <v>51.25</v>
      </c>
      <c r="ES86">
        <v>1755.63</v>
      </c>
      <c r="ET86">
        <v>39.51</v>
      </c>
      <c r="EU86">
        <v>0</v>
      </c>
      <c r="EV86">
        <v>103.80000019073491</v>
      </c>
      <c r="EW86">
        <v>0</v>
      </c>
      <c r="EX86">
        <v>751.27967999999998</v>
      </c>
      <c r="EY86">
        <v>3.0891538353914361</v>
      </c>
      <c r="EZ86">
        <v>43.461538431423683</v>
      </c>
      <c r="FA86">
        <v>13916.552</v>
      </c>
      <c r="FB86">
        <v>15</v>
      </c>
      <c r="FC86">
        <v>1674591170.0999999</v>
      </c>
      <c r="FD86" t="s">
        <v>776</v>
      </c>
      <c r="FE86">
        <v>1674591168.5999999</v>
      </c>
      <c r="FF86">
        <v>1674591170.0999999</v>
      </c>
      <c r="FG86">
        <v>78</v>
      </c>
      <c r="FH86">
        <v>-9.0999999999999998E-2</v>
      </c>
      <c r="FI86">
        <v>0</v>
      </c>
      <c r="FJ86">
        <v>-1.633</v>
      </c>
      <c r="FK86">
        <v>7.1999999999999995E-2</v>
      </c>
      <c r="FL86">
        <v>1500</v>
      </c>
      <c r="FM86">
        <v>18</v>
      </c>
      <c r="FN86">
        <v>0.03</v>
      </c>
      <c r="FO86">
        <v>0.02</v>
      </c>
      <c r="FP86">
        <v>54.738561682246093</v>
      </c>
      <c r="FQ86">
        <v>-0.60438288055341316</v>
      </c>
      <c r="FR86">
        <v>0.11354602983633399</v>
      </c>
      <c r="FS86">
        <v>1</v>
      </c>
      <c r="FT86">
        <v>0.48679084197803218</v>
      </c>
      <c r="FU86">
        <v>3.4948221763100633E-2</v>
      </c>
      <c r="FV86">
        <v>4.9411108770125453E-3</v>
      </c>
      <c r="FW86">
        <v>1</v>
      </c>
      <c r="FX86">
        <v>2</v>
      </c>
      <c r="FY86">
        <v>2</v>
      </c>
      <c r="FZ86" t="s">
        <v>420</v>
      </c>
      <c r="GA86">
        <v>2.9285899999999998</v>
      </c>
      <c r="GB86">
        <v>2.80681</v>
      </c>
      <c r="GC86">
        <v>0.233317</v>
      </c>
      <c r="GD86">
        <v>0.243121</v>
      </c>
      <c r="GE86">
        <v>0.11477</v>
      </c>
      <c r="GF86">
        <v>9.48074E-2</v>
      </c>
      <c r="GG86">
        <v>22778.3</v>
      </c>
      <c r="GH86">
        <v>22808.9</v>
      </c>
      <c r="GI86">
        <v>28229.9</v>
      </c>
      <c r="GJ86">
        <v>27165.200000000001</v>
      </c>
      <c r="GK86">
        <v>35875.599999999999</v>
      </c>
      <c r="GL86">
        <v>32468.5</v>
      </c>
      <c r="GM86">
        <v>42037</v>
      </c>
      <c r="GN86">
        <v>36854.400000000001</v>
      </c>
      <c r="GO86">
        <v>1.9281999999999999</v>
      </c>
      <c r="GP86">
        <v>1.8867499999999999</v>
      </c>
      <c r="GQ86">
        <v>6.14151E-2</v>
      </c>
      <c r="GR86">
        <v>0</v>
      </c>
      <c r="GS86">
        <v>26.368600000000001</v>
      </c>
      <c r="GT86">
        <v>999.9</v>
      </c>
      <c r="GU86">
        <v>49.1</v>
      </c>
      <c r="GV86">
        <v>35.200000000000003</v>
      </c>
      <c r="GW86">
        <v>28.175599999999999</v>
      </c>
      <c r="GX86">
        <v>61.9392</v>
      </c>
      <c r="GY86">
        <v>26.322099999999999</v>
      </c>
      <c r="GZ86">
        <v>1</v>
      </c>
      <c r="HA86">
        <v>0.41518300000000002</v>
      </c>
      <c r="HB86">
        <v>3.1792899999999999</v>
      </c>
      <c r="HC86">
        <v>20.316700000000001</v>
      </c>
      <c r="HD86">
        <v>5.2400500000000001</v>
      </c>
      <c r="HE86">
        <v>11.9381</v>
      </c>
      <c r="HF86">
        <v>4.9736500000000001</v>
      </c>
      <c r="HG86">
        <v>3.2989999999999999</v>
      </c>
      <c r="HH86">
        <v>9999</v>
      </c>
      <c r="HI86">
        <v>9999</v>
      </c>
      <c r="HJ86">
        <v>9999</v>
      </c>
      <c r="HK86">
        <v>999.9</v>
      </c>
      <c r="HL86">
        <v>1.8734500000000001</v>
      </c>
      <c r="HM86">
        <v>1.8811</v>
      </c>
      <c r="HN86">
        <v>1.8846099999999999</v>
      </c>
      <c r="HO86">
        <v>1.8813800000000001</v>
      </c>
      <c r="HP86">
        <v>1.87866</v>
      </c>
      <c r="HQ86">
        <v>1.8734500000000001</v>
      </c>
      <c r="HR86">
        <v>1.8762300000000001</v>
      </c>
      <c r="HS86">
        <v>1.88049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-1.65</v>
      </c>
      <c r="IH86">
        <v>0.23469999999999999</v>
      </c>
      <c r="II86">
        <v>-1.3170635825664601</v>
      </c>
      <c r="IJ86">
        <v>9.4905977090923709E-4</v>
      </c>
      <c r="IK86">
        <v>-1.9106666302146479E-6</v>
      </c>
      <c r="IL86">
        <v>7.5819610513223293E-10</v>
      </c>
      <c r="IM86">
        <v>-6.311708716568265E-2</v>
      </c>
      <c r="IN86">
        <v>-1.0595840490420019E-2</v>
      </c>
      <c r="IO86">
        <v>1.2407080968752471E-3</v>
      </c>
      <c r="IP86">
        <v>-1.3015442653884381E-5</v>
      </c>
      <c r="IQ86">
        <v>33</v>
      </c>
      <c r="IR86">
        <v>2014</v>
      </c>
      <c r="IS86">
        <v>1</v>
      </c>
      <c r="IT86">
        <v>26</v>
      </c>
      <c r="IU86">
        <v>0.6</v>
      </c>
      <c r="IV86">
        <v>0.6</v>
      </c>
      <c r="IW86">
        <v>2.97119</v>
      </c>
      <c r="IX86">
        <v>2.4890099999999999</v>
      </c>
      <c r="IY86">
        <v>1.5979000000000001</v>
      </c>
      <c r="IZ86">
        <v>2.2997999999999998</v>
      </c>
      <c r="JA86">
        <v>1.5490699999999999</v>
      </c>
      <c r="JB86">
        <v>2.36572</v>
      </c>
      <c r="JC86">
        <v>38.722499999999997</v>
      </c>
      <c r="JD86">
        <v>24.061199999999999</v>
      </c>
      <c r="JE86">
        <v>18</v>
      </c>
      <c r="JF86">
        <v>488.99299999999999</v>
      </c>
      <c r="JG86">
        <v>496.59699999999998</v>
      </c>
      <c r="JH86">
        <v>22.685400000000001</v>
      </c>
      <c r="JI86">
        <v>32.411000000000001</v>
      </c>
      <c r="JJ86">
        <v>30.0002</v>
      </c>
      <c r="JK86">
        <v>32.537799999999997</v>
      </c>
      <c r="JL86">
        <v>32.516500000000001</v>
      </c>
      <c r="JM86">
        <v>59.536299999999997</v>
      </c>
      <c r="JN86">
        <v>40.2318</v>
      </c>
      <c r="JO86">
        <v>0</v>
      </c>
      <c r="JP86">
        <v>22.677800000000001</v>
      </c>
      <c r="JQ86">
        <v>1500</v>
      </c>
      <c r="JR86">
        <v>18.503900000000002</v>
      </c>
      <c r="JS86">
        <v>99.663700000000006</v>
      </c>
      <c r="JT86">
        <v>98.682400000000001</v>
      </c>
    </row>
    <row r="87" spans="1:280" x14ac:dyDescent="0.25">
      <c r="A87">
        <v>71</v>
      </c>
      <c r="B87">
        <v>1674592903</v>
      </c>
      <c r="C87">
        <v>17478</v>
      </c>
      <c r="D87" t="s">
        <v>777</v>
      </c>
      <c r="E87" t="s">
        <v>778</v>
      </c>
      <c r="F87" t="s">
        <v>412</v>
      </c>
      <c r="G87" t="s">
        <v>779</v>
      </c>
      <c r="H87" t="s">
        <v>493</v>
      </c>
      <c r="I87">
        <v>1674592903</v>
      </c>
      <c r="J87">
        <f t="shared" si="92"/>
        <v>5.4447512136040566E-3</v>
      </c>
      <c r="K87">
        <f t="shared" si="93"/>
        <v>5.4447512136040563</v>
      </c>
      <c r="L87">
        <f t="shared" si="94"/>
        <v>52.636470181294648</v>
      </c>
      <c r="M87">
        <f t="shared" si="95"/>
        <v>334.71</v>
      </c>
      <c r="N87">
        <f t="shared" si="96"/>
        <v>144.25652611850629</v>
      </c>
      <c r="O87">
        <f t="shared" si="97"/>
        <v>14.37826693963817</v>
      </c>
      <c r="P87">
        <f t="shared" si="98"/>
        <v>33.361053789780001</v>
      </c>
      <c r="Q87">
        <f t="shared" si="99"/>
        <v>0.48906618160621623</v>
      </c>
      <c r="R87">
        <f t="shared" si="100"/>
        <v>2.9179632392744939</v>
      </c>
      <c r="S87">
        <f t="shared" si="101"/>
        <v>0.44767072407242342</v>
      </c>
      <c r="T87">
        <f t="shared" si="102"/>
        <v>0.2832208616054851</v>
      </c>
      <c r="U87">
        <f t="shared" si="103"/>
        <v>344.33769965763435</v>
      </c>
      <c r="V87">
        <f t="shared" si="104"/>
        <v>28.609977432285863</v>
      </c>
      <c r="W87">
        <f t="shared" si="105"/>
        <v>27.369499999999999</v>
      </c>
      <c r="X87">
        <f t="shared" si="106"/>
        <v>3.6575730153714221</v>
      </c>
      <c r="Y87">
        <f t="shared" si="107"/>
        <v>65.447006157453927</v>
      </c>
      <c r="Z87">
        <f t="shared" si="108"/>
        <v>2.4826680061030002</v>
      </c>
      <c r="AA87">
        <f t="shared" si="109"/>
        <v>3.7934019474170291</v>
      </c>
      <c r="AB87">
        <f t="shared" si="110"/>
        <v>1.1749050092684219</v>
      </c>
      <c r="AC87">
        <f t="shared" si="111"/>
        <v>-240.11352851993888</v>
      </c>
      <c r="AD87">
        <f t="shared" si="112"/>
        <v>98.163458113198686</v>
      </c>
      <c r="AE87">
        <f t="shared" si="113"/>
        <v>7.3097383678998691</v>
      </c>
      <c r="AF87">
        <f t="shared" si="114"/>
        <v>209.697367618794</v>
      </c>
      <c r="AG87">
        <v>0</v>
      </c>
      <c r="AH87">
        <v>0</v>
      </c>
      <c r="AI87">
        <f t="shared" si="115"/>
        <v>1</v>
      </c>
      <c r="AJ87">
        <f t="shared" si="116"/>
        <v>0</v>
      </c>
      <c r="AK87">
        <f t="shared" si="117"/>
        <v>52360.242556841127</v>
      </c>
      <c r="AL87" t="s">
        <v>415</v>
      </c>
      <c r="AM87">
        <v>10297.6</v>
      </c>
      <c r="AN87">
        <v>785.57400000000007</v>
      </c>
      <c r="AO87">
        <v>3597.65</v>
      </c>
      <c r="AP87">
        <f t="shared" si="118"/>
        <v>0.7816424610509638</v>
      </c>
      <c r="AQ87">
        <v>-0.62398835798131469</v>
      </c>
      <c r="AR87" t="s">
        <v>780</v>
      </c>
      <c r="AS87">
        <v>10229.5</v>
      </c>
      <c r="AT87">
        <v>733.57387999999992</v>
      </c>
      <c r="AU87">
        <v>1118.9207685719441</v>
      </c>
      <c r="AV87">
        <f t="shared" si="119"/>
        <v>0.34439157748743432</v>
      </c>
      <c r="AW87">
        <v>0.5</v>
      </c>
      <c r="AX87">
        <f t="shared" si="120"/>
        <v>1513.042199828817</v>
      </c>
      <c r="AY87">
        <f t="shared" si="121"/>
        <v>52.636470181294648</v>
      </c>
      <c r="AZ87">
        <f t="shared" si="122"/>
        <v>260.53949500205204</v>
      </c>
      <c r="BA87">
        <f t="shared" si="123"/>
        <v>3.520090751289142E-2</v>
      </c>
      <c r="BB87">
        <f t="shared" si="124"/>
        <v>2.2152857477045562</v>
      </c>
      <c r="BC87">
        <f t="shared" si="125"/>
        <v>529.46088214416727</v>
      </c>
      <c r="BD87" t="s">
        <v>781</v>
      </c>
      <c r="BE87">
        <v>547.70000000000005</v>
      </c>
      <c r="BF87">
        <f t="shared" si="126"/>
        <v>547.70000000000005</v>
      </c>
      <c r="BG87">
        <f t="shared" si="127"/>
        <v>0.51051047099696034</v>
      </c>
      <c r="BH87">
        <f t="shared" si="128"/>
        <v>0.67460237752789365</v>
      </c>
      <c r="BI87">
        <f t="shared" si="129"/>
        <v>0.81271143180316263</v>
      </c>
      <c r="BJ87">
        <f t="shared" si="130"/>
        <v>1.1559940725472408</v>
      </c>
      <c r="BK87">
        <f t="shared" si="131"/>
        <v>0.88145883376838174</v>
      </c>
      <c r="BL87">
        <f t="shared" si="132"/>
        <v>0.50367077160929918</v>
      </c>
      <c r="BM87">
        <f t="shared" si="133"/>
        <v>0.49632922839070082</v>
      </c>
      <c r="BN87">
        <v>141</v>
      </c>
      <c r="BO87">
        <v>290.00000000000011</v>
      </c>
      <c r="BP87">
        <v>1017.95</v>
      </c>
      <c r="BQ87">
        <v>135</v>
      </c>
      <c r="BR87">
        <v>10229.5</v>
      </c>
      <c r="BS87">
        <v>1017.52</v>
      </c>
      <c r="BT87">
        <v>0.43</v>
      </c>
      <c r="BU87">
        <v>300.00000000000011</v>
      </c>
      <c r="BV87">
        <v>24.1</v>
      </c>
      <c r="BW87">
        <v>1118.9207685719441</v>
      </c>
      <c r="BX87">
        <v>2.524464421848553</v>
      </c>
      <c r="BY87">
        <v>-103.7329364215974</v>
      </c>
      <c r="BZ87">
        <v>2.2958292271074452</v>
      </c>
      <c r="CA87">
        <v>0.98647030934864854</v>
      </c>
      <c r="CB87">
        <v>-6.9608371523915396E-3</v>
      </c>
      <c r="CC87">
        <v>289.99999999999989</v>
      </c>
      <c r="CD87">
        <v>1014.4</v>
      </c>
      <c r="CE87">
        <v>685</v>
      </c>
      <c r="CF87">
        <v>10190.200000000001</v>
      </c>
      <c r="CG87">
        <v>1017.12</v>
      </c>
      <c r="CH87">
        <v>-2.72</v>
      </c>
      <c r="CV87">
        <f t="shared" si="134"/>
        <v>1799.83</v>
      </c>
      <c r="CW87">
        <f t="shared" si="135"/>
        <v>1513.042199828817</v>
      </c>
      <c r="CX87">
        <f t="shared" si="136"/>
        <v>0.84065839542002141</v>
      </c>
      <c r="CY87">
        <f t="shared" si="137"/>
        <v>0.19131679084004288</v>
      </c>
      <c r="CZ87">
        <v>6</v>
      </c>
      <c r="DA87">
        <v>0.5</v>
      </c>
      <c r="DB87" t="s">
        <v>418</v>
      </c>
      <c r="DC87">
        <v>2</v>
      </c>
      <c r="DD87">
        <v>1674592903</v>
      </c>
      <c r="DE87">
        <v>334.71</v>
      </c>
      <c r="DF87">
        <v>400.05700000000002</v>
      </c>
      <c r="DG87">
        <v>24.9085</v>
      </c>
      <c r="DH87">
        <v>18.5379</v>
      </c>
      <c r="DI87">
        <v>335.50599999999997</v>
      </c>
      <c r="DJ87">
        <v>24.6752</v>
      </c>
      <c r="DK87">
        <v>500.02800000000002</v>
      </c>
      <c r="DL87">
        <v>99.571200000000005</v>
      </c>
      <c r="DM87">
        <v>0.100318</v>
      </c>
      <c r="DN87">
        <v>27.993500000000001</v>
      </c>
      <c r="DO87">
        <v>27.369499999999999</v>
      </c>
      <c r="DP87">
        <v>999.9</v>
      </c>
      <c r="DQ87">
        <v>0</v>
      </c>
      <c r="DR87">
        <v>0</v>
      </c>
      <c r="DS87">
        <v>9976.8799999999992</v>
      </c>
      <c r="DT87">
        <v>0</v>
      </c>
      <c r="DU87">
        <v>347.88799999999998</v>
      </c>
      <c r="DV87">
        <v>-65.347899999999996</v>
      </c>
      <c r="DW87">
        <v>343.26</v>
      </c>
      <c r="DX87">
        <v>407.61399999999998</v>
      </c>
      <c r="DY87">
        <v>6.3705800000000004</v>
      </c>
      <c r="DZ87">
        <v>400.05700000000002</v>
      </c>
      <c r="EA87">
        <v>18.5379</v>
      </c>
      <c r="EB87">
        <v>2.4801700000000002</v>
      </c>
      <c r="EC87">
        <v>1.8458399999999999</v>
      </c>
      <c r="ED87">
        <v>20.896999999999998</v>
      </c>
      <c r="EE87">
        <v>16.180499999999999</v>
      </c>
      <c r="EF87">
        <v>1799.83</v>
      </c>
      <c r="EG87">
        <v>0.97799199999999997</v>
      </c>
      <c r="EH87">
        <v>2.2008099999999999E-2</v>
      </c>
      <c r="EI87">
        <v>0</v>
      </c>
      <c r="EJ87">
        <v>733.67899999999997</v>
      </c>
      <c r="EK87">
        <v>5.0002599999999999</v>
      </c>
      <c r="EL87">
        <v>13609.4</v>
      </c>
      <c r="EM87">
        <v>17101.7</v>
      </c>
      <c r="EN87">
        <v>50.25</v>
      </c>
      <c r="EO87">
        <v>51.375</v>
      </c>
      <c r="EP87">
        <v>51.186999999999998</v>
      </c>
      <c r="EQ87">
        <v>50.811999999999998</v>
      </c>
      <c r="ER87">
        <v>51.311999999999998</v>
      </c>
      <c r="ES87">
        <v>1755.33</v>
      </c>
      <c r="ET87">
        <v>39.5</v>
      </c>
      <c r="EU87">
        <v>0</v>
      </c>
      <c r="EV87">
        <v>1694.400000095367</v>
      </c>
      <c r="EW87">
        <v>0</v>
      </c>
      <c r="EX87">
        <v>733.57387999999992</v>
      </c>
      <c r="EY87">
        <v>0.64000001206039736</v>
      </c>
      <c r="EZ87">
        <v>16.215384547458751</v>
      </c>
      <c r="FA87">
        <v>13608.495999999999</v>
      </c>
      <c r="FB87">
        <v>15</v>
      </c>
      <c r="FC87">
        <v>1674592864.5</v>
      </c>
      <c r="FD87" t="s">
        <v>782</v>
      </c>
      <c r="FE87">
        <v>1674592854.5</v>
      </c>
      <c r="FF87">
        <v>1674592864.5</v>
      </c>
      <c r="FG87">
        <v>80</v>
      </c>
      <c r="FH87">
        <v>0.19</v>
      </c>
      <c r="FI87">
        <v>5.0000000000000001E-3</v>
      </c>
      <c r="FJ87">
        <v>-0.80600000000000005</v>
      </c>
      <c r="FK87">
        <v>7.8E-2</v>
      </c>
      <c r="FL87">
        <v>400</v>
      </c>
      <c r="FM87">
        <v>18</v>
      </c>
      <c r="FN87">
        <v>0.03</v>
      </c>
      <c r="FO87">
        <v>0.02</v>
      </c>
      <c r="FP87">
        <v>52.622699447609783</v>
      </c>
      <c r="FQ87">
        <v>-0.41380778435455817</v>
      </c>
      <c r="FR87">
        <v>5.7025690821521632E-2</v>
      </c>
      <c r="FS87">
        <v>1</v>
      </c>
      <c r="FT87">
        <v>0.48946878708206598</v>
      </c>
      <c r="FU87">
        <v>4.066774066244308E-2</v>
      </c>
      <c r="FV87">
        <v>7.1826547728811923E-3</v>
      </c>
      <c r="FW87">
        <v>1</v>
      </c>
      <c r="FX87">
        <v>2</v>
      </c>
      <c r="FY87">
        <v>2</v>
      </c>
      <c r="FZ87" t="s">
        <v>420</v>
      </c>
      <c r="GA87">
        <v>2.9281199999999998</v>
      </c>
      <c r="GB87">
        <v>2.80708</v>
      </c>
      <c r="GC87">
        <v>8.5157999999999998E-2</v>
      </c>
      <c r="GD87">
        <v>9.9094600000000005E-2</v>
      </c>
      <c r="GE87">
        <v>0.11489000000000001</v>
      </c>
      <c r="GF87">
        <v>9.48711E-2</v>
      </c>
      <c r="GG87">
        <v>27178.7</v>
      </c>
      <c r="GH87">
        <v>27157.8</v>
      </c>
      <c r="GI87">
        <v>28220</v>
      </c>
      <c r="GJ87">
        <v>27165.3</v>
      </c>
      <c r="GK87">
        <v>35856.800000000003</v>
      </c>
      <c r="GL87">
        <v>32467.599999999999</v>
      </c>
      <c r="GM87">
        <v>42022</v>
      </c>
      <c r="GN87">
        <v>36857.199999999997</v>
      </c>
      <c r="GO87">
        <v>1.9255</v>
      </c>
      <c r="GP87">
        <v>1.8831500000000001</v>
      </c>
      <c r="GQ87">
        <v>5.3085399999999998E-2</v>
      </c>
      <c r="GR87">
        <v>0</v>
      </c>
      <c r="GS87">
        <v>26.501300000000001</v>
      </c>
      <c r="GT87">
        <v>999.9</v>
      </c>
      <c r="GU87">
        <v>49.6</v>
      </c>
      <c r="GV87">
        <v>35.1</v>
      </c>
      <c r="GW87">
        <v>28.289899999999999</v>
      </c>
      <c r="GX87">
        <v>61.349200000000003</v>
      </c>
      <c r="GY87">
        <v>26.943100000000001</v>
      </c>
      <c r="GZ87">
        <v>1</v>
      </c>
      <c r="HA87">
        <v>0.42265799999999998</v>
      </c>
      <c r="HB87">
        <v>3.1886700000000001</v>
      </c>
      <c r="HC87">
        <v>20.317299999999999</v>
      </c>
      <c r="HD87">
        <v>5.2375100000000003</v>
      </c>
      <c r="HE87">
        <v>11.9381</v>
      </c>
      <c r="HF87">
        <v>4.9735500000000004</v>
      </c>
      <c r="HG87">
        <v>3.2989999999999999</v>
      </c>
      <c r="HH87">
        <v>9999</v>
      </c>
      <c r="HI87">
        <v>9999</v>
      </c>
      <c r="HJ87">
        <v>9999</v>
      </c>
      <c r="HK87">
        <v>999.9</v>
      </c>
      <c r="HL87">
        <v>1.8733299999999999</v>
      </c>
      <c r="HM87">
        <v>1.8810899999999999</v>
      </c>
      <c r="HN87">
        <v>1.8846099999999999</v>
      </c>
      <c r="HO87">
        <v>1.8813200000000001</v>
      </c>
      <c r="HP87">
        <v>1.87866</v>
      </c>
      <c r="HQ87">
        <v>1.8733900000000001</v>
      </c>
      <c r="HR87">
        <v>1.87622</v>
      </c>
      <c r="HS87">
        <v>1.8804799999999999</v>
      </c>
      <c r="HT87">
        <v>5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423</v>
      </c>
      <c r="IB87" t="s">
        <v>423</v>
      </c>
      <c r="IC87" t="s">
        <v>423</v>
      </c>
      <c r="ID87">
        <v>0</v>
      </c>
      <c r="IE87">
        <v>100</v>
      </c>
      <c r="IF87">
        <v>100</v>
      </c>
      <c r="IG87">
        <v>-0.79600000000000004</v>
      </c>
      <c r="IH87">
        <v>0.23330000000000001</v>
      </c>
      <c r="II87">
        <v>-0.92833536771743608</v>
      </c>
      <c r="IJ87">
        <v>9.4905977090923709E-4</v>
      </c>
      <c r="IK87">
        <v>-1.9106666302146479E-6</v>
      </c>
      <c r="IL87">
        <v>7.5819610513223293E-10</v>
      </c>
      <c r="IM87">
        <v>-6.5099944771745077E-2</v>
      </c>
      <c r="IN87">
        <v>-1.0595840490420019E-2</v>
      </c>
      <c r="IO87">
        <v>1.2407080968752471E-3</v>
      </c>
      <c r="IP87">
        <v>-1.3015442653884381E-5</v>
      </c>
      <c r="IQ87">
        <v>33</v>
      </c>
      <c r="IR87">
        <v>2014</v>
      </c>
      <c r="IS87">
        <v>1</v>
      </c>
      <c r="IT87">
        <v>26</v>
      </c>
      <c r="IU87">
        <v>0.8</v>
      </c>
      <c r="IV87">
        <v>0.6</v>
      </c>
      <c r="IW87">
        <v>1.01074</v>
      </c>
      <c r="IX87">
        <v>2.5061</v>
      </c>
      <c r="IY87">
        <v>1.5991200000000001</v>
      </c>
      <c r="IZ87">
        <v>2.2997999999999998</v>
      </c>
      <c r="JA87">
        <v>1.5502899999999999</v>
      </c>
      <c r="JB87">
        <v>2.36572</v>
      </c>
      <c r="JC87">
        <v>38.575000000000003</v>
      </c>
      <c r="JD87">
        <v>24.07</v>
      </c>
      <c r="JE87">
        <v>18</v>
      </c>
      <c r="JF87">
        <v>487.51299999999998</v>
      </c>
      <c r="JG87">
        <v>494.19799999999998</v>
      </c>
      <c r="JH87">
        <v>22.532900000000001</v>
      </c>
      <c r="JI87">
        <v>32.498699999999999</v>
      </c>
      <c r="JJ87">
        <v>30</v>
      </c>
      <c r="JK87">
        <v>32.569600000000001</v>
      </c>
      <c r="JL87">
        <v>32.5321</v>
      </c>
      <c r="JM87">
        <v>20.2912</v>
      </c>
      <c r="JN87">
        <v>41.940399999999997</v>
      </c>
      <c r="JO87">
        <v>0</v>
      </c>
      <c r="JP87">
        <v>22.536999999999999</v>
      </c>
      <c r="JQ87">
        <v>400</v>
      </c>
      <c r="JR87">
        <v>18.441800000000001</v>
      </c>
      <c r="JS87">
        <v>99.628399999999999</v>
      </c>
      <c r="JT87">
        <v>98.686899999999994</v>
      </c>
    </row>
    <row r="88" spans="1:280" x14ac:dyDescent="0.25">
      <c r="A88">
        <v>72</v>
      </c>
      <c r="B88">
        <v>1674593029.5</v>
      </c>
      <c r="C88">
        <v>17604.5</v>
      </c>
      <c r="D88" t="s">
        <v>783</v>
      </c>
      <c r="E88" t="s">
        <v>784</v>
      </c>
      <c r="F88" t="s">
        <v>412</v>
      </c>
      <c r="G88" t="s">
        <v>779</v>
      </c>
      <c r="H88" t="s">
        <v>493</v>
      </c>
      <c r="I88">
        <v>1674593029.5</v>
      </c>
      <c r="J88">
        <f t="shared" si="92"/>
        <v>5.6918523749766338E-3</v>
      </c>
      <c r="K88">
        <f t="shared" si="93"/>
        <v>5.6918523749766337</v>
      </c>
      <c r="L88">
        <f t="shared" si="94"/>
        <v>44.835151141723003</v>
      </c>
      <c r="M88">
        <f t="shared" si="95"/>
        <v>244.505</v>
      </c>
      <c r="N88">
        <f t="shared" si="96"/>
        <v>91.074081206316791</v>
      </c>
      <c r="O88">
        <f t="shared" si="97"/>
        <v>9.0778321770562531</v>
      </c>
      <c r="P88">
        <f t="shared" si="98"/>
        <v>24.371097979269997</v>
      </c>
      <c r="Q88">
        <f t="shared" si="99"/>
        <v>0.51764772769713485</v>
      </c>
      <c r="R88">
        <f t="shared" si="100"/>
        <v>2.910662738397495</v>
      </c>
      <c r="S88">
        <f t="shared" si="101"/>
        <v>0.47141201554659135</v>
      </c>
      <c r="T88">
        <f t="shared" si="102"/>
        <v>0.29844170130060199</v>
      </c>
      <c r="U88">
        <f t="shared" si="103"/>
        <v>344.3889996576857</v>
      </c>
      <c r="V88">
        <f t="shared" si="104"/>
        <v>28.536917797364058</v>
      </c>
      <c r="W88">
        <f t="shared" si="105"/>
        <v>27.348500000000001</v>
      </c>
      <c r="X88">
        <f t="shared" si="106"/>
        <v>3.6530766597682867</v>
      </c>
      <c r="Y88">
        <f t="shared" si="107"/>
        <v>65.591192224401439</v>
      </c>
      <c r="Z88">
        <f t="shared" si="108"/>
        <v>2.4866583666903996</v>
      </c>
      <c r="AA88">
        <f t="shared" si="109"/>
        <v>3.7911467719370182</v>
      </c>
      <c r="AB88">
        <f t="shared" si="110"/>
        <v>1.166418293077887</v>
      </c>
      <c r="AC88">
        <f t="shared" si="111"/>
        <v>-251.01068973646954</v>
      </c>
      <c r="AD88">
        <f t="shared" si="112"/>
        <v>99.612593535917725</v>
      </c>
      <c r="AE88">
        <f t="shared" si="113"/>
        <v>7.4350959846450433</v>
      </c>
      <c r="AF88">
        <f t="shared" si="114"/>
        <v>200.42599944177891</v>
      </c>
      <c r="AG88">
        <v>0</v>
      </c>
      <c r="AH88">
        <v>0</v>
      </c>
      <c r="AI88">
        <f t="shared" si="115"/>
        <v>1</v>
      </c>
      <c r="AJ88">
        <f t="shared" si="116"/>
        <v>0</v>
      </c>
      <c r="AK88">
        <f t="shared" si="117"/>
        <v>52152.677319315218</v>
      </c>
      <c r="AL88" t="s">
        <v>415</v>
      </c>
      <c r="AM88">
        <v>10297.6</v>
      </c>
      <c r="AN88">
        <v>785.57400000000007</v>
      </c>
      <c r="AO88">
        <v>3597.65</v>
      </c>
      <c r="AP88">
        <f t="shared" si="118"/>
        <v>0.7816424610509638</v>
      </c>
      <c r="AQ88">
        <v>-0.62398835798131469</v>
      </c>
      <c r="AR88" t="s">
        <v>785</v>
      </c>
      <c r="AS88">
        <v>10232.700000000001</v>
      </c>
      <c r="AT88">
        <v>725.28939999999989</v>
      </c>
      <c r="AU88">
        <v>1054.4763668867181</v>
      </c>
      <c r="AV88">
        <f t="shared" si="119"/>
        <v>0.31218050704979206</v>
      </c>
      <c r="AW88">
        <v>0.5</v>
      </c>
      <c r="AX88">
        <f t="shared" si="120"/>
        <v>1513.2689998288427</v>
      </c>
      <c r="AY88">
        <f t="shared" si="121"/>
        <v>44.835151141723003</v>
      </c>
      <c r="AZ88">
        <f t="shared" si="122"/>
        <v>236.2065418346499</v>
      </c>
      <c r="BA88">
        <f t="shared" si="123"/>
        <v>3.0040356013931395E-2</v>
      </c>
      <c r="BB88">
        <f t="shared" si="124"/>
        <v>2.411788175605925</v>
      </c>
      <c r="BC88">
        <f t="shared" si="125"/>
        <v>514.57976306772957</v>
      </c>
      <c r="BD88" t="s">
        <v>786</v>
      </c>
      <c r="BE88">
        <v>544.87</v>
      </c>
      <c r="BF88">
        <f t="shared" si="126"/>
        <v>544.87</v>
      </c>
      <c r="BG88">
        <f t="shared" si="127"/>
        <v>0.48327907849779705</v>
      </c>
      <c r="BH88">
        <f t="shared" si="128"/>
        <v>0.64596321450570526</v>
      </c>
      <c r="BI88">
        <f t="shared" si="129"/>
        <v>0.83306809960537009</v>
      </c>
      <c r="BJ88">
        <f t="shared" si="130"/>
        <v>1.2241876882600911</v>
      </c>
      <c r="BK88">
        <f t="shared" si="131"/>
        <v>0.90437585368008622</v>
      </c>
      <c r="BL88">
        <f t="shared" si="132"/>
        <v>0.48527660363949027</v>
      </c>
      <c r="BM88">
        <f t="shared" si="133"/>
        <v>0.51472339636050979</v>
      </c>
      <c r="BN88">
        <v>143</v>
      </c>
      <c r="BO88">
        <v>290.00000000000011</v>
      </c>
      <c r="BP88">
        <v>964.53</v>
      </c>
      <c r="BQ88">
        <v>115</v>
      </c>
      <c r="BR88">
        <v>10232.700000000001</v>
      </c>
      <c r="BS88">
        <v>963.06</v>
      </c>
      <c r="BT88">
        <v>1.47</v>
      </c>
      <c r="BU88">
        <v>300.00000000000011</v>
      </c>
      <c r="BV88">
        <v>24.1</v>
      </c>
      <c r="BW88">
        <v>1054.4763668867181</v>
      </c>
      <c r="BX88">
        <v>2.1720292113529189</v>
      </c>
      <c r="BY88">
        <v>-93.539564537668028</v>
      </c>
      <c r="BZ88">
        <v>1.9752225417580991</v>
      </c>
      <c r="CA88">
        <v>0.98766864846740676</v>
      </c>
      <c r="CB88">
        <v>-6.9603481646273724E-3</v>
      </c>
      <c r="CC88">
        <v>289.99999999999989</v>
      </c>
      <c r="CD88">
        <v>960.75</v>
      </c>
      <c r="CE88">
        <v>665</v>
      </c>
      <c r="CF88">
        <v>10191</v>
      </c>
      <c r="CG88">
        <v>962.69</v>
      </c>
      <c r="CH88">
        <v>-1.94</v>
      </c>
      <c r="CV88">
        <f t="shared" si="134"/>
        <v>1800.1</v>
      </c>
      <c r="CW88">
        <f t="shared" si="135"/>
        <v>1513.2689998288427</v>
      </c>
      <c r="CX88">
        <f t="shared" si="136"/>
        <v>0.84065829666620895</v>
      </c>
      <c r="CY88">
        <f t="shared" si="137"/>
        <v>0.19131659333241804</v>
      </c>
      <c r="CZ88">
        <v>6</v>
      </c>
      <c r="DA88">
        <v>0.5</v>
      </c>
      <c r="DB88" t="s">
        <v>418</v>
      </c>
      <c r="DC88">
        <v>2</v>
      </c>
      <c r="DD88">
        <v>1674593029.5</v>
      </c>
      <c r="DE88">
        <v>244.505</v>
      </c>
      <c r="DF88">
        <v>299.96699999999998</v>
      </c>
      <c r="DG88">
        <v>24.947600000000001</v>
      </c>
      <c r="DH88">
        <v>18.289000000000001</v>
      </c>
      <c r="DI88">
        <v>245.327</v>
      </c>
      <c r="DJ88">
        <v>24.709399999999999</v>
      </c>
      <c r="DK88">
        <v>500.09199999999998</v>
      </c>
      <c r="DL88">
        <v>99.5745</v>
      </c>
      <c r="DM88">
        <v>0.100754</v>
      </c>
      <c r="DN88">
        <v>27.9833</v>
      </c>
      <c r="DO88">
        <v>27.348500000000001</v>
      </c>
      <c r="DP88">
        <v>999.9</v>
      </c>
      <c r="DQ88">
        <v>0</v>
      </c>
      <c r="DR88">
        <v>0</v>
      </c>
      <c r="DS88">
        <v>9935</v>
      </c>
      <c r="DT88">
        <v>0</v>
      </c>
      <c r="DU88">
        <v>336.47800000000001</v>
      </c>
      <c r="DV88">
        <v>-55.4617</v>
      </c>
      <c r="DW88">
        <v>250.761</v>
      </c>
      <c r="DX88">
        <v>305.55500000000001</v>
      </c>
      <c r="DY88">
        <v>6.6586499999999997</v>
      </c>
      <c r="DZ88">
        <v>299.96699999999998</v>
      </c>
      <c r="EA88">
        <v>18.289000000000001</v>
      </c>
      <c r="EB88">
        <v>2.4841500000000001</v>
      </c>
      <c r="EC88">
        <v>1.82111</v>
      </c>
      <c r="ED88">
        <v>20.922999999999998</v>
      </c>
      <c r="EE88">
        <v>15.969200000000001</v>
      </c>
      <c r="EF88">
        <v>1800.1</v>
      </c>
      <c r="EG88">
        <v>0.97799599999999998</v>
      </c>
      <c r="EH88">
        <v>2.20044E-2</v>
      </c>
      <c r="EI88">
        <v>0</v>
      </c>
      <c r="EJ88">
        <v>724.85500000000002</v>
      </c>
      <c r="EK88">
        <v>5.0002599999999999</v>
      </c>
      <c r="EL88">
        <v>13450.2</v>
      </c>
      <c r="EM88">
        <v>17104.3</v>
      </c>
      <c r="EN88">
        <v>50.25</v>
      </c>
      <c r="EO88">
        <v>51.311999999999998</v>
      </c>
      <c r="EP88">
        <v>51.186999999999998</v>
      </c>
      <c r="EQ88">
        <v>50.75</v>
      </c>
      <c r="ER88">
        <v>51.375</v>
      </c>
      <c r="ES88">
        <v>1755.6</v>
      </c>
      <c r="ET88">
        <v>39.5</v>
      </c>
      <c r="EU88">
        <v>0</v>
      </c>
      <c r="EV88">
        <v>124.4000000953674</v>
      </c>
      <c r="EW88">
        <v>0</v>
      </c>
      <c r="EX88">
        <v>725.28939999999989</v>
      </c>
      <c r="EY88">
        <v>-0.59953846959545065</v>
      </c>
      <c r="EZ88">
        <v>-21.853846086464571</v>
      </c>
      <c r="FA88">
        <v>13452.304</v>
      </c>
      <c r="FB88">
        <v>15</v>
      </c>
      <c r="FC88">
        <v>1674592990.5</v>
      </c>
      <c r="FD88" t="s">
        <v>787</v>
      </c>
      <c r="FE88">
        <v>1674592979</v>
      </c>
      <c r="FF88">
        <v>1674592990.5</v>
      </c>
      <c r="FG88">
        <v>81</v>
      </c>
      <c r="FH88">
        <v>-2.1999999999999999E-2</v>
      </c>
      <c r="FI88">
        <v>4.0000000000000001E-3</v>
      </c>
      <c r="FJ88">
        <v>-0.81699999999999995</v>
      </c>
      <c r="FK88">
        <v>8.1000000000000003E-2</v>
      </c>
      <c r="FL88">
        <v>300</v>
      </c>
      <c r="FM88">
        <v>18</v>
      </c>
      <c r="FN88">
        <v>0.04</v>
      </c>
      <c r="FO88">
        <v>0.01</v>
      </c>
      <c r="FP88">
        <v>44.867352116841012</v>
      </c>
      <c r="FQ88">
        <v>0.17579822188825919</v>
      </c>
      <c r="FR88">
        <v>3.0347466563507421E-2</v>
      </c>
      <c r="FS88">
        <v>1</v>
      </c>
      <c r="FT88">
        <v>0.51336627487812037</v>
      </c>
      <c r="FU88">
        <v>4.7840317689906993E-2</v>
      </c>
      <c r="FV88">
        <v>5.5724062075953248E-3</v>
      </c>
      <c r="FW88">
        <v>1</v>
      </c>
      <c r="FX88">
        <v>2</v>
      </c>
      <c r="FY88">
        <v>2</v>
      </c>
      <c r="FZ88" t="s">
        <v>420</v>
      </c>
      <c r="GA88">
        <v>2.9283100000000002</v>
      </c>
      <c r="GB88">
        <v>2.8071199999999998</v>
      </c>
      <c r="GC88">
        <v>6.5549499999999997E-2</v>
      </c>
      <c r="GD88">
        <v>7.8730400000000006E-2</v>
      </c>
      <c r="GE88">
        <v>0.115006</v>
      </c>
      <c r="GF88">
        <v>9.3965300000000002E-2</v>
      </c>
      <c r="GG88">
        <v>27760.6</v>
      </c>
      <c r="GH88">
        <v>27774.5</v>
      </c>
      <c r="GI88">
        <v>28218.7</v>
      </c>
      <c r="GJ88">
        <v>27167.599999999999</v>
      </c>
      <c r="GK88">
        <v>35850.199999999997</v>
      </c>
      <c r="GL88">
        <v>32502.9</v>
      </c>
      <c r="GM88">
        <v>42020.1</v>
      </c>
      <c r="GN88">
        <v>36860.6</v>
      </c>
      <c r="GO88">
        <v>1.92577</v>
      </c>
      <c r="GP88">
        <v>1.8827700000000001</v>
      </c>
      <c r="GQ88">
        <v>5.4452599999999997E-2</v>
      </c>
      <c r="GR88">
        <v>0</v>
      </c>
      <c r="GS88">
        <v>26.457899999999999</v>
      </c>
      <c r="GT88">
        <v>999.9</v>
      </c>
      <c r="GU88">
        <v>49.6</v>
      </c>
      <c r="GV88">
        <v>35.1</v>
      </c>
      <c r="GW88">
        <v>28.290500000000002</v>
      </c>
      <c r="GX88">
        <v>61.559199999999997</v>
      </c>
      <c r="GY88">
        <v>26.350200000000001</v>
      </c>
      <c r="GZ88">
        <v>1</v>
      </c>
      <c r="HA88">
        <v>0.42121700000000001</v>
      </c>
      <c r="HB88">
        <v>3.05768</v>
      </c>
      <c r="HC88">
        <v>20.319199999999999</v>
      </c>
      <c r="HD88">
        <v>5.24125</v>
      </c>
      <c r="HE88">
        <v>11.9381</v>
      </c>
      <c r="HF88">
        <v>4.9737</v>
      </c>
      <c r="HG88">
        <v>3.2989999999999999</v>
      </c>
      <c r="HH88">
        <v>9999</v>
      </c>
      <c r="HI88">
        <v>9999</v>
      </c>
      <c r="HJ88">
        <v>9999</v>
      </c>
      <c r="HK88">
        <v>999.9</v>
      </c>
      <c r="HL88">
        <v>1.87338</v>
      </c>
      <c r="HM88">
        <v>1.8811</v>
      </c>
      <c r="HN88">
        <v>1.8846099999999999</v>
      </c>
      <c r="HO88">
        <v>1.8813200000000001</v>
      </c>
      <c r="HP88">
        <v>1.87866</v>
      </c>
      <c r="HQ88">
        <v>1.87337</v>
      </c>
      <c r="HR88">
        <v>1.87622</v>
      </c>
      <c r="HS88">
        <v>1.8804799999999999</v>
      </c>
      <c r="HT88">
        <v>5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423</v>
      </c>
      <c r="IB88" t="s">
        <v>423</v>
      </c>
      <c r="IC88" t="s">
        <v>423</v>
      </c>
      <c r="ID88">
        <v>0</v>
      </c>
      <c r="IE88">
        <v>100</v>
      </c>
      <c r="IF88">
        <v>100</v>
      </c>
      <c r="IG88">
        <v>-0.82199999999999995</v>
      </c>
      <c r="IH88">
        <v>0.2382</v>
      </c>
      <c r="II88">
        <v>-0.95056716344061365</v>
      </c>
      <c r="IJ88">
        <v>9.4905977090923709E-4</v>
      </c>
      <c r="IK88">
        <v>-1.9106666302146479E-6</v>
      </c>
      <c r="IL88">
        <v>7.5819610513223293E-10</v>
      </c>
      <c r="IM88">
        <v>-6.1153637422379281E-2</v>
      </c>
      <c r="IN88">
        <v>-1.0595840490420019E-2</v>
      </c>
      <c r="IO88">
        <v>1.2407080968752471E-3</v>
      </c>
      <c r="IP88">
        <v>-1.3015442653884381E-5</v>
      </c>
      <c r="IQ88">
        <v>33</v>
      </c>
      <c r="IR88">
        <v>2014</v>
      </c>
      <c r="IS88">
        <v>1</v>
      </c>
      <c r="IT88">
        <v>26</v>
      </c>
      <c r="IU88">
        <v>0.8</v>
      </c>
      <c r="IV88">
        <v>0.7</v>
      </c>
      <c r="IW88">
        <v>0.80322300000000002</v>
      </c>
      <c r="IX88">
        <v>2.52563</v>
      </c>
      <c r="IY88">
        <v>1.5991200000000001</v>
      </c>
      <c r="IZ88">
        <v>2.2997999999999998</v>
      </c>
      <c r="JA88">
        <v>1.5502899999999999</v>
      </c>
      <c r="JB88">
        <v>2.2277800000000001</v>
      </c>
      <c r="JC88">
        <v>38.550400000000003</v>
      </c>
      <c r="JD88">
        <v>24.061199999999999</v>
      </c>
      <c r="JE88">
        <v>18</v>
      </c>
      <c r="JF88">
        <v>487.66699999999997</v>
      </c>
      <c r="JG88">
        <v>493.892</v>
      </c>
      <c r="JH88">
        <v>22.630400000000002</v>
      </c>
      <c r="JI88">
        <v>32.485700000000001</v>
      </c>
      <c r="JJ88">
        <v>29.9999</v>
      </c>
      <c r="JK88">
        <v>32.566699999999997</v>
      </c>
      <c r="JL88">
        <v>32.526699999999998</v>
      </c>
      <c r="JM88">
        <v>16.129000000000001</v>
      </c>
      <c r="JN88">
        <v>42.408200000000001</v>
      </c>
      <c r="JO88">
        <v>0</v>
      </c>
      <c r="JP88">
        <v>22.6402</v>
      </c>
      <c r="JQ88">
        <v>300</v>
      </c>
      <c r="JR88">
        <v>18.244700000000002</v>
      </c>
      <c r="JS88">
        <v>99.623900000000006</v>
      </c>
      <c r="JT88">
        <v>98.695599999999999</v>
      </c>
    </row>
    <row r="89" spans="1:280" x14ac:dyDescent="0.25">
      <c r="A89">
        <v>73</v>
      </c>
      <c r="B89">
        <v>1674593165</v>
      </c>
      <c r="C89">
        <v>17740</v>
      </c>
      <c r="D89" t="s">
        <v>788</v>
      </c>
      <c r="E89" t="s">
        <v>789</v>
      </c>
      <c r="F89" t="s">
        <v>412</v>
      </c>
      <c r="G89" t="s">
        <v>779</v>
      </c>
      <c r="H89" t="s">
        <v>493</v>
      </c>
      <c r="I89">
        <v>1674593165</v>
      </c>
      <c r="J89">
        <f t="shared" si="92"/>
        <v>6.0642649132299888E-3</v>
      </c>
      <c r="K89">
        <f t="shared" si="93"/>
        <v>6.0642649132299891</v>
      </c>
      <c r="L89">
        <f t="shared" si="94"/>
        <v>32.643006973939578</v>
      </c>
      <c r="M89">
        <f t="shared" si="95"/>
        <v>159.72800000000001</v>
      </c>
      <c r="N89">
        <f t="shared" si="96"/>
        <v>54.876170328501495</v>
      </c>
      <c r="O89">
        <f t="shared" si="97"/>
        <v>5.4701325630638271</v>
      </c>
      <c r="P89">
        <f t="shared" si="98"/>
        <v>15.921907975769599</v>
      </c>
      <c r="Q89">
        <f t="shared" si="99"/>
        <v>0.55351269485017318</v>
      </c>
      <c r="R89">
        <f t="shared" si="100"/>
        <v>2.9226357265513538</v>
      </c>
      <c r="S89">
        <f t="shared" si="101"/>
        <v>0.50118915225913285</v>
      </c>
      <c r="T89">
        <f t="shared" si="102"/>
        <v>0.31753108504092864</v>
      </c>
      <c r="U89">
        <f t="shared" si="103"/>
        <v>344.38329965768003</v>
      </c>
      <c r="V89">
        <f t="shared" si="104"/>
        <v>28.467365058417769</v>
      </c>
      <c r="W89">
        <f t="shared" si="105"/>
        <v>27.357399999999998</v>
      </c>
      <c r="X89">
        <f t="shared" si="106"/>
        <v>3.6549816687313244</v>
      </c>
      <c r="Y89">
        <f t="shared" si="107"/>
        <v>65.461133548322593</v>
      </c>
      <c r="Z89">
        <f t="shared" si="108"/>
        <v>2.4860138244547199</v>
      </c>
      <c r="AA89">
        <f t="shared" si="109"/>
        <v>3.7976944328646183</v>
      </c>
      <c r="AB89">
        <f t="shared" si="110"/>
        <v>1.1689678442766045</v>
      </c>
      <c r="AC89">
        <f t="shared" si="111"/>
        <v>-267.4340826734425</v>
      </c>
      <c r="AD89">
        <f t="shared" si="112"/>
        <v>103.28394749348789</v>
      </c>
      <c r="AE89">
        <f t="shared" si="113"/>
        <v>7.6790200813305249</v>
      </c>
      <c r="AF89">
        <f t="shared" si="114"/>
        <v>187.91218455905593</v>
      </c>
      <c r="AG89">
        <v>0</v>
      </c>
      <c r="AH89">
        <v>0</v>
      </c>
      <c r="AI89">
        <f t="shared" si="115"/>
        <v>1</v>
      </c>
      <c r="AJ89">
        <f t="shared" si="116"/>
        <v>0</v>
      </c>
      <c r="AK89">
        <f t="shared" si="117"/>
        <v>52491.277855315988</v>
      </c>
      <c r="AL89" t="s">
        <v>415</v>
      </c>
      <c r="AM89">
        <v>10297.6</v>
      </c>
      <c r="AN89">
        <v>785.57400000000007</v>
      </c>
      <c r="AO89">
        <v>3597.65</v>
      </c>
      <c r="AP89">
        <f t="shared" si="118"/>
        <v>0.7816424610509638</v>
      </c>
      <c r="AQ89">
        <v>-0.62398835798131469</v>
      </c>
      <c r="AR89" t="s">
        <v>790</v>
      </c>
      <c r="AS89">
        <v>10219.9</v>
      </c>
      <c r="AT89">
        <v>731.20842307692305</v>
      </c>
      <c r="AU89">
        <v>977.01007991315896</v>
      </c>
      <c r="AV89">
        <f t="shared" si="119"/>
        <v>0.25158558943228493</v>
      </c>
      <c r="AW89">
        <v>0.5</v>
      </c>
      <c r="AX89">
        <f t="shared" si="120"/>
        <v>1513.2437998288399</v>
      </c>
      <c r="AY89">
        <f t="shared" si="121"/>
        <v>32.643006973939578</v>
      </c>
      <c r="AZ89">
        <f t="shared" si="122"/>
        <v>190.35516666734463</v>
      </c>
      <c r="BA89">
        <f t="shared" si="123"/>
        <v>2.1983896669977212E-2</v>
      </c>
      <c r="BB89">
        <f t="shared" si="124"/>
        <v>2.6823059188087139</v>
      </c>
      <c r="BC89">
        <f t="shared" si="125"/>
        <v>495.41095309293041</v>
      </c>
      <c r="BD89" t="s">
        <v>791</v>
      </c>
      <c r="BE89">
        <v>533.66999999999996</v>
      </c>
      <c r="BF89">
        <f t="shared" si="126"/>
        <v>533.66999999999996</v>
      </c>
      <c r="BG89">
        <f t="shared" si="127"/>
        <v>0.45377226809427085</v>
      </c>
      <c r="BH89">
        <f t="shared" si="128"/>
        <v>0.55443139019685128</v>
      </c>
      <c r="BI89">
        <f t="shared" si="129"/>
        <v>0.85530581795143601</v>
      </c>
      <c r="BJ89">
        <f t="shared" si="130"/>
        <v>1.2839881434457854</v>
      </c>
      <c r="BK89">
        <f t="shared" si="131"/>
        <v>0.93192357535388126</v>
      </c>
      <c r="BL89">
        <f t="shared" si="132"/>
        <v>0.4046498791155565</v>
      </c>
      <c r="BM89">
        <f t="shared" si="133"/>
        <v>0.5953501208844435</v>
      </c>
      <c r="BN89">
        <v>145</v>
      </c>
      <c r="BO89">
        <v>290.00000000000011</v>
      </c>
      <c r="BP89">
        <v>907.07</v>
      </c>
      <c r="BQ89">
        <v>185</v>
      </c>
      <c r="BR89">
        <v>10219.9</v>
      </c>
      <c r="BS89">
        <v>906.03</v>
      </c>
      <c r="BT89">
        <v>1.04</v>
      </c>
      <c r="BU89">
        <v>300.00000000000011</v>
      </c>
      <c r="BV89">
        <v>24.1</v>
      </c>
      <c r="BW89">
        <v>977.01007991315896</v>
      </c>
      <c r="BX89">
        <v>2.1680609078970781</v>
      </c>
      <c r="BY89">
        <v>-72.543798843295576</v>
      </c>
      <c r="BZ89">
        <v>1.971485481727655</v>
      </c>
      <c r="CA89">
        <v>0.97973926834683434</v>
      </c>
      <c r="CB89">
        <v>-6.9599784204671927E-3</v>
      </c>
      <c r="CC89">
        <v>289.99999999999989</v>
      </c>
      <c r="CD89">
        <v>904.67</v>
      </c>
      <c r="CE89">
        <v>715</v>
      </c>
      <c r="CF89">
        <v>10187.299999999999</v>
      </c>
      <c r="CG89">
        <v>905.8</v>
      </c>
      <c r="CH89">
        <v>-1.1299999999999999</v>
      </c>
      <c r="CV89">
        <f t="shared" si="134"/>
        <v>1800.07</v>
      </c>
      <c r="CW89">
        <f t="shared" si="135"/>
        <v>1513.2437998288399</v>
      </c>
      <c r="CX89">
        <f t="shared" si="136"/>
        <v>0.8406583076373918</v>
      </c>
      <c r="CY89">
        <f t="shared" si="137"/>
        <v>0.19131661527478377</v>
      </c>
      <c r="CZ89">
        <v>6</v>
      </c>
      <c r="DA89">
        <v>0.5</v>
      </c>
      <c r="DB89" t="s">
        <v>418</v>
      </c>
      <c r="DC89">
        <v>2</v>
      </c>
      <c r="DD89">
        <v>1674593165</v>
      </c>
      <c r="DE89">
        <v>159.72800000000001</v>
      </c>
      <c r="DF89">
        <v>200.05099999999999</v>
      </c>
      <c r="DG89">
        <v>24.939599999999999</v>
      </c>
      <c r="DH89">
        <v>17.8459</v>
      </c>
      <c r="DI89">
        <v>160.60599999999999</v>
      </c>
      <c r="DJ89">
        <v>24.707000000000001</v>
      </c>
      <c r="DK89">
        <v>500.13600000000002</v>
      </c>
      <c r="DL89">
        <v>99.581500000000005</v>
      </c>
      <c r="DM89">
        <v>9.9883200000000005E-2</v>
      </c>
      <c r="DN89">
        <v>28.012899999999998</v>
      </c>
      <c r="DO89">
        <v>27.357399999999998</v>
      </c>
      <c r="DP89">
        <v>999.9</v>
      </c>
      <c r="DQ89">
        <v>0</v>
      </c>
      <c r="DR89">
        <v>0</v>
      </c>
      <c r="DS89">
        <v>10002.5</v>
      </c>
      <c r="DT89">
        <v>0</v>
      </c>
      <c r="DU89">
        <v>329.15899999999999</v>
      </c>
      <c r="DV89">
        <v>-40.322899999999997</v>
      </c>
      <c r="DW89">
        <v>163.81399999999999</v>
      </c>
      <c r="DX89">
        <v>203.68600000000001</v>
      </c>
      <c r="DY89">
        <v>7.0936300000000001</v>
      </c>
      <c r="DZ89">
        <v>200.05099999999999</v>
      </c>
      <c r="EA89">
        <v>17.8459</v>
      </c>
      <c r="EB89">
        <v>2.4835199999999999</v>
      </c>
      <c r="EC89">
        <v>1.7771300000000001</v>
      </c>
      <c r="ED89">
        <v>20.918900000000001</v>
      </c>
      <c r="EE89">
        <v>15.587</v>
      </c>
      <c r="EF89">
        <v>1800.07</v>
      </c>
      <c r="EG89">
        <v>0.97799599999999998</v>
      </c>
      <c r="EH89">
        <v>2.20044E-2</v>
      </c>
      <c r="EI89">
        <v>0</v>
      </c>
      <c r="EJ89">
        <v>730.928</v>
      </c>
      <c r="EK89">
        <v>5.0002599999999999</v>
      </c>
      <c r="EL89">
        <v>13530.8</v>
      </c>
      <c r="EM89">
        <v>17104</v>
      </c>
      <c r="EN89">
        <v>50.375</v>
      </c>
      <c r="EO89">
        <v>51.375</v>
      </c>
      <c r="EP89">
        <v>51.25</v>
      </c>
      <c r="EQ89">
        <v>50.811999999999998</v>
      </c>
      <c r="ER89">
        <v>51.561999999999998</v>
      </c>
      <c r="ES89">
        <v>1755.57</v>
      </c>
      <c r="ET89">
        <v>39.5</v>
      </c>
      <c r="EU89">
        <v>0</v>
      </c>
      <c r="EV89">
        <v>133.4000000953674</v>
      </c>
      <c r="EW89">
        <v>0</v>
      </c>
      <c r="EX89">
        <v>731.20842307692305</v>
      </c>
      <c r="EY89">
        <v>-2.976786328455217</v>
      </c>
      <c r="EZ89">
        <v>-55.059828907479272</v>
      </c>
      <c r="FA89">
        <v>13537.334615384611</v>
      </c>
      <c r="FB89">
        <v>15</v>
      </c>
      <c r="FC89">
        <v>1674593126</v>
      </c>
      <c r="FD89" t="s">
        <v>792</v>
      </c>
      <c r="FE89">
        <v>1674593126</v>
      </c>
      <c r="FF89">
        <v>1674593125.5</v>
      </c>
      <c r="FG89">
        <v>82</v>
      </c>
      <c r="FH89">
        <v>-3.4000000000000002E-2</v>
      </c>
      <c r="FI89">
        <v>-6.0000000000000001E-3</v>
      </c>
      <c r="FJ89">
        <v>-0.86399999999999999</v>
      </c>
      <c r="FK89">
        <v>6.5000000000000002E-2</v>
      </c>
      <c r="FL89">
        <v>200</v>
      </c>
      <c r="FM89">
        <v>18</v>
      </c>
      <c r="FN89">
        <v>0.03</v>
      </c>
      <c r="FO89">
        <v>0.01</v>
      </c>
      <c r="FP89">
        <v>32.504968228650711</v>
      </c>
      <c r="FQ89">
        <v>0.29489007507595399</v>
      </c>
      <c r="FR89">
        <v>4.7714207210415548E-2</v>
      </c>
      <c r="FS89">
        <v>1</v>
      </c>
      <c r="FT89">
        <v>0.55465819005760553</v>
      </c>
      <c r="FU89">
        <v>3.4270920058003293E-2</v>
      </c>
      <c r="FV89">
        <v>4.8400512859078171E-3</v>
      </c>
      <c r="FW89">
        <v>1</v>
      </c>
      <c r="FX89">
        <v>2</v>
      </c>
      <c r="FY89">
        <v>2</v>
      </c>
      <c r="FZ89" t="s">
        <v>420</v>
      </c>
      <c r="GA89">
        <v>2.9284699999999999</v>
      </c>
      <c r="GB89">
        <v>2.8068200000000001</v>
      </c>
      <c r="GC89">
        <v>4.4776099999999999E-2</v>
      </c>
      <c r="GD89">
        <v>5.5515399999999999E-2</v>
      </c>
      <c r="GE89">
        <v>0.11501</v>
      </c>
      <c r="GF89">
        <v>9.2342599999999997E-2</v>
      </c>
      <c r="GG89">
        <v>28379.8</v>
      </c>
      <c r="GH89">
        <v>28475.5</v>
      </c>
      <c r="GI89">
        <v>28220.3</v>
      </c>
      <c r="GJ89">
        <v>27168.2</v>
      </c>
      <c r="GK89">
        <v>35851.1</v>
      </c>
      <c r="GL89">
        <v>32561.5</v>
      </c>
      <c r="GM89">
        <v>42021.5</v>
      </c>
      <c r="GN89">
        <v>36861.1</v>
      </c>
      <c r="GO89">
        <v>1.92645</v>
      </c>
      <c r="GP89">
        <v>1.8821000000000001</v>
      </c>
      <c r="GQ89">
        <v>5.4635099999999999E-2</v>
      </c>
      <c r="GR89">
        <v>0</v>
      </c>
      <c r="GS89">
        <v>26.463799999999999</v>
      </c>
      <c r="GT89">
        <v>999.9</v>
      </c>
      <c r="GU89">
        <v>49.6</v>
      </c>
      <c r="GV89">
        <v>35.1</v>
      </c>
      <c r="GW89">
        <v>28.29</v>
      </c>
      <c r="GX89">
        <v>61.639200000000002</v>
      </c>
      <c r="GY89">
        <v>26.334099999999999</v>
      </c>
      <c r="GZ89">
        <v>1</v>
      </c>
      <c r="HA89">
        <v>0.42025400000000002</v>
      </c>
      <c r="HB89">
        <v>3.23414</v>
      </c>
      <c r="HC89">
        <v>20.315899999999999</v>
      </c>
      <c r="HD89">
        <v>5.2406499999999996</v>
      </c>
      <c r="HE89">
        <v>11.9381</v>
      </c>
      <c r="HF89">
        <v>4.9735500000000004</v>
      </c>
      <c r="HG89">
        <v>3.2989999999999999</v>
      </c>
      <c r="HH89">
        <v>9999</v>
      </c>
      <c r="HI89">
        <v>9999</v>
      </c>
      <c r="HJ89">
        <v>9999</v>
      </c>
      <c r="HK89">
        <v>999.9</v>
      </c>
      <c r="HL89">
        <v>1.8733299999999999</v>
      </c>
      <c r="HM89">
        <v>1.88107</v>
      </c>
      <c r="HN89">
        <v>1.8846099999999999</v>
      </c>
      <c r="HO89">
        <v>1.88127</v>
      </c>
      <c r="HP89">
        <v>1.87866</v>
      </c>
      <c r="HQ89">
        <v>1.8733299999999999</v>
      </c>
      <c r="HR89">
        <v>1.87622</v>
      </c>
      <c r="HS89">
        <v>1.88049</v>
      </c>
      <c r="HT89">
        <v>5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423</v>
      </c>
      <c r="IB89" t="s">
        <v>423</v>
      </c>
      <c r="IC89" t="s">
        <v>423</v>
      </c>
      <c r="ID89">
        <v>0</v>
      </c>
      <c r="IE89">
        <v>100</v>
      </c>
      <c r="IF89">
        <v>100</v>
      </c>
      <c r="IG89">
        <v>-0.878</v>
      </c>
      <c r="IH89">
        <v>0.2326</v>
      </c>
      <c r="II89">
        <v>-0.98418324640915344</v>
      </c>
      <c r="IJ89">
        <v>9.4905977090923709E-4</v>
      </c>
      <c r="IK89">
        <v>-1.9106666302146479E-6</v>
      </c>
      <c r="IL89">
        <v>7.5819610513223293E-10</v>
      </c>
      <c r="IM89">
        <v>-6.6750386438080234E-2</v>
      </c>
      <c r="IN89">
        <v>-1.0595840490420019E-2</v>
      </c>
      <c r="IO89">
        <v>1.2407080968752471E-3</v>
      </c>
      <c r="IP89">
        <v>-1.3015442653884381E-5</v>
      </c>
      <c r="IQ89">
        <v>33</v>
      </c>
      <c r="IR89">
        <v>2014</v>
      </c>
      <c r="IS89">
        <v>1</v>
      </c>
      <c r="IT89">
        <v>26</v>
      </c>
      <c r="IU89">
        <v>0.7</v>
      </c>
      <c r="IV89">
        <v>0.7</v>
      </c>
      <c r="IW89">
        <v>0.58471700000000004</v>
      </c>
      <c r="IX89">
        <v>2.5305200000000001</v>
      </c>
      <c r="IY89">
        <v>1.5991200000000001</v>
      </c>
      <c r="IZ89">
        <v>2.2997999999999998</v>
      </c>
      <c r="JA89">
        <v>1.5502899999999999</v>
      </c>
      <c r="JB89">
        <v>2.2936999999999999</v>
      </c>
      <c r="JC89">
        <v>38.5259</v>
      </c>
      <c r="JD89">
        <v>24.061199999999999</v>
      </c>
      <c r="JE89">
        <v>18</v>
      </c>
      <c r="JF89">
        <v>487.96199999999999</v>
      </c>
      <c r="JG89">
        <v>493.32100000000003</v>
      </c>
      <c r="JH89">
        <v>22.6312</v>
      </c>
      <c r="JI89">
        <v>32.462699999999998</v>
      </c>
      <c r="JJ89">
        <v>30.0002</v>
      </c>
      <c r="JK89">
        <v>32.549399999999999</v>
      </c>
      <c r="JL89">
        <v>32.514800000000001</v>
      </c>
      <c r="JM89">
        <v>11.766299999999999</v>
      </c>
      <c r="JN89">
        <v>44.1145</v>
      </c>
      <c r="JO89">
        <v>0</v>
      </c>
      <c r="JP89">
        <v>22.623999999999999</v>
      </c>
      <c r="JQ89">
        <v>200</v>
      </c>
      <c r="JR89">
        <v>17.7287</v>
      </c>
      <c r="JS89">
        <v>99.628200000000007</v>
      </c>
      <c r="JT89">
        <v>98.697400000000002</v>
      </c>
    </row>
    <row r="90" spans="1:280" x14ac:dyDescent="0.25">
      <c r="A90">
        <v>74</v>
      </c>
      <c r="B90">
        <v>1674593279.5</v>
      </c>
      <c r="C90">
        <v>17854.5</v>
      </c>
      <c r="D90" t="s">
        <v>793</v>
      </c>
      <c r="E90" t="s">
        <v>794</v>
      </c>
      <c r="F90" t="s">
        <v>412</v>
      </c>
      <c r="G90" t="s">
        <v>779</v>
      </c>
      <c r="H90" t="s">
        <v>493</v>
      </c>
      <c r="I90">
        <v>1674593279.5</v>
      </c>
      <c r="J90">
        <f t="shared" si="92"/>
        <v>6.3734950715266091E-3</v>
      </c>
      <c r="K90">
        <f t="shared" si="93"/>
        <v>6.3734950715266088</v>
      </c>
      <c r="L90">
        <f t="shared" si="94"/>
        <v>20.379195919736347</v>
      </c>
      <c r="M90">
        <f t="shared" si="95"/>
        <v>94.8339</v>
      </c>
      <c r="N90">
        <f t="shared" si="96"/>
        <v>32.956002966384688</v>
      </c>
      <c r="O90">
        <f t="shared" si="97"/>
        <v>3.2852106200992894</v>
      </c>
      <c r="P90">
        <f t="shared" si="98"/>
        <v>9.4534927595199001</v>
      </c>
      <c r="Q90">
        <f t="shared" si="99"/>
        <v>0.58852005068043256</v>
      </c>
      <c r="R90">
        <f t="shared" si="100"/>
        <v>2.9272946118665657</v>
      </c>
      <c r="S90">
        <f t="shared" si="101"/>
        <v>0.52982788079118792</v>
      </c>
      <c r="T90">
        <f t="shared" si="102"/>
        <v>0.3359265759600335</v>
      </c>
      <c r="U90">
        <f t="shared" si="103"/>
        <v>344.33199965762867</v>
      </c>
      <c r="V90">
        <f t="shared" si="104"/>
        <v>28.363973386422845</v>
      </c>
      <c r="W90">
        <f t="shared" si="105"/>
        <v>27.3506</v>
      </c>
      <c r="X90">
        <f t="shared" si="106"/>
        <v>3.6535260781350725</v>
      </c>
      <c r="Y90">
        <f t="shared" si="107"/>
        <v>65.685595260019696</v>
      </c>
      <c r="Z90">
        <f t="shared" si="108"/>
        <v>2.4913409840202001</v>
      </c>
      <c r="AA90">
        <f t="shared" si="109"/>
        <v>3.7928269876494278</v>
      </c>
      <c r="AB90">
        <f t="shared" si="110"/>
        <v>1.1621850941148724</v>
      </c>
      <c r="AC90">
        <f t="shared" si="111"/>
        <v>-281.07113265432343</v>
      </c>
      <c r="AD90">
        <f t="shared" si="112"/>
        <v>101.04978144570265</v>
      </c>
      <c r="AE90">
        <f t="shared" si="113"/>
        <v>7.4998778151140764</v>
      </c>
      <c r="AF90">
        <f t="shared" si="114"/>
        <v>171.81052626412196</v>
      </c>
      <c r="AG90">
        <v>0</v>
      </c>
      <c r="AH90">
        <v>0</v>
      </c>
      <c r="AI90">
        <f t="shared" si="115"/>
        <v>1</v>
      </c>
      <c r="AJ90">
        <f t="shared" si="116"/>
        <v>0</v>
      </c>
      <c r="AK90">
        <f t="shared" si="117"/>
        <v>52629.132676949353</v>
      </c>
      <c r="AL90" t="s">
        <v>415</v>
      </c>
      <c r="AM90">
        <v>10297.6</v>
      </c>
      <c r="AN90">
        <v>785.57400000000007</v>
      </c>
      <c r="AO90">
        <v>3597.65</v>
      </c>
      <c r="AP90">
        <f t="shared" si="118"/>
        <v>0.7816424610509638</v>
      </c>
      <c r="AQ90">
        <v>-0.62398835798131469</v>
      </c>
      <c r="AR90" t="s">
        <v>795</v>
      </c>
      <c r="AS90">
        <v>10206.4</v>
      </c>
      <c r="AT90">
        <v>754.49767999999995</v>
      </c>
      <c r="AU90">
        <v>915.05266040582035</v>
      </c>
      <c r="AV90">
        <f t="shared" si="119"/>
        <v>0.175459825814413</v>
      </c>
      <c r="AW90">
        <v>0.5</v>
      </c>
      <c r="AX90">
        <f t="shared" si="120"/>
        <v>1513.0169998288143</v>
      </c>
      <c r="AY90">
        <f t="shared" si="121"/>
        <v>20.379195919736347</v>
      </c>
      <c r="AZ90">
        <f t="shared" si="122"/>
        <v>132.73684962210476</v>
      </c>
      <c r="BA90">
        <f t="shared" si="123"/>
        <v>1.3881657826775246E-2</v>
      </c>
      <c r="BB90">
        <f t="shared" si="124"/>
        <v>2.931631648832608</v>
      </c>
      <c r="BC90">
        <f t="shared" si="125"/>
        <v>478.96651838768054</v>
      </c>
      <c r="BD90" t="s">
        <v>796</v>
      </c>
      <c r="BE90">
        <v>538.11</v>
      </c>
      <c r="BF90">
        <f t="shared" si="126"/>
        <v>538.11</v>
      </c>
      <c r="BG90">
        <f t="shared" si="127"/>
        <v>0.41193548384269874</v>
      </c>
      <c r="BH90">
        <f t="shared" si="128"/>
        <v>0.4259400626953852</v>
      </c>
      <c r="BI90">
        <f t="shared" si="129"/>
        <v>0.87679760342867874</v>
      </c>
      <c r="BJ90">
        <f t="shared" si="130"/>
        <v>1.2400111331288008</v>
      </c>
      <c r="BK90">
        <f t="shared" si="131"/>
        <v>0.95395620160841299</v>
      </c>
      <c r="BL90">
        <f t="shared" si="132"/>
        <v>0.3037817255276567</v>
      </c>
      <c r="BM90">
        <f t="shared" si="133"/>
        <v>0.6962182744723433</v>
      </c>
      <c r="BN90">
        <v>147</v>
      </c>
      <c r="BO90">
        <v>290.00000000000011</v>
      </c>
      <c r="BP90">
        <v>876.83</v>
      </c>
      <c r="BQ90">
        <v>285</v>
      </c>
      <c r="BR90">
        <v>10206.4</v>
      </c>
      <c r="BS90">
        <v>877.16</v>
      </c>
      <c r="BT90">
        <v>-0.33</v>
      </c>
      <c r="BU90">
        <v>300.00000000000011</v>
      </c>
      <c r="BV90">
        <v>24.1</v>
      </c>
      <c r="BW90">
        <v>915.05266040582035</v>
      </c>
      <c r="BX90">
        <v>1.9134684535230539</v>
      </c>
      <c r="BY90">
        <v>-38.676494239494502</v>
      </c>
      <c r="BZ90">
        <v>1.7399351090202151</v>
      </c>
      <c r="CA90">
        <v>0.9463719750508538</v>
      </c>
      <c r="CB90">
        <v>-6.9596872080089061E-3</v>
      </c>
      <c r="CC90">
        <v>289.99999999999989</v>
      </c>
      <c r="CD90">
        <v>877.54</v>
      </c>
      <c r="CE90">
        <v>685</v>
      </c>
      <c r="CF90">
        <v>10188.799999999999</v>
      </c>
      <c r="CG90">
        <v>877.09</v>
      </c>
      <c r="CH90">
        <v>0.45</v>
      </c>
      <c r="CV90">
        <f t="shared" si="134"/>
        <v>1799.8</v>
      </c>
      <c r="CW90">
        <f t="shared" si="135"/>
        <v>1513.0169998288143</v>
      </c>
      <c r="CX90">
        <f t="shared" si="136"/>
        <v>0.84065840639449629</v>
      </c>
      <c r="CY90">
        <f t="shared" si="137"/>
        <v>0.19131681278899249</v>
      </c>
      <c r="CZ90">
        <v>6</v>
      </c>
      <c r="DA90">
        <v>0.5</v>
      </c>
      <c r="DB90" t="s">
        <v>418</v>
      </c>
      <c r="DC90">
        <v>2</v>
      </c>
      <c r="DD90">
        <v>1674593279.5</v>
      </c>
      <c r="DE90">
        <v>94.8339</v>
      </c>
      <c r="DF90">
        <v>120.008</v>
      </c>
      <c r="DG90">
        <v>24.9922</v>
      </c>
      <c r="DH90">
        <v>17.536999999999999</v>
      </c>
      <c r="DI90">
        <v>95.6875</v>
      </c>
      <c r="DJ90">
        <v>24.757000000000001</v>
      </c>
      <c r="DK90">
        <v>500.12400000000002</v>
      </c>
      <c r="DL90">
        <v>99.584699999999998</v>
      </c>
      <c r="DM90">
        <v>0.100041</v>
      </c>
      <c r="DN90">
        <v>27.9909</v>
      </c>
      <c r="DO90">
        <v>27.3506</v>
      </c>
      <c r="DP90">
        <v>999.9</v>
      </c>
      <c r="DQ90">
        <v>0</v>
      </c>
      <c r="DR90">
        <v>0</v>
      </c>
      <c r="DS90">
        <v>10028.799999999999</v>
      </c>
      <c r="DT90">
        <v>0</v>
      </c>
      <c r="DU90">
        <v>333.666</v>
      </c>
      <c r="DV90">
        <v>-25.174499999999998</v>
      </c>
      <c r="DW90">
        <v>97.264799999999994</v>
      </c>
      <c r="DX90">
        <v>122.151</v>
      </c>
      <c r="DY90">
        <v>7.45519</v>
      </c>
      <c r="DZ90">
        <v>120.008</v>
      </c>
      <c r="EA90">
        <v>17.536999999999999</v>
      </c>
      <c r="EB90">
        <v>2.4888400000000002</v>
      </c>
      <c r="EC90">
        <v>1.7464200000000001</v>
      </c>
      <c r="ED90">
        <v>20.953700000000001</v>
      </c>
      <c r="EE90">
        <v>15.315300000000001</v>
      </c>
      <c r="EF90">
        <v>1799.8</v>
      </c>
      <c r="EG90">
        <v>0.97799199999999997</v>
      </c>
      <c r="EH90">
        <v>2.2008199999999999E-2</v>
      </c>
      <c r="EI90">
        <v>0</v>
      </c>
      <c r="EJ90">
        <v>753.80100000000004</v>
      </c>
      <c r="EK90">
        <v>5.0002599999999999</v>
      </c>
      <c r="EL90">
        <v>13935.7</v>
      </c>
      <c r="EM90">
        <v>17101.5</v>
      </c>
      <c r="EN90">
        <v>50.375</v>
      </c>
      <c r="EO90">
        <v>51.311999999999998</v>
      </c>
      <c r="EP90">
        <v>51.25</v>
      </c>
      <c r="EQ90">
        <v>50.811999999999998</v>
      </c>
      <c r="ER90">
        <v>51.5</v>
      </c>
      <c r="ES90">
        <v>1755.3</v>
      </c>
      <c r="ET90">
        <v>39.5</v>
      </c>
      <c r="EU90">
        <v>0</v>
      </c>
      <c r="EV90">
        <v>112.4000000953674</v>
      </c>
      <c r="EW90">
        <v>0</v>
      </c>
      <c r="EX90">
        <v>754.49767999999995</v>
      </c>
      <c r="EY90">
        <v>-3.2893076813393689</v>
      </c>
      <c r="EZ90">
        <v>-49.669230671899641</v>
      </c>
      <c r="FA90">
        <v>13943.392</v>
      </c>
      <c r="FB90">
        <v>15</v>
      </c>
      <c r="FC90">
        <v>1674593243</v>
      </c>
      <c r="FD90" t="s">
        <v>797</v>
      </c>
      <c r="FE90">
        <v>1674593237</v>
      </c>
      <c r="FF90">
        <v>1674593243</v>
      </c>
      <c r="FG90">
        <v>83</v>
      </c>
      <c r="FH90">
        <v>5.7000000000000002E-2</v>
      </c>
      <c r="FI90">
        <v>1E-3</v>
      </c>
      <c r="FJ90">
        <v>-0.83899999999999997</v>
      </c>
      <c r="FK90">
        <v>6.2E-2</v>
      </c>
      <c r="FL90">
        <v>120</v>
      </c>
      <c r="FM90">
        <v>18</v>
      </c>
      <c r="FN90">
        <v>0.06</v>
      </c>
      <c r="FO90">
        <v>0.01</v>
      </c>
      <c r="FP90">
        <v>20.36298320817674</v>
      </c>
      <c r="FQ90">
        <v>-0.24234862434358909</v>
      </c>
      <c r="FR90">
        <v>3.3064719428038708E-2</v>
      </c>
      <c r="FS90">
        <v>1</v>
      </c>
      <c r="FT90">
        <v>0.58770506779533216</v>
      </c>
      <c r="FU90">
        <v>2.5210613531780428E-2</v>
      </c>
      <c r="FV90">
        <v>3.929134939546444E-3</v>
      </c>
      <c r="FW90">
        <v>1</v>
      </c>
      <c r="FX90">
        <v>2</v>
      </c>
      <c r="FY90">
        <v>2</v>
      </c>
      <c r="FZ90" t="s">
        <v>420</v>
      </c>
      <c r="GA90">
        <v>2.9284400000000002</v>
      </c>
      <c r="GB90">
        <v>2.80721</v>
      </c>
      <c r="GC90">
        <v>2.7259499999999999E-2</v>
      </c>
      <c r="GD90">
        <v>3.4477800000000003E-2</v>
      </c>
      <c r="GE90">
        <v>0.115177</v>
      </c>
      <c r="GF90">
        <v>9.1198799999999997E-2</v>
      </c>
      <c r="GG90">
        <v>28900.5</v>
      </c>
      <c r="GH90">
        <v>29111.1</v>
      </c>
      <c r="GI90">
        <v>28220.5</v>
      </c>
      <c r="GJ90">
        <v>27169.4</v>
      </c>
      <c r="GK90">
        <v>35844.6</v>
      </c>
      <c r="GL90">
        <v>32603.9</v>
      </c>
      <c r="GM90">
        <v>42022.1</v>
      </c>
      <c r="GN90">
        <v>36862.800000000003</v>
      </c>
      <c r="GO90">
        <v>1.9266799999999999</v>
      </c>
      <c r="GP90">
        <v>1.8817999999999999</v>
      </c>
      <c r="GQ90">
        <v>4.9650699999999999E-2</v>
      </c>
      <c r="GR90">
        <v>0</v>
      </c>
      <c r="GS90">
        <v>26.538599999999999</v>
      </c>
      <c r="GT90">
        <v>999.9</v>
      </c>
      <c r="GU90">
        <v>49.6</v>
      </c>
      <c r="GV90">
        <v>35.1</v>
      </c>
      <c r="GW90">
        <v>28.289000000000001</v>
      </c>
      <c r="GX90">
        <v>61.429200000000002</v>
      </c>
      <c r="GY90">
        <v>26.7027</v>
      </c>
      <c r="GZ90">
        <v>1</v>
      </c>
      <c r="HA90">
        <v>0.42076999999999998</v>
      </c>
      <c r="HB90">
        <v>3.1949999999999998</v>
      </c>
      <c r="HC90">
        <v>20.3169</v>
      </c>
      <c r="HD90">
        <v>5.2401999999999997</v>
      </c>
      <c r="HE90">
        <v>11.9381</v>
      </c>
      <c r="HF90">
        <v>4.9734499999999997</v>
      </c>
      <c r="HG90">
        <v>3.2989999999999999</v>
      </c>
      <c r="HH90">
        <v>9999</v>
      </c>
      <c r="HI90">
        <v>9999</v>
      </c>
      <c r="HJ90">
        <v>9999</v>
      </c>
      <c r="HK90">
        <v>999.9</v>
      </c>
      <c r="HL90">
        <v>1.8733200000000001</v>
      </c>
      <c r="HM90">
        <v>1.88107</v>
      </c>
      <c r="HN90">
        <v>1.8846099999999999</v>
      </c>
      <c r="HO90">
        <v>1.8812899999999999</v>
      </c>
      <c r="HP90">
        <v>1.87866</v>
      </c>
      <c r="HQ90">
        <v>1.87334</v>
      </c>
      <c r="HR90">
        <v>1.87622</v>
      </c>
      <c r="HS90">
        <v>1.88049</v>
      </c>
      <c r="HT90">
        <v>5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423</v>
      </c>
      <c r="IB90" t="s">
        <v>423</v>
      </c>
      <c r="IC90" t="s">
        <v>423</v>
      </c>
      <c r="ID90">
        <v>0</v>
      </c>
      <c r="IE90">
        <v>100</v>
      </c>
      <c r="IF90">
        <v>100</v>
      </c>
      <c r="IG90">
        <v>-0.85399999999999998</v>
      </c>
      <c r="IH90">
        <v>0.23519999999999999</v>
      </c>
      <c r="II90">
        <v>-0.9275535819969003</v>
      </c>
      <c r="IJ90">
        <v>9.4905977090923709E-4</v>
      </c>
      <c r="IK90">
        <v>-1.9106666302146479E-6</v>
      </c>
      <c r="IL90">
        <v>7.5819610513223293E-10</v>
      </c>
      <c r="IM90">
        <v>-6.538032264562918E-2</v>
      </c>
      <c r="IN90">
        <v>-1.0595840490420019E-2</v>
      </c>
      <c r="IO90">
        <v>1.2407080968752471E-3</v>
      </c>
      <c r="IP90">
        <v>-1.3015442653884381E-5</v>
      </c>
      <c r="IQ90">
        <v>33</v>
      </c>
      <c r="IR90">
        <v>2014</v>
      </c>
      <c r="IS90">
        <v>1</v>
      </c>
      <c r="IT90">
        <v>26</v>
      </c>
      <c r="IU90">
        <v>0.7</v>
      </c>
      <c r="IV90">
        <v>0.6</v>
      </c>
      <c r="IW90">
        <v>0.40649400000000002</v>
      </c>
      <c r="IX90">
        <v>2.5512700000000001</v>
      </c>
      <c r="IY90">
        <v>1.5991200000000001</v>
      </c>
      <c r="IZ90">
        <v>2.2997999999999998</v>
      </c>
      <c r="JA90">
        <v>1.5502899999999999</v>
      </c>
      <c r="JB90">
        <v>2.2912599999999999</v>
      </c>
      <c r="JC90">
        <v>38.501399999999997</v>
      </c>
      <c r="JD90">
        <v>24.052499999999998</v>
      </c>
      <c r="JE90">
        <v>18</v>
      </c>
      <c r="JF90">
        <v>488.08300000000003</v>
      </c>
      <c r="JG90">
        <v>493.08800000000002</v>
      </c>
      <c r="JH90">
        <v>22.500499999999999</v>
      </c>
      <c r="JI90">
        <v>32.465600000000002</v>
      </c>
      <c r="JJ90">
        <v>30.0001</v>
      </c>
      <c r="JK90">
        <v>32.546399999999998</v>
      </c>
      <c r="JL90">
        <v>32.511899999999997</v>
      </c>
      <c r="JM90">
        <v>8.1755999999999993</v>
      </c>
      <c r="JN90">
        <v>44.880800000000001</v>
      </c>
      <c r="JO90">
        <v>0</v>
      </c>
      <c r="JP90">
        <v>22.567</v>
      </c>
      <c r="JQ90">
        <v>120</v>
      </c>
      <c r="JR90">
        <v>17.438300000000002</v>
      </c>
      <c r="JS90">
        <v>99.629199999999997</v>
      </c>
      <c r="JT90">
        <v>98.701700000000002</v>
      </c>
    </row>
    <row r="91" spans="1:280" x14ac:dyDescent="0.25">
      <c r="A91">
        <v>75</v>
      </c>
      <c r="B91">
        <v>1674593395</v>
      </c>
      <c r="C91">
        <v>17970</v>
      </c>
      <c r="D91" t="s">
        <v>798</v>
      </c>
      <c r="E91" t="s">
        <v>799</v>
      </c>
      <c r="F91" t="s">
        <v>412</v>
      </c>
      <c r="G91" t="s">
        <v>779</v>
      </c>
      <c r="H91" t="s">
        <v>493</v>
      </c>
      <c r="I91">
        <v>1674593395</v>
      </c>
      <c r="J91">
        <f t="shared" si="92"/>
        <v>6.6096819316357764E-3</v>
      </c>
      <c r="K91">
        <f t="shared" si="93"/>
        <v>6.6096819316357767</v>
      </c>
      <c r="L91">
        <f t="shared" si="94"/>
        <v>12.213270478739547</v>
      </c>
      <c r="M91">
        <f t="shared" si="95"/>
        <v>54.940199999999997</v>
      </c>
      <c r="N91">
        <f t="shared" si="96"/>
        <v>19.140926811557517</v>
      </c>
      <c r="O91">
        <f t="shared" si="97"/>
        <v>1.907951594245795</v>
      </c>
      <c r="P91">
        <f t="shared" si="98"/>
        <v>5.4763932389569199</v>
      </c>
      <c r="Q91">
        <f t="shared" si="99"/>
        <v>0.61193662722275088</v>
      </c>
      <c r="R91">
        <f t="shared" si="100"/>
        <v>2.9177775088760827</v>
      </c>
      <c r="S91">
        <f t="shared" si="101"/>
        <v>0.54856550392795167</v>
      </c>
      <c r="T91">
        <f t="shared" si="102"/>
        <v>0.34799859639168129</v>
      </c>
      <c r="U91">
        <f t="shared" si="103"/>
        <v>344.33959965763626</v>
      </c>
      <c r="V91">
        <f t="shared" si="104"/>
        <v>28.315335478660543</v>
      </c>
      <c r="W91">
        <f t="shared" si="105"/>
        <v>27.3413</v>
      </c>
      <c r="X91">
        <f t="shared" si="106"/>
        <v>3.6515361630696574</v>
      </c>
      <c r="Y91">
        <f t="shared" si="107"/>
        <v>65.53879208934363</v>
      </c>
      <c r="Z91">
        <f t="shared" si="108"/>
        <v>2.4874835846765402</v>
      </c>
      <c r="AA91">
        <f t="shared" si="109"/>
        <v>3.7954370310724657</v>
      </c>
      <c r="AB91">
        <f t="shared" si="110"/>
        <v>1.1640525783931173</v>
      </c>
      <c r="AC91">
        <f t="shared" si="111"/>
        <v>-291.48697318513774</v>
      </c>
      <c r="AD91">
        <f t="shared" si="112"/>
        <v>104.04035040811009</v>
      </c>
      <c r="AE91">
        <f t="shared" si="113"/>
        <v>7.7471207727748146</v>
      </c>
      <c r="AF91">
        <f t="shared" si="114"/>
        <v>164.64009765338341</v>
      </c>
      <c r="AG91">
        <v>0</v>
      </c>
      <c r="AH91">
        <v>0</v>
      </c>
      <c r="AI91">
        <f t="shared" si="115"/>
        <v>1</v>
      </c>
      <c r="AJ91">
        <f t="shared" si="116"/>
        <v>0</v>
      </c>
      <c r="AK91">
        <f t="shared" si="117"/>
        <v>52353.484574391165</v>
      </c>
      <c r="AL91" t="s">
        <v>415</v>
      </c>
      <c r="AM91">
        <v>10297.6</v>
      </c>
      <c r="AN91">
        <v>785.57400000000007</v>
      </c>
      <c r="AO91">
        <v>3597.65</v>
      </c>
      <c r="AP91">
        <f t="shared" si="118"/>
        <v>0.7816424610509638</v>
      </c>
      <c r="AQ91">
        <v>-0.62398835798131469</v>
      </c>
      <c r="AR91" t="s">
        <v>800</v>
      </c>
      <c r="AS91">
        <v>10207.5</v>
      </c>
      <c r="AT91">
        <v>772.45415384615399</v>
      </c>
      <c r="AU91">
        <v>884.74488995896877</v>
      </c>
      <c r="AV91">
        <f t="shared" si="119"/>
        <v>0.12691877329522916</v>
      </c>
      <c r="AW91">
        <v>0.5</v>
      </c>
      <c r="AX91">
        <f t="shared" si="120"/>
        <v>1513.0505998288181</v>
      </c>
      <c r="AY91">
        <f t="shared" si="121"/>
        <v>12.213270478739547</v>
      </c>
      <c r="AZ91">
        <f t="shared" si="122"/>
        <v>96.017263031942136</v>
      </c>
      <c r="BA91">
        <f t="shared" si="123"/>
        <v>8.4843552741548957E-3</v>
      </c>
      <c r="BB91">
        <f t="shared" si="124"/>
        <v>3.0663133981670652</v>
      </c>
      <c r="BC91">
        <f t="shared" si="125"/>
        <v>470.52963635764593</v>
      </c>
      <c r="BD91" t="s">
        <v>801</v>
      </c>
      <c r="BE91">
        <v>553.46</v>
      </c>
      <c r="BF91">
        <f t="shared" si="126"/>
        <v>553.46</v>
      </c>
      <c r="BG91">
        <f t="shared" si="127"/>
        <v>0.3744411453728006</v>
      </c>
      <c r="BH91">
        <f t="shared" si="128"/>
        <v>0.3389551999390088</v>
      </c>
      <c r="BI91">
        <f t="shared" si="129"/>
        <v>0.89117470001577814</v>
      </c>
      <c r="BJ91">
        <f t="shared" si="130"/>
        <v>1.1322953354484802</v>
      </c>
      <c r="BK91">
        <f t="shared" si="131"/>
        <v>0.96473392256860468</v>
      </c>
      <c r="BL91">
        <f t="shared" si="132"/>
        <v>0.24285990828603515</v>
      </c>
      <c r="BM91">
        <f t="shared" si="133"/>
        <v>0.75714009171396479</v>
      </c>
      <c r="BN91">
        <v>149</v>
      </c>
      <c r="BO91">
        <v>290.00000000000011</v>
      </c>
      <c r="BP91">
        <v>855.31</v>
      </c>
      <c r="BQ91">
        <v>275</v>
      </c>
      <c r="BR91">
        <v>10207.5</v>
      </c>
      <c r="BS91">
        <v>856.29</v>
      </c>
      <c r="BT91">
        <v>-0.98</v>
      </c>
      <c r="BU91">
        <v>300.00000000000011</v>
      </c>
      <c r="BV91">
        <v>24.1</v>
      </c>
      <c r="BW91">
        <v>884.74488995896877</v>
      </c>
      <c r="BX91">
        <v>1.6105036662355781</v>
      </c>
      <c r="BY91">
        <v>-29.042788498545079</v>
      </c>
      <c r="BZ91">
        <v>1.464428626182394</v>
      </c>
      <c r="CA91">
        <v>0.93354136847417757</v>
      </c>
      <c r="CB91">
        <v>-6.959514349276971E-3</v>
      </c>
      <c r="CC91">
        <v>289.99999999999989</v>
      </c>
      <c r="CD91">
        <v>854.44</v>
      </c>
      <c r="CE91">
        <v>655</v>
      </c>
      <c r="CF91">
        <v>10190.6</v>
      </c>
      <c r="CG91">
        <v>856.25</v>
      </c>
      <c r="CH91">
        <v>-1.81</v>
      </c>
      <c r="CV91">
        <f t="shared" si="134"/>
        <v>1799.84</v>
      </c>
      <c r="CW91">
        <f t="shared" si="135"/>
        <v>1513.0505998288181</v>
      </c>
      <c r="CX91">
        <f t="shared" si="136"/>
        <v>0.84065839176194446</v>
      </c>
      <c r="CY91">
        <f t="shared" si="137"/>
        <v>0.19131678352388895</v>
      </c>
      <c r="CZ91">
        <v>6</v>
      </c>
      <c r="DA91">
        <v>0.5</v>
      </c>
      <c r="DB91" t="s">
        <v>418</v>
      </c>
      <c r="DC91">
        <v>2</v>
      </c>
      <c r="DD91">
        <v>1674593395</v>
      </c>
      <c r="DE91">
        <v>54.940199999999997</v>
      </c>
      <c r="DF91">
        <v>70.028599999999997</v>
      </c>
      <c r="DG91">
        <v>24.954899999999999</v>
      </c>
      <c r="DH91">
        <v>17.222899999999999</v>
      </c>
      <c r="DI91">
        <v>55.758099999999999</v>
      </c>
      <c r="DJ91">
        <v>24.72</v>
      </c>
      <c r="DK91">
        <v>500.10899999999998</v>
      </c>
      <c r="DL91">
        <v>99.579400000000007</v>
      </c>
      <c r="DM91">
        <v>9.9764599999999995E-2</v>
      </c>
      <c r="DN91">
        <v>28.002700000000001</v>
      </c>
      <c r="DO91">
        <v>27.3413</v>
      </c>
      <c r="DP91">
        <v>999.9</v>
      </c>
      <c r="DQ91">
        <v>0</v>
      </c>
      <c r="DR91">
        <v>0</v>
      </c>
      <c r="DS91">
        <v>9975</v>
      </c>
      <c r="DT91">
        <v>0</v>
      </c>
      <c r="DU91">
        <v>333.91899999999998</v>
      </c>
      <c r="DV91">
        <v>-15.0884</v>
      </c>
      <c r="DW91">
        <v>56.346299999999999</v>
      </c>
      <c r="DX91">
        <v>71.255799999999994</v>
      </c>
      <c r="DY91">
        <v>7.7320200000000003</v>
      </c>
      <c r="DZ91">
        <v>70.028599999999997</v>
      </c>
      <c r="EA91">
        <v>17.222899999999999</v>
      </c>
      <c r="EB91">
        <v>2.4849899999999998</v>
      </c>
      <c r="EC91">
        <v>1.7150399999999999</v>
      </c>
      <c r="ED91">
        <v>20.9285</v>
      </c>
      <c r="EE91">
        <v>15.033300000000001</v>
      </c>
      <c r="EF91">
        <v>1799.84</v>
      </c>
      <c r="EG91">
        <v>0.97799199999999997</v>
      </c>
      <c r="EH91">
        <v>2.2008199999999999E-2</v>
      </c>
      <c r="EI91">
        <v>0</v>
      </c>
      <c r="EJ91">
        <v>772.25900000000001</v>
      </c>
      <c r="EK91">
        <v>5.0002599999999999</v>
      </c>
      <c r="EL91">
        <v>14265.9</v>
      </c>
      <c r="EM91">
        <v>17101.8</v>
      </c>
      <c r="EN91">
        <v>50.375</v>
      </c>
      <c r="EO91">
        <v>51.436999999999998</v>
      </c>
      <c r="EP91">
        <v>51.25</v>
      </c>
      <c r="EQ91">
        <v>50.811999999999998</v>
      </c>
      <c r="ER91">
        <v>51.5</v>
      </c>
      <c r="ES91">
        <v>1755.34</v>
      </c>
      <c r="ET91">
        <v>39.5</v>
      </c>
      <c r="EU91">
        <v>0</v>
      </c>
      <c r="EV91">
        <v>113.6000001430511</v>
      </c>
      <c r="EW91">
        <v>0</v>
      </c>
      <c r="EX91">
        <v>772.45415384615399</v>
      </c>
      <c r="EY91">
        <v>-2.2547692406463589</v>
      </c>
      <c r="EZ91">
        <v>-35.124786372245048</v>
      </c>
      <c r="FA91">
        <v>14270.946153846149</v>
      </c>
      <c r="FB91">
        <v>15</v>
      </c>
      <c r="FC91">
        <v>1674593359</v>
      </c>
      <c r="FD91" t="s">
        <v>802</v>
      </c>
      <c r="FE91">
        <v>1674593345.5</v>
      </c>
      <c r="FF91">
        <v>1674593359</v>
      </c>
      <c r="FG91">
        <v>84</v>
      </c>
      <c r="FH91">
        <v>6.3E-2</v>
      </c>
      <c r="FI91">
        <v>1E-3</v>
      </c>
      <c r="FJ91">
        <v>-0.80700000000000005</v>
      </c>
      <c r="FK91">
        <v>5.3999999999999999E-2</v>
      </c>
      <c r="FL91">
        <v>70</v>
      </c>
      <c r="FM91">
        <v>17</v>
      </c>
      <c r="FN91">
        <v>0.08</v>
      </c>
      <c r="FO91">
        <v>0.01</v>
      </c>
      <c r="FP91">
        <v>12.236106152807279</v>
      </c>
      <c r="FQ91">
        <v>-0.36422226888585751</v>
      </c>
      <c r="FR91">
        <v>4.8791081679686897E-2</v>
      </c>
      <c r="FS91">
        <v>1</v>
      </c>
      <c r="FT91">
        <v>0.61189276501389833</v>
      </c>
      <c r="FU91">
        <v>3.3707987994837652E-2</v>
      </c>
      <c r="FV91">
        <v>5.173616587384482E-3</v>
      </c>
      <c r="FW91">
        <v>1</v>
      </c>
      <c r="FX91">
        <v>2</v>
      </c>
      <c r="FY91">
        <v>2</v>
      </c>
      <c r="FZ91" t="s">
        <v>420</v>
      </c>
      <c r="GA91">
        <v>2.9283700000000001</v>
      </c>
      <c r="GB91">
        <v>2.80647</v>
      </c>
      <c r="GC91">
        <v>1.59621E-2</v>
      </c>
      <c r="GD91">
        <v>2.0347000000000001E-2</v>
      </c>
      <c r="GE91">
        <v>0.115047</v>
      </c>
      <c r="GF91">
        <v>9.0017200000000006E-2</v>
      </c>
      <c r="GG91">
        <v>29234.2</v>
      </c>
      <c r="GH91">
        <v>29535.8</v>
      </c>
      <c r="GI91">
        <v>28218.7</v>
      </c>
      <c r="GJ91">
        <v>27168.2</v>
      </c>
      <c r="GK91">
        <v>35847.5</v>
      </c>
      <c r="GL91">
        <v>32645.1</v>
      </c>
      <c r="GM91">
        <v>42019.4</v>
      </c>
      <c r="GN91">
        <v>36861.599999999999</v>
      </c>
      <c r="GO91">
        <v>1.9266300000000001</v>
      </c>
      <c r="GP91">
        <v>1.8810199999999999</v>
      </c>
      <c r="GQ91">
        <v>4.7795499999999998E-2</v>
      </c>
      <c r="GR91">
        <v>0</v>
      </c>
      <c r="GS91">
        <v>26.5596</v>
      </c>
      <c r="GT91">
        <v>999.9</v>
      </c>
      <c r="GU91">
        <v>49.7</v>
      </c>
      <c r="GV91">
        <v>35</v>
      </c>
      <c r="GW91">
        <v>28.191700000000001</v>
      </c>
      <c r="GX91">
        <v>61.469200000000001</v>
      </c>
      <c r="GY91">
        <v>26.931100000000001</v>
      </c>
      <c r="GZ91">
        <v>1</v>
      </c>
      <c r="HA91">
        <v>0.42215999999999998</v>
      </c>
      <c r="HB91">
        <v>3.3384399999999999</v>
      </c>
      <c r="HC91">
        <v>20.313800000000001</v>
      </c>
      <c r="HD91">
        <v>5.2403500000000003</v>
      </c>
      <c r="HE91">
        <v>11.9381</v>
      </c>
      <c r="HF91">
        <v>4.9735500000000004</v>
      </c>
      <c r="HG91">
        <v>3.2989299999999999</v>
      </c>
      <c r="HH91">
        <v>9999</v>
      </c>
      <c r="HI91">
        <v>9999</v>
      </c>
      <c r="HJ91">
        <v>9999</v>
      </c>
      <c r="HK91">
        <v>999.9</v>
      </c>
      <c r="HL91">
        <v>1.87334</v>
      </c>
      <c r="HM91">
        <v>1.8810800000000001</v>
      </c>
      <c r="HN91">
        <v>1.8846099999999999</v>
      </c>
      <c r="HO91">
        <v>1.8812800000000001</v>
      </c>
      <c r="HP91">
        <v>1.87866</v>
      </c>
      <c r="HQ91">
        <v>1.8733500000000001</v>
      </c>
      <c r="HR91">
        <v>1.87622</v>
      </c>
      <c r="HS91">
        <v>1.8804799999999999</v>
      </c>
      <c r="HT91">
        <v>5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423</v>
      </c>
      <c r="IB91" t="s">
        <v>423</v>
      </c>
      <c r="IC91" t="s">
        <v>423</v>
      </c>
      <c r="ID91">
        <v>0</v>
      </c>
      <c r="IE91">
        <v>100</v>
      </c>
      <c r="IF91">
        <v>100</v>
      </c>
      <c r="IG91">
        <v>-0.81799999999999995</v>
      </c>
      <c r="IH91">
        <v>0.2349</v>
      </c>
      <c r="II91">
        <v>-0.8650297447716504</v>
      </c>
      <c r="IJ91">
        <v>9.4905977090923709E-4</v>
      </c>
      <c r="IK91">
        <v>-1.9106666302146479E-6</v>
      </c>
      <c r="IL91">
        <v>7.5819610513223293E-10</v>
      </c>
      <c r="IM91">
        <v>-6.4807227664914951E-2</v>
      </c>
      <c r="IN91">
        <v>-1.0595840490420019E-2</v>
      </c>
      <c r="IO91">
        <v>1.2407080968752471E-3</v>
      </c>
      <c r="IP91">
        <v>-1.3015442653884381E-5</v>
      </c>
      <c r="IQ91">
        <v>33</v>
      </c>
      <c r="IR91">
        <v>2014</v>
      </c>
      <c r="IS91">
        <v>1</v>
      </c>
      <c r="IT91">
        <v>26</v>
      </c>
      <c r="IU91">
        <v>0.8</v>
      </c>
      <c r="IV91">
        <v>0.6</v>
      </c>
      <c r="IW91">
        <v>0.29418899999999998</v>
      </c>
      <c r="IX91">
        <v>2.5671400000000002</v>
      </c>
      <c r="IY91">
        <v>1.5991200000000001</v>
      </c>
      <c r="IZ91">
        <v>2.2997999999999998</v>
      </c>
      <c r="JA91">
        <v>1.5502899999999999</v>
      </c>
      <c r="JB91">
        <v>2.31812</v>
      </c>
      <c r="JC91">
        <v>38.476900000000001</v>
      </c>
      <c r="JD91">
        <v>24.061199999999999</v>
      </c>
      <c r="JE91">
        <v>18</v>
      </c>
      <c r="JF91">
        <v>488.16500000000002</v>
      </c>
      <c r="JG91">
        <v>492.61700000000002</v>
      </c>
      <c r="JH91">
        <v>22.503900000000002</v>
      </c>
      <c r="JI91">
        <v>32.485700000000001</v>
      </c>
      <c r="JJ91">
        <v>30.0002</v>
      </c>
      <c r="JK91">
        <v>32.560899999999997</v>
      </c>
      <c r="JL91">
        <v>32.520499999999998</v>
      </c>
      <c r="JM91">
        <v>5.9296300000000004</v>
      </c>
      <c r="JN91">
        <v>45.718600000000002</v>
      </c>
      <c r="JO91">
        <v>0</v>
      </c>
      <c r="JP91">
        <v>22.499600000000001</v>
      </c>
      <c r="JQ91">
        <v>70</v>
      </c>
      <c r="JR91">
        <v>17.1511</v>
      </c>
      <c r="JS91">
        <v>99.622799999999998</v>
      </c>
      <c r="JT91">
        <v>98.698099999999997</v>
      </c>
    </row>
    <row r="92" spans="1:280" x14ac:dyDescent="0.25">
      <c r="A92">
        <v>76</v>
      </c>
      <c r="B92">
        <v>1674593509.5</v>
      </c>
      <c r="C92">
        <v>18084.5</v>
      </c>
      <c r="D92" t="s">
        <v>803</v>
      </c>
      <c r="E92" t="s">
        <v>804</v>
      </c>
      <c r="F92" t="s">
        <v>412</v>
      </c>
      <c r="G92" t="s">
        <v>779</v>
      </c>
      <c r="H92" t="s">
        <v>493</v>
      </c>
      <c r="I92">
        <v>1674593509.5</v>
      </c>
      <c r="J92">
        <f t="shared" si="92"/>
        <v>6.7754290373010055E-3</v>
      </c>
      <c r="K92">
        <f t="shared" si="93"/>
        <v>6.7754290373010058</v>
      </c>
      <c r="L92">
        <f t="shared" si="94"/>
        <v>5.3171073980374484</v>
      </c>
      <c r="M92">
        <f t="shared" si="95"/>
        <v>23.469899999999999</v>
      </c>
      <c r="N92">
        <f t="shared" si="96"/>
        <v>8.2309754588411259</v>
      </c>
      <c r="O92">
        <f t="shared" si="97"/>
        <v>0.82047161778347844</v>
      </c>
      <c r="P92">
        <f t="shared" si="98"/>
        <v>2.3395023978029994</v>
      </c>
      <c r="Q92">
        <f t="shared" si="99"/>
        <v>0.62736002983105932</v>
      </c>
      <c r="R92">
        <f t="shared" si="100"/>
        <v>2.9174704323429479</v>
      </c>
      <c r="S92">
        <f t="shared" si="101"/>
        <v>0.56093315376178698</v>
      </c>
      <c r="T92">
        <f t="shared" si="102"/>
        <v>0.3559634998803386</v>
      </c>
      <c r="U92">
        <f t="shared" si="103"/>
        <v>344.3965996576934</v>
      </c>
      <c r="V92">
        <f t="shared" si="104"/>
        <v>28.27166214598893</v>
      </c>
      <c r="W92">
        <f t="shared" si="105"/>
        <v>27.3352</v>
      </c>
      <c r="X92">
        <f t="shared" si="106"/>
        <v>3.6502314637186104</v>
      </c>
      <c r="Y92">
        <f t="shared" si="107"/>
        <v>65.430097997495452</v>
      </c>
      <c r="Z92">
        <f t="shared" si="108"/>
        <v>2.4832423565429993</v>
      </c>
      <c r="AA92">
        <f t="shared" si="109"/>
        <v>3.7952600294715335</v>
      </c>
      <c r="AB92">
        <f t="shared" si="110"/>
        <v>1.1669891071756111</v>
      </c>
      <c r="AC92">
        <f t="shared" si="111"/>
        <v>-298.79642054497435</v>
      </c>
      <c r="AD92">
        <f t="shared" si="112"/>
        <v>104.86302018784677</v>
      </c>
      <c r="AE92">
        <f t="shared" si="113"/>
        <v>7.8089321552794635</v>
      </c>
      <c r="AF92">
        <f t="shared" si="114"/>
        <v>158.27213145584528</v>
      </c>
      <c r="AG92">
        <v>0</v>
      </c>
      <c r="AH92">
        <v>0</v>
      </c>
      <c r="AI92">
        <f t="shared" si="115"/>
        <v>1</v>
      </c>
      <c r="AJ92">
        <f t="shared" si="116"/>
        <v>0</v>
      </c>
      <c r="AK92">
        <f t="shared" si="117"/>
        <v>52344.837006713817</v>
      </c>
      <c r="AL92" t="s">
        <v>415</v>
      </c>
      <c r="AM92">
        <v>10297.6</v>
      </c>
      <c r="AN92">
        <v>785.57400000000007</v>
      </c>
      <c r="AO92">
        <v>3597.65</v>
      </c>
      <c r="AP92">
        <f t="shared" si="118"/>
        <v>0.7816424610509638</v>
      </c>
      <c r="AQ92">
        <v>-0.62398835798131469</v>
      </c>
      <c r="AR92" t="s">
        <v>805</v>
      </c>
      <c r="AS92">
        <v>10224.299999999999</v>
      </c>
      <c r="AT92">
        <v>787.91423999999995</v>
      </c>
      <c r="AU92">
        <v>865.13896701462113</v>
      </c>
      <c r="AV92">
        <f t="shared" si="119"/>
        <v>8.9262800496785477E-2</v>
      </c>
      <c r="AW92">
        <v>0.5</v>
      </c>
      <c r="AX92">
        <f t="shared" si="120"/>
        <v>1513.3025998288467</v>
      </c>
      <c r="AY92">
        <f t="shared" si="121"/>
        <v>5.3171073980374484</v>
      </c>
      <c r="AZ92">
        <f t="shared" si="122"/>
        <v>67.540814029894563</v>
      </c>
      <c r="BA92">
        <f t="shared" si="123"/>
        <v>3.9259139293692461E-3</v>
      </c>
      <c r="BB92">
        <f t="shared" si="124"/>
        <v>3.1584648676900926</v>
      </c>
      <c r="BC92">
        <f t="shared" si="125"/>
        <v>464.92620108986438</v>
      </c>
      <c r="BD92" t="s">
        <v>806</v>
      </c>
      <c r="BE92">
        <v>572.41</v>
      </c>
      <c r="BF92">
        <f t="shared" si="126"/>
        <v>572.41</v>
      </c>
      <c r="BG92">
        <f t="shared" si="127"/>
        <v>0.33836063126916571</v>
      </c>
      <c r="BH92">
        <f t="shared" si="128"/>
        <v>0.26380965232854447</v>
      </c>
      <c r="BI92">
        <f t="shared" si="129"/>
        <v>0.90323777055221355</v>
      </c>
      <c r="BJ92">
        <f t="shared" si="130"/>
        <v>0.97058705498401288</v>
      </c>
      <c r="BK92">
        <f t="shared" si="131"/>
        <v>0.97170596846791435</v>
      </c>
      <c r="BL92">
        <f t="shared" si="132"/>
        <v>0.19165446621371146</v>
      </c>
      <c r="BM92">
        <f t="shared" si="133"/>
        <v>0.80834553378628859</v>
      </c>
      <c r="BN92">
        <v>151</v>
      </c>
      <c r="BO92">
        <v>290.00000000000011</v>
      </c>
      <c r="BP92">
        <v>841.14</v>
      </c>
      <c r="BQ92">
        <v>155</v>
      </c>
      <c r="BR92">
        <v>10224.299999999999</v>
      </c>
      <c r="BS92">
        <v>839.39</v>
      </c>
      <c r="BT92">
        <v>1.75</v>
      </c>
      <c r="BU92">
        <v>300.00000000000011</v>
      </c>
      <c r="BV92">
        <v>24.1</v>
      </c>
      <c r="BW92">
        <v>865.13896701462113</v>
      </c>
      <c r="BX92">
        <v>1.167001094591736</v>
      </c>
      <c r="BY92">
        <v>-26.329959946477882</v>
      </c>
      <c r="BZ92">
        <v>1.0611393420066539</v>
      </c>
      <c r="CA92">
        <v>0.95650017391586251</v>
      </c>
      <c r="CB92">
        <v>-6.9595410456062328E-3</v>
      </c>
      <c r="CC92">
        <v>289.99999999999989</v>
      </c>
      <c r="CD92">
        <v>836.41</v>
      </c>
      <c r="CE92">
        <v>655</v>
      </c>
      <c r="CF92">
        <v>10190.5</v>
      </c>
      <c r="CG92">
        <v>839.3</v>
      </c>
      <c r="CH92">
        <v>-2.89</v>
      </c>
      <c r="CV92">
        <f t="shared" si="134"/>
        <v>1800.14</v>
      </c>
      <c r="CW92">
        <f t="shared" si="135"/>
        <v>1513.3025998288467</v>
      </c>
      <c r="CX92">
        <f t="shared" si="136"/>
        <v>0.84065828203853399</v>
      </c>
      <c r="CY92">
        <f t="shared" si="137"/>
        <v>0.1913165640770681</v>
      </c>
      <c r="CZ92">
        <v>6</v>
      </c>
      <c r="DA92">
        <v>0.5</v>
      </c>
      <c r="DB92" t="s">
        <v>418</v>
      </c>
      <c r="DC92">
        <v>2</v>
      </c>
      <c r="DD92">
        <v>1674593509.5</v>
      </c>
      <c r="DE92">
        <v>23.469899999999999</v>
      </c>
      <c r="DF92">
        <v>30.040199999999999</v>
      </c>
      <c r="DG92">
        <v>24.911899999999999</v>
      </c>
      <c r="DH92">
        <v>16.985199999999999</v>
      </c>
      <c r="DI92">
        <v>24.214099999999998</v>
      </c>
      <c r="DJ92">
        <v>24.676200000000001</v>
      </c>
      <c r="DK92">
        <v>500.08</v>
      </c>
      <c r="DL92">
        <v>99.580699999999993</v>
      </c>
      <c r="DM92">
        <v>0.10027</v>
      </c>
      <c r="DN92">
        <v>28.001899999999999</v>
      </c>
      <c r="DO92">
        <v>27.3352</v>
      </c>
      <c r="DP92">
        <v>999.9</v>
      </c>
      <c r="DQ92">
        <v>0</v>
      </c>
      <c r="DR92">
        <v>0</v>
      </c>
      <c r="DS92">
        <v>9973.1200000000008</v>
      </c>
      <c r="DT92">
        <v>0</v>
      </c>
      <c r="DU92">
        <v>330.36399999999998</v>
      </c>
      <c r="DV92">
        <v>-6.5703300000000002</v>
      </c>
      <c r="DW92">
        <v>24.069500000000001</v>
      </c>
      <c r="DX92">
        <v>30.5593</v>
      </c>
      <c r="DY92">
        <v>7.9267099999999999</v>
      </c>
      <c r="DZ92">
        <v>30.040199999999999</v>
      </c>
      <c r="EA92">
        <v>16.985199999999999</v>
      </c>
      <c r="EB92">
        <v>2.48075</v>
      </c>
      <c r="EC92">
        <v>1.6914</v>
      </c>
      <c r="ED92">
        <v>20.900700000000001</v>
      </c>
      <c r="EE92">
        <v>14.8177</v>
      </c>
      <c r="EF92">
        <v>1800.14</v>
      </c>
      <c r="EG92">
        <v>0.97799599999999998</v>
      </c>
      <c r="EH92">
        <v>2.20044E-2</v>
      </c>
      <c r="EI92">
        <v>0</v>
      </c>
      <c r="EJ92">
        <v>788.08100000000002</v>
      </c>
      <c r="EK92">
        <v>5.0002599999999999</v>
      </c>
      <c r="EL92">
        <v>14541.5</v>
      </c>
      <c r="EM92">
        <v>17104.7</v>
      </c>
      <c r="EN92">
        <v>50.375</v>
      </c>
      <c r="EO92">
        <v>51.436999999999998</v>
      </c>
      <c r="EP92">
        <v>51.311999999999998</v>
      </c>
      <c r="EQ92">
        <v>50.811999999999998</v>
      </c>
      <c r="ER92">
        <v>51.5</v>
      </c>
      <c r="ES92">
        <v>1755.64</v>
      </c>
      <c r="ET92">
        <v>39.5</v>
      </c>
      <c r="EU92">
        <v>0</v>
      </c>
      <c r="EV92">
        <v>112.4000000953674</v>
      </c>
      <c r="EW92">
        <v>0</v>
      </c>
      <c r="EX92">
        <v>787.91423999999995</v>
      </c>
      <c r="EY92">
        <v>-0.88423076323587713</v>
      </c>
      <c r="EZ92">
        <v>-30.94615391052432</v>
      </c>
      <c r="FA92">
        <v>14544.624</v>
      </c>
      <c r="FB92">
        <v>15</v>
      </c>
      <c r="FC92">
        <v>1674593473.5</v>
      </c>
      <c r="FD92" t="s">
        <v>807</v>
      </c>
      <c r="FE92">
        <v>1674593457.5</v>
      </c>
      <c r="FF92">
        <v>1674593473.5</v>
      </c>
      <c r="FG92">
        <v>85</v>
      </c>
      <c r="FH92">
        <v>9.9000000000000005E-2</v>
      </c>
      <c r="FI92">
        <v>2E-3</v>
      </c>
      <c r="FJ92">
        <v>-0.73899999999999999</v>
      </c>
      <c r="FK92">
        <v>5.3999999999999999E-2</v>
      </c>
      <c r="FL92">
        <v>30</v>
      </c>
      <c r="FM92">
        <v>17</v>
      </c>
      <c r="FN92">
        <v>0.17</v>
      </c>
      <c r="FO92">
        <v>0.01</v>
      </c>
      <c r="FP92">
        <v>5.3345039052446008</v>
      </c>
      <c r="FQ92">
        <v>-0.40115486765764818</v>
      </c>
      <c r="FR92">
        <v>4.3420054070616339E-2</v>
      </c>
      <c r="FS92">
        <v>1</v>
      </c>
      <c r="FT92">
        <v>0.63224182053974398</v>
      </c>
      <c r="FU92">
        <v>2.845610007501775E-2</v>
      </c>
      <c r="FV92">
        <v>4.7274843943190727E-3</v>
      </c>
      <c r="FW92">
        <v>1</v>
      </c>
      <c r="FX92">
        <v>2</v>
      </c>
      <c r="FY92">
        <v>2</v>
      </c>
      <c r="FZ92" t="s">
        <v>420</v>
      </c>
      <c r="GA92">
        <v>2.9282599999999999</v>
      </c>
      <c r="GB92">
        <v>2.8069500000000001</v>
      </c>
      <c r="GC92">
        <v>6.9184199999999998E-3</v>
      </c>
      <c r="GD92">
        <v>8.7321399999999993E-3</v>
      </c>
      <c r="GE92">
        <v>0.114902</v>
      </c>
      <c r="GF92">
        <v>8.9120699999999997E-2</v>
      </c>
      <c r="GG92">
        <v>29500.799999999999</v>
      </c>
      <c r="GH92">
        <v>29885.200000000001</v>
      </c>
      <c r="GI92">
        <v>28216.9</v>
      </c>
      <c r="GJ92">
        <v>27167.599999999999</v>
      </c>
      <c r="GK92">
        <v>35851</v>
      </c>
      <c r="GL92">
        <v>32676.799999999999</v>
      </c>
      <c r="GM92">
        <v>42016.5</v>
      </c>
      <c r="GN92">
        <v>36861.199999999997</v>
      </c>
      <c r="GO92">
        <v>1.92655</v>
      </c>
      <c r="GP92">
        <v>1.88002</v>
      </c>
      <c r="GQ92">
        <v>4.7970600000000002E-2</v>
      </c>
      <c r="GR92">
        <v>0</v>
      </c>
      <c r="GS92">
        <v>26.550599999999999</v>
      </c>
      <c r="GT92">
        <v>999.9</v>
      </c>
      <c r="GU92">
        <v>49.7</v>
      </c>
      <c r="GV92">
        <v>35</v>
      </c>
      <c r="GW92">
        <v>28.1919</v>
      </c>
      <c r="GX92">
        <v>62.069099999999999</v>
      </c>
      <c r="GY92">
        <v>26.666699999999999</v>
      </c>
      <c r="GZ92">
        <v>1</v>
      </c>
      <c r="HA92">
        <v>0.42386699999999999</v>
      </c>
      <c r="HB92">
        <v>3.25834</v>
      </c>
      <c r="HC92">
        <v>20.3157</v>
      </c>
      <c r="HD92">
        <v>5.2406499999999996</v>
      </c>
      <c r="HE92">
        <v>11.9381</v>
      </c>
      <c r="HF92">
        <v>4.9736500000000001</v>
      </c>
      <c r="HG92">
        <v>3.2989299999999999</v>
      </c>
      <c r="HH92">
        <v>9999</v>
      </c>
      <c r="HI92">
        <v>9999</v>
      </c>
      <c r="HJ92">
        <v>9999</v>
      </c>
      <c r="HK92">
        <v>999.9</v>
      </c>
      <c r="HL92">
        <v>1.87334</v>
      </c>
      <c r="HM92">
        <v>1.8810899999999999</v>
      </c>
      <c r="HN92">
        <v>1.8846099999999999</v>
      </c>
      <c r="HO92">
        <v>1.8812800000000001</v>
      </c>
      <c r="HP92">
        <v>1.87866</v>
      </c>
      <c r="HQ92">
        <v>1.87337</v>
      </c>
      <c r="HR92">
        <v>1.87622</v>
      </c>
      <c r="HS92">
        <v>1.88049</v>
      </c>
      <c r="HT92">
        <v>5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423</v>
      </c>
      <c r="IB92" t="s">
        <v>423</v>
      </c>
      <c r="IC92" t="s">
        <v>423</v>
      </c>
      <c r="ID92">
        <v>0</v>
      </c>
      <c r="IE92">
        <v>100</v>
      </c>
      <c r="IF92">
        <v>100</v>
      </c>
      <c r="IG92">
        <v>-0.74399999999999999</v>
      </c>
      <c r="IH92">
        <v>0.23569999999999999</v>
      </c>
      <c r="II92">
        <v>-0.76607821583053615</v>
      </c>
      <c r="IJ92">
        <v>9.4905977090923709E-4</v>
      </c>
      <c r="IK92">
        <v>-1.9106666302146479E-6</v>
      </c>
      <c r="IL92">
        <v>7.5819610513223293E-10</v>
      </c>
      <c r="IM92">
        <v>-6.270923425821083E-2</v>
      </c>
      <c r="IN92">
        <v>-1.0595840490420019E-2</v>
      </c>
      <c r="IO92">
        <v>1.2407080968752471E-3</v>
      </c>
      <c r="IP92">
        <v>-1.3015442653884381E-5</v>
      </c>
      <c r="IQ92">
        <v>33</v>
      </c>
      <c r="IR92">
        <v>2014</v>
      </c>
      <c r="IS92">
        <v>1</v>
      </c>
      <c r="IT92">
        <v>26</v>
      </c>
      <c r="IU92">
        <v>0.9</v>
      </c>
      <c r="IV92">
        <v>0.6</v>
      </c>
      <c r="IW92">
        <v>0.20629900000000001</v>
      </c>
      <c r="IX92">
        <v>2.5817899999999998</v>
      </c>
      <c r="IY92">
        <v>1.5991200000000001</v>
      </c>
      <c r="IZ92">
        <v>2.2997999999999998</v>
      </c>
      <c r="JA92">
        <v>1.5502899999999999</v>
      </c>
      <c r="JB92">
        <v>2.35229</v>
      </c>
      <c r="JC92">
        <v>38.476900000000001</v>
      </c>
      <c r="JD92">
        <v>24.061199999999999</v>
      </c>
      <c r="JE92">
        <v>18</v>
      </c>
      <c r="JF92">
        <v>488.23099999999999</v>
      </c>
      <c r="JG92">
        <v>492.036</v>
      </c>
      <c r="JH92">
        <v>22.536899999999999</v>
      </c>
      <c r="JI92">
        <v>32.508800000000001</v>
      </c>
      <c r="JJ92">
        <v>30</v>
      </c>
      <c r="JK92">
        <v>32.575400000000002</v>
      </c>
      <c r="JL92">
        <v>32.534999999999997</v>
      </c>
      <c r="JM92">
        <v>4.1875299999999998</v>
      </c>
      <c r="JN92">
        <v>46.801299999999998</v>
      </c>
      <c r="JO92">
        <v>0</v>
      </c>
      <c r="JP92">
        <v>22.540900000000001</v>
      </c>
      <c r="JQ92">
        <v>30</v>
      </c>
      <c r="JR92">
        <v>16.8949</v>
      </c>
      <c r="JS92">
        <v>99.616200000000006</v>
      </c>
      <c r="JT92">
        <v>98.696399999999997</v>
      </c>
    </row>
    <row r="93" spans="1:280" x14ac:dyDescent="0.25">
      <c r="A93">
        <v>77</v>
      </c>
      <c r="B93">
        <v>1674593631.5</v>
      </c>
      <c r="C93">
        <v>18206.5</v>
      </c>
      <c r="D93" t="s">
        <v>808</v>
      </c>
      <c r="E93" t="s">
        <v>809</v>
      </c>
      <c r="F93" t="s">
        <v>412</v>
      </c>
      <c r="G93" t="s">
        <v>779</v>
      </c>
      <c r="H93" t="s">
        <v>493</v>
      </c>
      <c r="I93">
        <v>1674593631.5</v>
      </c>
      <c r="J93">
        <f t="shared" si="92"/>
        <v>6.8205871503212584E-3</v>
      </c>
      <c r="K93">
        <f t="shared" si="93"/>
        <v>6.8205871503212583</v>
      </c>
      <c r="L93">
        <f t="shared" si="94"/>
        <v>1.6916212311237913</v>
      </c>
      <c r="M93">
        <f t="shared" si="95"/>
        <v>7.9077299999999999</v>
      </c>
      <c r="N93">
        <f t="shared" si="96"/>
        <v>3.1029959975260777</v>
      </c>
      <c r="O93">
        <f t="shared" si="97"/>
        <v>0.30931276324450258</v>
      </c>
      <c r="P93">
        <f t="shared" si="98"/>
        <v>0.78825812835128994</v>
      </c>
      <c r="Q93">
        <f t="shared" si="99"/>
        <v>0.63481621880161643</v>
      </c>
      <c r="R93">
        <f t="shared" si="100"/>
        <v>2.9250448298950462</v>
      </c>
      <c r="S93">
        <f t="shared" si="101"/>
        <v>0.5670481001559472</v>
      </c>
      <c r="T93">
        <f t="shared" si="102"/>
        <v>0.35988902577347076</v>
      </c>
      <c r="U93">
        <f t="shared" si="103"/>
        <v>344.39849965769525</v>
      </c>
      <c r="V93">
        <f t="shared" si="104"/>
        <v>28.266069258101059</v>
      </c>
      <c r="W93">
        <f t="shared" si="105"/>
        <v>27.334700000000002</v>
      </c>
      <c r="X93">
        <f t="shared" si="106"/>
        <v>3.6501245391923751</v>
      </c>
      <c r="Y93">
        <f t="shared" si="107"/>
        <v>65.53058350104935</v>
      </c>
      <c r="Z93">
        <f t="shared" si="108"/>
        <v>2.4880421096854004</v>
      </c>
      <c r="AA93">
        <f t="shared" si="109"/>
        <v>3.7967647726584937</v>
      </c>
      <c r="AB93">
        <f t="shared" si="110"/>
        <v>1.1620824295069747</v>
      </c>
      <c r="AC93">
        <f t="shared" si="111"/>
        <v>-300.7878933291675</v>
      </c>
      <c r="AD93">
        <f t="shared" si="112"/>
        <v>106.28644136990928</v>
      </c>
      <c r="AE93">
        <f t="shared" si="113"/>
        <v>7.8946840250538743</v>
      </c>
      <c r="AF93">
        <f t="shared" si="114"/>
        <v>157.79173172349093</v>
      </c>
      <c r="AG93">
        <v>0</v>
      </c>
      <c r="AH93">
        <v>0</v>
      </c>
      <c r="AI93">
        <f t="shared" si="115"/>
        <v>1</v>
      </c>
      <c r="AJ93">
        <f t="shared" si="116"/>
        <v>0</v>
      </c>
      <c r="AK93">
        <f t="shared" si="117"/>
        <v>52561.266341724586</v>
      </c>
      <c r="AL93" t="s">
        <v>415</v>
      </c>
      <c r="AM93">
        <v>10297.6</v>
      </c>
      <c r="AN93">
        <v>785.57400000000007</v>
      </c>
      <c r="AO93">
        <v>3597.65</v>
      </c>
      <c r="AP93">
        <f t="shared" si="118"/>
        <v>0.7816424610509638</v>
      </c>
      <c r="AQ93">
        <v>-0.62398835798131469</v>
      </c>
      <c r="AR93" t="s">
        <v>810</v>
      </c>
      <c r="AS93">
        <v>10237.700000000001</v>
      </c>
      <c r="AT93">
        <v>795.53211999999985</v>
      </c>
      <c r="AU93">
        <v>858.29744119680754</v>
      </c>
      <c r="AV93">
        <f t="shared" si="119"/>
        <v>7.312770396855417E-2</v>
      </c>
      <c r="AW93">
        <v>0.5</v>
      </c>
      <c r="AX93">
        <f t="shared" si="120"/>
        <v>1513.3109998288476</v>
      </c>
      <c r="AY93">
        <f t="shared" si="121"/>
        <v>1.6916212311237913</v>
      </c>
      <c r="AZ93">
        <f t="shared" si="122"/>
        <v>55.332479403920345</v>
      </c>
      <c r="BA93">
        <f t="shared" si="123"/>
        <v>1.530161076848709E-3</v>
      </c>
      <c r="BB93">
        <f t="shared" si="124"/>
        <v>3.1916121699995368</v>
      </c>
      <c r="BC93">
        <f t="shared" si="125"/>
        <v>462.94311790189829</v>
      </c>
      <c r="BD93" t="s">
        <v>811</v>
      </c>
      <c r="BE93">
        <v>582.02</v>
      </c>
      <c r="BF93">
        <f t="shared" si="126"/>
        <v>582.02</v>
      </c>
      <c r="BG93">
        <f t="shared" si="127"/>
        <v>0.32189009070278374</v>
      </c>
      <c r="BH93">
        <f t="shared" si="128"/>
        <v>0.22718221554722057</v>
      </c>
      <c r="BI93">
        <f t="shared" si="129"/>
        <v>0.90838483461273178</v>
      </c>
      <c r="BJ93">
        <f t="shared" si="130"/>
        <v>0.86306863597047523</v>
      </c>
      <c r="BK93">
        <f t="shared" si="131"/>
        <v>0.97413887775550612</v>
      </c>
      <c r="BL93">
        <f t="shared" si="132"/>
        <v>0.16620899366425748</v>
      </c>
      <c r="BM93">
        <f t="shared" si="133"/>
        <v>0.83379100633574255</v>
      </c>
      <c r="BN93">
        <v>153</v>
      </c>
      <c r="BO93">
        <v>290.00000000000011</v>
      </c>
      <c r="BP93">
        <v>837.82</v>
      </c>
      <c r="BQ93">
        <v>85</v>
      </c>
      <c r="BR93">
        <v>10237.700000000001</v>
      </c>
      <c r="BS93">
        <v>834.36</v>
      </c>
      <c r="BT93">
        <v>3.46</v>
      </c>
      <c r="BU93">
        <v>300.00000000000011</v>
      </c>
      <c r="BV93">
        <v>24.1</v>
      </c>
      <c r="BW93">
        <v>858.29744119680754</v>
      </c>
      <c r="BX93">
        <v>1.818497454474409</v>
      </c>
      <c r="BY93">
        <v>-24.50234990917183</v>
      </c>
      <c r="BZ93">
        <v>1.6535260800233571</v>
      </c>
      <c r="CA93">
        <v>0.88690538042263101</v>
      </c>
      <c r="CB93">
        <v>-6.9594769744160262E-3</v>
      </c>
      <c r="CC93">
        <v>289.99999999999989</v>
      </c>
      <c r="CD93">
        <v>831.16</v>
      </c>
      <c r="CE93">
        <v>625</v>
      </c>
      <c r="CF93">
        <v>10192.5</v>
      </c>
      <c r="CG93">
        <v>834.26</v>
      </c>
      <c r="CH93">
        <v>-3.1</v>
      </c>
      <c r="CV93">
        <f t="shared" si="134"/>
        <v>1800.15</v>
      </c>
      <c r="CW93">
        <f t="shared" si="135"/>
        <v>1513.3109998288476</v>
      </c>
      <c r="CX93">
        <f t="shared" si="136"/>
        <v>0.84065827838171681</v>
      </c>
      <c r="CY93">
        <f t="shared" si="137"/>
        <v>0.19131655676343373</v>
      </c>
      <c r="CZ93">
        <v>6</v>
      </c>
      <c r="DA93">
        <v>0.5</v>
      </c>
      <c r="DB93" t="s">
        <v>418</v>
      </c>
      <c r="DC93">
        <v>2</v>
      </c>
      <c r="DD93">
        <v>1674593631.5</v>
      </c>
      <c r="DE93">
        <v>7.9077299999999999</v>
      </c>
      <c r="DF93">
        <v>10.002000000000001</v>
      </c>
      <c r="DG93">
        <v>24.959800000000001</v>
      </c>
      <c r="DH93">
        <v>16.980899999999998</v>
      </c>
      <c r="DI93">
        <v>8.5969700000000007</v>
      </c>
      <c r="DJ93">
        <v>24.7227</v>
      </c>
      <c r="DK93">
        <v>500.09500000000003</v>
      </c>
      <c r="DL93">
        <v>99.582099999999997</v>
      </c>
      <c r="DM93">
        <v>9.9873000000000003E-2</v>
      </c>
      <c r="DN93">
        <v>28.008700000000001</v>
      </c>
      <c r="DO93">
        <v>27.334700000000002</v>
      </c>
      <c r="DP93">
        <v>999.9</v>
      </c>
      <c r="DQ93">
        <v>0</v>
      </c>
      <c r="DR93">
        <v>0</v>
      </c>
      <c r="DS93">
        <v>10016.200000000001</v>
      </c>
      <c r="DT93">
        <v>0</v>
      </c>
      <c r="DU93">
        <v>328.38499999999999</v>
      </c>
      <c r="DV93">
        <v>-2.09429</v>
      </c>
      <c r="DW93">
        <v>8.1101500000000009</v>
      </c>
      <c r="DX93">
        <v>10.174799999999999</v>
      </c>
      <c r="DY93">
        <v>7.9788600000000001</v>
      </c>
      <c r="DZ93">
        <v>10.002000000000001</v>
      </c>
      <c r="EA93">
        <v>16.980899999999998</v>
      </c>
      <c r="EB93">
        <v>2.4855399999999999</v>
      </c>
      <c r="EC93">
        <v>1.69099</v>
      </c>
      <c r="ED93">
        <v>20.932200000000002</v>
      </c>
      <c r="EE93">
        <v>14.814</v>
      </c>
      <c r="EF93">
        <v>1800.15</v>
      </c>
      <c r="EG93">
        <v>0.97799599999999998</v>
      </c>
      <c r="EH93">
        <v>2.20044E-2</v>
      </c>
      <c r="EI93">
        <v>0</v>
      </c>
      <c r="EJ93">
        <v>795.17499999999995</v>
      </c>
      <c r="EK93">
        <v>5.0002599999999999</v>
      </c>
      <c r="EL93">
        <v>14677.3</v>
      </c>
      <c r="EM93">
        <v>17104.8</v>
      </c>
      <c r="EN93">
        <v>50.436999999999998</v>
      </c>
      <c r="EO93">
        <v>51.5</v>
      </c>
      <c r="EP93">
        <v>51.311999999999998</v>
      </c>
      <c r="EQ93">
        <v>50.875</v>
      </c>
      <c r="ER93">
        <v>51.5</v>
      </c>
      <c r="ES93">
        <v>1755.65</v>
      </c>
      <c r="ET93">
        <v>39.5</v>
      </c>
      <c r="EU93">
        <v>0</v>
      </c>
      <c r="EV93">
        <v>120.2000000476837</v>
      </c>
      <c r="EW93">
        <v>0</v>
      </c>
      <c r="EX93">
        <v>795.53211999999985</v>
      </c>
      <c r="EY93">
        <v>-0.45446152902990111</v>
      </c>
      <c r="EZ93">
        <v>1.3538462667859279</v>
      </c>
      <c r="FA93">
        <v>14675.9</v>
      </c>
      <c r="FB93">
        <v>15</v>
      </c>
      <c r="FC93">
        <v>1674593596</v>
      </c>
      <c r="FD93" t="s">
        <v>812</v>
      </c>
      <c r="FE93">
        <v>1674593575</v>
      </c>
      <c r="FF93">
        <v>1674593596</v>
      </c>
      <c r="FG93">
        <v>86</v>
      </c>
      <c r="FH93">
        <v>6.9000000000000006E-2</v>
      </c>
      <c r="FI93">
        <v>0</v>
      </c>
      <c r="FJ93">
        <v>-0.68700000000000006</v>
      </c>
      <c r="FK93">
        <v>4.9000000000000002E-2</v>
      </c>
      <c r="FL93">
        <v>10</v>
      </c>
      <c r="FM93">
        <v>17</v>
      </c>
      <c r="FN93">
        <v>0.34</v>
      </c>
      <c r="FO93">
        <v>0.02</v>
      </c>
      <c r="FP93">
        <v>1.73142771230711</v>
      </c>
      <c r="FQ93">
        <v>-0.68557780626487796</v>
      </c>
      <c r="FR93">
        <v>7.8648073661570603E-2</v>
      </c>
      <c r="FS93">
        <v>1</v>
      </c>
      <c r="FT93">
        <v>0.6366877485055964</v>
      </c>
      <c r="FU93">
        <v>2.5055651195492051E-2</v>
      </c>
      <c r="FV93">
        <v>5.2998863371356677E-3</v>
      </c>
      <c r="FW93">
        <v>1</v>
      </c>
      <c r="FX93">
        <v>2</v>
      </c>
      <c r="FY93">
        <v>2</v>
      </c>
      <c r="FZ93" t="s">
        <v>420</v>
      </c>
      <c r="GA93">
        <v>2.9282699999999999</v>
      </c>
      <c r="GB93">
        <v>2.80694</v>
      </c>
      <c r="GC93">
        <v>2.4487799999999998E-3</v>
      </c>
      <c r="GD93">
        <v>2.89821E-3</v>
      </c>
      <c r="GE93">
        <v>0.115051</v>
      </c>
      <c r="GF93">
        <v>8.9102700000000007E-2</v>
      </c>
      <c r="GG93">
        <v>29633.200000000001</v>
      </c>
      <c r="GH93">
        <v>30060.9</v>
      </c>
      <c r="GI93">
        <v>28216.6</v>
      </c>
      <c r="GJ93">
        <v>27167.5</v>
      </c>
      <c r="GK93">
        <v>35844.9</v>
      </c>
      <c r="GL93">
        <v>32677.599999999999</v>
      </c>
      <c r="GM93">
        <v>42016.6</v>
      </c>
      <c r="GN93">
        <v>36861.4</v>
      </c>
      <c r="GO93">
        <v>1.9262999999999999</v>
      </c>
      <c r="GP93">
        <v>1.8796200000000001</v>
      </c>
      <c r="GQ93">
        <v>4.94495E-2</v>
      </c>
      <c r="GR93">
        <v>0</v>
      </c>
      <c r="GS93">
        <v>26.5259</v>
      </c>
      <c r="GT93">
        <v>999.9</v>
      </c>
      <c r="GU93">
        <v>49.7</v>
      </c>
      <c r="GV93">
        <v>35</v>
      </c>
      <c r="GW93">
        <v>28.1889</v>
      </c>
      <c r="GX93">
        <v>60.909100000000002</v>
      </c>
      <c r="GY93">
        <v>26.7468</v>
      </c>
      <c r="GZ93">
        <v>1</v>
      </c>
      <c r="HA93">
        <v>0.425145</v>
      </c>
      <c r="HB93">
        <v>3.2599900000000002</v>
      </c>
      <c r="HC93">
        <v>20.3155</v>
      </c>
      <c r="HD93">
        <v>5.2382600000000004</v>
      </c>
      <c r="HE93">
        <v>11.9381</v>
      </c>
      <c r="HF93">
        <v>4.9728000000000003</v>
      </c>
      <c r="HG93">
        <v>3.2984800000000001</v>
      </c>
      <c r="HH93">
        <v>9999</v>
      </c>
      <c r="HI93">
        <v>9999</v>
      </c>
      <c r="HJ93">
        <v>9999</v>
      </c>
      <c r="HK93">
        <v>999.9</v>
      </c>
      <c r="HL93">
        <v>1.8733299999999999</v>
      </c>
      <c r="HM93">
        <v>1.8811</v>
      </c>
      <c r="HN93">
        <v>1.8846099999999999</v>
      </c>
      <c r="HO93">
        <v>1.8813</v>
      </c>
      <c r="HP93">
        <v>1.87866</v>
      </c>
      <c r="HQ93">
        <v>1.8733500000000001</v>
      </c>
      <c r="HR93">
        <v>1.87622</v>
      </c>
      <c r="HS93">
        <v>1.88049</v>
      </c>
      <c r="HT93">
        <v>5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423</v>
      </c>
      <c r="IB93" t="s">
        <v>423</v>
      </c>
      <c r="IC93" t="s">
        <v>423</v>
      </c>
      <c r="ID93">
        <v>0</v>
      </c>
      <c r="IE93">
        <v>100</v>
      </c>
      <c r="IF93">
        <v>100</v>
      </c>
      <c r="IG93">
        <v>-0.68899999999999995</v>
      </c>
      <c r="IH93">
        <v>0.23710000000000001</v>
      </c>
      <c r="II93">
        <v>-0.69725977284828222</v>
      </c>
      <c r="IJ93">
        <v>9.4905977090923709E-4</v>
      </c>
      <c r="IK93">
        <v>-1.9106666302146479E-6</v>
      </c>
      <c r="IL93">
        <v>7.5819610513223293E-10</v>
      </c>
      <c r="IM93">
        <v>-6.2659736319849155E-2</v>
      </c>
      <c r="IN93">
        <v>-1.0595840490420019E-2</v>
      </c>
      <c r="IO93">
        <v>1.2407080968752471E-3</v>
      </c>
      <c r="IP93">
        <v>-1.3015442653884381E-5</v>
      </c>
      <c r="IQ93">
        <v>33</v>
      </c>
      <c r="IR93">
        <v>2014</v>
      </c>
      <c r="IS93">
        <v>1</v>
      </c>
      <c r="IT93">
        <v>26</v>
      </c>
      <c r="IU93">
        <v>0.9</v>
      </c>
      <c r="IV93">
        <v>0.6</v>
      </c>
      <c r="IW93">
        <v>0.164795</v>
      </c>
      <c r="IX93">
        <v>2.6025399999999999</v>
      </c>
      <c r="IY93">
        <v>1.5991200000000001</v>
      </c>
      <c r="IZ93">
        <v>2.2997999999999998</v>
      </c>
      <c r="JA93">
        <v>1.5502899999999999</v>
      </c>
      <c r="JB93">
        <v>2.3107899999999999</v>
      </c>
      <c r="JC93">
        <v>38.476900000000001</v>
      </c>
      <c r="JD93">
        <v>24.052499999999998</v>
      </c>
      <c r="JE93">
        <v>18</v>
      </c>
      <c r="JF93">
        <v>488.185</v>
      </c>
      <c r="JG93">
        <v>491.87200000000001</v>
      </c>
      <c r="JH93">
        <v>22.567299999999999</v>
      </c>
      <c r="JI93">
        <v>32.523200000000003</v>
      </c>
      <c r="JJ93">
        <v>30.0001</v>
      </c>
      <c r="JK93">
        <v>32.5899</v>
      </c>
      <c r="JL93">
        <v>32.549100000000003</v>
      </c>
      <c r="JM93">
        <v>3.33229</v>
      </c>
      <c r="JN93">
        <v>46.889499999999998</v>
      </c>
      <c r="JO93">
        <v>0</v>
      </c>
      <c r="JP93">
        <v>22.562799999999999</v>
      </c>
      <c r="JQ93">
        <v>10</v>
      </c>
      <c r="JR93">
        <v>16.860199999999999</v>
      </c>
      <c r="JS93">
        <v>99.615899999999996</v>
      </c>
      <c r="JT93">
        <v>98.696600000000004</v>
      </c>
    </row>
    <row r="94" spans="1:280" x14ac:dyDescent="0.25">
      <c r="A94">
        <v>78</v>
      </c>
      <c r="B94">
        <v>1674593821</v>
      </c>
      <c r="C94">
        <v>18396</v>
      </c>
      <c r="D94" t="s">
        <v>813</v>
      </c>
      <c r="E94" t="s">
        <v>814</v>
      </c>
      <c r="F94" t="s">
        <v>412</v>
      </c>
      <c r="G94" t="s">
        <v>779</v>
      </c>
      <c r="H94" t="s">
        <v>493</v>
      </c>
      <c r="I94">
        <v>1674593821</v>
      </c>
      <c r="J94">
        <f t="shared" si="92"/>
        <v>6.5061428974666638E-3</v>
      </c>
      <c r="K94">
        <f t="shared" si="93"/>
        <v>6.5061428974666642</v>
      </c>
      <c r="L94">
        <f t="shared" si="94"/>
        <v>42.473879355464106</v>
      </c>
      <c r="M94">
        <f t="shared" si="95"/>
        <v>346.30799999999999</v>
      </c>
      <c r="N94">
        <f t="shared" si="96"/>
        <v>215.06343534992686</v>
      </c>
      <c r="O94">
        <f t="shared" si="97"/>
        <v>21.437810216328838</v>
      </c>
      <c r="P94">
        <f t="shared" si="98"/>
        <v>34.520443553395197</v>
      </c>
      <c r="Q94">
        <f t="shared" si="99"/>
        <v>0.59154965600878318</v>
      </c>
      <c r="R94">
        <f t="shared" si="100"/>
        <v>2.9305093315558448</v>
      </c>
      <c r="S94">
        <f t="shared" si="101"/>
        <v>0.53234222628731398</v>
      </c>
      <c r="T94">
        <f t="shared" si="102"/>
        <v>0.33753825053288194</v>
      </c>
      <c r="U94">
        <f t="shared" si="103"/>
        <v>344.35099965764772</v>
      </c>
      <c r="V94">
        <f t="shared" si="104"/>
        <v>28.347337084094988</v>
      </c>
      <c r="W94">
        <f t="shared" si="105"/>
        <v>27.293099999999999</v>
      </c>
      <c r="X94">
        <f t="shared" si="106"/>
        <v>3.6412379879466563</v>
      </c>
      <c r="Y94">
        <f t="shared" si="107"/>
        <v>64.797323664450332</v>
      </c>
      <c r="Z94">
        <f t="shared" si="108"/>
        <v>2.4602449824598396</v>
      </c>
      <c r="AA94">
        <f t="shared" si="109"/>
        <v>3.7968311703737858</v>
      </c>
      <c r="AB94">
        <f t="shared" si="110"/>
        <v>1.1809930054868167</v>
      </c>
      <c r="AC94">
        <f t="shared" si="111"/>
        <v>-286.92090177827987</v>
      </c>
      <c r="AD94">
        <f t="shared" si="112"/>
        <v>113.10476830140445</v>
      </c>
      <c r="AE94">
        <f t="shared" si="113"/>
        <v>8.3837400509434357</v>
      </c>
      <c r="AF94">
        <f t="shared" si="114"/>
        <v>178.91860623171576</v>
      </c>
      <c r="AG94">
        <v>0</v>
      </c>
      <c r="AH94">
        <v>0</v>
      </c>
      <c r="AI94">
        <f t="shared" si="115"/>
        <v>1</v>
      </c>
      <c r="AJ94">
        <f t="shared" si="116"/>
        <v>0</v>
      </c>
      <c r="AK94">
        <f t="shared" si="117"/>
        <v>52718.403450693266</v>
      </c>
      <c r="AL94" t="s">
        <v>415</v>
      </c>
      <c r="AM94">
        <v>10297.6</v>
      </c>
      <c r="AN94">
        <v>785.57400000000007</v>
      </c>
      <c r="AO94">
        <v>3597.65</v>
      </c>
      <c r="AP94">
        <f t="shared" si="118"/>
        <v>0.7816424610509638</v>
      </c>
      <c r="AQ94">
        <v>-0.62398835798131469</v>
      </c>
      <c r="AR94" t="s">
        <v>815</v>
      </c>
      <c r="AS94">
        <v>10207.4</v>
      </c>
      <c r="AT94">
        <v>712.02634615384625</v>
      </c>
      <c r="AU94">
        <v>980.8773063327684</v>
      </c>
      <c r="AV94">
        <f t="shared" si="119"/>
        <v>0.27409234411190764</v>
      </c>
      <c r="AW94">
        <v>0.5</v>
      </c>
      <c r="AX94">
        <f t="shared" si="120"/>
        <v>1513.1009998288237</v>
      </c>
      <c r="AY94">
        <f t="shared" si="121"/>
        <v>42.473879355464106</v>
      </c>
      <c r="AZ94">
        <f t="shared" si="122"/>
        <v>207.36469996057673</v>
      </c>
      <c r="BA94">
        <f t="shared" si="123"/>
        <v>2.848314006687E-2</v>
      </c>
      <c r="BB94">
        <f t="shared" si="124"/>
        <v>2.667787986094436</v>
      </c>
      <c r="BC94">
        <f t="shared" si="125"/>
        <v>496.40335177378813</v>
      </c>
      <c r="BD94" t="s">
        <v>816</v>
      </c>
      <c r="BE94">
        <v>545.36</v>
      </c>
      <c r="BF94">
        <f t="shared" si="126"/>
        <v>545.36</v>
      </c>
      <c r="BG94">
        <f t="shared" si="127"/>
        <v>0.44400793404125982</v>
      </c>
      <c r="BH94">
        <f t="shared" si="128"/>
        <v>0.61731406828067481</v>
      </c>
      <c r="BI94">
        <f t="shared" si="129"/>
        <v>0.85731457157322255</v>
      </c>
      <c r="BJ94">
        <f t="shared" si="130"/>
        <v>1.3765817139871628</v>
      </c>
      <c r="BK94">
        <f t="shared" si="131"/>
        <v>0.93054835419356785</v>
      </c>
      <c r="BL94">
        <f t="shared" si="132"/>
        <v>0.47281733617874816</v>
      </c>
      <c r="BM94">
        <f t="shared" si="133"/>
        <v>0.52718266382125178</v>
      </c>
      <c r="BN94">
        <v>155</v>
      </c>
      <c r="BO94">
        <v>290.00000000000011</v>
      </c>
      <c r="BP94">
        <v>916.15</v>
      </c>
      <c r="BQ94">
        <v>295</v>
      </c>
      <c r="BR94">
        <v>10207.4</v>
      </c>
      <c r="BS94">
        <v>917.06</v>
      </c>
      <c r="BT94">
        <v>-0.91</v>
      </c>
      <c r="BU94">
        <v>300.00000000000011</v>
      </c>
      <c r="BV94">
        <v>24.1</v>
      </c>
      <c r="BW94">
        <v>980.8773063327684</v>
      </c>
      <c r="BX94">
        <v>2.9614566107954392</v>
      </c>
      <c r="BY94">
        <v>-65.13985800187325</v>
      </c>
      <c r="BZ94">
        <v>2.693139654594455</v>
      </c>
      <c r="CA94">
        <v>0.95432500897839723</v>
      </c>
      <c r="CB94">
        <v>-6.9603713014460512E-3</v>
      </c>
      <c r="CC94">
        <v>289.99999999999989</v>
      </c>
      <c r="CD94">
        <v>914.55</v>
      </c>
      <c r="CE94">
        <v>715</v>
      </c>
      <c r="CF94">
        <v>10188</v>
      </c>
      <c r="CG94">
        <v>916.94</v>
      </c>
      <c r="CH94">
        <v>-2.39</v>
      </c>
      <c r="CV94">
        <f t="shared" si="134"/>
        <v>1799.9</v>
      </c>
      <c r="CW94">
        <f t="shared" si="135"/>
        <v>1513.1009998288237</v>
      </c>
      <c r="CX94">
        <f t="shared" si="136"/>
        <v>0.84065836981433617</v>
      </c>
      <c r="CY94">
        <f t="shared" si="137"/>
        <v>0.19131673962867254</v>
      </c>
      <c r="CZ94">
        <v>6</v>
      </c>
      <c r="DA94">
        <v>0.5</v>
      </c>
      <c r="DB94" t="s">
        <v>418</v>
      </c>
      <c r="DC94">
        <v>2</v>
      </c>
      <c r="DD94">
        <v>1674593821</v>
      </c>
      <c r="DE94">
        <v>346.30799999999999</v>
      </c>
      <c r="DF94">
        <v>399.97</v>
      </c>
      <c r="DG94">
        <v>24.681100000000001</v>
      </c>
      <c r="DH94">
        <v>17.067900000000002</v>
      </c>
      <c r="DI94">
        <v>347.03100000000001</v>
      </c>
      <c r="DJ94">
        <v>24.454999999999998</v>
      </c>
      <c r="DK94">
        <v>500.09699999999998</v>
      </c>
      <c r="DL94">
        <v>99.581699999999998</v>
      </c>
      <c r="DM94">
        <v>9.9634399999999998E-2</v>
      </c>
      <c r="DN94">
        <v>28.009</v>
      </c>
      <c r="DO94">
        <v>27.293099999999999</v>
      </c>
      <c r="DP94">
        <v>999.9</v>
      </c>
      <c r="DQ94">
        <v>0</v>
      </c>
      <c r="DR94">
        <v>0</v>
      </c>
      <c r="DS94">
        <v>10047.5</v>
      </c>
      <c r="DT94">
        <v>0</v>
      </c>
      <c r="DU94">
        <v>335.26799999999997</v>
      </c>
      <c r="DV94">
        <v>-53.661299999999997</v>
      </c>
      <c r="DW94">
        <v>355.072</v>
      </c>
      <c r="DX94">
        <v>406.91500000000002</v>
      </c>
      <c r="DY94">
        <v>7.6131399999999996</v>
      </c>
      <c r="DZ94">
        <v>399.97</v>
      </c>
      <c r="EA94">
        <v>17.067900000000002</v>
      </c>
      <c r="EB94">
        <v>2.4577900000000001</v>
      </c>
      <c r="EC94">
        <v>1.6996599999999999</v>
      </c>
      <c r="ED94">
        <v>20.749600000000001</v>
      </c>
      <c r="EE94">
        <v>14.8933</v>
      </c>
      <c r="EF94">
        <v>1799.9</v>
      </c>
      <c r="EG94">
        <v>0.97799199999999997</v>
      </c>
      <c r="EH94">
        <v>2.2008199999999999E-2</v>
      </c>
      <c r="EI94">
        <v>0</v>
      </c>
      <c r="EJ94">
        <v>710.88699999999994</v>
      </c>
      <c r="EK94">
        <v>5.0002599999999999</v>
      </c>
      <c r="EL94">
        <v>13184.4</v>
      </c>
      <c r="EM94">
        <v>17102.400000000001</v>
      </c>
      <c r="EN94">
        <v>50.311999999999998</v>
      </c>
      <c r="EO94">
        <v>51.5</v>
      </c>
      <c r="EP94">
        <v>51.311999999999998</v>
      </c>
      <c r="EQ94">
        <v>50.875</v>
      </c>
      <c r="ER94">
        <v>51.5</v>
      </c>
      <c r="ES94">
        <v>1755.4</v>
      </c>
      <c r="ET94">
        <v>39.5</v>
      </c>
      <c r="EU94">
        <v>0</v>
      </c>
      <c r="EV94">
        <v>187.80000019073489</v>
      </c>
      <c r="EW94">
        <v>0</v>
      </c>
      <c r="EX94">
        <v>712.02634615384625</v>
      </c>
      <c r="EY94">
        <v>-7.075042741171659</v>
      </c>
      <c r="EZ94">
        <v>-132.54017092370111</v>
      </c>
      <c r="FA94">
        <v>13201.384615384621</v>
      </c>
      <c r="FB94">
        <v>15</v>
      </c>
      <c r="FC94">
        <v>1674593705</v>
      </c>
      <c r="FD94" t="s">
        <v>817</v>
      </c>
      <c r="FE94">
        <v>1674593701.5</v>
      </c>
      <c r="FF94">
        <v>1674593705</v>
      </c>
      <c r="FG94">
        <v>87</v>
      </c>
      <c r="FH94">
        <v>-0.156</v>
      </c>
      <c r="FI94">
        <v>-4.0000000000000001E-3</v>
      </c>
      <c r="FJ94">
        <v>-0.73099999999999998</v>
      </c>
      <c r="FK94">
        <v>4.3999999999999997E-2</v>
      </c>
      <c r="FL94">
        <v>401</v>
      </c>
      <c r="FM94">
        <v>17</v>
      </c>
      <c r="FN94">
        <v>0.04</v>
      </c>
      <c r="FO94">
        <v>0.01</v>
      </c>
      <c r="FP94">
        <v>41.374377603245478</v>
      </c>
      <c r="FQ94">
        <v>6.1901206458860019</v>
      </c>
      <c r="FR94">
        <v>0.61083597969196346</v>
      </c>
      <c r="FS94">
        <v>0</v>
      </c>
      <c r="FT94">
        <v>0.5975045227130561</v>
      </c>
      <c r="FU94">
        <v>-2.0234582255456601E-2</v>
      </c>
      <c r="FV94">
        <v>2.125106744518471E-3</v>
      </c>
      <c r="FW94">
        <v>1</v>
      </c>
      <c r="FX94">
        <v>1</v>
      </c>
      <c r="FY94">
        <v>2</v>
      </c>
      <c r="FZ94" t="s">
        <v>459</v>
      </c>
      <c r="GA94">
        <v>2.92828</v>
      </c>
      <c r="GB94">
        <v>2.8069799999999998</v>
      </c>
      <c r="GC94">
        <v>8.7503399999999995E-2</v>
      </c>
      <c r="GD94">
        <v>9.9068600000000007E-2</v>
      </c>
      <c r="GE94">
        <v>0.114178</v>
      </c>
      <c r="GF94">
        <v>8.9429499999999995E-2</v>
      </c>
      <c r="GG94">
        <v>27105.7</v>
      </c>
      <c r="GH94">
        <v>27162.1</v>
      </c>
      <c r="GI94">
        <v>28216.6</v>
      </c>
      <c r="GJ94">
        <v>27169</v>
      </c>
      <c r="GK94">
        <v>35881.300000000003</v>
      </c>
      <c r="GL94">
        <v>32668.400000000001</v>
      </c>
      <c r="GM94">
        <v>42016.800000000003</v>
      </c>
      <c r="GN94">
        <v>36863.4</v>
      </c>
      <c r="GO94">
        <v>1.92658</v>
      </c>
      <c r="GP94">
        <v>1.88195</v>
      </c>
      <c r="GQ94">
        <v>4.9304199999999999E-2</v>
      </c>
      <c r="GR94">
        <v>0</v>
      </c>
      <c r="GS94">
        <v>26.486599999999999</v>
      </c>
      <c r="GT94">
        <v>999.9</v>
      </c>
      <c r="GU94">
        <v>49.6</v>
      </c>
      <c r="GV94">
        <v>35</v>
      </c>
      <c r="GW94">
        <v>28.135400000000001</v>
      </c>
      <c r="GX94">
        <v>61.199100000000001</v>
      </c>
      <c r="GY94">
        <v>26.5505</v>
      </c>
      <c r="GZ94">
        <v>1</v>
      </c>
      <c r="HA94">
        <v>0.423925</v>
      </c>
      <c r="HB94">
        <v>3.1791299999999998</v>
      </c>
      <c r="HC94">
        <v>20.317399999999999</v>
      </c>
      <c r="HD94">
        <v>5.2400500000000001</v>
      </c>
      <c r="HE94">
        <v>11.9381</v>
      </c>
      <c r="HF94">
        <v>4.9735500000000004</v>
      </c>
      <c r="HG94">
        <v>3.2989999999999999</v>
      </c>
      <c r="HH94">
        <v>9999</v>
      </c>
      <c r="HI94">
        <v>9999</v>
      </c>
      <c r="HJ94">
        <v>9999</v>
      </c>
      <c r="HK94">
        <v>999.9</v>
      </c>
      <c r="HL94">
        <v>1.8733299999999999</v>
      </c>
      <c r="HM94">
        <v>1.88106</v>
      </c>
      <c r="HN94">
        <v>1.8846099999999999</v>
      </c>
      <c r="HO94">
        <v>1.88127</v>
      </c>
      <c r="HP94">
        <v>1.87866</v>
      </c>
      <c r="HQ94">
        <v>1.8733200000000001</v>
      </c>
      <c r="HR94">
        <v>1.87622</v>
      </c>
      <c r="HS94">
        <v>1.88049</v>
      </c>
      <c r="HT94">
        <v>5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423</v>
      </c>
      <c r="IB94" t="s">
        <v>423</v>
      </c>
      <c r="IC94" t="s">
        <v>423</v>
      </c>
      <c r="ID94">
        <v>0</v>
      </c>
      <c r="IE94">
        <v>100</v>
      </c>
      <c r="IF94">
        <v>100</v>
      </c>
      <c r="IG94">
        <v>-0.72299999999999998</v>
      </c>
      <c r="IH94">
        <v>0.2261</v>
      </c>
      <c r="II94">
        <v>-0.85326662082652882</v>
      </c>
      <c r="IJ94">
        <v>9.4905977090923709E-4</v>
      </c>
      <c r="IK94">
        <v>-1.9106666302146479E-6</v>
      </c>
      <c r="IL94">
        <v>7.5819610513223293E-10</v>
      </c>
      <c r="IM94">
        <v>-6.640681978638216E-2</v>
      </c>
      <c r="IN94">
        <v>-1.0595840490420019E-2</v>
      </c>
      <c r="IO94">
        <v>1.2407080968752471E-3</v>
      </c>
      <c r="IP94">
        <v>-1.3015442653884381E-5</v>
      </c>
      <c r="IQ94">
        <v>33</v>
      </c>
      <c r="IR94">
        <v>2014</v>
      </c>
      <c r="IS94">
        <v>1</v>
      </c>
      <c r="IT94">
        <v>26</v>
      </c>
      <c r="IU94">
        <v>2</v>
      </c>
      <c r="IV94">
        <v>1.9</v>
      </c>
      <c r="IW94">
        <v>1.00952</v>
      </c>
      <c r="IX94">
        <v>2.5378400000000001</v>
      </c>
      <c r="IY94">
        <v>1.5991200000000001</v>
      </c>
      <c r="IZ94">
        <v>2.2997999999999998</v>
      </c>
      <c r="JA94">
        <v>1.5502899999999999</v>
      </c>
      <c r="JB94">
        <v>2.2814899999999998</v>
      </c>
      <c r="JC94">
        <v>38.452399999999997</v>
      </c>
      <c r="JD94">
        <v>24.061199999999999</v>
      </c>
      <c r="JE94">
        <v>18</v>
      </c>
      <c r="JF94">
        <v>488.37099999999998</v>
      </c>
      <c r="JG94">
        <v>493.54599999999999</v>
      </c>
      <c r="JH94">
        <v>22.566199999999998</v>
      </c>
      <c r="JI94">
        <v>32.517400000000002</v>
      </c>
      <c r="JJ94">
        <v>30</v>
      </c>
      <c r="JK94">
        <v>32.591200000000001</v>
      </c>
      <c r="JL94">
        <v>32.555199999999999</v>
      </c>
      <c r="JM94">
        <v>20.2743</v>
      </c>
      <c r="JN94">
        <v>45.869399999999999</v>
      </c>
      <c r="JO94">
        <v>0</v>
      </c>
      <c r="JP94">
        <v>22.568999999999999</v>
      </c>
      <c r="JQ94">
        <v>400</v>
      </c>
      <c r="JR94">
        <v>17.160499999999999</v>
      </c>
      <c r="JS94">
        <v>99.616299999999995</v>
      </c>
      <c r="JT94">
        <v>98.702100000000002</v>
      </c>
    </row>
    <row r="95" spans="1:280" x14ac:dyDescent="0.25">
      <c r="A95">
        <v>79</v>
      </c>
      <c r="B95">
        <v>1674594010.5999999</v>
      </c>
      <c r="C95">
        <v>18585.599999904629</v>
      </c>
      <c r="D95" t="s">
        <v>818</v>
      </c>
      <c r="E95" t="s">
        <v>819</v>
      </c>
      <c r="F95" t="s">
        <v>412</v>
      </c>
      <c r="G95" t="s">
        <v>779</v>
      </c>
      <c r="H95" t="s">
        <v>493</v>
      </c>
      <c r="I95">
        <v>1674594010.5999999</v>
      </c>
      <c r="J95">
        <f t="shared" si="92"/>
        <v>6.2629030775980541E-3</v>
      </c>
      <c r="K95">
        <f t="shared" si="93"/>
        <v>6.2629030775980539</v>
      </c>
      <c r="L95">
        <f t="shared" si="94"/>
        <v>51.969596754829162</v>
      </c>
      <c r="M95">
        <f t="shared" si="95"/>
        <v>335.12200000000001</v>
      </c>
      <c r="N95">
        <f t="shared" si="96"/>
        <v>171.03360066457788</v>
      </c>
      <c r="O95">
        <f t="shared" si="97"/>
        <v>17.050372197945972</v>
      </c>
      <c r="P95">
        <f t="shared" si="98"/>
        <v>33.4083759537166</v>
      </c>
      <c r="Q95">
        <f t="shared" si="99"/>
        <v>0.57026450153403352</v>
      </c>
      <c r="R95">
        <f t="shared" si="100"/>
        <v>2.9270662604372015</v>
      </c>
      <c r="S95">
        <f t="shared" si="101"/>
        <v>0.51497039467740302</v>
      </c>
      <c r="T95">
        <f t="shared" si="102"/>
        <v>0.32637650623873837</v>
      </c>
      <c r="U95">
        <f t="shared" si="103"/>
        <v>344.35479965765154</v>
      </c>
      <c r="V95">
        <f t="shared" si="104"/>
        <v>28.404795882158243</v>
      </c>
      <c r="W95">
        <f t="shared" si="105"/>
        <v>27.307500000000001</v>
      </c>
      <c r="X95">
        <f t="shared" si="106"/>
        <v>3.644311962573259</v>
      </c>
      <c r="Y95">
        <f t="shared" si="107"/>
        <v>65.053703788758042</v>
      </c>
      <c r="Z95">
        <f t="shared" si="108"/>
        <v>2.4690867572742801</v>
      </c>
      <c r="AA95">
        <f t="shared" si="109"/>
        <v>3.7954591567789628</v>
      </c>
      <c r="AB95">
        <f t="shared" si="110"/>
        <v>1.1752252052989789</v>
      </c>
      <c r="AC95">
        <f t="shared" si="111"/>
        <v>-276.19402572207417</v>
      </c>
      <c r="AD95">
        <f t="shared" si="112"/>
        <v>109.72111858058959</v>
      </c>
      <c r="AE95">
        <f t="shared" si="113"/>
        <v>8.1428306635119529</v>
      </c>
      <c r="AF95">
        <f t="shared" si="114"/>
        <v>186.02472317967892</v>
      </c>
      <c r="AG95">
        <v>0</v>
      </c>
      <c r="AH95">
        <v>0</v>
      </c>
      <c r="AI95">
        <f t="shared" si="115"/>
        <v>1</v>
      </c>
      <c r="AJ95">
        <f t="shared" si="116"/>
        <v>0</v>
      </c>
      <c r="AK95">
        <f t="shared" si="117"/>
        <v>52620.613118644673</v>
      </c>
      <c r="AL95" t="s">
        <v>415</v>
      </c>
      <c r="AM95">
        <v>10297.6</v>
      </c>
      <c r="AN95">
        <v>785.57400000000007</v>
      </c>
      <c r="AO95">
        <v>3597.65</v>
      </c>
      <c r="AP95">
        <f t="shared" si="118"/>
        <v>0.7816424610509638</v>
      </c>
      <c r="AQ95">
        <v>-0.62398835798131469</v>
      </c>
      <c r="AR95" t="s">
        <v>820</v>
      </c>
      <c r="AS95">
        <v>10221.4</v>
      </c>
      <c r="AT95">
        <v>710.6694</v>
      </c>
      <c r="AU95">
        <v>1058.3567242056679</v>
      </c>
      <c r="AV95">
        <f t="shared" si="119"/>
        <v>0.32851619520499464</v>
      </c>
      <c r="AW95">
        <v>0.5</v>
      </c>
      <c r="AX95">
        <f t="shared" si="120"/>
        <v>1513.1177998288258</v>
      </c>
      <c r="AY95">
        <f t="shared" si="121"/>
        <v>51.969596754829162</v>
      </c>
      <c r="AZ95">
        <f t="shared" si="122"/>
        <v>248.54185124835928</v>
      </c>
      <c r="BA95">
        <f t="shared" si="123"/>
        <v>3.475842073813435E-2</v>
      </c>
      <c r="BB95">
        <f t="shared" si="124"/>
        <v>2.3992792011598514</v>
      </c>
      <c r="BC95">
        <f t="shared" si="125"/>
        <v>515.50209220751572</v>
      </c>
      <c r="BD95" t="s">
        <v>821</v>
      </c>
      <c r="BE95">
        <v>552.03</v>
      </c>
      <c r="BF95">
        <f t="shared" si="126"/>
        <v>552.03</v>
      </c>
      <c r="BG95">
        <f t="shared" si="127"/>
        <v>0.4784083784091635</v>
      </c>
      <c r="BH95">
        <f t="shared" si="128"/>
        <v>0.6866857062524685</v>
      </c>
      <c r="BI95">
        <f t="shared" si="129"/>
        <v>0.8337524956476291</v>
      </c>
      <c r="BJ95">
        <f t="shared" si="130"/>
        <v>1.2745943688997139</v>
      </c>
      <c r="BK95">
        <f t="shared" si="131"/>
        <v>0.90299596305161456</v>
      </c>
      <c r="BL95">
        <f t="shared" si="132"/>
        <v>0.53340007382131582</v>
      </c>
      <c r="BM95">
        <f t="shared" si="133"/>
        <v>0.46659992617868418</v>
      </c>
      <c r="BN95">
        <v>157</v>
      </c>
      <c r="BO95">
        <v>290.00000000000011</v>
      </c>
      <c r="BP95">
        <v>966.46</v>
      </c>
      <c r="BQ95">
        <v>185</v>
      </c>
      <c r="BR95">
        <v>10221.4</v>
      </c>
      <c r="BS95">
        <v>967.05</v>
      </c>
      <c r="BT95">
        <v>-0.59</v>
      </c>
      <c r="BU95">
        <v>300.00000000000011</v>
      </c>
      <c r="BV95">
        <v>24.1</v>
      </c>
      <c r="BW95">
        <v>1058.3567242056679</v>
      </c>
      <c r="BX95">
        <v>1.9780140037180221</v>
      </c>
      <c r="BY95">
        <v>-93.330368763342463</v>
      </c>
      <c r="BZ95">
        <v>1.7989144186694841</v>
      </c>
      <c r="CA95">
        <v>0.98970470704560654</v>
      </c>
      <c r="CB95">
        <v>-6.9611010011123584E-3</v>
      </c>
      <c r="CC95">
        <v>289.99999999999989</v>
      </c>
      <c r="CD95">
        <v>964.02</v>
      </c>
      <c r="CE95">
        <v>685</v>
      </c>
      <c r="CF95">
        <v>10190.4</v>
      </c>
      <c r="CG95">
        <v>966.77</v>
      </c>
      <c r="CH95">
        <v>-2.75</v>
      </c>
      <c r="CV95">
        <f t="shared" si="134"/>
        <v>1799.92</v>
      </c>
      <c r="CW95">
        <f t="shared" si="135"/>
        <v>1513.1177998288258</v>
      </c>
      <c r="CX95">
        <f t="shared" si="136"/>
        <v>0.840658362498792</v>
      </c>
      <c r="CY95">
        <f t="shared" si="137"/>
        <v>0.19131672499758406</v>
      </c>
      <c r="CZ95">
        <v>6</v>
      </c>
      <c r="DA95">
        <v>0.5</v>
      </c>
      <c r="DB95" t="s">
        <v>418</v>
      </c>
      <c r="DC95">
        <v>2</v>
      </c>
      <c r="DD95">
        <v>1674594010.5999999</v>
      </c>
      <c r="DE95">
        <v>335.12200000000001</v>
      </c>
      <c r="DF95">
        <v>399.99400000000003</v>
      </c>
      <c r="DG95">
        <v>24.767600000000002</v>
      </c>
      <c r="DH95">
        <v>17.439399999999999</v>
      </c>
      <c r="DI95">
        <v>335.86099999999999</v>
      </c>
      <c r="DJ95">
        <v>24.534700000000001</v>
      </c>
      <c r="DK95">
        <v>500.07799999999997</v>
      </c>
      <c r="DL95">
        <v>99.590599999999995</v>
      </c>
      <c r="DM95">
        <v>9.9590300000000007E-2</v>
      </c>
      <c r="DN95">
        <v>28.002800000000001</v>
      </c>
      <c r="DO95">
        <v>27.307500000000001</v>
      </c>
      <c r="DP95">
        <v>999.9</v>
      </c>
      <c r="DQ95">
        <v>0</v>
      </c>
      <c r="DR95">
        <v>0</v>
      </c>
      <c r="DS95">
        <v>10026.9</v>
      </c>
      <c r="DT95">
        <v>0</v>
      </c>
      <c r="DU95">
        <v>329.84300000000002</v>
      </c>
      <c r="DV95">
        <v>-64.871700000000004</v>
      </c>
      <c r="DW95">
        <v>343.63299999999998</v>
      </c>
      <c r="DX95">
        <v>407.09399999999999</v>
      </c>
      <c r="DY95">
        <v>7.3282100000000003</v>
      </c>
      <c r="DZ95">
        <v>399.99400000000003</v>
      </c>
      <c r="EA95">
        <v>17.439399999999999</v>
      </c>
      <c r="EB95">
        <v>2.4666199999999998</v>
      </c>
      <c r="EC95">
        <v>1.7367999999999999</v>
      </c>
      <c r="ED95">
        <v>20.8079</v>
      </c>
      <c r="EE95">
        <v>15.2293</v>
      </c>
      <c r="EF95">
        <v>1799.92</v>
      </c>
      <c r="EG95">
        <v>0.97799199999999997</v>
      </c>
      <c r="EH95">
        <v>2.2008199999999999E-2</v>
      </c>
      <c r="EI95">
        <v>0</v>
      </c>
      <c r="EJ95">
        <v>711.25</v>
      </c>
      <c r="EK95">
        <v>5.0002599999999999</v>
      </c>
      <c r="EL95">
        <v>13186.2</v>
      </c>
      <c r="EM95">
        <v>17102.599999999999</v>
      </c>
      <c r="EN95">
        <v>50.375</v>
      </c>
      <c r="EO95">
        <v>51.5</v>
      </c>
      <c r="EP95">
        <v>51.311999999999998</v>
      </c>
      <c r="EQ95">
        <v>50.875</v>
      </c>
      <c r="ER95">
        <v>51.5</v>
      </c>
      <c r="ES95">
        <v>1755.42</v>
      </c>
      <c r="ET95">
        <v>39.5</v>
      </c>
      <c r="EU95">
        <v>0</v>
      </c>
      <c r="EV95">
        <v>187.80000019073489</v>
      </c>
      <c r="EW95">
        <v>0</v>
      </c>
      <c r="EX95">
        <v>710.6694</v>
      </c>
      <c r="EY95">
        <v>2.8616923389656792</v>
      </c>
      <c r="EZ95">
        <v>49.584615358988508</v>
      </c>
      <c r="FA95">
        <v>13179.772000000001</v>
      </c>
      <c r="FB95">
        <v>15</v>
      </c>
      <c r="FC95">
        <v>1674593898.0999999</v>
      </c>
      <c r="FD95" t="s">
        <v>822</v>
      </c>
      <c r="FE95">
        <v>1674593890.0999999</v>
      </c>
      <c r="FF95">
        <v>1674593898.0999999</v>
      </c>
      <c r="FG95">
        <v>88</v>
      </c>
      <c r="FH95">
        <v>-1.7000000000000001E-2</v>
      </c>
      <c r="FI95">
        <v>5.0000000000000001E-3</v>
      </c>
      <c r="FJ95">
        <v>-0.748</v>
      </c>
      <c r="FK95">
        <v>5.8000000000000003E-2</v>
      </c>
      <c r="FL95">
        <v>400</v>
      </c>
      <c r="FM95">
        <v>17</v>
      </c>
      <c r="FN95">
        <v>0.03</v>
      </c>
      <c r="FO95">
        <v>0.01</v>
      </c>
      <c r="FP95">
        <v>51.763564238864873</v>
      </c>
      <c r="FQ95">
        <v>1.3230680411965789</v>
      </c>
      <c r="FR95">
        <v>0.1329076559486996</v>
      </c>
      <c r="FS95">
        <v>0</v>
      </c>
      <c r="FT95">
        <v>0.57022834183367466</v>
      </c>
      <c r="FU95">
        <v>-3.2219829249965849E-3</v>
      </c>
      <c r="FV95">
        <v>7.2055472108112665E-4</v>
      </c>
      <c r="FW95">
        <v>1</v>
      </c>
      <c r="FX95">
        <v>1</v>
      </c>
      <c r="FY95">
        <v>2</v>
      </c>
      <c r="FZ95" t="s">
        <v>459</v>
      </c>
      <c r="GA95">
        <v>2.9282699999999999</v>
      </c>
      <c r="GB95">
        <v>2.8067700000000002</v>
      </c>
      <c r="GC95">
        <v>8.5243899999999997E-2</v>
      </c>
      <c r="GD95">
        <v>9.9088099999999998E-2</v>
      </c>
      <c r="GE95">
        <v>0.114452</v>
      </c>
      <c r="GF95">
        <v>9.0832800000000005E-2</v>
      </c>
      <c r="GG95">
        <v>27172.5</v>
      </c>
      <c r="GH95">
        <v>27164.2</v>
      </c>
      <c r="GI95">
        <v>28216.1</v>
      </c>
      <c r="GJ95">
        <v>27171.5</v>
      </c>
      <c r="GK95">
        <v>35869</v>
      </c>
      <c r="GL95">
        <v>32621.200000000001</v>
      </c>
      <c r="GM95">
        <v>42015.5</v>
      </c>
      <c r="GN95">
        <v>36867</v>
      </c>
      <c r="GO95">
        <v>1.92655</v>
      </c>
      <c r="GP95">
        <v>1.88293</v>
      </c>
      <c r="GQ95">
        <v>5.2165200000000002E-2</v>
      </c>
      <c r="GR95">
        <v>0</v>
      </c>
      <c r="GS95">
        <v>26.4543</v>
      </c>
      <c r="GT95">
        <v>999.9</v>
      </c>
      <c r="GU95">
        <v>49.6</v>
      </c>
      <c r="GV95">
        <v>35</v>
      </c>
      <c r="GW95">
        <v>28.1282</v>
      </c>
      <c r="GX95">
        <v>60.5364</v>
      </c>
      <c r="GY95">
        <v>26.298100000000002</v>
      </c>
      <c r="GZ95">
        <v>1</v>
      </c>
      <c r="HA95">
        <v>0.42199399999999998</v>
      </c>
      <c r="HB95">
        <v>3.2176200000000001</v>
      </c>
      <c r="HC95">
        <v>20.316800000000001</v>
      </c>
      <c r="HD95">
        <v>5.23691</v>
      </c>
      <c r="HE95">
        <v>11.9381</v>
      </c>
      <c r="HF95">
        <v>4.9737</v>
      </c>
      <c r="HG95">
        <v>3.2989999999999999</v>
      </c>
      <c r="HH95">
        <v>9999</v>
      </c>
      <c r="HI95">
        <v>9999</v>
      </c>
      <c r="HJ95">
        <v>9999</v>
      </c>
      <c r="HK95">
        <v>999.9</v>
      </c>
      <c r="HL95">
        <v>1.8733299999999999</v>
      </c>
      <c r="HM95">
        <v>1.8810800000000001</v>
      </c>
      <c r="HN95">
        <v>1.8846099999999999</v>
      </c>
      <c r="HO95">
        <v>1.88131</v>
      </c>
      <c r="HP95">
        <v>1.87866</v>
      </c>
      <c r="HQ95">
        <v>1.8733200000000001</v>
      </c>
      <c r="HR95">
        <v>1.87622</v>
      </c>
      <c r="HS95">
        <v>1.8804799999999999</v>
      </c>
      <c r="HT95">
        <v>5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423</v>
      </c>
      <c r="IB95" t="s">
        <v>423</v>
      </c>
      <c r="IC95" t="s">
        <v>423</v>
      </c>
      <c r="ID95">
        <v>0</v>
      </c>
      <c r="IE95">
        <v>100</v>
      </c>
      <c r="IF95">
        <v>100</v>
      </c>
      <c r="IG95">
        <v>-0.73899999999999999</v>
      </c>
      <c r="IH95">
        <v>0.2329</v>
      </c>
      <c r="II95">
        <v>-0.87059967127225713</v>
      </c>
      <c r="IJ95">
        <v>9.4905977090923709E-4</v>
      </c>
      <c r="IK95">
        <v>-1.9106666302146479E-6</v>
      </c>
      <c r="IL95">
        <v>7.5819610513223293E-10</v>
      </c>
      <c r="IM95">
        <v>-6.1792424689628853E-2</v>
      </c>
      <c r="IN95">
        <v>-1.0595840490420019E-2</v>
      </c>
      <c r="IO95">
        <v>1.2407080968752471E-3</v>
      </c>
      <c r="IP95">
        <v>-1.3015442653884381E-5</v>
      </c>
      <c r="IQ95">
        <v>33</v>
      </c>
      <c r="IR95">
        <v>2014</v>
      </c>
      <c r="IS95">
        <v>1</v>
      </c>
      <c r="IT95">
        <v>26</v>
      </c>
      <c r="IU95">
        <v>2</v>
      </c>
      <c r="IV95">
        <v>1.9</v>
      </c>
      <c r="IW95">
        <v>1.01074</v>
      </c>
      <c r="IX95">
        <v>2.5317400000000001</v>
      </c>
      <c r="IY95">
        <v>1.5991200000000001</v>
      </c>
      <c r="IZ95">
        <v>2.2997999999999998</v>
      </c>
      <c r="JA95">
        <v>1.5502899999999999</v>
      </c>
      <c r="JB95">
        <v>2.3779300000000001</v>
      </c>
      <c r="JC95">
        <v>38.427900000000001</v>
      </c>
      <c r="JD95">
        <v>24.07</v>
      </c>
      <c r="JE95">
        <v>18</v>
      </c>
      <c r="JF95">
        <v>488.25400000000002</v>
      </c>
      <c r="JG95">
        <v>494.13499999999999</v>
      </c>
      <c r="JH95">
        <v>22.6554</v>
      </c>
      <c r="JI95">
        <v>32.494399999999999</v>
      </c>
      <c r="JJ95">
        <v>30.0002</v>
      </c>
      <c r="JK95">
        <v>32.578299999999999</v>
      </c>
      <c r="JL95">
        <v>32.543599999999998</v>
      </c>
      <c r="JM95">
        <v>20.277899999999999</v>
      </c>
      <c r="JN95">
        <v>44.531500000000001</v>
      </c>
      <c r="JO95">
        <v>0</v>
      </c>
      <c r="JP95">
        <v>22.609300000000001</v>
      </c>
      <c r="JQ95">
        <v>400</v>
      </c>
      <c r="JR95">
        <v>17.441099999999999</v>
      </c>
      <c r="JS95">
        <v>99.613600000000005</v>
      </c>
      <c r="JT95">
        <v>98.711500000000001</v>
      </c>
    </row>
    <row r="96" spans="1:280" x14ac:dyDescent="0.25">
      <c r="A96">
        <v>80</v>
      </c>
      <c r="B96">
        <v>1674594144.0999999</v>
      </c>
      <c r="C96">
        <v>18719.099999904629</v>
      </c>
      <c r="D96" t="s">
        <v>823</v>
      </c>
      <c r="E96" t="s">
        <v>824</v>
      </c>
      <c r="F96" t="s">
        <v>412</v>
      </c>
      <c r="G96" t="s">
        <v>779</v>
      </c>
      <c r="H96" t="s">
        <v>493</v>
      </c>
      <c r="I96">
        <v>1674594144.0999999</v>
      </c>
      <c r="J96">
        <f t="shared" si="92"/>
        <v>6.2005835852600305E-3</v>
      </c>
      <c r="K96">
        <f t="shared" si="93"/>
        <v>6.2005835852600306</v>
      </c>
      <c r="L96">
        <f t="shared" si="94"/>
        <v>55.482513822095434</v>
      </c>
      <c r="M96">
        <f t="shared" si="95"/>
        <v>430.30200000000002</v>
      </c>
      <c r="N96">
        <f t="shared" si="96"/>
        <v>252.77452071664291</v>
      </c>
      <c r="O96">
        <f t="shared" si="97"/>
        <v>25.200128851326113</v>
      </c>
      <c r="P96">
        <f t="shared" si="98"/>
        <v>42.898571478804008</v>
      </c>
      <c r="Q96">
        <f t="shared" si="99"/>
        <v>0.56673287231730052</v>
      </c>
      <c r="R96">
        <f t="shared" si="100"/>
        <v>2.9200041370490779</v>
      </c>
      <c r="S96">
        <f t="shared" si="101"/>
        <v>0.51196792652136869</v>
      </c>
      <c r="T96">
        <f t="shared" si="102"/>
        <v>0.32445822238637184</v>
      </c>
      <c r="U96">
        <f t="shared" si="103"/>
        <v>344.34909965764581</v>
      </c>
      <c r="V96">
        <f t="shared" si="104"/>
        <v>28.415114095383352</v>
      </c>
      <c r="W96">
        <f t="shared" si="105"/>
        <v>27.338100000000001</v>
      </c>
      <c r="X96">
        <f t="shared" si="106"/>
        <v>3.6508516798801542</v>
      </c>
      <c r="Y96">
        <f t="shared" si="107"/>
        <v>65.381872635852844</v>
      </c>
      <c r="Z96">
        <f t="shared" si="108"/>
        <v>2.4805587377334</v>
      </c>
      <c r="AA96">
        <f t="shared" si="109"/>
        <v>3.7939548650571373</v>
      </c>
      <c r="AB96">
        <f t="shared" si="110"/>
        <v>1.1702929421467543</v>
      </c>
      <c r="AC96">
        <f t="shared" si="111"/>
        <v>-273.44573610996736</v>
      </c>
      <c r="AD96">
        <f t="shared" si="112"/>
        <v>103.56876475177216</v>
      </c>
      <c r="AE96">
        <f t="shared" si="113"/>
        <v>7.7057438258620383</v>
      </c>
      <c r="AF96">
        <f t="shared" si="114"/>
        <v>182.17787212531266</v>
      </c>
      <c r="AG96">
        <v>0</v>
      </c>
      <c r="AH96">
        <v>0</v>
      </c>
      <c r="AI96">
        <f t="shared" si="115"/>
        <v>1</v>
      </c>
      <c r="AJ96">
        <f t="shared" si="116"/>
        <v>0</v>
      </c>
      <c r="AK96">
        <f t="shared" si="117"/>
        <v>52418.888532412013</v>
      </c>
      <c r="AL96" t="s">
        <v>415</v>
      </c>
      <c r="AM96">
        <v>10297.6</v>
      </c>
      <c r="AN96">
        <v>785.57400000000007</v>
      </c>
      <c r="AO96">
        <v>3597.65</v>
      </c>
      <c r="AP96">
        <f t="shared" si="118"/>
        <v>0.7816424610509638</v>
      </c>
      <c r="AQ96">
        <v>-0.62398835798131469</v>
      </c>
      <c r="AR96" t="s">
        <v>825</v>
      </c>
      <c r="AS96">
        <v>10213</v>
      </c>
      <c r="AT96">
        <v>719.16219230769218</v>
      </c>
      <c r="AU96">
        <v>1102.4406240400911</v>
      </c>
      <c r="AV96">
        <f t="shared" si="119"/>
        <v>0.34766355971880503</v>
      </c>
      <c r="AW96">
        <v>0.5</v>
      </c>
      <c r="AX96">
        <f t="shared" si="120"/>
        <v>1513.0925998288228</v>
      </c>
      <c r="AY96">
        <f t="shared" si="121"/>
        <v>55.482513822095434</v>
      </c>
      <c r="AZ96">
        <f t="shared" si="122"/>
        <v>263.02357972033496</v>
      </c>
      <c r="BA96">
        <f t="shared" si="123"/>
        <v>3.7080679785509572E-2</v>
      </c>
      <c r="BB96">
        <f t="shared" si="124"/>
        <v>2.2633503533421764</v>
      </c>
      <c r="BC96">
        <f t="shared" si="125"/>
        <v>525.74199481750009</v>
      </c>
      <c r="BD96" t="s">
        <v>826</v>
      </c>
      <c r="BE96">
        <v>551.19000000000005</v>
      </c>
      <c r="BF96">
        <f t="shared" si="126"/>
        <v>551.19000000000005</v>
      </c>
      <c r="BG96">
        <f t="shared" si="127"/>
        <v>0.50002749537651692</v>
      </c>
      <c r="BH96">
        <f t="shared" si="128"/>
        <v>0.69528888497824914</v>
      </c>
      <c r="BI96">
        <f t="shared" si="129"/>
        <v>0.81905207222806442</v>
      </c>
      <c r="BJ96">
        <f t="shared" si="130"/>
        <v>1.2095891540912345</v>
      </c>
      <c r="BK96">
        <f t="shared" si="131"/>
        <v>0.88731932421453374</v>
      </c>
      <c r="BL96">
        <f t="shared" si="132"/>
        <v>0.53289269737805445</v>
      </c>
      <c r="BM96">
        <f t="shared" si="133"/>
        <v>0.46710730262194555</v>
      </c>
      <c r="BN96">
        <v>159</v>
      </c>
      <c r="BO96">
        <v>290.00000000000011</v>
      </c>
      <c r="BP96">
        <v>997.12</v>
      </c>
      <c r="BQ96">
        <v>245</v>
      </c>
      <c r="BR96">
        <v>10213</v>
      </c>
      <c r="BS96">
        <v>998.28</v>
      </c>
      <c r="BT96">
        <v>-1.1599999999999999</v>
      </c>
      <c r="BU96">
        <v>300.00000000000011</v>
      </c>
      <c r="BV96">
        <v>24.1</v>
      </c>
      <c r="BW96">
        <v>1102.4406240400911</v>
      </c>
      <c r="BX96">
        <v>2.387012805170059</v>
      </c>
      <c r="BY96">
        <v>-106.37871228084011</v>
      </c>
      <c r="BZ96">
        <v>2.170893227939878</v>
      </c>
      <c r="CA96">
        <v>0.98847368160792237</v>
      </c>
      <c r="CB96">
        <v>-6.9612614015572847E-3</v>
      </c>
      <c r="CC96">
        <v>289.99999999999989</v>
      </c>
      <c r="CD96">
        <v>994.04</v>
      </c>
      <c r="CE96">
        <v>675</v>
      </c>
      <c r="CF96">
        <v>10191.1</v>
      </c>
      <c r="CG96">
        <v>998.06</v>
      </c>
      <c r="CH96">
        <v>-4.0199999999999996</v>
      </c>
      <c r="CV96">
        <f t="shared" si="134"/>
        <v>1799.89</v>
      </c>
      <c r="CW96">
        <f t="shared" si="135"/>
        <v>1513.0925998288228</v>
      </c>
      <c r="CX96">
        <f t="shared" si="136"/>
        <v>0.84065837347216932</v>
      </c>
      <c r="CY96">
        <f t="shared" si="137"/>
        <v>0.1913167469443387</v>
      </c>
      <c r="CZ96">
        <v>6</v>
      </c>
      <c r="DA96">
        <v>0.5</v>
      </c>
      <c r="DB96" t="s">
        <v>418</v>
      </c>
      <c r="DC96">
        <v>2</v>
      </c>
      <c r="DD96">
        <v>1674594144.0999999</v>
      </c>
      <c r="DE96">
        <v>430.30200000000002</v>
      </c>
      <c r="DF96">
        <v>500.06099999999998</v>
      </c>
      <c r="DG96">
        <v>24.881699999999999</v>
      </c>
      <c r="DH96">
        <v>17.628399999999999</v>
      </c>
      <c r="DI96">
        <v>431.15199999999999</v>
      </c>
      <c r="DJ96">
        <v>24.644500000000001</v>
      </c>
      <c r="DK96">
        <v>500.15600000000001</v>
      </c>
      <c r="DL96">
        <v>99.593800000000002</v>
      </c>
      <c r="DM96">
        <v>0.100302</v>
      </c>
      <c r="DN96">
        <v>27.995999999999999</v>
      </c>
      <c r="DO96">
        <v>27.338100000000001</v>
      </c>
      <c r="DP96">
        <v>999.9</v>
      </c>
      <c r="DQ96">
        <v>0</v>
      </c>
      <c r="DR96">
        <v>0</v>
      </c>
      <c r="DS96">
        <v>9986.25</v>
      </c>
      <c r="DT96">
        <v>0</v>
      </c>
      <c r="DU96">
        <v>343.73</v>
      </c>
      <c r="DV96">
        <v>-69.758899999999997</v>
      </c>
      <c r="DW96">
        <v>441.28199999999998</v>
      </c>
      <c r="DX96">
        <v>509.03399999999999</v>
      </c>
      <c r="DY96">
        <v>7.2532699999999997</v>
      </c>
      <c r="DZ96">
        <v>500.06099999999998</v>
      </c>
      <c r="EA96">
        <v>17.628399999999999</v>
      </c>
      <c r="EB96">
        <v>2.4780600000000002</v>
      </c>
      <c r="EC96">
        <v>1.7556799999999999</v>
      </c>
      <c r="ED96">
        <v>20.883099999999999</v>
      </c>
      <c r="EE96">
        <v>15.3977</v>
      </c>
      <c r="EF96">
        <v>1799.89</v>
      </c>
      <c r="EG96">
        <v>0.97799199999999997</v>
      </c>
      <c r="EH96">
        <v>2.2008199999999999E-2</v>
      </c>
      <c r="EI96">
        <v>0</v>
      </c>
      <c r="EJ96">
        <v>719.65200000000004</v>
      </c>
      <c r="EK96">
        <v>5.0002599999999999</v>
      </c>
      <c r="EL96">
        <v>13351.9</v>
      </c>
      <c r="EM96">
        <v>17102.3</v>
      </c>
      <c r="EN96">
        <v>50.375</v>
      </c>
      <c r="EO96">
        <v>51.436999999999998</v>
      </c>
      <c r="EP96">
        <v>51.25</v>
      </c>
      <c r="EQ96">
        <v>50.811999999999998</v>
      </c>
      <c r="ER96">
        <v>51.436999999999998</v>
      </c>
      <c r="ES96">
        <v>1755.39</v>
      </c>
      <c r="ET96">
        <v>39.5</v>
      </c>
      <c r="EU96">
        <v>0</v>
      </c>
      <c r="EV96">
        <v>131.39999985694891</v>
      </c>
      <c r="EW96">
        <v>0</v>
      </c>
      <c r="EX96">
        <v>719.16219230769218</v>
      </c>
      <c r="EY96">
        <v>1.425264955070624</v>
      </c>
      <c r="EZ96">
        <v>53.046153861891973</v>
      </c>
      <c r="FA96">
        <v>13347.6</v>
      </c>
      <c r="FB96">
        <v>15</v>
      </c>
      <c r="FC96">
        <v>1674594106.5999999</v>
      </c>
      <c r="FD96" t="s">
        <v>827</v>
      </c>
      <c r="FE96">
        <v>1674594106.5999999</v>
      </c>
      <c r="FF96">
        <v>1674594100.5999999</v>
      </c>
      <c r="FG96">
        <v>89</v>
      </c>
      <c r="FH96">
        <v>-9.4E-2</v>
      </c>
      <c r="FI96">
        <v>1E-3</v>
      </c>
      <c r="FJ96">
        <v>-0.873</v>
      </c>
      <c r="FK96">
        <v>6.0999999999999999E-2</v>
      </c>
      <c r="FL96">
        <v>500</v>
      </c>
      <c r="FM96">
        <v>17</v>
      </c>
      <c r="FN96">
        <v>0.03</v>
      </c>
      <c r="FO96">
        <v>0.02</v>
      </c>
      <c r="FP96">
        <v>55.433890932504752</v>
      </c>
      <c r="FQ96">
        <v>-0.22868241377720699</v>
      </c>
      <c r="FR96">
        <v>5.9500740342175777E-2</v>
      </c>
      <c r="FS96">
        <v>1</v>
      </c>
      <c r="FT96">
        <v>0.56751980887051434</v>
      </c>
      <c r="FU96">
        <v>3.7088132900137898E-2</v>
      </c>
      <c r="FV96">
        <v>6.0935779147690723E-3</v>
      </c>
      <c r="FW96">
        <v>1</v>
      </c>
      <c r="FX96">
        <v>2</v>
      </c>
      <c r="FY96">
        <v>2</v>
      </c>
      <c r="FZ96" t="s">
        <v>420</v>
      </c>
      <c r="GA96">
        <v>2.9285399999999999</v>
      </c>
      <c r="GB96">
        <v>2.8071000000000002</v>
      </c>
      <c r="GC96">
        <v>0.10367800000000001</v>
      </c>
      <c r="GD96">
        <v>0.117241</v>
      </c>
      <c r="GE96">
        <v>0.11482000000000001</v>
      </c>
      <c r="GF96">
        <v>9.1545799999999997E-2</v>
      </c>
      <c r="GG96">
        <v>26626</v>
      </c>
      <c r="GH96">
        <v>26618.799999999999</v>
      </c>
      <c r="GI96">
        <v>28217.599999999999</v>
      </c>
      <c r="GJ96">
        <v>27173.9</v>
      </c>
      <c r="GK96">
        <v>35855.9</v>
      </c>
      <c r="GL96">
        <v>32598.5</v>
      </c>
      <c r="GM96">
        <v>42017.5</v>
      </c>
      <c r="GN96">
        <v>36870.1</v>
      </c>
      <c r="GO96">
        <v>1.92655</v>
      </c>
      <c r="GP96">
        <v>1.8841000000000001</v>
      </c>
      <c r="GQ96">
        <v>5.5778800000000003E-2</v>
      </c>
      <c r="GR96">
        <v>0</v>
      </c>
      <c r="GS96">
        <v>26.425799999999999</v>
      </c>
      <c r="GT96">
        <v>999.9</v>
      </c>
      <c r="GU96">
        <v>49.6</v>
      </c>
      <c r="GV96">
        <v>35</v>
      </c>
      <c r="GW96">
        <v>28.130800000000001</v>
      </c>
      <c r="GX96">
        <v>61.3264</v>
      </c>
      <c r="GY96">
        <v>26.618600000000001</v>
      </c>
      <c r="GZ96">
        <v>1</v>
      </c>
      <c r="HA96">
        <v>0.41875800000000002</v>
      </c>
      <c r="HB96">
        <v>3.0756999999999999</v>
      </c>
      <c r="HC96">
        <v>20.319299999999998</v>
      </c>
      <c r="HD96">
        <v>5.2396000000000003</v>
      </c>
      <c r="HE96">
        <v>11.9381</v>
      </c>
      <c r="HF96">
        <v>4.9736500000000001</v>
      </c>
      <c r="HG96">
        <v>3.2989999999999999</v>
      </c>
      <c r="HH96">
        <v>9999</v>
      </c>
      <c r="HI96">
        <v>9999</v>
      </c>
      <c r="HJ96">
        <v>9999</v>
      </c>
      <c r="HK96">
        <v>999.9</v>
      </c>
      <c r="HL96">
        <v>1.8733500000000001</v>
      </c>
      <c r="HM96">
        <v>1.8810800000000001</v>
      </c>
      <c r="HN96">
        <v>1.8846099999999999</v>
      </c>
      <c r="HO96">
        <v>1.8812800000000001</v>
      </c>
      <c r="HP96">
        <v>1.8786499999999999</v>
      </c>
      <c r="HQ96">
        <v>1.8733299999999999</v>
      </c>
      <c r="HR96">
        <v>1.87622</v>
      </c>
      <c r="HS96">
        <v>1.8804799999999999</v>
      </c>
      <c r="HT96">
        <v>5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423</v>
      </c>
      <c r="IB96" t="s">
        <v>423</v>
      </c>
      <c r="IC96" t="s">
        <v>423</v>
      </c>
      <c r="ID96">
        <v>0</v>
      </c>
      <c r="IE96">
        <v>100</v>
      </c>
      <c r="IF96">
        <v>100</v>
      </c>
      <c r="IG96">
        <v>-0.85</v>
      </c>
      <c r="IH96">
        <v>0.23719999999999999</v>
      </c>
      <c r="II96">
        <v>-0.96469470745950869</v>
      </c>
      <c r="IJ96">
        <v>9.4905977090923709E-4</v>
      </c>
      <c r="IK96">
        <v>-1.9106666302146479E-6</v>
      </c>
      <c r="IL96">
        <v>7.5819610513223293E-10</v>
      </c>
      <c r="IM96">
        <v>-6.0459254896970523E-2</v>
      </c>
      <c r="IN96">
        <v>-1.0595840490420019E-2</v>
      </c>
      <c r="IO96">
        <v>1.2407080968752471E-3</v>
      </c>
      <c r="IP96">
        <v>-1.3015442653884381E-5</v>
      </c>
      <c r="IQ96">
        <v>33</v>
      </c>
      <c r="IR96">
        <v>2014</v>
      </c>
      <c r="IS96">
        <v>1</v>
      </c>
      <c r="IT96">
        <v>26</v>
      </c>
      <c r="IU96">
        <v>0.6</v>
      </c>
      <c r="IV96">
        <v>0.7</v>
      </c>
      <c r="IW96">
        <v>1.2097199999999999</v>
      </c>
      <c r="IX96">
        <v>2.5305200000000001</v>
      </c>
      <c r="IY96">
        <v>1.5991200000000001</v>
      </c>
      <c r="IZ96">
        <v>2.2997999999999998</v>
      </c>
      <c r="JA96">
        <v>1.5502899999999999</v>
      </c>
      <c r="JB96">
        <v>2.2814899999999998</v>
      </c>
      <c r="JC96">
        <v>38.427900000000001</v>
      </c>
      <c r="JD96">
        <v>24.061199999999999</v>
      </c>
      <c r="JE96">
        <v>18</v>
      </c>
      <c r="JF96">
        <v>488.04899999999998</v>
      </c>
      <c r="JG96">
        <v>494.75</v>
      </c>
      <c r="JH96">
        <v>22.702400000000001</v>
      </c>
      <c r="JI96">
        <v>32.457000000000001</v>
      </c>
      <c r="JJ96">
        <v>30.0001</v>
      </c>
      <c r="JK96">
        <v>32.552300000000002</v>
      </c>
      <c r="JL96">
        <v>32.5182</v>
      </c>
      <c r="JM96">
        <v>24.265899999999998</v>
      </c>
      <c r="JN96">
        <v>43.957500000000003</v>
      </c>
      <c r="JO96">
        <v>0</v>
      </c>
      <c r="JP96">
        <v>22.698499999999999</v>
      </c>
      <c r="JQ96">
        <v>500</v>
      </c>
      <c r="JR96">
        <v>17.606000000000002</v>
      </c>
      <c r="JS96">
        <v>99.618700000000004</v>
      </c>
      <c r="JT96">
        <v>98.72</v>
      </c>
    </row>
    <row r="97" spans="1:280" x14ac:dyDescent="0.25">
      <c r="A97">
        <v>81</v>
      </c>
      <c r="B97">
        <v>1674594262.0999999</v>
      </c>
      <c r="C97">
        <v>18837.099999904629</v>
      </c>
      <c r="D97" t="s">
        <v>828</v>
      </c>
      <c r="E97" t="s">
        <v>829</v>
      </c>
      <c r="F97" t="s">
        <v>412</v>
      </c>
      <c r="G97" t="s">
        <v>779</v>
      </c>
      <c r="H97" t="s">
        <v>493</v>
      </c>
      <c r="I97">
        <v>1674594262.0999999</v>
      </c>
      <c r="J97">
        <f t="shared" si="92"/>
        <v>5.9956295662219874E-3</v>
      </c>
      <c r="K97">
        <f t="shared" si="93"/>
        <v>5.9956295662219876</v>
      </c>
      <c r="L97">
        <f t="shared" si="94"/>
        <v>56.434080021140424</v>
      </c>
      <c r="M97">
        <f t="shared" si="95"/>
        <v>528.49699999999996</v>
      </c>
      <c r="N97">
        <f t="shared" si="96"/>
        <v>338.31845072145785</v>
      </c>
      <c r="O97">
        <f t="shared" si="97"/>
        <v>33.727208588432845</v>
      </c>
      <c r="P97">
        <f t="shared" si="98"/>
        <v>52.686244333851995</v>
      </c>
      <c r="Q97">
        <f t="shared" si="99"/>
        <v>0.54029715127439926</v>
      </c>
      <c r="R97">
        <f t="shared" si="100"/>
        <v>2.9052080647795231</v>
      </c>
      <c r="S97">
        <f t="shared" si="101"/>
        <v>0.49005172906964939</v>
      </c>
      <c r="T97">
        <f t="shared" si="102"/>
        <v>0.31040636505792774</v>
      </c>
      <c r="U97">
        <f t="shared" si="103"/>
        <v>344.34339965764008</v>
      </c>
      <c r="V97">
        <f t="shared" si="104"/>
        <v>28.499736291438527</v>
      </c>
      <c r="W97">
        <f t="shared" si="105"/>
        <v>27.395199999999999</v>
      </c>
      <c r="X97">
        <f t="shared" si="106"/>
        <v>3.663082270130674</v>
      </c>
      <c r="Y97">
        <f t="shared" si="107"/>
        <v>65.282601367311912</v>
      </c>
      <c r="Z97">
        <f t="shared" si="108"/>
        <v>2.4809829109488</v>
      </c>
      <c r="AA97">
        <f t="shared" si="109"/>
        <v>3.8003738499781496</v>
      </c>
      <c r="AB97">
        <f t="shared" si="110"/>
        <v>1.182099359181874</v>
      </c>
      <c r="AC97">
        <f t="shared" si="111"/>
        <v>-264.40726387038967</v>
      </c>
      <c r="AD97">
        <f t="shared" si="112"/>
        <v>98.642788513250224</v>
      </c>
      <c r="AE97">
        <f t="shared" si="113"/>
        <v>7.379787030495538</v>
      </c>
      <c r="AF97">
        <f t="shared" si="114"/>
        <v>185.95871133099618</v>
      </c>
      <c r="AG97">
        <v>0</v>
      </c>
      <c r="AH97">
        <v>0</v>
      </c>
      <c r="AI97">
        <f t="shared" si="115"/>
        <v>1</v>
      </c>
      <c r="AJ97">
        <f t="shared" si="116"/>
        <v>0</v>
      </c>
      <c r="AK97">
        <f t="shared" si="117"/>
        <v>51989.536886768808</v>
      </c>
      <c r="AL97" t="s">
        <v>415</v>
      </c>
      <c r="AM97">
        <v>10297.6</v>
      </c>
      <c r="AN97">
        <v>785.57400000000007</v>
      </c>
      <c r="AO97">
        <v>3597.65</v>
      </c>
      <c r="AP97">
        <f t="shared" si="118"/>
        <v>0.7816424610509638</v>
      </c>
      <c r="AQ97">
        <v>-0.62398835798131469</v>
      </c>
      <c r="AR97" t="s">
        <v>830</v>
      </c>
      <c r="AS97">
        <v>10229.700000000001</v>
      </c>
      <c r="AT97">
        <v>722.36616000000004</v>
      </c>
      <c r="AU97">
        <v>1113.491931161318</v>
      </c>
      <c r="AV97">
        <f t="shared" si="119"/>
        <v>0.35126053473363994</v>
      </c>
      <c r="AW97">
        <v>0.5</v>
      </c>
      <c r="AX97">
        <f t="shared" si="120"/>
        <v>1513.0673998288198</v>
      </c>
      <c r="AY97">
        <f t="shared" si="121"/>
        <v>56.434080021140424</v>
      </c>
      <c r="AZ97">
        <f t="shared" si="122"/>
        <v>265.74043197595472</v>
      </c>
      <c r="BA97">
        <f t="shared" si="123"/>
        <v>3.7710196112596822E-2</v>
      </c>
      <c r="BB97">
        <f t="shared" si="124"/>
        <v>2.2309618950249832</v>
      </c>
      <c r="BC97">
        <f t="shared" si="125"/>
        <v>528.24220853977556</v>
      </c>
      <c r="BD97" t="s">
        <v>831</v>
      </c>
      <c r="BE97">
        <v>554.29</v>
      </c>
      <c r="BF97">
        <f t="shared" si="126"/>
        <v>554.29</v>
      </c>
      <c r="BG97">
        <f t="shared" si="127"/>
        <v>0.50220564290762093</v>
      </c>
      <c r="BH97">
        <f t="shared" si="128"/>
        <v>0.69943565886664716</v>
      </c>
      <c r="BI97">
        <f t="shared" si="129"/>
        <v>0.81625508281592773</v>
      </c>
      <c r="BJ97">
        <f t="shared" si="130"/>
        <v>1.1927550584871955</v>
      </c>
      <c r="BK97">
        <f t="shared" si="131"/>
        <v>0.88338937811022256</v>
      </c>
      <c r="BL97">
        <f t="shared" si="132"/>
        <v>0.53669484095599629</v>
      </c>
      <c r="BM97">
        <f t="shared" si="133"/>
        <v>0.46330515904400371</v>
      </c>
      <c r="BN97">
        <v>161</v>
      </c>
      <c r="BO97">
        <v>290.00000000000011</v>
      </c>
      <c r="BP97">
        <v>1006.38</v>
      </c>
      <c r="BQ97">
        <v>135</v>
      </c>
      <c r="BR97">
        <v>10229.700000000001</v>
      </c>
      <c r="BS97">
        <v>1007.15</v>
      </c>
      <c r="BT97">
        <v>-0.77</v>
      </c>
      <c r="BU97">
        <v>300.00000000000011</v>
      </c>
      <c r="BV97">
        <v>24.1</v>
      </c>
      <c r="BW97">
        <v>1113.491931161318</v>
      </c>
      <c r="BX97">
        <v>2.0772325145774739</v>
      </c>
      <c r="BY97">
        <v>-108.78371694170271</v>
      </c>
      <c r="BZ97">
        <v>1.8891125424019879</v>
      </c>
      <c r="CA97">
        <v>0.99162674842719856</v>
      </c>
      <c r="CB97">
        <v>-6.9610124582869994E-3</v>
      </c>
      <c r="CC97">
        <v>289.99999999999989</v>
      </c>
      <c r="CD97">
        <v>1003</v>
      </c>
      <c r="CE97">
        <v>655</v>
      </c>
      <c r="CF97">
        <v>10192.200000000001</v>
      </c>
      <c r="CG97">
        <v>1006.76</v>
      </c>
      <c r="CH97">
        <v>-3.76</v>
      </c>
      <c r="CV97">
        <f t="shared" si="134"/>
        <v>1799.86</v>
      </c>
      <c r="CW97">
        <f t="shared" si="135"/>
        <v>1513.0673998288198</v>
      </c>
      <c r="CX97">
        <f t="shared" si="136"/>
        <v>0.84065838444591245</v>
      </c>
      <c r="CY97">
        <f t="shared" si="137"/>
        <v>0.19131676889182497</v>
      </c>
      <c r="CZ97">
        <v>6</v>
      </c>
      <c r="DA97">
        <v>0.5</v>
      </c>
      <c r="DB97" t="s">
        <v>418</v>
      </c>
      <c r="DC97">
        <v>2</v>
      </c>
      <c r="DD97">
        <v>1674594262.0999999</v>
      </c>
      <c r="DE97">
        <v>528.49699999999996</v>
      </c>
      <c r="DF97">
        <v>600.005</v>
      </c>
      <c r="DG97">
        <v>24.886800000000001</v>
      </c>
      <c r="DH97">
        <v>17.872599999999998</v>
      </c>
      <c r="DI97">
        <v>529.30999999999995</v>
      </c>
      <c r="DJ97">
        <v>24.6478</v>
      </c>
      <c r="DK97">
        <v>500.10700000000003</v>
      </c>
      <c r="DL97">
        <v>99.5899</v>
      </c>
      <c r="DM97">
        <v>0.100816</v>
      </c>
      <c r="DN97">
        <v>28.024999999999999</v>
      </c>
      <c r="DO97">
        <v>27.395199999999999</v>
      </c>
      <c r="DP97">
        <v>999.9</v>
      </c>
      <c r="DQ97">
        <v>0</v>
      </c>
      <c r="DR97">
        <v>0</v>
      </c>
      <c r="DS97">
        <v>9902.5</v>
      </c>
      <c r="DT97">
        <v>0</v>
      </c>
      <c r="DU97">
        <v>340.56299999999999</v>
      </c>
      <c r="DV97">
        <v>-71.508399999999995</v>
      </c>
      <c r="DW97">
        <v>541.98500000000001</v>
      </c>
      <c r="DX97">
        <v>610.92399999999998</v>
      </c>
      <c r="DY97">
        <v>7.0142100000000003</v>
      </c>
      <c r="DZ97">
        <v>600.005</v>
      </c>
      <c r="EA97">
        <v>17.872599999999998</v>
      </c>
      <c r="EB97">
        <v>2.4784700000000002</v>
      </c>
      <c r="EC97">
        <v>1.77993</v>
      </c>
      <c r="ED97">
        <v>20.8858</v>
      </c>
      <c r="EE97">
        <v>15.611599999999999</v>
      </c>
      <c r="EF97">
        <v>1799.86</v>
      </c>
      <c r="EG97">
        <v>0.97799199999999997</v>
      </c>
      <c r="EH97">
        <v>2.2008199999999999E-2</v>
      </c>
      <c r="EI97">
        <v>0</v>
      </c>
      <c r="EJ97">
        <v>722.35199999999998</v>
      </c>
      <c r="EK97">
        <v>5.0002599999999999</v>
      </c>
      <c r="EL97">
        <v>13414.5</v>
      </c>
      <c r="EM97">
        <v>17102</v>
      </c>
      <c r="EN97">
        <v>50.436999999999998</v>
      </c>
      <c r="EO97">
        <v>51.436999999999998</v>
      </c>
      <c r="EP97">
        <v>51.311999999999998</v>
      </c>
      <c r="EQ97">
        <v>50.811999999999998</v>
      </c>
      <c r="ER97">
        <v>51.561999999999998</v>
      </c>
      <c r="ES97">
        <v>1755.36</v>
      </c>
      <c r="ET97">
        <v>39.5</v>
      </c>
      <c r="EU97">
        <v>0</v>
      </c>
      <c r="EV97">
        <v>116</v>
      </c>
      <c r="EW97">
        <v>0</v>
      </c>
      <c r="EX97">
        <v>722.36616000000004</v>
      </c>
      <c r="EY97">
        <v>0.50138463004955491</v>
      </c>
      <c r="EZ97">
        <v>19.876923108701352</v>
      </c>
      <c r="FA97">
        <v>13413.212</v>
      </c>
      <c r="FB97">
        <v>15</v>
      </c>
      <c r="FC97">
        <v>1674594223.0999999</v>
      </c>
      <c r="FD97" t="s">
        <v>832</v>
      </c>
      <c r="FE97">
        <v>1674594214.5999999</v>
      </c>
      <c r="FF97">
        <v>1674594223.0999999</v>
      </c>
      <c r="FG97">
        <v>90</v>
      </c>
      <c r="FH97">
        <v>7.1999999999999995E-2</v>
      </c>
      <c r="FI97">
        <v>2E-3</v>
      </c>
      <c r="FJ97">
        <v>-0.84799999999999998</v>
      </c>
      <c r="FK97">
        <v>6.7000000000000004E-2</v>
      </c>
      <c r="FL97">
        <v>600</v>
      </c>
      <c r="FM97">
        <v>18</v>
      </c>
      <c r="FN97">
        <v>0.02</v>
      </c>
      <c r="FO97">
        <v>0.02</v>
      </c>
      <c r="FP97">
        <v>56.43905197436186</v>
      </c>
      <c r="FQ97">
        <v>-0.67018958545286444</v>
      </c>
      <c r="FR97">
        <v>0.1086154509882086</v>
      </c>
      <c r="FS97">
        <v>1</v>
      </c>
      <c r="FT97">
        <v>0.54239123112256316</v>
      </c>
      <c r="FU97">
        <v>2.4974295917222201E-2</v>
      </c>
      <c r="FV97">
        <v>4.449793315614757E-3</v>
      </c>
      <c r="FW97">
        <v>1</v>
      </c>
      <c r="FX97">
        <v>2</v>
      </c>
      <c r="FY97">
        <v>2</v>
      </c>
      <c r="FZ97" t="s">
        <v>420</v>
      </c>
      <c r="GA97">
        <v>2.92842</v>
      </c>
      <c r="GB97">
        <v>2.80688</v>
      </c>
      <c r="GC97">
        <v>0.120752</v>
      </c>
      <c r="GD97">
        <v>0.13367499999999999</v>
      </c>
      <c r="GE97">
        <v>0.11483</v>
      </c>
      <c r="GF97">
        <v>9.2450599999999994E-2</v>
      </c>
      <c r="GG97">
        <v>26118.400000000001</v>
      </c>
      <c r="GH97">
        <v>26123</v>
      </c>
      <c r="GI97">
        <v>28217.7</v>
      </c>
      <c r="GJ97">
        <v>27174.3</v>
      </c>
      <c r="GK97">
        <v>35855.4</v>
      </c>
      <c r="GL97">
        <v>32566.6</v>
      </c>
      <c r="GM97">
        <v>42017.3</v>
      </c>
      <c r="GN97">
        <v>36870.6</v>
      </c>
      <c r="GO97">
        <v>1.92645</v>
      </c>
      <c r="GP97">
        <v>1.88507</v>
      </c>
      <c r="GQ97">
        <v>5.40391E-2</v>
      </c>
      <c r="GR97">
        <v>0</v>
      </c>
      <c r="GS97">
        <v>26.511399999999998</v>
      </c>
      <c r="GT97">
        <v>999.9</v>
      </c>
      <c r="GU97">
        <v>49.6</v>
      </c>
      <c r="GV97">
        <v>35</v>
      </c>
      <c r="GW97">
        <v>28.130299999999998</v>
      </c>
      <c r="GX97">
        <v>61.766399999999997</v>
      </c>
      <c r="GY97">
        <v>26.306100000000001</v>
      </c>
      <c r="GZ97">
        <v>1</v>
      </c>
      <c r="HA97">
        <v>0.41857499999999997</v>
      </c>
      <c r="HB97">
        <v>3.2778200000000002</v>
      </c>
      <c r="HC97">
        <v>20.315799999999999</v>
      </c>
      <c r="HD97">
        <v>5.2398999999999996</v>
      </c>
      <c r="HE97">
        <v>11.9381</v>
      </c>
      <c r="HF97">
        <v>4.9732000000000003</v>
      </c>
      <c r="HG97">
        <v>3.2989999999999999</v>
      </c>
      <c r="HH97">
        <v>9999</v>
      </c>
      <c r="HI97">
        <v>9999</v>
      </c>
      <c r="HJ97">
        <v>9999</v>
      </c>
      <c r="HK97">
        <v>999.9</v>
      </c>
      <c r="HL97">
        <v>1.8733500000000001</v>
      </c>
      <c r="HM97">
        <v>1.8810899999999999</v>
      </c>
      <c r="HN97">
        <v>1.8846099999999999</v>
      </c>
      <c r="HO97">
        <v>1.88127</v>
      </c>
      <c r="HP97">
        <v>1.87866</v>
      </c>
      <c r="HQ97">
        <v>1.8733500000000001</v>
      </c>
      <c r="HR97">
        <v>1.87622</v>
      </c>
      <c r="HS97">
        <v>1.88049</v>
      </c>
      <c r="HT97">
        <v>5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423</v>
      </c>
      <c r="IB97" t="s">
        <v>423</v>
      </c>
      <c r="IC97" t="s">
        <v>423</v>
      </c>
      <c r="ID97">
        <v>0</v>
      </c>
      <c r="IE97">
        <v>100</v>
      </c>
      <c r="IF97">
        <v>100</v>
      </c>
      <c r="IG97">
        <v>-0.81299999999999994</v>
      </c>
      <c r="IH97">
        <v>0.23899999999999999</v>
      </c>
      <c r="II97">
        <v>-0.89240387104585006</v>
      </c>
      <c r="IJ97">
        <v>9.4905977090923709E-4</v>
      </c>
      <c r="IK97">
        <v>-1.9106666302146479E-6</v>
      </c>
      <c r="IL97">
        <v>7.5819610513223293E-10</v>
      </c>
      <c r="IM97">
        <v>-5.8746118499537592E-2</v>
      </c>
      <c r="IN97">
        <v>-1.0595840490420019E-2</v>
      </c>
      <c r="IO97">
        <v>1.2407080968752471E-3</v>
      </c>
      <c r="IP97">
        <v>-1.3015442653884381E-5</v>
      </c>
      <c r="IQ97">
        <v>33</v>
      </c>
      <c r="IR97">
        <v>2014</v>
      </c>
      <c r="IS97">
        <v>1</v>
      </c>
      <c r="IT97">
        <v>26</v>
      </c>
      <c r="IU97">
        <v>0.8</v>
      </c>
      <c r="IV97">
        <v>0.7</v>
      </c>
      <c r="IW97">
        <v>1.40259</v>
      </c>
      <c r="IX97">
        <v>2.51953</v>
      </c>
      <c r="IY97">
        <v>1.5991200000000001</v>
      </c>
      <c r="IZ97">
        <v>2.2985799999999998</v>
      </c>
      <c r="JA97">
        <v>1.5502899999999999</v>
      </c>
      <c r="JB97">
        <v>2.3596200000000001</v>
      </c>
      <c r="JC97">
        <v>38.378999999999998</v>
      </c>
      <c r="JD97">
        <v>24.07</v>
      </c>
      <c r="JE97">
        <v>18</v>
      </c>
      <c r="JF97">
        <v>487.87099999999998</v>
      </c>
      <c r="JG97">
        <v>495.33499999999998</v>
      </c>
      <c r="JH97">
        <v>22.588699999999999</v>
      </c>
      <c r="JI97">
        <v>32.448300000000003</v>
      </c>
      <c r="JJ97">
        <v>30.000399999999999</v>
      </c>
      <c r="JK97">
        <v>32.537799999999997</v>
      </c>
      <c r="JL97">
        <v>32.506100000000004</v>
      </c>
      <c r="JM97">
        <v>28.126300000000001</v>
      </c>
      <c r="JN97">
        <v>42.956099999999999</v>
      </c>
      <c r="JO97">
        <v>0</v>
      </c>
      <c r="JP97">
        <v>22.5685</v>
      </c>
      <c r="JQ97">
        <v>600</v>
      </c>
      <c r="JR97">
        <v>17.799299999999999</v>
      </c>
      <c r="JS97">
        <v>99.618499999999997</v>
      </c>
      <c r="JT97">
        <v>98.721400000000003</v>
      </c>
    </row>
    <row r="98" spans="1:280" x14ac:dyDescent="0.25">
      <c r="A98">
        <v>82</v>
      </c>
      <c r="B98">
        <v>1674594377.5999999</v>
      </c>
      <c r="C98">
        <v>18952.599999904629</v>
      </c>
      <c r="D98" t="s">
        <v>833</v>
      </c>
      <c r="E98" t="s">
        <v>834</v>
      </c>
      <c r="F98" t="s">
        <v>412</v>
      </c>
      <c r="G98" t="s">
        <v>779</v>
      </c>
      <c r="H98" t="s">
        <v>493</v>
      </c>
      <c r="I98">
        <v>1674594377.5999999</v>
      </c>
      <c r="J98">
        <f t="shared" si="92"/>
        <v>5.7786455827333275E-3</v>
      </c>
      <c r="K98">
        <f t="shared" si="93"/>
        <v>5.7786455827333274</v>
      </c>
      <c r="L98">
        <f t="shared" si="94"/>
        <v>56.616591791579665</v>
      </c>
      <c r="M98">
        <f t="shared" si="95"/>
        <v>727.07399999999996</v>
      </c>
      <c r="N98">
        <f t="shared" si="96"/>
        <v>523.57869755144236</v>
      </c>
      <c r="O98">
        <f t="shared" si="97"/>
        <v>52.193553481755572</v>
      </c>
      <c r="P98">
        <f t="shared" si="98"/>
        <v>72.479220185357988</v>
      </c>
      <c r="Q98">
        <f t="shared" si="99"/>
        <v>0.51289635224789831</v>
      </c>
      <c r="R98">
        <f t="shared" si="100"/>
        <v>2.9192110897550467</v>
      </c>
      <c r="S98">
        <f t="shared" si="101"/>
        <v>0.46758613718034636</v>
      </c>
      <c r="T98">
        <f t="shared" si="102"/>
        <v>0.29597799266115754</v>
      </c>
      <c r="U98">
        <f t="shared" si="103"/>
        <v>344.38519965768194</v>
      </c>
      <c r="V98">
        <f t="shared" si="104"/>
        <v>28.527050567135877</v>
      </c>
      <c r="W98">
        <f t="shared" si="105"/>
        <v>27.4285</v>
      </c>
      <c r="X98">
        <f t="shared" si="106"/>
        <v>3.6702314914478475</v>
      </c>
      <c r="Y98">
        <f t="shared" si="107"/>
        <v>65.262065196635916</v>
      </c>
      <c r="Z98">
        <f t="shared" si="108"/>
        <v>2.4762442627467998</v>
      </c>
      <c r="AA98">
        <f t="shared" si="109"/>
        <v>3.794308769245696</v>
      </c>
      <c r="AB98">
        <f t="shared" si="110"/>
        <v>1.1939872287010478</v>
      </c>
      <c r="AC98">
        <f t="shared" si="111"/>
        <v>-254.83827019853973</v>
      </c>
      <c r="AD98">
        <f t="shared" si="112"/>
        <v>89.565247256954265</v>
      </c>
      <c r="AE98">
        <f t="shared" si="113"/>
        <v>6.6687195265242449</v>
      </c>
      <c r="AF98">
        <f t="shared" si="114"/>
        <v>185.78089624262071</v>
      </c>
      <c r="AG98">
        <v>0</v>
      </c>
      <c r="AH98">
        <v>0</v>
      </c>
      <c r="AI98">
        <f t="shared" si="115"/>
        <v>1</v>
      </c>
      <c r="AJ98">
        <f t="shared" si="116"/>
        <v>0</v>
      </c>
      <c r="AK98">
        <f t="shared" si="117"/>
        <v>52395.671596701031</v>
      </c>
      <c r="AL98" t="s">
        <v>415</v>
      </c>
      <c r="AM98">
        <v>10297.6</v>
      </c>
      <c r="AN98">
        <v>785.57400000000007</v>
      </c>
      <c r="AO98">
        <v>3597.65</v>
      </c>
      <c r="AP98">
        <f t="shared" si="118"/>
        <v>0.7816424610509638</v>
      </c>
      <c r="AQ98">
        <v>-0.62398835798131469</v>
      </c>
      <c r="AR98" t="s">
        <v>835</v>
      </c>
      <c r="AS98">
        <v>10220.9</v>
      </c>
      <c r="AT98">
        <v>724.26353846153847</v>
      </c>
      <c r="AU98">
        <v>1120.894351335513</v>
      </c>
      <c r="AV98">
        <f t="shared" si="119"/>
        <v>0.35385209355493707</v>
      </c>
      <c r="AW98">
        <v>0.5</v>
      </c>
      <c r="AX98">
        <f t="shared" si="120"/>
        <v>1513.252199828841</v>
      </c>
      <c r="AY98">
        <f t="shared" si="121"/>
        <v>56.616591791579665</v>
      </c>
      <c r="AZ98">
        <f t="shared" si="122"/>
        <v>267.73372949302467</v>
      </c>
      <c r="BA98">
        <f t="shared" si="123"/>
        <v>3.7826199860165596E-2</v>
      </c>
      <c r="BB98">
        <f t="shared" si="124"/>
        <v>2.2096245250174604</v>
      </c>
      <c r="BC98">
        <f t="shared" si="125"/>
        <v>529.90237234720769</v>
      </c>
      <c r="BD98" t="s">
        <v>836</v>
      </c>
      <c r="BE98">
        <v>555.30999999999995</v>
      </c>
      <c r="BF98">
        <f t="shared" si="126"/>
        <v>555.30999999999995</v>
      </c>
      <c r="BG98">
        <f t="shared" si="127"/>
        <v>0.50458310425209629</v>
      </c>
      <c r="BH98">
        <f t="shared" si="128"/>
        <v>0.70127614375717973</v>
      </c>
      <c r="BI98">
        <f t="shared" si="129"/>
        <v>0.81409561346348103</v>
      </c>
      <c r="BJ98">
        <f t="shared" si="130"/>
        <v>1.1828414568166665</v>
      </c>
      <c r="BK98">
        <f t="shared" si="131"/>
        <v>0.88075700964856107</v>
      </c>
      <c r="BL98">
        <f t="shared" si="132"/>
        <v>0.53768502031319587</v>
      </c>
      <c r="BM98">
        <f t="shared" si="133"/>
        <v>0.46231497968680413</v>
      </c>
      <c r="BN98">
        <v>163</v>
      </c>
      <c r="BO98">
        <v>290.00000000000011</v>
      </c>
      <c r="BP98">
        <v>1010.74</v>
      </c>
      <c r="BQ98">
        <v>185</v>
      </c>
      <c r="BR98">
        <v>10220.9</v>
      </c>
      <c r="BS98">
        <v>1011.16</v>
      </c>
      <c r="BT98">
        <v>-0.42</v>
      </c>
      <c r="BU98">
        <v>300.00000000000011</v>
      </c>
      <c r="BV98">
        <v>24.1</v>
      </c>
      <c r="BW98">
        <v>1120.894351335513</v>
      </c>
      <c r="BX98">
        <v>2.1846142091716492</v>
      </c>
      <c r="BY98">
        <v>-112.1552422174537</v>
      </c>
      <c r="BZ98">
        <v>1.986712982099317</v>
      </c>
      <c r="CA98">
        <v>0.99129056250012515</v>
      </c>
      <c r="CB98">
        <v>-6.9609984427141409E-3</v>
      </c>
      <c r="CC98">
        <v>289.99999999999989</v>
      </c>
      <c r="CD98">
        <v>1007.29</v>
      </c>
      <c r="CE98">
        <v>645</v>
      </c>
      <c r="CF98">
        <v>10192.6</v>
      </c>
      <c r="CG98">
        <v>1010.86</v>
      </c>
      <c r="CH98">
        <v>-3.57</v>
      </c>
      <c r="CV98">
        <f t="shared" si="134"/>
        <v>1800.08</v>
      </c>
      <c r="CW98">
        <f t="shared" si="135"/>
        <v>1513.252199828841</v>
      </c>
      <c r="CX98">
        <f t="shared" si="136"/>
        <v>0.84065830398029029</v>
      </c>
      <c r="CY98">
        <f t="shared" si="137"/>
        <v>0.19131660796058061</v>
      </c>
      <c r="CZ98">
        <v>6</v>
      </c>
      <c r="DA98">
        <v>0.5</v>
      </c>
      <c r="DB98" t="s">
        <v>418</v>
      </c>
      <c r="DC98">
        <v>2</v>
      </c>
      <c r="DD98">
        <v>1674594377.5999999</v>
      </c>
      <c r="DE98">
        <v>727.07399999999996</v>
      </c>
      <c r="DF98">
        <v>800.04899999999998</v>
      </c>
      <c r="DG98">
        <v>24.840399999999999</v>
      </c>
      <c r="DH98">
        <v>18.078900000000001</v>
      </c>
      <c r="DI98">
        <v>728.22799999999995</v>
      </c>
      <c r="DJ98">
        <v>24.6052</v>
      </c>
      <c r="DK98">
        <v>500.04599999999999</v>
      </c>
      <c r="DL98">
        <v>99.586100000000002</v>
      </c>
      <c r="DM98">
        <v>0.100067</v>
      </c>
      <c r="DN98">
        <v>27.997599999999998</v>
      </c>
      <c r="DO98">
        <v>27.4285</v>
      </c>
      <c r="DP98">
        <v>999.9</v>
      </c>
      <c r="DQ98">
        <v>0</v>
      </c>
      <c r="DR98">
        <v>0</v>
      </c>
      <c r="DS98">
        <v>9982.5</v>
      </c>
      <c r="DT98">
        <v>0</v>
      </c>
      <c r="DU98">
        <v>333.08300000000003</v>
      </c>
      <c r="DV98">
        <v>-72.974500000000006</v>
      </c>
      <c r="DW98">
        <v>745.59500000000003</v>
      </c>
      <c r="DX98">
        <v>814.779</v>
      </c>
      <c r="DY98">
        <v>6.76152</v>
      </c>
      <c r="DZ98">
        <v>800.04899999999998</v>
      </c>
      <c r="EA98">
        <v>18.078900000000001</v>
      </c>
      <c r="EB98">
        <v>2.47376</v>
      </c>
      <c r="EC98">
        <v>1.8004100000000001</v>
      </c>
      <c r="ED98">
        <v>20.854900000000001</v>
      </c>
      <c r="EE98">
        <v>15.7903</v>
      </c>
      <c r="EF98">
        <v>1800.08</v>
      </c>
      <c r="EG98">
        <v>0.97799499999999995</v>
      </c>
      <c r="EH98">
        <v>2.20045E-2</v>
      </c>
      <c r="EI98">
        <v>0</v>
      </c>
      <c r="EJ98">
        <v>723.93499999999995</v>
      </c>
      <c r="EK98">
        <v>5.0002599999999999</v>
      </c>
      <c r="EL98">
        <v>13443</v>
      </c>
      <c r="EM98">
        <v>17104.099999999999</v>
      </c>
      <c r="EN98">
        <v>50.375</v>
      </c>
      <c r="EO98">
        <v>51.5</v>
      </c>
      <c r="EP98">
        <v>51.311999999999998</v>
      </c>
      <c r="EQ98">
        <v>50.875</v>
      </c>
      <c r="ER98">
        <v>51.561999999999998</v>
      </c>
      <c r="ES98">
        <v>1755.58</v>
      </c>
      <c r="ET98">
        <v>39.5</v>
      </c>
      <c r="EU98">
        <v>0</v>
      </c>
      <c r="EV98">
        <v>113.5999999046326</v>
      </c>
      <c r="EW98">
        <v>0</v>
      </c>
      <c r="EX98">
        <v>724.26353846153847</v>
      </c>
      <c r="EY98">
        <v>0.91535043105235669</v>
      </c>
      <c r="EZ98">
        <v>5.155555542288206</v>
      </c>
      <c r="FA98">
        <v>13442.276923076921</v>
      </c>
      <c r="FB98">
        <v>15</v>
      </c>
      <c r="FC98">
        <v>1674594335.0999999</v>
      </c>
      <c r="FD98" t="s">
        <v>837</v>
      </c>
      <c r="FE98">
        <v>1674594334.0999999</v>
      </c>
      <c r="FF98">
        <v>1674594335.0999999</v>
      </c>
      <c r="FG98">
        <v>91</v>
      </c>
      <c r="FH98">
        <v>-0.23300000000000001</v>
      </c>
      <c r="FI98">
        <v>-3.0000000000000001E-3</v>
      </c>
      <c r="FJ98">
        <v>-1.2010000000000001</v>
      </c>
      <c r="FK98">
        <v>6.9000000000000006E-2</v>
      </c>
      <c r="FL98">
        <v>800</v>
      </c>
      <c r="FM98">
        <v>18</v>
      </c>
      <c r="FN98">
        <v>0.03</v>
      </c>
      <c r="FO98">
        <v>0.01</v>
      </c>
      <c r="FP98">
        <v>56.637558489972548</v>
      </c>
      <c r="FQ98">
        <v>-0.6544675906772025</v>
      </c>
      <c r="FR98">
        <v>0.10883582191226961</v>
      </c>
      <c r="FS98">
        <v>1</v>
      </c>
      <c r="FT98">
        <v>0.52002181987487772</v>
      </c>
      <c r="FU98">
        <v>-9.8608814931366619E-3</v>
      </c>
      <c r="FV98">
        <v>3.45137572623452E-3</v>
      </c>
      <c r="FW98">
        <v>1</v>
      </c>
      <c r="FX98">
        <v>2</v>
      </c>
      <c r="FY98">
        <v>2</v>
      </c>
      <c r="FZ98" t="s">
        <v>420</v>
      </c>
      <c r="GA98">
        <v>2.92822</v>
      </c>
      <c r="GB98">
        <v>2.8068399999999998</v>
      </c>
      <c r="GC98">
        <v>0.151111</v>
      </c>
      <c r="GD98">
        <v>0.16288900000000001</v>
      </c>
      <c r="GE98">
        <v>0.114685</v>
      </c>
      <c r="GF98">
        <v>9.3207499999999999E-2</v>
      </c>
      <c r="GG98">
        <v>25213.9</v>
      </c>
      <c r="GH98">
        <v>25239.7</v>
      </c>
      <c r="GI98">
        <v>28216.400000000001</v>
      </c>
      <c r="GJ98">
        <v>27173.1</v>
      </c>
      <c r="GK98">
        <v>35860.1</v>
      </c>
      <c r="GL98">
        <v>32538.5</v>
      </c>
      <c r="GM98">
        <v>42015.5</v>
      </c>
      <c r="GN98">
        <v>36869.4</v>
      </c>
      <c r="GO98">
        <v>1.92645</v>
      </c>
      <c r="GP98">
        <v>1.8857299999999999</v>
      </c>
      <c r="GQ98">
        <v>5.2578699999999999E-2</v>
      </c>
      <c r="GR98">
        <v>0</v>
      </c>
      <c r="GS98">
        <v>26.5686</v>
      </c>
      <c r="GT98">
        <v>999.9</v>
      </c>
      <c r="GU98">
        <v>49.6</v>
      </c>
      <c r="GV98">
        <v>34.9</v>
      </c>
      <c r="GW98">
        <v>27.978300000000001</v>
      </c>
      <c r="GX98">
        <v>61.456400000000002</v>
      </c>
      <c r="GY98">
        <v>26.794899999999998</v>
      </c>
      <c r="GZ98">
        <v>1</v>
      </c>
      <c r="HA98">
        <v>0.42091499999999998</v>
      </c>
      <c r="HB98">
        <v>3.3446600000000002</v>
      </c>
      <c r="HC98">
        <v>20.314499999999999</v>
      </c>
      <c r="HD98">
        <v>5.2389999999999999</v>
      </c>
      <c r="HE98">
        <v>11.9381</v>
      </c>
      <c r="HF98">
        <v>4.9737</v>
      </c>
      <c r="HG98">
        <v>3.2989999999999999</v>
      </c>
      <c r="HH98">
        <v>9999</v>
      </c>
      <c r="HI98">
        <v>9999</v>
      </c>
      <c r="HJ98">
        <v>9999</v>
      </c>
      <c r="HK98">
        <v>999.9</v>
      </c>
      <c r="HL98">
        <v>1.87334</v>
      </c>
      <c r="HM98">
        <v>1.8810899999999999</v>
      </c>
      <c r="HN98">
        <v>1.8846099999999999</v>
      </c>
      <c r="HO98">
        <v>1.8812599999999999</v>
      </c>
      <c r="HP98">
        <v>1.8786400000000001</v>
      </c>
      <c r="HQ98">
        <v>1.8733299999999999</v>
      </c>
      <c r="HR98">
        <v>1.87622</v>
      </c>
      <c r="HS98">
        <v>1.88046</v>
      </c>
      <c r="HT98">
        <v>5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423</v>
      </c>
      <c r="IB98" t="s">
        <v>423</v>
      </c>
      <c r="IC98" t="s">
        <v>423</v>
      </c>
      <c r="ID98">
        <v>0</v>
      </c>
      <c r="IE98">
        <v>100</v>
      </c>
      <c r="IF98">
        <v>100</v>
      </c>
      <c r="IG98">
        <v>-1.1539999999999999</v>
      </c>
      <c r="IH98">
        <v>0.23519999999999999</v>
      </c>
      <c r="II98">
        <v>-1.1250144364309409</v>
      </c>
      <c r="IJ98">
        <v>9.4905977090923709E-4</v>
      </c>
      <c r="IK98">
        <v>-1.9106666302146479E-6</v>
      </c>
      <c r="IL98">
        <v>7.5819610513223293E-10</v>
      </c>
      <c r="IM98">
        <v>-6.1333905472773231E-2</v>
      </c>
      <c r="IN98">
        <v>-1.0595840490420019E-2</v>
      </c>
      <c r="IO98">
        <v>1.2407080968752471E-3</v>
      </c>
      <c r="IP98">
        <v>-1.3015442653884381E-5</v>
      </c>
      <c r="IQ98">
        <v>33</v>
      </c>
      <c r="IR98">
        <v>2014</v>
      </c>
      <c r="IS98">
        <v>1</v>
      </c>
      <c r="IT98">
        <v>26</v>
      </c>
      <c r="IU98">
        <v>0.7</v>
      </c>
      <c r="IV98">
        <v>0.7</v>
      </c>
      <c r="IW98">
        <v>1.7736799999999999</v>
      </c>
      <c r="IX98">
        <v>2.51831</v>
      </c>
      <c r="IY98">
        <v>1.5991200000000001</v>
      </c>
      <c r="IZ98">
        <v>2.2997999999999998</v>
      </c>
      <c r="JA98">
        <v>1.5502899999999999</v>
      </c>
      <c r="JB98">
        <v>2.3059099999999999</v>
      </c>
      <c r="JC98">
        <v>38.403399999999998</v>
      </c>
      <c r="JD98">
        <v>24.052499999999998</v>
      </c>
      <c r="JE98">
        <v>18</v>
      </c>
      <c r="JF98">
        <v>487.93900000000002</v>
      </c>
      <c r="JG98">
        <v>495.83800000000002</v>
      </c>
      <c r="JH98">
        <v>22.394100000000002</v>
      </c>
      <c r="JI98">
        <v>32.471400000000003</v>
      </c>
      <c r="JJ98">
        <v>30.0001</v>
      </c>
      <c r="JK98">
        <v>32.546399999999998</v>
      </c>
      <c r="JL98">
        <v>32.511899999999997</v>
      </c>
      <c r="JM98">
        <v>35.537999999999997</v>
      </c>
      <c r="JN98">
        <v>42.500700000000002</v>
      </c>
      <c r="JO98">
        <v>0</v>
      </c>
      <c r="JP98">
        <v>22.403700000000001</v>
      </c>
      <c r="JQ98">
        <v>800</v>
      </c>
      <c r="JR98">
        <v>18.017800000000001</v>
      </c>
      <c r="JS98">
        <v>99.614099999999993</v>
      </c>
      <c r="JT98">
        <v>98.717699999999994</v>
      </c>
    </row>
    <row r="99" spans="1:280" x14ac:dyDescent="0.25">
      <c r="A99">
        <v>83</v>
      </c>
      <c r="B99">
        <v>1674594487.5999999</v>
      </c>
      <c r="C99">
        <v>19062.599999904629</v>
      </c>
      <c r="D99" t="s">
        <v>838</v>
      </c>
      <c r="E99" t="s">
        <v>839</v>
      </c>
      <c r="F99" t="s">
        <v>412</v>
      </c>
      <c r="G99" t="s">
        <v>779</v>
      </c>
      <c r="H99" t="s">
        <v>493</v>
      </c>
      <c r="I99">
        <v>1674594487.5999999</v>
      </c>
      <c r="J99">
        <f t="shared" si="92"/>
        <v>5.5313181453599952E-3</v>
      </c>
      <c r="K99">
        <f t="shared" si="93"/>
        <v>5.5313181453599949</v>
      </c>
      <c r="L99">
        <f t="shared" si="94"/>
        <v>55.038503634096109</v>
      </c>
      <c r="M99">
        <f t="shared" si="95"/>
        <v>1126.3800000000001</v>
      </c>
      <c r="N99">
        <f t="shared" si="96"/>
        <v>910.96020385246402</v>
      </c>
      <c r="O99">
        <f t="shared" si="97"/>
        <v>90.802708872233865</v>
      </c>
      <c r="P99">
        <f t="shared" si="98"/>
        <v>112.27532749177203</v>
      </c>
      <c r="Q99">
        <f t="shared" si="99"/>
        <v>0.48591940241478077</v>
      </c>
      <c r="R99">
        <f t="shared" si="100"/>
        <v>2.9351460084512233</v>
      </c>
      <c r="S99">
        <f t="shared" si="101"/>
        <v>0.44524901840769221</v>
      </c>
      <c r="T99">
        <f t="shared" si="102"/>
        <v>0.28165049423527821</v>
      </c>
      <c r="U99">
        <f t="shared" si="103"/>
        <v>344.37379965767053</v>
      </c>
      <c r="V99">
        <f t="shared" si="104"/>
        <v>28.599766305144367</v>
      </c>
      <c r="W99">
        <f t="shared" si="105"/>
        <v>27.468900000000001</v>
      </c>
      <c r="X99">
        <f t="shared" si="106"/>
        <v>3.6789213672593579</v>
      </c>
      <c r="Y99">
        <f t="shared" si="107"/>
        <v>65.28831722238084</v>
      </c>
      <c r="Z99">
        <f t="shared" si="108"/>
        <v>2.4788727288547201</v>
      </c>
      <c r="AA99">
        <f t="shared" si="109"/>
        <v>3.7968090376894601</v>
      </c>
      <c r="AB99">
        <f t="shared" si="110"/>
        <v>1.2000486384046378</v>
      </c>
      <c r="AC99">
        <f t="shared" si="111"/>
        <v>-243.93113021037578</v>
      </c>
      <c r="AD99">
        <f t="shared" si="112"/>
        <v>85.44937946811595</v>
      </c>
      <c r="AE99">
        <f t="shared" si="113"/>
        <v>6.3293568467746928</v>
      </c>
      <c r="AF99">
        <f t="shared" si="114"/>
        <v>192.22140576218541</v>
      </c>
      <c r="AG99">
        <v>0</v>
      </c>
      <c r="AH99">
        <v>0</v>
      </c>
      <c r="AI99">
        <f t="shared" si="115"/>
        <v>1</v>
      </c>
      <c r="AJ99">
        <f t="shared" si="116"/>
        <v>0</v>
      </c>
      <c r="AK99">
        <f t="shared" si="117"/>
        <v>52851.881820918774</v>
      </c>
      <c r="AL99" t="s">
        <v>415</v>
      </c>
      <c r="AM99">
        <v>10297.6</v>
      </c>
      <c r="AN99">
        <v>785.57400000000007</v>
      </c>
      <c r="AO99">
        <v>3597.65</v>
      </c>
      <c r="AP99">
        <f t="shared" si="118"/>
        <v>0.7816424610509638</v>
      </c>
      <c r="AQ99">
        <v>-0.62398835798131469</v>
      </c>
      <c r="AR99" t="s">
        <v>840</v>
      </c>
      <c r="AS99">
        <v>10207.200000000001</v>
      </c>
      <c r="AT99">
        <v>725.47587999999985</v>
      </c>
      <c r="AU99">
        <v>1123.719106978295</v>
      </c>
      <c r="AV99">
        <f t="shared" si="119"/>
        <v>0.35439748644052149</v>
      </c>
      <c r="AW99">
        <v>0.5</v>
      </c>
      <c r="AX99">
        <f t="shared" si="120"/>
        <v>1513.2017998288352</v>
      </c>
      <c r="AY99">
        <f t="shared" si="121"/>
        <v>55.038503634096109</v>
      </c>
      <c r="AZ99">
        <f t="shared" si="122"/>
        <v>268.13745716830618</v>
      </c>
      <c r="BA99">
        <f t="shared" si="123"/>
        <v>3.678457955731592E-2</v>
      </c>
      <c r="BB99">
        <f t="shared" si="124"/>
        <v>2.2015563121233725</v>
      </c>
      <c r="BC99">
        <f t="shared" si="125"/>
        <v>530.53284547276223</v>
      </c>
      <c r="BD99" t="s">
        <v>841</v>
      </c>
      <c r="BE99">
        <v>557.6</v>
      </c>
      <c r="BF99">
        <f t="shared" si="126"/>
        <v>557.6</v>
      </c>
      <c r="BG99">
        <f t="shared" si="127"/>
        <v>0.50379058562117141</v>
      </c>
      <c r="BH99">
        <f t="shared" si="128"/>
        <v>0.70346190769633188</v>
      </c>
      <c r="BI99">
        <f t="shared" si="129"/>
        <v>0.81377967238094917</v>
      </c>
      <c r="BJ99">
        <f t="shared" si="130"/>
        <v>1.1777287879071923</v>
      </c>
      <c r="BK99">
        <f t="shared" si="131"/>
        <v>0.87975250065137101</v>
      </c>
      <c r="BL99">
        <f t="shared" si="132"/>
        <v>0.54068008399049017</v>
      </c>
      <c r="BM99">
        <f t="shared" si="133"/>
        <v>0.45931991600950983</v>
      </c>
      <c r="BN99">
        <v>165</v>
      </c>
      <c r="BO99">
        <v>290.00000000000011</v>
      </c>
      <c r="BP99">
        <v>1011.32</v>
      </c>
      <c r="BQ99">
        <v>285</v>
      </c>
      <c r="BR99">
        <v>10207.200000000001</v>
      </c>
      <c r="BS99">
        <v>1011.88</v>
      </c>
      <c r="BT99">
        <v>-0.56000000000000005</v>
      </c>
      <c r="BU99">
        <v>300.00000000000011</v>
      </c>
      <c r="BV99">
        <v>24.1</v>
      </c>
      <c r="BW99">
        <v>1123.719106978295</v>
      </c>
      <c r="BX99">
        <v>2.105121233043759</v>
      </c>
      <c r="BY99">
        <v>-114.15877569640109</v>
      </c>
      <c r="BZ99">
        <v>1.9143325111557381</v>
      </c>
      <c r="CA99">
        <v>0.99218789448711142</v>
      </c>
      <c r="CB99">
        <v>-6.9606636262513882E-3</v>
      </c>
      <c r="CC99">
        <v>289.99999999999989</v>
      </c>
      <c r="CD99">
        <v>1006.7</v>
      </c>
      <c r="CE99">
        <v>675</v>
      </c>
      <c r="CF99">
        <v>10190.1</v>
      </c>
      <c r="CG99">
        <v>1011.69</v>
      </c>
      <c r="CH99">
        <v>-4.99</v>
      </c>
      <c r="CV99">
        <f t="shared" si="134"/>
        <v>1800.02</v>
      </c>
      <c r="CW99">
        <f t="shared" si="135"/>
        <v>1513.2017998288352</v>
      </c>
      <c r="CX99">
        <f t="shared" si="136"/>
        <v>0.84065832592350931</v>
      </c>
      <c r="CY99">
        <f t="shared" si="137"/>
        <v>0.19131665184701865</v>
      </c>
      <c r="CZ99">
        <v>6</v>
      </c>
      <c r="DA99">
        <v>0.5</v>
      </c>
      <c r="DB99" t="s">
        <v>418</v>
      </c>
      <c r="DC99">
        <v>2</v>
      </c>
      <c r="DD99">
        <v>1674594487.5999999</v>
      </c>
      <c r="DE99">
        <v>1126.3800000000001</v>
      </c>
      <c r="DF99">
        <v>1199.8900000000001</v>
      </c>
      <c r="DG99">
        <v>24.8688</v>
      </c>
      <c r="DH99">
        <v>18.397400000000001</v>
      </c>
      <c r="DI99">
        <v>1127.79</v>
      </c>
      <c r="DJ99">
        <v>24.632400000000001</v>
      </c>
      <c r="DK99">
        <v>500.08600000000001</v>
      </c>
      <c r="DL99">
        <v>99.578500000000005</v>
      </c>
      <c r="DM99">
        <v>9.9519399999999994E-2</v>
      </c>
      <c r="DN99">
        <v>28.008900000000001</v>
      </c>
      <c r="DO99">
        <v>27.468900000000001</v>
      </c>
      <c r="DP99">
        <v>999.9</v>
      </c>
      <c r="DQ99">
        <v>0</v>
      </c>
      <c r="DR99">
        <v>0</v>
      </c>
      <c r="DS99">
        <v>10074.4</v>
      </c>
      <c r="DT99">
        <v>0</v>
      </c>
      <c r="DU99">
        <v>336.392</v>
      </c>
      <c r="DV99">
        <v>-73.504599999999996</v>
      </c>
      <c r="DW99">
        <v>1155.1099999999999</v>
      </c>
      <c r="DX99">
        <v>1222.3800000000001</v>
      </c>
      <c r="DY99">
        <v>6.4713900000000004</v>
      </c>
      <c r="DZ99">
        <v>1199.8900000000001</v>
      </c>
      <c r="EA99">
        <v>18.397400000000001</v>
      </c>
      <c r="EB99">
        <v>2.4763999999999999</v>
      </c>
      <c r="EC99">
        <v>1.83199</v>
      </c>
      <c r="ED99">
        <v>20.872199999999999</v>
      </c>
      <c r="EE99">
        <v>16.0624</v>
      </c>
      <c r="EF99">
        <v>1800.02</v>
      </c>
      <c r="EG99">
        <v>0.97799599999999998</v>
      </c>
      <c r="EH99">
        <v>2.20044E-2</v>
      </c>
      <c r="EI99">
        <v>0</v>
      </c>
      <c r="EJ99">
        <v>725.31399999999996</v>
      </c>
      <c r="EK99">
        <v>5.0002599999999999</v>
      </c>
      <c r="EL99">
        <v>13470.3</v>
      </c>
      <c r="EM99">
        <v>17103.599999999999</v>
      </c>
      <c r="EN99">
        <v>50.5</v>
      </c>
      <c r="EO99">
        <v>51.5</v>
      </c>
      <c r="EP99">
        <v>51.375</v>
      </c>
      <c r="EQ99">
        <v>50.875</v>
      </c>
      <c r="ER99">
        <v>51.561999999999998</v>
      </c>
      <c r="ES99">
        <v>1755.52</v>
      </c>
      <c r="ET99">
        <v>39.5</v>
      </c>
      <c r="EU99">
        <v>0</v>
      </c>
      <c r="EV99">
        <v>108.2000000476837</v>
      </c>
      <c r="EW99">
        <v>0</v>
      </c>
      <c r="EX99">
        <v>725.47587999999985</v>
      </c>
      <c r="EY99">
        <v>0.44799999211355868</v>
      </c>
      <c r="EZ99">
        <v>23.830769260045699</v>
      </c>
      <c r="FA99">
        <v>13466.772000000001</v>
      </c>
      <c r="FB99">
        <v>15</v>
      </c>
      <c r="FC99">
        <v>1674594451.0999999</v>
      </c>
      <c r="FD99" t="s">
        <v>842</v>
      </c>
      <c r="FE99">
        <v>1674594450.0999999</v>
      </c>
      <c r="FF99">
        <v>1674594451.0999999</v>
      </c>
      <c r="FG99">
        <v>92</v>
      </c>
      <c r="FH99">
        <v>-1.4999999999999999E-2</v>
      </c>
      <c r="FI99">
        <v>0</v>
      </c>
      <c r="FJ99">
        <v>-1.4430000000000001</v>
      </c>
      <c r="FK99">
        <v>7.3999999999999996E-2</v>
      </c>
      <c r="FL99">
        <v>1200</v>
      </c>
      <c r="FM99">
        <v>18</v>
      </c>
      <c r="FN99">
        <v>0.02</v>
      </c>
      <c r="FO99">
        <v>0.01</v>
      </c>
      <c r="FP99">
        <v>55.287657309517073</v>
      </c>
      <c r="FQ99">
        <v>-0.65252090320127376</v>
      </c>
      <c r="FR99">
        <v>0.102197025198371</v>
      </c>
      <c r="FS99">
        <v>1</v>
      </c>
      <c r="FT99">
        <v>0.48588228182987209</v>
      </c>
      <c r="FU99">
        <v>2.5063296101237649E-2</v>
      </c>
      <c r="FV99">
        <v>3.3165196266997181E-3</v>
      </c>
      <c r="FW99">
        <v>1</v>
      </c>
      <c r="FX99">
        <v>2</v>
      </c>
      <c r="FY99">
        <v>2</v>
      </c>
      <c r="FZ99" t="s">
        <v>420</v>
      </c>
      <c r="GA99">
        <v>2.9282699999999999</v>
      </c>
      <c r="GB99">
        <v>2.8070900000000001</v>
      </c>
      <c r="GC99">
        <v>0.20148199999999999</v>
      </c>
      <c r="GD99">
        <v>0.21184600000000001</v>
      </c>
      <c r="GE99">
        <v>0.11476</v>
      </c>
      <c r="GF99">
        <v>9.4365400000000002E-2</v>
      </c>
      <c r="GG99">
        <v>23713.3</v>
      </c>
      <c r="GH99">
        <v>23759.599999999999</v>
      </c>
      <c r="GI99">
        <v>28214.7</v>
      </c>
      <c r="GJ99">
        <v>27172.2</v>
      </c>
      <c r="GK99">
        <v>35855.699999999997</v>
      </c>
      <c r="GL99">
        <v>32497.200000000001</v>
      </c>
      <c r="GM99">
        <v>42013.4</v>
      </c>
      <c r="GN99">
        <v>36869.199999999997</v>
      </c>
      <c r="GO99">
        <v>1.9255</v>
      </c>
      <c r="GP99">
        <v>1.8871</v>
      </c>
      <c r="GQ99">
        <v>5.4277499999999999E-2</v>
      </c>
      <c r="GR99">
        <v>0</v>
      </c>
      <c r="GS99">
        <v>26.581299999999999</v>
      </c>
      <c r="GT99">
        <v>999.9</v>
      </c>
      <c r="GU99">
        <v>49.6</v>
      </c>
      <c r="GV99">
        <v>34.9</v>
      </c>
      <c r="GW99">
        <v>27.978000000000002</v>
      </c>
      <c r="GX99">
        <v>61.586399999999998</v>
      </c>
      <c r="GY99">
        <v>26.630600000000001</v>
      </c>
      <c r="GZ99">
        <v>1</v>
      </c>
      <c r="HA99">
        <v>0.423628</v>
      </c>
      <c r="HB99">
        <v>3.42028</v>
      </c>
      <c r="HC99">
        <v>20.313099999999999</v>
      </c>
      <c r="HD99">
        <v>5.2389999999999999</v>
      </c>
      <c r="HE99">
        <v>11.9381</v>
      </c>
      <c r="HF99">
        <v>4.9735500000000004</v>
      </c>
      <c r="HG99">
        <v>3.2989999999999999</v>
      </c>
      <c r="HH99">
        <v>9999</v>
      </c>
      <c r="HI99">
        <v>9999</v>
      </c>
      <c r="HJ99">
        <v>9999</v>
      </c>
      <c r="HK99">
        <v>999.9</v>
      </c>
      <c r="HL99">
        <v>1.8733299999999999</v>
      </c>
      <c r="HM99">
        <v>1.8810800000000001</v>
      </c>
      <c r="HN99">
        <v>1.8846099999999999</v>
      </c>
      <c r="HO99">
        <v>1.8812899999999999</v>
      </c>
      <c r="HP99">
        <v>1.8786499999999999</v>
      </c>
      <c r="HQ99">
        <v>1.8733500000000001</v>
      </c>
      <c r="HR99">
        <v>1.87622</v>
      </c>
      <c r="HS99">
        <v>1.88046</v>
      </c>
      <c r="HT99">
        <v>5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423</v>
      </c>
      <c r="IB99" t="s">
        <v>423</v>
      </c>
      <c r="IC99" t="s">
        <v>423</v>
      </c>
      <c r="ID99">
        <v>0</v>
      </c>
      <c r="IE99">
        <v>100</v>
      </c>
      <c r="IF99">
        <v>100</v>
      </c>
      <c r="IG99">
        <v>-1.41</v>
      </c>
      <c r="IH99">
        <v>0.2364</v>
      </c>
      <c r="II99">
        <v>-1.1400638080647669</v>
      </c>
      <c r="IJ99">
        <v>9.4905977090923709E-4</v>
      </c>
      <c r="IK99">
        <v>-1.9106666302146479E-6</v>
      </c>
      <c r="IL99">
        <v>7.5819610513223293E-10</v>
      </c>
      <c r="IM99">
        <v>-6.0879493055193939E-2</v>
      </c>
      <c r="IN99">
        <v>-1.0595840490420019E-2</v>
      </c>
      <c r="IO99">
        <v>1.2407080968752471E-3</v>
      </c>
      <c r="IP99">
        <v>-1.3015442653884381E-5</v>
      </c>
      <c r="IQ99">
        <v>33</v>
      </c>
      <c r="IR99">
        <v>2014</v>
      </c>
      <c r="IS99">
        <v>1</v>
      </c>
      <c r="IT99">
        <v>26</v>
      </c>
      <c r="IU99">
        <v>0.6</v>
      </c>
      <c r="IV99">
        <v>0.6</v>
      </c>
      <c r="IW99">
        <v>2.47437</v>
      </c>
      <c r="IX99">
        <v>2.5097700000000001</v>
      </c>
      <c r="IY99">
        <v>1.5991200000000001</v>
      </c>
      <c r="IZ99">
        <v>2.2997999999999998</v>
      </c>
      <c r="JA99">
        <v>1.5502899999999999</v>
      </c>
      <c r="JB99">
        <v>2.2827099999999998</v>
      </c>
      <c r="JC99">
        <v>38.403399999999998</v>
      </c>
      <c r="JD99">
        <v>24.061199999999999</v>
      </c>
      <c r="JE99">
        <v>18</v>
      </c>
      <c r="JF99">
        <v>487.49099999999999</v>
      </c>
      <c r="JG99">
        <v>496.94600000000003</v>
      </c>
      <c r="JH99">
        <v>22.386600000000001</v>
      </c>
      <c r="JI99">
        <v>32.500100000000003</v>
      </c>
      <c r="JJ99">
        <v>30.000299999999999</v>
      </c>
      <c r="JK99">
        <v>32.566699999999997</v>
      </c>
      <c r="JL99">
        <v>32.529200000000003</v>
      </c>
      <c r="JM99">
        <v>49.566499999999998</v>
      </c>
      <c r="JN99">
        <v>41.600200000000001</v>
      </c>
      <c r="JO99">
        <v>0</v>
      </c>
      <c r="JP99">
        <v>22.385999999999999</v>
      </c>
      <c r="JQ99">
        <v>1200</v>
      </c>
      <c r="JR99">
        <v>18.277999999999999</v>
      </c>
      <c r="JS99">
        <v>99.608699999999999</v>
      </c>
      <c r="JT99">
        <v>98.715999999999994</v>
      </c>
    </row>
    <row r="100" spans="1:280" x14ac:dyDescent="0.25">
      <c r="A100">
        <v>84</v>
      </c>
      <c r="B100">
        <v>1674594606.5999999</v>
      </c>
      <c r="C100">
        <v>19181.599999904629</v>
      </c>
      <c r="D100" t="s">
        <v>843</v>
      </c>
      <c r="E100" t="s">
        <v>844</v>
      </c>
      <c r="F100" t="s">
        <v>412</v>
      </c>
      <c r="G100" t="s">
        <v>779</v>
      </c>
      <c r="H100" t="s">
        <v>493</v>
      </c>
      <c r="I100">
        <v>1674594606.5999999</v>
      </c>
      <c r="J100">
        <f t="shared" si="92"/>
        <v>5.2606409349410244E-3</v>
      </c>
      <c r="K100">
        <f t="shared" si="93"/>
        <v>5.2606409349410246</v>
      </c>
      <c r="L100">
        <f t="shared" si="94"/>
        <v>53.793123789639964</v>
      </c>
      <c r="M100">
        <f t="shared" si="95"/>
        <v>1426.5</v>
      </c>
      <c r="N100">
        <f t="shared" si="96"/>
        <v>1197.7800718707433</v>
      </c>
      <c r="O100">
        <f t="shared" si="97"/>
        <v>119.38522156366591</v>
      </c>
      <c r="P100">
        <f t="shared" si="98"/>
        <v>142.18221070799999</v>
      </c>
      <c r="Q100">
        <f t="shared" si="99"/>
        <v>0.45585097565832877</v>
      </c>
      <c r="R100">
        <f t="shared" si="100"/>
        <v>2.9292486571433161</v>
      </c>
      <c r="S100">
        <f t="shared" si="101"/>
        <v>0.41979228110890077</v>
      </c>
      <c r="T100">
        <f t="shared" si="102"/>
        <v>0.26537181028124257</v>
      </c>
      <c r="U100">
        <f t="shared" si="103"/>
        <v>344.31679965761344</v>
      </c>
      <c r="V100">
        <f t="shared" si="104"/>
        <v>28.668990058711003</v>
      </c>
      <c r="W100">
        <f t="shared" si="105"/>
        <v>27.494499999999999</v>
      </c>
      <c r="X100">
        <f t="shared" si="106"/>
        <v>3.6844371121809232</v>
      </c>
      <c r="Y100">
        <f t="shared" si="107"/>
        <v>65.166681669048216</v>
      </c>
      <c r="Z100">
        <f t="shared" si="108"/>
        <v>2.4739804335264002</v>
      </c>
      <c r="AA100">
        <f t="shared" si="109"/>
        <v>3.7963885380732076</v>
      </c>
      <c r="AB100">
        <f t="shared" si="110"/>
        <v>1.210456678654523</v>
      </c>
      <c r="AC100">
        <f t="shared" si="111"/>
        <v>-231.99426523089917</v>
      </c>
      <c r="AD100">
        <f t="shared" si="112"/>
        <v>80.934847472004563</v>
      </c>
      <c r="AE100">
        <f t="shared" si="113"/>
        <v>6.007738119765671</v>
      </c>
      <c r="AF100">
        <f t="shared" si="114"/>
        <v>199.26512001848454</v>
      </c>
      <c r="AG100">
        <v>0</v>
      </c>
      <c r="AH100">
        <v>0</v>
      </c>
      <c r="AI100">
        <f t="shared" si="115"/>
        <v>1</v>
      </c>
      <c r="AJ100">
        <f t="shared" si="116"/>
        <v>0</v>
      </c>
      <c r="AK100">
        <f t="shared" si="117"/>
        <v>52682.269134197377</v>
      </c>
      <c r="AL100" t="s">
        <v>415</v>
      </c>
      <c r="AM100">
        <v>10297.6</v>
      </c>
      <c r="AN100">
        <v>785.57400000000007</v>
      </c>
      <c r="AO100">
        <v>3597.65</v>
      </c>
      <c r="AP100">
        <f t="shared" si="118"/>
        <v>0.7816424610509638</v>
      </c>
      <c r="AQ100">
        <v>-0.62398835798131469</v>
      </c>
      <c r="AR100" t="s">
        <v>845</v>
      </c>
      <c r="AS100">
        <v>10220.299999999999</v>
      </c>
      <c r="AT100">
        <v>726.73403999999994</v>
      </c>
      <c r="AU100">
        <v>1117.0934206793879</v>
      </c>
      <c r="AV100">
        <f t="shared" si="119"/>
        <v>0.34944201930934415</v>
      </c>
      <c r="AW100">
        <v>0.5</v>
      </c>
      <c r="AX100">
        <f t="shared" si="120"/>
        <v>1512.9497998288068</v>
      </c>
      <c r="AY100">
        <f t="shared" si="121"/>
        <v>53.793123789639964</v>
      </c>
      <c r="AZ100">
        <f t="shared" si="122"/>
        <v>264.34411658292316</v>
      </c>
      <c r="BA100">
        <f t="shared" si="123"/>
        <v>3.596755963335907E-2</v>
      </c>
      <c r="BB100">
        <f t="shared" si="124"/>
        <v>2.220545330767413</v>
      </c>
      <c r="BC100">
        <f t="shared" si="125"/>
        <v>529.0513725019058</v>
      </c>
      <c r="BD100" t="s">
        <v>846</v>
      </c>
      <c r="BE100">
        <v>556.49</v>
      </c>
      <c r="BF100">
        <f t="shared" si="126"/>
        <v>556.49</v>
      </c>
      <c r="BG100">
        <f t="shared" si="127"/>
        <v>0.50184112653572255</v>
      </c>
      <c r="BH100">
        <f t="shared" si="128"/>
        <v>0.69632001211536776</v>
      </c>
      <c r="BI100">
        <f t="shared" si="129"/>
        <v>0.81566131979922551</v>
      </c>
      <c r="BJ100">
        <f t="shared" si="130"/>
        <v>1.177485710729762</v>
      </c>
      <c r="BK100">
        <f t="shared" si="131"/>
        <v>0.8821086554277382</v>
      </c>
      <c r="BL100">
        <f t="shared" si="132"/>
        <v>0.5332007339880227</v>
      </c>
      <c r="BM100">
        <f t="shared" si="133"/>
        <v>0.4667992660119773</v>
      </c>
      <c r="BN100">
        <v>167</v>
      </c>
      <c r="BO100">
        <v>290.00000000000011</v>
      </c>
      <c r="BP100">
        <v>1011.86</v>
      </c>
      <c r="BQ100">
        <v>185</v>
      </c>
      <c r="BR100">
        <v>10220.299999999999</v>
      </c>
      <c r="BS100">
        <v>1011.23</v>
      </c>
      <c r="BT100">
        <v>0.63</v>
      </c>
      <c r="BU100">
        <v>300.00000000000011</v>
      </c>
      <c r="BV100">
        <v>24.1</v>
      </c>
      <c r="BW100">
        <v>1117.0934206793879</v>
      </c>
      <c r="BX100">
        <v>2.0727742026881861</v>
      </c>
      <c r="BY100">
        <v>-108.2006400420177</v>
      </c>
      <c r="BZ100">
        <v>1.8848820362086991</v>
      </c>
      <c r="CA100">
        <v>0.99157456945762679</v>
      </c>
      <c r="CB100">
        <v>-6.9605515016685224E-3</v>
      </c>
      <c r="CC100">
        <v>289.99999999999989</v>
      </c>
      <c r="CD100">
        <v>1007.03</v>
      </c>
      <c r="CE100">
        <v>665</v>
      </c>
      <c r="CF100">
        <v>10190.6</v>
      </c>
      <c r="CG100">
        <v>1010.92</v>
      </c>
      <c r="CH100">
        <v>-3.89</v>
      </c>
      <c r="CV100">
        <f t="shared" si="134"/>
        <v>1799.72</v>
      </c>
      <c r="CW100">
        <f t="shared" si="135"/>
        <v>1512.9497998288068</v>
      </c>
      <c r="CX100">
        <f t="shared" si="136"/>
        <v>0.84065843566155107</v>
      </c>
      <c r="CY100">
        <f t="shared" si="137"/>
        <v>0.19131687132310218</v>
      </c>
      <c r="CZ100">
        <v>6</v>
      </c>
      <c r="DA100">
        <v>0.5</v>
      </c>
      <c r="DB100" t="s">
        <v>418</v>
      </c>
      <c r="DC100">
        <v>2</v>
      </c>
      <c r="DD100">
        <v>1674594606.5999999</v>
      </c>
      <c r="DE100">
        <v>1426.5</v>
      </c>
      <c r="DF100">
        <v>1500.05</v>
      </c>
      <c r="DG100">
        <v>24.821200000000001</v>
      </c>
      <c r="DH100">
        <v>18.665700000000001</v>
      </c>
      <c r="DI100">
        <v>1428.18</v>
      </c>
      <c r="DJ100">
        <v>24.588000000000001</v>
      </c>
      <c r="DK100">
        <v>500.04700000000003</v>
      </c>
      <c r="DL100">
        <v>99.572599999999994</v>
      </c>
      <c r="DM100">
        <v>9.9472000000000005E-2</v>
      </c>
      <c r="DN100">
        <v>28.007000000000001</v>
      </c>
      <c r="DO100">
        <v>27.494499999999999</v>
      </c>
      <c r="DP100">
        <v>999.9</v>
      </c>
      <c r="DQ100">
        <v>0</v>
      </c>
      <c r="DR100">
        <v>0</v>
      </c>
      <c r="DS100">
        <v>10041.200000000001</v>
      </c>
      <c r="DT100">
        <v>0</v>
      </c>
      <c r="DU100">
        <v>340.99700000000001</v>
      </c>
      <c r="DV100">
        <v>-73.55</v>
      </c>
      <c r="DW100">
        <v>1462.81</v>
      </c>
      <c r="DX100">
        <v>1528.58</v>
      </c>
      <c r="DY100">
        <v>6.1555</v>
      </c>
      <c r="DZ100">
        <v>1500.05</v>
      </c>
      <c r="EA100">
        <v>18.665700000000001</v>
      </c>
      <c r="EB100">
        <v>2.4715099999999999</v>
      </c>
      <c r="EC100">
        <v>1.85859</v>
      </c>
      <c r="ED100">
        <v>20.8401</v>
      </c>
      <c r="EE100">
        <v>16.288499999999999</v>
      </c>
      <c r="EF100">
        <v>1799.72</v>
      </c>
      <c r="EG100">
        <v>0.97799199999999997</v>
      </c>
      <c r="EH100">
        <v>2.2008199999999999E-2</v>
      </c>
      <c r="EI100">
        <v>0</v>
      </c>
      <c r="EJ100">
        <v>726.851</v>
      </c>
      <c r="EK100">
        <v>5.0002599999999999</v>
      </c>
      <c r="EL100">
        <v>13497.3</v>
      </c>
      <c r="EM100">
        <v>17100.7</v>
      </c>
      <c r="EN100">
        <v>50.5</v>
      </c>
      <c r="EO100">
        <v>51.5</v>
      </c>
      <c r="EP100">
        <v>51.375</v>
      </c>
      <c r="EQ100">
        <v>50.875</v>
      </c>
      <c r="ER100">
        <v>51.561999999999998</v>
      </c>
      <c r="ES100">
        <v>1755.22</v>
      </c>
      <c r="ET100">
        <v>39.5</v>
      </c>
      <c r="EU100">
        <v>0</v>
      </c>
      <c r="EV100">
        <v>117</v>
      </c>
      <c r="EW100">
        <v>0</v>
      </c>
      <c r="EX100">
        <v>726.73403999999994</v>
      </c>
      <c r="EY100">
        <v>0.25738462787540772</v>
      </c>
      <c r="EZ100">
        <v>16.623076909615651</v>
      </c>
      <c r="FA100">
        <v>13498.12</v>
      </c>
      <c r="FB100">
        <v>15</v>
      </c>
      <c r="FC100">
        <v>1674594564.0999999</v>
      </c>
      <c r="FD100" t="s">
        <v>847</v>
      </c>
      <c r="FE100">
        <v>1674594564.0999999</v>
      </c>
      <c r="FF100">
        <v>1674594562.0999999</v>
      </c>
      <c r="FG100">
        <v>93</v>
      </c>
      <c r="FH100">
        <v>-0.20599999999999999</v>
      </c>
      <c r="FI100">
        <v>-2E-3</v>
      </c>
      <c r="FJ100">
        <v>-1.6619999999999999</v>
      </c>
      <c r="FK100">
        <v>7.4999999999999997E-2</v>
      </c>
      <c r="FL100">
        <v>1501</v>
      </c>
      <c r="FM100">
        <v>18</v>
      </c>
      <c r="FN100">
        <v>0.04</v>
      </c>
      <c r="FO100">
        <v>0.01</v>
      </c>
      <c r="FP100">
        <v>53.828549031955092</v>
      </c>
      <c r="FQ100">
        <v>-0.56915715053912819</v>
      </c>
      <c r="FR100">
        <v>7.0233528451739316E-2</v>
      </c>
      <c r="FS100">
        <v>1</v>
      </c>
      <c r="FT100">
        <v>0.45883490794219461</v>
      </c>
      <c r="FU100">
        <v>-1.324681289976584E-2</v>
      </c>
      <c r="FV100">
        <v>1.8784132991894621E-3</v>
      </c>
      <c r="FW100">
        <v>1</v>
      </c>
      <c r="FX100">
        <v>2</v>
      </c>
      <c r="FY100">
        <v>2</v>
      </c>
      <c r="FZ100" t="s">
        <v>420</v>
      </c>
      <c r="GA100">
        <v>2.9281199999999998</v>
      </c>
      <c r="GB100">
        <v>2.8067500000000001</v>
      </c>
      <c r="GC100">
        <v>0.233546</v>
      </c>
      <c r="GD100">
        <v>0.24321200000000001</v>
      </c>
      <c r="GE100">
        <v>0.114602</v>
      </c>
      <c r="GF100">
        <v>9.5333699999999993E-2</v>
      </c>
      <c r="GG100">
        <v>22757.599999999999</v>
      </c>
      <c r="GH100">
        <v>22809.200000000001</v>
      </c>
      <c r="GI100">
        <v>28213.599999999999</v>
      </c>
      <c r="GJ100">
        <v>27169.599999999999</v>
      </c>
      <c r="GK100">
        <v>35861</v>
      </c>
      <c r="GL100">
        <v>32459.4</v>
      </c>
      <c r="GM100">
        <v>42011.8</v>
      </c>
      <c r="GN100">
        <v>36865.599999999999</v>
      </c>
      <c r="GO100">
        <v>1.9251499999999999</v>
      </c>
      <c r="GP100">
        <v>1.8879699999999999</v>
      </c>
      <c r="GQ100">
        <v>5.4836299999999998E-2</v>
      </c>
      <c r="GR100">
        <v>0</v>
      </c>
      <c r="GS100">
        <v>26.597799999999999</v>
      </c>
      <c r="GT100">
        <v>999.9</v>
      </c>
      <c r="GU100">
        <v>49.6</v>
      </c>
      <c r="GV100">
        <v>34.9</v>
      </c>
      <c r="GW100">
        <v>27.980799999999999</v>
      </c>
      <c r="GX100">
        <v>62.016399999999997</v>
      </c>
      <c r="GY100">
        <v>26.470400000000001</v>
      </c>
      <c r="GZ100">
        <v>1</v>
      </c>
      <c r="HA100">
        <v>0.42641800000000002</v>
      </c>
      <c r="HB100">
        <v>3.5198</v>
      </c>
      <c r="HC100">
        <v>20.310400000000001</v>
      </c>
      <c r="HD100">
        <v>5.2396000000000003</v>
      </c>
      <c r="HE100">
        <v>11.9381</v>
      </c>
      <c r="HF100">
        <v>4.9734499999999997</v>
      </c>
      <c r="HG100">
        <v>3.2989999999999999</v>
      </c>
      <c r="HH100">
        <v>9999</v>
      </c>
      <c r="HI100">
        <v>9999</v>
      </c>
      <c r="HJ100">
        <v>9999</v>
      </c>
      <c r="HK100">
        <v>999.9</v>
      </c>
      <c r="HL100">
        <v>1.8733299999999999</v>
      </c>
      <c r="HM100">
        <v>1.8810899999999999</v>
      </c>
      <c r="HN100">
        <v>1.8846099999999999</v>
      </c>
      <c r="HO100">
        <v>1.88127</v>
      </c>
      <c r="HP100">
        <v>1.87866</v>
      </c>
      <c r="HQ100">
        <v>1.87334</v>
      </c>
      <c r="HR100">
        <v>1.87622</v>
      </c>
      <c r="HS100">
        <v>1.88045</v>
      </c>
      <c r="HT100">
        <v>5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423</v>
      </c>
      <c r="IB100" t="s">
        <v>423</v>
      </c>
      <c r="IC100" t="s">
        <v>423</v>
      </c>
      <c r="ID100">
        <v>0</v>
      </c>
      <c r="IE100">
        <v>100</v>
      </c>
      <c r="IF100">
        <v>100</v>
      </c>
      <c r="IG100">
        <v>-1.68</v>
      </c>
      <c r="IH100">
        <v>0.23319999999999999</v>
      </c>
      <c r="II100">
        <v>-1.3462305879759771</v>
      </c>
      <c r="IJ100">
        <v>9.4905977090923709E-4</v>
      </c>
      <c r="IK100">
        <v>-1.9106666302146479E-6</v>
      </c>
      <c r="IL100">
        <v>7.5819610513223293E-10</v>
      </c>
      <c r="IM100">
        <v>-6.2827096035451752E-2</v>
      </c>
      <c r="IN100">
        <v>-1.0595840490420019E-2</v>
      </c>
      <c r="IO100">
        <v>1.2407080968752471E-3</v>
      </c>
      <c r="IP100">
        <v>-1.3015442653884381E-5</v>
      </c>
      <c r="IQ100">
        <v>33</v>
      </c>
      <c r="IR100">
        <v>2014</v>
      </c>
      <c r="IS100">
        <v>1</v>
      </c>
      <c r="IT100">
        <v>26</v>
      </c>
      <c r="IU100">
        <v>0.7</v>
      </c>
      <c r="IV100">
        <v>0.7</v>
      </c>
      <c r="IW100">
        <v>2.97119</v>
      </c>
      <c r="IX100">
        <v>2.49146</v>
      </c>
      <c r="IY100">
        <v>1.5991200000000001</v>
      </c>
      <c r="IZ100">
        <v>2.2985799999999998</v>
      </c>
      <c r="JA100">
        <v>1.5502899999999999</v>
      </c>
      <c r="JB100">
        <v>2.35107</v>
      </c>
      <c r="JC100">
        <v>38.427900000000001</v>
      </c>
      <c r="JD100">
        <v>24.061199999999999</v>
      </c>
      <c r="JE100">
        <v>18</v>
      </c>
      <c r="JF100">
        <v>487.44799999999998</v>
      </c>
      <c r="JG100">
        <v>497.72899999999998</v>
      </c>
      <c r="JH100">
        <v>22.3017</v>
      </c>
      <c r="JI100">
        <v>32.5289</v>
      </c>
      <c r="JJ100">
        <v>30.0001</v>
      </c>
      <c r="JK100">
        <v>32.5899</v>
      </c>
      <c r="JL100">
        <v>32.549399999999999</v>
      </c>
      <c r="JM100">
        <v>59.531700000000001</v>
      </c>
      <c r="JN100">
        <v>39.762599999999999</v>
      </c>
      <c r="JO100">
        <v>0</v>
      </c>
      <c r="JP100">
        <v>22.301500000000001</v>
      </c>
      <c r="JQ100">
        <v>1500</v>
      </c>
      <c r="JR100">
        <v>18.597999999999999</v>
      </c>
      <c r="JS100">
        <v>99.604799999999997</v>
      </c>
      <c r="JT100">
        <v>98.706500000000005</v>
      </c>
    </row>
    <row r="101" spans="1:280" x14ac:dyDescent="0.25">
      <c r="A101">
        <v>85</v>
      </c>
      <c r="B101">
        <v>1674596006</v>
      </c>
      <c r="C101">
        <v>20581</v>
      </c>
      <c r="D101" t="s">
        <v>848</v>
      </c>
      <c r="E101" t="s">
        <v>849</v>
      </c>
      <c r="F101" t="s">
        <v>412</v>
      </c>
      <c r="G101" t="s">
        <v>850</v>
      </c>
      <c r="H101" t="s">
        <v>565</v>
      </c>
      <c r="I101">
        <v>1674596006</v>
      </c>
      <c r="J101">
        <f t="shared" si="92"/>
        <v>5.5231026886822972E-3</v>
      </c>
      <c r="K101">
        <f t="shared" si="93"/>
        <v>5.5231026886822976</v>
      </c>
      <c r="L101">
        <f t="shared" si="94"/>
        <v>53.222849185417758</v>
      </c>
      <c r="M101">
        <f t="shared" si="95"/>
        <v>333.98599999999999</v>
      </c>
      <c r="N101">
        <f t="shared" si="96"/>
        <v>143.85802193657796</v>
      </c>
      <c r="O101">
        <f t="shared" si="97"/>
        <v>14.337463452700733</v>
      </c>
      <c r="P101">
        <f t="shared" si="98"/>
        <v>33.286375026237998</v>
      </c>
      <c r="Q101">
        <f t="shared" si="99"/>
        <v>0.49595140431691404</v>
      </c>
      <c r="R101">
        <f t="shared" si="100"/>
        <v>2.9123375019985569</v>
      </c>
      <c r="S101">
        <f t="shared" si="101"/>
        <v>0.45336182571347899</v>
      </c>
      <c r="T101">
        <f t="shared" si="102"/>
        <v>0.28687224543243217</v>
      </c>
      <c r="U101">
        <f t="shared" si="103"/>
        <v>344.34789965781914</v>
      </c>
      <c r="V101">
        <f t="shared" si="104"/>
        <v>28.5810752297546</v>
      </c>
      <c r="W101">
        <f t="shared" si="105"/>
        <v>27.395099999999999</v>
      </c>
      <c r="X101">
        <f t="shared" si="106"/>
        <v>3.663060819314397</v>
      </c>
      <c r="Y101">
        <f t="shared" si="107"/>
        <v>65.580955376346566</v>
      </c>
      <c r="Z101">
        <f t="shared" si="108"/>
        <v>2.4863572494941999</v>
      </c>
      <c r="AA101">
        <f t="shared" si="109"/>
        <v>3.7912793969313956</v>
      </c>
      <c r="AB101">
        <f t="shared" si="110"/>
        <v>1.1767035698201971</v>
      </c>
      <c r="AC101">
        <f t="shared" si="111"/>
        <v>-243.56882857088931</v>
      </c>
      <c r="AD101">
        <f t="shared" si="112"/>
        <v>92.447452323280828</v>
      </c>
      <c r="AE101">
        <f t="shared" si="113"/>
        <v>6.8979438931707824</v>
      </c>
      <c r="AF101">
        <f t="shared" si="114"/>
        <v>200.12446730338146</v>
      </c>
      <c r="AG101">
        <v>0</v>
      </c>
      <c r="AH101">
        <v>0</v>
      </c>
      <c r="AI101">
        <f t="shared" si="115"/>
        <v>1</v>
      </c>
      <c r="AJ101">
        <f t="shared" si="116"/>
        <v>0</v>
      </c>
      <c r="AK101">
        <f t="shared" si="117"/>
        <v>52200.355239671866</v>
      </c>
      <c r="AL101" t="s">
        <v>415</v>
      </c>
      <c r="AM101">
        <v>10297.6</v>
      </c>
      <c r="AN101">
        <v>785.57400000000007</v>
      </c>
      <c r="AO101">
        <v>3597.65</v>
      </c>
      <c r="AP101">
        <f t="shared" si="118"/>
        <v>0.7816424610509638</v>
      </c>
      <c r="AQ101">
        <v>-0.62398835798131469</v>
      </c>
      <c r="AR101" t="s">
        <v>851</v>
      </c>
      <c r="AS101">
        <v>10228.1</v>
      </c>
      <c r="AT101">
        <v>756.60528000000011</v>
      </c>
      <c r="AU101">
        <v>1159.2765362552891</v>
      </c>
      <c r="AV101">
        <f t="shared" si="119"/>
        <v>0.34734702520246219</v>
      </c>
      <c r="AW101">
        <v>0.5</v>
      </c>
      <c r="AX101">
        <f t="shared" si="120"/>
        <v>1513.0919998289096</v>
      </c>
      <c r="AY101">
        <f t="shared" si="121"/>
        <v>53.222849185417758</v>
      </c>
      <c r="AZ101">
        <f t="shared" si="122"/>
        <v>262.78400249910811</v>
      </c>
      <c r="BA101">
        <f t="shared" si="123"/>
        <v>3.5587285868597364E-2</v>
      </c>
      <c r="BB101">
        <f t="shared" si="124"/>
        <v>2.1033579025252922</v>
      </c>
      <c r="BC101">
        <f t="shared" si="125"/>
        <v>538.3283653661357</v>
      </c>
      <c r="BD101" t="s">
        <v>852</v>
      </c>
      <c r="BE101">
        <v>574.28</v>
      </c>
      <c r="BF101">
        <f t="shared" si="126"/>
        <v>574.28</v>
      </c>
      <c r="BG101">
        <f t="shared" si="127"/>
        <v>0.50462207934006231</v>
      </c>
      <c r="BH101">
        <f t="shared" si="128"/>
        <v>0.68833100933022551</v>
      </c>
      <c r="BI101">
        <f t="shared" si="129"/>
        <v>0.80650845372703672</v>
      </c>
      <c r="BJ101">
        <f t="shared" si="130"/>
        <v>1.0775181252187447</v>
      </c>
      <c r="BK101">
        <f t="shared" si="131"/>
        <v>0.86710795289484033</v>
      </c>
      <c r="BL101">
        <f t="shared" si="132"/>
        <v>0.52245833129549646</v>
      </c>
      <c r="BM101">
        <f t="shared" si="133"/>
        <v>0.47754166870450354</v>
      </c>
      <c r="BN101">
        <v>169</v>
      </c>
      <c r="BO101">
        <v>290.00000000000011</v>
      </c>
      <c r="BP101">
        <v>1047.74</v>
      </c>
      <c r="BQ101">
        <v>215</v>
      </c>
      <c r="BR101">
        <v>10228.1</v>
      </c>
      <c r="BS101">
        <v>1047.71</v>
      </c>
      <c r="BT101">
        <v>0.03</v>
      </c>
      <c r="BU101">
        <v>300.00000000000011</v>
      </c>
      <c r="BV101">
        <v>24.1</v>
      </c>
      <c r="BW101">
        <v>1159.2765362552891</v>
      </c>
      <c r="BX101">
        <v>1.852753972860091</v>
      </c>
      <c r="BY101">
        <v>-114.115856663823</v>
      </c>
      <c r="BZ101">
        <v>1.686893864660598</v>
      </c>
      <c r="CA101">
        <v>0.99391875577682898</v>
      </c>
      <c r="CB101">
        <v>-6.9682593993325966E-3</v>
      </c>
      <c r="CC101">
        <v>289.99999999999989</v>
      </c>
      <c r="CD101">
        <v>1042.8599999999999</v>
      </c>
      <c r="CE101">
        <v>715</v>
      </c>
      <c r="CF101">
        <v>10200.4</v>
      </c>
      <c r="CG101">
        <v>1047.4000000000001</v>
      </c>
      <c r="CH101">
        <v>-4.54</v>
      </c>
      <c r="CV101">
        <f t="shared" si="134"/>
        <v>1799.89</v>
      </c>
      <c r="CW101">
        <f t="shared" si="135"/>
        <v>1513.0919998289096</v>
      </c>
      <c r="CX101">
        <f t="shared" si="136"/>
        <v>0.84065804011851253</v>
      </c>
      <c r="CY101">
        <f t="shared" si="137"/>
        <v>0.19131608023702512</v>
      </c>
      <c r="CZ101">
        <v>6</v>
      </c>
      <c r="DA101">
        <v>0.5</v>
      </c>
      <c r="DB101" t="s">
        <v>418</v>
      </c>
      <c r="DC101">
        <v>2</v>
      </c>
      <c r="DD101">
        <v>1674596006</v>
      </c>
      <c r="DE101">
        <v>333.98599999999999</v>
      </c>
      <c r="DF101">
        <v>400.05799999999999</v>
      </c>
      <c r="DG101">
        <v>24.947399999999998</v>
      </c>
      <c r="DH101">
        <v>18.485900000000001</v>
      </c>
      <c r="DI101">
        <v>334.72899999999998</v>
      </c>
      <c r="DJ101">
        <v>24.710699999999999</v>
      </c>
      <c r="DK101">
        <v>500.06799999999998</v>
      </c>
      <c r="DL101">
        <v>99.563500000000005</v>
      </c>
      <c r="DM101">
        <v>0.100483</v>
      </c>
      <c r="DN101">
        <v>27.983899999999998</v>
      </c>
      <c r="DO101">
        <v>27.395099999999999</v>
      </c>
      <c r="DP101">
        <v>999.9</v>
      </c>
      <c r="DQ101">
        <v>0</v>
      </c>
      <c r="DR101">
        <v>0</v>
      </c>
      <c r="DS101">
        <v>9945.6200000000008</v>
      </c>
      <c r="DT101">
        <v>0</v>
      </c>
      <c r="DU101">
        <v>433.51799999999997</v>
      </c>
      <c r="DV101">
        <v>-66.071799999999996</v>
      </c>
      <c r="DW101">
        <v>342.53100000000001</v>
      </c>
      <c r="DX101">
        <v>407.59199999999998</v>
      </c>
      <c r="DY101">
        <v>6.46157</v>
      </c>
      <c r="DZ101">
        <v>400.05799999999999</v>
      </c>
      <c r="EA101">
        <v>18.485900000000001</v>
      </c>
      <c r="EB101">
        <v>2.4838499999999999</v>
      </c>
      <c r="EC101">
        <v>1.8405199999999999</v>
      </c>
      <c r="ED101">
        <v>20.921099999999999</v>
      </c>
      <c r="EE101">
        <v>16.135200000000001</v>
      </c>
      <c r="EF101">
        <v>1799.89</v>
      </c>
      <c r="EG101">
        <v>0.97800399999999998</v>
      </c>
      <c r="EH101">
        <v>2.19957E-2</v>
      </c>
      <c r="EI101">
        <v>0</v>
      </c>
      <c r="EJ101">
        <v>756.31</v>
      </c>
      <c r="EK101">
        <v>5.0002599999999999</v>
      </c>
      <c r="EL101">
        <v>13909.1</v>
      </c>
      <c r="EM101">
        <v>17102.400000000001</v>
      </c>
      <c r="EN101">
        <v>49.811999999999998</v>
      </c>
      <c r="EO101">
        <v>51.25</v>
      </c>
      <c r="EP101">
        <v>50.811999999999998</v>
      </c>
      <c r="EQ101">
        <v>50.5</v>
      </c>
      <c r="ER101">
        <v>51</v>
      </c>
      <c r="ES101">
        <v>1755.41</v>
      </c>
      <c r="ET101">
        <v>39.479999999999997</v>
      </c>
      <c r="EU101">
        <v>0</v>
      </c>
      <c r="EV101">
        <v>1397.599999904633</v>
      </c>
      <c r="EW101">
        <v>0</v>
      </c>
      <c r="EX101">
        <v>756.60528000000011</v>
      </c>
      <c r="EY101">
        <v>0.44569230546812688</v>
      </c>
      <c r="EZ101">
        <v>2.3384615621508389</v>
      </c>
      <c r="FA101">
        <v>13909.16</v>
      </c>
      <c r="FB101">
        <v>15</v>
      </c>
      <c r="FC101">
        <v>1674595968</v>
      </c>
      <c r="FD101" t="s">
        <v>853</v>
      </c>
      <c r="FE101">
        <v>1674595968</v>
      </c>
      <c r="FF101">
        <v>1674595964</v>
      </c>
      <c r="FG101">
        <v>95</v>
      </c>
      <c r="FH101">
        <v>0.23</v>
      </c>
      <c r="FI101">
        <v>-1E-3</v>
      </c>
      <c r="FJ101">
        <v>-0.753</v>
      </c>
      <c r="FK101">
        <v>8.3000000000000004E-2</v>
      </c>
      <c r="FL101">
        <v>400</v>
      </c>
      <c r="FM101">
        <v>19</v>
      </c>
      <c r="FN101">
        <v>0.04</v>
      </c>
      <c r="FO101">
        <v>0.02</v>
      </c>
      <c r="FP101">
        <v>53.230027211918561</v>
      </c>
      <c r="FQ101">
        <v>0.1497338705558296</v>
      </c>
      <c r="FR101">
        <v>5.9313129639352813E-2</v>
      </c>
      <c r="FS101">
        <v>1</v>
      </c>
      <c r="FT101">
        <v>0.4920227020555461</v>
      </c>
      <c r="FU101">
        <v>4.8787392101338672E-2</v>
      </c>
      <c r="FV101">
        <v>4.7958542683432803E-3</v>
      </c>
      <c r="FW101">
        <v>1</v>
      </c>
      <c r="FX101">
        <v>2</v>
      </c>
      <c r="FY101">
        <v>2</v>
      </c>
      <c r="FZ101" t="s">
        <v>420</v>
      </c>
      <c r="GA101">
        <v>2.9280900000000001</v>
      </c>
      <c r="GB101">
        <v>2.8069299999999999</v>
      </c>
      <c r="GC101">
        <v>8.4974499999999994E-2</v>
      </c>
      <c r="GD101">
        <v>9.9065600000000004E-2</v>
      </c>
      <c r="GE101">
        <v>0.11497499999999999</v>
      </c>
      <c r="GF101">
        <v>9.4655400000000001E-2</v>
      </c>
      <c r="GG101">
        <v>27171.3</v>
      </c>
      <c r="GH101">
        <v>27167.3</v>
      </c>
      <c r="GI101">
        <v>28207.1</v>
      </c>
      <c r="GJ101">
        <v>27174.3</v>
      </c>
      <c r="GK101">
        <v>35835.9</v>
      </c>
      <c r="GL101">
        <v>32489.599999999999</v>
      </c>
      <c r="GM101">
        <v>42001.599999999999</v>
      </c>
      <c r="GN101">
        <v>36873.4</v>
      </c>
      <c r="GO101">
        <v>1.9250700000000001</v>
      </c>
      <c r="GP101">
        <v>1.88568</v>
      </c>
      <c r="GQ101">
        <v>5.4583E-2</v>
      </c>
      <c r="GR101">
        <v>0</v>
      </c>
      <c r="GS101">
        <v>26.502400000000002</v>
      </c>
      <c r="GT101">
        <v>999.9</v>
      </c>
      <c r="GU101">
        <v>49.8</v>
      </c>
      <c r="GV101">
        <v>34.9</v>
      </c>
      <c r="GW101">
        <v>28.097100000000001</v>
      </c>
      <c r="GX101">
        <v>61.9664</v>
      </c>
      <c r="GY101">
        <v>26.490400000000001</v>
      </c>
      <c r="GZ101">
        <v>1</v>
      </c>
      <c r="HA101">
        <v>0.42820399999999997</v>
      </c>
      <c r="HB101">
        <v>3.04576</v>
      </c>
      <c r="HC101">
        <v>20.3202</v>
      </c>
      <c r="HD101">
        <v>5.2396000000000003</v>
      </c>
      <c r="HE101">
        <v>11.9381</v>
      </c>
      <c r="HF101">
        <v>4.9736000000000002</v>
      </c>
      <c r="HG101">
        <v>3.2989999999999999</v>
      </c>
      <c r="HH101">
        <v>9999</v>
      </c>
      <c r="HI101">
        <v>9999</v>
      </c>
      <c r="HJ101">
        <v>9999</v>
      </c>
      <c r="HK101">
        <v>999.9</v>
      </c>
      <c r="HL101">
        <v>1.8733200000000001</v>
      </c>
      <c r="HM101">
        <v>1.8810800000000001</v>
      </c>
      <c r="HN101">
        <v>1.8846099999999999</v>
      </c>
      <c r="HO101">
        <v>1.8812599999999999</v>
      </c>
      <c r="HP101">
        <v>1.8786499999999999</v>
      </c>
      <c r="HQ101">
        <v>1.8733200000000001</v>
      </c>
      <c r="HR101">
        <v>1.87622</v>
      </c>
      <c r="HS101">
        <v>1.8804700000000001</v>
      </c>
      <c r="HT101">
        <v>5</v>
      </c>
      <c r="HU101">
        <v>0</v>
      </c>
      <c r="HV101">
        <v>0</v>
      </c>
      <c r="HW101">
        <v>0</v>
      </c>
      <c r="HX101" t="s">
        <v>421</v>
      </c>
      <c r="HY101" t="s">
        <v>422</v>
      </c>
      <c r="HZ101" t="s">
        <v>423</v>
      </c>
      <c r="IA101" t="s">
        <v>423</v>
      </c>
      <c r="IB101" t="s">
        <v>423</v>
      </c>
      <c r="IC101" t="s">
        <v>423</v>
      </c>
      <c r="ID101">
        <v>0</v>
      </c>
      <c r="IE101">
        <v>100</v>
      </c>
      <c r="IF101">
        <v>100</v>
      </c>
      <c r="IG101">
        <v>-0.74299999999999999</v>
      </c>
      <c r="IH101">
        <v>0.23669999999999999</v>
      </c>
      <c r="II101">
        <v>-0.87557863691782789</v>
      </c>
      <c r="IJ101">
        <v>9.4905977090923709E-4</v>
      </c>
      <c r="IK101">
        <v>-1.9106666302146479E-6</v>
      </c>
      <c r="IL101">
        <v>7.5819610513223293E-10</v>
      </c>
      <c r="IM101">
        <v>-6.2655959497850966E-2</v>
      </c>
      <c r="IN101">
        <v>-1.0595840490420019E-2</v>
      </c>
      <c r="IO101">
        <v>1.2407080968752471E-3</v>
      </c>
      <c r="IP101">
        <v>-1.3015442653884381E-5</v>
      </c>
      <c r="IQ101">
        <v>33</v>
      </c>
      <c r="IR101">
        <v>2014</v>
      </c>
      <c r="IS101">
        <v>1</v>
      </c>
      <c r="IT101">
        <v>26</v>
      </c>
      <c r="IU101">
        <v>0.6</v>
      </c>
      <c r="IV101">
        <v>0.7</v>
      </c>
      <c r="IW101">
        <v>1.01074</v>
      </c>
      <c r="IX101">
        <v>2.51709</v>
      </c>
      <c r="IY101">
        <v>1.5991200000000001</v>
      </c>
      <c r="IZ101">
        <v>2.2973599999999998</v>
      </c>
      <c r="JA101">
        <v>1.5502899999999999</v>
      </c>
      <c r="JB101">
        <v>2.2460900000000001</v>
      </c>
      <c r="JC101">
        <v>38.452399999999997</v>
      </c>
      <c r="JD101">
        <v>24.061199999999999</v>
      </c>
      <c r="JE101">
        <v>18</v>
      </c>
      <c r="JF101">
        <v>487.87700000000001</v>
      </c>
      <c r="JG101">
        <v>496.65699999999998</v>
      </c>
      <c r="JH101">
        <v>22.649000000000001</v>
      </c>
      <c r="JI101">
        <v>32.575099999999999</v>
      </c>
      <c r="JJ101">
        <v>29.9998</v>
      </c>
      <c r="JK101">
        <v>32.6509</v>
      </c>
      <c r="JL101">
        <v>32.616</v>
      </c>
      <c r="JM101">
        <v>20.279</v>
      </c>
      <c r="JN101">
        <v>41.5077</v>
      </c>
      <c r="JO101">
        <v>0</v>
      </c>
      <c r="JP101">
        <v>22.660499999999999</v>
      </c>
      <c r="JQ101">
        <v>400</v>
      </c>
      <c r="JR101">
        <v>18.393000000000001</v>
      </c>
      <c r="JS101">
        <v>99.581100000000006</v>
      </c>
      <c r="JT101">
        <v>98.725700000000003</v>
      </c>
    </row>
    <row r="102" spans="1:280" x14ac:dyDescent="0.25">
      <c r="A102">
        <v>86</v>
      </c>
      <c r="B102">
        <v>1674596124.5</v>
      </c>
      <c r="C102">
        <v>20699.5</v>
      </c>
      <c r="D102" t="s">
        <v>854</v>
      </c>
      <c r="E102" t="s">
        <v>855</v>
      </c>
      <c r="F102" t="s">
        <v>412</v>
      </c>
      <c r="G102" t="s">
        <v>850</v>
      </c>
      <c r="H102" t="s">
        <v>565</v>
      </c>
      <c r="I102">
        <v>1674596124.5</v>
      </c>
      <c r="J102">
        <f t="shared" si="92"/>
        <v>5.6753401047650075E-3</v>
      </c>
      <c r="K102">
        <f t="shared" si="93"/>
        <v>5.6753401047650076</v>
      </c>
      <c r="L102">
        <f t="shared" si="94"/>
        <v>45.13451007808149</v>
      </c>
      <c r="M102">
        <f t="shared" si="95"/>
        <v>244.15100000000001</v>
      </c>
      <c r="N102">
        <f t="shared" si="96"/>
        <v>87.381118181485377</v>
      </c>
      <c r="O102">
        <f t="shared" si="97"/>
        <v>8.7091523174853034</v>
      </c>
      <c r="P102">
        <f t="shared" si="98"/>
        <v>24.334184452184001</v>
      </c>
      <c r="Q102">
        <f t="shared" si="99"/>
        <v>0.50900766464692127</v>
      </c>
      <c r="R102">
        <f t="shared" si="100"/>
        <v>2.9192295799776895</v>
      </c>
      <c r="S102">
        <f t="shared" si="101"/>
        <v>0.46435016760582754</v>
      </c>
      <c r="T102">
        <f t="shared" si="102"/>
        <v>0.29390395850771445</v>
      </c>
      <c r="U102">
        <f t="shared" si="103"/>
        <v>344.40679965787808</v>
      </c>
      <c r="V102">
        <f t="shared" si="104"/>
        <v>28.560908598130926</v>
      </c>
      <c r="W102">
        <f t="shared" si="105"/>
        <v>27.3934</v>
      </c>
      <c r="X102">
        <f t="shared" si="106"/>
        <v>3.6626961722104823</v>
      </c>
      <c r="Y102">
        <f t="shared" si="107"/>
        <v>65.390115236665523</v>
      </c>
      <c r="Z102">
        <f t="shared" si="108"/>
        <v>2.4820866147856</v>
      </c>
      <c r="AA102">
        <f t="shared" si="109"/>
        <v>3.7958131833874567</v>
      </c>
      <c r="AB102">
        <f t="shared" si="110"/>
        <v>1.1806095574248823</v>
      </c>
      <c r="AC102">
        <f t="shared" si="111"/>
        <v>-250.28249862013683</v>
      </c>
      <c r="AD102">
        <f t="shared" si="112"/>
        <v>96.160099625727753</v>
      </c>
      <c r="AE102">
        <f t="shared" si="113"/>
        <v>7.1586944791029543</v>
      </c>
      <c r="AF102">
        <f t="shared" si="114"/>
        <v>197.44309514257196</v>
      </c>
      <c r="AG102">
        <v>0</v>
      </c>
      <c r="AH102">
        <v>0</v>
      </c>
      <c r="AI102">
        <f t="shared" si="115"/>
        <v>1</v>
      </c>
      <c r="AJ102">
        <f t="shared" si="116"/>
        <v>0</v>
      </c>
      <c r="AK102">
        <f t="shared" si="117"/>
        <v>52394.641898666268</v>
      </c>
      <c r="AL102" t="s">
        <v>415</v>
      </c>
      <c r="AM102">
        <v>10297.6</v>
      </c>
      <c r="AN102">
        <v>785.57400000000007</v>
      </c>
      <c r="AO102">
        <v>3597.65</v>
      </c>
      <c r="AP102">
        <f t="shared" si="118"/>
        <v>0.7816424610509638</v>
      </c>
      <c r="AQ102">
        <v>-0.62398835798131469</v>
      </c>
      <c r="AR102" t="s">
        <v>856</v>
      </c>
      <c r="AS102">
        <v>10230.5</v>
      </c>
      <c r="AT102">
        <v>741.29739999999993</v>
      </c>
      <c r="AU102">
        <v>1087.564403364825</v>
      </c>
      <c r="AV102">
        <f t="shared" si="119"/>
        <v>0.31838758449017512</v>
      </c>
      <c r="AW102">
        <v>0.5</v>
      </c>
      <c r="AX102">
        <f t="shared" si="120"/>
        <v>1513.352399828939</v>
      </c>
      <c r="AY102">
        <f t="shared" si="121"/>
        <v>45.13451007808149</v>
      </c>
      <c r="AZ102">
        <f t="shared" si="122"/>
        <v>240.91630753197282</v>
      </c>
      <c r="BA102">
        <f t="shared" si="123"/>
        <v>3.0236512289692138E-2</v>
      </c>
      <c r="BB102">
        <f t="shared" si="124"/>
        <v>2.307988004084355</v>
      </c>
      <c r="BC102">
        <f t="shared" si="125"/>
        <v>522.3347447926991</v>
      </c>
      <c r="BD102" t="s">
        <v>857</v>
      </c>
      <c r="BE102">
        <v>571.30999999999995</v>
      </c>
      <c r="BF102">
        <f t="shared" si="126"/>
        <v>571.30999999999995</v>
      </c>
      <c r="BG102">
        <f t="shared" si="127"/>
        <v>0.47468858098663491</v>
      </c>
      <c r="BH102">
        <f t="shared" si="128"/>
        <v>0.67072939447671154</v>
      </c>
      <c r="BI102">
        <f t="shared" si="129"/>
        <v>0.82941295314973695</v>
      </c>
      <c r="BJ102">
        <f t="shared" si="130"/>
        <v>1.1466159172830104</v>
      </c>
      <c r="BK102">
        <f t="shared" si="131"/>
        <v>0.89260944463633807</v>
      </c>
      <c r="BL102">
        <f t="shared" si="132"/>
        <v>0.51692399077413476</v>
      </c>
      <c r="BM102">
        <f t="shared" si="133"/>
        <v>0.48307600922586524</v>
      </c>
      <c r="BN102">
        <v>171</v>
      </c>
      <c r="BO102">
        <v>290.00000000000011</v>
      </c>
      <c r="BP102">
        <v>986.31</v>
      </c>
      <c r="BQ102">
        <v>195</v>
      </c>
      <c r="BR102">
        <v>10230.5</v>
      </c>
      <c r="BS102">
        <v>985.27</v>
      </c>
      <c r="BT102">
        <v>1.04</v>
      </c>
      <c r="BU102">
        <v>300.00000000000011</v>
      </c>
      <c r="BV102">
        <v>24.1</v>
      </c>
      <c r="BW102">
        <v>1087.564403364825</v>
      </c>
      <c r="BX102">
        <v>2.4337268076820728</v>
      </c>
      <c r="BY102">
        <v>-104.6486014327695</v>
      </c>
      <c r="BZ102">
        <v>2.21577090489891</v>
      </c>
      <c r="CA102">
        <v>0.9876028115633716</v>
      </c>
      <c r="CB102">
        <v>-6.9678235817575152E-3</v>
      </c>
      <c r="CC102">
        <v>289.99999999999989</v>
      </c>
      <c r="CD102">
        <v>980.74</v>
      </c>
      <c r="CE102">
        <v>675</v>
      </c>
      <c r="CF102">
        <v>10202.4</v>
      </c>
      <c r="CG102">
        <v>984.99</v>
      </c>
      <c r="CH102">
        <v>-4.25</v>
      </c>
      <c r="CV102">
        <f t="shared" si="134"/>
        <v>1800.2</v>
      </c>
      <c r="CW102">
        <f t="shared" si="135"/>
        <v>1513.352399828939</v>
      </c>
      <c r="CX102">
        <f t="shared" si="136"/>
        <v>0.84065792680198814</v>
      </c>
      <c r="CY102">
        <f t="shared" si="137"/>
        <v>0.19131585360397627</v>
      </c>
      <c r="CZ102">
        <v>6</v>
      </c>
      <c r="DA102">
        <v>0.5</v>
      </c>
      <c r="DB102" t="s">
        <v>418</v>
      </c>
      <c r="DC102">
        <v>2</v>
      </c>
      <c r="DD102">
        <v>1674596124.5</v>
      </c>
      <c r="DE102">
        <v>244.15100000000001</v>
      </c>
      <c r="DF102">
        <v>299.95999999999998</v>
      </c>
      <c r="DG102">
        <v>24.903400000000001</v>
      </c>
      <c r="DH102">
        <v>18.264399999999998</v>
      </c>
      <c r="DI102">
        <v>244.917</v>
      </c>
      <c r="DJ102">
        <v>24.664200000000001</v>
      </c>
      <c r="DK102">
        <v>500.13600000000002</v>
      </c>
      <c r="DL102">
        <v>99.568399999999997</v>
      </c>
      <c r="DM102">
        <v>0.100184</v>
      </c>
      <c r="DN102">
        <v>28.0044</v>
      </c>
      <c r="DO102">
        <v>27.3934</v>
      </c>
      <c r="DP102">
        <v>999.9</v>
      </c>
      <c r="DQ102">
        <v>0</v>
      </c>
      <c r="DR102">
        <v>0</v>
      </c>
      <c r="DS102">
        <v>9984.3799999999992</v>
      </c>
      <c r="DT102">
        <v>0</v>
      </c>
      <c r="DU102">
        <v>429.45600000000002</v>
      </c>
      <c r="DV102">
        <v>-55.808999999999997</v>
      </c>
      <c r="DW102">
        <v>250.386</v>
      </c>
      <c r="DX102">
        <v>305.54000000000002</v>
      </c>
      <c r="DY102">
        <v>6.6389500000000004</v>
      </c>
      <c r="DZ102">
        <v>299.95999999999998</v>
      </c>
      <c r="EA102">
        <v>18.264399999999998</v>
      </c>
      <c r="EB102">
        <v>2.47959</v>
      </c>
      <c r="EC102">
        <v>1.81856</v>
      </c>
      <c r="ED102">
        <v>20.8932</v>
      </c>
      <c r="EE102">
        <v>15.9472</v>
      </c>
      <c r="EF102">
        <v>1800.2</v>
      </c>
      <c r="EG102">
        <v>0.97800799999999999</v>
      </c>
      <c r="EH102">
        <v>2.1992000000000001E-2</v>
      </c>
      <c r="EI102">
        <v>0</v>
      </c>
      <c r="EJ102">
        <v>741.49400000000003</v>
      </c>
      <c r="EK102">
        <v>5.0002599999999999</v>
      </c>
      <c r="EL102">
        <v>13600.9</v>
      </c>
      <c r="EM102">
        <v>17105.3</v>
      </c>
      <c r="EN102">
        <v>49.75</v>
      </c>
      <c r="EO102">
        <v>51.125</v>
      </c>
      <c r="EP102">
        <v>50.811999999999998</v>
      </c>
      <c r="EQ102">
        <v>50.375</v>
      </c>
      <c r="ER102">
        <v>50.936999999999998</v>
      </c>
      <c r="ES102">
        <v>1755.72</v>
      </c>
      <c r="ET102">
        <v>39.479999999999997</v>
      </c>
      <c r="EU102">
        <v>0</v>
      </c>
      <c r="EV102">
        <v>116.5999999046326</v>
      </c>
      <c r="EW102">
        <v>0</v>
      </c>
      <c r="EX102">
        <v>741.29739999999993</v>
      </c>
      <c r="EY102">
        <v>-2.6008461789015249</v>
      </c>
      <c r="EZ102">
        <v>-63.461538574859041</v>
      </c>
      <c r="FA102">
        <v>13604.696</v>
      </c>
      <c r="FB102">
        <v>15</v>
      </c>
      <c r="FC102">
        <v>1674596086.5</v>
      </c>
      <c r="FD102" t="s">
        <v>858</v>
      </c>
      <c r="FE102">
        <v>1674596083.5</v>
      </c>
      <c r="FF102">
        <v>1674596086.5</v>
      </c>
      <c r="FG102">
        <v>96</v>
      </c>
      <c r="FH102">
        <v>-0.02</v>
      </c>
      <c r="FI102">
        <v>4.0000000000000001E-3</v>
      </c>
      <c r="FJ102">
        <v>-0.76200000000000001</v>
      </c>
      <c r="FK102">
        <v>8.2000000000000003E-2</v>
      </c>
      <c r="FL102">
        <v>300</v>
      </c>
      <c r="FM102">
        <v>18</v>
      </c>
      <c r="FN102">
        <v>0.04</v>
      </c>
      <c r="FO102">
        <v>0.01</v>
      </c>
      <c r="FP102">
        <v>45.06752541084284</v>
      </c>
      <c r="FQ102">
        <v>0.25213202249206129</v>
      </c>
      <c r="FR102">
        <v>4.0228100700063073E-2</v>
      </c>
      <c r="FS102">
        <v>1</v>
      </c>
      <c r="FT102">
        <v>0.51154257562388317</v>
      </c>
      <c r="FU102">
        <v>4.6691644911866982E-2</v>
      </c>
      <c r="FV102">
        <v>7.0642721200176702E-3</v>
      </c>
      <c r="FW102">
        <v>1</v>
      </c>
      <c r="FX102">
        <v>2</v>
      </c>
      <c r="FY102">
        <v>2</v>
      </c>
      <c r="FZ102" t="s">
        <v>420</v>
      </c>
      <c r="GA102">
        <v>2.9283000000000001</v>
      </c>
      <c r="GB102">
        <v>2.8069600000000001</v>
      </c>
      <c r="GC102">
        <v>6.5436800000000003E-2</v>
      </c>
      <c r="GD102">
        <v>7.8706600000000002E-2</v>
      </c>
      <c r="GE102">
        <v>0.114832</v>
      </c>
      <c r="GF102">
        <v>9.3851699999999996E-2</v>
      </c>
      <c r="GG102">
        <v>27752.400000000001</v>
      </c>
      <c r="GH102">
        <v>27782.2</v>
      </c>
      <c r="GI102">
        <v>28207.5</v>
      </c>
      <c r="GJ102">
        <v>27174.7</v>
      </c>
      <c r="GK102">
        <v>35841.699999999997</v>
      </c>
      <c r="GL102">
        <v>32519</v>
      </c>
      <c r="GM102">
        <v>42001.7</v>
      </c>
      <c r="GN102">
        <v>36874.300000000003</v>
      </c>
      <c r="GO102">
        <v>1.9254199999999999</v>
      </c>
      <c r="GP102">
        <v>1.8851199999999999</v>
      </c>
      <c r="GQ102">
        <v>5.9079399999999997E-2</v>
      </c>
      <c r="GR102">
        <v>0</v>
      </c>
      <c r="GS102">
        <v>26.427099999999999</v>
      </c>
      <c r="GT102">
        <v>999.9</v>
      </c>
      <c r="GU102">
        <v>49.8</v>
      </c>
      <c r="GV102">
        <v>34.9</v>
      </c>
      <c r="GW102">
        <v>28.097200000000001</v>
      </c>
      <c r="GX102">
        <v>61.5364</v>
      </c>
      <c r="GY102">
        <v>26.406199999999998</v>
      </c>
      <c r="GZ102">
        <v>1</v>
      </c>
      <c r="HA102">
        <v>0.42751</v>
      </c>
      <c r="HB102">
        <v>3.15456</v>
      </c>
      <c r="HC102">
        <v>20.317399999999999</v>
      </c>
      <c r="HD102">
        <v>5.2386999999999997</v>
      </c>
      <c r="HE102">
        <v>11.9381</v>
      </c>
      <c r="HF102">
        <v>4.9734499999999997</v>
      </c>
      <c r="HG102">
        <v>3.2989999999999999</v>
      </c>
      <c r="HH102">
        <v>9999</v>
      </c>
      <c r="HI102">
        <v>9999</v>
      </c>
      <c r="HJ102">
        <v>9999</v>
      </c>
      <c r="HK102">
        <v>999.9</v>
      </c>
      <c r="HL102">
        <v>1.8733200000000001</v>
      </c>
      <c r="HM102">
        <v>1.88107</v>
      </c>
      <c r="HN102">
        <v>1.88459</v>
      </c>
      <c r="HO102">
        <v>1.8812599999999999</v>
      </c>
      <c r="HP102">
        <v>1.87866</v>
      </c>
      <c r="HQ102">
        <v>1.8733299999999999</v>
      </c>
      <c r="HR102">
        <v>1.87622</v>
      </c>
      <c r="HS102">
        <v>1.88046</v>
      </c>
      <c r="HT102">
        <v>5</v>
      </c>
      <c r="HU102">
        <v>0</v>
      </c>
      <c r="HV102">
        <v>0</v>
      </c>
      <c r="HW102">
        <v>0</v>
      </c>
      <c r="HX102" t="s">
        <v>421</v>
      </c>
      <c r="HY102" t="s">
        <v>422</v>
      </c>
      <c r="HZ102" t="s">
        <v>423</v>
      </c>
      <c r="IA102" t="s">
        <v>423</v>
      </c>
      <c r="IB102" t="s">
        <v>423</v>
      </c>
      <c r="IC102" t="s">
        <v>423</v>
      </c>
      <c r="ID102">
        <v>0</v>
      </c>
      <c r="IE102">
        <v>100</v>
      </c>
      <c r="IF102">
        <v>100</v>
      </c>
      <c r="IG102">
        <v>-0.76600000000000001</v>
      </c>
      <c r="IH102">
        <v>0.2392</v>
      </c>
      <c r="II102">
        <v>-0.89553391670812266</v>
      </c>
      <c r="IJ102">
        <v>9.4905977090923709E-4</v>
      </c>
      <c r="IK102">
        <v>-1.9106666302146479E-6</v>
      </c>
      <c r="IL102">
        <v>7.5819610513223293E-10</v>
      </c>
      <c r="IM102">
        <v>-5.8992114560832559E-2</v>
      </c>
      <c r="IN102">
        <v>-1.0595840490420019E-2</v>
      </c>
      <c r="IO102">
        <v>1.2407080968752471E-3</v>
      </c>
      <c r="IP102">
        <v>-1.3015442653884381E-5</v>
      </c>
      <c r="IQ102">
        <v>33</v>
      </c>
      <c r="IR102">
        <v>2014</v>
      </c>
      <c r="IS102">
        <v>1</v>
      </c>
      <c r="IT102">
        <v>26</v>
      </c>
      <c r="IU102">
        <v>0.7</v>
      </c>
      <c r="IV102">
        <v>0.6</v>
      </c>
      <c r="IW102">
        <v>0.80322300000000002</v>
      </c>
      <c r="IX102">
        <v>2.5280800000000001</v>
      </c>
      <c r="IY102">
        <v>1.5991200000000001</v>
      </c>
      <c r="IZ102">
        <v>2.2973599999999998</v>
      </c>
      <c r="JA102">
        <v>1.5502899999999999</v>
      </c>
      <c r="JB102">
        <v>2.2558600000000002</v>
      </c>
      <c r="JC102">
        <v>38.452399999999997</v>
      </c>
      <c r="JD102">
        <v>24.061199999999999</v>
      </c>
      <c r="JE102">
        <v>18</v>
      </c>
      <c r="JF102">
        <v>488.03300000000002</v>
      </c>
      <c r="JG102">
        <v>496.21300000000002</v>
      </c>
      <c r="JH102">
        <v>22.777799999999999</v>
      </c>
      <c r="JI102">
        <v>32.552</v>
      </c>
      <c r="JJ102">
        <v>30</v>
      </c>
      <c r="JK102">
        <v>32.642099999999999</v>
      </c>
      <c r="JL102">
        <v>32.608899999999998</v>
      </c>
      <c r="JM102">
        <v>16.121600000000001</v>
      </c>
      <c r="JN102">
        <v>42.061</v>
      </c>
      <c r="JO102">
        <v>0</v>
      </c>
      <c r="JP102">
        <v>22.784099999999999</v>
      </c>
      <c r="JQ102">
        <v>300</v>
      </c>
      <c r="JR102">
        <v>18.180599999999998</v>
      </c>
      <c r="JS102">
        <v>99.581900000000005</v>
      </c>
      <c r="JT102">
        <v>98.727599999999995</v>
      </c>
    </row>
    <row r="103" spans="1:280" x14ac:dyDescent="0.25">
      <c r="A103">
        <v>87</v>
      </c>
      <c r="B103">
        <v>1674596267</v>
      </c>
      <c r="C103">
        <v>20842</v>
      </c>
      <c r="D103" t="s">
        <v>859</v>
      </c>
      <c r="E103" t="s">
        <v>860</v>
      </c>
      <c r="F103" t="s">
        <v>412</v>
      </c>
      <c r="G103" t="s">
        <v>850</v>
      </c>
      <c r="H103" t="s">
        <v>565</v>
      </c>
      <c r="I103">
        <v>1674596267</v>
      </c>
      <c r="J103">
        <f t="shared" si="92"/>
        <v>6.1639047399870226E-3</v>
      </c>
      <c r="K103">
        <f t="shared" si="93"/>
        <v>6.1639047399870224</v>
      </c>
      <c r="L103">
        <f t="shared" si="94"/>
        <v>33.245206610960089</v>
      </c>
      <c r="M103">
        <f t="shared" si="95"/>
        <v>158.95400000000001</v>
      </c>
      <c r="N103">
        <f t="shared" si="96"/>
        <v>52.570967718452629</v>
      </c>
      <c r="O103">
        <f t="shared" si="97"/>
        <v>5.2397348943304367</v>
      </c>
      <c r="P103">
        <f t="shared" si="98"/>
        <v>15.842904487776</v>
      </c>
      <c r="Q103">
        <f t="shared" si="99"/>
        <v>0.5557779291928171</v>
      </c>
      <c r="R103">
        <f t="shared" si="100"/>
        <v>2.9124393660506627</v>
      </c>
      <c r="S103">
        <f t="shared" si="101"/>
        <v>0.50288122931158374</v>
      </c>
      <c r="T103">
        <f t="shared" si="102"/>
        <v>0.31863273455885871</v>
      </c>
      <c r="U103">
        <f t="shared" si="103"/>
        <v>344.40869965787994</v>
      </c>
      <c r="V103">
        <f t="shared" si="104"/>
        <v>28.404470965920076</v>
      </c>
      <c r="W103">
        <f t="shared" si="105"/>
        <v>27.319600000000001</v>
      </c>
      <c r="X103">
        <f t="shared" si="106"/>
        <v>3.6468967060777269</v>
      </c>
      <c r="Y103">
        <f t="shared" si="107"/>
        <v>64.992160598760663</v>
      </c>
      <c r="Z103">
        <f t="shared" si="108"/>
        <v>2.4626699356752</v>
      </c>
      <c r="AA103">
        <f t="shared" si="109"/>
        <v>3.7891799764572847</v>
      </c>
      <c r="AB103">
        <f t="shared" si="110"/>
        <v>1.1842267704025269</v>
      </c>
      <c r="AC103">
        <f t="shared" si="111"/>
        <v>-271.82819903342772</v>
      </c>
      <c r="AD103">
        <f t="shared" si="112"/>
        <v>102.81370428593198</v>
      </c>
      <c r="AE103">
        <f t="shared" si="113"/>
        <v>7.6679003585532755</v>
      </c>
      <c r="AF103">
        <f t="shared" si="114"/>
        <v>183.06210526893744</v>
      </c>
      <c r="AG103">
        <v>0</v>
      </c>
      <c r="AH103">
        <v>0</v>
      </c>
      <c r="AI103">
        <f t="shared" si="115"/>
        <v>1</v>
      </c>
      <c r="AJ103">
        <f t="shared" si="116"/>
        <v>0</v>
      </c>
      <c r="AK103">
        <f t="shared" si="117"/>
        <v>52205.043889412482</v>
      </c>
      <c r="AL103" t="s">
        <v>415</v>
      </c>
      <c r="AM103">
        <v>10297.6</v>
      </c>
      <c r="AN103">
        <v>785.57400000000007</v>
      </c>
      <c r="AO103">
        <v>3597.65</v>
      </c>
      <c r="AP103">
        <f t="shared" si="118"/>
        <v>0.7816424610509638</v>
      </c>
      <c r="AQ103">
        <v>-0.62398835798131469</v>
      </c>
      <c r="AR103" t="s">
        <v>861</v>
      </c>
      <c r="AS103">
        <v>10243.700000000001</v>
      </c>
      <c r="AT103">
        <v>737.48753846153841</v>
      </c>
      <c r="AU103">
        <v>990.34782213419157</v>
      </c>
      <c r="AV103">
        <f t="shared" si="119"/>
        <v>0.25532472331563394</v>
      </c>
      <c r="AW103">
        <v>0.5</v>
      </c>
      <c r="AX103">
        <f t="shared" si="120"/>
        <v>1513.3607998289399</v>
      </c>
      <c r="AY103">
        <f t="shared" si="121"/>
        <v>33.245206610960089</v>
      </c>
      <c r="AZ103">
        <f t="shared" si="122"/>
        <v>193.19921374652529</v>
      </c>
      <c r="BA103">
        <f t="shared" si="123"/>
        <v>2.2380119118170467E-2</v>
      </c>
      <c r="BB103">
        <f t="shared" si="124"/>
        <v>2.6327135977813265</v>
      </c>
      <c r="BC103">
        <f t="shared" si="125"/>
        <v>498.8174086749658</v>
      </c>
      <c r="BD103" t="s">
        <v>862</v>
      </c>
      <c r="BE103">
        <v>557.80999999999995</v>
      </c>
      <c r="BF103">
        <f t="shared" si="126"/>
        <v>557.80999999999995</v>
      </c>
      <c r="BG103">
        <f t="shared" si="127"/>
        <v>0.4367534440597608</v>
      </c>
      <c r="BH103">
        <f t="shared" si="128"/>
        <v>0.58459693172035521</v>
      </c>
      <c r="BI103">
        <f t="shared" si="129"/>
        <v>0.85771033273652841</v>
      </c>
      <c r="BJ103">
        <f t="shared" si="130"/>
        <v>1.2348271914705478</v>
      </c>
      <c r="BK103">
        <f t="shared" si="131"/>
        <v>0.92718055197150029</v>
      </c>
      <c r="BL103">
        <f t="shared" si="132"/>
        <v>0.4421688468976589</v>
      </c>
      <c r="BM103">
        <f t="shared" si="133"/>
        <v>0.5578311531023411</v>
      </c>
      <c r="BN103">
        <v>173</v>
      </c>
      <c r="BO103">
        <v>290.00000000000011</v>
      </c>
      <c r="BP103">
        <v>917.24</v>
      </c>
      <c r="BQ103">
        <v>115</v>
      </c>
      <c r="BR103">
        <v>10243.700000000001</v>
      </c>
      <c r="BS103">
        <v>916.72</v>
      </c>
      <c r="BT103">
        <v>0.52</v>
      </c>
      <c r="BU103">
        <v>300.00000000000011</v>
      </c>
      <c r="BV103">
        <v>24.1</v>
      </c>
      <c r="BW103">
        <v>990.34782213419157</v>
      </c>
      <c r="BX103">
        <v>1.434230923730935</v>
      </c>
      <c r="BY103">
        <v>-75.427135913408478</v>
      </c>
      <c r="BZ103">
        <v>1.3057512481154741</v>
      </c>
      <c r="CA103">
        <v>0.99167863345845464</v>
      </c>
      <c r="CB103">
        <v>-6.9674805339265964E-3</v>
      </c>
      <c r="CC103">
        <v>289.99999999999989</v>
      </c>
      <c r="CD103">
        <v>913.69</v>
      </c>
      <c r="CE103">
        <v>665</v>
      </c>
      <c r="CF103">
        <v>10202.700000000001</v>
      </c>
      <c r="CG103">
        <v>916.42</v>
      </c>
      <c r="CH103">
        <v>-2.73</v>
      </c>
      <c r="CV103">
        <f t="shared" si="134"/>
        <v>1800.21</v>
      </c>
      <c r="CW103">
        <f t="shared" si="135"/>
        <v>1513.3607998289399</v>
      </c>
      <c r="CX103">
        <f t="shared" si="136"/>
        <v>0.84065792314726606</v>
      </c>
      <c r="CY103">
        <f t="shared" si="137"/>
        <v>0.19131584629453227</v>
      </c>
      <c r="CZ103">
        <v>6</v>
      </c>
      <c r="DA103">
        <v>0.5</v>
      </c>
      <c r="DB103" t="s">
        <v>418</v>
      </c>
      <c r="DC103">
        <v>2</v>
      </c>
      <c r="DD103">
        <v>1674596267</v>
      </c>
      <c r="DE103">
        <v>158.95400000000001</v>
      </c>
      <c r="DF103">
        <v>200.017</v>
      </c>
      <c r="DG103">
        <v>24.708300000000001</v>
      </c>
      <c r="DH103">
        <v>17.4956</v>
      </c>
      <c r="DI103">
        <v>159.75</v>
      </c>
      <c r="DJ103">
        <v>24.6433</v>
      </c>
      <c r="DK103">
        <v>500.08499999999998</v>
      </c>
      <c r="DL103">
        <v>99.569299999999998</v>
      </c>
      <c r="DM103">
        <v>0.10044400000000001</v>
      </c>
      <c r="DN103">
        <v>27.974399999999999</v>
      </c>
      <c r="DO103">
        <v>27.319600000000001</v>
      </c>
      <c r="DP103">
        <v>999.9</v>
      </c>
      <c r="DQ103">
        <v>0</v>
      </c>
      <c r="DR103">
        <v>0</v>
      </c>
      <c r="DS103">
        <v>9945.6200000000008</v>
      </c>
      <c r="DT103">
        <v>0</v>
      </c>
      <c r="DU103">
        <v>424.13900000000001</v>
      </c>
      <c r="DV103">
        <v>-41.056899999999999</v>
      </c>
      <c r="DW103">
        <v>163.01599999999999</v>
      </c>
      <c r="DX103">
        <v>203.57900000000001</v>
      </c>
      <c r="DY103">
        <v>7.38619</v>
      </c>
      <c r="DZ103">
        <v>200.017</v>
      </c>
      <c r="EA103">
        <v>17.4956</v>
      </c>
      <c r="EB103">
        <v>2.4774699999999998</v>
      </c>
      <c r="EC103">
        <v>1.74203</v>
      </c>
      <c r="ED103">
        <v>20.879200000000001</v>
      </c>
      <c r="EE103">
        <v>15.2761</v>
      </c>
      <c r="EF103">
        <v>1800.21</v>
      </c>
      <c r="EG103">
        <v>0.97800799999999999</v>
      </c>
      <c r="EH103">
        <v>2.1992000000000001E-2</v>
      </c>
      <c r="EI103">
        <v>0</v>
      </c>
      <c r="EJ103">
        <v>737.32100000000003</v>
      </c>
      <c r="EK103">
        <v>5.0002599999999999</v>
      </c>
      <c r="EL103">
        <v>13501.3</v>
      </c>
      <c r="EM103">
        <v>17105.400000000001</v>
      </c>
      <c r="EN103">
        <v>49.75</v>
      </c>
      <c r="EO103">
        <v>51.125</v>
      </c>
      <c r="EP103">
        <v>50.686999999999998</v>
      </c>
      <c r="EQ103">
        <v>50.311999999999998</v>
      </c>
      <c r="ER103">
        <v>50.936999999999998</v>
      </c>
      <c r="ES103">
        <v>1755.73</v>
      </c>
      <c r="ET103">
        <v>39.479999999999997</v>
      </c>
      <c r="EU103">
        <v>0</v>
      </c>
      <c r="EV103">
        <v>140.5999999046326</v>
      </c>
      <c r="EW103">
        <v>0</v>
      </c>
      <c r="EX103">
        <v>737.48753846153841</v>
      </c>
      <c r="EY103">
        <v>-2.7965812031189339</v>
      </c>
      <c r="EZ103">
        <v>-56.646153852498443</v>
      </c>
      <c r="FA103">
        <v>13506.196153846149</v>
      </c>
      <c r="FB103">
        <v>15</v>
      </c>
      <c r="FC103">
        <v>1674596303</v>
      </c>
      <c r="FD103" t="s">
        <v>863</v>
      </c>
      <c r="FE103">
        <v>1674596294</v>
      </c>
      <c r="FF103">
        <v>1674596303</v>
      </c>
      <c r="FG103">
        <v>97</v>
      </c>
      <c r="FH103">
        <v>-0.02</v>
      </c>
      <c r="FI103">
        <v>1E-3</v>
      </c>
      <c r="FJ103">
        <v>-0.79600000000000004</v>
      </c>
      <c r="FK103">
        <v>6.5000000000000002E-2</v>
      </c>
      <c r="FL103">
        <v>200</v>
      </c>
      <c r="FM103">
        <v>17</v>
      </c>
      <c r="FN103">
        <v>0.02</v>
      </c>
      <c r="FO103">
        <v>0.02</v>
      </c>
      <c r="FP103">
        <v>33.135572961797394</v>
      </c>
      <c r="FQ103">
        <v>0.67433781565526452</v>
      </c>
      <c r="FR103">
        <v>6.9364096591399138E-2</v>
      </c>
      <c r="FS103">
        <v>1</v>
      </c>
      <c r="FT103">
        <v>0.57587740281072719</v>
      </c>
      <c r="FU103">
        <v>3.7031806999446193E-2</v>
      </c>
      <c r="FV103">
        <v>3.7198617094967731E-3</v>
      </c>
      <c r="FW103">
        <v>1</v>
      </c>
      <c r="FX103">
        <v>2</v>
      </c>
      <c r="FY103">
        <v>2</v>
      </c>
      <c r="FZ103" t="s">
        <v>420</v>
      </c>
      <c r="GA103">
        <v>2.9282300000000001</v>
      </c>
      <c r="GB103">
        <v>2.80688</v>
      </c>
      <c r="GC103">
        <v>4.4539200000000001E-2</v>
      </c>
      <c r="GD103">
        <v>5.5487700000000001E-2</v>
      </c>
      <c r="GE103">
        <v>0.114772</v>
      </c>
      <c r="GF103">
        <v>9.1014600000000001E-2</v>
      </c>
      <c r="GG103">
        <v>28375.5</v>
      </c>
      <c r="GH103">
        <v>28486.400000000001</v>
      </c>
      <c r="GI103">
        <v>28209.5</v>
      </c>
      <c r="GJ103">
        <v>27178</v>
      </c>
      <c r="GK103">
        <v>35846.400000000001</v>
      </c>
      <c r="GL103">
        <v>32624.2</v>
      </c>
      <c r="GM103">
        <v>42004.5</v>
      </c>
      <c r="GN103">
        <v>36878.199999999997</v>
      </c>
      <c r="GO103">
        <v>1.9267700000000001</v>
      </c>
      <c r="GP103">
        <v>1.88442</v>
      </c>
      <c r="GQ103">
        <v>5.6482900000000003E-2</v>
      </c>
      <c r="GR103">
        <v>0</v>
      </c>
      <c r="GS103">
        <v>26.395700000000001</v>
      </c>
      <c r="GT103">
        <v>999.9</v>
      </c>
      <c r="GU103">
        <v>49.7</v>
      </c>
      <c r="GV103">
        <v>34.9</v>
      </c>
      <c r="GW103">
        <v>28.0382</v>
      </c>
      <c r="GX103">
        <v>62.06</v>
      </c>
      <c r="GY103">
        <v>26.598600000000001</v>
      </c>
      <c r="GZ103">
        <v>1</v>
      </c>
      <c r="HA103">
        <v>0.42198400000000003</v>
      </c>
      <c r="HB103">
        <v>2.6424599999999998</v>
      </c>
      <c r="HC103">
        <v>20.326599999999999</v>
      </c>
      <c r="HD103">
        <v>5.2389999999999999</v>
      </c>
      <c r="HE103">
        <v>11.9381</v>
      </c>
      <c r="HF103">
        <v>4.9735500000000004</v>
      </c>
      <c r="HG103">
        <v>3.2989999999999999</v>
      </c>
      <c r="HH103">
        <v>9999</v>
      </c>
      <c r="HI103">
        <v>9999</v>
      </c>
      <c r="HJ103">
        <v>9999</v>
      </c>
      <c r="HK103">
        <v>999.9</v>
      </c>
      <c r="HL103">
        <v>1.8733299999999999</v>
      </c>
      <c r="HM103">
        <v>1.8810899999999999</v>
      </c>
      <c r="HN103">
        <v>1.8846000000000001</v>
      </c>
      <c r="HO103">
        <v>1.88127</v>
      </c>
      <c r="HP103">
        <v>1.87866</v>
      </c>
      <c r="HQ103">
        <v>1.8733200000000001</v>
      </c>
      <c r="HR103">
        <v>1.87622</v>
      </c>
      <c r="HS103">
        <v>1.8804700000000001</v>
      </c>
      <c r="HT103">
        <v>5</v>
      </c>
      <c r="HU103">
        <v>0</v>
      </c>
      <c r="HV103">
        <v>0</v>
      </c>
      <c r="HW103">
        <v>0</v>
      </c>
      <c r="HX103" t="s">
        <v>421</v>
      </c>
      <c r="HY103" t="s">
        <v>422</v>
      </c>
      <c r="HZ103" t="s">
        <v>423</v>
      </c>
      <c r="IA103" t="s">
        <v>423</v>
      </c>
      <c r="IB103" t="s">
        <v>423</v>
      </c>
      <c r="IC103" t="s">
        <v>423</v>
      </c>
      <c r="ID103">
        <v>0</v>
      </c>
      <c r="IE103">
        <v>100</v>
      </c>
      <c r="IF103">
        <v>100</v>
      </c>
      <c r="IG103">
        <v>-0.79600000000000004</v>
      </c>
      <c r="IH103">
        <v>6.5000000000000002E-2</v>
      </c>
      <c r="II103">
        <v>-0.89553391670812266</v>
      </c>
      <c r="IJ103">
        <v>9.4905977090923709E-4</v>
      </c>
      <c r="IK103">
        <v>-1.9106666302146479E-6</v>
      </c>
      <c r="IL103">
        <v>7.5819610513223293E-10</v>
      </c>
      <c r="IM103">
        <v>-5.8992114560832559E-2</v>
      </c>
      <c r="IN103">
        <v>-1.0595840490420019E-2</v>
      </c>
      <c r="IO103">
        <v>1.2407080968752471E-3</v>
      </c>
      <c r="IP103">
        <v>-1.3015442653884381E-5</v>
      </c>
      <c r="IQ103">
        <v>33</v>
      </c>
      <c r="IR103">
        <v>2014</v>
      </c>
      <c r="IS103">
        <v>1</v>
      </c>
      <c r="IT103">
        <v>26</v>
      </c>
      <c r="IU103">
        <v>3.1</v>
      </c>
      <c r="IV103">
        <v>3</v>
      </c>
      <c r="IW103">
        <v>0.58471700000000004</v>
      </c>
      <c r="IX103">
        <v>2.5402800000000001</v>
      </c>
      <c r="IY103">
        <v>1.5991200000000001</v>
      </c>
      <c r="IZ103">
        <v>2.2973599999999998</v>
      </c>
      <c r="JA103">
        <v>1.5502899999999999</v>
      </c>
      <c r="JB103">
        <v>2.2351100000000002</v>
      </c>
      <c r="JC103">
        <v>38.427900000000001</v>
      </c>
      <c r="JD103">
        <v>24.061199999999999</v>
      </c>
      <c r="JE103">
        <v>18</v>
      </c>
      <c r="JF103">
        <v>488.69400000000002</v>
      </c>
      <c r="JG103">
        <v>495.541</v>
      </c>
      <c r="JH103">
        <v>23.026700000000002</v>
      </c>
      <c r="JI103">
        <v>32.519300000000001</v>
      </c>
      <c r="JJ103">
        <v>30</v>
      </c>
      <c r="JK103">
        <v>32.616</v>
      </c>
      <c r="JL103">
        <v>32.587000000000003</v>
      </c>
      <c r="JM103">
        <v>11.7554</v>
      </c>
      <c r="JN103">
        <v>44.391300000000001</v>
      </c>
      <c r="JO103">
        <v>0</v>
      </c>
      <c r="JP103">
        <v>23.031199999999998</v>
      </c>
      <c r="JQ103">
        <v>200</v>
      </c>
      <c r="JR103">
        <v>17.4438</v>
      </c>
      <c r="JS103">
        <v>99.588700000000003</v>
      </c>
      <c r="JT103">
        <v>98.738799999999998</v>
      </c>
    </row>
    <row r="104" spans="1:280" x14ac:dyDescent="0.25">
      <c r="A104">
        <v>88</v>
      </c>
      <c r="B104">
        <v>1674596425</v>
      </c>
      <c r="C104">
        <v>21000</v>
      </c>
      <c r="D104" t="s">
        <v>864</v>
      </c>
      <c r="E104" t="s">
        <v>865</v>
      </c>
      <c r="F104" t="s">
        <v>412</v>
      </c>
      <c r="G104" t="s">
        <v>850</v>
      </c>
      <c r="H104" t="s">
        <v>565</v>
      </c>
      <c r="I104">
        <v>1674596425</v>
      </c>
      <c r="J104">
        <f t="shared" si="92"/>
        <v>6.6754259334151061E-3</v>
      </c>
      <c r="K104">
        <f t="shared" si="93"/>
        <v>6.6754259334151058</v>
      </c>
      <c r="L104">
        <f t="shared" si="94"/>
        <v>20.949312201156065</v>
      </c>
      <c r="M104">
        <f t="shared" si="95"/>
        <v>94.141499999999994</v>
      </c>
      <c r="N104">
        <f t="shared" si="96"/>
        <v>33.54444334468257</v>
      </c>
      <c r="O104">
        <f t="shared" si="97"/>
        <v>3.343512670004432</v>
      </c>
      <c r="P104">
        <f t="shared" si="98"/>
        <v>9.3834706031310002</v>
      </c>
      <c r="Q104">
        <f t="shared" si="99"/>
        <v>0.62116065046830404</v>
      </c>
      <c r="R104">
        <f t="shared" si="100"/>
        <v>2.9159219333889075</v>
      </c>
      <c r="S104">
        <f t="shared" si="101"/>
        <v>0.55593652674688188</v>
      </c>
      <c r="T104">
        <f t="shared" si="102"/>
        <v>0.35274801136810974</v>
      </c>
      <c r="U104">
        <f t="shared" si="103"/>
        <v>344.36309965783437</v>
      </c>
      <c r="V104">
        <f t="shared" si="104"/>
        <v>28.303698368201498</v>
      </c>
      <c r="W104">
        <f t="shared" si="105"/>
        <v>27.348600000000001</v>
      </c>
      <c r="X104">
        <f t="shared" si="106"/>
        <v>3.6530980595487743</v>
      </c>
      <c r="Y104">
        <f t="shared" si="107"/>
        <v>65.668404544046311</v>
      </c>
      <c r="Z104">
        <f t="shared" si="108"/>
        <v>2.4931585808934003</v>
      </c>
      <c r="AA104">
        <f t="shared" si="109"/>
        <v>3.7965877170369557</v>
      </c>
      <c r="AB104">
        <f t="shared" si="110"/>
        <v>1.1599394786553741</v>
      </c>
      <c r="AC104">
        <f t="shared" si="111"/>
        <v>-294.38628366360615</v>
      </c>
      <c r="AD104">
        <f t="shared" si="112"/>
        <v>103.64405873179815</v>
      </c>
      <c r="AE104">
        <f t="shared" si="113"/>
        <v>7.7230045494382429</v>
      </c>
      <c r="AF104">
        <f t="shared" si="114"/>
        <v>161.34387927546464</v>
      </c>
      <c r="AG104">
        <v>0</v>
      </c>
      <c r="AH104">
        <v>0</v>
      </c>
      <c r="AI104">
        <f t="shared" si="115"/>
        <v>1</v>
      </c>
      <c r="AJ104">
        <f t="shared" si="116"/>
        <v>0</v>
      </c>
      <c r="AK104">
        <f t="shared" si="117"/>
        <v>52299.208704293676</v>
      </c>
      <c r="AL104" t="s">
        <v>415</v>
      </c>
      <c r="AM104">
        <v>10297.6</v>
      </c>
      <c r="AN104">
        <v>785.57400000000007</v>
      </c>
      <c r="AO104">
        <v>3597.65</v>
      </c>
      <c r="AP104">
        <f t="shared" si="118"/>
        <v>0.7816424610509638</v>
      </c>
      <c r="AQ104">
        <v>-0.62398835798131469</v>
      </c>
      <c r="AR104" t="s">
        <v>866</v>
      </c>
      <c r="AS104">
        <v>10227.299999999999</v>
      </c>
      <c r="AT104">
        <v>755.93696</v>
      </c>
      <c r="AU104">
        <v>920.75627057968654</v>
      </c>
      <c r="AV104">
        <f t="shared" si="119"/>
        <v>0.17900427707749433</v>
      </c>
      <c r="AW104">
        <v>0.5</v>
      </c>
      <c r="AX104">
        <f t="shared" si="120"/>
        <v>1513.1591998289168</v>
      </c>
      <c r="AY104">
        <f t="shared" si="121"/>
        <v>20.949312201156065</v>
      </c>
      <c r="AZ104">
        <f t="shared" si="122"/>
        <v>135.43098433426752</v>
      </c>
      <c r="BA104">
        <f t="shared" si="123"/>
        <v>1.4257125464112787E-2</v>
      </c>
      <c r="BB104">
        <f t="shared" si="124"/>
        <v>2.907277218687855</v>
      </c>
      <c r="BC104">
        <f t="shared" si="125"/>
        <v>480.52456271548238</v>
      </c>
      <c r="BD104" t="s">
        <v>867</v>
      </c>
      <c r="BE104">
        <v>561.78</v>
      </c>
      <c r="BF104">
        <f t="shared" si="126"/>
        <v>561.78</v>
      </c>
      <c r="BG104">
        <f t="shared" si="127"/>
        <v>0.38987111144373043</v>
      </c>
      <c r="BH104">
        <f t="shared" si="128"/>
        <v>0.45913706305302843</v>
      </c>
      <c r="BI104">
        <f t="shared" si="129"/>
        <v>0.88175505849075009</v>
      </c>
      <c r="BJ104">
        <f t="shared" si="130"/>
        <v>1.2192376254142721</v>
      </c>
      <c r="BK104">
        <f t="shared" si="131"/>
        <v>0.95192794555350324</v>
      </c>
      <c r="BL104">
        <f t="shared" si="132"/>
        <v>0.34121101749268923</v>
      </c>
      <c r="BM104">
        <f t="shared" si="133"/>
        <v>0.65878898250731077</v>
      </c>
      <c r="BN104">
        <v>175</v>
      </c>
      <c r="BO104">
        <v>290.00000000000011</v>
      </c>
      <c r="BP104">
        <v>878.8</v>
      </c>
      <c r="BQ104">
        <v>215</v>
      </c>
      <c r="BR104">
        <v>10227.299999999999</v>
      </c>
      <c r="BS104">
        <v>878.97</v>
      </c>
      <c r="BT104">
        <v>-0.17</v>
      </c>
      <c r="BU104">
        <v>300.00000000000011</v>
      </c>
      <c r="BV104">
        <v>24.1</v>
      </c>
      <c r="BW104">
        <v>920.75627057968654</v>
      </c>
      <c r="BX104">
        <v>1.8627637417593419</v>
      </c>
      <c r="BY104">
        <v>-42.736871543731567</v>
      </c>
      <c r="BZ104">
        <v>1.6959014161322279</v>
      </c>
      <c r="CA104">
        <v>0.95777056527939042</v>
      </c>
      <c r="CB104">
        <v>-6.9672747497219172E-3</v>
      </c>
      <c r="CC104">
        <v>289.99999999999989</v>
      </c>
      <c r="CD104">
        <v>878.6</v>
      </c>
      <c r="CE104">
        <v>695</v>
      </c>
      <c r="CF104">
        <v>10200.9</v>
      </c>
      <c r="CG104">
        <v>878.86</v>
      </c>
      <c r="CH104">
        <v>-0.26</v>
      </c>
      <c r="CV104">
        <f t="shared" si="134"/>
        <v>1799.97</v>
      </c>
      <c r="CW104">
        <f t="shared" si="135"/>
        <v>1513.1591998289168</v>
      </c>
      <c r="CX104">
        <f t="shared" si="136"/>
        <v>0.8406580108718017</v>
      </c>
      <c r="CY104">
        <f t="shared" si="137"/>
        <v>0.19131602174360371</v>
      </c>
      <c r="CZ104">
        <v>6</v>
      </c>
      <c r="DA104">
        <v>0.5</v>
      </c>
      <c r="DB104" t="s">
        <v>418</v>
      </c>
      <c r="DC104">
        <v>2</v>
      </c>
      <c r="DD104">
        <v>1674596425</v>
      </c>
      <c r="DE104">
        <v>94.141499999999994</v>
      </c>
      <c r="DF104">
        <v>120.032</v>
      </c>
      <c r="DG104">
        <v>25.013100000000001</v>
      </c>
      <c r="DH104">
        <v>17.203800000000001</v>
      </c>
      <c r="DI104">
        <v>94.935199999999995</v>
      </c>
      <c r="DJ104">
        <v>24.773399999999999</v>
      </c>
      <c r="DK104">
        <v>500.05399999999997</v>
      </c>
      <c r="DL104">
        <v>99.573700000000002</v>
      </c>
      <c r="DM104">
        <v>0.100414</v>
      </c>
      <c r="DN104">
        <v>28.007899999999999</v>
      </c>
      <c r="DO104">
        <v>27.348600000000001</v>
      </c>
      <c r="DP104">
        <v>999.9</v>
      </c>
      <c r="DQ104">
        <v>0</v>
      </c>
      <c r="DR104">
        <v>0</v>
      </c>
      <c r="DS104">
        <v>9965</v>
      </c>
      <c r="DT104">
        <v>0</v>
      </c>
      <c r="DU104">
        <v>418.15600000000001</v>
      </c>
      <c r="DV104">
        <v>-25.890799999999999</v>
      </c>
      <c r="DW104">
        <v>96.556700000000006</v>
      </c>
      <c r="DX104">
        <v>122.133</v>
      </c>
      <c r="DY104">
        <v>7.8093000000000004</v>
      </c>
      <c r="DZ104">
        <v>120.032</v>
      </c>
      <c r="EA104">
        <v>17.203800000000001</v>
      </c>
      <c r="EB104">
        <v>2.49064</v>
      </c>
      <c r="EC104">
        <v>1.7130399999999999</v>
      </c>
      <c r="ED104">
        <v>20.965499999999999</v>
      </c>
      <c r="EE104">
        <v>15.0151</v>
      </c>
      <c r="EF104">
        <v>1799.97</v>
      </c>
      <c r="EG104">
        <v>0.97800399999999998</v>
      </c>
      <c r="EH104">
        <v>2.19957E-2</v>
      </c>
      <c r="EI104">
        <v>0</v>
      </c>
      <c r="EJ104">
        <v>755.947</v>
      </c>
      <c r="EK104">
        <v>5.0002599999999999</v>
      </c>
      <c r="EL104">
        <v>13777.6</v>
      </c>
      <c r="EM104">
        <v>17103.2</v>
      </c>
      <c r="EN104">
        <v>49.686999999999998</v>
      </c>
      <c r="EO104">
        <v>51.186999999999998</v>
      </c>
      <c r="EP104">
        <v>50.686999999999998</v>
      </c>
      <c r="EQ104">
        <v>50.311999999999998</v>
      </c>
      <c r="ER104">
        <v>50.936999999999998</v>
      </c>
      <c r="ES104">
        <v>1755.49</v>
      </c>
      <c r="ET104">
        <v>39.479999999999997</v>
      </c>
      <c r="EU104">
        <v>0</v>
      </c>
      <c r="EV104">
        <v>156.20000004768369</v>
      </c>
      <c r="EW104">
        <v>0</v>
      </c>
      <c r="EX104">
        <v>755.93696</v>
      </c>
      <c r="EY104">
        <v>-1.979538432669848</v>
      </c>
      <c r="EZ104">
        <v>-52.546153825514388</v>
      </c>
      <c r="FA104">
        <v>13783.036</v>
      </c>
      <c r="FB104">
        <v>15</v>
      </c>
      <c r="FC104">
        <v>1674596389.5</v>
      </c>
      <c r="FD104" t="s">
        <v>868</v>
      </c>
      <c r="FE104">
        <v>1674596381</v>
      </c>
      <c r="FF104">
        <v>1674596389.5</v>
      </c>
      <c r="FG104">
        <v>98</v>
      </c>
      <c r="FH104">
        <v>4.8000000000000001E-2</v>
      </c>
      <c r="FI104">
        <v>-3.0000000000000001E-3</v>
      </c>
      <c r="FJ104">
        <v>-0.77900000000000003</v>
      </c>
      <c r="FK104">
        <v>5.8000000000000003E-2</v>
      </c>
      <c r="FL104">
        <v>120</v>
      </c>
      <c r="FM104">
        <v>17</v>
      </c>
      <c r="FN104">
        <v>0.06</v>
      </c>
      <c r="FO104">
        <v>0.01</v>
      </c>
      <c r="FP104">
        <v>20.944392253208669</v>
      </c>
      <c r="FQ104">
        <v>-0.2705173598107965</v>
      </c>
      <c r="FR104">
        <v>5.0340271496544492E-2</v>
      </c>
      <c r="FS104">
        <v>1</v>
      </c>
      <c r="FT104">
        <v>0.61843474675268673</v>
      </c>
      <c r="FU104">
        <v>4.956746135067569E-2</v>
      </c>
      <c r="FV104">
        <v>7.969492397798315E-3</v>
      </c>
      <c r="FW104">
        <v>1</v>
      </c>
      <c r="FX104">
        <v>2</v>
      </c>
      <c r="FY104">
        <v>2</v>
      </c>
      <c r="FZ104" t="s">
        <v>420</v>
      </c>
      <c r="GA104">
        <v>2.9281899999999998</v>
      </c>
      <c r="GB104">
        <v>2.8070200000000001</v>
      </c>
      <c r="GC104">
        <v>2.7041599999999999E-2</v>
      </c>
      <c r="GD104">
        <v>3.4473700000000003E-2</v>
      </c>
      <c r="GE104">
        <v>0.115203</v>
      </c>
      <c r="GF104">
        <v>8.9928999999999995E-2</v>
      </c>
      <c r="GG104">
        <v>28896.2</v>
      </c>
      <c r="GH104">
        <v>29120.799999999999</v>
      </c>
      <c r="GI104">
        <v>28210.2</v>
      </c>
      <c r="GJ104">
        <v>27178.5</v>
      </c>
      <c r="GK104">
        <v>35829.300000000003</v>
      </c>
      <c r="GL104">
        <v>32664.2</v>
      </c>
      <c r="GM104">
        <v>42005.3</v>
      </c>
      <c r="GN104">
        <v>36879.5</v>
      </c>
      <c r="GO104">
        <v>1.92665</v>
      </c>
      <c r="GP104">
        <v>1.88367</v>
      </c>
      <c r="GQ104">
        <v>5.21019E-2</v>
      </c>
      <c r="GR104">
        <v>0</v>
      </c>
      <c r="GS104">
        <v>26.496400000000001</v>
      </c>
      <c r="GT104">
        <v>999.9</v>
      </c>
      <c r="GU104">
        <v>49.7</v>
      </c>
      <c r="GV104">
        <v>34.9</v>
      </c>
      <c r="GW104">
        <v>28.037500000000001</v>
      </c>
      <c r="GX104">
        <v>62.07</v>
      </c>
      <c r="GY104">
        <v>27.119399999999999</v>
      </c>
      <c r="GZ104">
        <v>1</v>
      </c>
      <c r="HA104">
        <v>0.42335400000000001</v>
      </c>
      <c r="HB104">
        <v>3.1763599999999999</v>
      </c>
      <c r="HC104">
        <v>20.3169</v>
      </c>
      <c r="HD104">
        <v>5.23691</v>
      </c>
      <c r="HE104">
        <v>11.9381</v>
      </c>
      <c r="HF104">
        <v>4.9728000000000003</v>
      </c>
      <c r="HG104">
        <v>3.2984800000000001</v>
      </c>
      <c r="HH104">
        <v>9999</v>
      </c>
      <c r="HI104">
        <v>9999</v>
      </c>
      <c r="HJ104">
        <v>9999</v>
      </c>
      <c r="HK104">
        <v>999.9</v>
      </c>
      <c r="HL104">
        <v>1.8733200000000001</v>
      </c>
      <c r="HM104">
        <v>1.8810899999999999</v>
      </c>
      <c r="HN104">
        <v>1.8846000000000001</v>
      </c>
      <c r="HO104">
        <v>1.88127</v>
      </c>
      <c r="HP104">
        <v>1.87866</v>
      </c>
      <c r="HQ104">
        <v>1.8733200000000001</v>
      </c>
      <c r="HR104">
        <v>1.87622</v>
      </c>
      <c r="HS104">
        <v>1.8804700000000001</v>
      </c>
      <c r="HT104">
        <v>5</v>
      </c>
      <c r="HU104">
        <v>0</v>
      </c>
      <c r="HV104">
        <v>0</v>
      </c>
      <c r="HW104">
        <v>0</v>
      </c>
      <c r="HX104" t="s">
        <v>421</v>
      </c>
      <c r="HY104" t="s">
        <v>422</v>
      </c>
      <c r="HZ104" t="s">
        <v>423</v>
      </c>
      <c r="IA104" t="s">
        <v>423</v>
      </c>
      <c r="IB104" t="s">
        <v>423</v>
      </c>
      <c r="IC104" t="s">
        <v>423</v>
      </c>
      <c r="ID104">
        <v>0</v>
      </c>
      <c r="IE104">
        <v>100</v>
      </c>
      <c r="IF104">
        <v>100</v>
      </c>
      <c r="IG104">
        <v>-0.79400000000000004</v>
      </c>
      <c r="IH104">
        <v>0.2397</v>
      </c>
      <c r="II104">
        <v>-0.86725012305763538</v>
      </c>
      <c r="IJ104">
        <v>9.4905977090923709E-4</v>
      </c>
      <c r="IK104">
        <v>-1.9106666302146479E-6</v>
      </c>
      <c r="IL104">
        <v>7.5819610513223293E-10</v>
      </c>
      <c r="IM104">
        <v>-6.1452539422445968E-2</v>
      </c>
      <c r="IN104">
        <v>-1.0595840490420019E-2</v>
      </c>
      <c r="IO104">
        <v>1.2407080968752471E-3</v>
      </c>
      <c r="IP104">
        <v>-1.3015442653884381E-5</v>
      </c>
      <c r="IQ104">
        <v>33</v>
      </c>
      <c r="IR104">
        <v>2014</v>
      </c>
      <c r="IS104">
        <v>1</v>
      </c>
      <c r="IT104">
        <v>26</v>
      </c>
      <c r="IU104">
        <v>0.7</v>
      </c>
      <c r="IV104">
        <v>0.6</v>
      </c>
      <c r="IW104">
        <v>0.40527299999999999</v>
      </c>
      <c r="IX104">
        <v>2.5488300000000002</v>
      </c>
      <c r="IY104">
        <v>1.5991200000000001</v>
      </c>
      <c r="IZ104">
        <v>2.2973599999999998</v>
      </c>
      <c r="JA104">
        <v>1.5490699999999999</v>
      </c>
      <c r="JB104">
        <v>2.3071299999999999</v>
      </c>
      <c r="JC104">
        <v>38.427900000000001</v>
      </c>
      <c r="JD104">
        <v>24.061199999999999</v>
      </c>
      <c r="JE104">
        <v>18</v>
      </c>
      <c r="JF104">
        <v>488.52699999999999</v>
      </c>
      <c r="JG104">
        <v>494.91300000000001</v>
      </c>
      <c r="JH104">
        <v>22.701799999999999</v>
      </c>
      <c r="JI104">
        <v>32.508800000000001</v>
      </c>
      <c r="JJ104">
        <v>30.0002</v>
      </c>
      <c r="JK104">
        <v>32.604900000000001</v>
      </c>
      <c r="JL104">
        <v>32.574599999999997</v>
      </c>
      <c r="JM104">
        <v>8.1668500000000002</v>
      </c>
      <c r="JN104">
        <v>45.492400000000004</v>
      </c>
      <c r="JO104">
        <v>0</v>
      </c>
      <c r="JP104">
        <v>22.695900000000002</v>
      </c>
      <c r="JQ104">
        <v>120</v>
      </c>
      <c r="JR104">
        <v>17.092400000000001</v>
      </c>
      <c r="JS104">
        <v>99.590800000000002</v>
      </c>
      <c r="JT104">
        <v>98.741500000000002</v>
      </c>
    </row>
    <row r="105" spans="1:280" x14ac:dyDescent="0.25">
      <c r="A105">
        <v>89</v>
      </c>
      <c r="B105">
        <v>1674596552</v>
      </c>
      <c r="C105">
        <v>21127</v>
      </c>
      <c r="D105" t="s">
        <v>869</v>
      </c>
      <c r="E105" t="s">
        <v>870</v>
      </c>
      <c r="F105" t="s">
        <v>412</v>
      </c>
      <c r="G105" t="s">
        <v>850</v>
      </c>
      <c r="H105" t="s">
        <v>565</v>
      </c>
      <c r="I105">
        <v>1674596552</v>
      </c>
      <c r="J105">
        <f t="shared" si="92"/>
        <v>6.9366572234803225E-3</v>
      </c>
      <c r="K105">
        <f t="shared" si="93"/>
        <v>6.9366572234803225</v>
      </c>
      <c r="L105">
        <f t="shared" si="94"/>
        <v>12.610422746257045</v>
      </c>
      <c r="M105">
        <f t="shared" si="95"/>
        <v>54.457999999999998</v>
      </c>
      <c r="N105">
        <f t="shared" si="96"/>
        <v>19.297815451726688</v>
      </c>
      <c r="O105">
        <f t="shared" si="97"/>
        <v>1.9235355563301164</v>
      </c>
      <c r="P105">
        <f t="shared" si="98"/>
        <v>5.4281739603459993</v>
      </c>
      <c r="Q105">
        <f t="shared" si="99"/>
        <v>0.64673926880276766</v>
      </c>
      <c r="R105">
        <f t="shared" si="100"/>
        <v>2.9180476233531438</v>
      </c>
      <c r="S105">
        <f t="shared" si="101"/>
        <v>0.57640309762524311</v>
      </c>
      <c r="T105">
        <f t="shared" si="102"/>
        <v>0.36593187199019828</v>
      </c>
      <c r="U105">
        <f t="shared" si="103"/>
        <v>344.35739965782864</v>
      </c>
      <c r="V105">
        <f t="shared" si="104"/>
        <v>28.230225841605819</v>
      </c>
      <c r="W105">
        <f t="shared" si="105"/>
        <v>27.3277</v>
      </c>
      <c r="X105">
        <f t="shared" si="106"/>
        <v>3.6486278828249943</v>
      </c>
      <c r="Y105">
        <f t="shared" si="107"/>
        <v>65.499258865050081</v>
      </c>
      <c r="Z105">
        <f t="shared" si="108"/>
        <v>2.4859976182159</v>
      </c>
      <c r="AA105">
        <f t="shared" si="109"/>
        <v>3.7954591567789628</v>
      </c>
      <c r="AB105">
        <f t="shared" si="110"/>
        <v>1.1626302646090942</v>
      </c>
      <c r="AC105">
        <f t="shared" si="111"/>
        <v>-305.9065835554822</v>
      </c>
      <c r="AD105">
        <f t="shared" si="112"/>
        <v>106.20523562074202</v>
      </c>
      <c r="AE105">
        <f t="shared" si="113"/>
        <v>7.90705966925292</v>
      </c>
      <c r="AF105">
        <f t="shared" si="114"/>
        <v>152.5631113923414</v>
      </c>
      <c r="AG105">
        <v>0</v>
      </c>
      <c r="AH105">
        <v>0</v>
      </c>
      <c r="AI105">
        <f t="shared" si="115"/>
        <v>1</v>
      </c>
      <c r="AJ105">
        <f t="shared" si="116"/>
        <v>0</v>
      </c>
      <c r="AK105">
        <f t="shared" si="117"/>
        <v>52361.148834015075</v>
      </c>
      <c r="AL105" t="s">
        <v>415</v>
      </c>
      <c r="AM105">
        <v>10297.6</v>
      </c>
      <c r="AN105">
        <v>785.57400000000007</v>
      </c>
      <c r="AO105">
        <v>3597.65</v>
      </c>
      <c r="AP105">
        <f t="shared" si="118"/>
        <v>0.7816424610509638</v>
      </c>
      <c r="AQ105">
        <v>-0.62398835798131469</v>
      </c>
      <c r="AR105" t="s">
        <v>871</v>
      </c>
      <c r="AS105">
        <v>10219.4</v>
      </c>
      <c r="AT105">
        <v>773.78411999999992</v>
      </c>
      <c r="AU105">
        <v>884.99561708985038</v>
      </c>
      <c r="AV105">
        <f t="shared" si="119"/>
        <v>0.12566333091631521</v>
      </c>
      <c r="AW105">
        <v>0.5</v>
      </c>
      <c r="AX105">
        <f t="shared" si="120"/>
        <v>1513.1339998289145</v>
      </c>
      <c r="AY105">
        <f t="shared" si="121"/>
        <v>12.610422746257045</v>
      </c>
      <c r="AZ105">
        <f t="shared" si="122"/>
        <v>95.072729270614261</v>
      </c>
      <c r="BA105">
        <f t="shared" si="123"/>
        <v>8.7463576297503957E-3</v>
      </c>
      <c r="BB105">
        <f t="shared" si="124"/>
        <v>3.0651613754090987</v>
      </c>
      <c r="BC105">
        <f t="shared" si="125"/>
        <v>470.60054212379413</v>
      </c>
      <c r="BD105" t="s">
        <v>872</v>
      </c>
      <c r="BE105">
        <v>576.49</v>
      </c>
      <c r="BF105">
        <f t="shared" si="126"/>
        <v>576.49</v>
      </c>
      <c r="BG105">
        <f t="shared" si="127"/>
        <v>0.34859564401495668</v>
      </c>
      <c r="BH105">
        <f t="shared" si="128"/>
        <v>0.36048451285559835</v>
      </c>
      <c r="BI105">
        <f t="shared" si="129"/>
        <v>0.89788504511848088</v>
      </c>
      <c r="BJ105">
        <f t="shared" si="130"/>
        <v>1.1185846734854985</v>
      </c>
      <c r="BK105">
        <f t="shared" si="131"/>
        <v>0.96464476170279523</v>
      </c>
      <c r="BL105">
        <f t="shared" si="132"/>
        <v>0.26857066647493866</v>
      </c>
      <c r="BM105">
        <f t="shared" si="133"/>
        <v>0.73142933352506134</v>
      </c>
      <c r="BN105">
        <v>177</v>
      </c>
      <c r="BO105">
        <v>290.00000000000011</v>
      </c>
      <c r="BP105">
        <v>856.62</v>
      </c>
      <c r="BQ105">
        <v>275</v>
      </c>
      <c r="BR105">
        <v>10219.4</v>
      </c>
      <c r="BS105">
        <v>855.69</v>
      </c>
      <c r="BT105">
        <v>0.93</v>
      </c>
      <c r="BU105">
        <v>300.00000000000011</v>
      </c>
      <c r="BV105">
        <v>24.1</v>
      </c>
      <c r="BW105">
        <v>884.99561708985038</v>
      </c>
      <c r="BX105">
        <v>1.8704355794258971</v>
      </c>
      <c r="BY105">
        <v>-29.943597026480049</v>
      </c>
      <c r="BZ105">
        <v>1.7028260951089611</v>
      </c>
      <c r="CA105">
        <v>0.91696811091155006</v>
      </c>
      <c r="CB105">
        <v>-6.9669608453837564E-3</v>
      </c>
      <c r="CC105">
        <v>289.99999999999989</v>
      </c>
      <c r="CD105">
        <v>854.23</v>
      </c>
      <c r="CE105">
        <v>615</v>
      </c>
      <c r="CF105">
        <v>10205.9</v>
      </c>
      <c r="CG105">
        <v>855.66</v>
      </c>
      <c r="CH105">
        <v>-1.43</v>
      </c>
      <c r="CV105">
        <f t="shared" si="134"/>
        <v>1799.94</v>
      </c>
      <c r="CW105">
        <f t="shared" si="135"/>
        <v>1513.1339998289145</v>
      </c>
      <c r="CX105">
        <f t="shared" si="136"/>
        <v>0.84065802183901372</v>
      </c>
      <c r="CY105">
        <f t="shared" si="137"/>
        <v>0.1913160436780274</v>
      </c>
      <c r="CZ105">
        <v>6</v>
      </c>
      <c r="DA105">
        <v>0.5</v>
      </c>
      <c r="DB105" t="s">
        <v>418</v>
      </c>
      <c r="DC105">
        <v>2</v>
      </c>
      <c r="DD105">
        <v>1674596552</v>
      </c>
      <c r="DE105">
        <v>54.457999999999998</v>
      </c>
      <c r="DF105">
        <v>70.040199999999999</v>
      </c>
      <c r="DG105">
        <v>24.9407</v>
      </c>
      <c r="DH105">
        <v>16.8262</v>
      </c>
      <c r="DI105">
        <v>55.189500000000002</v>
      </c>
      <c r="DJ105">
        <v>24.704799999999999</v>
      </c>
      <c r="DK105">
        <v>500.11599999999999</v>
      </c>
      <c r="DL105">
        <v>99.575999999999993</v>
      </c>
      <c r="DM105">
        <v>0.100337</v>
      </c>
      <c r="DN105">
        <v>28.002800000000001</v>
      </c>
      <c r="DO105">
        <v>27.3277</v>
      </c>
      <c r="DP105">
        <v>999.9</v>
      </c>
      <c r="DQ105">
        <v>0</v>
      </c>
      <c r="DR105">
        <v>0</v>
      </c>
      <c r="DS105">
        <v>9976.8799999999992</v>
      </c>
      <c r="DT105">
        <v>0</v>
      </c>
      <c r="DU105">
        <v>413.69900000000001</v>
      </c>
      <c r="DV105">
        <v>-15.5822</v>
      </c>
      <c r="DW105">
        <v>55.850999999999999</v>
      </c>
      <c r="DX105">
        <v>71.238900000000001</v>
      </c>
      <c r="DY105">
        <v>8.1144200000000009</v>
      </c>
      <c r="DZ105">
        <v>70.040199999999999</v>
      </c>
      <c r="EA105">
        <v>16.8262</v>
      </c>
      <c r="EB105">
        <v>2.4834900000000002</v>
      </c>
      <c r="EC105">
        <v>1.6754899999999999</v>
      </c>
      <c r="ED105">
        <v>20.918700000000001</v>
      </c>
      <c r="EE105">
        <v>14.671200000000001</v>
      </c>
      <c r="EF105">
        <v>1799.94</v>
      </c>
      <c r="EG105">
        <v>0.97800399999999998</v>
      </c>
      <c r="EH105">
        <v>2.19957E-2</v>
      </c>
      <c r="EI105">
        <v>0</v>
      </c>
      <c r="EJ105">
        <v>773.29100000000005</v>
      </c>
      <c r="EK105">
        <v>5.0002599999999999</v>
      </c>
      <c r="EL105">
        <v>14075</v>
      </c>
      <c r="EM105">
        <v>17102.8</v>
      </c>
      <c r="EN105">
        <v>49.811999999999998</v>
      </c>
      <c r="EO105">
        <v>51.186999999999998</v>
      </c>
      <c r="EP105">
        <v>50.686999999999998</v>
      </c>
      <c r="EQ105">
        <v>50.436999999999998</v>
      </c>
      <c r="ER105">
        <v>50.875</v>
      </c>
      <c r="ES105">
        <v>1755.46</v>
      </c>
      <c r="ET105">
        <v>39.479999999999997</v>
      </c>
      <c r="EU105">
        <v>0</v>
      </c>
      <c r="EV105">
        <v>124.7999999523163</v>
      </c>
      <c r="EW105">
        <v>0</v>
      </c>
      <c r="EX105">
        <v>773.78411999999992</v>
      </c>
      <c r="EY105">
        <v>-2.86869230251469</v>
      </c>
      <c r="EZ105">
        <v>-50.230769118207228</v>
      </c>
      <c r="FA105">
        <v>14080.907999999999</v>
      </c>
      <c r="FB105">
        <v>15</v>
      </c>
      <c r="FC105">
        <v>1674596515.5</v>
      </c>
      <c r="FD105" t="s">
        <v>873</v>
      </c>
      <c r="FE105">
        <v>1674596507.5</v>
      </c>
      <c r="FF105">
        <v>1674596515.5</v>
      </c>
      <c r="FG105">
        <v>99</v>
      </c>
      <c r="FH105">
        <v>8.8999999999999996E-2</v>
      </c>
      <c r="FI105">
        <v>-2E-3</v>
      </c>
      <c r="FJ105">
        <v>-0.72</v>
      </c>
      <c r="FK105">
        <v>4.5999999999999999E-2</v>
      </c>
      <c r="FL105">
        <v>70</v>
      </c>
      <c r="FM105">
        <v>17</v>
      </c>
      <c r="FN105">
        <v>7.0000000000000007E-2</v>
      </c>
      <c r="FO105">
        <v>0.01</v>
      </c>
      <c r="FP105">
        <v>12.6169136422735</v>
      </c>
      <c r="FQ105">
        <v>-0.33630129605329151</v>
      </c>
      <c r="FR105">
        <v>5.0231741016526728E-2</v>
      </c>
      <c r="FS105">
        <v>1</v>
      </c>
      <c r="FT105">
        <v>0.64720433663438925</v>
      </c>
      <c r="FU105">
        <v>1.991837027522203E-2</v>
      </c>
      <c r="FV105">
        <v>3.3734608323531469E-3</v>
      </c>
      <c r="FW105">
        <v>1</v>
      </c>
      <c r="FX105">
        <v>2</v>
      </c>
      <c r="FY105">
        <v>2</v>
      </c>
      <c r="FZ105" t="s">
        <v>420</v>
      </c>
      <c r="GA105">
        <v>2.9283199999999998</v>
      </c>
      <c r="GB105">
        <v>2.8070599999999999</v>
      </c>
      <c r="GC105">
        <v>1.5796500000000002E-2</v>
      </c>
      <c r="GD105">
        <v>2.03459E-2</v>
      </c>
      <c r="GE105">
        <v>0.114981</v>
      </c>
      <c r="GF105">
        <v>8.8506799999999997E-2</v>
      </c>
      <c r="GG105">
        <v>29228.6</v>
      </c>
      <c r="GH105">
        <v>29546.6</v>
      </c>
      <c r="GI105">
        <v>28208.799999999999</v>
      </c>
      <c r="GJ105">
        <v>27178.2</v>
      </c>
      <c r="GK105">
        <v>35836.5</v>
      </c>
      <c r="GL105">
        <v>32714.7</v>
      </c>
      <c r="GM105">
        <v>42003.199999999997</v>
      </c>
      <c r="GN105">
        <v>36878.9</v>
      </c>
      <c r="GO105">
        <v>1.9270799999999999</v>
      </c>
      <c r="GP105">
        <v>1.8827700000000001</v>
      </c>
      <c r="GQ105">
        <v>4.97475E-2</v>
      </c>
      <c r="GR105">
        <v>0</v>
      </c>
      <c r="GS105">
        <v>26.513999999999999</v>
      </c>
      <c r="GT105">
        <v>999.9</v>
      </c>
      <c r="GU105">
        <v>49.7</v>
      </c>
      <c r="GV105">
        <v>34.9</v>
      </c>
      <c r="GW105">
        <v>28.038699999999999</v>
      </c>
      <c r="GX105">
        <v>61.7</v>
      </c>
      <c r="GY105">
        <v>26.875</v>
      </c>
      <c r="GZ105">
        <v>1</v>
      </c>
      <c r="HA105">
        <v>0.42372500000000002</v>
      </c>
      <c r="HB105">
        <v>3.01132</v>
      </c>
      <c r="HC105">
        <v>20.320599999999999</v>
      </c>
      <c r="HD105">
        <v>5.2408000000000001</v>
      </c>
      <c r="HE105">
        <v>11.9381</v>
      </c>
      <c r="HF105">
        <v>4.9737</v>
      </c>
      <c r="HG105">
        <v>3.2989999999999999</v>
      </c>
      <c r="HH105">
        <v>9999</v>
      </c>
      <c r="HI105">
        <v>9999</v>
      </c>
      <c r="HJ105">
        <v>9999</v>
      </c>
      <c r="HK105">
        <v>999.9</v>
      </c>
      <c r="HL105">
        <v>1.8733200000000001</v>
      </c>
      <c r="HM105">
        <v>1.8810500000000001</v>
      </c>
      <c r="HN105">
        <v>1.88459</v>
      </c>
      <c r="HO105">
        <v>1.8812599999999999</v>
      </c>
      <c r="HP105">
        <v>1.87866</v>
      </c>
      <c r="HQ105">
        <v>1.8733299999999999</v>
      </c>
      <c r="HR105">
        <v>1.87622</v>
      </c>
      <c r="HS105">
        <v>1.88046</v>
      </c>
      <c r="HT105">
        <v>5</v>
      </c>
      <c r="HU105">
        <v>0</v>
      </c>
      <c r="HV105">
        <v>0</v>
      </c>
      <c r="HW105">
        <v>0</v>
      </c>
      <c r="HX105" t="s">
        <v>421</v>
      </c>
      <c r="HY105" t="s">
        <v>422</v>
      </c>
      <c r="HZ105" t="s">
        <v>423</v>
      </c>
      <c r="IA105" t="s">
        <v>423</v>
      </c>
      <c r="IB105" t="s">
        <v>423</v>
      </c>
      <c r="IC105" t="s">
        <v>423</v>
      </c>
      <c r="ID105">
        <v>0</v>
      </c>
      <c r="IE105">
        <v>100</v>
      </c>
      <c r="IF105">
        <v>100</v>
      </c>
      <c r="IG105">
        <v>-0.73199999999999998</v>
      </c>
      <c r="IH105">
        <v>0.2359</v>
      </c>
      <c r="II105">
        <v>-0.77820307108704045</v>
      </c>
      <c r="IJ105">
        <v>9.4905977090923709E-4</v>
      </c>
      <c r="IK105">
        <v>-1.9106666302146479E-6</v>
      </c>
      <c r="IL105">
        <v>7.5819610513223293E-10</v>
      </c>
      <c r="IM105">
        <v>-6.3406924095494227E-2</v>
      </c>
      <c r="IN105">
        <v>-1.0595840490420019E-2</v>
      </c>
      <c r="IO105">
        <v>1.2407080968752471E-3</v>
      </c>
      <c r="IP105">
        <v>-1.3015442653884381E-5</v>
      </c>
      <c r="IQ105">
        <v>33</v>
      </c>
      <c r="IR105">
        <v>2014</v>
      </c>
      <c r="IS105">
        <v>1</v>
      </c>
      <c r="IT105">
        <v>26</v>
      </c>
      <c r="IU105">
        <v>0.7</v>
      </c>
      <c r="IV105">
        <v>0.6</v>
      </c>
      <c r="IW105">
        <v>0.29418899999999998</v>
      </c>
      <c r="IX105">
        <v>2.5647000000000002</v>
      </c>
      <c r="IY105">
        <v>1.5991200000000001</v>
      </c>
      <c r="IZ105">
        <v>2.2973599999999998</v>
      </c>
      <c r="JA105">
        <v>1.5502899999999999</v>
      </c>
      <c r="JB105">
        <v>2.2717299999999998</v>
      </c>
      <c r="JC105">
        <v>38.427900000000001</v>
      </c>
      <c r="JD105">
        <v>24.052499999999998</v>
      </c>
      <c r="JE105">
        <v>18</v>
      </c>
      <c r="JF105">
        <v>488.84100000000001</v>
      </c>
      <c r="JG105">
        <v>494.31299999999999</v>
      </c>
      <c r="JH105">
        <v>22.7988</v>
      </c>
      <c r="JI105">
        <v>32.523200000000003</v>
      </c>
      <c r="JJ105">
        <v>30.0002</v>
      </c>
      <c r="JK105">
        <v>32.610199999999999</v>
      </c>
      <c r="JL105">
        <v>32.578299999999999</v>
      </c>
      <c r="JM105">
        <v>5.9233399999999996</v>
      </c>
      <c r="JN105">
        <v>46.502299999999998</v>
      </c>
      <c r="JO105">
        <v>0</v>
      </c>
      <c r="JP105">
        <v>22.798300000000001</v>
      </c>
      <c r="JQ105">
        <v>70</v>
      </c>
      <c r="JR105">
        <v>16.763200000000001</v>
      </c>
      <c r="JS105">
        <v>99.585800000000006</v>
      </c>
      <c r="JT105">
        <v>98.740099999999998</v>
      </c>
    </row>
    <row r="106" spans="1:280" x14ac:dyDescent="0.25">
      <c r="A106">
        <v>90</v>
      </c>
      <c r="B106">
        <v>1674596664</v>
      </c>
      <c r="C106">
        <v>21239</v>
      </c>
      <c r="D106" t="s">
        <v>874</v>
      </c>
      <c r="E106" t="s">
        <v>875</v>
      </c>
      <c r="F106" t="s">
        <v>412</v>
      </c>
      <c r="G106" t="s">
        <v>850</v>
      </c>
      <c r="H106" t="s">
        <v>565</v>
      </c>
      <c r="I106">
        <v>1674596664</v>
      </c>
      <c r="J106">
        <f t="shared" si="92"/>
        <v>7.0936791845281561E-3</v>
      </c>
      <c r="K106">
        <f t="shared" si="93"/>
        <v>7.0936791845281562</v>
      </c>
      <c r="L106">
        <f t="shared" si="94"/>
        <v>5.4937067926149066</v>
      </c>
      <c r="M106">
        <f t="shared" si="95"/>
        <v>23.2163</v>
      </c>
      <c r="N106">
        <f t="shared" si="96"/>
        <v>8.2499626697289745</v>
      </c>
      <c r="O106">
        <f t="shared" si="97"/>
        <v>0.82233734525425728</v>
      </c>
      <c r="P106">
        <f t="shared" si="98"/>
        <v>2.3141475025915001</v>
      </c>
      <c r="Q106">
        <f t="shared" si="99"/>
        <v>0.66370058274836186</v>
      </c>
      <c r="R106">
        <f t="shared" si="100"/>
        <v>2.9118061097722698</v>
      </c>
      <c r="S106">
        <f t="shared" si="101"/>
        <v>0.58971213233003483</v>
      </c>
      <c r="T106">
        <f t="shared" si="102"/>
        <v>0.37452801277805869</v>
      </c>
      <c r="U106">
        <f t="shared" si="103"/>
        <v>344.36499965783628</v>
      </c>
      <c r="V106">
        <f t="shared" si="104"/>
        <v>28.206683057426137</v>
      </c>
      <c r="W106">
        <f t="shared" si="105"/>
        <v>27.330100000000002</v>
      </c>
      <c r="X106">
        <f t="shared" si="106"/>
        <v>3.6491409618033979</v>
      </c>
      <c r="Y106">
        <f t="shared" si="107"/>
        <v>65.461256007857145</v>
      </c>
      <c r="Z106">
        <f t="shared" si="108"/>
        <v>2.4870185463730006</v>
      </c>
      <c r="AA106">
        <f t="shared" si="109"/>
        <v>3.7992221629149472</v>
      </c>
      <c r="AB106">
        <f t="shared" si="110"/>
        <v>1.1621224154303973</v>
      </c>
      <c r="AC106">
        <f t="shared" si="111"/>
        <v>-312.83125203769168</v>
      </c>
      <c r="AD106">
        <f t="shared" si="112"/>
        <v>108.26999639583215</v>
      </c>
      <c r="AE106">
        <f t="shared" si="113"/>
        <v>8.0788434157393496</v>
      </c>
      <c r="AF106">
        <f t="shared" si="114"/>
        <v>147.8825874317161</v>
      </c>
      <c r="AG106">
        <v>0</v>
      </c>
      <c r="AH106">
        <v>0</v>
      </c>
      <c r="AI106">
        <f t="shared" si="115"/>
        <v>1</v>
      </c>
      <c r="AJ106">
        <f t="shared" si="116"/>
        <v>0</v>
      </c>
      <c r="AK106">
        <f t="shared" si="117"/>
        <v>52179.176146836857</v>
      </c>
      <c r="AL106" t="s">
        <v>415</v>
      </c>
      <c r="AM106">
        <v>10297.6</v>
      </c>
      <c r="AN106">
        <v>785.57400000000007</v>
      </c>
      <c r="AO106">
        <v>3597.65</v>
      </c>
      <c r="AP106">
        <f t="shared" si="118"/>
        <v>0.7816424610509638</v>
      </c>
      <c r="AQ106">
        <v>-0.62398835798131469</v>
      </c>
      <c r="AR106" t="s">
        <v>876</v>
      </c>
      <c r="AS106">
        <v>10243.299999999999</v>
      </c>
      <c r="AT106">
        <v>790.12503846153845</v>
      </c>
      <c r="AU106">
        <v>869.2148647589529</v>
      </c>
      <c r="AV106">
        <f t="shared" si="119"/>
        <v>9.0989960600072473E-2</v>
      </c>
      <c r="AW106">
        <v>0.5</v>
      </c>
      <c r="AX106">
        <f t="shared" si="120"/>
        <v>1513.1675998289181</v>
      </c>
      <c r="AY106">
        <f t="shared" si="121"/>
        <v>5.4937067926149066</v>
      </c>
      <c r="AZ106">
        <f t="shared" si="122"/>
        <v>68.841530144869751</v>
      </c>
      <c r="BA106">
        <f t="shared" si="123"/>
        <v>4.0429726034894621E-3</v>
      </c>
      <c r="BB106">
        <f t="shared" si="124"/>
        <v>3.138965111920498</v>
      </c>
      <c r="BC106">
        <f t="shared" si="125"/>
        <v>466.10075807646251</v>
      </c>
      <c r="BD106" t="s">
        <v>877</v>
      </c>
      <c r="BE106">
        <v>599.39</v>
      </c>
      <c r="BF106">
        <f t="shared" si="126"/>
        <v>599.39</v>
      </c>
      <c r="BG106">
        <f t="shared" si="127"/>
        <v>0.3104236658835553</v>
      </c>
      <c r="BH106">
        <f t="shared" si="128"/>
        <v>0.29311541161363708</v>
      </c>
      <c r="BI106">
        <f t="shared" si="129"/>
        <v>0.91000618199924188</v>
      </c>
      <c r="BJ106">
        <f t="shared" si="130"/>
        <v>0.94558833801331255</v>
      </c>
      <c r="BK106">
        <f t="shared" si="131"/>
        <v>0.97025654187192922</v>
      </c>
      <c r="BL106">
        <f t="shared" si="132"/>
        <v>0.22235777632004525</v>
      </c>
      <c r="BM106">
        <f t="shared" si="133"/>
        <v>0.77764222367995472</v>
      </c>
      <c r="BN106">
        <v>179</v>
      </c>
      <c r="BO106">
        <v>290.00000000000011</v>
      </c>
      <c r="BP106">
        <v>842.88</v>
      </c>
      <c r="BQ106">
        <v>115</v>
      </c>
      <c r="BR106">
        <v>10243.299999999999</v>
      </c>
      <c r="BS106">
        <v>841.14</v>
      </c>
      <c r="BT106">
        <v>1.74</v>
      </c>
      <c r="BU106">
        <v>300.00000000000011</v>
      </c>
      <c r="BV106">
        <v>24.1</v>
      </c>
      <c r="BW106">
        <v>869.2148647589529</v>
      </c>
      <c r="BX106">
        <v>1.4061021310484281</v>
      </c>
      <c r="BY106">
        <v>-28.75658905367143</v>
      </c>
      <c r="BZ106">
        <v>1.280092347595289</v>
      </c>
      <c r="CA106">
        <v>0.94743286160794948</v>
      </c>
      <c r="CB106">
        <v>-6.9669337041156857E-3</v>
      </c>
      <c r="CC106">
        <v>289.99999999999989</v>
      </c>
      <c r="CD106">
        <v>837.18</v>
      </c>
      <c r="CE106">
        <v>715</v>
      </c>
      <c r="CF106">
        <v>10199.299999999999</v>
      </c>
      <c r="CG106">
        <v>841.02</v>
      </c>
      <c r="CH106">
        <v>-3.84</v>
      </c>
      <c r="CV106">
        <f t="shared" si="134"/>
        <v>1799.98</v>
      </c>
      <c r="CW106">
        <f t="shared" si="135"/>
        <v>1513.1675998289181</v>
      </c>
      <c r="CX106">
        <f t="shared" si="136"/>
        <v>0.84065800721614581</v>
      </c>
      <c r="CY106">
        <f t="shared" si="137"/>
        <v>0.19131601443229163</v>
      </c>
      <c r="CZ106">
        <v>6</v>
      </c>
      <c r="DA106">
        <v>0.5</v>
      </c>
      <c r="DB106" t="s">
        <v>418</v>
      </c>
      <c r="DC106">
        <v>2</v>
      </c>
      <c r="DD106">
        <v>1674596664</v>
      </c>
      <c r="DE106">
        <v>23.2163</v>
      </c>
      <c r="DF106">
        <v>30.004799999999999</v>
      </c>
      <c r="DG106">
        <v>24.950600000000001</v>
      </c>
      <c r="DH106">
        <v>16.6525</v>
      </c>
      <c r="DI106">
        <v>23.9056</v>
      </c>
      <c r="DJ106">
        <v>24.7133</v>
      </c>
      <c r="DK106">
        <v>500.11599999999999</v>
      </c>
      <c r="DL106">
        <v>99.576999999999998</v>
      </c>
      <c r="DM106">
        <v>0.100705</v>
      </c>
      <c r="DN106">
        <v>28.0198</v>
      </c>
      <c r="DO106">
        <v>27.330100000000002</v>
      </c>
      <c r="DP106">
        <v>999.9</v>
      </c>
      <c r="DQ106">
        <v>0</v>
      </c>
      <c r="DR106">
        <v>0</v>
      </c>
      <c r="DS106">
        <v>9941.25</v>
      </c>
      <c r="DT106">
        <v>0</v>
      </c>
      <c r="DU106">
        <v>412.76499999999999</v>
      </c>
      <c r="DV106">
        <v>-6.7884599999999997</v>
      </c>
      <c r="DW106">
        <v>23.810400000000001</v>
      </c>
      <c r="DX106">
        <v>30.512899999999998</v>
      </c>
      <c r="DY106">
        <v>8.2980300000000007</v>
      </c>
      <c r="DZ106">
        <v>30.004799999999999</v>
      </c>
      <c r="EA106">
        <v>16.6525</v>
      </c>
      <c r="EB106">
        <v>2.4845000000000002</v>
      </c>
      <c r="EC106">
        <v>1.65821</v>
      </c>
      <c r="ED106">
        <v>20.9253</v>
      </c>
      <c r="EE106">
        <v>14.5106</v>
      </c>
      <c r="EF106">
        <v>1799.98</v>
      </c>
      <c r="EG106">
        <v>0.97800399999999998</v>
      </c>
      <c r="EH106">
        <v>2.19957E-2</v>
      </c>
      <c r="EI106">
        <v>0</v>
      </c>
      <c r="EJ106">
        <v>789.94100000000003</v>
      </c>
      <c r="EK106">
        <v>5.0002599999999999</v>
      </c>
      <c r="EL106">
        <v>14358.8</v>
      </c>
      <c r="EM106">
        <v>17103.2</v>
      </c>
      <c r="EN106">
        <v>49.811999999999998</v>
      </c>
      <c r="EO106">
        <v>51.186999999999998</v>
      </c>
      <c r="EP106">
        <v>50.75</v>
      </c>
      <c r="EQ106">
        <v>50.375</v>
      </c>
      <c r="ER106">
        <v>50.936999999999998</v>
      </c>
      <c r="ES106">
        <v>1755.5</v>
      </c>
      <c r="ET106">
        <v>39.479999999999997</v>
      </c>
      <c r="EU106">
        <v>0</v>
      </c>
      <c r="EV106">
        <v>109.7999999523163</v>
      </c>
      <c r="EW106">
        <v>0</v>
      </c>
      <c r="EX106">
        <v>790.12503846153845</v>
      </c>
      <c r="EY106">
        <v>-1.8608205151038679</v>
      </c>
      <c r="EZ106">
        <v>-27.788034129892541</v>
      </c>
      <c r="FA106">
        <v>14362.09230769231</v>
      </c>
      <c r="FB106">
        <v>15</v>
      </c>
      <c r="FC106">
        <v>1674596628.5</v>
      </c>
      <c r="FD106" t="s">
        <v>878</v>
      </c>
      <c r="FE106">
        <v>1674596615</v>
      </c>
      <c r="FF106">
        <v>1674596628.5</v>
      </c>
      <c r="FG106">
        <v>100</v>
      </c>
      <c r="FH106">
        <v>6.7000000000000004E-2</v>
      </c>
      <c r="FI106">
        <v>1E-3</v>
      </c>
      <c r="FJ106">
        <v>-0.68400000000000005</v>
      </c>
      <c r="FK106">
        <v>4.4999999999999998E-2</v>
      </c>
      <c r="FL106">
        <v>30</v>
      </c>
      <c r="FM106">
        <v>17</v>
      </c>
      <c r="FN106">
        <v>0.31</v>
      </c>
      <c r="FO106">
        <v>0.01</v>
      </c>
      <c r="FP106">
        <v>5.5294789810740692</v>
      </c>
      <c r="FQ106">
        <v>-0.52945005972375869</v>
      </c>
      <c r="FR106">
        <v>6.0566925278797881E-2</v>
      </c>
      <c r="FS106">
        <v>1</v>
      </c>
      <c r="FT106">
        <v>0.66763375867876495</v>
      </c>
      <c r="FU106">
        <v>4.1602593000201679E-2</v>
      </c>
      <c r="FV106">
        <v>7.9364029666223346E-3</v>
      </c>
      <c r="FW106">
        <v>1</v>
      </c>
      <c r="FX106">
        <v>2</v>
      </c>
      <c r="FY106">
        <v>2</v>
      </c>
      <c r="FZ106" t="s">
        <v>420</v>
      </c>
      <c r="GA106">
        <v>2.9283100000000002</v>
      </c>
      <c r="GB106">
        <v>2.8071000000000002</v>
      </c>
      <c r="GC106">
        <v>6.8288300000000001E-3</v>
      </c>
      <c r="GD106">
        <v>8.7201899999999992E-3</v>
      </c>
      <c r="GE106">
        <v>0.115008</v>
      </c>
      <c r="GF106">
        <v>8.7847800000000004E-2</v>
      </c>
      <c r="GG106">
        <v>29493.8</v>
      </c>
      <c r="GH106">
        <v>29897.200000000001</v>
      </c>
      <c r="GI106">
        <v>28207.7</v>
      </c>
      <c r="GJ106">
        <v>27178.3</v>
      </c>
      <c r="GK106">
        <v>35833.800000000003</v>
      </c>
      <c r="GL106">
        <v>32738.9</v>
      </c>
      <c r="GM106">
        <v>42001.4</v>
      </c>
      <c r="GN106">
        <v>36879.599999999999</v>
      </c>
      <c r="GO106">
        <v>1.9271</v>
      </c>
      <c r="GP106">
        <v>1.8821300000000001</v>
      </c>
      <c r="GQ106">
        <v>5.0671399999999998E-2</v>
      </c>
      <c r="GR106">
        <v>0</v>
      </c>
      <c r="GS106">
        <v>26.501300000000001</v>
      </c>
      <c r="GT106">
        <v>999.9</v>
      </c>
      <c r="GU106">
        <v>49.7</v>
      </c>
      <c r="GV106">
        <v>34.9</v>
      </c>
      <c r="GW106">
        <v>28.036100000000001</v>
      </c>
      <c r="GX106">
        <v>62.2</v>
      </c>
      <c r="GY106">
        <v>27.055299999999999</v>
      </c>
      <c r="GZ106">
        <v>1</v>
      </c>
      <c r="HA106">
        <v>0.42548999999999998</v>
      </c>
      <c r="HB106">
        <v>3.1994699999999998</v>
      </c>
      <c r="HC106">
        <v>20.316199999999998</v>
      </c>
      <c r="HD106">
        <v>5.2394499999999997</v>
      </c>
      <c r="HE106">
        <v>11.9381</v>
      </c>
      <c r="HF106">
        <v>4.9733499999999999</v>
      </c>
      <c r="HG106">
        <v>3.2985500000000001</v>
      </c>
      <c r="HH106">
        <v>9999</v>
      </c>
      <c r="HI106">
        <v>9999</v>
      </c>
      <c r="HJ106">
        <v>9999</v>
      </c>
      <c r="HK106">
        <v>999.9</v>
      </c>
      <c r="HL106">
        <v>1.8733299999999999</v>
      </c>
      <c r="HM106">
        <v>1.88107</v>
      </c>
      <c r="HN106">
        <v>1.8846099999999999</v>
      </c>
      <c r="HO106">
        <v>1.88127</v>
      </c>
      <c r="HP106">
        <v>1.87866</v>
      </c>
      <c r="HQ106">
        <v>1.87334</v>
      </c>
      <c r="HR106">
        <v>1.87622</v>
      </c>
      <c r="HS106">
        <v>1.88045</v>
      </c>
      <c r="HT106">
        <v>5</v>
      </c>
      <c r="HU106">
        <v>0</v>
      </c>
      <c r="HV106">
        <v>0</v>
      </c>
      <c r="HW106">
        <v>0</v>
      </c>
      <c r="HX106" t="s">
        <v>421</v>
      </c>
      <c r="HY106" t="s">
        <v>422</v>
      </c>
      <c r="HZ106" t="s">
        <v>423</v>
      </c>
      <c r="IA106" t="s">
        <v>423</v>
      </c>
      <c r="IB106" t="s">
        <v>423</v>
      </c>
      <c r="IC106" t="s">
        <v>423</v>
      </c>
      <c r="ID106">
        <v>0</v>
      </c>
      <c r="IE106">
        <v>100</v>
      </c>
      <c r="IF106">
        <v>100</v>
      </c>
      <c r="IG106">
        <v>-0.68899999999999995</v>
      </c>
      <c r="IH106">
        <v>0.23730000000000001</v>
      </c>
      <c r="II106">
        <v>-0.71092290149054849</v>
      </c>
      <c r="IJ106">
        <v>9.4905977090923709E-4</v>
      </c>
      <c r="IK106">
        <v>-1.9106666302146479E-6</v>
      </c>
      <c r="IL106">
        <v>7.5819610513223293E-10</v>
      </c>
      <c r="IM106">
        <v>-6.2209883926677062E-2</v>
      </c>
      <c r="IN106">
        <v>-1.0595840490420019E-2</v>
      </c>
      <c r="IO106">
        <v>1.2407080968752471E-3</v>
      </c>
      <c r="IP106">
        <v>-1.3015442653884381E-5</v>
      </c>
      <c r="IQ106">
        <v>33</v>
      </c>
      <c r="IR106">
        <v>2014</v>
      </c>
      <c r="IS106">
        <v>1</v>
      </c>
      <c r="IT106">
        <v>26</v>
      </c>
      <c r="IU106">
        <v>0.8</v>
      </c>
      <c r="IV106">
        <v>0.6</v>
      </c>
      <c r="IW106">
        <v>0.20629900000000001</v>
      </c>
      <c r="IX106">
        <v>2.5842299999999998</v>
      </c>
      <c r="IY106">
        <v>1.5991200000000001</v>
      </c>
      <c r="IZ106">
        <v>2.2973599999999998</v>
      </c>
      <c r="JA106">
        <v>1.5502899999999999</v>
      </c>
      <c r="JB106">
        <v>2.3156699999999999</v>
      </c>
      <c r="JC106">
        <v>38.452399999999997</v>
      </c>
      <c r="JD106">
        <v>24.061199999999999</v>
      </c>
      <c r="JE106">
        <v>18</v>
      </c>
      <c r="JF106">
        <v>488.90199999999999</v>
      </c>
      <c r="JG106">
        <v>493.88099999999997</v>
      </c>
      <c r="JH106">
        <v>22.8002</v>
      </c>
      <c r="JI106">
        <v>32.531799999999997</v>
      </c>
      <c r="JJ106">
        <v>30.000299999999999</v>
      </c>
      <c r="JK106">
        <v>32.616</v>
      </c>
      <c r="JL106">
        <v>32.581200000000003</v>
      </c>
      <c r="JM106">
        <v>4.1847200000000004</v>
      </c>
      <c r="JN106">
        <v>47.405900000000003</v>
      </c>
      <c r="JO106">
        <v>0</v>
      </c>
      <c r="JP106">
        <v>22.775200000000002</v>
      </c>
      <c r="JQ106">
        <v>30</v>
      </c>
      <c r="JR106">
        <v>16.5442</v>
      </c>
      <c r="JS106">
        <v>99.581800000000001</v>
      </c>
      <c r="JT106">
        <v>98.741399999999999</v>
      </c>
    </row>
    <row r="107" spans="1:280" x14ac:dyDescent="0.25">
      <c r="A107">
        <v>91</v>
      </c>
      <c r="B107">
        <v>1674596771</v>
      </c>
      <c r="C107">
        <v>21346</v>
      </c>
      <c r="D107" t="s">
        <v>879</v>
      </c>
      <c r="E107" t="s">
        <v>880</v>
      </c>
      <c r="F107" t="s">
        <v>412</v>
      </c>
      <c r="G107" t="s">
        <v>850</v>
      </c>
      <c r="H107" t="s">
        <v>565</v>
      </c>
      <c r="I107">
        <v>1674596771</v>
      </c>
      <c r="J107">
        <f t="shared" si="92"/>
        <v>7.1864383926259628E-3</v>
      </c>
      <c r="K107">
        <f t="shared" si="93"/>
        <v>7.1864383926259627</v>
      </c>
      <c r="L107">
        <f t="shared" si="94"/>
        <v>1.7526778125599067</v>
      </c>
      <c r="M107">
        <f t="shared" si="95"/>
        <v>7.82463</v>
      </c>
      <c r="N107">
        <f t="shared" si="96"/>
        <v>3.1392573053434529</v>
      </c>
      <c r="O107">
        <f t="shared" si="97"/>
        <v>0.3129182003427789</v>
      </c>
      <c r="P107">
        <f t="shared" si="98"/>
        <v>0.77995172099479804</v>
      </c>
      <c r="Q107">
        <f t="shared" si="99"/>
        <v>0.67891884782348288</v>
      </c>
      <c r="R107">
        <f t="shared" si="100"/>
        <v>2.9282815722657696</v>
      </c>
      <c r="S107">
        <f t="shared" si="101"/>
        <v>0.60209102497335909</v>
      </c>
      <c r="T107">
        <f t="shared" si="102"/>
        <v>0.38248258562983833</v>
      </c>
      <c r="U107">
        <f t="shared" si="103"/>
        <v>344.37449965784577</v>
      </c>
      <c r="V107">
        <f t="shared" si="104"/>
        <v>28.157346922426079</v>
      </c>
      <c r="W107">
        <f t="shared" si="105"/>
        <v>27.279900000000001</v>
      </c>
      <c r="X107">
        <f t="shared" si="106"/>
        <v>3.6384221661366687</v>
      </c>
      <c r="Y107">
        <f t="shared" si="107"/>
        <v>65.506592900565039</v>
      </c>
      <c r="Z107">
        <f t="shared" si="108"/>
        <v>2.4852181250981205</v>
      </c>
      <c r="AA107">
        <f t="shared" si="109"/>
        <v>3.7938442759044544</v>
      </c>
      <c r="AB107">
        <f t="shared" si="110"/>
        <v>1.1532040410385482</v>
      </c>
      <c r="AC107">
        <f t="shared" si="111"/>
        <v>-316.92193311480497</v>
      </c>
      <c r="AD107">
        <f t="shared" si="112"/>
        <v>112.97142573832855</v>
      </c>
      <c r="AE107">
        <f t="shared" si="113"/>
        <v>8.3791105230521072</v>
      </c>
      <c r="AF107">
        <f t="shared" si="114"/>
        <v>148.80310280442148</v>
      </c>
      <c r="AG107">
        <v>0</v>
      </c>
      <c r="AH107">
        <v>0</v>
      </c>
      <c r="AI107">
        <f t="shared" si="115"/>
        <v>1</v>
      </c>
      <c r="AJ107">
        <f t="shared" si="116"/>
        <v>0</v>
      </c>
      <c r="AK107">
        <f t="shared" si="117"/>
        <v>52656.600702976102</v>
      </c>
      <c r="AL107" t="s">
        <v>415</v>
      </c>
      <c r="AM107">
        <v>10297.6</v>
      </c>
      <c r="AN107">
        <v>785.57400000000007</v>
      </c>
      <c r="AO107">
        <v>3597.65</v>
      </c>
      <c r="AP107">
        <f t="shared" si="118"/>
        <v>0.7816424610509638</v>
      </c>
      <c r="AQ107">
        <v>-0.62398835798131469</v>
      </c>
      <c r="AR107" t="s">
        <v>881</v>
      </c>
      <c r="AS107">
        <v>10249.299999999999</v>
      </c>
      <c r="AT107">
        <v>798.37950000000012</v>
      </c>
      <c r="AU107">
        <v>859.3508761091158</v>
      </c>
      <c r="AV107">
        <f t="shared" si="119"/>
        <v>7.0950502064041521E-2</v>
      </c>
      <c r="AW107">
        <v>0.5</v>
      </c>
      <c r="AX107">
        <f t="shared" si="120"/>
        <v>1513.2095998289228</v>
      </c>
      <c r="AY107">
        <f t="shared" si="121"/>
        <v>1.7526778125599067</v>
      </c>
      <c r="AZ107">
        <f t="shared" si="122"/>
        <v>53.681490417994716</v>
      </c>
      <c r="BA107">
        <f t="shared" si="123"/>
        <v>1.570612670452208E-3</v>
      </c>
      <c r="BB107">
        <f t="shared" si="124"/>
        <v>3.1864738839728486</v>
      </c>
      <c r="BC107">
        <f t="shared" si="125"/>
        <v>463.24941429080002</v>
      </c>
      <c r="BD107" t="s">
        <v>882</v>
      </c>
      <c r="BE107">
        <v>613.1</v>
      </c>
      <c r="BF107">
        <f t="shared" si="126"/>
        <v>613.1</v>
      </c>
      <c r="BG107">
        <f t="shared" si="127"/>
        <v>0.28655451801488374</v>
      </c>
      <c r="BH107">
        <f t="shared" si="128"/>
        <v>0.2475986159825834</v>
      </c>
      <c r="BI107">
        <f t="shared" si="129"/>
        <v>0.91749145562677259</v>
      </c>
      <c r="BJ107">
        <f t="shared" si="130"/>
        <v>0.82642935462514344</v>
      </c>
      <c r="BK107">
        <f t="shared" si="131"/>
        <v>0.97376426664531268</v>
      </c>
      <c r="BL107">
        <f t="shared" si="132"/>
        <v>0.19013853870110878</v>
      </c>
      <c r="BM107">
        <f t="shared" si="133"/>
        <v>0.80986146129889125</v>
      </c>
      <c r="BN107">
        <v>181</v>
      </c>
      <c r="BO107">
        <v>290.00000000000011</v>
      </c>
      <c r="BP107">
        <v>839.48</v>
      </c>
      <c r="BQ107">
        <v>85</v>
      </c>
      <c r="BR107">
        <v>10249.299999999999</v>
      </c>
      <c r="BS107">
        <v>836.19</v>
      </c>
      <c r="BT107">
        <v>3.29</v>
      </c>
      <c r="BU107">
        <v>300.00000000000011</v>
      </c>
      <c r="BV107">
        <v>24.1</v>
      </c>
      <c r="BW107">
        <v>859.3508761091158</v>
      </c>
      <c r="BX107">
        <v>1.670407771111694</v>
      </c>
      <c r="BY107">
        <v>-23.74212581867706</v>
      </c>
      <c r="BZ107">
        <v>1.520732491898394</v>
      </c>
      <c r="CA107">
        <v>0.89696176557061524</v>
      </c>
      <c r="CB107">
        <v>-6.9669750834260354E-3</v>
      </c>
      <c r="CC107">
        <v>289.99999999999989</v>
      </c>
      <c r="CD107">
        <v>833.23</v>
      </c>
      <c r="CE107">
        <v>665</v>
      </c>
      <c r="CF107">
        <v>10202.4</v>
      </c>
      <c r="CG107">
        <v>836.08</v>
      </c>
      <c r="CH107">
        <v>-2.85</v>
      </c>
      <c r="CV107">
        <f t="shared" si="134"/>
        <v>1800.03</v>
      </c>
      <c r="CW107">
        <f t="shared" si="135"/>
        <v>1513.2095998289228</v>
      </c>
      <c r="CX107">
        <f t="shared" si="136"/>
        <v>0.84065798893847488</v>
      </c>
      <c r="CY107">
        <f t="shared" si="137"/>
        <v>0.19131597787694971</v>
      </c>
      <c r="CZ107">
        <v>6</v>
      </c>
      <c r="DA107">
        <v>0.5</v>
      </c>
      <c r="DB107" t="s">
        <v>418</v>
      </c>
      <c r="DC107">
        <v>2</v>
      </c>
      <c r="DD107">
        <v>1674596771</v>
      </c>
      <c r="DE107">
        <v>7.82463</v>
      </c>
      <c r="DF107">
        <v>9.9947999999999997</v>
      </c>
      <c r="DG107">
        <v>24.932200000000002</v>
      </c>
      <c r="DH107">
        <v>16.525500000000001</v>
      </c>
      <c r="DI107">
        <v>8.4940200000000008</v>
      </c>
      <c r="DJ107">
        <v>24.696400000000001</v>
      </c>
      <c r="DK107">
        <v>500.12</v>
      </c>
      <c r="DL107">
        <v>99.5792</v>
      </c>
      <c r="DM107">
        <v>9.9854600000000002E-2</v>
      </c>
      <c r="DN107">
        <v>27.9955</v>
      </c>
      <c r="DO107">
        <v>27.279900000000001</v>
      </c>
      <c r="DP107">
        <v>999.9</v>
      </c>
      <c r="DQ107">
        <v>0</v>
      </c>
      <c r="DR107">
        <v>0</v>
      </c>
      <c r="DS107">
        <v>10035</v>
      </c>
      <c r="DT107">
        <v>0</v>
      </c>
      <c r="DU107">
        <v>412.07499999999999</v>
      </c>
      <c r="DV107">
        <v>-2.1701700000000002</v>
      </c>
      <c r="DW107">
        <v>8.0247100000000007</v>
      </c>
      <c r="DX107">
        <v>10.162699999999999</v>
      </c>
      <c r="DY107">
        <v>8.4067699999999999</v>
      </c>
      <c r="DZ107">
        <v>9.9947999999999997</v>
      </c>
      <c r="EA107">
        <v>16.525500000000001</v>
      </c>
      <c r="EB107">
        <v>2.4827300000000001</v>
      </c>
      <c r="EC107">
        <v>1.6455900000000001</v>
      </c>
      <c r="ED107">
        <v>20.913699999999999</v>
      </c>
      <c r="EE107">
        <v>14.3925</v>
      </c>
      <c r="EF107">
        <v>1800.03</v>
      </c>
      <c r="EG107">
        <v>0.97800399999999998</v>
      </c>
      <c r="EH107">
        <v>2.19957E-2</v>
      </c>
      <c r="EI107">
        <v>0</v>
      </c>
      <c r="EJ107">
        <v>798.66899999999998</v>
      </c>
      <c r="EK107">
        <v>5.0002599999999999</v>
      </c>
      <c r="EL107">
        <v>14495.6</v>
      </c>
      <c r="EM107">
        <v>17103.7</v>
      </c>
      <c r="EN107">
        <v>49.75</v>
      </c>
      <c r="EO107">
        <v>51.25</v>
      </c>
      <c r="EP107">
        <v>50.811999999999998</v>
      </c>
      <c r="EQ107">
        <v>50.375</v>
      </c>
      <c r="ER107">
        <v>50.936999999999998</v>
      </c>
      <c r="ES107">
        <v>1755.55</v>
      </c>
      <c r="ET107">
        <v>39.479999999999997</v>
      </c>
      <c r="EU107">
        <v>0</v>
      </c>
      <c r="EV107">
        <v>105</v>
      </c>
      <c r="EW107">
        <v>0</v>
      </c>
      <c r="EX107">
        <v>798.37950000000012</v>
      </c>
      <c r="EY107">
        <v>1.312512819315218</v>
      </c>
      <c r="EZ107">
        <v>-13.743589744720589</v>
      </c>
      <c r="FA107">
        <v>14496.869230769231</v>
      </c>
      <c r="FB107">
        <v>15</v>
      </c>
      <c r="FC107">
        <v>1674596733.5</v>
      </c>
      <c r="FD107" t="s">
        <v>883</v>
      </c>
      <c r="FE107">
        <v>1674596728.5</v>
      </c>
      <c r="FF107">
        <v>1674596733.5</v>
      </c>
      <c r="FG107">
        <v>101</v>
      </c>
      <c r="FH107">
        <v>3.4000000000000002E-2</v>
      </c>
      <c r="FI107">
        <v>-1E-3</v>
      </c>
      <c r="FJ107">
        <v>-0.66700000000000004</v>
      </c>
      <c r="FK107">
        <v>4.1000000000000002E-2</v>
      </c>
      <c r="FL107">
        <v>10</v>
      </c>
      <c r="FM107">
        <v>17</v>
      </c>
      <c r="FN107">
        <v>0.3</v>
      </c>
      <c r="FO107">
        <v>0.01</v>
      </c>
      <c r="FP107">
        <v>1.8033065216381119</v>
      </c>
      <c r="FQ107">
        <v>-0.66848462950602694</v>
      </c>
      <c r="FR107">
        <v>7.7236759851270917E-2</v>
      </c>
      <c r="FS107">
        <v>1</v>
      </c>
      <c r="FT107">
        <v>0.67917123703218196</v>
      </c>
      <c r="FU107">
        <v>3.845326790581183E-3</v>
      </c>
      <c r="FV107">
        <v>3.5216330953572171E-3</v>
      </c>
      <c r="FW107">
        <v>1</v>
      </c>
      <c r="FX107">
        <v>2</v>
      </c>
      <c r="FY107">
        <v>2</v>
      </c>
      <c r="FZ107" t="s">
        <v>420</v>
      </c>
      <c r="GA107">
        <v>2.9283199999999998</v>
      </c>
      <c r="GB107">
        <v>2.80708</v>
      </c>
      <c r="GC107">
        <v>2.4191099999999999E-3</v>
      </c>
      <c r="GD107">
        <v>2.8957100000000001E-3</v>
      </c>
      <c r="GE107">
        <v>0.114955</v>
      </c>
      <c r="GF107">
        <v>8.7365200000000004E-2</v>
      </c>
      <c r="GG107">
        <v>29624.2</v>
      </c>
      <c r="GH107">
        <v>30072.1</v>
      </c>
      <c r="GI107">
        <v>28207.200000000001</v>
      </c>
      <c r="GJ107">
        <v>27177.5</v>
      </c>
      <c r="GK107">
        <v>35835.5</v>
      </c>
      <c r="GL107">
        <v>32755.1</v>
      </c>
      <c r="GM107">
        <v>42001</v>
      </c>
      <c r="GN107">
        <v>36878.400000000001</v>
      </c>
      <c r="GO107">
        <v>1.9268000000000001</v>
      </c>
      <c r="GP107">
        <v>1.88215</v>
      </c>
      <c r="GQ107">
        <v>5.0209499999999997E-2</v>
      </c>
      <c r="GR107">
        <v>0</v>
      </c>
      <c r="GS107">
        <v>26.458600000000001</v>
      </c>
      <c r="GT107">
        <v>999.9</v>
      </c>
      <c r="GU107">
        <v>49.7</v>
      </c>
      <c r="GV107">
        <v>34.9</v>
      </c>
      <c r="GW107">
        <v>28.0365</v>
      </c>
      <c r="GX107">
        <v>61.04</v>
      </c>
      <c r="GY107">
        <v>26.8429</v>
      </c>
      <c r="GZ107">
        <v>1</v>
      </c>
      <c r="HA107">
        <v>0.42466500000000001</v>
      </c>
      <c r="HB107">
        <v>2.9996</v>
      </c>
      <c r="HC107">
        <v>20.320900000000002</v>
      </c>
      <c r="HD107">
        <v>5.2404999999999999</v>
      </c>
      <c r="HE107">
        <v>11.9381</v>
      </c>
      <c r="HF107">
        <v>4.9737</v>
      </c>
      <c r="HG107">
        <v>3.2989999999999999</v>
      </c>
      <c r="HH107">
        <v>9999</v>
      </c>
      <c r="HI107">
        <v>9999</v>
      </c>
      <c r="HJ107">
        <v>9999</v>
      </c>
      <c r="HK107">
        <v>999.9</v>
      </c>
      <c r="HL107">
        <v>1.87334</v>
      </c>
      <c r="HM107">
        <v>1.8810899999999999</v>
      </c>
      <c r="HN107">
        <v>1.8846099999999999</v>
      </c>
      <c r="HO107">
        <v>1.8812800000000001</v>
      </c>
      <c r="HP107">
        <v>1.87866</v>
      </c>
      <c r="HQ107">
        <v>1.8733200000000001</v>
      </c>
      <c r="HR107">
        <v>1.87622</v>
      </c>
      <c r="HS107">
        <v>1.8804700000000001</v>
      </c>
      <c r="HT107">
        <v>5</v>
      </c>
      <c r="HU107">
        <v>0</v>
      </c>
      <c r="HV107">
        <v>0</v>
      </c>
      <c r="HW107">
        <v>0</v>
      </c>
      <c r="HX107" t="s">
        <v>421</v>
      </c>
      <c r="HY107" t="s">
        <v>422</v>
      </c>
      <c r="HZ107" t="s">
        <v>423</v>
      </c>
      <c r="IA107" t="s">
        <v>423</v>
      </c>
      <c r="IB107" t="s">
        <v>423</v>
      </c>
      <c r="IC107" t="s">
        <v>423</v>
      </c>
      <c r="ID107">
        <v>0</v>
      </c>
      <c r="IE107">
        <v>100</v>
      </c>
      <c r="IF107">
        <v>100</v>
      </c>
      <c r="IG107">
        <v>-0.66900000000000004</v>
      </c>
      <c r="IH107">
        <v>0.23580000000000001</v>
      </c>
      <c r="II107">
        <v>-0.6773131132272866</v>
      </c>
      <c r="IJ107">
        <v>9.4905977090923709E-4</v>
      </c>
      <c r="IK107">
        <v>-1.9106666302146479E-6</v>
      </c>
      <c r="IL107">
        <v>7.5819610513223293E-10</v>
      </c>
      <c r="IM107">
        <v>-6.3143113415315949E-2</v>
      </c>
      <c r="IN107">
        <v>-1.0595840490420019E-2</v>
      </c>
      <c r="IO107">
        <v>1.2407080968752471E-3</v>
      </c>
      <c r="IP107">
        <v>-1.3015442653884381E-5</v>
      </c>
      <c r="IQ107">
        <v>33</v>
      </c>
      <c r="IR107">
        <v>2014</v>
      </c>
      <c r="IS107">
        <v>1</v>
      </c>
      <c r="IT107">
        <v>26</v>
      </c>
      <c r="IU107">
        <v>0.7</v>
      </c>
      <c r="IV107">
        <v>0.6</v>
      </c>
      <c r="IW107">
        <v>0.163574</v>
      </c>
      <c r="IX107">
        <v>2.6049799999999999</v>
      </c>
      <c r="IY107">
        <v>1.5979000000000001</v>
      </c>
      <c r="IZ107">
        <v>2.2973599999999998</v>
      </c>
      <c r="JA107">
        <v>1.5490699999999999</v>
      </c>
      <c r="JB107">
        <v>2.34497</v>
      </c>
      <c r="JC107">
        <v>38.452399999999997</v>
      </c>
      <c r="JD107">
        <v>24.07</v>
      </c>
      <c r="JE107">
        <v>18</v>
      </c>
      <c r="JF107">
        <v>488.733</v>
      </c>
      <c r="JG107">
        <v>493.92200000000003</v>
      </c>
      <c r="JH107">
        <v>22.799700000000001</v>
      </c>
      <c r="JI107">
        <v>32.531799999999997</v>
      </c>
      <c r="JJ107">
        <v>30.0001</v>
      </c>
      <c r="JK107">
        <v>32.618899999999996</v>
      </c>
      <c r="JL107">
        <v>32.584099999999999</v>
      </c>
      <c r="JM107">
        <v>3.3294100000000002</v>
      </c>
      <c r="JN107">
        <v>47.489100000000001</v>
      </c>
      <c r="JO107">
        <v>0</v>
      </c>
      <c r="JP107">
        <v>22.8033</v>
      </c>
      <c r="JQ107">
        <v>10</v>
      </c>
      <c r="JR107">
        <v>16.481400000000001</v>
      </c>
      <c r="JS107">
        <v>99.580399999999997</v>
      </c>
      <c r="JT107">
        <v>98.738399999999999</v>
      </c>
    </row>
    <row r="108" spans="1:280" x14ac:dyDescent="0.25">
      <c r="A108">
        <v>92</v>
      </c>
      <c r="B108">
        <v>1674596960.5</v>
      </c>
      <c r="C108">
        <v>21535.5</v>
      </c>
      <c r="D108" t="s">
        <v>884</v>
      </c>
      <c r="E108" t="s">
        <v>885</v>
      </c>
      <c r="F108" t="s">
        <v>412</v>
      </c>
      <c r="G108" t="s">
        <v>850</v>
      </c>
      <c r="H108" t="s">
        <v>565</v>
      </c>
      <c r="I108">
        <v>1674596960.5</v>
      </c>
      <c r="J108">
        <f t="shared" si="92"/>
        <v>6.7213241558806728E-3</v>
      </c>
      <c r="K108">
        <f t="shared" si="93"/>
        <v>6.7213241558806729</v>
      </c>
      <c r="L108">
        <f t="shared" si="94"/>
        <v>43.851263081724213</v>
      </c>
      <c r="M108">
        <f t="shared" si="95"/>
        <v>344.51</v>
      </c>
      <c r="N108">
        <f t="shared" si="96"/>
        <v>213.91863362693135</v>
      </c>
      <c r="O108">
        <f t="shared" si="97"/>
        <v>21.324359412584457</v>
      </c>
      <c r="P108">
        <f t="shared" si="98"/>
        <v>34.34228676891</v>
      </c>
      <c r="Q108">
        <f t="shared" si="99"/>
        <v>0.61603957413271304</v>
      </c>
      <c r="R108">
        <f t="shared" si="100"/>
        <v>2.9213727229853386</v>
      </c>
      <c r="S108">
        <f t="shared" si="101"/>
        <v>0.55193360776981248</v>
      </c>
      <c r="T108">
        <f t="shared" si="102"/>
        <v>0.35016061385984987</v>
      </c>
      <c r="U108">
        <f t="shared" si="103"/>
        <v>344.330799657802</v>
      </c>
      <c r="V108">
        <f t="shared" si="104"/>
        <v>28.284035978987465</v>
      </c>
      <c r="W108">
        <f t="shared" si="105"/>
        <v>27.260899999999999</v>
      </c>
      <c r="X108">
        <f t="shared" si="106"/>
        <v>3.6343724259300036</v>
      </c>
      <c r="Y108">
        <f t="shared" si="107"/>
        <v>64.756399867331112</v>
      </c>
      <c r="Z108">
        <f t="shared" si="108"/>
        <v>2.4575304924171002</v>
      </c>
      <c r="AA108">
        <f t="shared" si="109"/>
        <v>3.7950387875977296</v>
      </c>
      <c r="AB108">
        <f t="shared" si="110"/>
        <v>1.1768419335129034</v>
      </c>
      <c r="AC108">
        <f t="shared" si="111"/>
        <v>-296.41039527433765</v>
      </c>
      <c r="AD108">
        <f t="shared" si="112"/>
        <v>116.54781421877365</v>
      </c>
      <c r="AE108">
        <f t="shared" si="113"/>
        <v>8.6642281492609055</v>
      </c>
      <c r="AF108">
        <f t="shared" si="114"/>
        <v>173.13244675149892</v>
      </c>
      <c r="AG108">
        <v>0</v>
      </c>
      <c r="AH108">
        <v>0</v>
      </c>
      <c r="AI108">
        <f t="shared" si="115"/>
        <v>1</v>
      </c>
      <c r="AJ108">
        <f t="shared" si="116"/>
        <v>0</v>
      </c>
      <c r="AK108">
        <f t="shared" si="117"/>
        <v>52457.144936889563</v>
      </c>
      <c r="AL108" t="s">
        <v>415</v>
      </c>
      <c r="AM108">
        <v>10297.6</v>
      </c>
      <c r="AN108">
        <v>785.57400000000007</v>
      </c>
      <c r="AO108">
        <v>3597.65</v>
      </c>
      <c r="AP108">
        <f t="shared" si="118"/>
        <v>0.7816424610509638</v>
      </c>
      <c r="AQ108">
        <v>-0.62398835798131469</v>
      </c>
      <c r="AR108" t="s">
        <v>886</v>
      </c>
      <c r="AS108">
        <v>10220</v>
      </c>
      <c r="AT108">
        <v>726.06561538461528</v>
      </c>
      <c r="AU108">
        <v>1005.034845263924</v>
      </c>
      <c r="AV108">
        <f t="shared" si="119"/>
        <v>0.27757169932357006</v>
      </c>
      <c r="AW108">
        <v>0.5</v>
      </c>
      <c r="AX108">
        <f t="shared" si="120"/>
        <v>1513.0163998289011</v>
      </c>
      <c r="AY108">
        <f t="shared" si="121"/>
        <v>43.851263081724213</v>
      </c>
      <c r="AZ108">
        <f t="shared" si="122"/>
        <v>209.9852666024691</v>
      </c>
      <c r="BA108">
        <f t="shared" si="123"/>
        <v>2.9395088807190061E-2</v>
      </c>
      <c r="BB108">
        <f t="shared" si="124"/>
        <v>2.5796271312914034</v>
      </c>
      <c r="BC108">
        <f t="shared" si="125"/>
        <v>502.51617209095605</v>
      </c>
      <c r="BD108" t="s">
        <v>887</v>
      </c>
      <c r="BE108">
        <v>569.75</v>
      </c>
      <c r="BF108">
        <f t="shared" si="126"/>
        <v>569.75</v>
      </c>
      <c r="BG108">
        <f t="shared" si="127"/>
        <v>0.43310423247028551</v>
      </c>
      <c r="BH108">
        <f t="shared" si="128"/>
        <v>0.64088890967514101</v>
      </c>
      <c r="BI108">
        <f t="shared" si="129"/>
        <v>0.85624200096967396</v>
      </c>
      <c r="BJ108">
        <f t="shared" si="130"/>
        <v>1.2711571831586628</v>
      </c>
      <c r="BK108">
        <f t="shared" si="131"/>
        <v>0.92195771193099896</v>
      </c>
      <c r="BL108">
        <f t="shared" si="132"/>
        <v>0.5029110985981402</v>
      </c>
      <c r="BM108">
        <f t="shared" si="133"/>
        <v>0.4970889014018598</v>
      </c>
      <c r="BN108">
        <v>183</v>
      </c>
      <c r="BO108">
        <v>290.00000000000011</v>
      </c>
      <c r="BP108">
        <v>932.2</v>
      </c>
      <c r="BQ108">
        <v>295</v>
      </c>
      <c r="BR108">
        <v>10220</v>
      </c>
      <c r="BS108">
        <v>933</v>
      </c>
      <c r="BT108">
        <v>-0.8</v>
      </c>
      <c r="BU108">
        <v>300.00000000000011</v>
      </c>
      <c r="BV108">
        <v>24.1</v>
      </c>
      <c r="BW108">
        <v>1005.034845263924</v>
      </c>
      <c r="BX108">
        <v>2.3268107223507131</v>
      </c>
      <c r="BY108">
        <v>-73.622044067026494</v>
      </c>
      <c r="BZ108">
        <v>2.118657092300781</v>
      </c>
      <c r="CA108">
        <v>0.97733748076855975</v>
      </c>
      <c r="CB108">
        <v>-6.9682992213570731E-3</v>
      </c>
      <c r="CC108">
        <v>289.99999999999989</v>
      </c>
      <c r="CD108">
        <v>930.69</v>
      </c>
      <c r="CE108">
        <v>655</v>
      </c>
      <c r="CF108">
        <v>10204.799999999999</v>
      </c>
      <c r="CG108">
        <v>932.89</v>
      </c>
      <c r="CH108">
        <v>-2.2000000000000002</v>
      </c>
      <c r="CV108">
        <f t="shared" si="134"/>
        <v>1799.8</v>
      </c>
      <c r="CW108">
        <f t="shared" si="135"/>
        <v>1513.0163998289011</v>
      </c>
      <c r="CX108">
        <f t="shared" si="136"/>
        <v>0.84065807302416995</v>
      </c>
      <c r="CY108">
        <f t="shared" si="137"/>
        <v>0.19131614604833982</v>
      </c>
      <c r="CZ108">
        <v>6</v>
      </c>
      <c r="DA108">
        <v>0.5</v>
      </c>
      <c r="DB108" t="s">
        <v>418</v>
      </c>
      <c r="DC108">
        <v>2</v>
      </c>
      <c r="DD108">
        <v>1674596960.5</v>
      </c>
      <c r="DE108">
        <v>344.51</v>
      </c>
      <c r="DF108">
        <v>399.9</v>
      </c>
      <c r="DG108">
        <v>24.653099999999998</v>
      </c>
      <c r="DH108">
        <v>16.787800000000001</v>
      </c>
      <c r="DI108">
        <v>345.15100000000001</v>
      </c>
      <c r="DJ108">
        <v>24.417000000000002</v>
      </c>
      <c r="DK108">
        <v>500.09199999999998</v>
      </c>
      <c r="DL108">
        <v>99.584400000000002</v>
      </c>
      <c r="DM108">
        <v>0.100041</v>
      </c>
      <c r="DN108">
        <v>28.000900000000001</v>
      </c>
      <c r="DO108">
        <v>27.260899999999999</v>
      </c>
      <c r="DP108">
        <v>999.9</v>
      </c>
      <c r="DQ108">
        <v>0</v>
      </c>
      <c r="DR108">
        <v>0</v>
      </c>
      <c r="DS108">
        <v>9995</v>
      </c>
      <c r="DT108">
        <v>0</v>
      </c>
      <c r="DU108">
        <v>405.85599999999999</v>
      </c>
      <c r="DV108">
        <v>-55.389200000000002</v>
      </c>
      <c r="DW108">
        <v>353.21800000000002</v>
      </c>
      <c r="DX108">
        <v>406.72800000000001</v>
      </c>
      <c r="DY108">
        <v>7.8653300000000002</v>
      </c>
      <c r="DZ108">
        <v>399.9</v>
      </c>
      <c r="EA108">
        <v>16.787800000000001</v>
      </c>
      <c r="EB108">
        <v>2.45506</v>
      </c>
      <c r="EC108">
        <v>1.6718</v>
      </c>
      <c r="ED108">
        <v>20.7316</v>
      </c>
      <c r="EE108">
        <v>14.637</v>
      </c>
      <c r="EF108">
        <v>1799.8</v>
      </c>
      <c r="EG108">
        <v>0.97800100000000001</v>
      </c>
      <c r="EH108">
        <v>2.1999399999999999E-2</v>
      </c>
      <c r="EI108">
        <v>0</v>
      </c>
      <c r="EJ108">
        <v>725.95899999999995</v>
      </c>
      <c r="EK108">
        <v>5.0002599999999999</v>
      </c>
      <c r="EL108">
        <v>13221.1</v>
      </c>
      <c r="EM108">
        <v>17101.5</v>
      </c>
      <c r="EN108">
        <v>49.686999999999998</v>
      </c>
      <c r="EO108">
        <v>51.125</v>
      </c>
      <c r="EP108">
        <v>50.75</v>
      </c>
      <c r="EQ108">
        <v>50.311999999999998</v>
      </c>
      <c r="ER108">
        <v>50.936999999999998</v>
      </c>
      <c r="ES108">
        <v>1755.32</v>
      </c>
      <c r="ET108">
        <v>39.479999999999997</v>
      </c>
      <c r="EU108">
        <v>0</v>
      </c>
      <c r="EV108">
        <v>187.4000000953674</v>
      </c>
      <c r="EW108">
        <v>0</v>
      </c>
      <c r="EX108">
        <v>726.06561538461528</v>
      </c>
      <c r="EY108">
        <v>-3.321641027140442</v>
      </c>
      <c r="EZ108">
        <v>-50.666666626750413</v>
      </c>
      <c r="FA108">
        <v>13229.192307692299</v>
      </c>
      <c r="FB108">
        <v>15</v>
      </c>
      <c r="FC108">
        <v>1674596855.5</v>
      </c>
      <c r="FD108" t="s">
        <v>888</v>
      </c>
      <c r="FE108">
        <v>1674596843.5</v>
      </c>
      <c r="FF108">
        <v>1674596855.5</v>
      </c>
      <c r="FG108">
        <v>102</v>
      </c>
      <c r="FH108">
        <v>-9.5000000000000001E-2</v>
      </c>
      <c r="FI108">
        <v>8.0000000000000002E-3</v>
      </c>
      <c r="FJ108">
        <v>-0.65</v>
      </c>
      <c r="FK108">
        <v>4.5999999999999999E-2</v>
      </c>
      <c r="FL108">
        <v>400</v>
      </c>
      <c r="FM108">
        <v>16</v>
      </c>
      <c r="FN108">
        <v>0.04</v>
      </c>
      <c r="FO108">
        <v>0.02</v>
      </c>
      <c r="FP108">
        <v>42.718747303013792</v>
      </c>
      <c r="FQ108">
        <v>6.8512471282467526</v>
      </c>
      <c r="FR108">
        <v>0.66049086102909926</v>
      </c>
      <c r="FS108">
        <v>0</v>
      </c>
      <c r="FT108">
        <v>0.62267593186337733</v>
      </c>
      <c r="FU108">
        <v>-3.7692880356245143E-2</v>
      </c>
      <c r="FV108">
        <v>3.9816685011040314E-3</v>
      </c>
      <c r="FW108">
        <v>1</v>
      </c>
      <c r="FX108">
        <v>1</v>
      </c>
      <c r="FY108">
        <v>2</v>
      </c>
      <c r="FZ108" t="s">
        <v>459</v>
      </c>
      <c r="GA108">
        <v>2.9283199999999998</v>
      </c>
      <c r="GB108">
        <v>2.8069099999999998</v>
      </c>
      <c r="GC108">
        <v>8.7126499999999996E-2</v>
      </c>
      <c r="GD108">
        <v>9.9054400000000001E-2</v>
      </c>
      <c r="GE108">
        <v>0.11405800000000001</v>
      </c>
      <c r="GF108">
        <v>8.8372500000000007E-2</v>
      </c>
      <c r="GG108">
        <v>27110.400000000001</v>
      </c>
      <c r="GH108">
        <v>27174.7</v>
      </c>
      <c r="GI108">
        <v>28209.7</v>
      </c>
      <c r="GJ108">
        <v>27181</v>
      </c>
      <c r="GK108">
        <v>35875.699999999997</v>
      </c>
      <c r="GL108">
        <v>32723.7</v>
      </c>
      <c r="GM108">
        <v>42004.5</v>
      </c>
      <c r="GN108">
        <v>36883</v>
      </c>
      <c r="GO108">
        <v>1.9274</v>
      </c>
      <c r="GP108">
        <v>1.88487</v>
      </c>
      <c r="GQ108">
        <v>5.5044900000000001E-2</v>
      </c>
      <c r="GR108">
        <v>0</v>
      </c>
      <c r="GS108">
        <v>26.360499999999998</v>
      </c>
      <c r="GT108">
        <v>999.9</v>
      </c>
      <c r="GU108">
        <v>49.6</v>
      </c>
      <c r="GV108">
        <v>34.9</v>
      </c>
      <c r="GW108">
        <v>27.980499999999999</v>
      </c>
      <c r="GX108">
        <v>61.52</v>
      </c>
      <c r="GY108">
        <v>26.522400000000001</v>
      </c>
      <c r="GZ108">
        <v>1</v>
      </c>
      <c r="HA108">
        <v>0.42055599999999999</v>
      </c>
      <c r="HB108">
        <v>2.9344100000000002</v>
      </c>
      <c r="HC108">
        <v>20.3217</v>
      </c>
      <c r="HD108">
        <v>5.2401999999999997</v>
      </c>
      <c r="HE108">
        <v>11.9381</v>
      </c>
      <c r="HF108">
        <v>4.9734999999999996</v>
      </c>
      <c r="HG108">
        <v>3.2989999999999999</v>
      </c>
      <c r="HH108">
        <v>9999</v>
      </c>
      <c r="HI108">
        <v>9999</v>
      </c>
      <c r="HJ108">
        <v>9999</v>
      </c>
      <c r="HK108">
        <v>999.9</v>
      </c>
      <c r="HL108">
        <v>1.8733200000000001</v>
      </c>
      <c r="HM108">
        <v>1.8810500000000001</v>
      </c>
      <c r="HN108">
        <v>1.8846099999999999</v>
      </c>
      <c r="HO108">
        <v>1.8813</v>
      </c>
      <c r="HP108">
        <v>1.87866</v>
      </c>
      <c r="HQ108">
        <v>1.8733299999999999</v>
      </c>
      <c r="HR108">
        <v>1.87622</v>
      </c>
      <c r="HS108">
        <v>1.8804799999999999</v>
      </c>
      <c r="HT108">
        <v>5</v>
      </c>
      <c r="HU108">
        <v>0</v>
      </c>
      <c r="HV108">
        <v>0</v>
      </c>
      <c r="HW108">
        <v>0</v>
      </c>
      <c r="HX108" t="s">
        <v>421</v>
      </c>
      <c r="HY108" t="s">
        <v>422</v>
      </c>
      <c r="HZ108" t="s">
        <v>423</v>
      </c>
      <c r="IA108" t="s">
        <v>423</v>
      </c>
      <c r="IB108" t="s">
        <v>423</v>
      </c>
      <c r="IC108" t="s">
        <v>423</v>
      </c>
      <c r="ID108">
        <v>0</v>
      </c>
      <c r="IE108">
        <v>100</v>
      </c>
      <c r="IF108">
        <v>100</v>
      </c>
      <c r="IG108">
        <v>-0.64100000000000001</v>
      </c>
      <c r="IH108">
        <v>0.2361</v>
      </c>
      <c r="II108">
        <v>-0.77221473844702859</v>
      </c>
      <c r="IJ108">
        <v>9.4905977090923709E-4</v>
      </c>
      <c r="IK108">
        <v>-1.9106666302146479E-6</v>
      </c>
      <c r="IL108">
        <v>7.5819610513223293E-10</v>
      </c>
      <c r="IM108">
        <v>-5.5424250251623688E-2</v>
      </c>
      <c r="IN108">
        <v>-1.0595840490420019E-2</v>
      </c>
      <c r="IO108">
        <v>1.2407080968752471E-3</v>
      </c>
      <c r="IP108">
        <v>-1.3015442653884381E-5</v>
      </c>
      <c r="IQ108">
        <v>33</v>
      </c>
      <c r="IR108">
        <v>2014</v>
      </c>
      <c r="IS108">
        <v>1</v>
      </c>
      <c r="IT108">
        <v>26</v>
      </c>
      <c r="IU108">
        <v>1.9</v>
      </c>
      <c r="IV108">
        <v>1.8</v>
      </c>
      <c r="IW108">
        <v>1.00952</v>
      </c>
      <c r="IX108">
        <v>2.5427200000000001</v>
      </c>
      <c r="IY108">
        <v>1.5991200000000001</v>
      </c>
      <c r="IZ108">
        <v>2.2973599999999998</v>
      </c>
      <c r="JA108">
        <v>1.5502899999999999</v>
      </c>
      <c r="JB108">
        <v>2.2314500000000002</v>
      </c>
      <c r="JC108">
        <v>38.427900000000001</v>
      </c>
      <c r="JD108">
        <v>24.052499999999998</v>
      </c>
      <c r="JE108">
        <v>18</v>
      </c>
      <c r="JF108">
        <v>488.86700000000002</v>
      </c>
      <c r="JG108">
        <v>495.62299999999999</v>
      </c>
      <c r="JH108">
        <v>22.9726</v>
      </c>
      <c r="JI108">
        <v>32.487299999999998</v>
      </c>
      <c r="JJ108">
        <v>30.000299999999999</v>
      </c>
      <c r="JK108">
        <v>32.587000000000003</v>
      </c>
      <c r="JL108">
        <v>32.558300000000003</v>
      </c>
      <c r="JM108">
        <v>20.2636</v>
      </c>
      <c r="JN108">
        <v>45.957799999999999</v>
      </c>
      <c r="JO108">
        <v>0</v>
      </c>
      <c r="JP108">
        <v>22.977699999999999</v>
      </c>
      <c r="JQ108">
        <v>400</v>
      </c>
      <c r="JR108">
        <v>16.882100000000001</v>
      </c>
      <c r="JS108">
        <v>99.588999999999999</v>
      </c>
      <c r="JT108">
        <v>98.750900000000001</v>
      </c>
    </row>
    <row r="109" spans="1:280" x14ac:dyDescent="0.25">
      <c r="A109">
        <v>93</v>
      </c>
      <c r="B109">
        <v>1674597150</v>
      </c>
      <c r="C109">
        <v>21725</v>
      </c>
      <c r="D109" t="s">
        <v>889</v>
      </c>
      <c r="E109" t="s">
        <v>890</v>
      </c>
      <c r="F109" t="s">
        <v>412</v>
      </c>
      <c r="G109" t="s">
        <v>850</v>
      </c>
      <c r="H109" t="s">
        <v>565</v>
      </c>
      <c r="I109">
        <v>1674597150</v>
      </c>
      <c r="J109">
        <f t="shared" si="92"/>
        <v>6.4788380206576733E-3</v>
      </c>
      <c r="K109">
        <f t="shared" si="93"/>
        <v>6.4788380206576734</v>
      </c>
      <c r="L109">
        <f t="shared" si="94"/>
        <v>53.909739332440225</v>
      </c>
      <c r="M109">
        <f t="shared" si="95"/>
        <v>332.68299999999999</v>
      </c>
      <c r="N109">
        <f t="shared" si="96"/>
        <v>168.91517204261032</v>
      </c>
      <c r="O109">
        <f t="shared" si="97"/>
        <v>16.837537269887168</v>
      </c>
      <c r="P109">
        <f t="shared" si="98"/>
        <v>33.161985059251101</v>
      </c>
      <c r="Q109">
        <f t="shared" si="99"/>
        <v>0.59468541063608082</v>
      </c>
      <c r="R109">
        <f t="shared" si="100"/>
        <v>2.9239349942419999</v>
      </c>
      <c r="S109">
        <f t="shared" si="101"/>
        <v>0.5347625236680551</v>
      </c>
      <c r="T109">
        <f t="shared" si="102"/>
        <v>0.33910583463896615</v>
      </c>
      <c r="U109">
        <f t="shared" si="103"/>
        <v>344.37829965784954</v>
      </c>
      <c r="V109">
        <f t="shared" si="104"/>
        <v>28.344317646359944</v>
      </c>
      <c r="W109">
        <f t="shared" si="105"/>
        <v>27.296199999999999</v>
      </c>
      <c r="X109">
        <f t="shared" si="106"/>
        <v>3.6418995551533238</v>
      </c>
      <c r="Y109">
        <f t="shared" si="107"/>
        <v>65.129377130927836</v>
      </c>
      <c r="Z109">
        <f t="shared" si="108"/>
        <v>2.4712672946632295</v>
      </c>
      <c r="AA109">
        <f t="shared" si="109"/>
        <v>3.794397249792989</v>
      </c>
      <c r="AB109">
        <f t="shared" si="110"/>
        <v>1.1706322604900943</v>
      </c>
      <c r="AC109">
        <f t="shared" si="111"/>
        <v>-285.71675671100337</v>
      </c>
      <c r="AD109">
        <f t="shared" si="112"/>
        <v>110.62837171683987</v>
      </c>
      <c r="AE109">
        <f t="shared" si="113"/>
        <v>8.2182938154853034</v>
      </c>
      <c r="AF109">
        <f t="shared" si="114"/>
        <v>177.50820847917134</v>
      </c>
      <c r="AG109">
        <v>0</v>
      </c>
      <c r="AH109">
        <v>0</v>
      </c>
      <c r="AI109">
        <f t="shared" si="115"/>
        <v>1</v>
      </c>
      <c r="AJ109">
        <f t="shared" si="116"/>
        <v>0</v>
      </c>
      <c r="AK109">
        <f t="shared" si="117"/>
        <v>52531.199551939761</v>
      </c>
      <c r="AL109" t="s">
        <v>415</v>
      </c>
      <c r="AM109">
        <v>10297.6</v>
      </c>
      <c r="AN109">
        <v>785.57400000000007</v>
      </c>
      <c r="AO109">
        <v>3597.65</v>
      </c>
      <c r="AP109">
        <f t="shared" si="118"/>
        <v>0.7816424610509638</v>
      </c>
      <c r="AQ109">
        <v>-0.62398835798131469</v>
      </c>
      <c r="AR109" t="s">
        <v>891</v>
      </c>
      <c r="AS109">
        <v>10238.200000000001</v>
      </c>
      <c r="AT109">
        <v>737.34104000000002</v>
      </c>
      <c r="AU109">
        <v>1110.3708512202959</v>
      </c>
      <c r="AV109">
        <f t="shared" si="119"/>
        <v>0.33595065181181283</v>
      </c>
      <c r="AW109">
        <v>0.5</v>
      </c>
      <c r="AX109">
        <f t="shared" si="120"/>
        <v>1513.2263998289245</v>
      </c>
      <c r="AY109">
        <f t="shared" si="121"/>
        <v>53.909739332440225</v>
      </c>
      <c r="AZ109">
        <f t="shared" si="122"/>
        <v>254.18469768068505</v>
      </c>
      <c r="BA109">
        <f t="shared" si="123"/>
        <v>3.6038049360351349E-2</v>
      </c>
      <c r="BB109">
        <f t="shared" si="124"/>
        <v>2.2400436269073416</v>
      </c>
      <c r="BC109">
        <f t="shared" si="125"/>
        <v>527.53875206158739</v>
      </c>
      <c r="BD109" t="s">
        <v>892</v>
      </c>
      <c r="BE109">
        <v>577.30999999999995</v>
      </c>
      <c r="BF109">
        <f t="shared" si="126"/>
        <v>577.30999999999995</v>
      </c>
      <c r="BG109">
        <f t="shared" si="127"/>
        <v>0.48007460807752911</v>
      </c>
      <c r="BH109">
        <f t="shared" si="128"/>
        <v>0.69978842071472125</v>
      </c>
      <c r="BI109">
        <f t="shared" si="129"/>
        <v>0.82350965413817778</v>
      </c>
      <c r="BJ109">
        <f t="shared" si="130"/>
        <v>1.1485019322656109</v>
      </c>
      <c r="BK109">
        <f t="shared" si="131"/>
        <v>0.88449926274386037</v>
      </c>
      <c r="BL109">
        <f t="shared" si="132"/>
        <v>0.54790772688146538</v>
      </c>
      <c r="BM109">
        <f t="shared" si="133"/>
        <v>0.45209227311853462</v>
      </c>
      <c r="BN109">
        <v>185</v>
      </c>
      <c r="BO109">
        <v>290.00000000000011</v>
      </c>
      <c r="BP109">
        <v>1006.91</v>
      </c>
      <c r="BQ109">
        <v>155</v>
      </c>
      <c r="BR109">
        <v>10238.200000000001</v>
      </c>
      <c r="BS109">
        <v>1008.27</v>
      </c>
      <c r="BT109">
        <v>-1.36</v>
      </c>
      <c r="BU109">
        <v>300.00000000000011</v>
      </c>
      <c r="BV109">
        <v>24.1</v>
      </c>
      <c r="BW109">
        <v>1110.3708512202959</v>
      </c>
      <c r="BX109">
        <v>1.901787939555952</v>
      </c>
      <c r="BY109">
        <v>-104.5372551437824</v>
      </c>
      <c r="BZ109">
        <v>1.731716217175796</v>
      </c>
      <c r="CA109">
        <v>0.99237490833055175</v>
      </c>
      <c r="CB109">
        <v>-6.9688231368186908E-3</v>
      </c>
      <c r="CC109">
        <v>289.99999999999989</v>
      </c>
      <c r="CD109">
        <v>1004.06</v>
      </c>
      <c r="CE109">
        <v>645</v>
      </c>
      <c r="CF109">
        <v>10205.799999999999</v>
      </c>
      <c r="CG109">
        <v>1007.94</v>
      </c>
      <c r="CH109">
        <v>-3.88</v>
      </c>
      <c r="CV109">
        <f t="shared" si="134"/>
        <v>1800.05</v>
      </c>
      <c r="CW109">
        <f t="shared" si="135"/>
        <v>1513.2263998289245</v>
      </c>
      <c r="CX109">
        <f t="shared" si="136"/>
        <v>0.84065798162769068</v>
      </c>
      <c r="CY109">
        <f t="shared" si="137"/>
        <v>0.19131596325538155</v>
      </c>
      <c r="CZ109">
        <v>6</v>
      </c>
      <c r="DA109">
        <v>0.5</v>
      </c>
      <c r="DB109" t="s">
        <v>418</v>
      </c>
      <c r="DC109">
        <v>2</v>
      </c>
      <c r="DD109">
        <v>1674597150</v>
      </c>
      <c r="DE109">
        <v>332.68299999999999</v>
      </c>
      <c r="DF109">
        <v>399.95</v>
      </c>
      <c r="DG109">
        <v>24.791899999999998</v>
      </c>
      <c r="DH109">
        <v>17.211300000000001</v>
      </c>
      <c r="DI109">
        <v>333.36200000000002</v>
      </c>
      <c r="DJ109">
        <v>24.555199999999999</v>
      </c>
      <c r="DK109">
        <v>500.08300000000003</v>
      </c>
      <c r="DL109">
        <v>99.580699999999993</v>
      </c>
      <c r="DM109">
        <v>9.9731700000000006E-2</v>
      </c>
      <c r="DN109">
        <v>27.998000000000001</v>
      </c>
      <c r="DO109">
        <v>27.296199999999999</v>
      </c>
      <c r="DP109">
        <v>999.9</v>
      </c>
      <c r="DQ109">
        <v>0</v>
      </c>
      <c r="DR109">
        <v>0</v>
      </c>
      <c r="DS109">
        <v>10010</v>
      </c>
      <c r="DT109">
        <v>0</v>
      </c>
      <c r="DU109">
        <v>399.87900000000002</v>
      </c>
      <c r="DV109">
        <v>-67.267099999999999</v>
      </c>
      <c r="DW109">
        <v>341.14</v>
      </c>
      <c r="DX109">
        <v>406.95400000000001</v>
      </c>
      <c r="DY109">
        <v>7.5806199999999997</v>
      </c>
      <c r="DZ109">
        <v>399.95</v>
      </c>
      <c r="EA109">
        <v>17.211300000000001</v>
      </c>
      <c r="EB109">
        <v>2.4687999999999999</v>
      </c>
      <c r="EC109">
        <v>1.71391</v>
      </c>
      <c r="ED109">
        <v>20.822199999999999</v>
      </c>
      <c r="EE109">
        <v>15.023</v>
      </c>
      <c r="EF109">
        <v>1800.05</v>
      </c>
      <c r="EG109">
        <v>0.97800399999999998</v>
      </c>
      <c r="EH109">
        <v>2.19957E-2</v>
      </c>
      <c r="EI109">
        <v>0</v>
      </c>
      <c r="EJ109">
        <v>738.24699999999996</v>
      </c>
      <c r="EK109">
        <v>5.0002599999999999</v>
      </c>
      <c r="EL109">
        <v>13442.8</v>
      </c>
      <c r="EM109">
        <v>17103.900000000001</v>
      </c>
      <c r="EN109">
        <v>49.75</v>
      </c>
      <c r="EO109">
        <v>51.125</v>
      </c>
      <c r="EP109">
        <v>50.75</v>
      </c>
      <c r="EQ109">
        <v>50.375</v>
      </c>
      <c r="ER109">
        <v>50.936999999999998</v>
      </c>
      <c r="ES109">
        <v>1755.57</v>
      </c>
      <c r="ET109">
        <v>39.479999999999997</v>
      </c>
      <c r="EU109">
        <v>0</v>
      </c>
      <c r="EV109">
        <v>187.39999985694891</v>
      </c>
      <c r="EW109">
        <v>0</v>
      </c>
      <c r="EX109">
        <v>737.34104000000002</v>
      </c>
      <c r="EY109">
        <v>6.2553846317668818</v>
      </c>
      <c r="EZ109">
        <v>102.93846166050881</v>
      </c>
      <c r="FA109">
        <v>13430.248</v>
      </c>
      <c r="FB109">
        <v>15</v>
      </c>
      <c r="FC109">
        <v>1674597029</v>
      </c>
      <c r="FD109" t="s">
        <v>893</v>
      </c>
      <c r="FE109">
        <v>1674597025.5</v>
      </c>
      <c r="FF109">
        <v>1674597029</v>
      </c>
      <c r="FG109">
        <v>103</v>
      </c>
      <c r="FH109">
        <v>-3.9E-2</v>
      </c>
      <c r="FI109">
        <v>-3.0000000000000001E-3</v>
      </c>
      <c r="FJ109">
        <v>-0.68899999999999995</v>
      </c>
      <c r="FK109">
        <v>5.2999999999999999E-2</v>
      </c>
      <c r="FL109">
        <v>400</v>
      </c>
      <c r="FM109">
        <v>17</v>
      </c>
      <c r="FN109">
        <v>0.03</v>
      </c>
      <c r="FO109">
        <v>0.01</v>
      </c>
      <c r="FP109">
        <v>53.774984673653059</v>
      </c>
      <c r="FQ109">
        <v>1.0608685962975379</v>
      </c>
      <c r="FR109">
        <v>0.10414789132118479</v>
      </c>
      <c r="FS109">
        <v>0</v>
      </c>
      <c r="FT109">
        <v>0.5938222155320354</v>
      </c>
      <c r="FU109">
        <v>1.278379991504391E-3</v>
      </c>
      <c r="FV109">
        <v>4.5088995232066498E-4</v>
      </c>
      <c r="FW109">
        <v>1</v>
      </c>
      <c r="FX109">
        <v>1</v>
      </c>
      <c r="FY109">
        <v>2</v>
      </c>
      <c r="FZ109" t="s">
        <v>459</v>
      </c>
      <c r="GA109">
        <v>2.9283399999999999</v>
      </c>
      <c r="GB109">
        <v>2.8067299999999999</v>
      </c>
      <c r="GC109">
        <v>8.4729299999999994E-2</v>
      </c>
      <c r="GD109">
        <v>9.9072300000000002E-2</v>
      </c>
      <c r="GE109">
        <v>0.114514</v>
      </c>
      <c r="GF109">
        <v>8.9973700000000004E-2</v>
      </c>
      <c r="GG109">
        <v>27183.7</v>
      </c>
      <c r="GH109">
        <v>27177.4</v>
      </c>
      <c r="GI109">
        <v>28211.7</v>
      </c>
      <c r="GJ109">
        <v>27184.2</v>
      </c>
      <c r="GK109">
        <v>35858.9</v>
      </c>
      <c r="GL109">
        <v>32669.9</v>
      </c>
      <c r="GM109">
        <v>42006.7</v>
      </c>
      <c r="GN109">
        <v>36887.199999999997</v>
      </c>
      <c r="GO109">
        <v>1.92763</v>
      </c>
      <c r="GP109">
        <v>1.88592</v>
      </c>
      <c r="GQ109">
        <v>5.0440400000000003E-2</v>
      </c>
      <c r="GR109">
        <v>0</v>
      </c>
      <c r="GS109">
        <v>26.4711</v>
      </c>
      <c r="GT109">
        <v>999.9</v>
      </c>
      <c r="GU109">
        <v>49.5</v>
      </c>
      <c r="GV109">
        <v>34.9</v>
      </c>
      <c r="GW109">
        <v>27.921199999999999</v>
      </c>
      <c r="GX109">
        <v>61.99</v>
      </c>
      <c r="GY109">
        <v>27.127400000000002</v>
      </c>
      <c r="GZ109">
        <v>1</v>
      </c>
      <c r="HA109">
        <v>0.41711900000000002</v>
      </c>
      <c r="HB109">
        <v>2.8911699999999998</v>
      </c>
      <c r="HC109">
        <v>20.322600000000001</v>
      </c>
      <c r="HD109">
        <v>5.2400500000000001</v>
      </c>
      <c r="HE109">
        <v>11.9381</v>
      </c>
      <c r="HF109">
        <v>4.9736500000000001</v>
      </c>
      <c r="HG109">
        <v>3.2989999999999999</v>
      </c>
      <c r="HH109">
        <v>9999</v>
      </c>
      <c r="HI109">
        <v>9999</v>
      </c>
      <c r="HJ109">
        <v>9999</v>
      </c>
      <c r="HK109">
        <v>999.9</v>
      </c>
      <c r="HL109">
        <v>1.8733200000000001</v>
      </c>
      <c r="HM109">
        <v>1.88107</v>
      </c>
      <c r="HN109">
        <v>1.8846099999999999</v>
      </c>
      <c r="HO109">
        <v>1.8812599999999999</v>
      </c>
      <c r="HP109">
        <v>1.87866</v>
      </c>
      <c r="HQ109">
        <v>1.8733200000000001</v>
      </c>
      <c r="HR109">
        <v>1.87622</v>
      </c>
      <c r="HS109">
        <v>1.88046</v>
      </c>
      <c r="HT109">
        <v>5</v>
      </c>
      <c r="HU109">
        <v>0</v>
      </c>
      <c r="HV109">
        <v>0</v>
      </c>
      <c r="HW109">
        <v>0</v>
      </c>
      <c r="HX109" t="s">
        <v>421</v>
      </c>
      <c r="HY109" t="s">
        <v>422</v>
      </c>
      <c r="HZ109" t="s">
        <v>423</v>
      </c>
      <c r="IA109" t="s">
        <v>423</v>
      </c>
      <c r="IB109" t="s">
        <v>423</v>
      </c>
      <c r="IC109" t="s">
        <v>423</v>
      </c>
      <c r="ID109">
        <v>0</v>
      </c>
      <c r="IE109">
        <v>100</v>
      </c>
      <c r="IF109">
        <v>100</v>
      </c>
      <c r="IG109">
        <v>-0.67900000000000005</v>
      </c>
      <c r="IH109">
        <v>0.23669999999999999</v>
      </c>
      <c r="II109">
        <v>-0.81130603444196026</v>
      </c>
      <c r="IJ109">
        <v>9.4905977090923709E-4</v>
      </c>
      <c r="IK109">
        <v>-1.9106666302146479E-6</v>
      </c>
      <c r="IL109">
        <v>7.5819610513223293E-10</v>
      </c>
      <c r="IM109">
        <v>-5.8480369059468018E-2</v>
      </c>
      <c r="IN109">
        <v>-1.0595840490420019E-2</v>
      </c>
      <c r="IO109">
        <v>1.2407080968752471E-3</v>
      </c>
      <c r="IP109">
        <v>-1.3015442653884381E-5</v>
      </c>
      <c r="IQ109">
        <v>33</v>
      </c>
      <c r="IR109">
        <v>2014</v>
      </c>
      <c r="IS109">
        <v>1</v>
      </c>
      <c r="IT109">
        <v>26</v>
      </c>
      <c r="IU109">
        <v>2.1</v>
      </c>
      <c r="IV109">
        <v>2</v>
      </c>
      <c r="IW109">
        <v>1.00952</v>
      </c>
      <c r="IX109">
        <v>2.5329600000000001</v>
      </c>
      <c r="IY109">
        <v>1.5979000000000001</v>
      </c>
      <c r="IZ109">
        <v>2.2973599999999998</v>
      </c>
      <c r="JA109">
        <v>1.5490699999999999</v>
      </c>
      <c r="JB109">
        <v>2.36084</v>
      </c>
      <c r="JC109">
        <v>38.378999999999998</v>
      </c>
      <c r="JD109">
        <v>24.07</v>
      </c>
      <c r="JE109">
        <v>18</v>
      </c>
      <c r="JF109">
        <v>488.76100000000002</v>
      </c>
      <c r="JG109">
        <v>496.12099999999998</v>
      </c>
      <c r="JH109">
        <v>22.855399999999999</v>
      </c>
      <c r="JI109">
        <v>32.459800000000001</v>
      </c>
      <c r="JJ109">
        <v>29.9999</v>
      </c>
      <c r="JK109">
        <v>32.555100000000003</v>
      </c>
      <c r="JL109">
        <v>32.529200000000003</v>
      </c>
      <c r="JM109">
        <v>20.267600000000002</v>
      </c>
      <c r="JN109">
        <v>44.783900000000003</v>
      </c>
      <c r="JO109">
        <v>0</v>
      </c>
      <c r="JP109">
        <v>22.843499999999999</v>
      </c>
      <c r="JQ109">
        <v>400</v>
      </c>
      <c r="JR109">
        <v>17.2332</v>
      </c>
      <c r="JS109">
        <v>99.594800000000006</v>
      </c>
      <c r="JT109">
        <v>98.762100000000004</v>
      </c>
    </row>
    <row r="110" spans="1:280" x14ac:dyDescent="0.25">
      <c r="A110">
        <v>94</v>
      </c>
      <c r="B110">
        <v>1674597269</v>
      </c>
      <c r="C110">
        <v>21844</v>
      </c>
      <c r="D110" t="s">
        <v>894</v>
      </c>
      <c r="E110" t="s">
        <v>895</v>
      </c>
      <c r="F110" t="s">
        <v>412</v>
      </c>
      <c r="G110" t="s">
        <v>850</v>
      </c>
      <c r="H110" t="s">
        <v>565</v>
      </c>
      <c r="I110">
        <v>1674597269</v>
      </c>
      <c r="J110">
        <f t="shared" si="92"/>
        <v>6.4460012744035041E-3</v>
      </c>
      <c r="K110">
        <f t="shared" si="93"/>
        <v>6.4460012744035042</v>
      </c>
      <c r="L110">
        <f t="shared" si="94"/>
        <v>57.068065950237951</v>
      </c>
      <c r="M110">
        <f t="shared" si="95"/>
        <v>428.24900000000002</v>
      </c>
      <c r="N110">
        <f t="shared" si="96"/>
        <v>253.98024107224998</v>
      </c>
      <c r="O110">
        <f t="shared" si="97"/>
        <v>25.316068747114841</v>
      </c>
      <c r="P110">
        <f t="shared" si="98"/>
        <v>42.686710899684002</v>
      </c>
      <c r="Q110">
        <f t="shared" si="99"/>
        <v>0.59665712925603176</v>
      </c>
      <c r="R110">
        <f t="shared" si="100"/>
        <v>2.9197087260078929</v>
      </c>
      <c r="S110">
        <f t="shared" si="101"/>
        <v>0.53627990348320764</v>
      </c>
      <c r="T110">
        <f t="shared" si="102"/>
        <v>0.34008901878679759</v>
      </c>
      <c r="U110">
        <f t="shared" si="103"/>
        <v>344.37449965784577</v>
      </c>
      <c r="V110">
        <f t="shared" si="104"/>
        <v>28.368818442065511</v>
      </c>
      <c r="W110">
        <f t="shared" si="105"/>
        <v>27.328199999999999</v>
      </c>
      <c r="X110">
        <f t="shared" si="106"/>
        <v>3.6487347690863623</v>
      </c>
      <c r="Y110">
        <f t="shared" si="107"/>
        <v>65.498166672585768</v>
      </c>
      <c r="Z110">
        <f t="shared" si="108"/>
        <v>2.4875072271696004</v>
      </c>
      <c r="AA110">
        <f t="shared" si="109"/>
        <v>3.7978272576761229</v>
      </c>
      <c r="AB110">
        <f t="shared" si="110"/>
        <v>1.1612275419167619</v>
      </c>
      <c r="AC110">
        <f t="shared" si="111"/>
        <v>-284.26865620119452</v>
      </c>
      <c r="AD110">
        <f t="shared" si="112"/>
        <v>107.87124793407942</v>
      </c>
      <c r="AE110">
        <f t="shared" si="113"/>
        <v>8.0269752346441159</v>
      </c>
      <c r="AF110">
        <f t="shared" si="114"/>
        <v>176.00406662537478</v>
      </c>
      <c r="AG110">
        <v>0</v>
      </c>
      <c r="AH110">
        <v>0</v>
      </c>
      <c r="AI110">
        <f t="shared" si="115"/>
        <v>1</v>
      </c>
      <c r="AJ110">
        <f t="shared" si="116"/>
        <v>0</v>
      </c>
      <c r="AK110">
        <f t="shared" si="117"/>
        <v>52406.999282699806</v>
      </c>
      <c r="AL110" t="s">
        <v>415</v>
      </c>
      <c r="AM110">
        <v>10297.6</v>
      </c>
      <c r="AN110">
        <v>785.57400000000007</v>
      </c>
      <c r="AO110">
        <v>3597.65</v>
      </c>
      <c r="AP110">
        <f t="shared" si="118"/>
        <v>0.7816424610509638</v>
      </c>
      <c r="AQ110">
        <v>-0.62398835798131469</v>
      </c>
      <c r="AR110" t="s">
        <v>896</v>
      </c>
      <c r="AS110">
        <v>10220.4</v>
      </c>
      <c r="AT110">
        <v>748.87469230769238</v>
      </c>
      <c r="AU110">
        <v>1150.1264611010961</v>
      </c>
      <c r="AV110">
        <f t="shared" si="119"/>
        <v>0.34887621697639881</v>
      </c>
      <c r="AW110">
        <v>0.5</v>
      </c>
      <c r="AX110">
        <f t="shared" si="120"/>
        <v>1513.2095998289228</v>
      </c>
      <c r="AY110">
        <f t="shared" si="121"/>
        <v>57.068065950237951</v>
      </c>
      <c r="AZ110">
        <f t="shared" si="122"/>
        <v>263.96142034034244</v>
      </c>
      <c r="BA110">
        <f t="shared" si="123"/>
        <v>3.8125620082466893E-2</v>
      </c>
      <c r="BB110">
        <f t="shared" si="124"/>
        <v>2.1280473249487013</v>
      </c>
      <c r="BC110">
        <f t="shared" si="125"/>
        <v>536.34690648651667</v>
      </c>
      <c r="BD110" t="s">
        <v>897</v>
      </c>
      <c r="BE110">
        <v>584.88</v>
      </c>
      <c r="BF110">
        <f t="shared" si="126"/>
        <v>584.88</v>
      </c>
      <c r="BG110">
        <f t="shared" si="127"/>
        <v>0.49146461734298885</v>
      </c>
      <c r="BH110">
        <f t="shared" si="128"/>
        <v>0.70987046608265025</v>
      </c>
      <c r="BI110">
        <f t="shared" si="129"/>
        <v>0.81238313541986407</v>
      </c>
      <c r="BJ110">
        <f t="shared" si="130"/>
        <v>1.1006694827445711</v>
      </c>
      <c r="BK110">
        <f t="shared" si="131"/>
        <v>0.87036180348571801</v>
      </c>
      <c r="BL110">
        <f t="shared" si="132"/>
        <v>0.5544172375794888</v>
      </c>
      <c r="BM110">
        <f t="shared" si="133"/>
        <v>0.4455827624205112</v>
      </c>
      <c r="BN110">
        <v>187</v>
      </c>
      <c r="BO110">
        <v>290.00000000000011</v>
      </c>
      <c r="BP110">
        <v>1040.72</v>
      </c>
      <c r="BQ110">
        <v>285</v>
      </c>
      <c r="BR110">
        <v>10220.4</v>
      </c>
      <c r="BS110">
        <v>1040.8699999999999</v>
      </c>
      <c r="BT110">
        <v>-0.15</v>
      </c>
      <c r="BU110">
        <v>300.00000000000011</v>
      </c>
      <c r="BV110">
        <v>24.1</v>
      </c>
      <c r="BW110">
        <v>1150.1264611010961</v>
      </c>
      <c r="BX110">
        <v>2.2888441374530979</v>
      </c>
      <c r="BY110">
        <v>-111.6691198222403</v>
      </c>
      <c r="BZ110">
        <v>2.0841597921787729</v>
      </c>
      <c r="CA110">
        <v>0.99034085760753254</v>
      </c>
      <c r="CB110">
        <v>-6.9688420467185807E-3</v>
      </c>
      <c r="CC110">
        <v>289.99999999999989</v>
      </c>
      <c r="CD110">
        <v>1036.74</v>
      </c>
      <c r="CE110">
        <v>655</v>
      </c>
      <c r="CF110">
        <v>10205.200000000001</v>
      </c>
      <c r="CG110">
        <v>1040.7</v>
      </c>
      <c r="CH110">
        <v>-3.96</v>
      </c>
      <c r="CV110">
        <f t="shared" si="134"/>
        <v>1800.03</v>
      </c>
      <c r="CW110">
        <f t="shared" si="135"/>
        <v>1513.2095998289228</v>
      </c>
      <c r="CX110">
        <f t="shared" si="136"/>
        <v>0.84065798893847488</v>
      </c>
      <c r="CY110">
        <f t="shared" si="137"/>
        <v>0.19131597787694971</v>
      </c>
      <c r="CZ110">
        <v>6</v>
      </c>
      <c r="DA110">
        <v>0.5</v>
      </c>
      <c r="DB110" t="s">
        <v>418</v>
      </c>
      <c r="DC110">
        <v>2</v>
      </c>
      <c r="DD110">
        <v>1674597269</v>
      </c>
      <c r="DE110">
        <v>428.24900000000002</v>
      </c>
      <c r="DF110">
        <v>500.01600000000002</v>
      </c>
      <c r="DG110">
        <v>24.9556</v>
      </c>
      <c r="DH110">
        <v>17.4163</v>
      </c>
      <c r="DI110">
        <v>428.964</v>
      </c>
      <c r="DJ110">
        <v>24.7119</v>
      </c>
      <c r="DK110">
        <v>500.19</v>
      </c>
      <c r="DL110">
        <v>99.576999999999998</v>
      </c>
      <c r="DM110">
        <v>0.100316</v>
      </c>
      <c r="DN110">
        <v>28.013500000000001</v>
      </c>
      <c r="DO110">
        <v>27.328199999999999</v>
      </c>
      <c r="DP110">
        <v>999.9</v>
      </c>
      <c r="DQ110">
        <v>0</v>
      </c>
      <c r="DR110">
        <v>0</v>
      </c>
      <c r="DS110">
        <v>9986.25</v>
      </c>
      <c r="DT110">
        <v>0</v>
      </c>
      <c r="DU110">
        <v>397.84399999999999</v>
      </c>
      <c r="DV110">
        <v>-71.766400000000004</v>
      </c>
      <c r="DW110">
        <v>439.21</v>
      </c>
      <c r="DX110">
        <v>508.87900000000002</v>
      </c>
      <c r="DY110">
        <v>7.5393100000000004</v>
      </c>
      <c r="DZ110">
        <v>500.01600000000002</v>
      </c>
      <c r="EA110">
        <v>17.4163</v>
      </c>
      <c r="EB110">
        <v>2.4849999999999999</v>
      </c>
      <c r="EC110">
        <v>1.7342599999999999</v>
      </c>
      <c r="ED110">
        <v>20.928599999999999</v>
      </c>
      <c r="EE110">
        <v>15.2065</v>
      </c>
      <c r="EF110">
        <v>1800.03</v>
      </c>
      <c r="EG110">
        <v>0.97800399999999998</v>
      </c>
      <c r="EH110">
        <v>2.19957E-2</v>
      </c>
      <c r="EI110">
        <v>0</v>
      </c>
      <c r="EJ110">
        <v>749.27599999999995</v>
      </c>
      <c r="EK110">
        <v>5.0002599999999999</v>
      </c>
      <c r="EL110">
        <v>13649.4</v>
      </c>
      <c r="EM110">
        <v>17103.7</v>
      </c>
      <c r="EN110">
        <v>49.75</v>
      </c>
      <c r="EO110">
        <v>51.186999999999998</v>
      </c>
      <c r="EP110">
        <v>50.686999999999998</v>
      </c>
      <c r="EQ110">
        <v>50.311999999999998</v>
      </c>
      <c r="ER110">
        <v>50.936999999999998</v>
      </c>
      <c r="ES110">
        <v>1755.55</v>
      </c>
      <c r="ET110">
        <v>39.479999999999997</v>
      </c>
      <c r="EU110">
        <v>0</v>
      </c>
      <c r="EV110">
        <v>117.2000000476837</v>
      </c>
      <c r="EW110">
        <v>0</v>
      </c>
      <c r="EX110">
        <v>748.87469230769238</v>
      </c>
      <c r="EY110">
        <v>2.550153846112523</v>
      </c>
      <c r="EZ110">
        <v>72.916239328187103</v>
      </c>
      <c r="FA110">
        <v>13640.3</v>
      </c>
      <c r="FB110">
        <v>15</v>
      </c>
      <c r="FC110">
        <v>1674597232.5</v>
      </c>
      <c r="FD110" t="s">
        <v>898</v>
      </c>
      <c r="FE110">
        <v>1674597218.5</v>
      </c>
      <c r="FF110">
        <v>1674597232.5</v>
      </c>
      <c r="FG110">
        <v>104</v>
      </c>
      <c r="FH110">
        <v>-1.7999999999999999E-2</v>
      </c>
      <c r="FI110">
        <v>3.0000000000000001E-3</v>
      </c>
      <c r="FJ110">
        <v>-0.73799999999999999</v>
      </c>
      <c r="FK110">
        <v>6.2E-2</v>
      </c>
      <c r="FL110">
        <v>500</v>
      </c>
      <c r="FM110">
        <v>17</v>
      </c>
      <c r="FN110">
        <v>0.04</v>
      </c>
      <c r="FO110">
        <v>0.01</v>
      </c>
      <c r="FP110">
        <v>57.018055618352243</v>
      </c>
      <c r="FQ110">
        <v>-0.35544189515599328</v>
      </c>
      <c r="FR110">
        <v>6.3701835365758686E-2</v>
      </c>
      <c r="FS110">
        <v>1</v>
      </c>
      <c r="FT110">
        <v>0.59922922114917465</v>
      </c>
      <c r="FU110">
        <v>3.8153026384409379E-2</v>
      </c>
      <c r="FV110">
        <v>7.6493022438784966E-3</v>
      </c>
      <c r="FW110">
        <v>1</v>
      </c>
      <c r="FX110">
        <v>2</v>
      </c>
      <c r="FY110">
        <v>2</v>
      </c>
      <c r="FZ110" t="s">
        <v>420</v>
      </c>
      <c r="GA110">
        <v>2.9285999999999999</v>
      </c>
      <c r="GB110">
        <v>2.8071100000000002</v>
      </c>
      <c r="GC110">
        <v>0.103259</v>
      </c>
      <c r="GD110">
        <v>0.11720899999999999</v>
      </c>
      <c r="GE110">
        <v>0.115018</v>
      </c>
      <c r="GF110">
        <v>9.0737600000000002E-2</v>
      </c>
      <c r="GG110">
        <v>26630.6</v>
      </c>
      <c r="GH110">
        <v>26629.5</v>
      </c>
      <c r="GI110">
        <v>28209.3</v>
      </c>
      <c r="GJ110">
        <v>27183.9</v>
      </c>
      <c r="GK110">
        <v>35835.5</v>
      </c>
      <c r="GL110">
        <v>32642.400000000001</v>
      </c>
      <c r="GM110">
        <v>42003</v>
      </c>
      <c r="GN110">
        <v>36886.9</v>
      </c>
      <c r="GO110">
        <v>1.9269000000000001</v>
      </c>
      <c r="GP110">
        <v>1.88635</v>
      </c>
      <c r="GQ110">
        <v>4.96283E-2</v>
      </c>
      <c r="GR110">
        <v>0</v>
      </c>
      <c r="GS110">
        <v>26.516500000000001</v>
      </c>
      <c r="GT110">
        <v>999.9</v>
      </c>
      <c r="GU110">
        <v>49.5</v>
      </c>
      <c r="GV110">
        <v>34.9</v>
      </c>
      <c r="GW110">
        <v>27.9221</v>
      </c>
      <c r="GX110">
        <v>61.94</v>
      </c>
      <c r="GY110">
        <v>26.5304</v>
      </c>
      <c r="GZ110">
        <v>1</v>
      </c>
      <c r="HA110">
        <v>0.420346</v>
      </c>
      <c r="HB110">
        <v>3.2604600000000001</v>
      </c>
      <c r="HC110">
        <v>20.315999999999999</v>
      </c>
      <c r="HD110">
        <v>5.2386999999999997</v>
      </c>
      <c r="HE110">
        <v>11.9381</v>
      </c>
      <c r="HF110">
        <v>4.9737</v>
      </c>
      <c r="HG110">
        <v>3.2989999999999999</v>
      </c>
      <c r="HH110">
        <v>9999</v>
      </c>
      <c r="HI110">
        <v>9999</v>
      </c>
      <c r="HJ110">
        <v>9999</v>
      </c>
      <c r="HK110">
        <v>999.9</v>
      </c>
      <c r="HL110">
        <v>1.8733299999999999</v>
      </c>
      <c r="HM110">
        <v>1.88107</v>
      </c>
      <c r="HN110">
        <v>1.8846000000000001</v>
      </c>
      <c r="HO110">
        <v>1.8813</v>
      </c>
      <c r="HP110">
        <v>1.87863</v>
      </c>
      <c r="HQ110">
        <v>1.8733299999999999</v>
      </c>
      <c r="HR110">
        <v>1.87622</v>
      </c>
      <c r="HS110">
        <v>1.88043</v>
      </c>
      <c r="HT110">
        <v>5</v>
      </c>
      <c r="HU110">
        <v>0</v>
      </c>
      <c r="HV110">
        <v>0</v>
      </c>
      <c r="HW110">
        <v>0</v>
      </c>
      <c r="HX110" t="s">
        <v>421</v>
      </c>
      <c r="HY110" t="s">
        <v>422</v>
      </c>
      <c r="HZ110" t="s">
        <v>423</v>
      </c>
      <c r="IA110" t="s">
        <v>423</v>
      </c>
      <c r="IB110" t="s">
        <v>423</v>
      </c>
      <c r="IC110" t="s">
        <v>423</v>
      </c>
      <c r="ID110">
        <v>0</v>
      </c>
      <c r="IE110">
        <v>100</v>
      </c>
      <c r="IF110">
        <v>100</v>
      </c>
      <c r="IG110">
        <v>-0.71499999999999997</v>
      </c>
      <c r="IH110">
        <v>0.2437</v>
      </c>
      <c r="II110">
        <v>-0.8295956557548505</v>
      </c>
      <c r="IJ110">
        <v>9.4905977090923709E-4</v>
      </c>
      <c r="IK110">
        <v>-1.9106666302146479E-6</v>
      </c>
      <c r="IL110">
        <v>7.5819610513223293E-10</v>
      </c>
      <c r="IM110">
        <v>-5.5752476533174458E-2</v>
      </c>
      <c r="IN110">
        <v>-1.0595840490420019E-2</v>
      </c>
      <c r="IO110">
        <v>1.2407080968752471E-3</v>
      </c>
      <c r="IP110">
        <v>-1.3015442653884381E-5</v>
      </c>
      <c r="IQ110">
        <v>33</v>
      </c>
      <c r="IR110">
        <v>2014</v>
      </c>
      <c r="IS110">
        <v>1</v>
      </c>
      <c r="IT110">
        <v>26</v>
      </c>
      <c r="IU110">
        <v>0.8</v>
      </c>
      <c r="IV110">
        <v>0.6</v>
      </c>
      <c r="IW110">
        <v>1.2084999999999999</v>
      </c>
      <c r="IX110">
        <v>2.5317400000000001</v>
      </c>
      <c r="IY110">
        <v>1.5979000000000001</v>
      </c>
      <c r="IZ110">
        <v>2.2973599999999998</v>
      </c>
      <c r="JA110">
        <v>1.5490699999999999</v>
      </c>
      <c r="JB110">
        <v>2.31812</v>
      </c>
      <c r="JC110">
        <v>38.378999999999998</v>
      </c>
      <c r="JD110">
        <v>24.061199999999999</v>
      </c>
      <c r="JE110">
        <v>18</v>
      </c>
      <c r="JF110">
        <v>488.34199999999998</v>
      </c>
      <c r="JG110">
        <v>496.41899999999998</v>
      </c>
      <c r="JH110">
        <v>22.6526</v>
      </c>
      <c r="JI110">
        <v>32.471400000000003</v>
      </c>
      <c r="JJ110">
        <v>30.0002</v>
      </c>
      <c r="JK110">
        <v>32.560899999999997</v>
      </c>
      <c r="JL110">
        <v>32.529200000000003</v>
      </c>
      <c r="JM110">
        <v>24.259399999999999</v>
      </c>
      <c r="JN110">
        <v>44.2117</v>
      </c>
      <c r="JO110">
        <v>0</v>
      </c>
      <c r="JP110">
        <v>22.639700000000001</v>
      </c>
      <c r="JQ110">
        <v>500</v>
      </c>
      <c r="JR110">
        <v>17.3352</v>
      </c>
      <c r="JS110">
        <v>99.586299999999994</v>
      </c>
      <c r="JT110">
        <v>98.761399999999995</v>
      </c>
    </row>
    <row r="111" spans="1:280" x14ac:dyDescent="0.25">
      <c r="A111">
        <v>95</v>
      </c>
      <c r="B111">
        <v>1674597384.5</v>
      </c>
      <c r="C111">
        <v>21959.5</v>
      </c>
      <c r="D111" t="s">
        <v>899</v>
      </c>
      <c r="E111" t="s">
        <v>900</v>
      </c>
      <c r="F111" t="s">
        <v>412</v>
      </c>
      <c r="G111" t="s">
        <v>850</v>
      </c>
      <c r="H111" t="s">
        <v>565</v>
      </c>
      <c r="I111">
        <v>1674597384.5</v>
      </c>
      <c r="J111">
        <f t="shared" si="92"/>
        <v>6.2331447725661069E-3</v>
      </c>
      <c r="K111">
        <f t="shared" si="93"/>
        <v>6.2331447725661073</v>
      </c>
      <c r="L111">
        <f t="shared" si="94"/>
        <v>58.354780851758875</v>
      </c>
      <c r="M111">
        <f t="shared" si="95"/>
        <v>526.08199999999999</v>
      </c>
      <c r="N111">
        <f t="shared" si="96"/>
        <v>337.81175098947404</v>
      </c>
      <c r="O111">
        <f t="shared" si="97"/>
        <v>33.672216114442136</v>
      </c>
      <c r="P111">
        <f t="shared" si="98"/>
        <v>52.438515670432999</v>
      </c>
      <c r="Q111">
        <f t="shared" si="99"/>
        <v>0.56623880773099811</v>
      </c>
      <c r="R111">
        <f t="shared" si="100"/>
        <v>2.9258386773600504</v>
      </c>
      <c r="S111">
        <f t="shared" si="101"/>
        <v>0.51166217855705776</v>
      </c>
      <c r="T111">
        <f t="shared" si="102"/>
        <v>0.32425286831889233</v>
      </c>
      <c r="U111">
        <f t="shared" si="103"/>
        <v>344.37259965784386</v>
      </c>
      <c r="V111">
        <f t="shared" si="104"/>
        <v>28.419698813371593</v>
      </c>
      <c r="W111">
        <f t="shared" si="105"/>
        <v>27.361899999999999</v>
      </c>
      <c r="X111">
        <f t="shared" si="106"/>
        <v>3.6559452054831501</v>
      </c>
      <c r="Y111">
        <f t="shared" si="107"/>
        <v>65.289366752522199</v>
      </c>
      <c r="Z111">
        <f t="shared" si="108"/>
        <v>2.4790281818832498</v>
      </c>
      <c r="AA111">
        <f t="shared" si="109"/>
        <v>3.7969861023157843</v>
      </c>
      <c r="AB111">
        <f t="shared" si="110"/>
        <v>1.1769170235999002</v>
      </c>
      <c r="AC111">
        <f t="shared" si="111"/>
        <v>-274.88168447016534</v>
      </c>
      <c r="AD111">
        <f t="shared" si="112"/>
        <v>102.18255641049038</v>
      </c>
      <c r="AE111">
        <f t="shared" si="113"/>
        <v>7.5888654936149811</v>
      </c>
      <c r="AF111">
        <f t="shared" si="114"/>
        <v>179.26233709178391</v>
      </c>
      <c r="AG111">
        <v>0</v>
      </c>
      <c r="AH111">
        <v>0</v>
      </c>
      <c r="AI111">
        <f t="shared" si="115"/>
        <v>1</v>
      </c>
      <c r="AJ111">
        <f t="shared" si="116"/>
        <v>0</v>
      </c>
      <c r="AK111">
        <f t="shared" si="117"/>
        <v>52583.816167232711</v>
      </c>
      <c r="AL111" t="s">
        <v>415</v>
      </c>
      <c r="AM111">
        <v>10297.6</v>
      </c>
      <c r="AN111">
        <v>785.57400000000007</v>
      </c>
      <c r="AO111">
        <v>3597.65</v>
      </c>
      <c r="AP111">
        <f t="shared" si="118"/>
        <v>0.7816424610509638</v>
      </c>
      <c r="AQ111">
        <v>-0.62398835798131469</v>
      </c>
      <c r="AR111" t="s">
        <v>901</v>
      </c>
      <c r="AS111">
        <v>10233.4</v>
      </c>
      <c r="AT111">
        <v>753.42742307692311</v>
      </c>
      <c r="AU111">
        <v>1161.4255714380211</v>
      </c>
      <c r="AV111">
        <f t="shared" si="119"/>
        <v>0.35129082602851114</v>
      </c>
      <c r="AW111">
        <v>0.5</v>
      </c>
      <c r="AX111">
        <f t="shared" si="120"/>
        <v>1513.201199828922</v>
      </c>
      <c r="AY111">
        <f t="shared" si="121"/>
        <v>58.354780851758875</v>
      </c>
      <c r="AZ111">
        <f t="shared" si="122"/>
        <v>265.78684971761805</v>
      </c>
      <c r="BA111">
        <f t="shared" si="123"/>
        <v>3.8976158105351856E-2</v>
      </c>
      <c r="BB111">
        <f t="shared" si="124"/>
        <v>2.0976156272722353</v>
      </c>
      <c r="BC111">
        <f t="shared" si="125"/>
        <v>538.7913141481755</v>
      </c>
      <c r="BD111" t="s">
        <v>902</v>
      </c>
      <c r="BE111">
        <v>584.07000000000005</v>
      </c>
      <c r="BF111">
        <f t="shared" si="126"/>
        <v>584.07000000000005</v>
      </c>
      <c r="BG111">
        <f t="shared" si="127"/>
        <v>0.49710940213169852</v>
      </c>
      <c r="BH111">
        <f t="shared" si="128"/>
        <v>0.70666703249246543</v>
      </c>
      <c r="BI111">
        <f t="shared" si="129"/>
        <v>0.80841538255562462</v>
      </c>
      <c r="BJ111">
        <f t="shared" si="130"/>
        <v>1.0855299787628478</v>
      </c>
      <c r="BK111">
        <f t="shared" si="131"/>
        <v>0.8663437362866363</v>
      </c>
      <c r="BL111">
        <f t="shared" si="132"/>
        <v>0.54782053456758006</v>
      </c>
      <c r="BM111">
        <f t="shared" si="133"/>
        <v>0.45217946543241994</v>
      </c>
      <c r="BN111">
        <v>189</v>
      </c>
      <c r="BO111">
        <v>290.00000000000011</v>
      </c>
      <c r="BP111">
        <v>1052.8399999999999</v>
      </c>
      <c r="BQ111">
        <v>185</v>
      </c>
      <c r="BR111">
        <v>10233.4</v>
      </c>
      <c r="BS111">
        <v>1052.9100000000001</v>
      </c>
      <c r="BT111">
        <v>-7.0000000000000007E-2</v>
      </c>
      <c r="BU111">
        <v>300.00000000000011</v>
      </c>
      <c r="BV111">
        <v>24.1</v>
      </c>
      <c r="BW111">
        <v>1161.4255714380211</v>
      </c>
      <c r="BX111">
        <v>2.3812358140711192</v>
      </c>
      <c r="BY111">
        <v>-111.049596119057</v>
      </c>
      <c r="BZ111">
        <v>2.1682713535384952</v>
      </c>
      <c r="CA111">
        <v>0.98943815036118921</v>
      </c>
      <c r="CB111">
        <v>-6.9687924360400492E-3</v>
      </c>
      <c r="CC111">
        <v>289.99999999999989</v>
      </c>
      <c r="CD111">
        <v>1048.53</v>
      </c>
      <c r="CE111">
        <v>665</v>
      </c>
      <c r="CF111">
        <v>10204.4</v>
      </c>
      <c r="CG111">
        <v>1052.5999999999999</v>
      </c>
      <c r="CH111">
        <v>-4.07</v>
      </c>
      <c r="CV111">
        <f t="shared" si="134"/>
        <v>1800.02</v>
      </c>
      <c r="CW111">
        <f t="shared" si="135"/>
        <v>1513.201199828922</v>
      </c>
      <c r="CX111">
        <f t="shared" si="136"/>
        <v>0.84065799259392782</v>
      </c>
      <c r="CY111">
        <f t="shared" si="137"/>
        <v>0.19131598518785561</v>
      </c>
      <c r="CZ111">
        <v>6</v>
      </c>
      <c r="DA111">
        <v>0.5</v>
      </c>
      <c r="DB111" t="s">
        <v>418</v>
      </c>
      <c r="DC111">
        <v>2</v>
      </c>
      <c r="DD111">
        <v>1674597384.5</v>
      </c>
      <c r="DE111">
        <v>526.08199999999999</v>
      </c>
      <c r="DF111">
        <v>600.02599999999995</v>
      </c>
      <c r="DG111">
        <v>24.8705</v>
      </c>
      <c r="DH111">
        <v>17.578399999999998</v>
      </c>
      <c r="DI111">
        <v>526.93399999999997</v>
      </c>
      <c r="DJ111">
        <v>24.630500000000001</v>
      </c>
      <c r="DK111">
        <v>500.113</v>
      </c>
      <c r="DL111">
        <v>99.577500000000001</v>
      </c>
      <c r="DM111">
        <v>9.9956500000000004E-2</v>
      </c>
      <c r="DN111">
        <v>28.009699999999999</v>
      </c>
      <c r="DO111">
        <v>27.361899999999999</v>
      </c>
      <c r="DP111">
        <v>999.9</v>
      </c>
      <c r="DQ111">
        <v>0</v>
      </c>
      <c r="DR111">
        <v>0</v>
      </c>
      <c r="DS111">
        <v>10021.200000000001</v>
      </c>
      <c r="DT111">
        <v>0</v>
      </c>
      <c r="DU111">
        <v>394.77</v>
      </c>
      <c r="DV111">
        <v>-73.944100000000006</v>
      </c>
      <c r="DW111">
        <v>539.5</v>
      </c>
      <c r="DX111">
        <v>610.76300000000003</v>
      </c>
      <c r="DY111">
        <v>7.2920600000000002</v>
      </c>
      <c r="DZ111">
        <v>600.02599999999995</v>
      </c>
      <c r="EA111">
        <v>17.578399999999998</v>
      </c>
      <c r="EB111">
        <v>2.47654</v>
      </c>
      <c r="EC111">
        <v>1.7504200000000001</v>
      </c>
      <c r="ED111">
        <v>20.873200000000001</v>
      </c>
      <c r="EE111">
        <v>15.350899999999999</v>
      </c>
      <c r="EF111">
        <v>1800.02</v>
      </c>
      <c r="EG111">
        <v>0.97800399999999998</v>
      </c>
      <c r="EH111">
        <v>2.19957E-2</v>
      </c>
      <c r="EI111">
        <v>0</v>
      </c>
      <c r="EJ111">
        <v>753.78700000000003</v>
      </c>
      <c r="EK111">
        <v>5.0002599999999999</v>
      </c>
      <c r="EL111">
        <v>13714.9</v>
      </c>
      <c r="EM111">
        <v>17103.599999999999</v>
      </c>
      <c r="EN111">
        <v>49.75</v>
      </c>
      <c r="EO111">
        <v>51.186999999999998</v>
      </c>
      <c r="EP111">
        <v>50.75</v>
      </c>
      <c r="EQ111">
        <v>50.311999999999998</v>
      </c>
      <c r="ER111">
        <v>50.936999999999998</v>
      </c>
      <c r="ES111">
        <v>1755.54</v>
      </c>
      <c r="ET111">
        <v>39.479999999999997</v>
      </c>
      <c r="EU111">
        <v>0</v>
      </c>
      <c r="EV111">
        <v>113.3999998569489</v>
      </c>
      <c r="EW111">
        <v>0</v>
      </c>
      <c r="EX111">
        <v>753.42742307692311</v>
      </c>
      <c r="EY111">
        <v>2.0144615489510218</v>
      </c>
      <c r="EZ111">
        <v>28.615384653419309</v>
      </c>
      <c r="FA111">
        <v>13712.2</v>
      </c>
      <c r="FB111">
        <v>15</v>
      </c>
      <c r="FC111">
        <v>1674597347.5</v>
      </c>
      <c r="FD111" t="s">
        <v>903</v>
      </c>
      <c r="FE111">
        <v>1674597342.5</v>
      </c>
      <c r="FF111">
        <v>1674597347.5</v>
      </c>
      <c r="FG111">
        <v>105</v>
      </c>
      <c r="FH111">
        <v>-0.10299999999999999</v>
      </c>
      <c r="FI111">
        <v>-1E-3</v>
      </c>
      <c r="FJ111">
        <v>-0.88800000000000001</v>
      </c>
      <c r="FK111">
        <v>6.2E-2</v>
      </c>
      <c r="FL111">
        <v>600</v>
      </c>
      <c r="FM111">
        <v>17</v>
      </c>
      <c r="FN111">
        <v>0.03</v>
      </c>
      <c r="FO111">
        <v>0.01</v>
      </c>
      <c r="FP111">
        <v>58.361639060141613</v>
      </c>
      <c r="FQ111">
        <v>-0.58913368658120469</v>
      </c>
      <c r="FR111">
        <v>7.5573464269978519E-2</v>
      </c>
      <c r="FS111">
        <v>1</v>
      </c>
      <c r="FT111">
        <v>0.56858635319358319</v>
      </c>
      <c r="FU111">
        <v>4.4184343895873307E-2</v>
      </c>
      <c r="FV111">
        <v>6.532101364240238E-3</v>
      </c>
      <c r="FW111">
        <v>1</v>
      </c>
      <c r="FX111">
        <v>2</v>
      </c>
      <c r="FY111">
        <v>2</v>
      </c>
      <c r="FZ111" t="s">
        <v>420</v>
      </c>
      <c r="GA111">
        <v>2.9283399999999999</v>
      </c>
      <c r="GB111">
        <v>2.8070599999999999</v>
      </c>
      <c r="GC111">
        <v>0.12033199999999999</v>
      </c>
      <c r="GD111">
        <v>0.13364599999999999</v>
      </c>
      <c r="GE111">
        <v>0.114749</v>
      </c>
      <c r="GF111">
        <v>9.1339799999999999E-2</v>
      </c>
      <c r="GG111">
        <v>26122.3</v>
      </c>
      <c r="GH111">
        <v>26131.4</v>
      </c>
      <c r="GI111">
        <v>28208.799999999999</v>
      </c>
      <c r="GJ111">
        <v>27182.3</v>
      </c>
      <c r="GK111">
        <v>35845.9</v>
      </c>
      <c r="GL111">
        <v>32619.5</v>
      </c>
      <c r="GM111">
        <v>42002.3</v>
      </c>
      <c r="GN111">
        <v>36885.4</v>
      </c>
      <c r="GO111">
        <v>1.92625</v>
      </c>
      <c r="GP111">
        <v>1.8866000000000001</v>
      </c>
      <c r="GQ111">
        <v>4.6320300000000002E-2</v>
      </c>
      <c r="GR111">
        <v>0</v>
      </c>
      <c r="GS111">
        <v>26.604399999999998</v>
      </c>
      <c r="GT111">
        <v>999.9</v>
      </c>
      <c r="GU111">
        <v>49.5</v>
      </c>
      <c r="GV111">
        <v>34.9</v>
      </c>
      <c r="GW111">
        <v>27.9236</v>
      </c>
      <c r="GX111">
        <v>61.900100000000002</v>
      </c>
      <c r="GY111">
        <v>26.9071</v>
      </c>
      <c r="GZ111">
        <v>1</v>
      </c>
      <c r="HA111">
        <v>0.42400399999999999</v>
      </c>
      <c r="HB111">
        <v>3.4615100000000001</v>
      </c>
      <c r="HC111">
        <v>20.312100000000001</v>
      </c>
      <c r="HD111">
        <v>5.2391500000000004</v>
      </c>
      <c r="HE111">
        <v>11.9381</v>
      </c>
      <c r="HF111">
        <v>4.9738499999999997</v>
      </c>
      <c r="HG111">
        <v>3.2989999999999999</v>
      </c>
      <c r="HH111">
        <v>9999</v>
      </c>
      <c r="HI111">
        <v>9999</v>
      </c>
      <c r="HJ111">
        <v>9999</v>
      </c>
      <c r="HK111">
        <v>999.9</v>
      </c>
      <c r="HL111">
        <v>1.8733200000000001</v>
      </c>
      <c r="HM111">
        <v>1.88107</v>
      </c>
      <c r="HN111">
        <v>1.8846099999999999</v>
      </c>
      <c r="HO111">
        <v>1.8813</v>
      </c>
      <c r="HP111">
        <v>1.8786499999999999</v>
      </c>
      <c r="HQ111">
        <v>1.8733299999999999</v>
      </c>
      <c r="HR111">
        <v>1.87622</v>
      </c>
      <c r="HS111">
        <v>1.88045</v>
      </c>
      <c r="HT111">
        <v>5</v>
      </c>
      <c r="HU111">
        <v>0</v>
      </c>
      <c r="HV111">
        <v>0</v>
      </c>
      <c r="HW111">
        <v>0</v>
      </c>
      <c r="HX111" t="s">
        <v>421</v>
      </c>
      <c r="HY111" t="s">
        <v>422</v>
      </c>
      <c r="HZ111" t="s">
        <v>423</v>
      </c>
      <c r="IA111" t="s">
        <v>423</v>
      </c>
      <c r="IB111" t="s">
        <v>423</v>
      </c>
      <c r="IC111" t="s">
        <v>423</v>
      </c>
      <c r="ID111">
        <v>0</v>
      </c>
      <c r="IE111">
        <v>100</v>
      </c>
      <c r="IF111">
        <v>100</v>
      </c>
      <c r="IG111">
        <v>-0.85199999999999998</v>
      </c>
      <c r="IH111">
        <v>0.24</v>
      </c>
      <c r="II111">
        <v>-0.93280776727074877</v>
      </c>
      <c r="IJ111">
        <v>9.4905977090923709E-4</v>
      </c>
      <c r="IK111">
        <v>-1.9106666302146479E-6</v>
      </c>
      <c r="IL111">
        <v>7.5819610513223293E-10</v>
      </c>
      <c r="IM111">
        <v>-5.7253478029068841E-2</v>
      </c>
      <c r="IN111">
        <v>-1.0595840490420019E-2</v>
      </c>
      <c r="IO111">
        <v>1.2407080968752471E-3</v>
      </c>
      <c r="IP111">
        <v>-1.3015442653884381E-5</v>
      </c>
      <c r="IQ111">
        <v>33</v>
      </c>
      <c r="IR111">
        <v>2014</v>
      </c>
      <c r="IS111">
        <v>1</v>
      </c>
      <c r="IT111">
        <v>26</v>
      </c>
      <c r="IU111">
        <v>0.7</v>
      </c>
      <c r="IV111">
        <v>0.6</v>
      </c>
      <c r="IW111">
        <v>1.40137</v>
      </c>
      <c r="IX111">
        <v>2.51953</v>
      </c>
      <c r="IY111">
        <v>1.5991200000000001</v>
      </c>
      <c r="IZ111">
        <v>2.2973599999999998</v>
      </c>
      <c r="JA111">
        <v>1.5502899999999999</v>
      </c>
      <c r="JB111">
        <v>2.34863</v>
      </c>
      <c r="JC111">
        <v>38.403399999999998</v>
      </c>
      <c r="JD111">
        <v>24.061199999999999</v>
      </c>
      <c r="JE111">
        <v>18</v>
      </c>
      <c r="JF111">
        <v>488.06200000000001</v>
      </c>
      <c r="JG111">
        <v>496.71300000000002</v>
      </c>
      <c r="JH111">
        <v>22.4434</v>
      </c>
      <c r="JI111">
        <v>32.505899999999997</v>
      </c>
      <c r="JJ111">
        <v>30.0002</v>
      </c>
      <c r="JK111">
        <v>32.578299999999999</v>
      </c>
      <c r="JL111">
        <v>32.543599999999998</v>
      </c>
      <c r="JM111">
        <v>28.106400000000001</v>
      </c>
      <c r="JN111">
        <v>43.591999999999999</v>
      </c>
      <c r="JO111">
        <v>0</v>
      </c>
      <c r="JP111">
        <v>22.437000000000001</v>
      </c>
      <c r="JQ111">
        <v>600</v>
      </c>
      <c r="JR111">
        <v>17.550599999999999</v>
      </c>
      <c r="JS111">
        <v>99.584500000000006</v>
      </c>
      <c r="JT111">
        <v>98.756399999999999</v>
      </c>
    </row>
    <row r="112" spans="1:280" x14ac:dyDescent="0.25">
      <c r="A112">
        <v>96</v>
      </c>
      <c r="B112">
        <v>1674597496.5</v>
      </c>
      <c r="C112">
        <v>22071.5</v>
      </c>
      <c r="D112" t="s">
        <v>904</v>
      </c>
      <c r="E112" t="s">
        <v>905</v>
      </c>
      <c r="F112" t="s">
        <v>412</v>
      </c>
      <c r="G112" t="s">
        <v>850</v>
      </c>
      <c r="H112" t="s">
        <v>565</v>
      </c>
      <c r="I112">
        <v>1674597496.5</v>
      </c>
      <c r="J112">
        <f t="shared" si="92"/>
        <v>6.0494321320677365E-3</v>
      </c>
      <c r="K112">
        <f t="shared" si="93"/>
        <v>6.0494321320677367</v>
      </c>
      <c r="L112">
        <f t="shared" si="94"/>
        <v>58.680041984001036</v>
      </c>
      <c r="M112">
        <f t="shared" si="95"/>
        <v>724.34799999999996</v>
      </c>
      <c r="N112">
        <f t="shared" si="96"/>
        <v>524.1944512625962</v>
      </c>
      <c r="O112">
        <f t="shared" si="97"/>
        <v>52.254176103696089</v>
      </c>
      <c r="P112">
        <f t="shared" si="98"/>
        <v>72.206426186298785</v>
      </c>
      <c r="Q112">
        <f t="shared" si="99"/>
        <v>0.54297119670376537</v>
      </c>
      <c r="R112">
        <f t="shared" si="100"/>
        <v>2.9313392382142305</v>
      </c>
      <c r="S112">
        <f t="shared" si="101"/>
        <v>0.49265948710943513</v>
      </c>
      <c r="T112">
        <f t="shared" si="102"/>
        <v>0.31204307287802174</v>
      </c>
      <c r="U112">
        <f t="shared" si="103"/>
        <v>344.35739965782864</v>
      </c>
      <c r="V112">
        <f t="shared" si="104"/>
        <v>28.465610496225612</v>
      </c>
      <c r="W112">
        <f t="shared" si="105"/>
        <v>27.406400000000001</v>
      </c>
      <c r="X112">
        <f t="shared" si="106"/>
        <v>3.6654854553977598</v>
      </c>
      <c r="Y112">
        <f t="shared" si="107"/>
        <v>65.296879213375561</v>
      </c>
      <c r="Z112">
        <f t="shared" si="108"/>
        <v>2.4791689076188099</v>
      </c>
      <c r="AA112">
        <f t="shared" si="109"/>
        <v>3.7967647726584937</v>
      </c>
      <c r="AB112">
        <f t="shared" si="110"/>
        <v>1.1863165477789499</v>
      </c>
      <c r="AC112">
        <f t="shared" si="111"/>
        <v>-266.77995702418718</v>
      </c>
      <c r="AD112">
        <f t="shared" si="112"/>
        <v>95.184095636687701</v>
      </c>
      <c r="AE112">
        <f t="shared" si="113"/>
        <v>7.057370970510509</v>
      </c>
      <c r="AF112">
        <f t="shared" si="114"/>
        <v>179.81890924083967</v>
      </c>
      <c r="AG112">
        <v>0</v>
      </c>
      <c r="AH112">
        <v>0</v>
      </c>
      <c r="AI112">
        <f t="shared" si="115"/>
        <v>1</v>
      </c>
      <c r="AJ112">
        <f t="shared" si="116"/>
        <v>0</v>
      </c>
      <c r="AK112">
        <f t="shared" si="117"/>
        <v>52742.424772644357</v>
      </c>
      <c r="AL112" t="s">
        <v>415</v>
      </c>
      <c r="AM112">
        <v>10297.6</v>
      </c>
      <c r="AN112">
        <v>785.57400000000007</v>
      </c>
      <c r="AO112">
        <v>3597.65</v>
      </c>
      <c r="AP112">
        <f t="shared" si="118"/>
        <v>0.7816424610509638</v>
      </c>
      <c r="AQ112">
        <v>-0.62398835798131469</v>
      </c>
      <c r="AR112" t="s">
        <v>906</v>
      </c>
      <c r="AS112">
        <v>10231.5</v>
      </c>
      <c r="AT112">
        <v>755.43273076923083</v>
      </c>
      <c r="AU112">
        <v>1175.8943953487651</v>
      </c>
      <c r="AV112">
        <f t="shared" si="119"/>
        <v>0.35756753858396206</v>
      </c>
      <c r="AW112">
        <v>0.5</v>
      </c>
      <c r="AX112">
        <f t="shared" si="120"/>
        <v>1513.1339998289145</v>
      </c>
      <c r="AY112">
        <f t="shared" si="121"/>
        <v>58.680041984001036</v>
      </c>
      <c r="AZ112">
        <f t="shared" si="122"/>
        <v>270.52379993326514</v>
      </c>
      <c r="BA112">
        <f t="shared" si="123"/>
        <v>3.919284765836184E-2</v>
      </c>
      <c r="BB112">
        <f t="shared" si="124"/>
        <v>2.0595009332729686</v>
      </c>
      <c r="BC112">
        <f t="shared" si="125"/>
        <v>541.88446294125185</v>
      </c>
      <c r="BD112" t="s">
        <v>907</v>
      </c>
      <c r="BE112">
        <v>586.04999999999995</v>
      </c>
      <c r="BF112">
        <f t="shared" si="126"/>
        <v>586.04999999999995</v>
      </c>
      <c r="BG112">
        <f t="shared" si="127"/>
        <v>0.50161340821240996</v>
      </c>
      <c r="BH112">
        <f t="shared" si="128"/>
        <v>0.71283488983721255</v>
      </c>
      <c r="BI112">
        <f t="shared" si="129"/>
        <v>0.8041425171507619</v>
      </c>
      <c r="BJ112">
        <f t="shared" si="130"/>
        <v>1.0772218659079726</v>
      </c>
      <c r="BK112">
        <f t="shared" si="131"/>
        <v>0.86119848988833692</v>
      </c>
      <c r="BL112">
        <f t="shared" si="132"/>
        <v>0.55300342462486518</v>
      </c>
      <c r="BM112">
        <f t="shared" si="133"/>
        <v>0.44699657537513482</v>
      </c>
      <c r="BN112">
        <v>191</v>
      </c>
      <c r="BO112">
        <v>290.00000000000011</v>
      </c>
      <c r="BP112">
        <v>1059.73</v>
      </c>
      <c r="BQ112">
        <v>195</v>
      </c>
      <c r="BR112">
        <v>10231.5</v>
      </c>
      <c r="BS112">
        <v>1060.05</v>
      </c>
      <c r="BT112">
        <v>-0.32</v>
      </c>
      <c r="BU112">
        <v>300.00000000000011</v>
      </c>
      <c r="BV112">
        <v>24.1</v>
      </c>
      <c r="BW112">
        <v>1175.8943953487651</v>
      </c>
      <c r="BX112">
        <v>2.1097635220935049</v>
      </c>
      <c r="BY112">
        <v>-118.5278941493267</v>
      </c>
      <c r="BZ112">
        <v>1.920995870273748</v>
      </c>
      <c r="CA112">
        <v>0.99269891667803445</v>
      </c>
      <c r="CB112">
        <v>-6.9686671857619523E-3</v>
      </c>
      <c r="CC112">
        <v>289.99999999999989</v>
      </c>
      <c r="CD112">
        <v>1054</v>
      </c>
      <c r="CE112">
        <v>635</v>
      </c>
      <c r="CF112">
        <v>10206</v>
      </c>
      <c r="CG112">
        <v>1059.76</v>
      </c>
      <c r="CH112">
        <v>-5.76</v>
      </c>
      <c r="CV112">
        <f t="shared" si="134"/>
        <v>1799.94</v>
      </c>
      <c r="CW112">
        <f t="shared" si="135"/>
        <v>1513.1339998289145</v>
      </c>
      <c r="CX112">
        <f t="shared" si="136"/>
        <v>0.84065802183901372</v>
      </c>
      <c r="CY112">
        <f t="shared" si="137"/>
        <v>0.1913160436780274</v>
      </c>
      <c r="CZ112">
        <v>6</v>
      </c>
      <c r="DA112">
        <v>0.5</v>
      </c>
      <c r="DB112" t="s">
        <v>418</v>
      </c>
      <c r="DC112">
        <v>2</v>
      </c>
      <c r="DD112">
        <v>1674597496.5</v>
      </c>
      <c r="DE112">
        <v>724.34799999999996</v>
      </c>
      <c r="DF112">
        <v>800.01400000000001</v>
      </c>
      <c r="DG112">
        <v>24.870100000000001</v>
      </c>
      <c r="DH112">
        <v>17.792100000000001</v>
      </c>
      <c r="DI112">
        <v>725.428</v>
      </c>
      <c r="DJ112">
        <v>24.6327</v>
      </c>
      <c r="DK112">
        <v>500.05500000000001</v>
      </c>
      <c r="DL112">
        <v>99.5852</v>
      </c>
      <c r="DM112">
        <v>9.9518099999999998E-2</v>
      </c>
      <c r="DN112">
        <v>28.008700000000001</v>
      </c>
      <c r="DO112">
        <v>27.406400000000001</v>
      </c>
      <c r="DP112">
        <v>999.9</v>
      </c>
      <c r="DQ112">
        <v>0</v>
      </c>
      <c r="DR112">
        <v>0</v>
      </c>
      <c r="DS112">
        <v>10051.9</v>
      </c>
      <c r="DT112">
        <v>0</v>
      </c>
      <c r="DU112">
        <v>392.37200000000001</v>
      </c>
      <c r="DV112">
        <v>-75.665400000000005</v>
      </c>
      <c r="DW112">
        <v>742.822</v>
      </c>
      <c r="DX112">
        <v>814.505</v>
      </c>
      <c r="DY112">
        <v>7.0780200000000004</v>
      </c>
      <c r="DZ112">
        <v>800.01400000000001</v>
      </c>
      <c r="EA112">
        <v>17.792100000000001</v>
      </c>
      <c r="EB112">
        <v>2.4766900000000001</v>
      </c>
      <c r="EC112">
        <v>1.77183</v>
      </c>
      <c r="ED112">
        <v>20.874199999999998</v>
      </c>
      <c r="EE112">
        <v>15.5404</v>
      </c>
      <c r="EF112">
        <v>1799.94</v>
      </c>
      <c r="EG112">
        <v>0.97800399999999998</v>
      </c>
      <c r="EH112">
        <v>2.19957E-2</v>
      </c>
      <c r="EI112">
        <v>0</v>
      </c>
      <c r="EJ112">
        <v>755.62699999999995</v>
      </c>
      <c r="EK112">
        <v>5.0002599999999999</v>
      </c>
      <c r="EL112">
        <v>13744.3</v>
      </c>
      <c r="EM112">
        <v>17102.900000000001</v>
      </c>
      <c r="EN112">
        <v>49.811999999999998</v>
      </c>
      <c r="EO112">
        <v>51.186999999999998</v>
      </c>
      <c r="EP112">
        <v>50.811999999999998</v>
      </c>
      <c r="EQ112">
        <v>50.436999999999998</v>
      </c>
      <c r="ER112">
        <v>51.061999999999998</v>
      </c>
      <c r="ES112">
        <v>1755.46</v>
      </c>
      <c r="ET112">
        <v>39.479999999999997</v>
      </c>
      <c r="EU112">
        <v>0</v>
      </c>
      <c r="EV112">
        <v>110</v>
      </c>
      <c r="EW112">
        <v>0</v>
      </c>
      <c r="EX112">
        <v>755.43273076923083</v>
      </c>
      <c r="EY112">
        <v>1.254461550058531</v>
      </c>
      <c r="EZ112">
        <v>27.4119658191436</v>
      </c>
      <c r="FA112">
        <v>13742.930769230759</v>
      </c>
      <c r="FB112">
        <v>15</v>
      </c>
      <c r="FC112">
        <v>1674597456.5</v>
      </c>
      <c r="FD112" t="s">
        <v>908</v>
      </c>
      <c r="FE112">
        <v>1674597456</v>
      </c>
      <c r="FF112">
        <v>1674597456.5</v>
      </c>
      <c r="FG112">
        <v>106</v>
      </c>
      <c r="FH112">
        <v>-0.11899999999999999</v>
      </c>
      <c r="FI112">
        <v>-3.0000000000000001E-3</v>
      </c>
      <c r="FJ112">
        <v>-1.1279999999999999</v>
      </c>
      <c r="FK112">
        <v>6.5000000000000002E-2</v>
      </c>
      <c r="FL112">
        <v>800</v>
      </c>
      <c r="FM112">
        <v>18</v>
      </c>
      <c r="FN112">
        <v>0.03</v>
      </c>
      <c r="FO112">
        <v>0.01</v>
      </c>
      <c r="FP112">
        <v>58.687273900396121</v>
      </c>
      <c r="FQ112">
        <v>-0.4125744348991956</v>
      </c>
      <c r="FR112">
        <v>9.5810369194387027E-2</v>
      </c>
      <c r="FS112">
        <v>1</v>
      </c>
      <c r="FT112">
        <v>0.54608916678069996</v>
      </c>
      <c r="FU112">
        <v>9.9849709253846987E-3</v>
      </c>
      <c r="FV112">
        <v>2.45874621975524E-3</v>
      </c>
      <c r="FW112">
        <v>1</v>
      </c>
      <c r="FX112">
        <v>2</v>
      </c>
      <c r="FY112">
        <v>2</v>
      </c>
      <c r="FZ112" t="s">
        <v>420</v>
      </c>
      <c r="GA112">
        <v>2.9280900000000001</v>
      </c>
      <c r="GB112">
        <v>2.80688</v>
      </c>
      <c r="GC112">
        <v>0.15068999999999999</v>
      </c>
      <c r="GD112">
        <v>0.162853</v>
      </c>
      <c r="GE112">
        <v>0.114755</v>
      </c>
      <c r="GF112">
        <v>9.2133000000000007E-2</v>
      </c>
      <c r="GG112">
        <v>25216.3</v>
      </c>
      <c r="GH112">
        <v>25246.5</v>
      </c>
      <c r="GI112">
        <v>28205.599999999999</v>
      </c>
      <c r="GJ112">
        <v>27179.7</v>
      </c>
      <c r="GK112">
        <v>35842.400000000001</v>
      </c>
      <c r="GL112">
        <v>32588.1</v>
      </c>
      <c r="GM112">
        <v>41998.1</v>
      </c>
      <c r="GN112">
        <v>36881.9</v>
      </c>
      <c r="GO112">
        <v>1.9256500000000001</v>
      </c>
      <c r="GP112">
        <v>1.88697</v>
      </c>
      <c r="GQ112">
        <v>4.6081799999999999E-2</v>
      </c>
      <c r="GR112">
        <v>0</v>
      </c>
      <c r="GS112">
        <v>26.652799999999999</v>
      </c>
      <c r="GT112">
        <v>999.9</v>
      </c>
      <c r="GU112">
        <v>49.5</v>
      </c>
      <c r="GV112">
        <v>34.9</v>
      </c>
      <c r="GW112">
        <v>27.918800000000001</v>
      </c>
      <c r="GX112">
        <v>61.200099999999999</v>
      </c>
      <c r="GY112">
        <v>26.870999999999999</v>
      </c>
      <c r="GZ112">
        <v>1</v>
      </c>
      <c r="HA112">
        <v>0.42784299999999997</v>
      </c>
      <c r="HB112">
        <v>3.3515700000000002</v>
      </c>
      <c r="HC112">
        <v>20.3142</v>
      </c>
      <c r="HD112">
        <v>5.2388500000000002</v>
      </c>
      <c r="HE112">
        <v>11.9381</v>
      </c>
      <c r="HF112">
        <v>4.9733499999999999</v>
      </c>
      <c r="HG112">
        <v>3.2989999999999999</v>
      </c>
      <c r="HH112">
        <v>9999</v>
      </c>
      <c r="HI112">
        <v>9999</v>
      </c>
      <c r="HJ112">
        <v>9999</v>
      </c>
      <c r="HK112">
        <v>999.9</v>
      </c>
      <c r="HL112">
        <v>1.8733200000000001</v>
      </c>
      <c r="HM112">
        <v>1.88107</v>
      </c>
      <c r="HN112">
        <v>1.8846099999999999</v>
      </c>
      <c r="HO112">
        <v>1.8812599999999999</v>
      </c>
      <c r="HP112">
        <v>1.87866</v>
      </c>
      <c r="HQ112">
        <v>1.87334</v>
      </c>
      <c r="HR112">
        <v>1.87622</v>
      </c>
      <c r="HS112">
        <v>1.8804399999999999</v>
      </c>
      <c r="HT112">
        <v>5</v>
      </c>
      <c r="HU112">
        <v>0</v>
      </c>
      <c r="HV112">
        <v>0</v>
      </c>
      <c r="HW112">
        <v>0</v>
      </c>
      <c r="HX112" t="s">
        <v>421</v>
      </c>
      <c r="HY112" t="s">
        <v>422</v>
      </c>
      <c r="HZ112" t="s">
        <v>423</v>
      </c>
      <c r="IA112" t="s">
        <v>423</v>
      </c>
      <c r="IB112" t="s">
        <v>423</v>
      </c>
      <c r="IC112" t="s">
        <v>423</v>
      </c>
      <c r="ID112">
        <v>0</v>
      </c>
      <c r="IE112">
        <v>100</v>
      </c>
      <c r="IF112">
        <v>100</v>
      </c>
      <c r="IG112">
        <v>-1.08</v>
      </c>
      <c r="IH112">
        <v>0.2374</v>
      </c>
      <c r="II112">
        <v>-1.051839264609542</v>
      </c>
      <c r="IJ112">
        <v>9.4905977090923709E-4</v>
      </c>
      <c r="IK112">
        <v>-1.9106666302146479E-6</v>
      </c>
      <c r="IL112">
        <v>7.5819610513223293E-10</v>
      </c>
      <c r="IM112">
        <v>-5.9866120372044002E-2</v>
      </c>
      <c r="IN112">
        <v>-1.0595840490420019E-2</v>
      </c>
      <c r="IO112">
        <v>1.2407080968752471E-3</v>
      </c>
      <c r="IP112">
        <v>-1.3015442653884381E-5</v>
      </c>
      <c r="IQ112">
        <v>33</v>
      </c>
      <c r="IR112">
        <v>2014</v>
      </c>
      <c r="IS112">
        <v>1</v>
      </c>
      <c r="IT112">
        <v>26</v>
      </c>
      <c r="IU112">
        <v>0.7</v>
      </c>
      <c r="IV112">
        <v>0.7</v>
      </c>
      <c r="IW112">
        <v>1.7724599999999999</v>
      </c>
      <c r="IX112">
        <v>2.5134300000000001</v>
      </c>
      <c r="IY112">
        <v>1.5991200000000001</v>
      </c>
      <c r="IZ112">
        <v>2.2973599999999998</v>
      </c>
      <c r="JA112">
        <v>1.5502899999999999</v>
      </c>
      <c r="JB112">
        <v>2.32666</v>
      </c>
      <c r="JC112">
        <v>38.403399999999998</v>
      </c>
      <c r="JD112">
        <v>24.061199999999999</v>
      </c>
      <c r="JE112">
        <v>18</v>
      </c>
      <c r="JF112">
        <v>487.97300000000001</v>
      </c>
      <c r="JG112">
        <v>497.25299999999999</v>
      </c>
      <c r="JH112">
        <v>22.5078</v>
      </c>
      <c r="JI112">
        <v>32.5578</v>
      </c>
      <c r="JJ112">
        <v>30.000399999999999</v>
      </c>
      <c r="JK112">
        <v>32.616</v>
      </c>
      <c r="JL112">
        <v>32.577300000000001</v>
      </c>
      <c r="JM112">
        <v>35.518999999999998</v>
      </c>
      <c r="JN112">
        <v>43.040399999999998</v>
      </c>
      <c r="JO112">
        <v>0</v>
      </c>
      <c r="JP112">
        <v>22.496600000000001</v>
      </c>
      <c r="JQ112">
        <v>800</v>
      </c>
      <c r="JR112">
        <v>17.715299999999999</v>
      </c>
      <c r="JS112">
        <v>99.574100000000001</v>
      </c>
      <c r="JT112">
        <v>98.747100000000003</v>
      </c>
    </row>
    <row r="113" spans="1:280" x14ac:dyDescent="0.25">
      <c r="A113">
        <v>97</v>
      </c>
      <c r="B113">
        <v>1674597620.5999999</v>
      </c>
      <c r="C113">
        <v>22195.599999904629</v>
      </c>
      <c r="D113" t="s">
        <v>909</v>
      </c>
      <c r="E113" t="s">
        <v>910</v>
      </c>
      <c r="F113" t="s">
        <v>412</v>
      </c>
      <c r="G113" t="s">
        <v>850</v>
      </c>
      <c r="H113" t="s">
        <v>565</v>
      </c>
      <c r="I113">
        <v>1674597620.5999999</v>
      </c>
      <c r="J113">
        <f t="shared" ref="J113:J144" si="138">(K113)/1000</f>
        <v>5.7954489922847916E-3</v>
      </c>
      <c r="K113">
        <f t="shared" ref="K113:K128" si="139">1000*DK113*AI113*(DG113-DH113)/(100*CZ113*(1000-AI113*DG113))</f>
        <v>5.7954489922847916</v>
      </c>
      <c r="L113">
        <f t="shared" ref="L113:L128" si="140">DK113*AI113*(DF113-DE113*(1000-AI113*DH113)/(1000-AI113*DG113))/(100*CZ113)</f>
        <v>57.604349111118381</v>
      </c>
      <c r="M113">
        <f t="shared" ref="M113:M144" si="141">DE113 - IF(AI113&gt;1, L113*CZ113*100/(AK113*DS113), 0)</f>
        <v>1123.1199999999999</v>
      </c>
      <c r="N113">
        <f t="shared" ref="N113:N144" si="142">((T113-J113/2)*M113-L113)/(T113+J113/2)</f>
        <v>909.47881935131397</v>
      </c>
      <c r="O113">
        <f t="shared" ref="O113:O144" si="143">N113*(DL113+DM113)/1000</f>
        <v>90.671174823301399</v>
      </c>
      <c r="P113">
        <f t="shared" ref="P113:P128" si="144">(DE113 - IF(AI113&gt;1, L113*CZ113*100/(AK113*DS113), 0))*(DL113+DM113)/1000</f>
        <v>111.97029298624</v>
      </c>
      <c r="Q113">
        <f t="shared" ref="Q113:Q144" si="145">2/((1/S113-1/R113)+SIGN(S113)*SQRT((1/S113-1/R113)*(1/S113-1/R113) + 4*DA113/((DA113+1)*(DA113+1))*(2*1/S113*1/R113-1/R113*1/R113)))</f>
        <v>0.51518156837428253</v>
      </c>
      <c r="R113">
        <f t="shared" ref="R113:R128" si="146">IF(LEFT(DB113,1)&lt;&gt;"0",IF(LEFT(DB113,1)="1",3,DC113),$D$5+$E$5*(DS113*DL113/($K$5*1000))+$F$5*(DS113*DL113/($K$5*1000))*MAX(MIN(CZ113,$J$5),$I$5)*MAX(MIN(CZ113,$J$5),$I$5)+$G$5*MAX(MIN(CZ113,$J$5),$I$5)*(DS113*DL113/($K$5*1000))+$H$5*(DS113*DL113/($K$5*1000))*(DS113*DL113/($K$5*1000)))</f>
        <v>2.9198130632866461</v>
      </c>
      <c r="S113">
        <f t="shared" ref="S113:S128" si="147">J113*(1000-(1000*0.61365*EXP(17.502*W113/(240.97+W113))/(DL113+DM113)+DG113)/2)/(1000*0.61365*EXP(17.502*W113/(240.97+W113))/(DL113+DM113)-DG113)</f>
        <v>0.46949446252331661</v>
      </c>
      <c r="T113">
        <f t="shared" ref="T113:T128" si="148">1/((DA113+1)/(Q113/1.6)+1/(R113/1.37)) + DA113/((DA113+1)/(Q113/1.6) + DA113/(R113/1.37))</f>
        <v>0.29720047561988305</v>
      </c>
      <c r="U113">
        <f t="shared" ref="U113:U128" si="149">(CV113*CY113)</f>
        <v>344.34789965781914</v>
      </c>
      <c r="V113">
        <f t="shared" ref="V113:V144" si="150">(DN113+(U113+2*0.95*0.0000000567*(((DN113+$B$7)+273)^4-(DN113+273)^4)-44100*J113)/(1.84*29.3*R113+8*0.95*0.0000000567*(DN113+273)^3))</f>
        <v>28.525846689014148</v>
      </c>
      <c r="W113">
        <f t="shared" ref="W113:W144" si="151">($C$7*DO113+$D$7*DP113+$E$7*V113)</f>
        <v>27.427399999999999</v>
      </c>
      <c r="X113">
        <f t="shared" ref="X113:X144" si="152">0.61365*EXP(17.502*W113/(240.97+W113))</f>
        <v>3.6699951366478487</v>
      </c>
      <c r="Y113">
        <f t="shared" ref="Y113:Y144" si="153">(Z113/AA113*100)</f>
        <v>65.276302802286466</v>
      </c>
      <c r="Z113">
        <f t="shared" ref="Z113:Z128" si="154">DG113*(DL113+DM113)/1000</f>
        <v>2.4772898935719998</v>
      </c>
      <c r="AA113">
        <f t="shared" ref="AA113:AA128" si="155">0.61365*EXP(17.502*DN113/(240.97+DN113))</f>
        <v>3.7950830350723024</v>
      </c>
      <c r="AB113">
        <f t="shared" ref="AB113:AB128" si="156">(X113-DG113*(DL113+DM113)/1000)</f>
        <v>1.1927052430758489</v>
      </c>
      <c r="AC113">
        <f t="shared" ref="AC113:AC128" si="157">(-J113*44100)</f>
        <v>-255.5793005597593</v>
      </c>
      <c r="AD113">
        <f t="shared" ref="AD113:AD128" si="158">2*29.3*R113*0.92*(DN113-W113)</f>
        <v>90.307816223620165</v>
      </c>
      <c r="AE113">
        <f t="shared" ref="AE113:AE128" si="159">2*0.95*0.0000000567*(((DN113+$B$7)+273)^4-(W113+273)^4)</f>
        <v>6.7227029509672835</v>
      </c>
      <c r="AF113">
        <f t="shared" ref="AF113:AF144" si="160">U113+AE113+AC113+AD113</f>
        <v>185.79911827264729</v>
      </c>
      <c r="AG113">
        <v>0</v>
      </c>
      <c r="AH113">
        <v>0</v>
      </c>
      <c r="AI113">
        <f t="shared" ref="AI113:AI128" si="161">IF(AG113*$H$13&gt;=AK113,1,(AK113/(AK113-AG113*$H$13)))</f>
        <v>1</v>
      </c>
      <c r="AJ113">
        <f t="shared" ref="AJ113:AJ144" si="162">(AI113-1)*100</f>
        <v>0</v>
      </c>
      <c r="AK113">
        <f t="shared" ref="AK113:AK128" si="163">MAX(0,($B$13+$C$13*DS113)/(1+$D$13*DS113)*DL113/(DN113+273)*$E$13)</f>
        <v>52412.54699887702</v>
      </c>
      <c r="AL113" t="s">
        <v>415</v>
      </c>
      <c r="AM113">
        <v>10297.6</v>
      </c>
      <c r="AN113">
        <v>785.57400000000007</v>
      </c>
      <c r="AO113">
        <v>3597.65</v>
      </c>
      <c r="AP113">
        <f t="shared" ref="AP113:AP144" si="164">1-AN113/AO113</f>
        <v>0.7816424610509638</v>
      </c>
      <c r="AQ113">
        <v>-0.62398835798131469</v>
      </c>
      <c r="AR113" t="s">
        <v>911</v>
      </c>
      <c r="AS113">
        <v>10235.799999999999</v>
      </c>
      <c r="AT113">
        <v>756.86873076923087</v>
      </c>
      <c r="AU113">
        <v>1186.818781006539</v>
      </c>
      <c r="AV113">
        <f t="shared" ref="AV113:AV144" si="165">1-AT113/AU113</f>
        <v>0.36227101990471389</v>
      </c>
      <c r="AW113">
        <v>0.5</v>
      </c>
      <c r="AX113">
        <f t="shared" ref="AX113:AX128" si="166">CW113</f>
        <v>1513.0919998289096</v>
      </c>
      <c r="AY113">
        <f t="shared" ref="AY113:AY128" si="167">L113</f>
        <v>57.604349111118381</v>
      </c>
      <c r="AZ113">
        <f t="shared" ref="AZ113:AZ128" si="168">AV113*AW113*AX113</f>
        <v>274.0746909938411</v>
      </c>
      <c r="BA113">
        <f t="shared" ref="BA113:BA128" si="169">(AY113-AQ113)/AX113</f>
        <v>3.8483011922397163E-2</v>
      </c>
      <c r="BB113">
        <f t="shared" ref="BB113:BB128" si="170">(AO113-AU113)/AU113</f>
        <v>2.0313389521430048</v>
      </c>
      <c r="BC113">
        <f t="shared" ref="BC113:BC128" si="171">AN113/(AP113+AN113/AU113)</f>
        <v>544.1928243367106</v>
      </c>
      <c r="BD113" t="s">
        <v>912</v>
      </c>
      <c r="BE113">
        <v>585.89</v>
      </c>
      <c r="BF113">
        <f t="shared" ref="BF113:BF144" si="172">IF(BE113&lt;&gt;0, BE113, BC113)</f>
        <v>585.89</v>
      </c>
      <c r="BG113">
        <f t="shared" ref="BG113:BG144" si="173">1-BF113/AU113</f>
        <v>0.50633575287449728</v>
      </c>
      <c r="BH113">
        <f t="shared" ref="BH113:BH128" si="174">(AU113-AT113)/(AU113-BF113)</f>
        <v>0.71547588304416665</v>
      </c>
      <c r="BI113">
        <f t="shared" ref="BI113:BI128" si="175">(AO113-AU113)/(AO113-BF113)</f>
        <v>0.80047255391978811</v>
      </c>
      <c r="BJ113">
        <f t="shared" ref="BJ113:BJ128" si="176">(AU113-AT113)/(AU113-AN113)</f>
        <v>1.071540542306272</v>
      </c>
      <c r="BK113">
        <f t="shared" ref="BK113:BK128" si="177">(AO113-AU113)/(AO113-AN113)</f>
        <v>0.8573136782197428</v>
      </c>
      <c r="BL113">
        <f t="shared" ref="BL113:BL128" si="178">(BH113*BF113/AT113)</f>
        <v>0.5538479105758668</v>
      </c>
      <c r="BM113">
        <f t="shared" ref="BM113:BM144" si="179">(1-BL113)</f>
        <v>0.4461520894241332</v>
      </c>
      <c r="BN113">
        <v>193</v>
      </c>
      <c r="BO113">
        <v>290.00000000000011</v>
      </c>
      <c r="BP113">
        <v>1063.6600000000001</v>
      </c>
      <c r="BQ113">
        <v>165</v>
      </c>
      <c r="BR113">
        <v>10235.799999999999</v>
      </c>
      <c r="BS113">
        <v>1064.43</v>
      </c>
      <c r="BT113">
        <v>-0.77</v>
      </c>
      <c r="BU113">
        <v>300.00000000000011</v>
      </c>
      <c r="BV113">
        <v>24.1</v>
      </c>
      <c r="BW113">
        <v>1186.818781006539</v>
      </c>
      <c r="BX113">
        <v>1.6321986378498301</v>
      </c>
      <c r="BY113">
        <v>-125.2737191942572</v>
      </c>
      <c r="BZ113">
        <v>1.4861013700629371</v>
      </c>
      <c r="CA113">
        <v>0.99607511399192383</v>
      </c>
      <c r="CB113">
        <v>-6.9683172413793132E-3</v>
      </c>
      <c r="CC113">
        <v>289.99999999999989</v>
      </c>
      <c r="CD113">
        <v>1057.69</v>
      </c>
      <c r="CE113">
        <v>635</v>
      </c>
      <c r="CF113">
        <v>10205.6</v>
      </c>
      <c r="CG113">
        <v>1064.07</v>
      </c>
      <c r="CH113">
        <v>-6.38</v>
      </c>
      <c r="CV113">
        <f t="shared" ref="CV113:CV128" si="180">$B$11*DT113+$C$11*DU113+$F$11*EF113*(1-EI113)</f>
        <v>1799.89</v>
      </c>
      <c r="CW113">
        <f t="shared" ref="CW113:CW144" si="181">CV113*CX113</f>
        <v>1513.0919998289096</v>
      </c>
      <c r="CX113">
        <f t="shared" ref="CX113:CX128" si="182">($B$11*$D$9+$C$11*$D$9+$F$11*((ES113+EK113)/MAX(ES113+EK113+ET113, 0.1)*$I$9+ET113/MAX(ES113+EK113+ET113, 0.1)*$J$9))/($B$11+$C$11+$F$11)</f>
        <v>0.84065804011851253</v>
      </c>
      <c r="CY113">
        <f t="shared" ref="CY113:CY128" si="183">($B$11*$K$9+$C$11*$K$9+$F$11*((ES113+EK113)/MAX(ES113+EK113+ET113, 0.1)*$P$9+ET113/MAX(ES113+EK113+ET113, 0.1)*$Q$9))/($B$11+$C$11+$F$11)</f>
        <v>0.19131608023702512</v>
      </c>
      <c r="CZ113">
        <v>6</v>
      </c>
      <c r="DA113">
        <v>0.5</v>
      </c>
      <c r="DB113" t="s">
        <v>418</v>
      </c>
      <c r="DC113">
        <v>2</v>
      </c>
      <c r="DD113">
        <v>1674597620.5999999</v>
      </c>
      <c r="DE113">
        <v>1123.1199999999999</v>
      </c>
      <c r="DF113">
        <v>1200.05</v>
      </c>
      <c r="DG113">
        <v>24.848500000000001</v>
      </c>
      <c r="DH113">
        <v>18.067299999999999</v>
      </c>
      <c r="DI113">
        <v>1124.57</v>
      </c>
      <c r="DJ113">
        <v>24.610600000000002</v>
      </c>
      <c r="DK113">
        <v>500.03899999999999</v>
      </c>
      <c r="DL113">
        <v>99.595399999999998</v>
      </c>
      <c r="DM113">
        <v>0.100352</v>
      </c>
      <c r="DN113">
        <v>28.001100000000001</v>
      </c>
      <c r="DO113">
        <v>27.427399999999999</v>
      </c>
      <c r="DP113">
        <v>999.9</v>
      </c>
      <c r="DQ113">
        <v>0</v>
      </c>
      <c r="DR113">
        <v>0</v>
      </c>
      <c r="DS113">
        <v>9985</v>
      </c>
      <c r="DT113">
        <v>0</v>
      </c>
      <c r="DU113">
        <v>391.25799999999998</v>
      </c>
      <c r="DV113">
        <v>-76.937700000000007</v>
      </c>
      <c r="DW113">
        <v>1151.73</v>
      </c>
      <c r="DX113">
        <v>1222.1300000000001</v>
      </c>
      <c r="DY113">
        <v>6.7811399999999997</v>
      </c>
      <c r="DZ113">
        <v>1200.05</v>
      </c>
      <c r="EA113">
        <v>18.067299999999999</v>
      </c>
      <c r="EB113">
        <v>2.47479</v>
      </c>
      <c r="EC113">
        <v>1.79942</v>
      </c>
      <c r="ED113">
        <v>20.861699999999999</v>
      </c>
      <c r="EE113">
        <v>15.7818</v>
      </c>
      <c r="EF113">
        <v>1799.89</v>
      </c>
      <c r="EG113">
        <v>0.97800399999999998</v>
      </c>
      <c r="EH113">
        <v>2.1995600000000001E-2</v>
      </c>
      <c r="EI113">
        <v>0</v>
      </c>
      <c r="EJ113">
        <v>756.65899999999999</v>
      </c>
      <c r="EK113">
        <v>5.0002599999999999</v>
      </c>
      <c r="EL113">
        <v>13764.6</v>
      </c>
      <c r="EM113">
        <v>17102.3</v>
      </c>
      <c r="EN113">
        <v>49.811999999999998</v>
      </c>
      <c r="EO113">
        <v>51.186999999999998</v>
      </c>
      <c r="EP113">
        <v>50.75</v>
      </c>
      <c r="EQ113">
        <v>50.436999999999998</v>
      </c>
      <c r="ER113">
        <v>51</v>
      </c>
      <c r="ES113">
        <v>1755.41</v>
      </c>
      <c r="ET113">
        <v>39.479999999999997</v>
      </c>
      <c r="EU113">
        <v>0</v>
      </c>
      <c r="EV113">
        <v>122</v>
      </c>
      <c r="EW113">
        <v>0</v>
      </c>
      <c r="EX113">
        <v>756.86873076923087</v>
      </c>
      <c r="EY113">
        <v>1.2009914554353609</v>
      </c>
      <c r="EZ113">
        <v>18.800000000055729</v>
      </c>
      <c r="FA113">
        <v>13762.688461538461</v>
      </c>
      <c r="FB113">
        <v>15</v>
      </c>
      <c r="FC113">
        <v>1674597580.5999999</v>
      </c>
      <c r="FD113" t="s">
        <v>913</v>
      </c>
      <c r="FE113">
        <v>1674597580.5999999</v>
      </c>
      <c r="FF113">
        <v>1674597579.5999999</v>
      </c>
      <c r="FG113">
        <v>107</v>
      </c>
      <c r="FH113">
        <v>-0.13300000000000001</v>
      </c>
      <c r="FI113">
        <v>1E-3</v>
      </c>
      <c r="FJ113">
        <v>-1.4890000000000001</v>
      </c>
      <c r="FK113">
        <v>7.0999999999999994E-2</v>
      </c>
      <c r="FL113">
        <v>1200</v>
      </c>
      <c r="FM113">
        <v>18</v>
      </c>
      <c r="FN113">
        <v>0.03</v>
      </c>
      <c r="FO113">
        <v>0.02</v>
      </c>
      <c r="FP113">
        <v>57.587868020818881</v>
      </c>
      <c r="FQ113">
        <v>-0.61522800955610046</v>
      </c>
      <c r="FR113">
        <v>0.10729535510643599</v>
      </c>
      <c r="FS113">
        <v>1</v>
      </c>
      <c r="FT113">
        <v>0.51602732320490241</v>
      </c>
      <c r="FU113">
        <v>1.3493562044466339E-2</v>
      </c>
      <c r="FV113">
        <v>2.240412796321342E-3</v>
      </c>
      <c r="FW113">
        <v>1</v>
      </c>
      <c r="FX113">
        <v>2</v>
      </c>
      <c r="FY113">
        <v>2</v>
      </c>
      <c r="FZ113" t="s">
        <v>420</v>
      </c>
      <c r="GA113">
        <v>2.9279299999999999</v>
      </c>
      <c r="GB113">
        <v>2.80714</v>
      </c>
      <c r="GC113">
        <v>0.20110700000000001</v>
      </c>
      <c r="GD113">
        <v>0.21184800000000001</v>
      </c>
      <c r="GE113">
        <v>0.11468200000000001</v>
      </c>
      <c r="GF113">
        <v>9.3149399999999993E-2</v>
      </c>
      <c r="GG113">
        <v>23711.9</v>
      </c>
      <c r="GH113">
        <v>23762.9</v>
      </c>
      <c r="GI113">
        <v>28200.7</v>
      </c>
      <c r="GJ113">
        <v>27176.7</v>
      </c>
      <c r="GK113">
        <v>35840.199999999997</v>
      </c>
      <c r="GL113">
        <v>32548.9</v>
      </c>
      <c r="GM113">
        <v>41991.5</v>
      </c>
      <c r="GN113">
        <v>36878.5</v>
      </c>
      <c r="GO113">
        <v>1.9246300000000001</v>
      </c>
      <c r="GP113">
        <v>1.88775</v>
      </c>
      <c r="GQ113">
        <v>4.6733799999999999E-2</v>
      </c>
      <c r="GR113">
        <v>0</v>
      </c>
      <c r="GS113">
        <v>26.6632</v>
      </c>
      <c r="GT113">
        <v>999.9</v>
      </c>
      <c r="GU113">
        <v>49.5</v>
      </c>
      <c r="GV113">
        <v>34.9</v>
      </c>
      <c r="GW113">
        <v>27.920400000000001</v>
      </c>
      <c r="GX113">
        <v>61.631900000000002</v>
      </c>
      <c r="GY113">
        <v>26.963100000000001</v>
      </c>
      <c r="GZ113">
        <v>1</v>
      </c>
      <c r="HA113">
        <v>0.432647</v>
      </c>
      <c r="HB113">
        <v>3.2959999999999998</v>
      </c>
      <c r="HC113">
        <v>20.315300000000001</v>
      </c>
      <c r="HD113">
        <v>5.2398999999999996</v>
      </c>
      <c r="HE113">
        <v>11.9381</v>
      </c>
      <c r="HF113">
        <v>4.9735500000000004</v>
      </c>
      <c r="HG113">
        <v>3.2989999999999999</v>
      </c>
      <c r="HH113">
        <v>9999</v>
      </c>
      <c r="HI113">
        <v>9999</v>
      </c>
      <c r="HJ113">
        <v>9999</v>
      </c>
      <c r="HK113">
        <v>999.9</v>
      </c>
      <c r="HL113">
        <v>1.8733200000000001</v>
      </c>
      <c r="HM113">
        <v>1.8810800000000001</v>
      </c>
      <c r="HN113">
        <v>1.8846099999999999</v>
      </c>
      <c r="HO113">
        <v>1.88127</v>
      </c>
      <c r="HP113">
        <v>1.87866</v>
      </c>
      <c r="HQ113">
        <v>1.8733500000000001</v>
      </c>
      <c r="HR113">
        <v>1.87622</v>
      </c>
      <c r="HS113">
        <v>1.8804799999999999</v>
      </c>
      <c r="HT113">
        <v>5</v>
      </c>
      <c r="HU113">
        <v>0</v>
      </c>
      <c r="HV113">
        <v>0</v>
      </c>
      <c r="HW113">
        <v>0</v>
      </c>
      <c r="HX113" t="s">
        <v>421</v>
      </c>
      <c r="HY113" t="s">
        <v>422</v>
      </c>
      <c r="HZ113" t="s">
        <v>423</v>
      </c>
      <c r="IA113" t="s">
        <v>423</v>
      </c>
      <c r="IB113" t="s">
        <v>423</v>
      </c>
      <c r="IC113" t="s">
        <v>423</v>
      </c>
      <c r="ID113">
        <v>0</v>
      </c>
      <c r="IE113">
        <v>100</v>
      </c>
      <c r="IF113">
        <v>100</v>
      </c>
      <c r="IG113">
        <v>-1.45</v>
      </c>
      <c r="IH113">
        <v>0.2379</v>
      </c>
      <c r="II113">
        <v>-1.185648854957974</v>
      </c>
      <c r="IJ113">
        <v>9.4905977090923709E-4</v>
      </c>
      <c r="IK113">
        <v>-1.9106666302146479E-6</v>
      </c>
      <c r="IL113">
        <v>7.5819610513223293E-10</v>
      </c>
      <c r="IM113">
        <v>-5.8854826412491679E-2</v>
      </c>
      <c r="IN113">
        <v>-1.0595840490420019E-2</v>
      </c>
      <c r="IO113">
        <v>1.2407080968752471E-3</v>
      </c>
      <c r="IP113">
        <v>-1.3015442653884381E-5</v>
      </c>
      <c r="IQ113">
        <v>33</v>
      </c>
      <c r="IR113">
        <v>2014</v>
      </c>
      <c r="IS113">
        <v>1</v>
      </c>
      <c r="IT113">
        <v>26</v>
      </c>
      <c r="IU113">
        <v>0.7</v>
      </c>
      <c r="IV113">
        <v>0.7</v>
      </c>
      <c r="IW113">
        <v>2.4719199999999999</v>
      </c>
      <c r="IX113">
        <v>2.5097700000000001</v>
      </c>
      <c r="IY113">
        <v>1.5991200000000001</v>
      </c>
      <c r="IZ113">
        <v>2.2973599999999998</v>
      </c>
      <c r="JA113">
        <v>1.5502899999999999</v>
      </c>
      <c r="JB113">
        <v>2.2656200000000002</v>
      </c>
      <c r="JC113">
        <v>38.452399999999997</v>
      </c>
      <c r="JD113">
        <v>24.052499999999998</v>
      </c>
      <c r="JE113">
        <v>18</v>
      </c>
      <c r="JF113">
        <v>487.69600000000003</v>
      </c>
      <c r="JG113">
        <v>498.16500000000002</v>
      </c>
      <c r="JH113">
        <v>22.450600000000001</v>
      </c>
      <c r="JI113">
        <v>32.612699999999997</v>
      </c>
      <c r="JJ113">
        <v>30.0002</v>
      </c>
      <c r="JK113">
        <v>32.6646</v>
      </c>
      <c r="JL113">
        <v>32.6218</v>
      </c>
      <c r="JM113">
        <v>49.535499999999999</v>
      </c>
      <c r="JN113">
        <v>42.256399999999999</v>
      </c>
      <c r="JO113">
        <v>0</v>
      </c>
      <c r="JP113">
        <v>22.480399999999999</v>
      </c>
      <c r="JQ113">
        <v>1200</v>
      </c>
      <c r="JR113">
        <v>18.002400000000002</v>
      </c>
      <c r="JS113">
        <v>99.557699999999997</v>
      </c>
      <c r="JT113">
        <v>98.737300000000005</v>
      </c>
    </row>
    <row r="114" spans="1:280" x14ac:dyDescent="0.25">
      <c r="A114">
        <v>98</v>
      </c>
      <c r="B114">
        <v>1674597734.5999999</v>
      </c>
      <c r="C114">
        <v>22309.599999904629</v>
      </c>
      <c r="D114" t="s">
        <v>914</v>
      </c>
      <c r="E114" t="s">
        <v>915</v>
      </c>
      <c r="F114" t="s">
        <v>412</v>
      </c>
      <c r="G114" t="s">
        <v>850</v>
      </c>
      <c r="H114" t="s">
        <v>565</v>
      </c>
      <c r="I114">
        <v>1674597734.5999999</v>
      </c>
      <c r="J114">
        <f t="shared" si="138"/>
        <v>5.5205203105157209E-3</v>
      </c>
      <c r="K114">
        <f t="shared" si="139"/>
        <v>5.520520310515721</v>
      </c>
      <c r="L114">
        <f t="shared" si="140"/>
        <v>56.54089703658893</v>
      </c>
      <c r="M114">
        <f t="shared" si="141"/>
        <v>1422.83</v>
      </c>
      <c r="N114">
        <f t="shared" si="142"/>
        <v>1195.4610770772117</v>
      </c>
      <c r="O114">
        <f t="shared" si="143"/>
        <v>119.185170752039</v>
      </c>
      <c r="P114">
        <f t="shared" si="144"/>
        <v>141.853415182476</v>
      </c>
      <c r="Q114">
        <f t="shared" si="145"/>
        <v>0.48362980367150776</v>
      </c>
      <c r="R114">
        <f t="shared" si="146"/>
        <v>2.9412708268007615</v>
      </c>
      <c r="S114">
        <f t="shared" si="147"/>
        <v>0.44340122832754275</v>
      </c>
      <c r="T114">
        <f t="shared" si="148"/>
        <v>0.28046076285089894</v>
      </c>
      <c r="U114">
        <f t="shared" si="149"/>
        <v>344.33839965780965</v>
      </c>
      <c r="V114">
        <f t="shared" si="150"/>
        <v>28.592912125313664</v>
      </c>
      <c r="W114">
        <f t="shared" si="151"/>
        <v>27.469200000000001</v>
      </c>
      <c r="X114">
        <f t="shared" si="152"/>
        <v>3.6789859631430066</v>
      </c>
      <c r="Y114">
        <f t="shared" si="153"/>
        <v>65.244787436027309</v>
      </c>
      <c r="Z114">
        <f t="shared" si="154"/>
        <v>2.4760216868774401</v>
      </c>
      <c r="AA114">
        <f t="shared" si="155"/>
        <v>3.7949724172297841</v>
      </c>
      <c r="AB114">
        <f t="shared" si="156"/>
        <v>1.2029642762655666</v>
      </c>
      <c r="AC114">
        <f t="shared" si="157"/>
        <v>-243.4549456937433</v>
      </c>
      <c r="AD114">
        <f t="shared" si="158"/>
        <v>84.263987901615749</v>
      </c>
      <c r="AE114">
        <f t="shared" si="159"/>
        <v>6.2283072931720502</v>
      </c>
      <c r="AF114">
        <f t="shared" si="160"/>
        <v>191.37574915885415</v>
      </c>
      <c r="AG114">
        <v>0</v>
      </c>
      <c r="AH114">
        <v>0</v>
      </c>
      <c r="AI114">
        <f t="shared" si="161"/>
        <v>1</v>
      </c>
      <c r="AJ114">
        <f t="shared" si="162"/>
        <v>0</v>
      </c>
      <c r="AK114">
        <f t="shared" si="163"/>
        <v>53030.419253442175</v>
      </c>
      <c r="AL114" t="s">
        <v>415</v>
      </c>
      <c r="AM114">
        <v>10297.6</v>
      </c>
      <c r="AN114">
        <v>785.57400000000007</v>
      </c>
      <c r="AO114">
        <v>3597.65</v>
      </c>
      <c r="AP114">
        <f t="shared" si="164"/>
        <v>0.7816424610509638</v>
      </c>
      <c r="AQ114">
        <v>-0.62398835798131469</v>
      </c>
      <c r="AR114" t="s">
        <v>916</v>
      </c>
      <c r="AS114">
        <v>10220.4</v>
      </c>
      <c r="AT114">
        <v>757.64165384615376</v>
      </c>
      <c r="AU114">
        <v>1182.5197202750769</v>
      </c>
      <c r="AV114">
        <f t="shared" si="165"/>
        <v>0.35929892681205211</v>
      </c>
      <c r="AW114">
        <v>0.5</v>
      </c>
      <c r="AX114">
        <f t="shared" si="166"/>
        <v>1513.0499998289047</v>
      </c>
      <c r="AY114">
        <f t="shared" si="167"/>
        <v>56.54089703658893</v>
      </c>
      <c r="AZ114">
        <f t="shared" si="168"/>
        <v>271.81862057575051</v>
      </c>
      <c r="BA114">
        <f t="shared" si="169"/>
        <v>3.7781226926429691E-2</v>
      </c>
      <c r="BB114">
        <f t="shared" si="170"/>
        <v>2.0423594112774013</v>
      </c>
      <c r="BC114">
        <f t="shared" si="171"/>
        <v>543.28716881960565</v>
      </c>
      <c r="BD114" t="s">
        <v>917</v>
      </c>
      <c r="BE114">
        <v>586.37</v>
      </c>
      <c r="BF114">
        <f t="shared" si="172"/>
        <v>586.37</v>
      </c>
      <c r="BG114">
        <f t="shared" si="173"/>
        <v>0.5041351193165734</v>
      </c>
      <c r="BH114">
        <f t="shared" si="174"/>
        <v>0.71270362457416714</v>
      </c>
      <c r="BI114">
        <f t="shared" si="175"/>
        <v>0.80202780203930657</v>
      </c>
      <c r="BJ114">
        <f t="shared" si="176"/>
        <v>1.0703681756147658</v>
      </c>
      <c r="BK114">
        <f t="shared" si="177"/>
        <v>0.85884246361937699</v>
      </c>
      <c r="BL114">
        <f t="shared" si="178"/>
        <v>0.55159061308212409</v>
      </c>
      <c r="BM114">
        <f t="shared" si="179"/>
        <v>0.44840938691787591</v>
      </c>
      <c r="BN114">
        <v>195</v>
      </c>
      <c r="BO114">
        <v>290.00000000000011</v>
      </c>
      <c r="BP114">
        <v>1064.77</v>
      </c>
      <c r="BQ114">
        <v>275</v>
      </c>
      <c r="BR114">
        <v>10220.4</v>
      </c>
      <c r="BS114">
        <v>1064.76</v>
      </c>
      <c r="BT114">
        <v>0.01</v>
      </c>
      <c r="BU114">
        <v>300.00000000000011</v>
      </c>
      <c r="BV114">
        <v>24.1</v>
      </c>
      <c r="BW114">
        <v>1182.5197202750769</v>
      </c>
      <c r="BX114">
        <v>1.5428804789706041</v>
      </c>
      <c r="BY114">
        <v>-120.357151232153</v>
      </c>
      <c r="BZ114">
        <v>1.4047448387054231</v>
      </c>
      <c r="CA114">
        <v>0.99620024350886571</v>
      </c>
      <c r="CB114">
        <v>-6.9682547274749788E-3</v>
      </c>
      <c r="CC114">
        <v>289.99999999999989</v>
      </c>
      <c r="CD114">
        <v>1059.72</v>
      </c>
      <c r="CE114">
        <v>645</v>
      </c>
      <c r="CF114">
        <v>10204.6</v>
      </c>
      <c r="CG114">
        <v>1064.58</v>
      </c>
      <c r="CH114">
        <v>-4.8600000000000003</v>
      </c>
      <c r="CV114">
        <f t="shared" si="180"/>
        <v>1799.84</v>
      </c>
      <c r="CW114">
        <f t="shared" si="181"/>
        <v>1513.0499998289047</v>
      </c>
      <c r="CX114">
        <f t="shared" si="182"/>
        <v>0.84065805839902696</v>
      </c>
      <c r="CY114">
        <f t="shared" si="183"/>
        <v>0.19131611679805408</v>
      </c>
      <c r="CZ114">
        <v>6</v>
      </c>
      <c r="DA114">
        <v>0.5</v>
      </c>
      <c r="DB114" t="s">
        <v>418</v>
      </c>
      <c r="DC114">
        <v>2</v>
      </c>
      <c r="DD114">
        <v>1674597734.5999999</v>
      </c>
      <c r="DE114">
        <v>1422.83</v>
      </c>
      <c r="DF114">
        <v>1500.1</v>
      </c>
      <c r="DG114">
        <v>24.8352</v>
      </c>
      <c r="DH114">
        <v>18.375499999999999</v>
      </c>
      <c r="DI114">
        <v>1424.53</v>
      </c>
      <c r="DJ114">
        <v>24.598099999999999</v>
      </c>
      <c r="DK114">
        <v>500.03100000000001</v>
      </c>
      <c r="DL114">
        <v>99.599000000000004</v>
      </c>
      <c r="DM114">
        <v>9.9077200000000004E-2</v>
      </c>
      <c r="DN114">
        <v>28.000599999999999</v>
      </c>
      <c r="DO114">
        <v>27.469200000000001</v>
      </c>
      <c r="DP114">
        <v>999.9</v>
      </c>
      <c r="DQ114">
        <v>0</v>
      </c>
      <c r="DR114">
        <v>0</v>
      </c>
      <c r="DS114">
        <v>10107.5</v>
      </c>
      <c r="DT114">
        <v>0</v>
      </c>
      <c r="DU114">
        <v>391.423</v>
      </c>
      <c r="DV114">
        <v>-77.270399999999995</v>
      </c>
      <c r="DW114">
        <v>1459.06</v>
      </c>
      <c r="DX114">
        <v>1528.18</v>
      </c>
      <c r="DY114">
        <v>6.4597100000000003</v>
      </c>
      <c r="DZ114">
        <v>1500.1</v>
      </c>
      <c r="EA114">
        <v>18.375499999999999</v>
      </c>
      <c r="EB114">
        <v>2.47356</v>
      </c>
      <c r="EC114">
        <v>1.8301799999999999</v>
      </c>
      <c r="ED114">
        <v>20.8536</v>
      </c>
      <c r="EE114">
        <v>16.047000000000001</v>
      </c>
      <c r="EF114">
        <v>1799.84</v>
      </c>
      <c r="EG114">
        <v>0.97800399999999998</v>
      </c>
      <c r="EH114">
        <v>2.1995600000000001E-2</v>
      </c>
      <c r="EI114">
        <v>0</v>
      </c>
      <c r="EJ114">
        <v>757.68899999999996</v>
      </c>
      <c r="EK114">
        <v>5.0002599999999999</v>
      </c>
      <c r="EL114">
        <v>13773.9</v>
      </c>
      <c r="EM114">
        <v>17101.8</v>
      </c>
      <c r="EN114">
        <v>49.811999999999998</v>
      </c>
      <c r="EO114">
        <v>51.186999999999998</v>
      </c>
      <c r="EP114">
        <v>50.811999999999998</v>
      </c>
      <c r="EQ114">
        <v>50.375</v>
      </c>
      <c r="ER114">
        <v>51.061999999999998</v>
      </c>
      <c r="ES114">
        <v>1755.36</v>
      </c>
      <c r="ET114">
        <v>39.479999999999997</v>
      </c>
      <c r="EU114">
        <v>0</v>
      </c>
      <c r="EV114">
        <v>111.7999999523163</v>
      </c>
      <c r="EW114">
        <v>0</v>
      </c>
      <c r="EX114">
        <v>757.64165384615376</v>
      </c>
      <c r="EY114">
        <v>1.093367533029503</v>
      </c>
      <c r="EZ114">
        <v>5.3504272459180839</v>
      </c>
      <c r="FA114">
        <v>13774.434615384611</v>
      </c>
      <c r="FB114">
        <v>15</v>
      </c>
      <c r="FC114">
        <v>1674597695.0999999</v>
      </c>
      <c r="FD114" t="s">
        <v>918</v>
      </c>
      <c r="FE114">
        <v>1674597695.0999999</v>
      </c>
      <c r="FF114">
        <v>1674597694.0999999</v>
      </c>
      <c r="FG114">
        <v>108</v>
      </c>
      <c r="FH114">
        <v>-0.189</v>
      </c>
      <c r="FI114">
        <v>0</v>
      </c>
      <c r="FJ114">
        <v>-1.69</v>
      </c>
      <c r="FK114">
        <v>7.3999999999999996E-2</v>
      </c>
      <c r="FL114">
        <v>1500</v>
      </c>
      <c r="FM114">
        <v>18</v>
      </c>
      <c r="FN114">
        <v>0.06</v>
      </c>
      <c r="FO114">
        <v>0.02</v>
      </c>
      <c r="FP114">
        <v>56.420642927297692</v>
      </c>
      <c r="FQ114">
        <v>-0.22567588857756909</v>
      </c>
      <c r="FR114">
        <v>8.4975918862982502E-2</v>
      </c>
      <c r="FS114">
        <v>1</v>
      </c>
      <c r="FT114">
        <v>0.48731252058311719</v>
      </c>
      <c r="FU114">
        <v>-5.3332984859707864E-3</v>
      </c>
      <c r="FV114">
        <v>2.542770642438606E-3</v>
      </c>
      <c r="FW114">
        <v>1</v>
      </c>
      <c r="FX114">
        <v>2</v>
      </c>
      <c r="FY114">
        <v>2</v>
      </c>
      <c r="FZ114" t="s">
        <v>420</v>
      </c>
      <c r="GA114">
        <v>2.9278400000000002</v>
      </c>
      <c r="GB114">
        <v>2.8069600000000001</v>
      </c>
      <c r="GC114">
        <v>0.23318700000000001</v>
      </c>
      <c r="GD114">
        <v>0.24321499999999999</v>
      </c>
      <c r="GE114">
        <v>0.114635</v>
      </c>
      <c r="GF114">
        <v>9.4275200000000003E-2</v>
      </c>
      <c r="GG114">
        <v>22755.200000000001</v>
      </c>
      <c r="GH114">
        <v>22812</v>
      </c>
      <c r="GI114">
        <v>28198.5</v>
      </c>
      <c r="GJ114">
        <v>27173.8</v>
      </c>
      <c r="GK114">
        <v>35839.699999999997</v>
      </c>
      <c r="GL114">
        <v>32505.8</v>
      </c>
      <c r="GM114">
        <v>41988.3</v>
      </c>
      <c r="GN114">
        <v>36875.199999999997</v>
      </c>
      <c r="GO114">
        <v>1.92395</v>
      </c>
      <c r="GP114">
        <v>1.88853</v>
      </c>
      <c r="GQ114">
        <v>5.0254199999999999E-2</v>
      </c>
      <c r="GR114">
        <v>0</v>
      </c>
      <c r="GS114">
        <v>26.647400000000001</v>
      </c>
      <c r="GT114">
        <v>999.9</v>
      </c>
      <c r="GU114">
        <v>49.6</v>
      </c>
      <c r="GV114">
        <v>34.9</v>
      </c>
      <c r="GW114">
        <v>27.972999999999999</v>
      </c>
      <c r="GX114">
        <v>59.801900000000003</v>
      </c>
      <c r="GY114">
        <v>27.019200000000001</v>
      </c>
      <c r="GZ114">
        <v>1</v>
      </c>
      <c r="HA114">
        <v>0.43648599999999999</v>
      </c>
      <c r="HB114">
        <v>3.38435</v>
      </c>
      <c r="HC114">
        <v>20.313400000000001</v>
      </c>
      <c r="HD114">
        <v>5.2401999999999997</v>
      </c>
      <c r="HE114">
        <v>11.9381</v>
      </c>
      <c r="HF114">
        <v>4.9736000000000002</v>
      </c>
      <c r="HG114">
        <v>3.2989999999999999</v>
      </c>
      <c r="HH114">
        <v>9999</v>
      </c>
      <c r="HI114">
        <v>9999</v>
      </c>
      <c r="HJ114">
        <v>9999</v>
      </c>
      <c r="HK114">
        <v>999.9</v>
      </c>
      <c r="HL114">
        <v>1.8733200000000001</v>
      </c>
      <c r="HM114">
        <v>1.88107</v>
      </c>
      <c r="HN114">
        <v>1.8846099999999999</v>
      </c>
      <c r="HO114">
        <v>1.8812599999999999</v>
      </c>
      <c r="HP114">
        <v>1.8786499999999999</v>
      </c>
      <c r="HQ114">
        <v>1.8733299999999999</v>
      </c>
      <c r="HR114">
        <v>1.8762099999999999</v>
      </c>
      <c r="HS114">
        <v>1.8804799999999999</v>
      </c>
      <c r="HT114">
        <v>5</v>
      </c>
      <c r="HU114">
        <v>0</v>
      </c>
      <c r="HV114">
        <v>0</v>
      </c>
      <c r="HW114">
        <v>0</v>
      </c>
      <c r="HX114" t="s">
        <v>421</v>
      </c>
      <c r="HY114" t="s">
        <v>422</v>
      </c>
      <c r="HZ114" t="s">
        <v>423</v>
      </c>
      <c r="IA114" t="s">
        <v>423</v>
      </c>
      <c r="IB114" t="s">
        <v>423</v>
      </c>
      <c r="IC114" t="s">
        <v>423</v>
      </c>
      <c r="ID114">
        <v>0</v>
      </c>
      <c r="IE114">
        <v>100</v>
      </c>
      <c r="IF114">
        <v>100</v>
      </c>
      <c r="IG114">
        <v>-1.7</v>
      </c>
      <c r="IH114">
        <v>0.23710000000000001</v>
      </c>
      <c r="II114">
        <v>-1.3747514169922901</v>
      </c>
      <c r="IJ114">
        <v>9.4905977090923709E-4</v>
      </c>
      <c r="IK114">
        <v>-1.9106666302146479E-6</v>
      </c>
      <c r="IL114">
        <v>7.5819610513223293E-10</v>
      </c>
      <c r="IM114">
        <v>-5.9225305483610692E-2</v>
      </c>
      <c r="IN114">
        <v>-1.0595840490420019E-2</v>
      </c>
      <c r="IO114">
        <v>1.2407080968752471E-3</v>
      </c>
      <c r="IP114">
        <v>-1.3015442653884381E-5</v>
      </c>
      <c r="IQ114">
        <v>33</v>
      </c>
      <c r="IR114">
        <v>2014</v>
      </c>
      <c r="IS114">
        <v>1</v>
      </c>
      <c r="IT114">
        <v>26</v>
      </c>
      <c r="IU114">
        <v>0.7</v>
      </c>
      <c r="IV114">
        <v>0.7</v>
      </c>
      <c r="IW114">
        <v>2.96997</v>
      </c>
      <c r="IX114">
        <v>2.49878</v>
      </c>
      <c r="IY114">
        <v>1.5991200000000001</v>
      </c>
      <c r="IZ114">
        <v>2.2973599999999998</v>
      </c>
      <c r="JA114">
        <v>1.5502899999999999</v>
      </c>
      <c r="JB114">
        <v>2.2570800000000002</v>
      </c>
      <c r="JC114">
        <v>38.476900000000001</v>
      </c>
      <c r="JD114">
        <v>24.061199999999999</v>
      </c>
      <c r="JE114">
        <v>18</v>
      </c>
      <c r="JF114">
        <v>487.56700000000001</v>
      </c>
      <c r="JG114">
        <v>499.03899999999999</v>
      </c>
      <c r="JH114">
        <v>22.449300000000001</v>
      </c>
      <c r="JI114">
        <v>32.653199999999998</v>
      </c>
      <c r="JJ114">
        <v>30.000299999999999</v>
      </c>
      <c r="JK114">
        <v>32.703299999999999</v>
      </c>
      <c r="JL114">
        <v>32.661499999999997</v>
      </c>
      <c r="JM114">
        <v>59.494700000000002</v>
      </c>
      <c r="JN114">
        <v>40.505099999999999</v>
      </c>
      <c r="JO114">
        <v>0</v>
      </c>
      <c r="JP114">
        <v>22.4496</v>
      </c>
      <c r="JQ114">
        <v>1500</v>
      </c>
      <c r="JR114">
        <v>18.306899999999999</v>
      </c>
      <c r="JS114">
        <v>99.5501</v>
      </c>
      <c r="JT114">
        <v>98.727699999999999</v>
      </c>
    </row>
    <row r="115" spans="1:280" x14ac:dyDescent="0.25">
      <c r="A115">
        <v>99</v>
      </c>
      <c r="B115">
        <v>1674599169.5999999</v>
      </c>
      <c r="C115">
        <v>23744.599999904629</v>
      </c>
      <c r="D115" t="s">
        <v>919</v>
      </c>
      <c r="E115" t="s">
        <v>920</v>
      </c>
      <c r="F115" t="s">
        <v>412</v>
      </c>
      <c r="G115" t="s">
        <v>921</v>
      </c>
      <c r="H115" t="s">
        <v>637</v>
      </c>
      <c r="I115">
        <v>1674599169.5999999</v>
      </c>
      <c r="J115">
        <f t="shared" si="138"/>
        <v>5.3517021288814626E-3</v>
      </c>
      <c r="K115">
        <f t="shared" si="139"/>
        <v>5.3517021288814624</v>
      </c>
      <c r="L115">
        <f t="shared" si="140"/>
        <v>50.448582931715414</v>
      </c>
      <c r="M115">
        <f t="shared" si="141"/>
        <v>337.35300000000001</v>
      </c>
      <c r="N115">
        <f t="shared" si="142"/>
        <v>149.53044289453999</v>
      </c>
      <c r="O115">
        <f t="shared" si="143"/>
        <v>14.906672715967934</v>
      </c>
      <c r="P115">
        <f t="shared" si="144"/>
        <v>33.630681909346194</v>
      </c>
      <c r="Q115">
        <f t="shared" si="145"/>
        <v>0.47469481554383247</v>
      </c>
      <c r="R115">
        <f t="shared" si="146"/>
        <v>2.9245398169767567</v>
      </c>
      <c r="S115">
        <f t="shared" si="147"/>
        <v>0.43567254138199718</v>
      </c>
      <c r="T115">
        <f t="shared" si="148"/>
        <v>0.27553352114988811</v>
      </c>
      <c r="U115">
        <f t="shared" si="149"/>
        <v>344.39979965778383</v>
      </c>
      <c r="V115">
        <f t="shared" si="150"/>
        <v>28.631475484078397</v>
      </c>
      <c r="W115">
        <f t="shared" si="151"/>
        <v>27.412800000000001</v>
      </c>
      <c r="X115">
        <f t="shared" si="152"/>
        <v>3.6668593218088241</v>
      </c>
      <c r="Y115">
        <f t="shared" si="153"/>
        <v>65.384723158415966</v>
      </c>
      <c r="Z115">
        <f t="shared" si="154"/>
        <v>2.4800450930270399</v>
      </c>
      <c r="AA115">
        <f t="shared" si="155"/>
        <v>3.7930038902486687</v>
      </c>
      <c r="AB115">
        <f t="shared" si="156"/>
        <v>1.1868142287817842</v>
      </c>
      <c r="AC115">
        <f t="shared" si="157"/>
        <v>-236.0100638836725</v>
      </c>
      <c r="AD115">
        <f t="shared" si="158"/>
        <v>91.273883985779534</v>
      </c>
      <c r="AE115">
        <f t="shared" si="159"/>
        <v>6.7828253759486206</v>
      </c>
      <c r="AF115">
        <f t="shared" si="160"/>
        <v>206.4464451358395</v>
      </c>
      <c r="AG115">
        <v>0</v>
      </c>
      <c r="AH115">
        <v>0</v>
      </c>
      <c r="AI115">
        <f t="shared" si="161"/>
        <v>1</v>
      </c>
      <c r="AJ115">
        <f t="shared" si="162"/>
        <v>0</v>
      </c>
      <c r="AK115">
        <f t="shared" si="163"/>
        <v>52549.891945135278</v>
      </c>
      <c r="AL115" t="s">
        <v>415</v>
      </c>
      <c r="AM115">
        <v>10297.6</v>
      </c>
      <c r="AN115">
        <v>785.57400000000007</v>
      </c>
      <c r="AO115">
        <v>3597.65</v>
      </c>
      <c r="AP115">
        <f t="shared" si="164"/>
        <v>0.7816424610509638</v>
      </c>
      <c r="AQ115">
        <v>-0.62398835798131469</v>
      </c>
      <c r="AR115" t="s">
        <v>922</v>
      </c>
      <c r="AS115">
        <v>10238.799999999999</v>
      </c>
      <c r="AT115">
        <v>787.3090400000001</v>
      </c>
      <c r="AU115">
        <v>1194.946569202466</v>
      </c>
      <c r="AV115">
        <f t="shared" si="165"/>
        <v>0.34113452409385325</v>
      </c>
      <c r="AW115">
        <v>0.5</v>
      </c>
      <c r="AX115">
        <f t="shared" si="166"/>
        <v>1513.3190998288919</v>
      </c>
      <c r="AY115">
        <f t="shared" si="167"/>
        <v>50.448582931715414</v>
      </c>
      <c r="AZ115">
        <f t="shared" si="168"/>
        <v>258.12269546113373</v>
      </c>
      <c r="BA115">
        <f t="shared" si="169"/>
        <v>3.3748712545471349E-2</v>
      </c>
      <c r="BB115">
        <f t="shared" si="170"/>
        <v>2.0107203892816328</v>
      </c>
      <c r="BC115">
        <f t="shared" si="171"/>
        <v>545.89538153708975</v>
      </c>
      <c r="BD115" t="s">
        <v>923</v>
      </c>
      <c r="BE115">
        <v>584.96</v>
      </c>
      <c r="BF115">
        <f t="shared" si="172"/>
        <v>584.96</v>
      </c>
      <c r="BG115">
        <f t="shared" si="173"/>
        <v>0.51047183608350344</v>
      </c>
      <c r="BH115">
        <f t="shared" si="174"/>
        <v>0.66827295842830825</v>
      </c>
      <c r="BI115">
        <f t="shared" si="175"/>
        <v>0.79752760184338056</v>
      </c>
      <c r="BJ115">
        <f t="shared" si="176"/>
        <v>0.99576170918491147</v>
      </c>
      <c r="BK115">
        <f t="shared" si="177"/>
        <v>0.85442336224111082</v>
      </c>
      <c r="BL115">
        <f t="shared" si="178"/>
        <v>0.49651779657226236</v>
      </c>
      <c r="BM115">
        <f t="shared" si="179"/>
        <v>0.50348220342773764</v>
      </c>
      <c r="BN115">
        <v>197</v>
      </c>
      <c r="BO115">
        <v>290.00000000000011</v>
      </c>
      <c r="BP115">
        <v>1083.79</v>
      </c>
      <c r="BQ115">
        <v>155</v>
      </c>
      <c r="BR115">
        <v>10238.799999999999</v>
      </c>
      <c r="BS115">
        <v>1080.0899999999999</v>
      </c>
      <c r="BT115">
        <v>3.7</v>
      </c>
      <c r="BU115">
        <v>300.00000000000011</v>
      </c>
      <c r="BV115">
        <v>24.1</v>
      </c>
      <c r="BW115">
        <v>1194.946569202466</v>
      </c>
      <c r="BX115">
        <v>2.5461704525305882</v>
      </c>
      <c r="BY115">
        <v>-117.60308598510071</v>
      </c>
      <c r="BZ115">
        <v>2.318505627040869</v>
      </c>
      <c r="CA115">
        <v>0.98923445211847283</v>
      </c>
      <c r="CB115">
        <v>-6.9695672969966723E-3</v>
      </c>
      <c r="CC115">
        <v>289.99999999999989</v>
      </c>
      <c r="CD115">
        <v>1075.28</v>
      </c>
      <c r="CE115">
        <v>675</v>
      </c>
      <c r="CF115">
        <v>10203.799999999999</v>
      </c>
      <c r="CG115">
        <v>1079.69</v>
      </c>
      <c r="CH115">
        <v>-4.41</v>
      </c>
      <c r="CV115">
        <f t="shared" si="180"/>
        <v>1800.16</v>
      </c>
      <c r="CW115">
        <f t="shared" si="181"/>
        <v>1513.3190998288919</v>
      </c>
      <c r="CX115">
        <f t="shared" si="182"/>
        <v>0.84065810807311114</v>
      </c>
      <c r="CY115">
        <f t="shared" si="183"/>
        <v>0.19131621614622246</v>
      </c>
      <c r="CZ115">
        <v>6</v>
      </c>
      <c r="DA115">
        <v>0.5</v>
      </c>
      <c r="DB115" t="s">
        <v>418</v>
      </c>
      <c r="DC115">
        <v>2</v>
      </c>
      <c r="DD115">
        <v>1674599169.5999999</v>
      </c>
      <c r="DE115">
        <v>337.35300000000001</v>
      </c>
      <c r="DF115">
        <v>400.04300000000001</v>
      </c>
      <c r="DG115">
        <v>24.877600000000001</v>
      </c>
      <c r="DH115">
        <v>18.616800000000001</v>
      </c>
      <c r="DI115">
        <v>338.02499999999998</v>
      </c>
      <c r="DJ115">
        <v>24.642499999999998</v>
      </c>
      <c r="DK115">
        <v>500.11799999999999</v>
      </c>
      <c r="DL115">
        <v>99.590199999999996</v>
      </c>
      <c r="DM115">
        <v>9.9685399999999993E-2</v>
      </c>
      <c r="DN115">
        <v>27.991700000000002</v>
      </c>
      <c r="DO115">
        <v>27.412800000000001</v>
      </c>
      <c r="DP115">
        <v>999.9</v>
      </c>
      <c r="DQ115">
        <v>0</v>
      </c>
      <c r="DR115">
        <v>0</v>
      </c>
      <c r="DS115">
        <v>10012.5</v>
      </c>
      <c r="DT115">
        <v>0</v>
      </c>
      <c r="DU115">
        <v>329.76900000000001</v>
      </c>
      <c r="DV115">
        <v>-62.689700000000002</v>
      </c>
      <c r="DW115">
        <v>345.96</v>
      </c>
      <c r="DX115">
        <v>407.63200000000001</v>
      </c>
      <c r="DY115">
        <v>6.2607600000000003</v>
      </c>
      <c r="DZ115">
        <v>400.04300000000001</v>
      </c>
      <c r="EA115">
        <v>18.616800000000001</v>
      </c>
      <c r="EB115">
        <v>2.47756</v>
      </c>
      <c r="EC115">
        <v>1.85405</v>
      </c>
      <c r="ED115">
        <v>20.879799999999999</v>
      </c>
      <c r="EE115">
        <v>16.2501</v>
      </c>
      <c r="EF115">
        <v>1800.16</v>
      </c>
      <c r="EG115">
        <v>0.97800399999999998</v>
      </c>
      <c r="EH115">
        <v>2.19957E-2</v>
      </c>
      <c r="EI115">
        <v>0</v>
      </c>
      <c r="EJ115">
        <v>787.26900000000001</v>
      </c>
      <c r="EK115">
        <v>5.0002599999999999</v>
      </c>
      <c r="EL115">
        <v>14402</v>
      </c>
      <c r="EM115">
        <v>17104.900000000001</v>
      </c>
      <c r="EN115">
        <v>49.811999999999998</v>
      </c>
      <c r="EO115">
        <v>51.186999999999998</v>
      </c>
      <c r="EP115">
        <v>50.75</v>
      </c>
      <c r="EQ115">
        <v>50.375</v>
      </c>
      <c r="ER115">
        <v>51</v>
      </c>
      <c r="ES115">
        <v>1755.67</v>
      </c>
      <c r="ET115">
        <v>39.49</v>
      </c>
      <c r="EU115">
        <v>0</v>
      </c>
      <c r="EV115">
        <v>1433</v>
      </c>
      <c r="EW115">
        <v>0</v>
      </c>
      <c r="EX115">
        <v>787.3090400000001</v>
      </c>
      <c r="EY115">
        <v>-2.8538453402239729E-2</v>
      </c>
      <c r="EZ115">
        <v>2.6307693696292538</v>
      </c>
      <c r="FA115">
        <v>14400.124</v>
      </c>
      <c r="FB115">
        <v>15</v>
      </c>
      <c r="FC115">
        <v>1674599131.0999999</v>
      </c>
      <c r="FD115" t="s">
        <v>924</v>
      </c>
      <c r="FE115">
        <v>1674599129.0999999</v>
      </c>
      <c r="FF115">
        <v>1674599131.0999999</v>
      </c>
      <c r="FG115">
        <v>112</v>
      </c>
      <c r="FH115">
        <v>0.109</v>
      </c>
      <c r="FI115">
        <v>7.0000000000000001E-3</v>
      </c>
      <c r="FJ115">
        <v>-0.68100000000000005</v>
      </c>
      <c r="FK115">
        <v>8.5999999999999993E-2</v>
      </c>
      <c r="FL115">
        <v>400</v>
      </c>
      <c r="FM115">
        <v>19</v>
      </c>
      <c r="FN115">
        <v>0.02</v>
      </c>
      <c r="FO115">
        <v>0.01</v>
      </c>
      <c r="FP115">
        <v>50.433176121183003</v>
      </c>
      <c r="FQ115">
        <v>0.1207191583494244</v>
      </c>
      <c r="FR115">
        <v>4.2716012647786059E-2</v>
      </c>
      <c r="FS115">
        <v>1</v>
      </c>
      <c r="FT115">
        <v>0.4746377011720907</v>
      </c>
      <c r="FU115">
        <v>4.2869401503589512E-2</v>
      </c>
      <c r="FV115">
        <v>5.1073433284604883E-3</v>
      </c>
      <c r="FW115">
        <v>1</v>
      </c>
      <c r="FX115">
        <v>2</v>
      </c>
      <c r="FY115">
        <v>2</v>
      </c>
      <c r="FZ115" t="s">
        <v>420</v>
      </c>
      <c r="GA115">
        <v>2.9279299999999999</v>
      </c>
      <c r="GB115">
        <v>2.8067500000000001</v>
      </c>
      <c r="GC115">
        <v>8.5632299999999995E-2</v>
      </c>
      <c r="GD115">
        <v>9.90476E-2</v>
      </c>
      <c r="GE115">
        <v>0.11473899999999999</v>
      </c>
      <c r="GF115">
        <v>9.5120200000000002E-2</v>
      </c>
      <c r="GG115">
        <v>27134.5</v>
      </c>
      <c r="GH115">
        <v>27167.9</v>
      </c>
      <c r="GI115">
        <v>28190.1</v>
      </c>
      <c r="GJ115">
        <v>27174.9</v>
      </c>
      <c r="GK115">
        <v>35823.5</v>
      </c>
      <c r="GL115">
        <v>32477.7</v>
      </c>
      <c r="GM115">
        <v>41975.7</v>
      </c>
      <c r="GN115">
        <v>36879</v>
      </c>
      <c r="GO115">
        <v>1.9235800000000001</v>
      </c>
      <c r="GP115">
        <v>1.8831</v>
      </c>
      <c r="GQ115">
        <v>5.6683999999999998E-2</v>
      </c>
      <c r="GR115">
        <v>0</v>
      </c>
      <c r="GS115">
        <v>26.485700000000001</v>
      </c>
      <c r="GT115">
        <v>999.9</v>
      </c>
      <c r="GU115">
        <v>49.7</v>
      </c>
      <c r="GV115">
        <v>34.9</v>
      </c>
      <c r="GW115">
        <v>28.0335</v>
      </c>
      <c r="GX115">
        <v>60.691899999999997</v>
      </c>
      <c r="GY115">
        <v>26.879000000000001</v>
      </c>
      <c r="GZ115">
        <v>1</v>
      </c>
      <c r="HA115">
        <v>0.44147399999999998</v>
      </c>
      <c r="HB115">
        <v>3.01532</v>
      </c>
      <c r="HC115">
        <v>20.321000000000002</v>
      </c>
      <c r="HD115">
        <v>5.2408000000000001</v>
      </c>
      <c r="HE115">
        <v>11.9381</v>
      </c>
      <c r="HF115">
        <v>4.9734999999999996</v>
      </c>
      <c r="HG115">
        <v>3.2989999999999999</v>
      </c>
      <c r="HH115">
        <v>9999</v>
      </c>
      <c r="HI115">
        <v>9999</v>
      </c>
      <c r="HJ115">
        <v>9999</v>
      </c>
      <c r="HK115">
        <v>999.9</v>
      </c>
      <c r="HL115">
        <v>1.8733299999999999</v>
      </c>
      <c r="HM115">
        <v>1.88106</v>
      </c>
      <c r="HN115">
        <v>1.8846099999999999</v>
      </c>
      <c r="HO115">
        <v>1.8812599999999999</v>
      </c>
      <c r="HP115">
        <v>1.87866</v>
      </c>
      <c r="HQ115">
        <v>1.8733299999999999</v>
      </c>
      <c r="HR115">
        <v>1.87622</v>
      </c>
      <c r="HS115">
        <v>1.88049</v>
      </c>
      <c r="HT115">
        <v>5</v>
      </c>
      <c r="HU115">
        <v>0</v>
      </c>
      <c r="HV115">
        <v>0</v>
      </c>
      <c r="HW115">
        <v>0</v>
      </c>
      <c r="HX115" t="s">
        <v>421</v>
      </c>
      <c r="HY115" t="s">
        <v>422</v>
      </c>
      <c r="HZ115" t="s">
        <v>423</v>
      </c>
      <c r="IA115" t="s">
        <v>423</v>
      </c>
      <c r="IB115" t="s">
        <v>423</v>
      </c>
      <c r="IC115" t="s">
        <v>423</v>
      </c>
      <c r="ID115">
        <v>0</v>
      </c>
      <c r="IE115">
        <v>100</v>
      </c>
      <c r="IF115">
        <v>100</v>
      </c>
      <c r="IG115">
        <v>-0.67200000000000004</v>
      </c>
      <c r="IH115">
        <v>0.2351</v>
      </c>
      <c r="II115">
        <v>-0.80373869494905026</v>
      </c>
      <c r="IJ115">
        <v>9.4905977090923709E-4</v>
      </c>
      <c r="IK115">
        <v>-1.9106666302146479E-6</v>
      </c>
      <c r="IL115">
        <v>7.5819610513223293E-10</v>
      </c>
      <c r="IM115">
        <v>-6.2483146521032262E-2</v>
      </c>
      <c r="IN115">
        <v>-1.0595840490420019E-2</v>
      </c>
      <c r="IO115">
        <v>1.2407080968752471E-3</v>
      </c>
      <c r="IP115">
        <v>-1.3015442653884381E-5</v>
      </c>
      <c r="IQ115">
        <v>33</v>
      </c>
      <c r="IR115">
        <v>2014</v>
      </c>
      <c r="IS115">
        <v>1</v>
      </c>
      <c r="IT115">
        <v>26</v>
      </c>
      <c r="IU115">
        <v>0.7</v>
      </c>
      <c r="IV115">
        <v>0.6</v>
      </c>
      <c r="IW115">
        <v>1.00952</v>
      </c>
      <c r="IX115">
        <v>2.51953</v>
      </c>
      <c r="IY115">
        <v>1.5991200000000001</v>
      </c>
      <c r="IZ115">
        <v>2.2973599999999998</v>
      </c>
      <c r="JA115">
        <v>1.5502899999999999</v>
      </c>
      <c r="JB115">
        <v>2.2802699999999998</v>
      </c>
      <c r="JC115">
        <v>38.550400000000003</v>
      </c>
      <c r="JD115">
        <v>24.052499999999998</v>
      </c>
      <c r="JE115">
        <v>18</v>
      </c>
      <c r="JF115">
        <v>488.23399999999998</v>
      </c>
      <c r="JG115">
        <v>496.226</v>
      </c>
      <c r="JH115">
        <v>22.722799999999999</v>
      </c>
      <c r="JI115">
        <v>32.729500000000002</v>
      </c>
      <c r="JJ115">
        <v>29.9999</v>
      </c>
      <c r="JK115">
        <v>32.819400000000002</v>
      </c>
      <c r="JL115">
        <v>32.784700000000001</v>
      </c>
      <c r="JM115">
        <v>20.272200000000002</v>
      </c>
      <c r="JN115">
        <v>40.945999999999998</v>
      </c>
      <c r="JO115">
        <v>0</v>
      </c>
      <c r="JP115">
        <v>22.729800000000001</v>
      </c>
      <c r="JQ115">
        <v>400</v>
      </c>
      <c r="JR115">
        <v>18.5306</v>
      </c>
      <c r="JS115">
        <v>99.520200000000003</v>
      </c>
      <c r="JT115">
        <v>98.735299999999995</v>
      </c>
    </row>
    <row r="116" spans="1:280" x14ac:dyDescent="0.25">
      <c r="A116">
        <v>100</v>
      </c>
      <c r="B116">
        <v>1674599283.5</v>
      </c>
      <c r="C116">
        <v>23858.5</v>
      </c>
      <c r="D116" t="s">
        <v>925</v>
      </c>
      <c r="E116" t="s">
        <v>926</v>
      </c>
      <c r="F116" t="s">
        <v>412</v>
      </c>
      <c r="G116" t="s">
        <v>921</v>
      </c>
      <c r="H116" t="s">
        <v>637</v>
      </c>
      <c r="I116">
        <v>1674599283.5</v>
      </c>
      <c r="J116">
        <f t="shared" si="138"/>
        <v>5.5029608698287415E-3</v>
      </c>
      <c r="K116">
        <f t="shared" si="139"/>
        <v>5.5029608698287413</v>
      </c>
      <c r="L116">
        <f t="shared" si="140"/>
        <v>43.667956910119258</v>
      </c>
      <c r="M116">
        <f t="shared" si="141"/>
        <v>246.011</v>
      </c>
      <c r="N116">
        <f t="shared" si="142"/>
        <v>89.014879381070941</v>
      </c>
      <c r="O116">
        <f t="shared" si="143"/>
        <v>8.8741930207948609</v>
      </c>
      <c r="P116">
        <f t="shared" si="144"/>
        <v>24.525664859834798</v>
      </c>
      <c r="Q116">
        <f t="shared" si="145"/>
        <v>0.49044952887911919</v>
      </c>
      <c r="R116">
        <f t="shared" si="146"/>
        <v>2.9257022030536404</v>
      </c>
      <c r="S116">
        <f t="shared" si="147"/>
        <v>0.44893034176932234</v>
      </c>
      <c r="T116">
        <f t="shared" si="148"/>
        <v>0.2840183176924313</v>
      </c>
      <c r="U116">
        <f t="shared" si="149"/>
        <v>344.33459965780582</v>
      </c>
      <c r="V116">
        <f t="shared" si="150"/>
        <v>28.594394576159932</v>
      </c>
      <c r="W116">
        <f t="shared" si="151"/>
        <v>27.419499999999999</v>
      </c>
      <c r="X116">
        <f t="shared" si="152"/>
        <v>3.6682980696827081</v>
      </c>
      <c r="Y116">
        <f t="shared" si="153"/>
        <v>65.477126901116634</v>
      </c>
      <c r="Z116">
        <f t="shared" si="154"/>
        <v>2.4839698965254797</v>
      </c>
      <c r="AA116">
        <f t="shared" si="155"/>
        <v>3.7936452225168096</v>
      </c>
      <c r="AB116">
        <f t="shared" si="156"/>
        <v>1.1843281731572284</v>
      </c>
      <c r="AC116">
        <f t="shared" si="157"/>
        <v>-242.68057435944749</v>
      </c>
      <c r="AD116">
        <f t="shared" si="158"/>
        <v>90.710785919057983</v>
      </c>
      <c r="AE116">
        <f t="shared" si="159"/>
        <v>6.7386243402087587</v>
      </c>
      <c r="AF116">
        <f t="shared" si="160"/>
        <v>199.10343555762506</v>
      </c>
      <c r="AG116">
        <v>0</v>
      </c>
      <c r="AH116">
        <v>0</v>
      </c>
      <c r="AI116">
        <f t="shared" si="161"/>
        <v>1</v>
      </c>
      <c r="AJ116">
        <f t="shared" si="162"/>
        <v>0</v>
      </c>
      <c r="AK116">
        <f t="shared" si="163"/>
        <v>52582.881230697632</v>
      </c>
      <c r="AL116" t="s">
        <v>415</v>
      </c>
      <c r="AM116">
        <v>10297.6</v>
      </c>
      <c r="AN116">
        <v>785.57400000000007</v>
      </c>
      <c r="AO116">
        <v>3597.65</v>
      </c>
      <c r="AP116">
        <f t="shared" si="164"/>
        <v>0.7816424610509638</v>
      </c>
      <c r="AQ116">
        <v>-0.62398835798131469</v>
      </c>
      <c r="AR116" t="s">
        <v>927</v>
      </c>
      <c r="AS116">
        <v>10251.4</v>
      </c>
      <c r="AT116">
        <v>769.1114</v>
      </c>
      <c r="AU116">
        <v>1124.835685945726</v>
      </c>
      <c r="AV116">
        <f t="shared" si="165"/>
        <v>0.31624555514225561</v>
      </c>
      <c r="AW116">
        <v>0.5</v>
      </c>
      <c r="AX116">
        <f t="shared" si="166"/>
        <v>1513.0331998289028</v>
      </c>
      <c r="AY116">
        <f t="shared" si="167"/>
        <v>43.667956910119258</v>
      </c>
      <c r="AZ116">
        <f t="shared" si="168"/>
        <v>239.24501211427736</v>
      </c>
      <c r="BA116">
        <f t="shared" si="169"/>
        <v>2.9273610964458158E-2</v>
      </c>
      <c r="BB116">
        <f t="shared" si="170"/>
        <v>2.1983782564430383</v>
      </c>
      <c r="BC116">
        <f t="shared" si="171"/>
        <v>530.78159984736715</v>
      </c>
      <c r="BD116" t="s">
        <v>928</v>
      </c>
      <c r="BE116">
        <v>579.66999999999996</v>
      </c>
      <c r="BF116">
        <f t="shared" si="172"/>
        <v>579.66999999999996</v>
      </c>
      <c r="BG116">
        <f t="shared" si="173"/>
        <v>0.4846625091622766</v>
      </c>
      <c r="BH116">
        <f t="shared" si="174"/>
        <v>0.65250674265867148</v>
      </c>
      <c r="BI116">
        <f t="shared" si="175"/>
        <v>0.81936073600695636</v>
      </c>
      <c r="BJ116">
        <f t="shared" si="176"/>
        <v>1.0485247839115959</v>
      </c>
      <c r="BK116">
        <f t="shared" si="177"/>
        <v>0.87935543493642221</v>
      </c>
      <c r="BL116">
        <f t="shared" si="178"/>
        <v>0.49178647399707254</v>
      </c>
      <c r="BM116">
        <f t="shared" si="179"/>
        <v>0.50821352600292746</v>
      </c>
      <c r="BN116">
        <v>199</v>
      </c>
      <c r="BO116">
        <v>290.00000000000011</v>
      </c>
      <c r="BP116">
        <v>1023.56</v>
      </c>
      <c r="BQ116">
        <v>85</v>
      </c>
      <c r="BR116">
        <v>10251.4</v>
      </c>
      <c r="BS116">
        <v>1020.03</v>
      </c>
      <c r="BT116">
        <v>3.53</v>
      </c>
      <c r="BU116">
        <v>300.00000000000011</v>
      </c>
      <c r="BV116">
        <v>24.1</v>
      </c>
      <c r="BW116">
        <v>1124.835685945726</v>
      </c>
      <c r="BX116">
        <v>2.3720396076058372</v>
      </c>
      <c r="BY116">
        <v>-107.4360049669815</v>
      </c>
      <c r="BZ116">
        <v>2.1598258961323178</v>
      </c>
      <c r="CA116">
        <v>0.98881054567950621</v>
      </c>
      <c r="CB116">
        <v>-6.9691919911012224E-3</v>
      </c>
      <c r="CC116">
        <v>289.99999999999989</v>
      </c>
      <c r="CD116">
        <v>1015</v>
      </c>
      <c r="CE116">
        <v>705</v>
      </c>
      <c r="CF116">
        <v>10201.5</v>
      </c>
      <c r="CG116">
        <v>1019.52</v>
      </c>
      <c r="CH116">
        <v>-4.5199999999999996</v>
      </c>
      <c r="CV116">
        <f t="shared" si="180"/>
        <v>1799.82</v>
      </c>
      <c r="CW116">
        <f t="shared" si="181"/>
        <v>1513.0331998289028</v>
      </c>
      <c r="CX116">
        <f t="shared" si="182"/>
        <v>0.84065806571151713</v>
      </c>
      <c r="CY116">
        <f t="shared" si="183"/>
        <v>0.19131613142303444</v>
      </c>
      <c r="CZ116">
        <v>6</v>
      </c>
      <c r="DA116">
        <v>0.5</v>
      </c>
      <c r="DB116" t="s">
        <v>418</v>
      </c>
      <c r="DC116">
        <v>2</v>
      </c>
      <c r="DD116">
        <v>1674599283.5</v>
      </c>
      <c r="DE116">
        <v>246.011</v>
      </c>
      <c r="DF116">
        <v>300.02100000000002</v>
      </c>
      <c r="DG116">
        <v>24.9161</v>
      </c>
      <c r="DH116">
        <v>18.478999999999999</v>
      </c>
      <c r="DI116">
        <v>246.709</v>
      </c>
      <c r="DJ116">
        <v>24.675999999999998</v>
      </c>
      <c r="DK116">
        <v>500.149</v>
      </c>
      <c r="DL116">
        <v>99.593599999999995</v>
      </c>
      <c r="DM116">
        <v>9.9766800000000003E-2</v>
      </c>
      <c r="DN116">
        <v>27.994599999999998</v>
      </c>
      <c r="DO116">
        <v>27.419499999999999</v>
      </c>
      <c r="DP116">
        <v>999.9</v>
      </c>
      <c r="DQ116">
        <v>0</v>
      </c>
      <c r="DR116">
        <v>0</v>
      </c>
      <c r="DS116">
        <v>10018.799999999999</v>
      </c>
      <c r="DT116">
        <v>0</v>
      </c>
      <c r="DU116">
        <v>328.81099999999998</v>
      </c>
      <c r="DV116">
        <v>-54.010100000000001</v>
      </c>
      <c r="DW116">
        <v>252.297</v>
      </c>
      <c r="DX116">
        <v>305.67</v>
      </c>
      <c r="DY116">
        <v>6.4370399999999997</v>
      </c>
      <c r="DZ116">
        <v>300.02100000000002</v>
      </c>
      <c r="EA116">
        <v>18.478999999999999</v>
      </c>
      <c r="EB116">
        <v>2.4814799999999999</v>
      </c>
      <c r="EC116">
        <v>1.84039</v>
      </c>
      <c r="ED116">
        <v>20.9056</v>
      </c>
      <c r="EE116">
        <v>16.1342</v>
      </c>
      <c r="EF116">
        <v>1799.82</v>
      </c>
      <c r="EG116">
        <v>0.97800100000000001</v>
      </c>
      <c r="EH116">
        <v>2.1999399999999999E-2</v>
      </c>
      <c r="EI116">
        <v>0</v>
      </c>
      <c r="EJ116">
        <v>768.80100000000004</v>
      </c>
      <c r="EK116">
        <v>5.0002599999999999</v>
      </c>
      <c r="EL116">
        <v>14051.6</v>
      </c>
      <c r="EM116">
        <v>17101.7</v>
      </c>
      <c r="EN116">
        <v>49.811999999999998</v>
      </c>
      <c r="EO116">
        <v>51.186999999999998</v>
      </c>
      <c r="EP116">
        <v>50.875</v>
      </c>
      <c r="EQ116">
        <v>50.436999999999998</v>
      </c>
      <c r="ER116">
        <v>51.125</v>
      </c>
      <c r="ES116">
        <v>1755.34</v>
      </c>
      <c r="ET116">
        <v>39.479999999999997</v>
      </c>
      <c r="EU116">
        <v>0</v>
      </c>
      <c r="EV116">
        <v>112.3999998569489</v>
      </c>
      <c r="EW116">
        <v>0</v>
      </c>
      <c r="EX116">
        <v>769.1114</v>
      </c>
      <c r="EY116">
        <v>-2.0192307626868051</v>
      </c>
      <c r="EZ116">
        <v>-42.584615404138368</v>
      </c>
      <c r="FA116">
        <v>14057.888000000001</v>
      </c>
      <c r="FB116">
        <v>15</v>
      </c>
      <c r="FC116">
        <v>1674599247</v>
      </c>
      <c r="FD116" t="s">
        <v>929</v>
      </c>
      <c r="FE116">
        <v>1674599240.0999999</v>
      </c>
      <c r="FF116">
        <v>1674599247</v>
      </c>
      <c r="FG116">
        <v>113</v>
      </c>
      <c r="FH116">
        <v>-2.4E-2</v>
      </c>
      <c r="FI116">
        <v>4.0000000000000001E-3</v>
      </c>
      <c r="FJ116">
        <v>-0.69399999999999995</v>
      </c>
      <c r="FK116">
        <v>8.5000000000000006E-2</v>
      </c>
      <c r="FL116">
        <v>300</v>
      </c>
      <c r="FM116">
        <v>18</v>
      </c>
      <c r="FN116">
        <v>0.03</v>
      </c>
      <c r="FO116">
        <v>0.02</v>
      </c>
      <c r="FP116">
        <v>43.616618672938067</v>
      </c>
      <c r="FQ116">
        <v>0.21100689431205319</v>
      </c>
      <c r="FR116">
        <v>2.95207288065014E-2</v>
      </c>
      <c r="FS116">
        <v>1</v>
      </c>
      <c r="FT116">
        <v>0.48425502175739821</v>
      </c>
      <c r="FU116">
        <v>4.9888556067902427E-2</v>
      </c>
      <c r="FV116">
        <v>5.3427527760086064E-3</v>
      </c>
      <c r="FW116">
        <v>1</v>
      </c>
      <c r="FX116">
        <v>2</v>
      </c>
      <c r="FY116">
        <v>2</v>
      </c>
      <c r="FZ116" t="s">
        <v>420</v>
      </c>
      <c r="GA116">
        <v>2.92808</v>
      </c>
      <c r="GB116">
        <v>2.8068599999999999</v>
      </c>
      <c r="GC116">
        <v>6.5839200000000001E-2</v>
      </c>
      <c r="GD116">
        <v>7.8708700000000006E-2</v>
      </c>
      <c r="GE116">
        <v>0.11486</v>
      </c>
      <c r="GF116">
        <v>9.4627100000000006E-2</v>
      </c>
      <c r="GG116">
        <v>27724.3</v>
      </c>
      <c r="GH116">
        <v>27783.7</v>
      </c>
      <c r="GI116">
        <v>28191.8</v>
      </c>
      <c r="GJ116">
        <v>27176.7</v>
      </c>
      <c r="GK116">
        <v>35820.1</v>
      </c>
      <c r="GL116">
        <v>32497.599999999999</v>
      </c>
      <c r="GM116">
        <v>41977.7</v>
      </c>
      <c r="GN116">
        <v>36881.599999999999</v>
      </c>
      <c r="GO116">
        <v>1.9236500000000001</v>
      </c>
      <c r="GP116">
        <v>1.8834</v>
      </c>
      <c r="GQ116">
        <v>5.95674E-2</v>
      </c>
      <c r="GR116">
        <v>0</v>
      </c>
      <c r="GS116">
        <v>26.4453</v>
      </c>
      <c r="GT116">
        <v>999.9</v>
      </c>
      <c r="GU116">
        <v>49.6</v>
      </c>
      <c r="GV116">
        <v>34.9</v>
      </c>
      <c r="GW116">
        <v>27.972300000000001</v>
      </c>
      <c r="GX116">
        <v>60.7819</v>
      </c>
      <c r="GY116">
        <v>26.374199999999998</v>
      </c>
      <c r="GZ116">
        <v>1</v>
      </c>
      <c r="HA116">
        <v>0.43816100000000002</v>
      </c>
      <c r="HB116">
        <v>3.0487799999999998</v>
      </c>
      <c r="HC116">
        <v>20.3203</v>
      </c>
      <c r="HD116">
        <v>5.2403500000000003</v>
      </c>
      <c r="HE116">
        <v>11.9381</v>
      </c>
      <c r="HF116">
        <v>4.9736500000000001</v>
      </c>
      <c r="HG116">
        <v>3.2989999999999999</v>
      </c>
      <c r="HH116">
        <v>9999</v>
      </c>
      <c r="HI116">
        <v>9999</v>
      </c>
      <c r="HJ116">
        <v>9999</v>
      </c>
      <c r="HK116">
        <v>999.9</v>
      </c>
      <c r="HL116">
        <v>1.87334</v>
      </c>
      <c r="HM116">
        <v>1.88107</v>
      </c>
      <c r="HN116">
        <v>1.8846099999999999</v>
      </c>
      <c r="HO116">
        <v>1.88127</v>
      </c>
      <c r="HP116">
        <v>1.87863</v>
      </c>
      <c r="HQ116">
        <v>1.8733299999999999</v>
      </c>
      <c r="HR116">
        <v>1.87622</v>
      </c>
      <c r="HS116">
        <v>1.8804799999999999</v>
      </c>
      <c r="HT116">
        <v>5</v>
      </c>
      <c r="HU116">
        <v>0</v>
      </c>
      <c r="HV116">
        <v>0</v>
      </c>
      <c r="HW116">
        <v>0</v>
      </c>
      <c r="HX116" t="s">
        <v>421</v>
      </c>
      <c r="HY116" t="s">
        <v>422</v>
      </c>
      <c r="HZ116" t="s">
        <v>423</v>
      </c>
      <c r="IA116" t="s">
        <v>423</v>
      </c>
      <c r="IB116" t="s">
        <v>423</v>
      </c>
      <c r="IC116" t="s">
        <v>423</v>
      </c>
      <c r="ID116">
        <v>0</v>
      </c>
      <c r="IE116">
        <v>100</v>
      </c>
      <c r="IF116">
        <v>100</v>
      </c>
      <c r="IG116">
        <v>-0.69799999999999995</v>
      </c>
      <c r="IH116">
        <v>0.24010000000000001</v>
      </c>
      <c r="II116">
        <v>-0.82743381920587789</v>
      </c>
      <c r="IJ116">
        <v>9.4905977090923709E-4</v>
      </c>
      <c r="IK116">
        <v>-1.9106666302146479E-6</v>
      </c>
      <c r="IL116">
        <v>7.5819610513223293E-10</v>
      </c>
      <c r="IM116">
        <v>-5.8388516282937231E-2</v>
      </c>
      <c r="IN116">
        <v>-1.0595840490420019E-2</v>
      </c>
      <c r="IO116">
        <v>1.2407080968752471E-3</v>
      </c>
      <c r="IP116">
        <v>-1.3015442653884381E-5</v>
      </c>
      <c r="IQ116">
        <v>33</v>
      </c>
      <c r="IR116">
        <v>2014</v>
      </c>
      <c r="IS116">
        <v>1</v>
      </c>
      <c r="IT116">
        <v>26</v>
      </c>
      <c r="IU116">
        <v>0.7</v>
      </c>
      <c r="IV116">
        <v>0.6</v>
      </c>
      <c r="IW116">
        <v>0.80200199999999999</v>
      </c>
      <c r="IX116">
        <v>2.5146500000000001</v>
      </c>
      <c r="IY116">
        <v>1.5991200000000001</v>
      </c>
      <c r="IZ116">
        <v>2.2973599999999998</v>
      </c>
      <c r="JA116">
        <v>1.5490699999999999</v>
      </c>
      <c r="JB116">
        <v>2.3315399999999999</v>
      </c>
      <c r="JC116">
        <v>38.575000000000003</v>
      </c>
      <c r="JD116">
        <v>24.061199999999999</v>
      </c>
      <c r="JE116">
        <v>18</v>
      </c>
      <c r="JF116">
        <v>488.05799999999999</v>
      </c>
      <c r="JG116">
        <v>496.22500000000002</v>
      </c>
      <c r="JH116">
        <v>22.7286</v>
      </c>
      <c r="JI116">
        <v>32.688000000000002</v>
      </c>
      <c r="JJ116">
        <v>29.999700000000001</v>
      </c>
      <c r="JK116">
        <v>32.790799999999997</v>
      </c>
      <c r="JL116">
        <v>32.758600000000001</v>
      </c>
      <c r="JM116">
        <v>16.113900000000001</v>
      </c>
      <c r="JN116">
        <v>41.363300000000002</v>
      </c>
      <c r="JO116">
        <v>0</v>
      </c>
      <c r="JP116">
        <v>22.738800000000001</v>
      </c>
      <c r="JQ116">
        <v>300</v>
      </c>
      <c r="JR116">
        <v>18.3767</v>
      </c>
      <c r="JS116">
        <v>99.525499999999994</v>
      </c>
      <c r="JT116">
        <v>98.742099999999994</v>
      </c>
    </row>
    <row r="117" spans="1:280" x14ac:dyDescent="0.25">
      <c r="A117">
        <v>101</v>
      </c>
      <c r="B117">
        <v>1674599424.5</v>
      </c>
      <c r="C117">
        <v>23999.5</v>
      </c>
      <c r="D117" t="s">
        <v>930</v>
      </c>
      <c r="E117" t="s">
        <v>931</v>
      </c>
      <c r="F117" t="s">
        <v>412</v>
      </c>
      <c r="G117" t="s">
        <v>921</v>
      </c>
      <c r="H117" t="s">
        <v>637</v>
      </c>
      <c r="I117">
        <v>1674599424.5</v>
      </c>
      <c r="J117">
        <f t="shared" si="138"/>
        <v>6.0807579569333407E-3</v>
      </c>
      <c r="K117">
        <f t="shared" si="139"/>
        <v>6.0807579569333408</v>
      </c>
      <c r="L117">
        <f t="shared" si="140"/>
        <v>32.484060197100106</v>
      </c>
      <c r="M117">
        <f t="shared" si="141"/>
        <v>159.84800000000001</v>
      </c>
      <c r="N117">
        <f t="shared" si="142"/>
        <v>54.846096893504217</v>
      </c>
      <c r="O117">
        <f t="shared" si="143"/>
        <v>5.4679296201326855</v>
      </c>
      <c r="P117">
        <f t="shared" si="144"/>
        <v>15.936186227000002</v>
      </c>
      <c r="Q117">
        <f t="shared" si="145"/>
        <v>0.5500419365324799</v>
      </c>
      <c r="R117">
        <f t="shared" si="146"/>
        <v>2.9091584534666639</v>
      </c>
      <c r="S117">
        <f t="shared" si="147"/>
        <v>0.49812440326370239</v>
      </c>
      <c r="T117">
        <f t="shared" si="148"/>
        <v>0.31558296217248311</v>
      </c>
      <c r="U117">
        <f t="shared" si="149"/>
        <v>344.38781281719724</v>
      </c>
      <c r="V117">
        <f t="shared" si="150"/>
        <v>28.455739146782232</v>
      </c>
      <c r="W117">
        <f t="shared" si="151"/>
        <v>27.3931</v>
      </c>
      <c r="X117">
        <f t="shared" si="152"/>
        <v>3.6626318260102426</v>
      </c>
      <c r="Y117">
        <f t="shared" si="153"/>
        <v>65.420526354780463</v>
      </c>
      <c r="Z117">
        <f t="shared" si="154"/>
        <v>2.4831251586250001</v>
      </c>
      <c r="AA117">
        <f t="shared" si="155"/>
        <v>3.7956361664820988</v>
      </c>
      <c r="AB117">
        <f t="shared" si="156"/>
        <v>1.1795066673852426</v>
      </c>
      <c r="AC117">
        <f t="shared" si="157"/>
        <v>-268.16142590076032</v>
      </c>
      <c r="AD117">
        <f t="shared" si="158"/>
        <v>95.749935106681207</v>
      </c>
      <c r="AE117">
        <f t="shared" si="159"/>
        <v>7.1527970391729676</v>
      </c>
      <c r="AF117">
        <f t="shared" si="160"/>
        <v>179.12911906229112</v>
      </c>
      <c r="AG117">
        <v>0</v>
      </c>
      <c r="AH117">
        <v>0</v>
      </c>
      <c r="AI117">
        <f t="shared" si="161"/>
        <v>1</v>
      </c>
      <c r="AJ117">
        <f t="shared" si="162"/>
        <v>0</v>
      </c>
      <c r="AK117">
        <f t="shared" si="163"/>
        <v>52106.48006477474</v>
      </c>
      <c r="AL117" t="s">
        <v>415</v>
      </c>
      <c r="AM117">
        <v>10297.6</v>
      </c>
      <c r="AN117">
        <v>785.57400000000007</v>
      </c>
      <c r="AO117">
        <v>3597.65</v>
      </c>
      <c r="AP117">
        <f t="shared" si="164"/>
        <v>0.7816424610509638</v>
      </c>
      <c r="AQ117">
        <v>-0.62398835798131469</v>
      </c>
      <c r="AR117" t="s">
        <v>932</v>
      </c>
      <c r="AS117">
        <v>10244.9</v>
      </c>
      <c r="AT117">
        <v>762.43791999999996</v>
      </c>
      <c r="AU117">
        <v>1029.025247158228</v>
      </c>
      <c r="AV117">
        <f t="shared" si="165"/>
        <v>0.25906781966180104</v>
      </c>
      <c r="AW117">
        <v>0.5</v>
      </c>
      <c r="AX117">
        <f t="shared" si="166"/>
        <v>1513.2684064085984</v>
      </c>
      <c r="AY117">
        <f t="shared" si="167"/>
        <v>32.484060197100106</v>
      </c>
      <c r="AZ117">
        <f t="shared" si="168"/>
        <v>196.01957330568189</v>
      </c>
      <c r="BA117">
        <f t="shared" si="169"/>
        <v>2.1878503783513144E-2</v>
      </c>
      <c r="BB117">
        <f t="shared" si="170"/>
        <v>2.4961727226181534</v>
      </c>
      <c r="BC117">
        <f t="shared" si="171"/>
        <v>508.44300513635881</v>
      </c>
      <c r="BD117" t="s">
        <v>933</v>
      </c>
      <c r="BE117">
        <v>569.16999999999996</v>
      </c>
      <c r="BF117">
        <f t="shared" si="172"/>
        <v>569.16999999999996</v>
      </c>
      <c r="BG117">
        <f t="shared" si="173"/>
        <v>0.44688431933829742</v>
      </c>
      <c r="BH117">
        <f t="shared" si="174"/>
        <v>0.57972009410713554</v>
      </c>
      <c r="BI117">
        <f t="shared" si="175"/>
        <v>0.84815641933965957</v>
      </c>
      <c r="BJ117">
        <f t="shared" si="176"/>
        <v>1.0950337296278589</v>
      </c>
      <c r="BK117">
        <f t="shared" si="177"/>
        <v>0.91342650513064794</v>
      </c>
      <c r="BL117">
        <f t="shared" si="178"/>
        <v>0.43276872425620999</v>
      </c>
      <c r="BM117">
        <f t="shared" si="179"/>
        <v>0.56723127574379006</v>
      </c>
      <c r="BN117">
        <v>201</v>
      </c>
      <c r="BO117">
        <v>290.00000000000011</v>
      </c>
      <c r="BP117">
        <v>955.03</v>
      </c>
      <c r="BQ117">
        <v>115</v>
      </c>
      <c r="BR117">
        <v>10244.9</v>
      </c>
      <c r="BS117">
        <v>951.39</v>
      </c>
      <c r="BT117">
        <v>3.64</v>
      </c>
      <c r="BU117">
        <v>300.00000000000011</v>
      </c>
      <c r="BV117">
        <v>24.1</v>
      </c>
      <c r="BW117">
        <v>1029.025247158228</v>
      </c>
      <c r="BX117">
        <v>1.968066973249079</v>
      </c>
      <c r="BY117">
        <v>-79.539796003969045</v>
      </c>
      <c r="BZ117">
        <v>1.791905240172434</v>
      </c>
      <c r="CA117">
        <v>0.9859882969452981</v>
      </c>
      <c r="CB117">
        <v>-6.9685991101223668E-3</v>
      </c>
      <c r="CC117">
        <v>289.99999999999989</v>
      </c>
      <c r="CD117">
        <v>947.58</v>
      </c>
      <c r="CE117">
        <v>695</v>
      </c>
      <c r="CF117">
        <v>10201.5</v>
      </c>
      <c r="CG117">
        <v>951.06</v>
      </c>
      <c r="CH117">
        <v>-3.48</v>
      </c>
      <c r="CV117">
        <f t="shared" si="180"/>
        <v>1800.1</v>
      </c>
      <c r="CW117">
        <f t="shared" si="181"/>
        <v>1513.2684064085984</v>
      </c>
      <c r="CX117">
        <f t="shared" si="182"/>
        <v>0.84065796700660989</v>
      </c>
      <c r="CY117">
        <f t="shared" si="183"/>
        <v>0.19131593401321997</v>
      </c>
      <c r="CZ117">
        <v>6</v>
      </c>
      <c r="DA117">
        <v>0.5</v>
      </c>
      <c r="DB117" t="s">
        <v>418</v>
      </c>
      <c r="DC117">
        <v>2</v>
      </c>
      <c r="DD117">
        <v>1674599424.5</v>
      </c>
      <c r="DE117">
        <v>159.84800000000001</v>
      </c>
      <c r="DF117">
        <v>199.98699999999999</v>
      </c>
      <c r="DG117">
        <v>24.907</v>
      </c>
      <c r="DH117">
        <v>17.793299999999999</v>
      </c>
      <c r="DI117">
        <v>160.589</v>
      </c>
      <c r="DJ117">
        <v>24.667300000000001</v>
      </c>
      <c r="DK117">
        <v>500.10300000000001</v>
      </c>
      <c r="DL117">
        <v>99.595299999999995</v>
      </c>
      <c r="DM117">
        <v>0.100575</v>
      </c>
      <c r="DN117">
        <v>28.003599999999999</v>
      </c>
      <c r="DO117">
        <v>27.3931</v>
      </c>
      <c r="DP117">
        <v>999.9</v>
      </c>
      <c r="DQ117">
        <v>0</v>
      </c>
      <c r="DR117">
        <v>0</v>
      </c>
      <c r="DS117">
        <v>9924.3799999999992</v>
      </c>
      <c r="DT117">
        <v>0</v>
      </c>
      <c r="DU117">
        <v>326.52</v>
      </c>
      <c r="DV117">
        <v>-40.138800000000003</v>
      </c>
      <c r="DW117">
        <v>163.93100000000001</v>
      </c>
      <c r="DX117">
        <v>203.61</v>
      </c>
      <c r="DY117">
        <v>7.1136600000000003</v>
      </c>
      <c r="DZ117">
        <v>199.98699999999999</v>
      </c>
      <c r="EA117">
        <v>17.793299999999999</v>
      </c>
      <c r="EB117">
        <v>2.48062</v>
      </c>
      <c r="EC117">
        <v>1.77213</v>
      </c>
      <c r="ED117">
        <v>20.899899999999999</v>
      </c>
      <c r="EE117">
        <v>15.543100000000001</v>
      </c>
      <c r="EF117">
        <v>1800.1</v>
      </c>
      <c r="EG117">
        <v>0.97800399999999998</v>
      </c>
      <c r="EH117">
        <v>2.19957E-2</v>
      </c>
      <c r="EI117">
        <v>0</v>
      </c>
      <c r="EJ117">
        <v>761.8</v>
      </c>
      <c r="EK117">
        <v>5.0002599999999999</v>
      </c>
      <c r="EL117">
        <v>13911.5</v>
      </c>
      <c r="EM117">
        <v>17104.3</v>
      </c>
      <c r="EN117">
        <v>49.875</v>
      </c>
      <c r="EO117">
        <v>51.125</v>
      </c>
      <c r="EP117">
        <v>50.811999999999998</v>
      </c>
      <c r="EQ117">
        <v>50.436999999999998</v>
      </c>
      <c r="ER117">
        <v>51.061999999999998</v>
      </c>
      <c r="ES117">
        <v>1755.61</v>
      </c>
      <c r="ET117">
        <v>39.479999999999997</v>
      </c>
      <c r="EU117">
        <v>0</v>
      </c>
      <c r="EV117">
        <v>139.20000004768369</v>
      </c>
      <c r="EW117">
        <v>0</v>
      </c>
      <c r="EX117">
        <v>762.43791999999996</v>
      </c>
      <c r="EY117">
        <v>-4.148230762203247</v>
      </c>
      <c r="EZ117">
        <v>-65.353846125284335</v>
      </c>
      <c r="FA117">
        <v>13918.268</v>
      </c>
      <c r="FB117">
        <v>15</v>
      </c>
      <c r="FC117">
        <v>1674599364</v>
      </c>
      <c r="FD117" t="s">
        <v>934</v>
      </c>
      <c r="FE117">
        <v>1674599354</v>
      </c>
      <c r="FF117">
        <v>1674599364</v>
      </c>
      <c r="FG117">
        <v>114</v>
      </c>
      <c r="FH117">
        <v>-1.9E-2</v>
      </c>
      <c r="FI117">
        <v>0</v>
      </c>
      <c r="FJ117">
        <v>-0.72699999999999998</v>
      </c>
      <c r="FK117">
        <v>8.2000000000000003E-2</v>
      </c>
      <c r="FL117">
        <v>200</v>
      </c>
      <c r="FM117">
        <v>18</v>
      </c>
      <c r="FN117">
        <v>0.04</v>
      </c>
      <c r="FO117">
        <v>0.01</v>
      </c>
      <c r="FP117">
        <v>32.391828619000563</v>
      </c>
      <c r="FQ117">
        <v>0.64692566837732757</v>
      </c>
      <c r="FR117">
        <v>6.7621502424228472E-2</v>
      </c>
      <c r="FS117">
        <v>1</v>
      </c>
      <c r="FT117">
        <v>0.54831316544938902</v>
      </c>
      <c r="FU117">
        <v>1.4835936579295449E-2</v>
      </c>
      <c r="FV117">
        <v>1.817947564146984E-3</v>
      </c>
      <c r="FW117">
        <v>1</v>
      </c>
      <c r="FX117">
        <v>2</v>
      </c>
      <c r="FY117">
        <v>2</v>
      </c>
      <c r="FZ117" t="s">
        <v>420</v>
      </c>
      <c r="GA117">
        <v>2.9280200000000001</v>
      </c>
      <c r="GB117">
        <v>2.8068300000000002</v>
      </c>
      <c r="GC117">
        <v>4.4748499999999997E-2</v>
      </c>
      <c r="GD117">
        <v>5.5471300000000001E-2</v>
      </c>
      <c r="GE117">
        <v>0.114841</v>
      </c>
      <c r="GF117">
        <v>9.2113200000000006E-2</v>
      </c>
      <c r="GG117">
        <v>28352.2</v>
      </c>
      <c r="GH117">
        <v>28488.9</v>
      </c>
      <c r="GI117">
        <v>28193.3</v>
      </c>
      <c r="GJ117">
        <v>27180.5</v>
      </c>
      <c r="GK117">
        <v>35822.199999999997</v>
      </c>
      <c r="GL117">
        <v>32592.1</v>
      </c>
      <c r="GM117">
        <v>41979.4</v>
      </c>
      <c r="GN117">
        <v>36886.6</v>
      </c>
      <c r="GO117">
        <v>1.9251199999999999</v>
      </c>
      <c r="GP117">
        <v>1.8824000000000001</v>
      </c>
      <c r="GQ117">
        <v>5.2072100000000003E-2</v>
      </c>
      <c r="GR117">
        <v>0</v>
      </c>
      <c r="GS117">
        <v>26.541499999999999</v>
      </c>
      <c r="GT117">
        <v>999.9</v>
      </c>
      <c r="GU117">
        <v>49.6</v>
      </c>
      <c r="GV117">
        <v>34.9</v>
      </c>
      <c r="GW117">
        <v>27.975200000000001</v>
      </c>
      <c r="GX117">
        <v>61.801900000000003</v>
      </c>
      <c r="GY117">
        <v>26.506399999999999</v>
      </c>
      <c r="GZ117">
        <v>1</v>
      </c>
      <c r="HA117">
        <v>0.43618899999999999</v>
      </c>
      <c r="HB117">
        <v>3.2706200000000001</v>
      </c>
      <c r="HC117">
        <v>20.315999999999999</v>
      </c>
      <c r="HD117">
        <v>5.2408000000000001</v>
      </c>
      <c r="HE117">
        <v>11.9381</v>
      </c>
      <c r="HF117">
        <v>4.9735500000000004</v>
      </c>
      <c r="HG117">
        <v>3.2989999999999999</v>
      </c>
      <c r="HH117">
        <v>9999</v>
      </c>
      <c r="HI117">
        <v>9999</v>
      </c>
      <c r="HJ117">
        <v>9999</v>
      </c>
      <c r="HK117">
        <v>999.9</v>
      </c>
      <c r="HL117">
        <v>1.8733500000000001</v>
      </c>
      <c r="HM117">
        <v>1.8810899999999999</v>
      </c>
      <c r="HN117">
        <v>1.8846099999999999</v>
      </c>
      <c r="HO117">
        <v>1.88127</v>
      </c>
      <c r="HP117">
        <v>1.8786499999999999</v>
      </c>
      <c r="HQ117">
        <v>1.8733500000000001</v>
      </c>
      <c r="HR117">
        <v>1.87622</v>
      </c>
      <c r="HS117">
        <v>1.88049</v>
      </c>
      <c r="HT117">
        <v>5</v>
      </c>
      <c r="HU117">
        <v>0</v>
      </c>
      <c r="HV117">
        <v>0</v>
      </c>
      <c r="HW117">
        <v>0</v>
      </c>
      <c r="HX117" t="s">
        <v>421</v>
      </c>
      <c r="HY117" t="s">
        <v>422</v>
      </c>
      <c r="HZ117" t="s">
        <v>423</v>
      </c>
      <c r="IA117" t="s">
        <v>423</v>
      </c>
      <c r="IB117" t="s">
        <v>423</v>
      </c>
      <c r="IC117" t="s">
        <v>423</v>
      </c>
      <c r="ID117">
        <v>0</v>
      </c>
      <c r="IE117">
        <v>100</v>
      </c>
      <c r="IF117">
        <v>100</v>
      </c>
      <c r="IG117">
        <v>-0.74099999999999999</v>
      </c>
      <c r="IH117">
        <v>0.2397</v>
      </c>
      <c r="II117">
        <v>-0.84649322947430383</v>
      </c>
      <c r="IJ117">
        <v>9.4905977090923709E-4</v>
      </c>
      <c r="IK117">
        <v>-1.9106666302146479E-6</v>
      </c>
      <c r="IL117">
        <v>7.5819610513223293E-10</v>
      </c>
      <c r="IM117">
        <v>-5.8519237633022997E-2</v>
      </c>
      <c r="IN117">
        <v>-1.0595840490420019E-2</v>
      </c>
      <c r="IO117">
        <v>1.2407080968752471E-3</v>
      </c>
      <c r="IP117">
        <v>-1.3015442653884381E-5</v>
      </c>
      <c r="IQ117">
        <v>33</v>
      </c>
      <c r="IR117">
        <v>2014</v>
      </c>
      <c r="IS117">
        <v>1</v>
      </c>
      <c r="IT117">
        <v>26</v>
      </c>
      <c r="IU117">
        <v>1.2</v>
      </c>
      <c r="IV117">
        <v>1</v>
      </c>
      <c r="IW117">
        <v>0.58471700000000004</v>
      </c>
      <c r="IX117">
        <v>2.52563</v>
      </c>
      <c r="IY117">
        <v>1.5979000000000001</v>
      </c>
      <c r="IZ117">
        <v>2.2973599999999998</v>
      </c>
      <c r="JA117">
        <v>1.5502899999999999</v>
      </c>
      <c r="JB117">
        <v>2.3718300000000001</v>
      </c>
      <c r="JC117">
        <v>38.575000000000003</v>
      </c>
      <c r="JD117">
        <v>24.061199999999999</v>
      </c>
      <c r="JE117">
        <v>18</v>
      </c>
      <c r="JF117">
        <v>488.77699999999999</v>
      </c>
      <c r="JG117">
        <v>495.30599999999998</v>
      </c>
      <c r="JH117">
        <v>22.582799999999999</v>
      </c>
      <c r="JI117">
        <v>32.661999999999999</v>
      </c>
      <c r="JJ117">
        <v>30.0001</v>
      </c>
      <c r="JK117">
        <v>32.761600000000001</v>
      </c>
      <c r="JL117">
        <v>32.732199999999999</v>
      </c>
      <c r="JM117">
        <v>11.7522</v>
      </c>
      <c r="JN117">
        <v>43.680300000000003</v>
      </c>
      <c r="JO117">
        <v>0</v>
      </c>
      <c r="JP117">
        <v>22.582100000000001</v>
      </c>
      <c r="JQ117">
        <v>200</v>
      </c>
      <c r="JR117">
        <v>17.684999999999999</v>
      </c>
      <c r="JS117">
        <v>99.530199999999994</v>
      </c>
      <c r="JT117">
        <v>98.755700000000004</v>
      </c>
    </row>
    <row r="118" spans="1:280" x14ac:dyDescent="0.25">
      <c r="A118">
        <v>102</v>
      </c>
      <c r="B118">
        <v>1674599545</v>
      </c>
      <c r="C118">
        <v>24120</v>
      </c>
      <c r="D118" t="s">
        <v>935</v>
      </c>
      <c r="E118" t="s">
        <v>936</v>
      </c>
      <c r="F118" t="s">
        <v>412</v>
      </c>
      <c r="G118" t="s">
        <v>921</v>
      </c>
      <c r="H118" t="s">
        <v>637</v>
      </c>
      <c r="I118">
        <v>1674599545</v>
      </c>
      <c r="J118">
        <f t="shared" si="138"/>
        <v>6.4758418862822988E-3</v>
      </c>
      <c r="K118">
        <f t="shared" si="139"/>
        <v>6.4758418862822991</v>
      </c>
      <c r="L118">
        <f t="shared" si="140"/>
        <v>20.366593985630221</v>
      </c>
      <c r="M118">
        <f t="shared" si="141"/>
        <v>94.835099999999997</v>
      </c>
      <c r="N118">
        <f t="shared" si="142"/>
        <v>33.580809797706841</v>
      </c>
      <c r="O118">
        <f t="shared" si="143"/>
        <v>3.3479787304360005</v>
      </c>
      <c r="P118">
        <f t="shared" si="144"/>
        <v>9.4549803775265993</v>
      </c>
      <c r="Q118">
        <f t="shared" si="145"/>
        <v>0.59510664069095864</v>
      </c>
      <c r="R118">
        <f t="shared" si="146"/>
        <v>2.919541358677372</v>
      </c>
      <c r="S118">
        <f t="shared" si="147"/>
        <v>0.53502285088570178</v>
      </c>
      <c r="T118">
        <f t="shared" si="148"/>
        <v>0.33928063619319704</v>
      </c>
      <c r="U118">
        <f t="shared" si="149"/>
        <v>344.38971281712611</v>
      </c>
      <c r="V118">
        <f t="shared" si="150"/>
        <v>28.353849253789424</v>
      </c>
      <c r="W118">
        <f t="shared" si="151"/>
        <v>27.392299999999999</v>
      </c>
      <c r="X118">
        <f t="shared" si="152"/>
        <v>3.662460240966146</v>
      </c>
      <c r="Y118">
        <f t="shared" si="153"/>
        <v>65.669883708668891</v>
      </c>
      <c r="Z118">
        <f t="shared" si="154"/>
        <v>2.4929676759133996</v>
      </c>
      <c r="AA118">
        <f t="shared" si="155"/>
        <v>3.796211497758919</v>
      </c>
      <c r="AB118">
        <f t="shared" si="156"/>
        <v>1.1694925650527463</v>
      </c>
      <c r="AC118">
        <f t="shared" si="157"/>
        <v>-285.58462718504938</v>
      </c>
      <c r="AD118">
        <f t="shared" si="158"/>
        <v>96.626824798242154</v>
      </c>
      <c r="AE118">
        <f t="shared" si="159"/>
        <v>7.1926971025687383</v>
      </c>
      <c r="AF118">
        <f t="shared" si="160"/>
        <v>162.62460753288761</v>
      </c>
      <c r="AG118">
        <v>0</v>
      </c>
      <c r="AH118">
        <v>0</v>
      </c>
      <c r="AI118">
        <f t="shared" si="161"/>
        <v>1</v>
      </c>
      <c r="AJ118">
        <f t="shared" si="162"/>
        <v>0</v>
      </c>
      <c r="AK118">
        <f t="shared" si="163"/>
        <v>52403.926579920699</v>
      </c>
      <c r="AL118" t="s">
        <v>415</v>
      </c>
      <c r="AM118">
        <v>10297.6</v>
      </c>
      <c r="AN118">
        <v>785.57400000000007</v>
      </c>
      <c r="AO118">
        <v>3597.65</v>
      </c>
      <c r="AP118">
        <f t="shared" si="164"/>
        <v>0.7816424610509638</v>
      </c>
      <c r="AQ118">
        <v>-0.62398835798131469</v>
      </c>
      <c r="AR118" t="s">
        <v>937</v>
      </c>
      <c r="AS118">
        <v>10240.700000000001</v>
      </c>
      <c r="AT118">
        <v>779.14800000000002</v>
      </c>
      <c r="AU118">
        <v>950.33817059949433</v>
      </c>
      <c r="AV118">
        <f t="shared" si="165"/>
        <v>0.18013605671705657</v>
      </c>
      <c r="AW118">
        <v>0.5</v>
      </c>
      <c r="AX118">
        <f t="shared" si="166"/>
        <v>1513.2768064085626</v>
      </c>
      <c r="AY118">
        <f t="shared" si="167"/>
        <v>20.366593985630221</v>
      </c>
      <c r="AZ118">
        <f t="shared" si="168"/>
        <v>136.29785831390953</v>
      </c>
      <c r="BA118">
        <f t="shared" si="169"/>
        <v>1.3870946977260672E-2</v>
      </c>
      <c r="BB118">
        <f t="shared" si="170"/>
        <v>2.785652424894733</v>
      </c>
      <c r="BC118">
        <f t="shared" si="171"/>
        <v>488.45957170394786</v>
      </c>
      <c r="BD118" t="s">
        <v>938</v>
      </c>
      <c r="BE118">
        <v>567.58000000000004</v>
      </c>
      <c r="BF118">
        <f t="shared" si="172"/>
        <v>567.58000000000004</v>
      </c>
      <c r="BG118">
        <f t="shared" si="173"/>
        <v>0.40275996738933673</v>
      </c>
      <c r="BH118">
        <f t="shared" si="174"/>
        <v>0.44725412479469218</v>
      </c>
      <c r="BI118">
        <f t="shared" si="175"/>
        <v>0.87368008970106481</v>
      </c>
      <c r="BJ118">
        <f t="shared" si="176"/>
        <v>1.0390011977520297</v>
      </c>
      <c r="BK118">
        <f t="shared" si="177"/>
        <v>0.9414083507702159</v>
      </c>
      <c r="BL118">
        <f t="shared" si="178"/>
        <v>0.32580780050898084</v>
      </c>
      <c r="BM118">
        <f t="shared" si="179"/>
        <v>0.67419219949101916</v>
      </c>
      <c r="BN118">
        <v>203</v>
      </c>
      <c r="BO118">
        <v>290.00000000000011</v>
      </c>
      <c r="BP118">
        <v>908.27</v>
      </c>
      <c r="BQ118">
        <v>135</v>
      </c>
      <c r="BR118">
        <v>10240.700000000001</v>
      </c>
      <c r="BS118">
        <v>905.71</v>
      </c>
      <c r="BT118">
        <v>2.56</v>
      </c>
      <c r="BU118">
        <v>300.00000000000011</v>
      </c>
      <c r="BV118">
        <v>24.1</v>
      </c>
      <c r="BW118">
        <v>950.33817059949433</v>
      </c>
      <c r="BX118">
        <v>1.7615254502072411</v>
      </c>
      <c r="BY118">
        <v>-45.703856796499103</v>
      </c>
      <c r="BZ118">
        <v>1.6037821190738479</v>
      </c>
      <c r="CA118">
        <v>0.96667103919189934</v>
      </c>
      <c r="CB118">
        <v>-6.9682473859844296E-3</v>
      </c>
      <c r="CC118">
        <v>289.99999999999989</v>
      </c>
      <c r="CD118">
        <v>904.01</v>
      </c>
      <c r="CE118">
        <v>675</v>
      </c>
      <c r="CF118">
        <v>10202.299999999999</v>
      </c>
      <c r="CG118">
        <v>905.54</v>
      </c>
      <c r="CH118">
        <v>-1.53</v>
      </c>
      <c r="CV118">
        <f t="shared" si="180"/>
        <v>1800.11</v>
      </c>
      <c r="CW118">
        <f t="shared" si="181"/>
        <v>1513.2768064085626</v>
      </c>
      <c r="CX118">
        <f t="shared" si="182"/>
        <v>0.84065796335144116</v>
      </c>
      <c r="CY118">
        <f t="shared" si="183"/>
        <v>0.19131592670288267</v>
      </c>
      <c r="CZ118">
        <v>6</v>
      </c>
      <c r="DA118">
        <v>0.5</v>
      </c>
      <c r="DB118" t="s">
        <v>418</v>
      </c>
      <c r="DC118">
        <v>2</v>
      </c>
      <c r="DD118">
        <v>1674599545</v>
      </c>
      <c r="DE118">
        <v>94.835099999999997</v>
      </c>
      <c r="DF118">
        <v>120.008</v>
      </c>
      <c r="DG118">
        <v>25.004899999999999</v>
      </c>
      <c r="DH118">
        <v>17.429400000000001</v>
      </c>
      <c r="DI118">
        <v>95.581500000000005</v>
      </c>
      <c r="DJ118">
        <v>24.7623</v>
      </c>
      <c r="DK118">
        <v>500.07900000000001</v>
      </c>
      <c r="DL118">
        <v>99.598699999999994</v>
      </c>
      <c r="DM118">
        <v>0.100466</v>
      </c>
      <c r="DN118">
        <v>28.0062</v>
      </c>
      <c r="DO118">
        <v>27.392299999999999</v>
      </c>
      <c r="DP118">
        <v>999.9</v>
      </c>
      <c r="DQ118">
        <v>0</v>
      </c>
      <c r="DR118">
        <v>0</v>
      </c>
      <c r="DS118">
        <v>9983.1200000000008</v>
      </c>
      <c r="DT118">
        <v>0</v>
      </c>
      <c r="DU118">
        <v>323.93700000000001</v>
      </c>
      <c r="DV118">
        <v>-25.173100000000002</v>
      </c>
      <c r="DW118">
        <v>97.267300000000006</v>
      </c>
      <c r="DX118">
        <v>122.137</v>
      </c>
      <c r="DY118">
        <v>7.5755499999999998</v>
      </c>
      <c r="DZ118">
        <v>120.008</v>
      </c>
      <c r="EA118">
        <v>17.429400000000001</v>
      </c>
      <c r="EB118">
        <v>2.4904600000000001</v>
      </c>
      <c r="EC118">
        <v>1.73594</v>
      </c>
      <c r="ED118">
        <v>20.964300000000001</v>
      </c>
      <c r="EE118">
        <v>15.2216</v>
      </c>
      <c r="EF118">
        <v>1800.11</v>
      </c>
      <c r="EG118">
        <v>0.97800399999999998</v>
      </c>
      <c r="EH118">
        <v>2.19957E-2</v>
      </c>
      <c r="EI118">
        <v>0</v>
      </c>
      <c r="EJ118">
        <v>778.7</v>
      </c>
      <c r="EK118">
        <v>5.0002599999999999</v>
      </c>
      <c r="EL118">
        <v>14190.4</v>
      </c>
      <c r="EM118">
        <v>17104.5</v>
      </c>
      <c r="EN118">
        <v>49.875</v>
      </c>
      <c r="EO118">
        <v>51.186999999999998</v>
      </c>
      <c r="EP118">
        <v>50.811999999999998</v>
      </c>
      <c r="EQ118">
        <v>50.375</v>
      </c>
      <c r="ER118">
        <v>51.061999999999998</v>
      </c>
      <c r="ES118">
        <v>1755.62</v>
      </c>
      <c r="ET118">
        <v>39.479999999999997</v>
      </c>
      <c r="EU118">
        <v>0</v>
      </c>
      <c r="EV118">
        <v>118.7999999523163</v>
      </c>
      <c r="EW118">
        <v>0</v>
      </c>
      <c r="EX118">
        <v>779.14800000000002</v>
      </c>
      <c r="EY118">
        <v>-3.2885469968657359</v>
      </c>
      <c r="EZ118">
        <v>-67.169230699714646</v>
      </c>
      <c r="FA118">
        <v>14197.896153846161</v>
      </c>
      <c r="FB118">
        <v>15</v>
      </c>
      <c r="FC118">
        <v>1674599507.5</v>
      </c>
      <c r="FD118" t="s">
        <v>939</v>
      </c>
      <c r="FE118">
        <v>1674599497</v>
      </c>
      <c r="FF118">
        <v>1674599507.5</v>
      </c>
      <c r="FG118">
        <v>115</v>
      </c>
      <c r="FH118">
        <v>2.5999999999999999E-2</v>
      </c>
      <c r="FI118">
        <v>0</v>
      </c>
      <c r="FJ118">
        <v>-0.73199999999999998</v>
      </c>
      <c r="FK118">
        <v>6.8000000000000005E-2</v>
      </c>
      <c r="FL118">
        <v>120</v>
      </c>
      <c r="FM118">
        <v>18</v>
      </c>
      <c r="FN118">
        <v>0.05</v>
      </c>
      <c r="FO118">
        <v>0.01</v>
      </c>
      <c r="FP118">
        <v>20.38444899590619</v>
      </c>
      <c r="FQ118">
        <v>-0.14433758539114999</v>
      </c>
      <c r="FR118">
        <v>3.6246494653197431E-2</v>
      </c>
      <c r="FS118">
        <v>1</v>
      </c>
      <c r="FT118">
        <v>0.5952088609145626</v>
      </c>
      <c r="FU118">
        <v>3.9436282182476037E-2</v>
      </c>
      <c r="FV118">
        <v>4.5174621965130349E-3</v>
      </c>
      <c r="FW118">
        <v>1</v>
      </c>
      <c r="FX118">
        <v>2</v>
      </c>
      <c r="FY118">
        <v>2</v>
      </c>
      <c r="FZ118" t="s">
        <v>420</v>
      </c>
      <c r="GA118">
        <v>2.9279299999999999</v>
      </c>
      <c r="GB118">
        <v>2.8072499999999998</v>
      </c>
      <c r="GC118">
        <v>2.7214700000000001E-2</v>
      </c>
      <c r="GD118">
        <v>3.4458799999999998E-2</v>
      </c>
      <c r="GE118">
        <v>0.11515300000000001</v>
      </c>
      <c r="GF118">
        <v>9.0763200000000002E-2</v>
      </c>
      <c r="GG118">
        <v>28870.9</v>
      </c>
      <c r="GH118">
        <v>29121.599999999999</v>
      </c>
      <c r="GI118">
        <v>28191.5</v>
      </c>
      <c r="GJ118">
        <v>27179.4</v>
      </c>
      <c r="GK118">
        <v>35807</v>
      </c>
      <c r="GL118">
        <v>32639.200000000001</v>
      </c>
      <c r="GM118">
        <v>41976.6</v>
      </c>
      <c r="GN118">
        <v>36885.199999999997</v>
      </c>
      <c r="GO118">
        <v>1.9249000000000001</v>
      </c>
      <c r="GP118">
        <v>1.8812500000000001</v>
      </c>
      <c r="GQ118">
        <v>4.87193E-2</v>
      </c>
      <c r="GR118">
        <v>0</v>
      </c>
      <c r="GS118">
        <v>26.595600000000001</v>
      </c>
      <c r="GT118">
        <v>999.9</v>
      </c>
      <c r="GU118">
        <v>49.6</v>
      </c>
      <c r="GV118">
        <v>34.9</v>
      </c>
      <c r="GW118">
        <v>27.9712</v>
      </c>
      <c r="GX118">
        <v>60.591900000000003</v>
      </c>
      <c r="GY118">
        <v>27.031199999999998</v>
      </c>
      <c r="GZ118">
        <v>1</v>
      </c>
      <c r="HA118">
        <v>0.43709100000000001</v>
      </c>
      <c r="HB118">
        <v>3.1939099999999998</v>
      </c>
      <c r="HC118">
        <v>20.317799999999998</v>
      </c>
      <c r="HD118">
        <v>5.24125</v>
      </c>
      <c r="HE118">
        <v>11.9381</v>
      </c>
      <c r="HF118">
        <v>4.9736500000000001</v>
      </c>
      <c r="HG118">
        <v>3.2989999999999999</v>
      </c>
      <c r="HH118">
        <v>9999</v>
      </c>
      <c r="HI118">
        <v>9999</v>
      </c>
      <c r="HJ118">
        <v>9999</v>
      </c>
      <c r="HK118">
        <v>999.9</v>
      </c>
      <c r="HL118">
        <v>1.87334</v>
      </c>
      <c r="HM118">
        <v>1.8810899999999999</v>
      </c>
      <c r="HN118">
        <v>1.8846099999999999</v>
      </c>
      <c r="HO118">
        <v>1.8812599999999999</v>
      </c>
      <c r="HP118">
        <v>1.87866</v>
      </c>
      <c r="HQ118">
        <v>1.8733299999999999</v>
      </c>
      <c r="HR118">
        <v>1.87622</v>
      </c>
      <c r="HS118">
        <v>1.8804700000000001</v>
      </c>
      <c r="HT118">
        <v>5</v>
      </c>
      <c r="HU118">
        <v>0</v>
      </c>
      <c r="HV118">
        <v>0</v>
      </c>
      <c r="HW118">
        <v>0</v>
      </c>
      <c r="HX118" t="s">
        <v>421</v>
      </c>
      <c r="HY118" t="s">
        <v>422</v>
      </c>
      <c r="HZ118" t="s">
        <v>423</v>
      </c>
      <c r="IA118" t="s">
        <v>423</v>
      </c>
      <c r="IB118" t="s">
        <v>423</v>
      </c>
      <c r="IC118" t="s">
        <v>423</v>
      </c>
      <c r="ID118">
        <v>0</v>
      </c>
      <c r="IE118">
        <v>100</v>
      </c>
      <c r="IF118">
        <v>100</v>
      </c>
      <c r="IG118">
        <v>-0.746</v>
      </c>
      <c r="IH118">
        <v>0.24260000000000001</v>
      </c>
      <c r="II118">
        <v>-0.82024744008863593</v>
      </c>
      <c r="IJ118">
        <v>9.4905977090923709E-4</v>
      </c>
      <c r="IK118">
        <v>-1.9106666302146479E-6</v>
      </c>
      <c r="IL118">
        <v>7.5819610513223293E-10</v>
      </c>
      <c r="IM118">
        <v>-5.8183512267715308E-2</v>
      </c>
      <c r="IN118">
        <v>-1.0595840490420019E-2</v>
      </c>
      <c r="IO118">
        <v>1.2407080968752471E-3</v>
      </c>
      <c r="IP118">
        <v>-1.3015442653884381E-5</v>
      </c>
      <c r="IQ118">
        <v>33</v>
      </c>
      <c r="IR118">
        <v>2014</v>
      </c>
      <c r="IS118">
        <v>1</v>
      </c>
      <c r="IT118">
        <v>26</v>
      </c>
      <c r="IU118">
        <v>0.8</v>
      </c>
      <c r="IV118">
        <v>0.6</v>
      </c>
      <c r="IW118">
        <v>0.40527299999999999</v>
      </c>
      <c r="IX118">
        <v>2.5524900000000001</v>
      </c>
      <c r="IY118">
        <v>1.5991200000000001</v>
      </c>
      <c r="IZ118">
        <v>2.2973599999999998</v>
      </c>
      <c r="JA118">
        <v>1.5502899999999999</v>
      </c>
      <c r="JB118">
        <v>2.2912599999999999</v>
      </c>
      <c r="JC118">
        <v>38.575000000000003</v>
      </c>
      <c r="JD118">
        <v>24.052499999999998</v>
      </c>
      <c r="JE118">
        <v>18</v>
      </c>
      <c r="JF118">
        <v>488.64600000000002</v>
      </c>
      <c r="JG118">
        <v>494.47500000000002</v>
      </c>
      <c r="JH118">
        <v>22.589600000000001</v>
      </c>
      <c r="JI118">
        <v>32.6736</v>
      </c>
      <c r="JJ118">
        <v>30.0002</v>
      </c>
      <c r="JK118">
        <v>32.763300000000001</v>
      </c>
      <c r="JL118">
        <v>32.729300000000002</v>
      </c>
      <c r="JM118">
        <v>8.16</v>
      </c>
      <c r="JN118">
        <v>44.797699999999999</v>
      </c>
      <c r="JO118">
        <v>0</v>
      </c>
      <c r="JP118">
        <v>22.583600000000001</v>
      </c>
      <c r="JQ118">
        <v>120</v>
      </c>
      <c r="JR118">
        <v>17.331900000000001</v>
      </c>
      <c r="JS118">
        <v>99.523700000000005</v>
      </c>
      <c r="JT118">
        <v>98.7517</v>
      </c>
    </row>
    <row r="119" spans="1:280" x14ac:dyDescent="0.25">
      <c r="A119">
        <v>103</v>
      </c>
      <c r="B119">
        <v>1674599659.5</v>
      </c>
      <c r="C119">
        <v>24234.5</v>
      </c>
      <c r="D119" t="s">
        <v>940</v>
      </c>
      <c r="E119" t="s">
        <v>941</v>
      </c>
      <c r="F119" t="s">
        <v>412</v>
      </c>
      <c r="G119" t="s">
        <v>921</v>
      </c>
      <c r="H119" t="s">
        <v>637</v>
      </c>
      <c r="I119">
        <v>1674599659.5</v>
      </c>
      <c r="J119">
        <f t="shared" si="138"/>
        <v>6.7641520499504915E-3</v>
      </c>
      <c r="K119">
        <f t="shared" si="139"/>
        <v>6.7641520499504919</v>
      </c>
      <c r="L119">
        <f t="shared" si="140"/>
        <v>12.352661359346941</v>
      </c>
      <c r="M119">
        <f t="shared" si="141"/>
        <v>54.795499999999997</v>
      </c>
      <c r="N119">
        <f t="shared" si="142"/>
        <v>19.419989961738896</v>
      </c>
      <c r="O119">
        <f t="shared" si="143"/>
        <v>1.9362091203666969</v>
      </c>
      <c r="P119">
        <f t="shared" si="144"/>
        <v>5.4632132696300006</v>
      </c>
      <c r="Q119">
        <f t="shared" si="145"/>
        <v>0.62797269868043715</v>
      </c>
      <c r="R119">
        <f t="shared" si="146"/>
        <v>2.9177289431237696</v>
      </c>
      <c r="S119">
        <f t="shared" si="147"/>
        <v>0.56142859386824684</v>
      </c>
      <c r="T119">
        <f t="shared" si="148"/>
        <v>0.35628217868792789</v>
      </c>
      <c r="U119">
        <f t="shared" si="149"/>
        <v>344.38971281712611</v>
      </c>
      <c r="V119">
        <f t="shared" si="150"/>
        <v>28.277340420720325</v>
      </c>
      <c r="W119">
        <f t="shared" si="151"/>
        <v>27.361799999999999</v>
      </c>
      <c r="X119">
        <f t="shared" si="152"/>
        <v>3.6559237911471114</v>
      </c>
      <c r="Y119">
        <f t="shared" si="153"/>
        <v>65.643255304237144</v>
      </c>
      <c r="Z119">
        <f t="shared" si="154"/>
        <v>2.4917389149340003</v>
      </c>
      <c r="AA119">
        <f t="shared" si="155"/>
        <v>3.7958795665838396</v>
      </c>
      <c r="AB119">
        <f t="shared" si="156"/>
        <v>1.1641848762131111</v>
      </c>
      <c r="AC119">
        <f t="shared" si="157"/>
        <v>-298.29910540281668</v>
      </c>
      <c r="AD119">
        <f t="shared" si="158"/>
        <v>101.12855752834778</v>
      </c>
      <c r="AE119">
        <f t="shared" si="159"/>
        <v>7.5312710928495159</v>
      </c>
      <c r="AF119">
        <f t="shared" si="160"/>
        <v>154.75043603550674</v>
      </c>
      <c r="AG119">
        <v>0</v>
      </c>
      <c r="AH119">
        <v>0</v>
      </c>
      <c r="AI119">
        <f t="shared" si="161"/>
        <v>1</v>
      </c>
      <c r="AJ119">
        <f t="shared" si="162"/>
        <v>0</v>
      </c>
      <c r="AK119">
        <f t="shared" si="163"/>
        <v>52352.212232942184</v>
      </c>
      <c r="AL119" t="s">
        <v>415</v>
      </c>
      <c r="AM119">
        <v>10297.6</v>
      </c>
      <c r="AN119">
        <v>785.57400000000007</v>
      </c>
      <c r="AO119">
        <v>3597.65</v>
      </c>
      <c r="AP119">
        <f t="shared" si="164"/>
        <v>0.7816424610509638</v>
      </c>
      <c r="AQ119">
        <v>-0.62398835798131469</v>
      </c>
      <c r="AR119" t="s">
        <v>942</v>
      </c>
      <c r="AS119">
        <v>10236.9</v>
      </c>
      <c r="AT119">
        <v>795.41515384615377</v>
      </c>
      <c r="AU119">
        <v>908.28413364966855</v>
      </c>
      <c r="AV119">
        <f t="shared" si="165"/>
        <v>0.12426615815690234</v>
      </c>
      <c r="AW119">
        <v>0.5</v>
      </c>
      <c r="AX119">
        <f t="shared" si="166"/>
        <v>1513.2768064085626</v>
      </c>
      <c r="AY119">
        <f t="shared" si="167"/>
        <v>12.352661359346941</v>
      </c>
      <c r="AZ119">
        <f t="shared" si="168"/>
        <v>94.024547480169261</v>
      </c>
      <c r="BA119">
        <f t="shared" si="169"/>
        <v>8.5751989737591662E-3</v>
      </c>
      <c r="BB119">
        <f t="shared" si="170"/>
        <v>2.9609301392769218</v>
      </c>
      <c r="BC119">
        <f t="shared" si="171"/>
        <v>477.10552028069185</v>
      </c>
      <c r="BD119" t="s">
        <v>943</v>
      </c>
      <c r="BE119">
        <v>579.22</v>
      </c>
      <c r="BF119">
        <f t="shared" si="172"/>
        <v>579.22</v>
      </c>
      <c r="BG119">
        <f t="shared" si="173"/>
        <v>0.3622920641885734</v>
      </c>
      <c r="BH119">
        <f t="shared" si="174"/>
        <v>0.34299994518296079</v>
      </c>
      <c r="BI119">
        <f t="shared" si="175"/>
        <v>0.89098169126013571</v>
      </c>
      <c r="BJ119">
        <f t="shared" si="176"/>
        <v>0.91980162066932691</v>
      </c>
      <c r="BK119">
        <f t="shared" si="177"/>
        <v>0.95636315176059661</v>
      </c>
      <c r="BL119">
        <f t="shared" si="178"/>
        <v>0.24977199301297323</v>
      </c>
      <c r="BM119">
        <f t="shared" si="179"/>
        <v>0.75022800698702674</v>
      </c>
      <c r="BN119">
        <v>205</v>
      </c>
      <c r="BO119">
        <v>290.00000000000011</v>
      </c>
      <c r="BP119">
        <v>877.06</v>
      </c>
      <c r="BQ119">
        <v>155</v>
      </c>
      <c r="BR119">
        <v>10236.9</v>
      </c>
      <c r="BS119">
        <v>875.65</v>
      </c>
      <c r="BT119">
        <v>1.41</v>
      </c>
      <c r="BU119">
        <v>300.00000000000011</v>
      </c>
      <c r="BV119">
        <v>24.1</v>
      </c>
      <c r="BW119">
        <v>908.28413364966855</v>
      </c>
      <c r="BX119">
        <v>1.6198867402848189</v>
      </c>
      <c r="BY119">
        <v>-33.407767994413547</v>
      </c>
      <c r="BZ119">
        <v>1.474776351602876</v>
      </c>
      <c r="CA119">
        <v>0.94825814200461267</v>
      </c>
      <c r="CB119">
        <v>-6.9679639599555063E-3</v>
      </c>
      <c r="CC119">
        <v>289.99999999999989</v>
      </c>
      <c r="CD119">
        <v>872.22</v>
      </c>
      <c r="CE119">
        <v>625</v>
      </c>
      <c r="CF119">
        <v>10205.299999999999</v>
      </c>
      <c r="CG119">
        <v>875.55</v>
      </c>
      <c r="CH119">
        <v>-3.33</v>
      </c>
      <c r="CV119">
        <f t="shared" si="180"/>
        <v>1800.11</v>
      </c>
      <c r="CW119">
        <f t="shared" si="181"/>
        <v>1513.2768064085626</v>
      </c>
      <c r="CX119">
        <f t="shared" si="182"/>
        <v>0.84065796335144116</v>
      </c>
      <c r="CY119">
        <f t="shared" si="183"/>
        <v>0.19131592670288267</v>
      </c>
      <c r="CZ119">
        <v>6</v>
      </c>
      <c r="DA119">
        <v>0.5</v>
      </c>
      <c r="DB119" t="s">
        <v>418</v>
      </c>
      <c r="DC119">
        <v>2</v>
      </c>
      <c r="DD119">
        <v>1674599659.5</v>
      </c>
      <c r="DE119">
        <v>54.795499999999997</v>
      </c>
      <c r="DF119">
        <v>70.061300000000003</v>
      </c>
      <c r="DG119">
        <v>24.991900000000001</v>
      </c>
      <c r="DH119">
        <v>17.078900000000001</v>
      </c>
      <c r="DI119">
        <v>55.496499999999997</v>
      </c>
      <c r="DJ119">
        <v>24.750599999999999</v>
      </c>
      <c r="DK119">
        <v>500.07100000000003</v>
      </c>
      <c r="DL119">
        <v>99.601600000000005</v>
      </c>
      <c r="DM119">
        <v>0.10026</v>
      </c>
      <c r="DN119">
        <v>28.0047</v>
      </c>
      <c r="DO119">
        <v>27.361799999999999</v>
      </c>
      <c r="DP119">
        <v>999.9</v>
      </c>
      <c r="DQ119">
        <v>0</v>
      </c>
      <c r="DR119">
        <v>0</v>
      </c>
      <c r="DS119">
        <v>9972.5</v>
      </c>
      <c r="DT119">
        <v>0</v>
      </c>
      <c r="DU119">
        <v>321.79500000000002</v>
      </c>
      <c r="DV119">
        <v>-15.265700000000001</v>
      </c>
      <c r="DW119">
        <v>56.200099999999999</v>
      </c>
      <c r="DX119">
        <v>71.278599999999997</v>
      </c>
      <c r="DY119">
        <v>7.9129500000000004</v>
      </c>
      <c r="DZ119">
        <v>70.061300000000003</v>
      </c>
      <c r="EA119">
        <v>17.078900000000001</v>
      </c>
      <c r="EB119">
        <v>2.4892300000000001</v>
      </c>
      <c r="EC119">
        <v>1.70109</v>
      </c>
      <c r="ED119">
        <v>20.956299999999999</v>
      </c>
      <c r="EE119">
        <v>14.9064</v>
      </c>
      <c r="EF119">
        <v>1800.11</v>
      </c>
      <c r="EG119">
        <v>0.97800399999999998</v>
      </c>
      <c r="EH119">
        <v>2.19957E-2</v>
      </c>
      <c r="EI119">
        <v>0</v>
      </c>
      <c r="EJ119">
        <v>794.851</v>
      </c>
      <c r="EK119">
        <v>5.0002599999999999</v>
      </c>
      <c r="EL119">
        <v>14475.5</v>
      </c>
      <c r="EM119">
        <v>17104.400000000001</v>
      </c>
      <c r="EN119">
        <v>49.875</v>
      </c>
      <c r="EO119">
        <v>51.25</v>
      </c>
      <c r="EP119">
        <v>50.811999999999998</v>
      </c>
      <c r="EQ119">
        <v>50.561999999999998</v>
      </c>
      <c r="ER119">
        <v>51.125</v>
      </c>
      <c r="ES119">
        <v>1755.62</v>
      </c>
      <c r="ET119">
        <v>39.479999999999997</v>
      </c>
      <c r="EU119">
        <v>0</v>
      </c>
      <c r="EV119">
        <v>112.7999999523163</v>
      </c>
      <c r="EW119">
        <v>0</v>
      </c>
      <c r="EX119">
        <v>795.41515384615377</v>
      </c>
      <c r="EY119">
        <v>-2.1708033945573679</v>
      </c>
      <c r="EZ119">
        <v>-43.480341820275029</v>
      </c>
      <c r="FA119">
        <v>14479.961538461541</v>
      </c>
      <c r="FB119">
        <v>15</v>
      </c>
      <c r="FC119">
        <v>1674599624.5</v>
      </c>
      <c r="FD119" t="s">
        <v>944</v>
      </c>
      <c r="FE119">
        <v>1674599610.5</v>
      </c>
      <c r="FF119">
        <v>1674599624.5</v>
      </c>
      <c r="FG119">
        <v>116</v>
      </c>
      <c r="FH119">
        <v>7.1999999999999995E-2</v>
      </c>
      <c r="FI119">
        <v>-1E-3</v>
      </c>
      <c r="FJ119">
        <v>-0.69</v>
      </c>
      <c r="FK119">
        <v>5.8999999999999997E-2</v>
      </c>
      <c r="FL119">
        <v>70</v>
      </c>
      <c r="FM119">
        <v>17</v>
      </c>
      <c r="FN119">
        <v>0.06</v>
      </c>
      <c r="FO119">
        <v>0.01</v>
      </c>
      <c r="FP119">
        <v>12.35319801716177</v>
      </c>
      <c r="FQ119">
        <v>-0.57446316100377104</v>
      </c>
      <c r="FR119">
        <v>6.4792589139502393E-2</v>
      </c>
      <c r="FS119">
        <v>1</v>
      </c>
      <c r="FT119">
        <v>0.62138978505333353</v>
      </c>
      <c r="FU119">
        <v>4.6903925223986433E-2</v>
      </c>
      <c r="FV119">
        <v>7.1127992213624149E-3</v>
      </c>
      <c r="FW119">
        <v>1</v>
      </c>
      <c r="FX119">
        <v>2</v>
      </c>
      <c r="FY119">
        <v>2</v>
      </c>
      <c r="FZ119" t="s">
        <v>420</v>
      </c>
      <c r="GA119">
        <v>2.92787</v>
      </c>
      <c r="GB119">
        <v>2.80694</v>
      </c>
      <c r="GC119">
        <v>1.5879399999999998E-2</v>
      </c>
      <c r="GD119">
        <v>2.0346300000000001E-2</v>
      </c>
      <c r="GE119">
        <v>0.11511399999999999</v>
      </c>
      <c r="GF119">
        <v>8.9449100000000004E-2</v>
      </c>
      <c r="GG119">
        <v>29206.1</v>
      </c>
      <c r="GH119">
        <v>29546.1</v>
      </c>
      <c r="GI119">
        <v>28190.400000000001</v>
      </c>
      <c r="GJ119">
        <v>27178.400000000001</v>
      </c>
      <c r="GK119">
        <v>35807</v>
      </c>
      <c r="GL119">
        <v>32685.3</v>
      </c>
      <c r="GM119">
        <v>41974.9</v>
      </c>
      <c r="GN119">
        <v>36884.1</v>
      </c>
      <c r="GO119">
        <v>1.9246000000000001</v>
      </c>
      <c r="GP119">
        <v>1.88015</v>
      </c>
      <c r="GQ119">
        <v>4.4234099999999998E-2</v>
      </c>
      <c r="GR119">
        <v>0</v>
      </c>
      <c r="GS119">
        <v>26.638400000000001</v>
      </c>
      <c r="GT119">
        <v>999.9</v>
      </c>
      <c r="GU119">
        <v>49.6</v>
      </c>
      <c r="GV119">
        <v>35</v>
      </c>
      <c r="GW119">
        <v>28.129100000000001</v>
      </c>
      <c r="GX119">
        <v>61.671900000000001</v>
      </c>
      <c r="GY119">
        <v>27.0793</v>
      </c>
      <c r="GZ119">
        <v>1</v>
      </c>
      <c r="HA119">
        <v>0.44094299999999997</v>
      </c>
      <c r="HB119">
        <v>3.4212099999999999</v>
      </c>
      <c r="HC119">
        <v>20.3124</v>
      </c>
      <c r="HD119">
        <v>5.2328599999999996</v>
      </c>
      <c r="HE119">
        <v>11.9381</v>
      </c>
      <c r="HF119">
        <v>4.9726499999999998</v>
      </c>
      <c r="HG119">
        <v>3.2982300000000002</v>
      </c>
      <c r="HH119">
        <v>9999</v>
      </c>
      <c r="HI119">
        <v>9999</v>
      </c>
      <c r="HJ119">
        <v>9999</v>
      </c>
      <c r="HK119">
        <v>999.9</v>
      </c>
      <c r="HL119">
        <v>1.8733200000000001</v>
      </c>
      <c r="HM119">
        <v>1.88107</v>
      </c>
      <c r="HN119">
        <v>1.8846099999999999</v>
      </c>
      <c r="HO119">
        <v>1.8812599999999999</v>
      </c>
      <c r="HP119">
        <v>1.87866</v>
      </c>
      <c r="HQ119">
        <v>1.8733299999999999</v>
      </c>
      <c r="HR119">
        <v>1.87622</v>
      </c>
      <c r="HS119">
        <v>1.8804700000000001</v>
      </c>
      <c r="HT119">
        <v>5</v>
      </c>
      <c r="HU119">
        <v>0</v>
      </c>
      <c r="HV119">
        <v>0</v>
      </c>
      <c r="HW119">
        <v>0</v>
      </c>
      <c r="HX119" t="s">
        <v>421</v>
      </c>
      <c r="HY119" t="s">
        <v>422</v>
      </c>
      <c r="HZ119" t="s">
        <v>423</v>
      </c>
      <c r="IA119" t="s">
        <v>423</v>
      </c>
      <c r="IB119" t="s">
        <v>423</v>
      </c>
      <c r="IC119" t="s">
        <v>423</v>
      </c>
      <c r="ID119">
        <v>0</v>
      </c>
      <c r="IE119">
        <v>100</v>
      </c>
      <c r="IF119">
        <v>100</v>
      </c>
      <c r="IG119">
        <v>-0.70099999999999996</v>
      </c>
      <c r="IH119">
        <v>0.24129999999999999</v>
      </c>
      <c r="II119">
        <v>-0.74782827231737259</v>
      </c>
      <c r="IJ119">
        <v>9.4905977090923709E-4</v>
      </c>
      <c r="IK119">
        <v>-1.9106666302146479E-6</v>
      </c>
      <c r="IL119">
        <v>7.5819610513223293E-10</v>
      </c>
      <c r="IM119">
        <v>-5.9159901144201069E-2</v>
      </c>
      <c r="IN119">
        <v>-1.0595840490420019E-2</v>
      </c>
      <c r="IO119">
        <v>1.2407080968752471E-3</v>
      </c>
      <c r="IP119">
        <v>-1.3015442653884381E-5</v>
      </c>
      <c r="IQ119">
        <v>33</v>
      </c>
      <c r="IR119">
        <v>2014</v>
      </c>
      <c r="IS119">
        <v>1</v>
      </c>
      <c r="IT119">
        <v>26</v>
      </c>
      <c r="IU119">
        <v>0.8</v>
      </c>
      <c r="IV119">
        <v>0.6</v>
      </c>
      <c r="IW119">
        <v>0.29418899999999998</v>
      </c>
      <c r="IX119">
        <v>2.5671400000000002</v>
      </c>
      <c r="IY119">
        <v>1.5991200000000001</v>
      </c>
      <c r="IZ119">
        <v>2.2973599999999998</v>
      </c>
      <c r="JA119">
        <v>1.5502899999999999</v>
      </c>
      <c r="JB119">
        <v>2.3046899999999999</v>
      </c>
      <c r="JC119">
        <v>38.624099999999999</v>
      </c>
      <c r="JD119">
        <v>24.052499999999998</v>
      </c>
      <c r="JE119">
        <v>18</v>
      </c>
      <c r="JF119">
        <v>488.577</v>
      </c>
      <c r="JG119">
        <v>493.80200000000002</v>
      </c>
      <c r="JH119">
        <v>22.455100000000002</v>
      </c>
      <c r="JI119">
        <v>32.703200000000002</v>
      </c>
      <c r="JJ119">
        <v>30.000299999999999</v>
      </c>
      <c r="JK119">
        <v>32.7791</v>
      </c>
      <c r="JL119">
        <v>32.741399999999999</v>
      </c>
      <c r="JM119">
        <v>5.9155499999999996</v>
      </c>
      <c r="JN119">
        <v>45.862699999999997</v>
      </c>
      <c r="JO119">
        <v>0</v>
      </c>
      <c r="JP119">
        <v>22.452100000000002</v>
      </c>
      <c r="JQ119">
        <v>70</v>
      </c>
      <c r="JR119">
        <v>17.003799999999998</v>
      </c>
      <c r="JS119">
        <v>99.519599999999997</v>
      </c>
      <c r="JT119">
        <v>98.748599999999996</v>
      </c>
    </row>
    <row r="120" spans="1:280" x14ac:dyDescent="0.25">
      <c r="A120">
        <v>104</v>
      </c>
      <c r="B120">
        <v>1674599788</v>
      </c>
      <c r="C120">
        <v>24363</v>
      </c>
      <c r="D120" t="s">
        <v>945</v>
      </c>
      <c r="E120" t="s">
        <v>946</v>
      </c>
      <c r="F120" t="s">
        <v>412</v>
      </c>
      <c r="G120" t="s">
        <v>921</v>
      </c>
      <c r="H120" t="s">
        <v>637</v>
      </c>
      <c r="I120">
        <v>1674599788</v>
      </c>
      <c r="J120">
        <f t="shared" si="138"/>
        <v>6.9851336563679289E-3</v>
      </c>
      <c r="K120">
        <f t="shared" si="139"/>
        <v>6.9851336563679292</v>
      </c>
      <c r="L120">
        <f t="shared" si="140"/>
        <v>5.4229065959919494</v>
      </c>
      <c r="M120">
        <f t="shared" si="141"/>
        <v>23.3248</v>
      </c>
      <c r="N120">
        <f t="shared" si="142"/>
        <v>8.2788503668713336</v>
      </c>
      <c r="O120">
        <f t="shared" si="143"/>
        <v>0.82545826555794277</v>
      </c>
      <c r="P120">
        <f t="shared" si="144"/>
        <v>2.3256428247008003</v>
      </c>
      <c r="Q120">
        <f t="shared" si="145"/>
        <v>0.65041838292800835</v>
      </c>
      <c r="R120">
        <f t="shared" si="146"/>
        <v>2.9132051427291006</v>
      </c>
      <c r="S120">
        <f t="shared" si="147"/>
        <v>0.57922227649982938</v>
      </c>
      <c r="T120">
        <f t="shared" si="148"/>
        <v>0.3677590708352127</v>
      </c>
      <c r="U120">
        <f t="shared" si="149"/>
        <v>344.33708649322136</v>
      </c>
      <c r="V120">
        <f t="shared" si="150"/>
        <v>28.21409367366957</v>
      </c>
      <c r="W120">
        <f t="shared" si="151"/>
        <v>27.3507</v>
      </c>
      <c r="X120">
        <f t="shared" si="152"/>
        <v>3.6535474802132515</v>
      </c>
      <c r="Y120">
        <f t="shared" si="153"/>
        <v>65.570505864628558</v>
      </c>
      <c r="Z120">
        <f t="shared" si="154"/>
        <v>2.4881650244308005</v>
      </c>
      <c r="AA120">
        <f t="shared" si="155"/>
        <v>3.7946405805800247</v>
      </c>
      <c r="AB120">
        <f t="shared" si="156"/>
        <v>1.165382455782451</v>
      </c>
      <c r="AC120">
        <f t="shared" si="157"/>
        <v>-308.04439424582569</v>
      </c>
      <c r="AD120">
        <f t="shared" si="158"/>
        <v>101.83557443057944</v>
      </c>
      <c r="AE120">
        <f t="shared" si="159"/>
        <v>7.5950683731481599</v>
      </c>
      <c r="AF120">
        <f t="shared" si="160"/>
        <v>145.72333505112326</v>
      </c>
      <c r="AG120">
        <v>0</v>
      </c>
      <c r="AH120">
        <v>0</v>
      </c>
      <c r="AI120">
        <f t="shared" si="161"/>
        <v>1</v>
      </c>
      <c r="AJ120">
        <f t="shared" si="162"/>
        <v>0</v>
      </c>
      <c r="AK120">
        <f t="shared" si="163"/>
        <v>52223.492031236543</v>
      </c>
      <c r="AL120" t="s">
        <v>415</v>
      </c>
      <c r="AM120">
        <v>10297.6</v>
      </c>
      <c r="AN120">
        <v>785.57400000000007</v>
      </c>
      <c r="AO120">
        <v>3597.65</v>
      </c>
      <c r="AP120">
        <f t="shared" si="164"/>
        <v>0.7816424610509638</v>
      </c>
      <c r="AQ120">
        <v>-0.62398835798131469</v>
      </c>
      <c r="AR120" t="s">
        <v>947</v>
      </c>
      <c r="AS120">
        <v>10252.1</v>
      </c>
      <c r="AT120">
        <v>813.26787999999999</v>
      </c>
      <c r="AU120">
        <v>883.66924135601016</v>
      </c>
      <c r="AV120">
        <f t="shared" si="165"/>
        <v>7.9669358240847754E-2</v>
      </c>
      <c r="AW120">
        <v>0.5</v>
      </c>
      <c r="AX120">
        <f t="shared" si="166"/>
        <v>1513.0418932466105</v>
      </c>
      <c r="AY120">
        <f t="shared" si="167"/>
        <v>5.4229065959919494</v>
      </c>
      <c r="AZ120">
        <f t="shared" si="168"/>
        <v>60.271538313237365</v>
      </c>
      <c r="BA120">
        <f t="shared" si="169"/>
        <v>3.9965152194154623E-3</v>
      </c>
      <c r="BB120">
        <f t="shared" si="170"/>
        <v>3.0712631283616099</v>
      </c>
      <c r="BC120">
        <f t="shared" si="171"/>
        <v>470.22522873368689</v>
      </c>
      <c r="BD120" t="s">
        <v>948</v>
      </c>
      <c r="BE120">
        <v>603.28</v>
      </c>
      <c r="BF120">
        <f t="shared" si="172"/>
        <v>603.28</v>
      </c>
      <c r="BG120">
        <f t="shared" si="173"/>
        <v>0.31730112154378787</v>
      </c>
      <c r="BH120">
        <f t="shared" si="174"/>
        <v>0.25108438902839919</v>
      </c>
      <c r="BI120">
        <f t="shared" si="175"/>
        <v>0.90636119071590693</v>
      </c>
      <c r="BJ120">
        <f t="shared" si="176"/>
        <v>0.71768375695725661</v>
      </c>
      <c r="BK120">
        <f t="shared" si="177"/>
        <v>0.96511643307079542</v>
      </c>
      <c r="BL120">
        <f t="shared" si="178"/>
        <v>0.18625374730531918</v>
      </c>
      <c r="BM120">
        <f t="shared" si="179"/>
        <v>0.81374625269468082</v>
      </c>
      <c r="BN120">
        <v>207</v>
      </c>
      <c r="BO120">
        <v>290.00000000000011</v>
      </c>
      <c r="BP120">
        <v>864.48</v>
      </c>
      <c r="BQ120">
        <v>75</v>
      </c>
      <c r="BR120">
        <v>10252.1</v>
      </c>
      <c r="BS120">
        <v>860.84</v>
      </c>
      <c r="BT120">
        <v>3.64</v>
      </c>
      <c r="BU120">
        <v>300.00000000000011</v>
      </c>
      <c r="BV120">
        <v>24.1</v>
      </c>
      <c r="BW120">
        <v>883.66924135601016</v>
      </c>
      <c r="BX120">
        <v>1.754355047408614</v>
      </c>
      <c r="BY120">
        <v>-23.407360869948921</v>
      </c>
      <c r="BZ120">
        <v>1.5971852423763491</v>
      </c>
      <c r="CA120">
        <v>0.88466936200549995</v>
      </c>
      <c r="CB120">
        <v>-6.9678865406006731E-3</v>
      </c>
      <c r="CC120">
        <v>289.99999999999989</v>
      </c>
      <c r="CD120">
        <v>858.29</v>
      </c>
      <c r="CE120">
        <v>645</v>
      </c>
      <c r="CF120">
        <v>10203.799999999999</v>
      </c>
      <c r="CG120">
        <v>860.73</v>
      </c>
      <c r="CH120">
        <v>-2.44</v>
      </c>
      <c r="CV120">
        <f t="shared" si="180"/>
        <v>1799.83</v>
      </c>
      <c r="CW120">
        <f t="shared" si="181"/>
        <v>1513.0418932466105</v>
      </c>
      <c r="CX120">
        <f t="shared" si="182"/>
        <v>0.84065822508048571</v>
      </c>
      <c r="CY120">
        <f t="shared" si="183"/>
        <v>0.19131645016097151</v>
      </c>
      <c r="CZ120">
        <v>6</v>
      </c>
      <c r="DA120">
        <v>0.5</v>
      </c>
      <c r="DB120" t="s">
        <v>418</v>
      </c>
      <c r="DC120">
        <v>2</v>
      </c>
      <c r="DD120">
        <v>1674599788</v>
      </c>
      <c r="DE120">
        <v>23.3248</v>
      </c>
      <c r="DF120">
        <v>30.026499999999999</v>
      </c>
      <c r="DG120">
        <v>24.954799999999999</v>
      </c>
      <c r="DH120">
        <v>16.7834</v>
      </c>
      <c r="DI120">
        <v>23.977</v>
      </c>
      <c r="DJ120">
        <v>24.717500000000001</v>
      </c>
      <c r="DK120">
        <v>500.09699999999998</v>
      </c>
      <c r="DL120">
        <v>99.6066</v>
      </c>
      <c r="DM120">
        <v>0.100271</v>
      </c>
      <c r="DN120">
        <v>27.999099999999999</v>
      </c>
      <c r="DO120">
        <v>27.3507</v>
      </c>
      <c r="DP120">
        <v>999.9</v>
      </c>
      <c r="DQ120">
        <v>0</v>
      </c>
      <c r="DR120">
        <v>0</v>
      </c>
      <c r="DS120">
        <v>9946.25</v>
      </c>
      <c r="DT120">
        <v>0</v>
      </c>
      <c r="DU120">
        <v>319.005</v>
      </c>
      <c r="DV120">
        <v>-6.7017100000000003</v>
      </c>
      <c r="DW120">
        <v>23.921800000000001</v>
      </c>
      <c r="DX120">
        <v>30.539100000000001</v>
      </c>
      <c r="DY120">
        <v>8.1714500000000001</v>
      </c>
      <c r="DZ120">
        <v>30.026499999999999</v>
      </c>
      <c r="EA120">
        <v>16.7834</v>
      </c>
      <c r="EB120">
        <v>2.4856699999999998</v>
      </c>
      <c r="EC120">
        <v>1.67174</v>
      </c>
      <c r="ED120">
        <v>20.9329</v>
      </c>
      <c r="EE120">
        <v>14.6364</v>
      </c>
      <c r="EF120">
        <v>1799.83</v>
      </c>
      <c r="EG120">
        <v>0.97800100000000001</v>
      </c>
      <c r="EH120">
        <v>2.1999399999999999E-2</v>
      </c>
      <c r="EI120">
        <v>0</v>
      </c>
      <c r="EJ120">
        <v>813.05399999999997</v>
      </c>
      <c r="EK120">
        <v>5.0002599999999999</v>
      </c>
      <c r="EL120">
        <v>14783</v>
      </c>
      <c r="EM120">
        <v>17101.8</v>
      </c>
      <c r="EN120">
        <v>50</v>
      </c>
      <c r="EO120">
        <v>51.311999999999998</v>
      </c>
      <c r="EP120">
        <v>50.936999999999998</v>
      </c>
      <c r="EQ120">
        <v>50.561999999999998</v>
      </c>
      <c r="ER120">
        <v>51.186999999999998</v>
      </c>
      <c r="ES120">
        <v>1755.35</v>
      </c>
      <c r="ET120">
        <v>39.49</v>
      </c>
      <c r="EU120">
        <v>0</v>
      </c>
      <c r="EV120">
        <v>126.6000001430511</v>
      </c>
      <c r="EW120">
        <v>0</v>
      </c>
      <c r="EX120">
        <v>813.26787999999999</v>
      </c>
      <c r="EY120">
        <v>0.28784615020435278</v>
      </c>
      <c r="EZ120">
        <v>-11.66923074574348</v>
      </c>
      <c r="FA120">
        <v>14784.584000000001</v>
      </c>
      <c r="FB120">
        <v>15</v>
      </c>
      <c r="FC120">
        <v>1674599752.5</v>
      </c>
      <c r="FD120" t="s">
        <v>949</v>
      </c>
      <c r="FE120">
        <v>1674599742.5</v>
      </c>
      <c r="FF120">
        <v>1674599752.5</v>
      </c>
      <c r="FG120">
        <v>117</v>
      </c>
      <c r="FH120">
        <v>7.3999999999999996E-2</v>
      </c>
      <c r="FI120">
        <v>-3.0000000000000001E-3</v>
      </c>
      <c r="FJ120">
        <v>-0.64700000000000002</v>
      </c>
      <c r="FK120">
        <v>4.3999999999999997E-2</v>
      </c>
      <c r="FL120">
        <v>30</v>
      </c>
      <c r="FM120">
        <v>17</v>
      </c>
      <c r="FN120">
        <v>0.19</v>
      </c>
      <c r="FO120">
        <v>0.01</v>
      </c>
      <c r="FP120">
        <v>5.4591960666054673</v>
      </c>
      <c r="FQ120">
        <v>-0.68177678472986247</v>
      </c>
      <c r="FR120">
        <v>7.6016644557548696E-2</v>
      </c>
      <c r="FS120">
        <v>1</v>
      </c>
      <c r="FT120">
        <v>0.65032431005982438</v>
      </c>
      <c r="FU120">
        <v>4.5658743118304042E-2</v>
      </c>
      <c r="FV120">
        <v>7.0428172323355031E-3</v>
      </c>
      <c r="FW120">
        <v>1</v>
      </c>
      <c r="FX120">
        <v>2</v>
      </c>
      <c r="FY120">
        <v>2</v>
      </c>
      <c r="FZ120" t="s">
        <v>420</v>
      </c>
      <c r="GA120">
        <v>2.92787</v>
      </c>
      <c r="GB120">
        <v>2.8067299999999999</v>
      </c>
      <c r="GC120">
        <v>6.8470099999999997E-3</v>
      </c>
      <c r="GD120">
        <v>8.7237900000000004E-3</v>
      </c>
      <c r="GE120">
        <v>0.115005</v>
      </c>
      <c r="GF120">
        <v>8.83322E-2</v>
      </c>
      <c r="GG120">
        <v>29471.5</v>
      </c>
      <c r="GH120">
        <v>29894.2</v>
      </c>
      <c r="GI120">
        <v>28188.1</v>
      </c>
      <c r="GJ120">
        <v>27176.400000000001</v>
      </c>
      <c r="GK120">
        <v>35809</v>
      </c>
      <c r="GL120">
        <v>32723.599999999999</v>
      </c>
      <c r="GM120">
        <v>41972</v>
      </c>
      <c r="GN120">
        <v>36882.1</v>
      </c>
      <c r="GO120">
        <v>1.92442</v>
      </c>
      <c r="GP120">
        <v>1.8789499999999999</v>
      </c>
      <c r="GQ120">
        <v>4.54858E-2</v>
      </c>
      <c r="GR120">
        <v>0</v>
      </c>
      <c r="GS120">
        <v>26.6068</v>
      </c>
      <c r="GT120">
        <v>999.9</v>
      </c>
      <c r="GU120">
        <v>49.6</v>
      </c>
      <c r="GV120">
        <v>35</v>
      </c>
      <c r="GW120">
        <v>28.125900000000001</v>
      </c>
      <c r="GX120">
        <v>61.251899999999999</v>
      </c>
      <c r="GY120">
        <v>26.578499999999998</v>
      </c>
      <c r="GZ120">
        <v>1</v>
      </c>
      <c r="HA120">
        <v>0.44286799999999998</v>
      </c>
      <c r="HB120">
        <v>3.2655799999999999</v>
      </c>
      <c r="HC120">
        <v>20.315200000000001</v>
      </c>
      <c r="HD120">
        <v>5.2391500000000004</v>
      </c>
      <c r="HE120">
        <v>11.9381</v>
      </c>
      <c r="HF120">
        <v>4.9731500000000004</v>
      </c>
      <c r="HG120">
        <v>3.2985500000000001</v>
      </c>
      <c r="HH120">
        <v>9999</v>
      </c>
      <c r="HI120">
        <v>9999</v>
      </c>
      <c r="HJ120">
        <v>9999</v>
      </c>
      <c r="HK120">
        <v>999.9</v>
      </c>
      <c r="HL120">
        <v>1.8733299999999999</v>
      </c>
      <c r="HM120">
        <v>1.8811</v>
      </c>
      <c r="HN120">
        <v>1.8846099999999999</v>
      </c>
      <c r="HO120">
        <v>1.88127</v>
      </c>
      <c r="HP120">
        <v>1.87866</v>
      </c>
      <c r="HQ120">
        <v>1.8733500000000001</v>
      </c>
      <c r="HR120">
        <v>1.87622</v>
      </c>
      <c r="HS120">
        <v>1.8804799999999999</v>
      </c>
      <c r="HT120">
        <v>5</v>
      </c>
      <c r="HU120">
        <v>0</v>
      </c>
      <c r="HV120">
        <v>0</v>
      </c>
      <c r="HW120">
        <v>0</v>
      </c>
      <c r="HX120" t="s">
        <v>421</v>
      </c>
      <c r="HY120" t="s">
        <v>422</v>
      </c>
      <c r="HZ120" t="s">
        <v>423</v>
      </c>
      <c r="IA120" t="s">
        <v>423</v>
      </c>
      <c r="IB120" t="s">
        <v>423</v>
      </c>
      <c r="IC120" t="s">
        <v>423</v>
      </c>
      <c r="ID120">
        <v>0</v>
      </c>
      <c r="IE120">
        <v>100</v>
      </c>
      <c r="IF120">
        <v>100</v>
      </c>
      <c r="IG120">
        <v>-0.65200000000000002</v>
      </c>
      <c r="IH120">
        <v>0.23730000000000001</v>
      </c>
      <c r="II120">
        <v>-0.67392546738029757</v>
      </c>
      <c r="IJ120">
        <v>9.4905977090923709E-4</v>
      </c>
      <c r="IK120">
        <v>-1.9106666302146479E-6</v>
      </c>
      <c r="IL120">
        <v>7.5819610513223293E-10</v>
      </c>
      <c r="IM120">
        <v>-6.2184675348749267E-2</v>
      </c>
      <c r="IN120">
        <v>-1.0595840490420019E-2</v>
      </c>
      <c r="IO120">
        <v>1.2407080968752471E-3</v>
      </c>
      <c r="IP120">
        <v>-1.3015442653884381E-5</v>
      </c>
      <c r="IQ120">
        <v>33</v>
      </c>
      <c r="IR120">
        <v>2014</v>
      </c>
      <c r="IS120">
        <v>1</v>
      </c>
      <c r="IT120">
        <v>26</v>
      </c>
      <c r="IU120">
        <v>0.8</v>
      </c>
      <c r="IV120">
        <v>0.6</v>
      </c>
      <c r="IW120">
        <v>0.20629900000000001</v>
      </c>
      <c r="IX120">
        <v>2.5927699999999998</v>
      </c>
      <c r="IY120">
        <v>1.5991200000000001</v>
      </c>
      <c r="IZ120">
        <v>2.2973599999999998</v>
      </c>
      <c r="JA120">
        <v>1.5490699999999999</v>
      </c>
      <c r="JB120">
        <v>2.2827099999999998</v>
      </c>
      <c r="JC120">
        <v>38.648699999999998</v>
      </c>
      <c r="JD120">
        <v>24.052499999999998</v>
      </c>
      <c r="JE120">
        <v>18</v>
      </c>
      <c r="JF120">
        <v>488.67099999999999</v>
      </c>
      <c r="JG120">
        <v>493.14800000000002</v>
      </c>
      <c r="JH120">
        <v>22.596499999999999</v>
      </c>
      <c r="JI120">
        <v>32.737400000000001</v>
      </c>
      <c r="JJ120">
        <v>30.0001</v>
      </c>
      <c r="JK120">
        <v>32.805399999999999</v>
      </c>
      <c r="JL120">
        <v>32.764200000000002</v>
      </c>
      <c r="JM120">
        <v>4.1771799999999999</v>
      </c>
      <c r="JN120">
        <v>46.984999999999999</v>
      </c>
      <c r="JO120">
        <v>0</v>
      </c>
      <c r="JP120">
        <v>22.5974</v>
      </c>
      <c r="JQ120">
        <v>30</v>
      </c>
      <c r="JR120">
        <v>16.6769</v>
      </c>
      <c r="JS120">
        <v>99.512299999999996</v>
      </c>
      <c r="JT120">
        <v>98.7423</v>
      </c>
    </row>
    <row r="121" spans="1:280" x14ac:dyDescent="0.25">
      <c r="A121">
        <v>105</v>
      </c>
      <c r="B121">
        <v>1674599900</v>
      </c>
      <c r="C121">
        <v>24475</v>
      </c>
      <c r="D121" t="s">
        <v>950</v>
      </c>
      <c r="E121" t="s">
        <v>951</v>
      </c>
      <c r="F121" t="s">
        <v>412</v>
      </c>
      <c r="G121" t="s">
        <v>921</v>
      </c>
      <c r="H121" t="s">
        <v>637</v>
      </c>
      <c r="I121">
        <v>1674599900</v>
      </c>
      <c r="J121">
        <f t="shared" si="138"/>
        <v>7.0933240190977718E-3</v>
      </c>
      <c r="K121">
        <f t="shared" si="139"/>
        <v>7.0933240190977722</v>
      </c>
      <c r="L121">
        <f t="shared" si="140"/>
        <v>1.6852662512794916</v>
      </c>
      <c r="M121">
        <f t="shared" si="141"/>
        <v>7.8746299999999998</v>
      </c>
      <c r="N121">
        <f t="shared" si="142"/>
        <v>3.2788869776552021</v>
      </c>
      <c r="O121">
        <f t="shared" si="143"/>
        <v>0.32695500846753711</v>
      </c>
      <c r="P121">
        <f t="shared" si="144"/>
        <v>0.78522063611046</v>
      </c>
      <c r="Q121">
        <f t="shared" si="145"/>
        <v>0.66518715411962104</v>
      </c>
      <c r="R121">
        <f t="shared" si="146"/>
        <v>2.9136708997604952</v>
      </c>
      <c r="S121">
        <f t="shared" si="147"/>
        <v>0.59092857721471403</v>
      </c>
      <c r="T121">
        <f t="shared" si="148"/>
        <v>0.37530906271973752</v>
      </c>
      <c r="U121">
        <f t="shared" si="149"/>
        <v>344.40929965779333</v>
      </c>
      <c r="V121">
        <f t="shared" si="150"/>
        <v>28.185629696368757</v>
      </c>
      <c r="W121">
        <f t="shared" si="151"/>
        <v>27.3172</v>
      </c>
      <c r="X121">
        <f t="shared" si="152"/>
        <v>3.6463839025136853</v>
      </c>
      <c r="Y121">
        <f t="shared" si="153"/>
        <v>65.522067978105412</v>
      </c>
      <c r="Z121">
        <f t="shared" si="154"/>
        <v>2.4862400148827999</v>
      </c>
      <c r="AA121">
        <f t="shared" si="155"/>
        <v>3.7945078530085339</v>
      </c>
      <c r="AB121">
        <f t="shared" si="156"/>
        <v>1.1601438876308854</v>
      </c>
      <c r="AC121">
        <f t="shared" si="157"/>
        <v>-312.81558924221173</v>
      </c>
      <c r="AD121">
        <f t="shared" si="158"/>
        <v>107.01984774577602</v>
      </c>
      <c r="AE121">
        <f t="shared" si="159"/>
        <v>7.9790877295287501</v>
      </c>
      <c r="AF121">
        <f t="shared" si="160"/>
        <v>146.59264589088639</v>
      </c>
      <c r="AG121">
        <v>0</v>
      </c>
      <c r="AH121">
        <v>0</v>
      </c>
      <c r="AI121">
        <f t="shared" si="161"/>
        <v>1</v>
      </c>
      <c r="AJ121">
        <f t="shared" si="162"/>
        <v>0</v>
      </c>
      <c r="AK121">
        <f t="shared" si="163"/>
        <v>52237.116165183856</v>
      </c>
      <c r="AL121" t="s">
        <v>415</v>
      </c>
      <c r="AM121">
        <v>10297.6</v>
      </c>
      <c r="AN121">
        <v>785.57400000000007</v>
      </c>
      <c r="AO121">
        <v>3597.65</v>
      </c>
      <c r="AP121">
        <f t="shared" si="164"/>
        <v>0.7816424610509638</v>
      </c>
      <c r="AQ121">
        <v>-0.62398835798131469</v>
      </c>
      <c r="AR121" t="s">
        <v>952</v>
      </c>
      <c r="AS121">
        <v>10252.4</v>
      </c>
      <c r="AT121">
        <v>822.50024000000008</v>
      </c>
      <c r="AU121">
        <v>883.08388166715486</v>
      </c>
      <c r="AV121">
        <f t="shared" si="165"/>
        <v>6.860462853515148E-2</v>
      </c>
      <c r="AW121">
        <v>0.5</v>
      </c>
      <c r="AX121">
        <f t="shared" si="166"/>
        <v>1513.3610998288966</v>
      </c>
      <c r="AY121">
        <f t="shared" si="167"/>
        <v>1.6852662512794916</v>
      </c>
      <c r="AZ121">
        <f t="shared" si="168"/>
        <v>51.911788046654877</v>
      </c>
      <c r="BA121">
        <f t="shared" si="169"/>
        <v>1.5259111718425266E-3</v>
      </c>
      <c r="BB121">
        <f t="shared" si="170"/>
        <v>3.0739617998780306</v>
      </c>
      <c r="BC121">
        <f t="shared" si="171"/>
        <v>470.05942671733442</v>
      </c>
      <c r="BD121" t="s">
        <v>953</v>
      </c>
      <c r="BE121">
        <v>620.07000000000005</v>
      </c>
      <c r="BF121">
        <f t="shared" si="172"/>
        <v>620.07000000000005</v>
      </c>
      <c r="BG121">
        <f t="shared" si="173"/>
        <v>0.29783567238325837</v>
      </c>
      <c r="BH121">
        <f t="shared" si="174"/>
        <v>0.23034389395394589</v>
      </c>
      <c r="BI121">
        <f t="shared" si="175"/>
        <v>0.91166857593510342</v>
      </c>
      <c r="BJ121">
        <f t="shared" si="176"/>
        <v>0.62130771396025353</v>
      </c>
      <c r="BK121">
        <f t="shared" si="177"/>
        <v>0.96532459234133261</v>
      </c>
      <c r="BL121">
        <f t="shared" si="178"/>
        <v>0.17365264030077757</v>
      </c>
      <c r="BM121">
        <f t="shared" si="179"/>
        <v>0.82634735969922246</v>
      </c>
      <c r="BN121">
        <v>209</v>
      </c>
      <c r="BO121">
        <v>290.00000000000011</v>
      </c>
      <c r="BP121">
        <v>861.82</v>
      </c>
      <c r="BQ121">
        <v>75</v>
      </c>
      <c r="BR121">
        <v>10252.4</v>
      </c>
      <c r="BS121">
        <v>857.97</v>
      </c>
      <c r="BT121">
        <v>3.85</v>
      </c>
      <c r="BU121">
        <v>300.00000000000011</v>
      </c>
      <c r="BV121">
        <v>24.1</v>
      </c>
      <c r="BW121">
        <v>883.08388166715486</v>
      </c>
      <c r="BX121">
        <v>1.662494722575939</v>
      </c>
      <c r="BY121">
        <v>-25.745622558647579</v>
      </c>
      <c r="BZ121">
        <v>1.51358652704771</v>
      </c>
      <c r="CA121">
        <v>0.91176356089824562</v>
      </c>
      <c r="CB121">
        <v>-6.9681448275862069E-3</v>
      </c>
      <c r="CC121">
        <v>289.99999999999989</v>
      </c>
      <c r="CD121">
        <v>854.59</v>
      </c>
      <c r="CE121">
        <v>635</v>
      </c>
      <c r="CF121">
        <v>10204.700000000001</v>
      </c>
      <c r="CG121">
        <v>857.85</v>
      </c>
      <c r="CH121">
        <v>-3.26</v>
      </c>
      <c r="CV121">
        <f t="shared" si="180"/>
        <v>1800.21</v>
      </c>
      <c r="CW121">
        <f t="shared" si="181"/>
        <v>1513.3610998288966</v>
      </c>
      <c r="CX121">
        <f t="shared" si="182"/>
        <v>0.84065808979446655</v>
      </c>
      <c r="CY121">
        <f t="shared" si="183"/>
        <v>0.19131617958893313</v>
      </c>
      <c r="CZ121">
        <v>6</v>
      </c>
      <c r="DA121">
        <v>0.5</v>
      </c>
      <c r="DB121" t="s">
        <v>418</v>
      </c>
      <c r="DC121">
        <v>2</v>
      </c>
      <c r="DD121">
        <v>1674599900</v>
      </c>
      <c r="DE121">
        <v>7.8746299999999998</v>
      </c>
      <c r="DF121">
        <v>9.9633599999999998</v>
      </c>
      <c r="DG121">
        <v>24.933399999999999</v>
      </c>
      <c r="DH121">
        <v>16.636099999999999</v>
      </c>
      <c r="DI121">
        <v>8.4662000000000006</v>
      </c>
      <c r="DJ121">
        <v>24.692699999999999</v>
      </c>
      <c r="DK121">
        <v>500.14800000000002</v>
      </c>
      <c r="DL121">
        <v>99.614400000000003</v>
      </c>
      <c r="DM121">
        <v>0.100842</v>
      </c>
      <c r="DN121">
        <v>27.9985</v>
      </c>
      <c r="DO121">
        <v>27.3172</v>
      </c>
      <c r="DP121">
        <v>999.9</v>
      </c>
      <c r="DQ121">
        <v>0</v>
      </c>
      <c r="DR121">
        <v>0</v>
      </c>
      <c r="DS121">
        <v>9948.1200000000008</v>
      </c>
      <c r="DT121">
        <v>0</v>
      </c>
      <c r="DU121">
        <v>319.62700000000001</v>
      </c>
      <c r="DV121">
        <v>-2.0887199999999999</v>
      </c>
      <c r="DW121">
        <v>8.0760000000000005</v>
      </c>
      <c r="DX121">
        <v>10.1319</v>
      </c>
      <c r="DY121">
        <v>8.2973300000000005</v>
      </c>
      <c r="DZ121">
        <v>9.9633599999999998</v>
      </c>
      <c r="EA121">
        <v>16.636099999999999</v>
      </c>
      <c r="EB121">
        <v>2.4837199999999999</v>
      </c>
      <c r="EC121">
        <v>1.6571899999999999</v>
      </c>
      <c r="ED121">
        <v>20.920200000000001</v>
      </c>
      <c r="EE121">
        <v>14.501099999999999</v>
      </c>
      <c r="EF121">
        <v>1800.21</v>
      </c>
      <c r="EG121">
        <v>0.97800399999999998</v>
      </c>
      <c r="EH121">
        <v>2.19957E-2</v>
      </c>
      <c r="EI121">
        <v>0</v>
      </c>
      <c r="EJ121">
        <v>822.577</v>
      </c>
      <c r="EK121">
        <v>5.0002599999999999</v>
      </c>
      <c r="EL121">
        <v>14939.8</v>
      </c>
      <c r="EM121">
        <v>17105.400000000001</v>
      </c>
      <c r="EN121">
        <v>50</v>
      </c>
      <c r="EO121">
        <v>51.311999999999998</v>
      </c>
      <c r="EP121">
        <v>50.936999999999998</v>
      </c>
      <c r="EQ121">
        <v>50.561999999999998</v>
      </c>
      <c r="ER121">
        <v>51.186999999999998</v>
      </c>
      <c r="ES121">
        <v>1755.72</v>
      </c>
      <c r="ET121">
        <v>39.49</v>
      </c>
      <c r="EU121">
        <v>0</v>
      </c>
      <c r="EV121">
        <v>109.7999999523163</v>
      </c>
      <c r="EW121">
        <v>0</v>
      </c>
      <c r="EX121">
        <v>822.50024000000008</v>
      </c>
      <c r="EY121">
        <v>0.26138461111545069</v>
      </c>
      <c r="EZ121">
        <v>2.561538403542885</v>
      </c>
      <c r="FA121">
        <v>14938.324000000001</v>
      </c>
      <c r="FB121">
        <v>15</v>
      </c>
      <c r="FC121">
        <v>1674599862.5</v>
      </c>
      <c r="FD121" t="s">
        <v>954</v>
      </c>
      <c r="FE121">
        <v>1674599846.5</v>
      </c>
      <c r="FF121">
        <v>1674599862.5</v>
      </c>
      <c r="FG121">
        <v>118</v>
      </c>
      <c r="FH121">
        <v>7.3999999999999996E-2</v>
      </c>
      <c r="FI121">
        <v>4.0000000000000001E-3</v>
      </c>
      <c r="FJ121">
        <v>-0.59</v>
      </c>
      <c r="FK121">
        <v>4.9000000000000002E-2</v>
      </c>
      <c r="FL121">
        <v>10</v>
      </c>
      <c r="FM121">
        <v>17</v>
      </c>
      <c r="FN121">
        <v>0.22</v>
      </c>
      <c r="FO121">
        <v>0.02</v>
      </c>
      <c r="FP121">
        <v>1.7875246877393041</v>
      </c>
      <c r="FQ121">
        <v>-0.59975901742572268</v>
      </c>
      <c r="FR121">
        <v>8.118672107366795E-2</v>
      </c>
      <c r="FS121">
        <v>1</v>
      </c>
      <c r="FT121">
        <v>0.66911876904226641</v>
      </c>
      <c r="FU121">
        <v>6.7638812761579622E-3</v>
      </c>
      <c r="FV121">
        <v>2.6087009937760192E-3</v>
      </c>
      <c r="FW121">
        <v>1</v>
      </c>
      <c r="FX121">
        <v>2</v>
      </c>
      <c r="FY121">
        <v>2</v>
      </c>
      <c r="FZ121" t="s">
        <v>420</v>
      </c>
      <c r="GA121">
        <v>2.9279899999999999</v>
      </c>
      <c r="GB121">
        <v>2.8073399999999999</v>
      </c>
      <c r="GC121">
        <v>2.4104E-3</v>
      </c>
      <c r="GD121">
        <v>2.88572E-3</v>
      </c>
      <c r="GE121">
        <v>0.11493</v>
      </c>
      <c r="GF121">
        <v>8.7776699999999999E-2</v>
      </c>
      <c r="GG121">
        <v>29602.1</v>
      </c>
      <c r="GH121">
        <v>30070.2</v>
      </c>
      <c r="GI121">
        <v>28187.200000000001</v>
      </c>
      <c r="GJ121">
        <v>27176.400000000001</v>
      </c>
      <c r="GK121">
        <v>35810.5</v>
      </c>
      <c r="GL121">
        <v>32743.599999999999</v>
      </c>
      <c r="GM121">
        <v>41970.2</v>
      </c>
      <c r="GN121">
        <v>36882.300000000003</v>
      </c>
      <c r="GO121">
        <v>1.9246000000000001</v>
      </c>
      <c r="GP121">
        <v>1.8786</v>
      </c>
      <c r="GQ121">
        <v>4.4647600000000003E-2</v>
      </c>
      <c r="GR121">
        <v>0</v>
      </c>
      <c r="GS121">
        <v>26.587</v>
      </c>
      <c r="GT121">
        <v>999.9</v>
      </c>
      <c r="GU121">
        <v>49.6</v>
      </c>
      <c r="GV121">
        <v>35</v>
      </c>
      <c r="GW121">
        <v>28.125800000000002</v>
      </c>
      <c r="GX121">
        <v>61.481900000000003</v>
      </c>
      <c r="GY121">
        <v>26.6386</v>
      </c>
      <c r="GZ121">
        <v>1</v>
      </c>
      <c r="HA121">
        <v>0.44298300000000002</v>
      </c>
      <c r="HB121">
        <v>3.2261799999999998</v>
      </c>
      <c r="HC121">
        <v>20.367000000000001</v>
      </c>
      <c r="HD121">
        <v>5.2406499999999996</v>
      </c>
      <c r="HE121">
        <v>11.9381</v>
      </c>
      <c r="HF121">
        <v>4.9735500000000004</v>
      </c>
      <c r="HG121">
        <v>3.2989999999999999</v>
      </c>
      <c r="HH121">
        <v>9999</v>
      </c>
      <c r="HI121">
        <v>9999</v>
      </c>
      <c r="HJ121">
        <v>9999</v>
      </c>
      <c r="HK121">
        <v>999.9</v>
      </c>
      <c r="HL121">
        <v>1.87317</v>
      </c>
      <c r="HM121">
        <v>1.8809100000000001</v>
      </c>
      <c r="HN121">
        <v>1.88446</v>
      </c>
      <c r="HO121">
        <v>1.8811</v>
      </c>
      <c r="HP121">
        <v>1.8785000000000001</v>
      </c>
      <c r="HQ121">
        <v>1.87317</v>
      </c>
      <c r="HR121">
        <v>1.8760699999999999</v>
      </c>
      <c r="HS121">
        <v>1.88032</v>
      </c>
      <c r="HT121">
        <v>5</v>
      </c>
      <c r="HU121">
        <v>0</v>
      </c>
      <c r="HV121">
        <v>0</v>
      </c>
      <c r="HW121">
        <v>0</v>
      </c>
      <c r="HX121" t="s">
        <v>421</v>
      </c>
      <c r="HY121" t="s">
        <v>422</v>
      </c>
      <c r="HZ121" t="s">
        <v>423</v>
      </c>
      <c r="IA121" t="s">
        <v>423</v>
      </c>
      <c r="IB121" t="s">
        <v>423</v>
      </c>
      <c r="IC121" t="s">
        <v>423</v>
      </c>
      <c r="ID121">
        <v>0</v>
      </c>
      <c r="IE121">
        <v>100</v>
      </c>
      <c r="IF121">
        <v>100</v>
      </c>
      <c r="IG121">
        <v>-0.59199999999999997</v>
      </c>
      <c r="IH121">
        <v>0.2407</v>
      </c>
      <c r="II121">
        <v>-0.59946821288437835</v>
      </c>
      <c r="IJ121">
        <v>9.4905977090923709E-4</v>
      </c>
      <c r="IK121">
        <v>-1.9106666302146479E-6</v>
      </c>
      <c r="IL121">
        <v>7.5819610513223293E-10</v>
      </c>
      <c r="IM121">
        <v>-5.8235032991915597E-2</v>
      </c>
      <c r="IN121">
        <v>-1.0595840490420019E-2</v>
      </c>
      <c r="IO121">
        <v>1.2407080968752471E-3</v>
      </c>
      <c r="IP121">
        <v>-1.3015442653884381E-5</v>
      </c>
      <c r="IQ121">
        <v>33</v>
      </c>
      <c r="IR121">
        <v>2014</v>
      </c>
      <c r="IS121">
        <v>1</v>
      </c>
      <c r="IT121">
        <v>26</v>
      </c>
      <c r="IU121">
        <v>0.9</v>
      </c>
      <c r="IV121">
        <v>0.6</v>
      </c>
      <c r="IW121">
        <v>0.163574</v>
      </c>
      <c r="IX121">
        <v>2.6061999999999999</v>
      </c>
      <c r="IY121">
        <v>1.5979000000000001</v>
      </c>
      <c r="IZ121">
        <v>2.2973599999999998</v>
      </c>
      <c r="JA121">
        <v>1.5502899999999999</v>
      </c>
      <c r="JB121">
        <v>2.33765</v>
      </c>
      <c r="JC121">
        <v>38.599499999999999</v>
      </c>
      <c r="JD121">
        <v>16.399799999999999</v>
      </c>
      <c r="JE121">
        <v>18</v>
      </c>
      <c r="JF121">
        <v>488.89800000000002</v>
      </c>
      <c r="JG121">
        <v>493.02100000000002</v>
      </c>
      <c r="JH121">
        <v>22.573899999999998</v>
      </c>
      <c r="JI121">
        <v>32.749099999999999</v>
      </c>
      <c r="JJ121">
        <v>30.0001</v>
      </c>
      <c r="JK121">
        <v>32.820099999999996</v>
      </c>
      <c r="JL121">
        <v>32.778799999999997</v>
      </c>
      <c r="JM121">
        <v>3.3211599999999999</v>
      </c>
      <c r="JN121">
        <v>47.278300000000002</v>
      </c>
      <c r="JO121">
        <v>0</v>
      </c>
      <c r="JP121">
        <v>22.593599999999999</v>
      </c>
      <c r="JQ121">
        <v>10</v>
      </c>
      <c r="JR121">
        <v>16.561399999999999</v>
      </c>
      <c r="JS121">
        <v>99.508399999999995</v>
      </c>
      <c r="JT121">
        <v>98.742699999999999</v>
      </c>
    </row>
    <row r="122" spans="1:280" x14ac:dyDescent="0.25">
      <c r="A122">
        <v>106</v>
      </c>
      <c r="B122">
        <v>1674600089.5</v>
      </c>
      <c r="C122">
        <v>24664.5</v>
      </c>
      <c r="D122" t="s">
        <v>955</v>
      </c>
      <c r="E122" t="s">
        <v>956</v>
      </c>
      <c r="F122" t="s">
        <v>412</v>
      </c>
      <c r="G122" t="s">
        <v>921</v>
      </c>
      <c r="H122" t="s">
        <v>637</v>
      </c>
      <c r="I122">
        <v>1674600089.5</v>
      </c>
      <c r="J122">
        <f t="shared" si="138"/>
        <v>6.62272517988739E-3</v>
      </c>
      <c r="K122">
        <f t="shared" si="139"/>
        <v>6.6227251798873903</v>
      </c>
      <c r="L122">
        <f t="shared" si="140"/>
        <v>39.645937197002965</v>
      </c>
      <c r="M122">
        <f t="shared" si="141"/>
        <v>349.69299999999998</v>
      </c>
      <c r="N122">
        <f t="shared" si="142"/>
        <v>228.42368798645478</v>
      </c>
      <c r="O122">
        <f t="shared" si="143"/>
        <v>22.779883498796782</v>
      </c>
      <c r="P122">
        <f t="shared" si="144"/>
        <v>34.873641479850001</v>
      </c>
      <c r="Q122">
        <f t="shared" si="145"/>
        <v>0.60184595795940954</v>
      </c>
      <c r="R122">
        <f t="shared" si="146"/>
        <v>2.9124447069039161</v>
      </c>
      <c r="S122">
        <f t="shared" si="147"/>
        <v>0.54033536287953099</v>
      </c>
      <c r="T122">
        <f t="shared" si="148"/>
        <v>0.34271070298132283</v>
      </c>
      <c r="U122">
        <f t="shared" si="149"/>
        <v>344.35609965774012</v>
      </c>
      <c r="V122">
        <f t="shared" si="150"/>
        <v>28.303159574168745</v>
      </c>
      <c r="W122">
        <f t="shared" si="151"/>
        <v>27.297499999999999</v>
      </c>
      <c r="X122">
        <f t="shared" si="152"/>
        <v>3.6421770177821116</v>
      </c>
      <c r="Y122">
        <f t="shared" si="153"/>
        <v>64.77743376718611</v>
      </c>
      <c r="Z122">
        <f t="shared" si="154"/>
        <v>2.4572397827099999</v>
      </c>
      <c r="AA122">
        <f t="shared" si="155"/>
        <v>3.7933577170430426</v>
      </c>
      <c r="AB122">
        <f t="shared" si="156"/>
        <v>1.1849372350721117</v>
      </c>
      <c r="AC122">
        <f t="shared" si="157"/>
        <v>-292.06218043303392</v>
      </c>
      <c r="AD122">
        <f t="shared" si="158"/>
        <v>109.25153730706091</v>
      </c>
      <c r="AE122">
        <f t="shared" si="159"/>
        <v>8.1478935639058445</v>
      </c>
      <c r="AF122">
        <f t="shared" si="160"/>
        <v>169.69335009567294</v>
      </c>
      <c r="AG122">
        <v>0</v>
      </c>
      <c r="AH122">
        <v>0</v>
      </c>
      <c r="AI122">
        <f t="shared" si="161"/>
        <v>1</v>
      </c>
      <c r="AJ122">
        <f t="shared" si="162"/>
        <v>0</v>
      </c>
      <c r="AK122">
        <f t="shared" si="163"/>
        <v>52203.090501095059</v>
      </c>
      <c r="AL122" t="s">
        <v>415</v>
      </c>
      <c r="AM122">
        <v>10297.6</v>
      </c>
      <c r="AN122">
        <v>785.57400000000007</v>
      </c>
      <c r="AO122">
        <v>3597.65</v>
      </c>
      <c r="AP122">
        <f t="shared" si="164"/>
        <v>0.7816424610509638</v>
      </c>
      <c r="AQ122">
        <v>-0.62398835798131469</v>
      </c>
      <c r="AR122" t="s">
        <v>957</v>
      </c>
      <c r="AS122">
        <v>10226.299999999999</v>
      </c>
      <c r="AT122">
        <v>744.21832000000006</v>
      </c>
      <c r="AU122">
        <v>1001.9155627726579</v>
      </c>
      <c r="AV122">
        <f t="shared" si="165"/>
        <v>0.25720455130921172</v>
      </c>
      <c r="AW122">
        <v>0.5</v>
      </c>
      <c r="AX122">
        <f t="shared" si="166"/>
        <v>1513.1258998288702</v>
      </c>
      <c r="AY122">
        <f t="shared" si="167"/>
        <v>39.645937197002965</v>
      </c>
      <c r="AZ122">
        <f t="shared" si="168"/>
        <v>194.59143406991589</v>
      </c>
      <c r="BA122">
        <f t="shared" si="169"/>
        <v>2.6613730925852692E-2</v>
      </c>
      <c r="BB122">
        <f t="shared" si="170"/>
        <v>2.5907716514992725</v>
      </c>
      <c r="BC122">
        <f t="shared" si="171"/>
        <v>501.73514332403374</v>
      </c>
      <c r="BD122" t="s">
        <v>958</v>
      </c>
      <c r="BE122">
        <v>573.26</v>
      </c>
      <c r="BF122">
        <f t="shared" si="172"/>
        <v>573.26</v>
      </c>
      <c r="BG122">
        <f t="shared" si="173"/>
        <v>0.42783601602755328</v>
      </c>
      <c r="BH122">
        <f t="shared" si="174"/>
        <v>0.60117554781233618</v>
      </c>
      <c r="BI122">
        <f t="shared" si="175"/>
        <v>0.85826710087896785</v>
      </c>
      <c r="BJ122">
        <f t="shared" si="176"/>
        <v>1.1911591996932118</v>
      </c>
      <c r="BK122">
        <f t="shared" si="177"/>
        <v>0.92306695737502897</v>
      </c>
      <c r="BL122">
        <f t="shared" si="178"/>
        <v>0.46307633832354433</v>
      </c>
      <c r="BM122">
        <f t="shared" si="179"/>
        <v>0.53692366167645567</v>
      </c>
      <c r="BN122">
        <v>211</v>
      </c>
      <c r="BO122">
        <v>290.00000000000011</v>
      </c>
      <c r="BP122">
        <v>932.85</v>
      </c>
      <c r="BQ122">
        <v>235</v>
      </c>
      <c r="BR122">
        <v>10226.299999999999</v>
      </c>
      <c r="BS122">
        <v>933.22</v>
      </c>
      <c r="BT122">
        <v>-0.37</v>
      </c>
      <c r="BU122">
        <v>300.00000000000011</v>
      </c>
      <c r="BV122">
        <v>24.1</v>
      </c>
      <c r="BW122">
        <v>1001.9155627726579</v>
      </c>
      <c r="BX122">
        <v>2.0353756374109371</v>
      </c>
      <c r="BY122">
        <v>-70.248852701134851</v>
      </c>
      <c r="BZ122">
        <v>1.8533013583843541</v>
      </c>
      <c r="CA122">
        <v>0.9808843334566566</v>
      </c>
      <c r="CB122">
        <v>-6.9692031145717516E-3</v>
      </c>
      <c r="CC122">
        <v>289.99999999999989</v>
      </c>
      <c r="CD122">
        <v>930.33</v>
      </c>
      <c r="CE122">
        <v>645</v>
      </c>
      <c r="CF122">
        <v>10205.299999999999</v>
      </c>
      <c r="CG122">
        <v>933.08</v>
      </c>
      <c r="CH122">
        <v>-2.75</v>
      </c>
      <c r="CV122">
        <f t="shared" si="180"/>
        <v>1799.93</v>
      </c>
      <c r="CW122">
        <f t="shared" si="181"/>
        <v>1513.1258998288702</v>
      </c>
      <c r="CX122">
        <f t="shared" si="182"/>
        <v>0.84065819216795656</v>
      </c>
      <c r="CY122">
        <f t="shared" si="183"/>
        <v>0.19131638433591311</v>
      </c>
      <c r="CZ122">
        <v>6</v>
      </c>
      <c r="DA122">
        <v>0.5</v>
      </c>
      <c r="DB122" t="s">
        <v>418</v>
      </c>
      <c r="DC122">
        <v>2</v>
      </c>
      <c r="DD122">
        <v>1674600089.5</v>
      </c>
      <c r="DE122">
        <v>349.69299999999998</v>
      </c>
      <c r="DF122">
        <v>400.04300000000001</v>
      </c>
      <c r="DG122">
        <v>24.639800000000001</v>
      </c>
      <c r="DH122">
        <v>16.888999999999999</v>
      </c>
      <c r="DI122">
        <v>350.27600000000001</v>
      </c>
      <c r="DJ122">
        <v>24.4068</v>
      </c>
      <c r="DK122">
        <v>500.04199999999997</v>
      </c>
      <c r="DL122">
        <v>99.625900000000001</v>
      </c>
      <c r="DM122">
        <v>0.10055</v>
      </c>
      <c r="DN122">
        <v>27.993300000000001</v>
      </c>
      <c r="DO122">
        <v>27.297499999999999</v>
      </c>
      <c r="DP122">
        <v>999.9</v>
      </c>
      <c r="DQ122">
        <v>0</v>
      </c>
      <c r="DR122">
        <v>0</v>
      </c>
      <c r="DS122">
        <v>9940</v>
      </c>
      <c r="DT122">
        <v>0</v>
      </c>
      <c r="DU122">
        <v>317.72699999999998</v>
      </c>
      <c r="DV122">
        <v>-50.349899999999998</v>
      </c>
      <c r="DW122">
        <v>358.52699999999999</v>
      </c>
      <c r="DX122">
        <v>406.91500000000002</v>
      </c>
      <c r="DY122">
        <v>7.7508100000000004</v>
      </c>
      <c r="DZ122">
        <v>400.04300000000001</v>
      </c>
      <c r="EA122">
        <v>16.888999999999999</v>
      </c>
      <c r="EB122">
        <v>2.4547599999999998</v>
      </c>
      <c r="EC122">
        <v>1.68258</v>
      </c>
      <c r="ED122">
        <v>20.729600000000001</v>
      </c>
      <c r="EE122">
        <v>14.736700000000001</v>
      </c>
      <c r="EF122">
        <v>1799.93</v>
      </c>
      <c r="EG122">
        <v>0.97800100000000001</v>
      </c>
      <c r="EH122">
        <v>2.1999399999999999E-2</v>
      </c>
      <c r="EI122">
        <v>0</v>
      </c>
      <c r="EJ122">
        <v>743.69799999999998</v>
      </c>
      <c r="EK122">
        <v>5.0002599999999999</v>
      </c>
      <c r="EL122">
        <v>13545.6</v>
      </c>
      <c r="EM122">
        <v>17102.7</v>
      </c>
      <c r="EN122">
        <v>49.936999999999998</v>
      </c>
      <c r="EO122">
        <v>51.25</v>
      </c>
      <c r="EP122">
        <v>50.875</v>
      </c>
      <c r="EQ122">
        <v>50.5</v>
      </c>
      <c r="ER122">
        <v>51.125</v>
      </c>
      <c r="ES122">
        <v>1755.44</v>
      </c>
      <c r="ET122">
        <v>39.49</v>
      </c>
      <c r="EU122">
        <v>0</v>
      </c>
      <c r="EV122">
        <v>187.79999995231631</v>
      </c>
      <c r="EW122">
        <v>0</v>
      </c>
      <c r="EX122">
        <v>744.21832000000006</v>
      </c>
      <c r="EY122">
        <v>-4.5972307646883754</v>
      </c>
      <c r="EZ122">
        <v>-82.553846032391391</v>
      </c>
      <c r="FA122">
        <v>13556.291999999999</v>
      </c>
      <c r="FB122">
        <v>15</v>
      </c>
      <c r="FC122">
        <v>1674599988</v>
      </c>
      <c r="FD122" t="s">
        <v>959</v>
      </c>
      <c r="FE122">
        <v>1674599973</v>
      </c>
      <c r="FF122">
        <v>1674599862.5</v>
      </c>
      <c r="FG122">
        <v>119</v>
      </c>
      <c r="FH122">
        <v>-0.114</v>
      </c>
      <c r="FI122">
        <v>4.0000000000000001E-3</v>
      </c>
      <c r="FJ122">
        <v>-0.59099999999999997</v>
      </c>
      <c r="FK122">
        <v>4.9000000000000002E-2</v>
      </c>
      <c r="FL122">
        <v>400</v>
      </c>
      <c r="FM122">
        <v>17</v>
      </c>
      <c r="FN122">
        <v>7.0000000000000007E-2</v>
      </c>
      <c r="FO122">
        <v>0.02</v>
      </c>
      <c r="FP122">
        <v>38.545276042641532</v>
      </c>
      <c r="FQ122">
        <v>6.176082669449066</v>
      </c>
      <c r="FR122">
        <v>0.5956501175681701</v>
      </c>
      <c r="FS122">
        <v>0</v>
      </c>
      <c r="FT122">
        <v>0.60489043923897368</v>
      </c>
      <c r="FU122">
        <v>-1.6076180681801059E-2</v>
      </c>
      <c r="FV122">
        <v>1.669320851514704E-3</v>
      </c>
      <c r="FW122">
        <v>1</v>
      </c>
      <c r="FX122">
        <v>1</v>
      </c>
      <c r="FY122">
        <v>2</v>
      </c>
      <c r="FZ122" t="s">
        <v>459</v>
      </c>
      <c r="GA122">
        <v>2.9277199999999999</v>
      </c>
      <c r="GB122">
        <v>2.8069700000000002</v>
      </c>
      <c r="GC122">
        <v>8.8141899999999995E-2</v>
      </c>
      <c r="GD122">
        <v>9.9066199999999993E-2</v>
      </c>
      <c r="GE122">
        <v>0.114011</v>
      </c>
      <c r="GF122">
        <v>8.8744699999999996E-2</v>
      </c>
      <c r="GG122">
        <v>27056.9</v>
      </c>
      <c r="GH122">
        <v>27169.599999999999</v>
      </c>
      <c r="GI122">
        <v>28186.9</v>
      </c>
      <c r="GJ122">
        <v>27177.200000000001</v>
      </c>
      <c r="GK122">
        <v>35848.9</v>
      </c>
      <c r="GL122">
        <v>32710.3</v>
      </c>
      <c r="GM122">
        <v>41970.7</v>
      </c>
      <c r="GN122">
        <v>36883.1</v>
      </c>
      <c r="GO122">
        <v>1.9247000000000001</v>
      </c>
      <c r="GP122">
        <v>1.8809800000000001</v>
      </c>
      <c r="GQ122">
        <v>4.79966E-2</v>
      </c>
      <c r="GR122">
        <v>0</v>
      </c>
      <c r="GS122">
        <v>26.512499999999999</v>
      </c>
      <c r="GT122">
        <v>999.9</v>
      </c>
      <c r="GU122">
        <v>49.6</v>
      </c>
      <c r="GV122">
        <v>35</v>
      </c>
      <c r="GW122">
        <v>28.120200000000001</v>
      </c>
      <c r="GX122">
        <v>61.151899999999998</v>
      </c>
      <c r="GY122">
        <v>26.522400000000001</v>
      </c>
      <c r="GZ122">
        <v>1</v>
      </c>
      <c r="HA122">
        <v>0.44167200000000001</v>
      </c>
      <c r="HB122">
        <v>3.1632099999999999</v>
      </c>
      <c r="HC122">
        <v>20.369</v>
      </c>
      <c r="HD122">
        <v>5.2386999999999997</v>
      </c>
      <c r="HE122">
        <v>11.9381</v>
      </c>
      <c r="HF122">
        <v>4.9733999999999998</v>
      </c>
      <c r="HG122">
        <v>3.2989999999999999</v>
      </c>
      <c r="HH122">
        <v>9999</v>
      </c>
      <c r="HI122">
        <v>9999</v>
      </c>
      <c r="HJ122">
        <v>9999</v>
      </c>
      <c r="HK122">
        <v>999.9</v>
      </c>
      <c r="HL122">
        <v>1.8730599999999999</v>
      </c>
      <c r="HM122">
        <v>1.8808</v>
      </c>
      <c r="HN122">
        <v>1.8843099999999999</v>
      </c>
      <c r="HO122">
        <v>1.88096</v>
      </c>
      <c r="HP122">
        <v>1.87836</v>
      </c>
      <c r="HQ122">
        <v>1.8730500000000001</v>
      </c>
      <c r="HR122">
        <v>1.87592</v>
      </c>
      <c r="HS122">
        <v>1.88019</v>
      </c>
      <c r="HT122">
        <v>5</v>
      </c>
      <c r="HU122">
        <v>0</v>
      </c>
      <c r="HV122">
        <v>0</v>
      </c>
      <c r="HW122">
        <v>0</v>
      </c>
      <c r="HX122" t="s">
        <v>421</v>
      </c>
      <c r="HY122" t="s">
        <v>422</v>
      </c>
      <c r="HZ122" t="s">
        <v>423</v>
      </c>
      <c r="IA122" t="s">
        <v>423</v>
      </c>
      <c r="IB122" t="s">
        <v>423</v>
      </c>
      <c r="IC122" t="s">
        <v>423</v>
      </c>
      <c r="ID122">
        <v>0</v>
      </c>
      <c r="IE122">
        <v>100</v>
      </c>
      <c r="IF122">
        <v>100</v>
      </c>
      <c r="IG122">
        <v>-0.58299999999999996</v>
      </c>
      <c r="IH122">
        <v>0.23300000000000001</v>
      </c>
      <c r="II122">
        <v>-0.71361186649640396</v>
      </c>
      <c r="IJ122">
        <v>9.4905977090923709E-4</v>
      </c>
      <c r="IK122">
        <v>-1.9106666302146479E-6</v>
      </c>
      <c r="IL122">
        <v>7.5819610513223293E-10</v>
      </c>
      <c r="IM122">
        <v>-5.8235032991915597E-2</v>
      </c>
      <c r="IN122">
        <v>-1.0595840490420019E-2</v>
      </c>
      <c r="IO122">
        <v>1.2407080968752471E-3</v>
      </c>
      <c r="IP122">
        <v>-1.3015442653884381E-5</v>
      </c>
      <c r="IQ122">
        <v>33</v>
      </c>
      <c r="IR122">
        <v>2014</v>
      </c>
      <c r="IS122">
        <v>1</v>
      </c>
      <c r="IT122">
        <v>26</v>
      </c>
      <c r="IU122">
        <v>1.9</v>
      </c>
      <c r="IV122">
        <v>3.8</v>
      </c>
      <c r="IW122">
        <v>1.0083</v>
      </c>
      <c r="IX122">
        <v>2.5463900000000002</v>
      </c>
      <c r="IY122">
        <v>1.5991200000000001</v>
      </c>
      <c r="IZ122">
        <v>2.2961399999999998</v>
      </c>
      <c r="JA122">
        <v>1.5502899999999999</v>
      </c>
      <c r="JB122">
        <v>2.2265600000000001</v>
      </c>
      <c r="JC122">
        <v>38.281199999999998</v>
      </c>
      <c r="JD122">
        <v>16.294699999999999</v>
      </c>
      <c r="JE122">
        <v>18</v>
      </c>
      <c r="JF122">
        <v>488.96199999999999</v>
      </c>
      <c r="JG122">
        <v>494.733</v>
      </c>
      <c r="JH122">
        <v>22.641999999999999</v>
      </c>
      <c r="JI122">
        <v>32.738199999999999</v>
      </c>
      <c r="JJ122">
        <v>30</v>
      </c>
      <c r="JK122">
        <v>32.820099999999996</v>
      </c>
      <c r="JL122">
        <v>32.784700000000001</v>
      </c>
      <c r="JM122">
        <v>20.247599999999998</v>
      </c>
      <c r="JN122">
        <v>46.076799999999999</v>
      </c>
      <c r="JO122">
        <v>0</v>
      </c>
      <c r="JP122">
        <v>22.6524</v>
      </c>
      <c r="JQ122">
        <v>400</v>
      </c>
      <c r="JR122">
        <v>17.000499999999999</v>
      </c>
      <c r="JS122">
        <v>99.508700000000005</v>
      </c>
      <c r="JT122">
        <v>98.745099999999994</v>
      </c>
    </row>
    <row r="123" spans="1:280" x14ac:dyDescent="0.25">
      <c r="A123">
        <v>107</v>
      </c>
      <c r="B123">
        <v>1674600279</v>
      </c>
      <c r="C123">
        <v>24854</v>
      </c>
      <c r="D123" t="s">
        <v>960</v>
      </c>
      <c r="E123" t="s">
        <v>961</v>
      </c>
      <c r="F123" t="s">
        <v>412</v>
      </c>
      <c r="G123" t="s">
        <v>921</v>
      </c>
      <c r="H123" t="s">
        <v>637</v>
      </c>
      <c r="I123">
        <v>1674600279</v>
      </c>
      <c r="J123">
        <f t="shared" si="138"/>
        <v>6.204492410443044E-3</v>
      </c>
      <c r="K123">
        <f t="shared" si="139"/>
        <v>6.2044924104430441</v>
      </c>
      <c r="L123">
        <f t="shared" si="140"/>
        <v>49.780015137941135</v>
      </c>
      <c r="M123">
        <f t="shared" si="141"/>
        <v>337.75900000000001</v>
      </c>
      <c r="N123">
        <f t="shared" si="142"/>
        <v>176.51896882928986</v>
      </c>
      <c r="O123">
        <f t="shared" si="143"/>
        <v>17.604446465880045</v>
      </c>
      <c r="P123">
        <f t="shared" si="144"/>
        <v>33.685106327692004</v>
      </c>
      <c r="Q123">
        <f t="shared" si="145"/>
        <v>0.55567559355764884</v>
      </c>
      <c r="R123">
        <f t="shared" si="146"/>
        <v>2.9178049255070162</v>
      </c>
      <c r="S123">
        <f t="shared" si="147"/>
        <v>0.50288474296725616</v>
      </c>
      <c r="T123">
        <f t="shared" si="148"/>
        <v>0.318627028549616</v>
      </c>
      <c r="U123">
        <f t="shared" si="149"/>
        <v>344.3636996577477</v>
      </c>
      <c r="V123">
        <f t="shared" si="150"/>
        <v>28.430170184211693</v>
      </c>
      <c r="W123">
        <f t="shared" si="151"/>
        <v>27.344000000000001</v>
      </c>
      <c r="X123">
        <f t="shared" si="152"/>
        <v>3.6521137828770844</v>
      </c>
      <c r="Y123">
        <f t="shared" si="153"/>
        <v>64.763588268500484</v>
      </c>
      <c r="Z123">
        <f t="shared" si="154"/>
        <v>2.4593511498424001</v>
      </c>
      <c r="AA123">
        <f t="shared" si="155"/>
        <v>3.7974287954001027</v>
      </c>
      <c r="AB123">
        <f t="shared" si="156"/>
        <v>1.1927626330346843</v>
      </c>
      <c r="AC123">
        <f t="shared" si="157"/>
        <v>-273.61811530053825</v>
      </c>
      <c r="AD123">
        <f t="shared" si="158"/>
        <v>105.03234761840491</v>
      </c>
      <c r="AE123">
        <f t="shared" si="159"/>
        <v>7.8213707213384458</v>
      </c>
      <c r="AF123">
        <f t="shared" si="160"/>
        <v>183.5993026969528</v>
      </c>
      <c r="AG123">
        <v>0</v>
      </c>
      <c r="AH123">
        <v>0</v>
      </c>
      <c r="AI123">
        <f t="shared" si="161"/>
        <v>1</v>
      </c>
      <c r="AJ123">
        <f t="shared" si="162"/>
        <v>0</v>
      </c>
      <c r="AK123">
        <f t="shared" si="163"/>
        <v>52353.794680732237</v>
      </c>
      <c r="AL123" t="s">
        <v>415</v>
      </c>
      <c r="AM123">
        <v>10297.6</v>
      </c>
      <c r="AN123">
        <v>785.57400000000007</v>
      </c>
      <c r="AO123">
        <v>3597.65</v>
      </c>
      <c r="AP123">
        <f t="shared" si="164"/>
        <v>0.7816424610509638</v>
      </c>
      <c r="AQ123">
        <v>-0.62398835798131469</v>
      </c>
      <c r="AR123" t="s">
        <v>962</v>
      </c>
      <c r="AS123">
        <v>10238.9</v>
      </c>
      <c r="AT123">
        <v>752.34388000000001</v>
      </c>
      <c r="AU123">
        <v>1104.2230913842741</v>
      </c>
      <c r="AV123">
        <f t="shared" si="165"/>
        <v>0.31866677497493001</v>
      </c>
      <c r="AW123">
        <v>0.5</v>
      </c>
      <c r="AX123">
        <f t="shared" si="166"/>
        <v>1513.159499828874</v>
      </c>
      <c r="AY123">
        <f t="shared" si="167"/>
        <v>49.780015137941135</v>
      </c>
      <c r="AZ123">
        <f t="shared" si="168"/>
        <v>241.09682891657272</v>
      </c>
      <c r="BA123">
        <f t="shared" si="169"/>
        <v>3.3310436541304958E-2</v>
      </c>
      <c r="BB123">
        <f t="shared" si="170"/>
        <v>2.2580825632707255</v>
      </c>
      <c r="BC123">
        <f t="shared" si="171"/>
        <v>526.14702681915185</v>
      </c>
      <c r="BD123" t="s">
        <v>963</v>
      </c>
      <c r="BE123">
        <v>580.01</v>
      </c>
      <c r="BF123">
        <f t="shared" si="172"/>
        <v>580.01</v>
      </c>
      <c r="BG123">
        <f t="shared" si="173"/>
        <v>0.4747347664384659</v>
      </c>
      <c r="BH123">
        <f t="shared" si="174"/>
        <v>0.67125223915159571</v>
      </c>
      <c r="BI123">
        <f t="shared" si="175"/>
        <v>0.82628375439605972</v>
      </c>
      <c r="BJ123">
        <f t="shared" si="176"/>
        <v>1.1042843707968597</v>
      </c>
      <c r="BK123">
        <f t="shared" si="177"/>
        <v>0.8866854624895365</v>
      </c>
      <c r="BL123">
        <f t="shared" si="178"/>
        <v>0.51749342498847339</v>
      </c>
      <c r="BM123">
        <f t="shared" si="179"/>
        <v>0.48250657501152661</v>
      </c>
      <c r="BN123">
        <v>213</v>
      </c>
      <c r="BO123">
        <v>290.00000000000011</v>
      </c>
      <c r="BP123">
        <v>1010.44</v>
      </c>
      <c r="BQ123">
        <v>155</v>
      </c>
      <c r="BR123">
        <v>10238.9</v>
      </c>
      <c r="BS123">
        <v>1008.79</v>
      </c>
      <c r="BT123">
        <v>1.65</v>
      </c>
      <c r="BU123">
        <v>300.00000000000011</v>
      </c>
      <c r="BV123">
        <v>24.1</v>
      </c>
      <c r="BW123">
        <v>1104.2230913842741</v>
      </c>
      <c r="BX123">
        <v>2.0373446557046919</v>
      </c>
      <c r="BY123">
        <v>-97.71658702007241</v>
      </c>
      <c r="BZ123">
        <v>1.8552021030830621</v>
      </c>
      <c r="CA123">
        <v>0.99000822353003537</v>
      </c>
      <c r="CB123">
        <v>-6.969629810900998E-3</v>
      </c>
      <c r="CC123">
        <v>289.99999999999989</v>
      </c>
      <c r="CD123">
        <v>1004.33</v>
      </c>
      <c r="CE123">
        <v>655</v>
      </c>
      <c r="CF123">
        <v>10205.299999999999</v>
      </c>
      <c r="CG123">
        <v>1008.47</v>
      </c>
      <c r="CH123">
        <v>-4.1399999999999997</v>
      </c>
      <c r="CV123">
        <f t="shared" si="180"/>
        <v>1799.97</v>
      </c>
      <c r="CW123">
        <f t="shared" si="181"/>
        <v>1513.159499828874</v>
      </c>
      <c r="CX123">
        <f t="shared" si="182"/>
        <v>0.8406581775412223</v>
      </c>
      <c r="CY123">
        <f t="shared" si="183"/>
        <v>0.19131635508244454</v>
      </c>
      <c r="CZ123">
        <v>6</v>
      </c>
      <c r="DA123">
        <v>0.5</v>
      </c>
      <c r="DB123" t="s">
        <v>418</v>
      </c>
      <c r="DC123">
        <v>2</v>
      </c>
      <c r="DD123">
        <v>1674600279</v>
      </c>
      <c r="DE123">
        <v>337.75900000000001</v>
      </c>
      <c r="DF123">
        <v>399.98500000000001</v>
      </c>
      <c r="DG123">
        <v>24.659800000000001</v>
      </c>
      <c r="DH123">
        <v>17.4009</v>
      </c>
      <c r="DI123">
        <v>338.42399999999998</v>
      </c>
      <c r="DJ123">
        <v>24.425599999999999</v>
      </c>
      <c r="DK123">
        <v>500.19900000000001</v>
      </c>
      <c r="DL123">
        <v>99.630899999999997</v>
      </c>
      <c r="DM123">
        <v>0.100288</v>
      </c>
      <c r="DN123">
        <v>28.011700000000001</v>
      </c>
      <c r="DO123">
        <v>27.344000000000001</v>
      </c>
      <c r="DP123">
        <v>999.9</v>
      </c>
      <c r="DQ123">
        <v>0</v>
      </c>
      <c r="DR123">
        <v>0</v>
      </c>
      <c r="DS123">
        <v>9970</v>
      </c>
      <c r="DT123">
        <v>0</v>
      </c>
      <c r="DU123">
        <v>314.904</v>
      </c>
      <c r="DV123">
        <v>-62.225700000000003</v>
      </c>
      <c r="DW123">
        <v>346.29899999999998</v>
      </c>
      <c r="DX123">
        <v>407.06799999999998</v>
      </c>
      <c r="DY123">
        <v>7.2588699999999999</v>
      </c>
      <c r="DZ123">
        <v>399.98500000000001</v>
      </c>
      <c r="EA123">
        <v>17.4009</v>
      </c>
      <c r="EB123">
        <v>2.4568699999999999</v>
      </c>
      <c r="EC123">
        <v>1.73367</v>
      </c>
      <c r="ED123">
        <v>20.743600000000001</v>
      </c>
      <c r="EE123">
        <v>15.2012</v>
      </c>
      <c r="EF123">
        <v>1799.97</v>
      </c>
      <c r="EG123">
        <v>0.97800100000000001</v>
      </c>
      <c r="EH123">
        <v>2.1999399999999999E-2</v>
      </c>
      <c r="EI123">
        <v>0</v>
      </c>
      <c r="EJ123">
        <v>753.04100000000005</v>
      </c>
      <c r="EK123">
        <v>5.0002599999999999</v>
      </c>
      <c r="EL123">
        <v>13710.9</v>
      </c>
      <c r="EM123">
        <v>17103.099999999999</v>
      </c>
      <c r="EN123">
        <v>49.811999999999998</v>
      </c>
      <c r="EO123">
        <v>51.125</v>
      </c>
      <c r="EP123">
        <v>50.875</v>
      </c>
      <c r="EQ123">
        <v>50.375</v>
      </c>
      <c r="ER123">
        <v>51.061999999999998</v>
      </c>
      <c r="ES123">
        <v>1755.48</v>
      </c>
      <c r="ET123">
        <v>39.49</v>
      </c>
      <c r="EU123">
        <v>0</v>
      </c>
      <c r="EV123">
        <v>187.79999995231631</v>
      </c>
      <c r="EW123">
        <v>0</v>
      </c>
      <c r="EX123">
        <v>752.34388000000001</v>
      </c>
      <c r="EY123">
        <v>4.6734615298176827</v>
      </c>
      <c r="EZ123">
        <v>103.4461536417633</v>
      </c>
      <c r="FA123">
        <v>13698.924000000001</v>
      </c>
      <c r="FB123">
        <v>15</v>
      </c>
      <c r="FC123">
        <v>1674600161</v>
      </c>
      <c r="FD123" t="s">
        <v>964</v>
      </c>
      <c r="FE123">
        <v>1674600156</v>
      </c>
      <c r="FF123">
        <v>1674600161</v>
      </c>
      <c r="FG123">
        <v>120</v>
      </c>
      <c r="FH123">
        <v>-8.3000000000000004E-2</v>
      </c>
      <c r="FI123">
        <v>1E-3</v>
      </c>
      <c r="FJ123">
        <v>-0.67400000000000004</v>
      </c>
      <c r="FK123">
        <v>0.06</v>
      </c>
      <c r="FL123">
        <v>400</v>
      </c>
      <c r="FM123">
        <v>17</v>
      </c>
      <c r="FN123">
        <v>0.02</v>
      </c>
      <c r="FO123">
        <v>0.01</v>
      </c>
      <c r="FP123">
        <v>49.463091212845903</v>
      </c>
      <c r="FQ123">
        <v>1.267484649033541</v>
      </c>
      <c r="FR123">
        <v>0.1317491968448038</v>
      </c>
      <c r="FS123">
        <v>0</v>
      </c>
      <c r="FT123">
        <v>0.56040161060256133</v>
      </c>
      <c r="FU123">
        <v>-3.3916210801546103E-2</v>
      </c>
      <c r="FV123">
        <v>3.6571222621043409E-3</v>
      </c>
      <c r="FW123">
        <v>1</v>
      </c>
      <c r="FX123">
        <v>1</v>
      </c>
      <c r="FY123">
        <v>2</v>
      </c>
      <c r="FZ123" t="s">
        <v>459</v>
      </c>
      <c r="GA123">
        <v>2.92821</v>
      </c>
      <c r="GB123">
        <v>2.8069600000000001</v>
      </c>
      <c r="GC123">
        <v>8.5754700000000003E-2</v>
      </c>
      <c r="GD123">
        <v>9.9071900000000004E-2</v>
      </c>
      <c r="GE123">
        <v>0.11408799999999999</v>
      </c>
      <c r="GF123">
        <v>9.0679999999999997E-2</v>
      </c>
      <c r="GG123">
        <v>27130.3</v>
      </c>
      <c r="GH123">
        <v>27172.9</v>
      </c>
      <c r="GI123">
        <v>28189.200000000001</v>
      </c>
      <c r="GJ123">
        <v>27180.5</v>
      </c>
      <c r="GK123">
        <v>35848.400000000001</v>
      </c>
      <c r="GL123">
        <v>32644.7</v>
      </c>
      <c r="GM123">
        <v>41973.8</v>
      </c>
      <c r="GN123">
        <v>36887.5</v>
      </c>
      <c r="GO123">
        <v>1.92523</v>
      </c>
      <c r="GP123">
        <v>1.8830199999999999</v>
      </c>
      <c r="GQ123">
        <v>5.4150799999999999E-2</v>
      </c>
      <c r="GR123">
        <v>0</v>
      </c>
      <c r="GS123">
        <v>26.458300000000001</v>
      </c>
      <c r="GT123">
        <v>999.9</v>
      </c>
      <c r="GU123">
        <v>49.5</v>
      </c>
      <c r="GV123">
        <v>35</v>
      </c>
      <c r="GW123">
        <v>28.0626</v>
      </c>
      <c r="GX123">
        <v>60.7819</v>
      </c>
      <c r="GY123">
        <v>26.3261</v>
      </c>
      <c r="GZ123">
        <v>1</v>
      </c>
      <c r="HA123">
        <v>0.43734800000000001</v>
      </c>
      <c r="HB123">
        <v>3.1912699999999998</v>
      </c>
      <c r="HC123">
        <v>20.368200000000002</v>
      </c>
      <c r="HD123">
        <v>5.2394499999999997</v>
      </c>
      <c r="HE123">
        <v>11.9381</v>
      </c>
      <c r="HF123">
        <v>4.9733499999999999</v>
      </c>
      <c r="HG123">
        <v>3.2989999999999999</v>
      </c>
      <c r="HH123">
        <v>9999</v>
      </c>
      <c r="HI123">
        <v>9999</v>
      </c>
      <c r="HJ123">
        <v>9999</v>
      </c>
      <c r="HK123">
        <v>999.9</v>
      </c>
      <c r="HL123">
        <v>1.87303</v>
      </c>
      <c r="HM123">
        <v>1.8807799999999999</v>
      </c>
      <c r="HN123">
        <v>1.8843099999999999</v>
      </c>
      <c r="HO123">
        <v>1.8809499999999999</v>
      </c>
      <c r="HP123">
        <v>1.87836</v>
      </c>
      <c r="HQ123">
        <v>1.8730199999999999</v>
      </c>
      <c r="HR123">
        <v>1.87591</v>
      </c>
      <c r="HS123">
        <v>1.88019</v>
      </c>
      <c r="HT123">
        <v>5</v>
      </c>
      <c r="HU123">
        <v>0</v>
      </c>
      <c r="HV123">
        <v>0</v>
      </c>
      <c r="HW123">
        <v>0</v>
      </c>
      <c r="HX123" t="s">
        <v>421</v>
      </c>
      <c r="HY123" t="s">
        <v>422</v>
      </c>
      <c r="HZ123" t="s">
        <v>423</v>
      </c>
      <c r="IA123" t="s">
        <v>423</v>
      </c>
      <c r="IB123" t="s">
        <v>423</v>
      </c>
      <c r="IC123" t="s">
        <v>423</v>
      </c>
      <c r="ID123">
        <v>0</v>
      </c>
      <c r="IE123">
        <v>100</v>
      </c>
      <c r="IF123">
        <v>100</v>
      </c>
      <c r="IG123">
        <v>-0.66500000000000004</v>
      </c>
      <c r="IH123">
        <v>0.23419999999999999</v>
      </c>
      <c r="II123">
        <v>-0.79669124403757563</v>
      </c>
      <c r="IJ123">
        <v>9.4905977090923709E-4</v>
      </c>
      <c r="IK123">
        <v>-1.9106666302146479E-6</v>
      </c>
      <c r="IL123">
        <v>7.5819610513223293E-10</v>
      </c>
      <c r="IM123">
        <v>-5.7536862234829039E-2</v>
      </c>
      <c r="IN123">
        <v>-1.0595840490420019E-2</v>
      </c>
      <c r="IO123">
        <v>1.2407080968752471E-3</v>
      </c>
      <c r="IP123">
        <v>-1.3015442653884381E-5</v>
      </c>
      <c r="IQ123">
        <v>33</v>
      </c>
      <c r="IR123">
        <v>2014</v>
      </c>
      <c r="IS123">
        <v>1</v>
      </c>
      <c r="IT123">
        <v>26</v>
      </c>
      <c r="IU123">
        <v>2</v>
      </c>
      <c r="IV123">
        <v>2</v>
      </c>
      <c r="IW123">
        <v>1.00952</v>
      </c>
      <c r="IX123">
        <v>2.5341800000000001</v>
      </c>
      <c r="IY123">
        <v>1.5991200000000001</v>
      </c>
      <c r="IZ123">
        <v>2.2961399999999998</v>
      </c>
      <c r="JA123">
        <v>1.5502899999999999</v>
      </c>
      <c r="JB123">
        <v>2.33643</v>
      </c>
      <c r="JC123">
        <v>38.037700000000001</v>
      </c>
      <c r="JD123">
        <v>16.2422</v>
      </c>
      <c r="JE123">
        <v>18</v>
      </c>
      <c r="JF123">
        <v>489.00099999999998</v>
      </c>
      <c r="JG123">
        <v>495.935</v>
      </c>
      <c r="JH123">
        <v>22.658300000000001</v>
      </c>
      <c r="JI123">
        <v>32.687800000000003</v>
      </c>
      <c r="JJ123">
        <v>30.0001</v>
      </c>
      <c r="JK123">
        <v>32.781999999999996</v>
      </c>
      <c r="JL123">
        <v>32.755499999999998</v>
      </c>
      <c r="JM123">
        <v>20.262499999999999</v>
      </c>
      <c r="JN123">
        <v>44.275799999999997</v>
      </c>
      <c r="JO123">
        <v>0</v>
      </c>
      <c r="JP123">
        <v>22.644400000000001</v>
      </c>
      <c r="JQ123">
        <v>400</v>
      </c>
      <c r="JR123">
        <v>17.450900000000001</v>
      </c>
      <c r="JS123">
        <v>99.516400000000004</v>
      </c>
      <c r="JT123">
        <v>98.757000000000005</v>
      </c>
    </row>
    <row r="124" spans="1:280" x14ac:dyDescent="0.25">
      <c r="A124">
        <v>108</v>
      </c>
      <c r="B124">
        <v>1674600393.5</v>
      </c>
      <c r="C124">
        <v>24968.5</v>
      </c>
      <c r="D124" t="s">
        <v>965</v>
      </c>
      <c r="E124" t="s">
        <v>966</v>
      </c>
      <c r="F124" t="s">
        <v>412</v>
      </c>
      <c r="G124" t="s">
        <v>921</v>
      </c>
      <c r="H124" t="s">
        <v>637</v>
      </c>
      <c r="I124">
        <v>1674600393.5</v>
      </c>
      <c r="J124">
        <f t="shared" si="138"/>
        <v>5.9974897125587324E-3</v>
      </c>
      <c r="K124">
        <f t="shared" si="139"/>
        <v>5.9974897125587328</v>
      </c>
      <c r="L124">
        <f t="shared" si="140"/>
        <v>52.651106426395849</v>
      </c>
      <c r="M124">
        <f t="shared" si="141"/>
        <v>433.67399999999998</v>
      </c>
      <c r="N124">
        <f t="shared" si="142"/>
        <v>258.03317294732324</v>
      </c>
      <c r="O124">
        <f t="shared" si="143"/>
        <v>25.732704478493222</v>
      </c>
      <c r="P124">
        <f t="shared" si="144"/>
        <v>43.248721683875395</v>
      </c>
      <c r="Q124">
        <f t="shared" si="145"/>
        <v>0.54208377981594102</v>
      </c>
      <c r="R124">
        <f t="shared" si="146"/>
        <v>2.9315255789871717</v>
      </c>
      <c r="S124">
        <f t="shared" si="147"/>
        <v>0.49193114225193557</v>
      </c>
      <c r="T124">
        <f t="shared" si="148"/>
        <v>0.31157539321373379</v>
      </c>
      <c r="U124">
        <f t="shared" si="149"/>
        <v>344.40739965779142</v>
      </c>
      <c r="V124">
        <f t="shared" si="150"/>
        <v>28.482767412388199</v>
      </c>
      <c r="W124">
        <f t="shared" si="151"/>
        <v>27.3673</v>
      </c>
      <c r="X124">
        <f t="shared" si="152"/>
        <v>3.6571017422074279</v>
      </c>
      <c r="Y124">
        <f t="shared" si="153"/>
        <v>65.270757009135593</v>
      </c>
      <c r="Z124">
        <f t="shared" si="154"/>
        <v>2.4786683149928699</v>
      </c>
      <c r="AA124">
        <f t="shared" si="155"/>
        <v>3.7975173394203843</v>
      </c>
      <c r="AB124">
        <f t="shared" si="156"/>
        <v>1.178433427214558</v>
      </c>
      <c r="AC124">
        <f t="shared" si="157"/>
        <v>-264.48929632384011</v>
      </c>
      <c r="AD124">
        <f t="shared" si="158"/>
        <v>101.90703364285702</v>
      </c>
      <c r="AE124">
        <f t="shared" si="159"/>
        <v>7.5540148558067655</v>
      </c>
      <c r="AF124">
        <f t="shared" si="160"/>
        <v>189.37915183261509</v>
      </c>
      <c r="AG124">
        <v>0</v>
      </c>
      <c r="AH124">
        <v>0</v>
      </c>
      <c r="AI124">
        <f t="shared" si="161"/>
        <v>1</v>
      </c>
      <c r="AJ124">
        <f t="shared" si="162"/>
        <v>0</v>
      </c>
      <c r="AK124">
        <f t="shared" si="163"/>
        <v>52748.11450436923</v>
      </c>
      <c r="AL124" t="s">
        <v>415</v>
      </c>
      <c r="AM124">
        <v>10297.6</v>
      </c>
      <c r="AN124">
        <v>785.57400000000007</v>
      </c>
      <c r="AO124">
        <v>3597.65</v>
      </c>
      <c r="AP124">
        <f t="shared" si="164"/>
        <v>0.7816424610509638</v>
      </c>
      <c r="AQ124">
        <v>-0.62398835798131469</v>
      </c>
      <c r="AR124" t="s">
        <v>967</v>
      </c>
      <c r="AS124">
        <v>10246.1</v>
      </c>
      <c r="AT124">
        <v>762.64207692307673</v>
      </c>
      <c r="AU124">
        <v>1145.364995165867</v>
      </c>
      <c r="AV124">
        <f t="shared" si="165"/>
        <v>0.33414930599251103</v>
      </c>
      <c r="AW124">
        <v>0.5</v>
      </c>
      <c r="AX124">
        <f t="shared" si="166"/>
        <v>1513.3526998288958</v>
      </c>
      <c r="AY124">
        <f t="shared" si="167"/>
        <v>52.651106426395849</v>
      </c>
      <c r="AZ124">
        <f t="shared" si="168"/>
        <v>252.84287718485919</v>
      </c>
      <c r="BA124">
        <f t="shared" si="169"/>
        <v>3.5203356620304445E-2</v>
      </c>
      <c r="BB124">
        <f t="shared" si="170"/>
        <v>2.1410511192364523</v>
      </c>
      <c r="BC124">
        <f t="shared" si="171"/>
        <v>535.30913528401788</v>
      </c>
      <c r="BD124" t="s">
        <v>968</v>
      </c>
      <c r="BE124">
        <v>586.66999999999996</v>
      </c>
      <c r="BF124">
        <f t="shared" si="172"/>
        <v>586.66999999999996</v>
      </c>
      <c r="BG124">
        <f t="shared" si="173"/>
        <v>0.48778773362543626</v>
      </c>
      <c r="BH124">
        <f t="shared" si="174"/>
        <v>0.68503015340090223</v>
      </c>
      <c r="BI124">
        <f t="shared" si="175"/>
        <v>0.81444745725117185</v>
      </c>
      <c r="BJ124">
        <f t="shared" si="176"/>
        <v>1.06373678992814</v>
      </c>
      <c r="BK124">
        <f t="shared" si="177"/>
        <v>0.87205502441403904</v>
      </c>
      <c r="BL124">
        <f t="shared" si="178"/>
        <v>0.52696625619863779</v>
      </c>
      <c r="BM124">
        <f t="shared" si="179"/>
        <v>0.47303374380136221</v>
      </c>
      <c r="BN124">
        <v>215</v>
      </c>
      <c r="BO124">
        <v>290.00000000000011</v>
      </c>
      <c r="BP124">
        <v>1041.18</v>
      </c>
      <c r="BQ124">
        <v>115</v>
      </c>
      <c r="BR124">
        <v>10246.1</v>
      </c>
      <c r="BS124">
        <v>1039.3900000000001</v>
      </c>
      <c r="BT124">
        <v>1.79</v>
      </c>
      <c r="BU124">
        <v>300.00000000000011</v>
      </c>
      <c r="BV124">
        <v>24.1</v>
      </c>
      <c r="BW124">
        <v>1145.364995165867</v>
      </c>
      <c r="BX124">
        <v>2.1628717098036581</v>
      </c>
      <c r="BY124">
        <v>-108.58002028690051</v>
      </c>
      <c r="BZ124">
        <v>1.9695020736650219</v>
      </c>
      <c r="CA124">
        <v>0.99087172916985766</v>
      </c>
      <c r="CB124">
        <v>-6.9696651835372686E-3</v>
      </c>
      <c r="CC124">
        <v>289.99999999999989</v>
      </c>
      <c r="CD124">
        <v>1033.29</v>
      </c>
      <c r="CE124">
        <v>625</v>
      </c>
      <c r="CF124">
        <v>10207.4</v>
      </c>
      <c r="CG124">
        <v>1038.99</v>
      </c>
      <c r="CH124">
        <v>-5.7</v>
      </c>
      <c r="CV124">
        <f t="shared" si="180"/>
        <v>1800.2</v>
      </c>
      <c r="CW124">
        <f t="shared" si="181"/>
        <v>1513.3526998288958</v>
      </c>
      <c r="CX124">
        <f t="shared" si="182"/>
        <v>0.84065809345011422</v>
      </c>
      <c r="CY124">
        <f t="shared" si="183"/>
        <v>0.19131618690022853</v>
      </c>
      <c r="CZ124">
        <v>6</v>
      </c>
      <c r="DA124">
        <v>0.5</v>
      </c>
      <c r="DB124" t="s">
        <v>418</v>
      </c>
      <c r="DC124">
        <v>2</v>
      </c>
      <c r="DD124">
        <v>1674600393.5</v>
      </c>
      <c r="DE124">
        <v>433.67399999999998</v>
      </c>
      <c r="DF124">
        <v>499.96600000000001</v>
      </c>
      <c r="DG124">
        <v>24.854700000000001</v>
      </c>
      <c r="DH124">
        <v>17.837700000000002</v>
      </c>
      <c r="DI124">
        <v>434.36200000000002</v>
      </c>
      <c r="DJ124">
        <v>24.611999999999998</v>
      </c>
      <c r="DK124">
        <v>500.07900000000001</v>
      </c>
      <c r="DL124">
        <v>99.626499999999993</v>
      </c>
      <c r="DM124">
        <v>9.9842100000000003E-2</v>
      </c>
      <c r="DN124">
        <v>28.0121</v>
      </c>
      <c r="DO124">
        <v>27.3673</v>
      </c>
      <c r="DP124">
        <v>999.9</v>
      </c>
      <c r="DQ124">
        <v>0</v>
      </c>
      <c r="DR124">
        <v>0</v>
      </c>
      <c r="DS124">
        <v>10048.799999999999</v>
      </c>
      <c r="DT124">
        <v>0</v>
      </c>
      <c r="DU124">
        <v>313.27499999999998</v>
      </c>
      <c r="DV124">
        <v>-66.292299999999997</v>
      </c>
      <c r="DW124">
        <v>444.72699999999998</v>
      </c>
      <c r="DX124">
        <v>509.04599999999999</v>
      </c>
      <c r="DY124">
        <v>7.0170199999999996</v>
      </c>
      <c r="DZ124">
        <v>499.96600000000001</v>
      </c>
      <c r="EA124">
        <v>17.837700000000002</v>
      </c>
      <c r="EB124">
        <v>2.4761899999999999</v>
      </c>
      <c r="EC124">
        <v>1.77711</v>
      </c>
      <c r="ED124">
        <v>20.870799999999999</v>
      </c>
      <c r="EE124">
        <v>15.5869</v>
      </c>
      <c r="EF124">
        <v>1800.2</v>
      </c>
      <c r="EG124">
        <v>0.97800399999999998</v>
      </c>
      <c r="EH124">
        <v>2.19957E-2</v>
      </c>
      <c r="EI124">
        <v>0</v>
      </c>
      <c r="EJ124">
        <v>762.99699999999996</v>
      </c>
      <c r="EK124">
        <v>5.0002599999999999</v>
      </c>
      <c r="EL124">
        <v>13897.3</v>
      </c>
      <c r="EM124">
        <v>17105.3</v>
      </c>
      <c r="EN124">
        <v>49.811999999999998</v>
      </c>
      <c r="EO124">
        <v>51.186999999999998</v>
      </c>
      <c r="EP124">
        <v>50.75</v>
      </c>
      <c r="EQ124">
        <v>50.375</v>
      </c>
      <c r="ER124">
        <v>51.061999999999998</v>
      </c>
      <c r="ES124">
        <v>1755.71</v>
      </c>
      <c r="ET124">
        <v>39.49</v>
      </c>
      <c r="EU124">
        <v>0</v>
      </c>
      <c r="EV124">
        <v>112.7999999523163</v>
      </c>
      <c r="EW124">
        <v>0</v>
      </c>
      <c r="EX124">
        <v>762.64207692307673</v>
      </c>
      <c r="EY124">
        <v>4.3617093963257556</v>
      </c>
      <c r="EZ124">
        <v>83.418803270972305</v>
      </c>
      <c r="FA124">
        <v>13885.14615384615</v>
      </c>
      <c r="FB124">
        <v>15</v>
      </c>
      <c r="FC124">
        <v>1674600356.5</v>
      </c>
      <c r="FD124" t="s">
        <v>969</v>
      </c>
      <c r="FE124">
        <v>1674600354.5</v>
      </c>
      <c r="FF124">
        <v>1674600356.5</v>
      </c>
      <c r="FG124">
        <v>121</v>
      </c>
      <c r="FH124">
        <v>-6.0000000000000001E-3</v>
      </c>
      <c r="FI124">
        <v>3.0000000000000001E-3</v>
      </c>
      <c r="FJ124">
        <v>-0.71099999999999997</v>
      </c>
      <c r="FK124">
        <v>7.0000000000000007E-2</v>
      </c>
      <c r="FL124">
        <v>500</v>
      </c>
      <c r="FM124">
        <v>18</v>
      </c>
      <c r="FN124">
        <v>0.02</v>
      </c>
      <c r="FO124">
        <v>0.02</v>
      </c>
      <c r="FP124">
        <v>52.613116613183962</v>
      </c>
      <c r="FQ124">
        <v>6.7142898942137486E-2</v>
      </c>
      <c r="FR124">
        <v>3.5310821160925751E-2</v>
      </c>
      <c r="FS124">
        <v>1</v>
      </c>
      <c r="FT124">
        <v>0.54235939131095801</v>
      </c>
      <c r="FU124">
        <v>3.8225679426989699E-2</v>
      </c>
      <c r="FV124">
        <v>5.5062027996915161E-3</v>
      </c>
      <c r="FW124">
        <v>1</v>
      </c>
      <c r="FX124">
        <v>2</v>
      </c>
      <c r="FY124">
        <v>2</v>
      </c>
      <c r="FZ124" t="s">
        <v>420</v>
      </c>
      <c r="GA124">
        <v>2.92787</v>
      </c>
      <c r="GB124">
        <v>2.8071999999999999</v>
      </c>
      <c r="GC124">
        <v>0.104237</v>
      </c>
      <c r="GD124">
        <v>0.117198</v>
      </c>
      <c r="GE124">
        <v>0.11469</v>
      </c>
      <c r="GF124">
        <v>9.2300800000000002E-2</v>
      </c>
      <c r="GG124">
        <v>26581.7</v>
      </c>
      <c r="GH124">
        <v>26626.1</v>
      </c>
      <c r="GI124">
        <v>28189.8</v>
      </c>
      <c r="GJ124">
        <v>27181</v>
      </c>
      <c r="GK124">
        <v>35824.300000000003</v>
      </c>
      <c r="GL124">
        <v>32588.1</v>
      </c>
      <c r="GM124">
        <v>41974.1</v>
      </c>
      <c r="GN124">
        <v>36889.199999999997</v>
      </c>
      <c r="GO124">
        <v>1.92395</v>
      </c>
      <c r="GP124">
        <v>1.88435</v>
      </c>
      <c r="GQ124">
        <v>4.8957800000000003E-2</v>
      </c>
      <c r="GR124">
        <v>0</v>
      </c>
      <c r="GS124">
        <v>26.566600000000001</v>
      </c>
      <c r="GT124">
        <v>999.9</v>
      </c>
      <c r="GU124">
        <v>49.5</v>
      </c>
      <c r="GV124">
        <v>34.9</v>
      </c>
      <c r="GW124">
        <v>27.905200000000001</v>
      </c>
      <c r="GX124">
        <v>60.841900000000003</v>
      </c>
      <c r="GY124">
        <v>26.947099999999999</v>
      </c>
      <c r="GZ124">
        <v>1</v>
      </c>
      <c r="HA124">
        <v>0.438664</v>
      </c>
      <c r="HB124">
        <v>3.4681299999999999</v>
      </c>
      <c r="HC124">
        <v>20.363399999999999</v>
      </c>
      <c r="HD124">
        <v>5.2396000000000003</v>
      </c>
      <c r="HE124">
        <v>11.9381</v>
      </c>
      <c r="HF124">
        <v>4.9736000000000002</v>
      </c>
      <c r="HG124">
        <v>3.2989999999999999</v>
      </c>
      <c r="HH124">
        <v>9999</v>
      </c>
      <c r="HI124">
        <v>9999</v>
      </c>
      <c r="HJ124">
        <v>9999</v>
      </c>
      <c r="HK124">
        <v>999.9</v>
      </c>
      <c r="HL124">
        <v>1.8730199999999999</v>
      </c>
      <c r="HM124">
        <v>1.88076</v>
      </c>
      <c r="HN124">
        <v>1.8843099999999999</v>
      </c>
      <c r="HO124">
        <v>1.8809499999999999</v>
      </c>
      <c r="HP124">
        <v>1.8783300000000001</v>
      </c>
      <c r="HQ124">
        <v>1.8730199999999999</v>
      </c>
      <c r="HR124">
        <v>1.87591</v>
      </c>
      <c r="HS124">
        <v>1.8801699999999999</v>
      </c>
      <c r="HT124">
        <v>5</v>
      </c>
      <c r="HU124">
        <v>0</v>
      </c>
      <c r="HV124">
        <v>0</v>
      </c>
      <c r="HW124">
        <v>0</v>
      </c>
      <c r="HX124" t="s">
        <v>421</v>
      </c>
      <c r="HY124" t="s">
        <v>422</v>
      </c>
      <c r="HZ124" t="s">
        <v>423</v>
      </c>
      <c r="IA124" t="s">
        <v>423</v>
      </c>
      <c r="IB124" t="s">
        <v>423</v>
      </c>
      <c r="IC124" t="s">
        <v>423</v>
      </c>
      <c r="ID124">
        <v>0</v>
      </c>
      <c r="IE124">
        <v>100</v>
      </c>
      <c r="IF124">
        <v>100</v>
      </c>
      <c r="IG124">
        <v>-0.68799999999999994</v>
      </c>
      <c r="IH124">
        <v>0.2427</v>
      </c>
      <c r="II124">
        <v>-0.8024062816405737</v>
      </c>
      <c r="IJ124">
        <v>9.4905977090923709E-4</v>
      </c>
      <c r="IK124">
        <v>-1.9106666302146479E-6</v>
      </c>
      <c r="IL124">
        <v>7.5819610513223293E-10</v>
      </c>
      <c r="IM124">
        <v>-5.4050022939548227E-2</v>
      </c>
      <c r="IN124">
        <v>-1.0595840490420019E-2</v>
      </c>
      <c r="IO124">
        <v>1.2407080968752471E-3</v>
      </c>
      <c r="IP124">
        <v>-1.3015442653884381E-5</v>
      </c>
      <c r="IQ124">
        <v>33</v>
      </c>
      <c r="IR124">
        <v>2014</v>
      </c>
      <c r="IS124">
        <v>1</v>
      </c>
      <c r="IT124">
        <v>26</v>
      </c>
      <c r="IU124">
        <v>0.7</v>
      </c>
      <c r="IV124">
        <v>0.6</v>
      </c>
      <c r="IW124">
        <v>1.2097199999999999</v>
      </c>
      <c r="IX124">
        <v>2.5378400000000001</v>
      </c>
      <c r="IY124">
        <v>1.5991200000000001</v>
      </c>
      <c r="IZ124">
        <v>2.2961399999999998</v>
      </c>
      <c r="JA124">
        <v>1.5502899999999999</v>
      </c>
      <c r="JB124">
        <v>2.2534200000000002</v>
      </c>
      <c r="JC124">
        <v>37.9649</v>
      </c>
      <c r="JD124">
        <v>16.198399999999999</v>
      </c>
      <c r="JE124">
        <v>18</v>
      </c>
      <c r="JF124">
        <v>488.20499999999998</v>
      </c>
      <c r="JG124">
        <v>496.86700000000002</v>
      </c>
      <c r="JH124">
        <v>22.371200000000002</v>
      </c>
      <c r="JI124">
        <v>32.699599999999997</v>
      </c>
      <c r="JJ124">
        <v>30.0002</v>
      </c>
      <c r="JK124">
        <v>32.7849</v>
      </c>
      <c r="JL124">
        <v>32.755499999999998</v>
      </c>
      <c r="JM124">
        <v>24.266200000000001</v>
      </c>
      <c r="JN124">
        <v>42.968899999999998</v>
      </c>
      <c r="JO124">
        <v>0</v>
      </c>
      <c r="JP124">
        <v>22.361499999999999</v>
      </c>
      <c r="JQ124">
        <v>500</v>
      </c>
      <c r="JR124">
        <v>17.7791</v>
      </c>
      <c r="JS124">
        <v>99.517600000000002</v>
      </c>
      <c r="JT124">
        <v>98.760300000000001</v>
      </c>
    </row>
    <row r="125" spans="1:280" x14ac:dyDescent="0.25">
      <c r="A125">
        <v>109</v>
      </c>
      <c r="B125">
        <v>1674600506</v>
      </c>
      <c r="C125">
        <v>25081</v>
      </c>
      <c r="D125" t="s">
        <v>970</v>
      </c>
      <c r="E125" t="s">
        <v>971</v>
      </c>
      <c r="F125" t="s">
        <v>412</v>
      </c>
      <c r="G125" t="s">
        <v>921</v>
      </c>
      <c r="H125" t="s">
        <v>637</v>
      </c>
      <c r="I125">
        <v>1674600506</v>
      </c>
      <c r="J125">
        <f t="shared" si="138"/>
        <v>5.8435685930595992E-3</v>
      </c>
      <c r="K125">
        <f t="shared" si="139"/>
        <v>5.8435685930595991</v>
      </c>
      <c r="L125">
        <f t="shared" si="140"/>
        <v>54.093572854548853</v>
      </c>
      <c r="M125">
        <f t="shared" si="141"/>
        <v>531.36500000000001</v>
      </c>
      <c r="N125">
        <f t="shared" si="142"/>
        <v>342.57440076104405</v>
      </c>
      <c r="O125">
        <f t="shared" si="143"/>
        <v>34.16460285884488</v>
      </c>
      <c r="P125">
        <f t="shared" si="144"/>
        <v>52.992500775774495</v>
      </c>
      <c r="Q125">
        <f t="shared" si="145"/>
        <v>0.52047457406865316</v>
      </c>
      <c r="R125">
        <f t="shared" si="146"/>
        <v>2.9241211535650642</v>
      </c>
      <c r="S125">
        <f t="shared" si="147"/>
        <v>0.47395133831233544</v>
      </c>
      <c r="T125">
        <f t="shared" si="148"/>
        <v>0.30005220334150146</v>
      </c>
      <c r="U125">
        <f t="shared" si="149"/>
        <v>344.32889965780015</v>
      </c>
      <c r="V125">
        <f t="shared" si="150"/>
        <v>28.531181210201211</v>
      </c>
      <c r="W125">
        <f t="shared" si="151"/>
        <v>27.4468</v>
      </c>
      <c r="X125">
        <f t="shared" si="152"/>
        <v>3.6741655251520182</v>
      </c>
      <c r="Y125">
        <f t="shared" si="153"/>
        <v>65.342694670313122</v>
      </c>
      <c r="Z125">
        <f t="shared" si="154"/>
        <v>2.4825141377603801</v>
      </c>
      <c r="AA125">
        <f t="shared" si="155"/>
        <v>3.7992221629149472</v>
      </c>
      <c r="AB125">
        <f t="shared" si="156"/>
        <v>1.1916513873916381</v>
      </c>
      <c r="AC125">
        <f t="shared" si="157"/>
        <v>-257.70137495392834</v>
      </c>
      <c r="AD125">
        <f t="shared" si="158"/>
        <v>90.330710848562916</v>
      </c>
      <c r="AE125">
        <f t="shared" si="159"/>
        <v>6.7157763849471239</v>
      </c>
      <c r="AF125">
        <f t="shared" si="160"/>
        <v>183.67401193738183</v>
      </c>
      <c r="AG125">
        <v>0</v>
      </c>
      <c r="AH125">
        <v>0</v>
      </c>
      <c r="AI125">
        <f t="shared" si="161"/>
        <v>1</v>
      </c>
      <c r="AJ125">
        <f t="shared" si="162"/>
        <v>0</v>
      </c>
      <c r="AK125">
        <f t="shared" si="163"/>
        <v>52533.794520383031</v>
      </c>
      <c r="AL125" t="s">
        <v>415</v>
      </c>
      <c r="AM125">
        <v>10297.6</v>
      </c>
      <c r="AN125">
        <v>785.57400000000007</v>
      </c>
      <c r="AO125">
        <v>3597.65</v>
      </c>
      <c r="AP125">
        <f t="shared" si="164"/>
        <v>0.7816424610509638</v>
      </c>
      <c r="AQ125">
        <v>-0.62398835798131469</v>
      </c>
      <c r="AR125" t="s">
        <v>972</v>
      </c>
      <c r="AS125">
        <v>10240.200000000001</v>
      </c>
      <c r="AT125">
        <v>767.7186153846153</v>
      </c>
      <c r="AU125">
        <v>1169.5691108927811</v>
      </c>
      <c r="AV125">
        <f t="shared" si="165"/>
        <v>0.34358849918789014</v>
      </c>
      <c r="AW125">
        <v>0.5</v>
      </c>
      <c r="AX125">
        <f t="shared" si="166"/>
        <v>1513.0079998289</v>
      </c>
      <c r="AY125">
        <f t="shared" si="167"/>
        <v>54.093572854548853</v>
      </c>
      <c r="AZ125">
        <f t="shared" si="168"/>
        <v>259.92607396024164</v>
      </c>
      <c r="BA125">
        <f t="shared" si="169"/>
        <v>3.616475340428997E-2</v>
      </c>
      <c r="BB125">
        <f t="shared" si="170"/>
        <v>2.0760473806064899</v>
      </c>
      <c r="BC125">
        <f t="shared" si="171"/>
        <v>540.53730590861301</v>
      </c>
      <c r="BD125" t="s">
        <v>973</v>
      </c>
      <c r="BE125">
        <v>591.46</v>
      </c>
      <c r="BF125">
        <f t="shared" si="172"/>
        <v>591.46</v>
      </c>
      <c r="BG125">
        <f t="shared" si="173"/>
        <v>0.49429238982849522</v>
      </c>
      <c r="BH125">
        <f t="shared" si="174"/>
        <v>0.69511185334474845</v>
      </c>
      <c r="BI125">
        <f t="shared" si="175"/>
        <v>0.80769375492141859</v>
      </c>
      <c r="BJ125">
        <f t="shared" si="176"/>
        <v>1.046498989463359</v>
      </c>
      <c r="BK125">
        <f t="shared" si="177"/>
        <v>0.86344781901599366</v>
      </c>
      <c r="BL125">
        <f t="shared" si="178"/>
        <v>0.53552284462102651</v>
      </c>
      <c r="BM125">
        <f t="shared" si="179"/>
        <v>0.46447715537897349</v>
      </c>
      <c r="BN125">
        <v>217</v>
      </c>
      <c r="BO125">
        <v>290.00000000000011</v>
      </c>
      <c r="BP125">
        <v>1055.78</v>
      </c>
      <c r="BQ125">
        <v>145</v>
      </c>
      <c r="BR125">
        <v>10240.200000000001</v>
      </c>
      <c r="BS125">
        <v>1053.82</v>
      </c>
      <c r="BT125">
        <v>1.96</v>
      </c>
      <c r="BU125">
        <v>300.00000000000011</v>
      </c>
      <c r="BV125">
        <v>24.1</v>
      </c>
      <c r="BW125">
        <v>1169.5691108927811</v>
      </c>
      <c r="BX125">
        <v>2.3290901060044429</v>
      </c>
      <c r="BY125">
        <v>-118.531984821292</v>
      </c>
      <c r="BZ125">
        <v>2.1207757754786418</v>
      </c>
      <c r="CA125">
        <v>0.99111615482933957</v>
      </c>
      <c r="CB125">
        <v>-6.9694355951056778E-3</v>
      </c>
      <c r="CC125">
        <v>289.99999999999989</v>
      </c>
      <c r="CD125">
        <v>1047.29</v>
      </c>
      <c r="CE125">
        <v>635</v>
      </c>
      <c r="CF125">
        <v>10206.200000000001</v>
      </c>
      <c r="CG125">
        <v>1053.43</v>
      </c>
      <c r="CH125">
        <v>-6.14</v>
      </c>
      <c r="CV125">
        <f t="shared" si="180"/>
        <v>1799.79</v>
      </c>
      <c r="CW125">
        <f t="shared" si="181"/>
        <v>1513.0079998289</v>
      </c>
      <c r="CX125">
        <f t="shared" si="182"/>
        <v>0.84065807668055714</v>
      </c>
      <c r="CY125">
        <f t="shared" si="183"/>
        <v>0.19131615336111443</v>
      </c>
      <c r="CZ125">
        <v>6</v>
      </c>
      <c r="DA125">
        <v>0.5</v>
      </c>
      <c r="DB125" t="s">
        <v>418</v>
      </c>
      <c r="DC125">
        <v>2</v>
      </c>
      <c r="DD125">
        <v>1674600506</v>
      </c>
      <c r="DE125">
        <v>531.36500000000001</v>
      </c>
      <c r="DF125">
        <v>599.98099999999999</v>
      </c>
      <c r="DG125">
        <v>24.892600000000002</v>
      </c>
      <c r="DH125">
        <v>18.057099999999998</v>
      </c>
      <c r="DI125">
        <v>532.15099999999995</v>
      </c>
      <c r="DJ125">
        <v>24.6511</v>
      </c>
      <c r="DK125">
        <v>500.16300000000001</v>
      </c>
      <c r="DL125">
        <v>99.629099999999994</v>
      </c>
      <c r="DM125">
        <v>9.9901299999999998E-2</v>
      </c>
      <c r="DN125">
        <v>28.0198</v>
      </c>
      <c r="DO125">
        <v>27.4468</v>
      </c>
      <c r="DP125">
        <v>999.9</v>
      </c>
      <c r="DQ125">
        <v>0</v>
      </c>
      <c r="DR125">
        <v>0</v>
      </c>
      <c r="DS125">
        <v>10006.200000000001</v>
      </c>
      <c r="DT125">
        <v>0</v>
      </c>
      <c r="DU125">
        <v>312.90800000000002</v>
      </c>
      <c r="DV125">
        <v>-68.616600000000005</v>
      </c>
      <c r="DW125">
        <v>544.92899999999997</v>
      </c>
      <c r="DX125">
        <v>611.01400000000001</v>
      </c>
      <c r="DY125">
        <v>6.8354999999999997</v>
      </c>
      <c r="DZ125">
        <v>599.98099999999999</v>
      </c>
      <c r="EA125">
        <v>18.057099999999998</v>
      </c>
      <c r="EB125">
        <v>2.4800300000000002</v>
      </c>
      <c r="EC125">
        <v>1.79901</v>
      </c>
      <c r="ED125">
        <v>20.896000000000001</v>
      </c>
      <c r="EE125">
        <v>15.7782</v>
      </c>
      <c r="EF125">
        <v>1799.79</v>
      </c>
      <c r="EG125">
        <v>0.97800100000000001</v>
      </c>
      <c r="EH125">
        <v>2.1999399999999999E-2</v>
      </c>
      <c r="EI125">
        <v>0</v>
      </c>
      <c r="EJ125">
        <v>768.05399999999997</v>
      </c>
      <c r="EK125">
        <v>5.0002599999999999</v>
      </c>
      <c r="EL125">
        <v>13985.5</v>
      </c>
      <c r="EM125">
        <v>17101.400000000001</v>
      </c>
      <c r="EN125">
        <v>49.875</v>
      </c>
      <c r="EO125">
        <v>51.375</v>
      </c>
      <c r="EP125">
        <v>50.811999999999998</v>
      </c>
      <c r="EQ125">
        <v>50.561999999999998</v>
      </c>
      <c r="ER125">
        <v>51.125</v>
      </c>
      <c r="ES125">
        <v>1755.31</v>
      </c>
      <c r="ET125">
        <v>39.479999999999997</v>
      </c>
      <c r="EU125">
        <v>0</v>
      </c>
      <c r="EV125">
        <v>110.3999998569489</v>
      </c>
      <c r="EW125">
        <v>0</v>
      </c>
      <c r="EX125">
        <v>767.7186153846153</v>
      </c>
      <c r="EY125">
        <v>3.9894701090643658</v>
      </c>
      <c r="EZ125">
        <v>64.030769187382262</v>
      </c>
      <c r="FA125">
        <v>13979.51153846154</v>
      </c>
      <c r="FB125">
        <v>15</v>
      </c>
      <c r="FC125">
        <v>1674600469</v>
      </c>
      <c r="FD125" t="s">
        <v>974</v>
      </c>
      <c r="FE125">
        <v>1674600469</v>
      </c>
      <c r="FF125">
        <v>1674600467</v>
      </c>
      <c r="FG125">
        <v>122</v>
      </c>
      <c r="FH125">
        <v>-6.2E-2</v>
      </c>
      <c r="FI125">
        <v>-2E-3</v>
      </c>
      <c r="FJ125">
        <v>-0.81899999999999995</v>
      </c>
      <c r="FK125">
        <v>7.2999999999999995E-2</v>
      </c>
      <c r="FL125">
        <v>600</v>
      </c>
      <c r="FM125">
        <v>18</v>
      </c>
      <c r="FN125">
        <v>0.03</v>
      </c>
      <c r="FO125">
        <v>0.02</v>
      </c>
      <c r="FP125">
        <v>54.088481588641088</v>
      </c>
      <c r="FQ125">
        <v>-0.35049467935923923</v>
      </c>
      <c r="FR125">
        <v>4.4924303882242472E-2</v>
      </c>
      <c r="FS125">
        <v>1</v>
      </c>
      <c r="FT125">
        <v>0.51818985252713168</v>
      </c>
      <c r="FU125">
        <v>4.9881387868833033E-2</v>
      </c>
      <c r="FV125">
        <v>5.394815613928303E-3</v>
      </c>
      <c r="FW125">
        <v>1</v>
      </c>
      <c r="FX125">
        <v>2</v>
      </c>
      <c r="FY125">
        <v>2</v>
      </c>
      <c r="FZ125" t="s">
        <v>420</v>
      </c>
      <c r="GA125">
        <v>2.9279600000000001</v>
      </c>
      <c r="GB125">
        <v>2.8068599999999999</v>
      </c>
      <c r="GC125">
        <v>0.121184</v>
      </c>
      <c r="GD125">
        <v>0.133635</v>
      </c>
      <c r="GE125">
        <v>0.11480700000000001</v>
      </c>
      <c r="GF125">
        <v>9.3104000000000006E-2</v>
      </c>
      <c r="GG125">
        <v>26074.5</v>
      </c>
      <c r="GH125">
        <v>26125.8</v>
      </c>
      <c r="GI125">
        <v>28186.2</v>
      </c>
      <c r="GJ125">
        <v>27177.200000000001</v>
      </c>
      <c r="GK125">
        <v>35815.5</v>
      </c>
      <c r="GL125">
        <v>32554.799999999999</v>
      </c>
      <c r="GM125">
        <v>41969.1</v>
      </c>
      <c r="GN125">
        <v>36884</v>
      </c>
      <c r="GO125">
        <v>1.9232499999999999</v>
      </c>
      <c r="GP125">
        <v>1.88395</v>
      </c>
      <c r="GQ125">
        <v>4.4815199999999999E-2</v>
      </c>
      <c r="GR125">
        <v>0</v>
      </c>
      <c r="GS125">
        <v>26.714099999999998</v>
      </c>
      <c r="GT125">
        <v>999.9</v>
      </c>
      <c r="GU125">
        <v>49.6</v>
      </c>
      <c r="GV125">
        <v>34.9</v>
      </c>
      <c r="GW125">
        <v>27.963699999999999</v>
      </c>
      <c r="GX125">
        <v>62.291899999999998</v>
      </c>
      <c r="GY125">
        <v>26.366199999999999</v>
      </c>
      <c r="GZ125">
        <v>1</v>
      </c>
      <c r="HA125">
        <v>0.44604700000000003</v>
      </c>
      <c r="HB125">
        <v>3.8080799999999999</v>
      </c>
      <c r="HC125">
        <v>20.356000000000002</v>
      </c>
      <c r="HD125">
        <v>5.2404999999999999</v>
      </c>
      <c r="HE125">
        <v>11.9381</v>
      </c>
      <c r="HF125">
        <v>4.9714</v>
      </c>
      <c r="HG125">
        <v>3.2989999999999999</v>
      </c>
      <c r="HH125">
        <v>9999</v>
      </c>
      <c r="HI125">
        <v>9999</v>
      </c>
      <c r="HJ125">
        <v>9999</v>
      </c>
      <c r="HK125">
        <v>999.9</v>
      </c>
      <c r="HL125">
        <v>1.8730199999999999</v>
      </c>
      <c r="HM125">
        <v>1.8807499999999999</v>
      </c>
      <c r="HN125">
        <v>1.8843099999999999</v>
      </c>
      <c r="HO125">
        <v>1.8809499999999999</v>
      </c>
      <c r="HP125">
        <v>1.8783300000000001</v>
      </c>
      <c r="HQ125">
        <v>1.8730199999999999</v>
      </c>
      <c r="HR125">
        <v>1.8758900000000001</v>
      </c>
      <c r="HS125">
        <v>1.8801399999999999</v>
      </c>
      <c r="HT125">
        <v>5</v>
      </c>
      <c r="HU125">
        <v>0</v>
      </c>
      <c r="HV125">
        <v>0</v>
      </c>
      <c r="HW125">
        <v>0</v>
      </c>
      <c r="HX125" t="s">
        <v>421</v>
      </c>
      <c r="HY125" t="s">
        <v>422</v>
      </c>
      <c r="HZ125" t="s">
        <v>423</v>
      </c>
      <c r="IA125" t="s">
        <v>423</v>
      </c>
      <c r="IB125" t="s">
        <v>423</v>
      </c>
      <c r="IC125" t="s">
        <v>423</v>
      </c>
      <c r="ID125">
        <v>0</v>
      </c>
      <c r="IE125">
        <v>100</v>
      </c>
      <c r="IF125">
        <v>100</v>
      </c>
      <c r="IG125">
        <v>-0.78600000000000003</v>
      </c>
      <c r="IH125">
        <v>0.24149999999999999</v>
      </c>
      <c r="II125">
        <v>-0.86438582055766366</v>
      </c>
      <c r="IJ125">
        <v>9.4905977090923709E-4</v>
      </c>
      <c r="IK125">
        <v>-1.9106666302146479E-6</v>
      </c>
      <c r="IL125">
        <v>7.5819610513223293E-10</v>
      </c>
      <c r="IM125">
        <v>-5.6287709144231507E-2</v>
      </c>
      <c r="IN125">
        <v>-1.0595840490420019E-2</v>
      </c>
      <c r="IO125">
        <v>1.2407080968752471E-3</v>
      </c>
      <c r="IP125">
        <v>-1.3015442653884381E-5</v>
      </c>
      <c r="IQ125">
        <v>33</v>
      </c>
      <c r="IR125">
        <v>2014</v>
      </c>
      <c r="IS125">
        <v>1</v>
      </c>
      <c r="IT125">
        <v>26</v>
      </c>
      <c r="IU125">
        <v>0.6</v>
      </c>
      <c r="IV125">
        <v>0.7</v>
      </c>
      <c r="IW125">
        <v>1.40259</v>
      </c>
      <c r="IX125">
        <v>2.52319</v>
      </c>
      <c r="IY125">
        <v>1.5991200000000001</v>
      </c>
      <c r="IZ125">
        <v>2.2961399999999998</v>
      </c>
      <c r="JA125">
        <v>1.5502899999999999</v>
      </c>
      <c r="JB125">
        <v>2.34985</v>
      </c>
      <c r="JC125">
        <v>37.9649</v>
      </c>
      <c r="JD125">
        <v>16.180900000000001</v>
      </c>
      <c r="JE125">
        <v>18</v>
      </c>
      <c r="JF125">
        <v>488.14499999999998</v>
      </c>
      <c r="JG125">
        <v>496.94499999999999</v>
      </c>
      <c r="JH125">
        <v>22.247900000000001</v>
      </c>
      <c r="JI125">
        <v>32.769300000000001</v>
      </c>
      <c r="JJ125">
        <v>30.000599999999999</v>
      </c>
      <c r="JK125">
        <v>32.834699999999998</v>
      </c>
      <c r="JL125">
        <v>32.799399999999999</v>
      </c>
      <c r="JM125">
        <v>28.1236</v>
      </c>
      <c r="JN125">
        <v>42.704599999999999</v>
      </c>
      <c r="JO125">
        <v>0</v>
      </c>
      <c r="JP125">
        <v>22.2331</v>
      </c>
      <c r="JQ125">
        <v>600</v>
      </c>
      <c r="JR125">
        <v>17.971499999999999</v>
      </c>
      <c r="JS125">
        <v>99.505399999999995</v>
      </c>
      <c r="JT125">
        <v>98.746600000000001</v>
      </c>
    </row>
    <row r="126" spans="1:280" x14ac:dyDescent="0.25">
      <c r="A126">
        <v>110</v>
      </c>
      <c r="B126">
        <v>1674600616.5</v>
      </c>
      <c r="C126">
        <v>25191.5</v>
      </c>
      <c r="D126" t="s">
        <v>975</v>
      </c>
      <c r="E126" t="s">
        <v>976</v>
      </c>
      <c r="F126" t="s">
        <v>412</v>
      </c>
      <c r="G126" t="s">
        <v>921</v>
      </c>
      <c r="H126" t="s">
        <v>637</v>
      </c>
      <c r="I126">
        <v>1674600616.5</v>
      </c>
      <c r="J126">
        <f t="shared" si="138"/>
        <v>5.6547097367858718E-3</v>
      </c>
      <c r="K126">
        <f t="shared" si="139"/>
        <v>5.6547097367858719</v>
      </c>
      <c r="L126">
        <f t="shared" si="140"/>
        <v>54.543340958569011</v>
      </c>
      <c r="M126">
        <f t="shared" si="141"/>
        <v>729.58</v>
      </c>
      <c r="N126">
        <f t="shared" si="142"/>
        <v>526.87756763060622</v>
      </c>
      <c r="O126">
        <f t="shared" si="143"/>
        <v>52.543537200860932</v>
      </c>
      <c r="P126">
        <f t="shared" si="144"/>
        <v>72.758295714500008</v>
      </c>
      <c r="Q126">
        <f t="shared" si="145"/>
        <v>0.49529288414638589</v>
      </c>
      <c r="R126">
        <f t="shared" si="146"/>
        <v>2.9243013302849321</v>
      </c>
      <c r="S126">
        <f t="shared" si="147"/>
        <v>0.45296905378324509</v>
      </c>
      <c r="T126">
        <f t="shared" si="148"/>
        <v>0.28660629130225701</v>
      </c>
      <c r="U126">
        <f t="shared" si="149"/>
        <v>344.36499965783628</v>
      </c>
      <c r="V126">
        <f t="shared" si="150"/>
        <v>28.571131799653401</v>
      </c>
      <c r="W126">
        <f t="shared" si="151"/>
        <v>27.511099999999999</v>
      </c>
      <c r="X126">
        <f t="shared" si="152"/>
        <v>3.6880175838676572</v>
      </c>
      <c r="Y126">
        <f t="shared" si="153"/>
        <v>65.353870938135415</v>
      </c>
      <c r="Z126">
        <f t="shared" si="154"/>
        <v>2.4815786544725</v>
      </c>
      <c r="AA126">
        <f t="shared" si="155"/>
        <v>3.7971410397734289</v>
      </c>
      <c r="AB126">
        <f t="shared" si="156"/>
        <v>1.2064389293951572</v>
      </c>
      <c r="AC126">
        <f t="shared" si="157"/>
        <v>-249.37269939225695</v>
      </c>
      <c r="AD126">
        <f t="shared" si="158"/>
        <v>78.717108205838073</v>
      </c>
      <c r="AE126">
        <f t="shared" si="159"/>
        <v>5.8535858728617258</v>
      </c>
      <c r="AF126">
        <f t="shared" si="160"/>
        <v>179.56299434427916</v>
      </c>
      <c r="AG126">
        <v>0</v>
      </c>
      <c r="AH126">
        <v>0</v>
      </c>
      <c r="AI126">
        <f t="shared" si="161"/>
        <v>1</v>
      </c>
      <c r="AJ126">
        <f t="shared" si="162"/>
        <v>0</v>
      </c>
      <c r="AK126">
        <f t="shared" si="163"/>
        <v>52540.556399684989</v>
      </c>
      <c r="AL126" t="s">
        <v>415</v>
      </c>
      <c r="AM126">
        <v>10297.6</v>
      </c>
      <c r="AN126">
        <v>785.57400000000007</v>
      </c>
      <c r="AO126">
        <v>3597.65</v>
      </c>
      <c r="AP126">
        <f t="shared" si="164"/>
        <v>0.7816424610509638</v>
      </c>
      <c r="AQ126">
        <v>-0.62398835798131469</v>
      </c>
      <c r="AR126" t="s">
        <v>977</v>
      </c>
      <c r="AS126">
        <v>10241.299999999999</v>
      </c>
      <c r="AT126">
        <v>770.46368000000007</v>
      </c>
      <c r="AU126">
        <v>1175.834527058659</v>
      </c>
      <c r="AV126">
        <f t="shared" si="165"/>
        <v>0.34475161064770821</v>
      </c>
      <c r="AW126">
        <v>0.5</v>
      </c>
      <c r="AX126">
        <f t="shared" si="166"/>
        <v>1513.1675998289181</v>
      </c>
      <c r="AY126">
        <f t="shared" si="167"/>
        <v>54.543340958569011</v>
      </c>
      <c r="AZ126">
        <f t="shared" si="168"/>
        <v>260.83348361047314</v>
      </c>
      <c r="BA126">
        <f t="shared" si="169"/>
        <v>3.6458175104190485E-2</v>
      </c>
      <c r="BB126">
        <f t="shared" si="170"/>
        <v>2.0596567095197429</v>
      </c>
      <c r="BC126">
        <f t="shared" si="171"/>
        <v>541.871748843869</v>
      </c>
      <c r="BD126" t="s">
        <v>978</v>
      </c>
      <c r="BE126">
        <v>591.73</v>
      </c>
      <c r="BF126">
        <f t="shared" si="172"/>
        <v>591.73</v>
      </c>
      <c r="BG126">
        <f t="shared" si="173"/>
        <v>0.49675742089305031</v>
      </c>
      <c r="BH126">
        <f t="shared" si="174"/>
        <v>0.6940039466907767</v>
      </c>
      <c r="BI126">
        <f t="shared" si="175"/>
        <v>0.80568194527510406</v>
      </c>
      <c r="BJ126">
        <f t="shared" si="176"/>
        <v>1.0387185455671997</v>
      </c>
      <c r="BK126">
        <f t="shared" si="177"/>
        <v>0.86121977960102813</v>
      </c>
      <c r="BL126">
        <f t="shared" si="178"/>
        <v>0.53300754602129108</v>
      </c>
      <c r="BM126">
        <f t="shared" si="179"/>
        <v>0.46699245397870892</v>
      </c>
      <c r="BN126">
        <v>219</v>
      </c>
      <c r="BO126">
        <v>290.00000000000011</v>
      </c>
      <c r="BP126">
        <v>1063.03</v>
      </c>
      <c r="BQ126">
        <v>135</v>
      </c>
      <c r="BR126">
        <v>10241.299999999999</v>
      </c>
      <c r="BS126">
        <v>1061.07</v>
      </c>
      <c r="BT126">
        <v>1.96</v>
      </c>
      <c r="BU126">
        <v>300.00000000000011</v>
      </c>
      <c r="BV126">
        <v>24.1</v>
      </c>
      <c r="BW126">
        <v>1175.834527058659</v>
      </c>
      <c r="BX126">
        <v>2.079098087389692</v>
      </c>
      <c r="BY126">
        <v>-117.5351972593556</v>
      </c>
      <c r="BZ126">
        <v>1.892994918542747</v>
      </c>
      <c r="CA126">
        <v>0.99278928834221569</v>
      </c>
      <c r="CB126">
        <v>-6.969094771968859E-3</v>
      </c>
      <c r="CC126">
        <v>289.99999999999989</v>
      </c>
      <c r="CD126">
        <v>1054.98</v>
      </c>
      <c r="CE126">
        <v>635</v>
      </c>
      <c r="CF126">
        <v>10205.4</v>
      </c>
      <c r="CG126">
        <v>1060.6600000000001</v>
      </c>
      <c r="CH126">
        <v>-5.68</v>
      </c>
      <c r="CV126">
        <f t="shared" si="180"/>
        <v>1799.98</v>
      </c>
      <c r="CW126">
        <f t="shared" si="181"/>
        <v>1513.1675998289181</v>
      </c>
      <c r="CX126">
        <f t="shared" si="182"/>
        <v>0.84065800721614581</v>
      </c>
      <c r="CY126">
        <f t="shared" si="183"/>
        <v>0.19131601443229163</v>
      </c>
      <c r="CZ126">
        <v>6</v>
      </c>
      <c r="DA126">
        <v>0.5</v>
      </c>
      <c r="DB126" t="s">
        <v>418</v>
      </c>
      <c r="DC126">
        <v>2</v>
      </c>
      <c r="DD126">
        <v>1674600616.5</v>
      </c>
      <c r="DE126">
        <v>729.58</v>
      </c>
      <c r="DF126">
        <v>799.971</v>
      </c>
      <c r="DG126">
        <v>24.883900000000001</v>
      </c>
      <c r="DH126">
        <v>18.2682</v>
      </c>
      <c r="DI126">
        <v>730.57600000000002</v>
      </c>
      <c r="DJ126">
        <v>24.6431</v>
      </c>
      <c r="DK126">
        <v>500.08300000000003</v>
      </c>
      <c r="DL126">
        <v>99.626400000000004</v>
      </c>
      <c r="DM126">
        <v>9.9875000000000005E-2</v>
      </c>
      <c r="DN126">
        <v>28.010400000000001</v>
      </c>
      <c r="DO126">
        <v>27.511099999999999</v>
      </c>
      <c r="DP126">
        <v>999.9</v>
      </c>
      <c r="DQ126">
        <v>0</v>
      </c>
      <c r="DR126">
        <v>0</v>
      </c>
      <c r="DS126">
        <v>10007.5</v>
      </c>
      <c r="DT126">
        <v>0</v>
      </c>
      <c r="DU126">
        <v>312.87299999999999</v>
      </c>
      <c r="DV126">
        <v>-70.3904</v>
      </c>
      <c r="DW126">
        <v>748.19799999999998</v>
      </c>
      <c r="DX126">
        <v>814.85699999999997</v>
      </c>
      <c r="DY126">
        <v>6.61571</v>
      </c>
      <c r="DZ126">
        <v>799.971</v>
      </c>
      <c r="EA126">
        <v>18.2682</v>
      </c>
      <c r="EB126">
        <v>2.4790899999999998</v>
      </c>
      <c r="EC126">
        <v>1.81999</v>
      </c>
      <c r="ED126">
        <v>20.889900000000001</v>
      </c>
      <c r="EE126">
        <v>15.9596</v>
      </c>
      <c r="EF126">
        <v>1799.98</v>
      </c>
      <c r="EG126">
        <v>0.97800399999999998</v>
      </c>
      <c r="EH126">
        <v>2.19957E-2</v>
      </c>
      <c r="EI126">
        <v>0</v>
      </c>
      <c r="EJ126">
        <v>770.41200000000003</v>
      </c>
      <c r="EK126">
        <v>5.0002599999999999</v>
      </c>
      <c r="EL126">
        <v>14042.7</v>
      </c>
      <c r="EM126">
        <v>17103.2</v>
      </c>
      <c r="EN126">
        <v>50.061999999999998</v>
      </c>
      <c r="EO126">
        <v>51.5</v>
      </c>
      <c r="EP126">
        <v>51</v>
      </c>
      <c r="EQ126">
        <v>50.75</v>
      </c>
      <c r="ER126">
        <v>51.25</v>
      </c>
      <c r="ES126">
        <v>1755.5</v>
      </c>
      <c r="ET126">
        <v>39.479999999999997</v>
      </c>
      <c r="EU126">
        <v>0</v>
      </c>
      <c r="EV126">
        <v>108.7999999523163</v>
      </c>
      <c r="EW126">
        <v>0</v>
      </c>
      <c r="EX126">
        <v>770.46368000000007</v>
      </c>
      <c r="EY126">
        <v>1.030769234170926</v>
      </c>
      <c r="EZ126">
        <v>36.269230707807012</v>
      </c>
      <c r="FA126">
        <v>14038.316000000001</v>
      </c>
      <c r="FB126">
        <v>15</v>
      </c>
      <c r="FC126">
        <v>1674600582</v>
      </c>
      <c r="FD126" t="s">
        <v>979</v>
      </c>
      <c r="FE126">
        <v>1674600573</v>
      </c>
      <c r="FF126">
        <v>1674600582</v>
      </c>
      <c r="FG126">
        <v>123</v>
      </c>
      <c r="FH126">
        <v>-0.10100000000000001</v>
      </c>
      <c r="FI126">
        <v>-1E-3</v>
      </c>
      <c r="FJ126">
        <v>-1.0409999999999999</v>
      </c>
      <c r="FK126">
        <v>7.6999999999999999E-2</v>
      </c>
      <c r="FL126">
        <v>800</v>
      </c>
      <c r="FM126">
        <v>18</v>
      </c>
      <c r="FN126">
        <v>0.02</v>
      </c>
      <c r="FO126">
        <v>0.01</v>
      </c>
      <c r="FP126">
        <v>54.5883953394532</v>
      </c>
      <c r="FQ126">
        <v>-0.60141584834887685</v>
      </c>
      <c r="FR126">
        <v>7.6577106565607816E-2</v>
      </c>
      <c r="FS126">
        <v>1</v>
      </c>
      <c r="FT126">
        <v>0.49079671107487871</v>
      </c>
      <c r="FU126">
        <v>4.1828642501900652E-2</v>
      </c>
      <c r="FV126">
        <v>4.3528899733584819E-3</v>
      </c>
      <c r="FW126">
        <v>1</v>
      </c>
      <c r="FX126">
        <v>2</v>
      </c>
      <c r="FY126">
        <v>2</v>
      </c>
      <c r="FZ126" t="s">
        <v>420</v>
      </c>
      <c r="GA126">
        <v>2.9275000000000002</v>
      </c>
      <c r="GB126">
        <v>2.8068399999999998</v>
      </c>
      <c r="GC126">
        <v>0.15137400000000001</v>
      </c>
      <c r="GD126">
        <v>0.16281399999999999</v>
      </c>
      <c r="GE126">
        <v>0.11475299999999999</v>
      </c>
      <c r="GF126">
        <v>9.3858800000000006E-2</v>
      </c>
      <c r="GG126">
        <v>25169</v>
      </c>
      <c r="GH126">
        <v>25237.1</v>
      </c>
      <c r="GI126">
        <v>28177.8</v>
      </c>
      <c r="GJ126">
        <v>27170</v>
      </c>
      <c r="GK126">
        <v>35808.1</v>
      </c>
      <c r="GL126">
        <v>32519.8</v>
      </c>
      <c r="GM126">
        <v>41957.5</v>
      </c>
      <c r="GN126">
        <v>36874.9</v>
      </c>
      <c r="GO126">
        <v>1.92188</v>
      </c>
      <c r="GP126">
        <v>1.88293</v>
      </c>
      <c r="GQ126">
        <v>3.2473399999999999E-2</v>
      </c>
      <c r="GR126">
        <v>0</v>
      </c>
      <c r="GS126">
        <v>26.9802</v>
      </c>
      <c r="GT126">
        <v>999.9</v>
      </c>
      <c r="GU126">
        <v>49.8</v>
      </c>
      <c r="GV126">
        <v>34.9</v>
      </c>
      <c r="GW126">
        <v>28.076499999999999</v>
      </c>
      <c r="GX126">
        <v>62.3919</v>
      </c>
      <c r="GY126">
        <v>26.330100000000002</v>
      </c>
      <c r="GZ126">
        <v>1</v>
      </c>
      <c r="HA126">
        <v>0.46055099999999999</v>
      </c>
      <c r="HB126">
        <v>4.30905</v>
      </c>
      <c r="HC126">
        <v>20.3447</v>
      </c>
      <c r="HD126">
        <v>5.2379600000000002</v>
      </c>
      <c r="HE126">
        <v>11.9381</v>
      </c>
      <c r="HF126">
        <v>4.9726999999999997</v>
      </c>
      <c r="HG126">
        <v>3.29833</v>
      </c>
      <c r="HH126">
        <v>9999</v>
      </c>
      <c r="HI126">
        <v>9999</v>
      </c>
      <c r="HJ126">
        <v>9999</v>
      </c>
      <c r="HK126">
        <v>999.9</v>
      </c>
      <c r="HL126">
        <v>1.8730199999999999</v>
      </c>
      <c r="HM126">
        <v>1.8806700000000001</v>
      </c>
      <c r="HN126">
        <v>1.8843099999999999</v>
      </c>
      <c r="HO126">
        <v>1.8809499999999999</v>
      </c>
      <c r="HP126">
        <v>1.87832</v>
      </c>
      <c r="HQ126">
        <v>1.8730199999999999</v>
      </c>
      <c r="HR126">
        <v>1.87591</v>
      </c>
      <c r="HS126">
        <v>1.8801699999999999</v>
      </c>
      <c r="HT126">
        <v>5</v>
      </c>
      <c r="HU126">
        <v>0</v>
      </c>
      <c r="HV126">
        <v>0</v>
      </c>
      <c r="HW126">
        <v>0</v>
      </c>
      <c r="HX126" t="s">
        <v>421</v>
      </c>
      <c r="HY126" t="s">
        <v>422</v>
      </c>
      <c r="HZ126" t="s">
        <v>423</v>
      </c>
      <c r="IA126" t="s">
        <v>423</v>
      </c>
      <c r="IB126" t="s">
        <v>423</v>
      </c>
      <c r="IC126" t="s">
        <v>423</v>
      </c>
      <c r="ID126">
        <v>0</v>
      </c>
      <c r="IE126">
        <v>100</v>
      </c>
      <c r="IF126">
        <v>100</v>
      </c>
      <c r="IG126">
        <v>-0.996</v>
      </c>
      <c r="IH126">
        <v>0.24079999999999999</v>
      </c>
      <c r="II126">
        <v>-0.96495340561093201</v>
      </c>
      <c r="IJ126">
        <v>9.4905977090923709E-4</v>
      </c>
      <c r="IK126">
        <v>-1.9106666302146479E-6</v>
      </c>
      <c r="IL126">
        <v>7.5819610513223293E-10</v>
      </c>
      <c r="IM126">
        <v>-5.6807810330037713E-2</v>
      </c>
      <c r="IN126">
        <v>-1.0595840490420019E-2</v>
      </c>
      <c r="IO126">
        <v>1.2407080968752471E-3</v>
      </c>
      <c r="IP126">
        <v>-1.3015442653884381E-5</v>
      </c>
      <c r="IQ126">
        <v>33</v>
      </c>
      <c r="IR126">
        <v>2014</v>
      </c>
      <c r="IS126">
        <v>1</v>
      </c>
      <c r="IT126">
        <v>26</v>
      </c>
      <c r="IU126">
        <v>0.7</v>
      </c>
      <c r="IV126">
        <v>0.6</v>
      </c>
      <c r="IW126">
        <v>1.7724599999999999</v>
      </c>
      <c r="IX126">
        <v>2.5134300000000001</v>
      </c>
      <c r="IY126">
        <v>1.5991200000000001</v>
      </c>
      <c r="IZ126">
        <v>2.2973599999999998</v>
      </c>
      <c r="JA126">
        <v>1.5502899999999999</v>
      </c>
      <c r="JB126">
        <v>2.36816</v>
      </c>
      <c r="JC126">
        <v>37.9649</v>
      </c>
      <c r="JD126">
        <v>16.154599999999999</v>
      </c>
      <c r="JE126">
        <v>18</v>
      </c>
      <c r="JF126">
        <v>488.005</v>
      </c>
      <c r="JG126">
        <v>496.911</v>
      </c>
      <c r="JH126">
        <v>21.8049</v>
      </c>
      <c r="JI126">
        <v>32.902200000000001</v>
      </c>
      <c r="JJ126">
        <v>30.000699999999998</v>
      </c>
      <c r="JK126">
        <v>32.93</v>
      </c>
      <c r="JL126">
        <v>32.883600000000001</v>
      </c>
      <c r="JM126">
        <v>35.535699999999999</v>
      </c>
      <c r="JN126">
        <v>42.277000000000001</v>
      </c>
      <c r="JO126">
        <v>0</v>
      </c>
      <c r="JP126">
        <v>21.799399999999999</v>
      </c>
      <c r="JQ126">
        <v>800</v>
      </c>
      <c r="JR126">
        <v>18.167999999999999</v>
      </c>
      <c r="JS126">
        <v>99.477000000000004</v>
      </c>
      <c r="JT126">
        <v>98.721299999999999</v>
      </c>
    </row>
    <row r="127" spans="1:280" x14ac:dyDescent="0.25">
      <c r="A127">
        <v>111</v>
      </c>
      <c r="B127">
        <v>1674600739</v>
      </c>
      <c r="C127">
        <v>25314</v>
      </c>
      <c r="D127" t="s">
        <v>980</v>
      </c>
      <c r="E127" t="s">
        <v>981</v>
      </c>
      <c r="F127" t="s">
        <v>412</v>
      </c>
      <c r="G127" t="s">
        <v>921</v>
      </c>
      <c r="H127" t="s">
        <v>637</v>
      </c>
      <c r="I127">
        <v>1674600739</v>
      </c>
      <c r="J127">
        <f t="shared" si="138"/>
        <v>5.5050019585730116E-3</v>
      </c>
      <c r="K127">
        <f t="shared" si="139"/>
        <v>5.5050019585730112</v>
      </c>
      <c r="L127">
        <f t="shared" si="140"/>
        <v>53.529243090357234</v>
      </c>
      <c r="M127">
        <f t="shared" si="141"/>
        <v>1128.19</v>
      </c>
      <c r="N127">
        <f t="shared" si="142"/>
        <v>913.68189502514826</v>
      </c>
      <c r="O127">
        <f t="shared" si="143"/>
        <v>91.096752519667987</v>
      </c>
      <c r="P127">
        <f t="shared" si="144"/>
        <v>112.483836863524</v>
      </c>
      <c r="Q127">
        <f t="shared" si="145"/>
        <v>0.47507971617040928</v>
      </c>
      <c r="R127">
        <f t="shared" si="146"/>
        <v>2.9250976417055861</v>
      </c>
      <c r="S127">
        <f t="shared" si="147"/>
        <v>0.43600372060672349</v>
      </c>
      <c r="T127">
        <f t="shared" si="148"/>
        <v>0.27574481387510325</v>
      </c>
      <c r="U127">
        <f t="shared" si="149"/>
        <v>344.39539965786668</v>
      </c>
      <c r="V127">
        <f t="shared" si="150"/>
        <v>28.599635353969155</v>
      </c>
      <c r="W127">
        <f t="shared" si="151"/>
        <v>27.571000000000002</v>
      </c>
      <c r="X127">
        <f t="shared" si="152"/>
        <v>3.700962738102215</v>
      </c>
      <c r="Y127">
        <f t="shared" si="153"/>
        <v>65.382249024350386</v>
      </c>
      <c r="Z127">
        <f t="shared" si="154"/>
        <v>2.4811370651218798</v>
      </c>
      <c r="AA127">
        <f t="shared" si="155"/>
        <v>3.7948175569760951</v>
      </c>
      <c r="AB127">
        <f t="shared" si="156"/>
        <v>1.2198256729803352</v>
      </c>
      <c r="AC127">
        <f t="shared" si="157"/>
        <v>-242.77058637306982</v>
      </c>
      <c r="AD127">
        <f t="shared" si="158"/>
        <v>67.636613895175785</v>
      </c>
      <c r="AE127">
        <f t="shared" si="159"/>
        <v>5.0294835336189054</v>
      </c>
      <c r="AF127">
        <f t="shared" si="160"/>
        <v>174.29091071359159</v>
      </c>
      <c r="AG127">
        <v>0</v>
      </c>
      <c r="AH127">
        <v>0</v>
      </c>
      <c r="AI127">
        <f t="shared" si="161"/>
        <v>1</v>
      </c>
      <c r="AJ127">
        <f t="shared" si="162"/>
        <v>0</v>
      </c>
      <c r="AK127">
        <f t="shared" si="163"/>
        <v>52564.776368587445</v>
      </c>
      <c r="AL127" t="s">
        <v>415</v>
      </c>
      <c r="AM127">
        <v>10297.6</v>
      </c>
      <c r="AN127">
        <v>785.57400000000007</v>
      </c>
      <c r="AO127">
        <v>3597.65</v>
      </c>
      <c r="AP127">
        <f t="shared" si="164"/>
        <v>0.7816424610509638</v>
      </c>
      <c r="AQ127">
        <v>-0.62398835798131469</v>
      </c>
      <c r="AR127" t="s">
        <v>982</v>
      </c>
      <c r="AS127">
        <v>10244.200000000001</v>
      </c>
      <c r="AT127">
        <v>772.39188000000013</v>
      </c>
      <c r="AU127">
        <v>1185.5786736913651</v>
      </c>
      <c r="AV127">
        <f t="shared" si="165"/>
        <v>0.34851064957577627</v>
      </c>
      <c r="AW127">
        <v>0.5</v>
      </c>
      <c r="AX127">
        <f t="shared" si="166"/>
        <v>1513.3019998289333</v>
      </c>
      <c r="AY127">
        <f t="shared" si="167"/>
        <v>53.529243090357234</v>
      </c>
      <c r="AZ127">
        <f t="shared" si="168"/>
        <v>263.70093148235139</v>
      </c>
      <c r="BA127">
        <f t="shared" si="169"/>
        <v>3.5784814567389814E-2</v>
      </c>
      <c r="BB127">
        <f t="shared" si="170"/>
        <v>2.0345097122897098</v>
      </c>
      <c r="BC127">
        <f t="shared" si="171"/>
        <v>543.93194369386504</v>
      </c>
      <c r="BD127" t="s">
        <v>983</v>
      </c>
      <c r="BE127">
        <v>592.21</v>
      </c>
      <c r="BF127">
        <f t="shared" si="172"/>
        <v>592.21</v>
      </c>
      <c r="BG127">
        <f t="shared" si="173"/>
        <v>0.50048865322777669</v>
      </c>
      <c r="BH127">
        <f t="shared" si="174"/>
        <v>0.69634076083072771</v>
      </c>
      <c r="BI127">
        <f t="shared" si="175"/>
        <v>0.80256845131116739</v>
      </c>
      <c r="BJ127">
        <f t="shared" si="176"/>
        <v>1.0329549149472463</v>
      </c>
      <c r="BK127">
        <f t="shared" si="177"/>
        <v>0.85775467174736209</v>
      </c>
      <c r="BL127">
        <f t="shared" si="178"/>
        <v>0.53389991874534626</v>
      </c>
      <c r="BM127">
        <f t="shared" si="179"/>
        <v>0.46610008125465374</v>
      </c>
      <c r="BN127">
        <v>221</v>
      </c>
      <c r="BO127">
        <v>290.00000000000011</v>
      </c>
      <c r="BP127">
        <v>1068.73</v>
      </c>
      <c r="BQ127">
        <v>115</v>
      </c>
      <c r="BR127">
        <v>10244.200000000001</v>
      </c>
      <c r="BS127">
        <v>1066.23</v>
      </c>
      <c r="BT127">
        <v>2.5</v>
      </c>
      <c r="BU127">
        <v>300.00000000000011</v>
      </c>
      <c r="BV127">
        <v>24.1</v>
      </c>
      <c r="BW127">
        <v>1185.5786736913651</v>
      </c>
      <c r="BX127">
        <v>1.895355507579205</v>
      </c>
      <c r="BY127">
        <v>-122.26338493466091</v>
      </c>
      <c r="BZ127">
        <v>1.725539336651758</v>
      </c>
      <c r="CA127">
        <v>0.99445374901928318</v>
      </c>
      <c r="CB127">
        <v>-6.9686186874304678E-3</v>
      </c>
      <c r="CC127">
        <v>289.99999999999989</v>
      </c>
      <c r="CD127">
        <v>1058.78</v>
      </c>
      <c r="CE127">
        <v>665</v>
      </c>
      <c r="CF127">
        <v>10202.299999999999</v>
      </c>
      <c r="CG127">
        <v>1065.74</v>
      </c>
      <c r="CH127">
        <v>-6.96</v>
      </c>
      <c r="CV127">
        <f t="shared" si="180"/>
        <v>1800.14</v>
      </c>
      <c r="CW127">
        <f t="shared" si="181"/>
        <v>1513.3019998289333</v>
      </c>
      <c r="CX127">
        <f t="shared" si="182"/>
        <v>0.84065794873117272</v>
      </c>
      <c r="CY127">
        <f t="shared" si="183"/>
        <v>0.19131589746234551</v>
      </c>
      <c r="CZ127">
        <v>6</v>
      </c>
      <c r="DA127">
        <v>0.5</v>
      </c>
      <c r="DB127" t="s">
        <v>418</v>
      </c>
      <c r="DC127">
        <v>2</v>
      </c>
      <c r="DD127">
        <v>1674600739</v>
      </c>
      <c r="DE127">
        <v>1128.19</v>
      </c>
      <c r="DF127">
        <v>1199.8599999999999</v>
      </c>
      <c r="DG127">
        <v>24.885300000000001</v>
      </c>
      <c r="DH127">
        <v>18.4453</v>
      </c>
      <c r="DI127">
        <v>1129.67</v>
      </c>
      <c r="DJ127">
        <v>24.649899999999999</v>
      </c>
      <c r="DK127">
        <v>500.125</v>
      </c>
      <c r="DL127">
        <v>99.602999999999994</v>
      </c>
      <c r="DM127">
        <v>9.9919599999999997E-2</v>
      </c>
      <c r="DN127">
        <v>27.9999</v>
      </c>
      <c r="DO127">
        <v>27.571000000000002</v>
      </c>
      <c r="DP127">
        <v>999.9</v>
      </c>
      <c r="DQ127">
        <v>0</v>
      </c>
      <c r="DR127">
        <v>0</v>
      </c>
      <c r="DS127">
        <v>10014.4</v>
      </c>
      <c r="DT127">
        <v>0</v>
      </c>
      <c r="DU127">
        <v>312.666</v>
      </c>
      <c r="DV127">
        <v>-71.678299999999993</v>
      </c>
      <c r="DW127">
        <v>1156.98</v>
      </c>
      <c r="DX127">
        <v>1222.4100000000001</v>
      </c>
      <c r="DY127">
        <v>6.43994</v>
      </c>
      <c r="DZ127">
        <v>1199.8599999999999</v>
      </c>
      <c r="EA127">
        <v>18.4453</v>
      </c>
      <c r="EB127">
        <v>2.47865</v>
      </c>
      <c r="EC127">
        <v>1.83721</v>
      </c>
      <c r="ED127">
        <v>20.887</v>
      </c>
      <c r="EE127">
        <v>16.106999999999999</v>
      </c>
      <c r="EF127">
        <v>1800.14</v>
      </c>
      <c r="EG127">
        <v>0.97800799999999999</v>
      </c>
      <c r="EH127">
        <v>2.1992000000000001E-2</v>
      </c>
      <c r="EI127">
        <v>0</v>
      </c>
      <c r="EJ127">
        <v>772.67499999999995</v>
      </c>
      <c r="EK127">
        <v>5.0002599999999999</v>
      </c>
      <c r="EL127">
        <v>14082.6</v>
      </c>
      <c r="EM127">
        <v>17104.7</v>
      </c>
      <c r="EN127">
        <v>50.061999999999998</v>
      </c>
      <c r="EO127">
        <v>51.625</v>
      </c>
      <c r="EP127">
        <v>51.125</v>
      </c>
      <c r="EQ127">
        <v>50.811999999999998</v>
      </c>
      <c r="ER127">
        <v>51.375</v>
      </c>
      <c r="ES127">
        <v>1755.66</v>
      </c>
      <c r="ET127">
        <v>39.479999999999997</v>
      </c>
      <c r="EU127">
        <v>0</v>
      </c>
      <c r="EV127">
        <v>120.5999999046326</v>
      </c>
      <c r="EW127">
        <v>0</v>
      </c>
      <c r="EX127">
        <v>772.39188000000013</v>
      </c>
      <c r="EY127">
        <v>1.9932307720952289</v>
      </c>
      <c r="EZ127">
        <v>31.599999898488779</v>
      </c>
      <c r="FA127">
        <v>14077.796</v>
      </c>
      <c r="FB127">
        <v>15</v>
      </c>
      <c r="FC127">
        <v>1674600700</v>
      </c>
      <c r="FD127" t="s">
        <v>984</v>
      </c>
      <c r="FE127">
        <v>1674600700</v>
      </c>
      <c r="FF127">
        <v>1674600689.5</v>
      </c>
      <c r="FG127">
        <v>124</v>
      </c>
      <c r="FH127">
        <v>-0.245</v>
      </c>
      <c r="FI127">
        <v>-6.0000000000000001E-3</v>
      </c>
      <c r="FJ127">
        <v>-1.512</v>
      </c>
      <c r="FK127">
        <v>7.0999999999999994E-2</v>
      </c>
      <c r="FL127">
        <v>1201</v>
      </c>
      <c r="FM127">
        <v>18</v>
      </c>
      <c r="FN127">
        <v>0.06</v>
      </c>
      <c r="FO127">
        <v>0.02</v>
      </c>
      <c r="FP127">
        <v>53.82016397328681</v>
      </c>
      <c r="FQ127">
        <v>-6.7483592340360055E-2</v>
      </c>
      <c r="FR127">
        <v>9.3563875599826984E-2</v>
      </c>
      <c r="FS127">
        <v>1</v>
      </c>
      <c r="FT127">
        <v>0.46959488265092419</v>
      </c>
      <c r="FU127">
        <v>4.7000252983433001E-2</v>
      </c>
      <c r="FV127">
        <v>4.7125277299903201E-3</v>
      </c>
      <c r="FW127">
        <v>1</v>
      </c>
      <c r="FX127">
        <v>2</v>
      </c>
      <c r="FY127">
        <v>2</v>
      </c>
      <c r="FZ127" t="s">
        <v>420</v>
      </c>
      <c r="GA127">
        <v>2.9272399999999998</v>
      </c>
      <c r="GB127">
        <v>2.8069500000000001</v>
      </c>
      <c r="GC127">
        <v>0.20152600000000001</v>
      </c>
      <c r="GD127">
        <v>0.21168000000000001</v>
      </c>
      <c r="GE127">
        <v>0.114708</v>
      </c>
      <c r="GF127">
        <v>9.4454399999999994E-2</v>
      </c>
      <c r="GG127">
        <v>23668.9</v>
      </c>
      <c r="GH127">
        <v>23751.5</v>
      </c>
      <c r="GI127">
        <v>28168.1</v>
      </c>
      <c r="GJ127">
        <v>27160.6</v>
      </c>
      <c r="GK127">
        <v>35799.599999999999</v>
      </c>
      <c r="GL127">
        <v>32488.7</v>
      </c>
      <c r="GM127">
        <v>41944.800000000003</v>
      </c>
      <c r="GN127">
        <v>36863.599999999999</v>
      </c>
      <c r="GO127">
        <v>1.9197500000000001</v>
      </c>
      <c r="GP127">
        <v>1.8815</v>
      </c>
      <c r="GQ127">
        <v>2.63527E-2</v>
      </c>
      <c r="GR127">
        <v>0</v>
      </c>
      <c r="GS127">
        <v>27.1403</v>
      </c>
      <c r="GT127">
        <v>999.9</v>
      </c>
      <c r="GU127">
        <v>50</v>
      </c>
      <c r="GV127">
        <v>35</v>
      </c>
      <c r="GW127">
        <v>28.354399999999998</v>
      </c>
      <c r="GX127">
        <v>62.151899999999998</v>
      </c>
      <c r="GY127">
        <v>26.277999999999999</v>
      </c>
      <c r="GZ127">
        <v>1</v>
      </c>
      <c r="HA127">
        <v>0.47920000000000001</v>
      </c>
      <c r="HB127">
        <v>4.4676</v>
      </c>
      <c r="HC127">
        <v>20.341699999999999</v>
      </c>
      <c r="HD127">
        <v>5.2409499999999998</v>
      </c>
      <c r="HE127">
        <v>11.938700000000001</v>
      </c>
      <c r="HF127">
        <v>4.9736000000000002</v>
      </c>
      <c r="HG127">
        <v>3.2989999999999999</v>
      </c>
      <c r="HH127">
        <v>9999</v>
      </c>
      <c r="HI127">
        <v>9999</v>
      </c>
      <c r="HJ127">
        <v>9999</v>
      </c>
      <c r="HK127">
        <v>999.9</v>
      </c>
      <c r="HL127">
        <v>1.8730199999999999</v>
      </c>
      <c r="HM127">
        <v>1.8806799999999999</v>
      </c>
      <c r="HN127">
        <v>1.8843099999999999</v>
      </c>
      <c r="HO127">
        <v>1.8809499999999999</v>
      </c>
      <c r="HP127">
        <v>1.8783399999999999</v>
      </c>
      <c r="HQ127">
        <v>1.8730199999999999</v>
      </c>
      <c r="HR127">
        <v>1.87588</v>
      </c>
      <c r="HS127">
        <v>1.8801000000000001</v>
      </c>
      <c r="HT127">
        <v>5</v>
      </c>
      <c r="HU127">
        <v>0</v>
      </c>
      <c r="HV127">
        <v>0</v>
      </c>
      <c r="HW127">
        <v>0</v>
      </c>
      <c r="HX127" t="s">
        <v>421</v>
      </c>
      <c r="HY127" t="s">
        <v>422</v>
      </c>
      <c r="HZ127" t="s">
        <v>423</v>
      </c>
      <c r="IA127" t="s">
        <v>423</v>
      </c>
      <c r="IB127" t="s">
        <v>423</v>
      </c>
      <c r="IC127" t="s">
        <v>423</v>
      </c>
      <c r="ID127">
        <v>0</v>
      </c>
      <c r="IE127">
        <v>100</v>
      </c>
      <c r="IF127">
        <v>100</v>
      </c>
      <c r="IG127">
        <v>-1.48</v>
      </c>
      <c r="IH127">
        <v>0.2354</v>
      </c>
      <c r="II127">
        <v>-1.208841852820002</v>
      </c>
      <c r="IJ127">
        <v>9.4905977090923709E-4</v>
      </c>
      <c r="IK127">
        <v>-1.9106666302146479E-6</v>
      </c>
      <c r="IL127">
        <v>7.5819610513223293E-10</v>
      </c>
      <c r="IM127">
        <v>-6.2389663432089487E-2</v>
      </c>
      <c r="IN127">
        <v>-1.0595840490420019E-2</v>
      </c>
      <c r="IO127">
        <v>1.2407080968752471E-3</v>
      </c>
      <c r="IP127">
        <v>-1.3015442653884381E-5</v>
      </c>
      <c r="IQ127">
        <v>33</v>
      </c>
      <c r="IR127">
        <v>2014</v>
      </c>
      <c r="IS127">
        <v>1</v>
      </c>
      <c r="IT127">
        <v>26</v>
      </c>
      <c r="IU127">
        <v>0.7</v>
      </c>
      <c r="IV127">
        <v>0.8</v>
      </c>
      <c r="IW127">
        <v>2.4731399999999999</v>
      </c>
      <c r="IX127">
        <v>2.50732</v>
      </c>
      <c r="IY127">
        <v>1.5991200000000001</v>
      </c>
      <c r="IZ127">
        <v>2.2973599999999998</v>
      </c>
      <c r="JA127">
        <v>1.5502899999999999</v>
      </c>
      <c r="JB127">
        <v>2.3120099999999999</v>
      </c>
      <c r="JC127">
        <v>37.989100000000001</v>
      </c>
      <c r="JD127">
        <v>16.1371</v>
      </c>
      <c r="JE127">
        <v>18</v>
      </c>
      <c r="JF127">
        <v>487.851</v>
      </c>
      <c r="JG127">
        <v>497.05099999999999</v>
      </c>
      <c r="JH127">
        <v>21.6509</v>
      </c>
      <c r="JI127">
        <v>33.102499999999999</v>
      </c>
      <c r="JJ127">
        <v>30.000800000000002</v>
      </c>
      <c r="JK127">
        <v>33.085599999999999</v>
      </c>
      <c r="JL127">
        <v>33.024000000000001</v>
      </c>
      <c r="JM127">
        <v>49.549300000000002</v>
      </c>
      <c r="JN127">
        <v>42.064399999999999</v>
      </c>
      <c r="JO127">
        <v>0</v>
      </c>
      <c r="JP127">
        <v>21.6447</v>
      </c>
      <c r="JQ127">
        <v>1200</v>
      </c>
      <c r="JR127">
        <v>18.360800000000001</v>
      </c>
      <c r="JS127">
        <v>99.4452</v>
      </c>
      <c r="JT127">
        <v>98.689400000000006</v>
      </c>
    </row>
    <row r="128" spans="1:280" x14ac:dyDescent="0.25">
      <c r="A128">
        <v>112</v>
      </c>
      <c r="B128">
        <v>1674600861.5999999</v>
      </c>
      <c r="C128">
        <v>25436.599999904629</v>
      </c>
      <c r="D128" t="s">
        <v>985</v>
      </c>
      <c r="E128" t="s">
        <v>986</v>
      </c>
      <c r="F128" t="s">
        <v>412</v>
      </c>
      <c r="G128" t="s">
        <v>921</v>
      </c>
      <c r="H128" t="s">
        <v>637</v>
      </c>
      <c r="I128">
        <v>1674600861.5999999</v>
      </c>
      <c r="J128">
        <f t="shared" si="138"/>
        <v>5.2426221387198452E-3</v>
      </c>
      <c r="K128">
        <f t="shared" si="139"/>
        <v>5.2426221387198453</v>
      </c>
      <c r="L128">
        <f t="shared" si="140"/>
        <v>52.680062519674195</v>
      </c>
      <c r="M128">
        <f t="shared" si="141"/>
        <v>1427.86</v>
      </c>
      <c r="N128">
        <f t="shared" si="142"/>
        <v>1199.3999555372905</v>
      </c>
      <c r="O128">
        <f t="shared" si="143"/>
        <v>119.57761844636265</v>
      </c>
      <c r="P128">
        <f t="shared" si="144"/>
        <v>142.35459780247999</v>
      </c>
      <c r="Q128">
        <f t="shared" si="145"/>
        <v>0.44738578605251839</v>
      </c>
      <c r="R128">
        <f t="shared" si="146"/>
        <v>2.9222637718063784</v>
      </c>
      <c r="S128">
        <f t="shared" si="147"/>
        <v>0.41252294820681557</v>
      </c>
      <c r="T128">
        <f t="shared" si="148"/>
        <v>0.26073236684908824</v>
      </c>
      <c r="U128">
        <f t="shared" si="149"/>
        <v>344.36689965783813</v>
      </c>
      <c r="V128">
        <f t="shared" si="150"/>
        <v>28.663657596213469</v>
      </c>
      <c r="W128">
        <f t="shared" si="151"/>
        <v>27.5944</v>
      </c>
      <c r="X128">
        <f t="shared" si="152"/>
        <v>3.7060305368064488</v>
      </c>
      <c r="Y128">
        <f t="shared" si="153"/>
        <v>65.325372816570621</v>
      </c>
      <c r="Z128">
        <f t="shared" si="154"/>
        <v>2.4782995725307999</v>
      </c>
      <c r="AA128">
        <f t="shared" si="155"/>
        <v>3.7937779237627973</v>
      </c>
      <c r="AB128">
        <f t="shared" si="156"/>
        <v>1.2277309642756489</v>
      </c>
      <c r="AC128">
        <f t="shared" si="157"/>
        <v>-231.19963631754518</v>
      </c>
      <c r="AD128">
        <f t="shared" si="158"/>
        <v>63.144069853822735</v>
      </c>
      <c r="AE128">
        <f t="shared" si="159"/>
        <v>4.7004077008408736</v>
      </c>
      <c r="AF128">
        <f t="shared" si="160"/>
        <v>181.01174089495655</v>
      </c>
      <c r="AG128">
        <v>0</v>
      </c>
      <c r="AH128">
        <v>0</v>
      </c>
      <c r="AI128">
        <f t="shared" si="161"/>
        <v>1</v>
      </c>
      <c r="AJ128">
        <f t="shared" si="162"/>
        <v>0</v>
      </c>
      <c r="AK128">
        <f t="shared" si="163"/>
        <v>52484.025435369091</v>
      </c>
      <c r="AL128" t="s">
        <v>415</v>
      </c>
      <c r="AM128">
        <v>10297.6</v>
      </c>
      <c r="AN128">
        <v>785.57400000000007</v>
      </c>
      <c r="AO128">
        <v>3597.65</v>
      </c>
      <c r="AP128">
        <f t="shared" si="164"/>
        <v>0.7816424610509638</v>
      </c>
      <c r="AQ128">
        <v>-0.62398835798131469</v>
      </c>
      <c r="AR128" t="s">
        <v>987</v>
      </c>
      <c r="AS128">
        <v>10243.299999999999</v>
      </c>
      <c r="AT128">
        <v>773.31057692307695</v>
      </c>
      <c r="AU128">
        <v>1187.4941863262561</v>
      </c>
      <c r="AV128">
        <f t="shared" si="165"/>
        <v>0.34878790496190692</v>
      </c>
      <c r="AW128">
        <v>0.5</v>
      </c>
      <c r="AX128">
        <f t="shared" si="166"/>
        <v>1513.175999828919</v>
      </c>
      <c r="AY128">
        <f t="shared" si="167"/>
        <v>52.680062519674195</v>
      </c>
      <c r="AZ128">
        <f t="shared" si="168"/>
        <v>263.88874340948377</v>
      </c>
      <c r="BA128">
        <f t="shared" si="169"/>
        <v>3.5226603437856614E-2</v>
      </c>
      <c r="BB128">
        <f t="shared" si="170"/>
        <v>2.0296148321618559</v>
      </c>
      <c r="BC128">
        <f t="shared" si="171"/>
        <v>544.33478482144164</v>
      </c>
      <c r="BD128" t="s">
        <v>988</v>
      </c>
      <c r="BE128">
        <v>592.53</v>
      </c>
      <c r="BF128">
        <f t="shared" si="172"/>
        <v>592.53</v>
      </c>
      <c r="BG128">
        <f t="shared" si="173"/>
        <v>0.50102492557617762</v>
      </c>
      <c r="BH128">
        <f t="shared" si="174"/>
        <v>0.69614880848652683</v>
      </c>
      <c r="BI128">
        <f t="shared" si="175"/>
        <v>0.80201649640405182</v>
      </c>
      <c r="BJ128">
        <f t="shared" si="176"/>
        <v>1.0305120854690497</v>
      </c>
      <c r="BK128">
        <f t="shared" si="177"/>
        <v>0.85707349789754761</v>
      </c>
      <c r="BL128">
        <f t="shared" si="178"/>
        <v>0.5334067136825843</v>
      </c>
      <c r="BM128">
        <f t="shared" si="179"/>
        <v>0.4665932863174157</v>
      </c>
      <c r="BN128">
        <v>223</v>
      </c>
      <c r="BO128">
        <v>290.00000000000011</v>
      </c>
      <c r="BP128">
        <v>1071.4000000000001</v>
      </c>
      <c r="BQ128">
        <v>115</v>
      </c>
      <c r="BR128">
        <v>10243.299999999999</v>
      </c>
      <c r="BS128">
        <v>1068.05</v>
      </c>
      <c r="BT128">
        <v>3.35</v>
      </c>
      <c r="BU128">
        <v>300.00000000000011</v>
      </c>
      <c r="BV128">
        <v>24.1</v>
      </c>
      <c r="BW128">
        <v>1187.4941863262561</v>
      </c>
      <c r="BX128">
        <v>2.1668665706487791</v>
      </c>
      <c r="BY128">
        <v>-122.35190869225001</v>
      </c>
      <c r="BZ128">
        <v>1.9725353454285901</v>
      </c>
      <c r="CA128">
        <v>0.99277501482084396</v>
      </c>
      <c r="CB128">
        <v>-6.9680727474972217E-3</v>
      </c>
      <c r="CC128">
        <v>289.99999999999989</v>
      </c>
      <c r="CD128">
        <v>1060.8399999999999</v>
      </c>
      <c r="CE128">
        <v>635</v>
      </c>
      <c r="CF128">
        <v>10203.6</v>
      </c>
      <c r="CG128">
        <v>1067.58</v>
      </c>
      <c r="CH128">
        <v>-6.74</v>
      </c>
      <c r="CV128">
        <f t="shared" si="180"/>
        <v>1799.99</v>
      </c>
      <c r="CW128">
        <f t="shared" si="181"/>
        <v>1513.175999828919</v>
      </c>
      <c r="CX128">
        <f t="shared" si="182"/>
        <v>0.84065800356053033</v>
      </c>
      <c r="CY128">
        <f t="shared" si="183"/>
        <v>0.19131600712106075</v>
      </c>
      <c r="CZ128">
        <v>6</v>
      </c>
      <c r="DA128">
        <v>0.5</v>
      </c>
      <c r="DB128" t="s">
        <v>418</v>
      </c>
      <c r="DC128">
        <v>2</v>
      </c>
      <c r="DD128">
        <v>1674600861.5999999</v>
      </c>
      <c r="DE128">
        <v>1427.86</v>
      </c>
      <c r="DF128">
        <v>1500.05</v>
      </c>
      <c r="DG128">
        <v>24.8581</v>
      </c>
      <c r="DH128">
        <v>18.7241</v>
      </c>
      <c r="DI128">
        <v>1429.43</v>
      </c>
      <c r="DJ128">
        <v>24.6235</v>
      </c>
      <c r="DK128">
        <v>500.06200000000001</v>
      </c>
      <c r="DL128">
        <v>99.597700000000003</v>
      </c>
      <c r="DM128">
        <v>0.10016799999999999</v>
      </c>
      <c r="DN128">
        <v>27.995200000000001</v>
      </c>
      <c r="DO128">
        <v>27.5944</v>
      </c>
      <c r="DP128">
        <v>999.9</v>
      </c>
      <c r="DQ128">
        <v>0</v>
      </c>
      <c r="DR128">
        <v>0</v>
      </c>
      <c r="DS128">
        <v>9998.75</v>
      </c>
      <c r="DT128">
        <v>0</v>
      </c>
      <c r="DU128">
        <v>312.32400000000001</v>
      </c>
      <c r="DV128">
        <v>-72.190899999999999</v>
      </c>
      <c r="DW128">
        <v>1464.26</v>
      </c>
      <c r="DX128">
        <v>1528.68</v>
      </c>
      <c r="DY128">
        <v>6.1340399999999997</v>
      </c>
      <c r="DZ128">
        <v>1500.05</v>
      </c>
      <c r="EA128">
        <v>18.7241</v>
      </c>
      <c r="EB128">
        <v>2.4758100000000001</v>
      </c>
      <c r="EC128">
        <v>1.86487</v>
      </c>
      <c r="ED128">
        <v>20.868300000000001</v>
      </c>
      <c r="EE128">
        <v>16.3414</v>
      </c>
      <c r="EF128">
        <v>1799.99</v>
      </c>
      <c r="EG128">
        <v>0.97800799999999999</v>
      </c>
      <c r="EH128">
        <v>2.1992000000000001E-2</v>
      </c>
      <c r="EI128">
        <v>0</v>
      </c>
      <c r="EJ128">
        <v>773.52099999999996</v>
      </c>
      <c r="EK128">
        <v>5.0002599999999999</v>
      </c>
      <c r="EL128">
        <v>14102.1</v>
      </c>
      <c r="EM128">
        <v>17103.3</v>
      </c>
      <c r="EN128">
        <v>50.25</v>
      </c>
      <c r="EO128">
        <v>51.75</v>
      </c>
      <c r="EP128">
        <v>51.186999999999998</v>
      </c>
      <c r="EQ128">
        <v>50.875</v>
      </c>
      <c r="ER128">
        <v>51.436999999999998</v>
      </c>
      <c r="ES128">
        <v>1755.51</v>
      </c>
      <c r="ET128">
        <v>39.479999999999997</v>
      </c>
      <c r="EU128">
        <v>0</v>
      </c>
      <c r="EV128">
        <v>120.7999999523163</v>
      </c>
      <c r="EW128">
        <v>0</v>
      </c>
      <c r="EX128">
        <v>773.31057692307695</v>
      </c>
      <c r="EY128">
        <v>1.5541538506473049</v>
      </c>
      <c r="EZ128">
        <v>22.03076921685301</v>
      </c>
      <c r="FA128">
        <v>14099.223076923079</v>
      </c>
      <c r="FB128">
        <v>15</v>
      </c>
      <c r="FC128">
        <v>1674600823.5</v>
      </c>
      <c r="FD128" t="s">
        <v>989</v>
      </c>
      <c r="FE128">
        <v>1674600812.5</v>
      </c>
      <c r="FF128">
        <v>1674600823.5</v>
      </c>
      <c r="FG128">
        <v>125</v>
      </c>
      <c r="FH128">
        <v>-2.7E-2</v>
      </c>
      <c r="FI128">
        <v>0</v>
      </c>
      <c r="FJ128">
        <v>-1.554</v>
      </c>
      <c r="FK128">
        <v>7.4999999999999997E-2</v>
      </c>
      <c r="FL128">
        <v>1500</v>
      </c>
      <c r="FM128">
        <v>18</v>
      </c>
      <c r="FN128">
        <v>0.05</v>
      </c>
      <c r="FO128">
        <v>0.02</v>
      </c>
      <c r="FP128">
        <v>52.67068690356183</v>
      </c>
      <c r="FQ128">
        <v>-0.37188802685664762</v>
      </c>
      <c r="FR128">
        <v>8.4603321218155128E-2</v>
      </c>
      <c r="FS128">
        <v>1</v>
      </c>
      <c r="FT128">
        <v>0.4432689866729963</v>
      </c>
      <c r="FU128">
        <v>4.6669673143144103E-2</v>
      </c>
      <c r="FV128">
        <v>4.7041564695577904E-3</v>
      </c>
      <c r="FW128">
        <v>1</v>
      </c>
      <c r="FX128">
        <v>2</v>
      </c>
      <c r="FY128">
        <v>2</v>
      </c>
      <c r="FZ128" t="s">
        <v>420</v>
      </c>
      <c r="GA128">
        <v>2.9266899999999998</v>
      </c>
      <c r="GB128">
        <v>2.8070599999999999</v>
      </c>
      <c r="GC128">
        <v>0.23341400000000001</v>
      </c>
      <c r="GD128">
        <v>0.24296400000000001</v>
      </c>
      <c r="GE128">
        <v>0.11457000000000001</v>
      </c>
      <c r="GF128">
        <v>9.5426300000000006E-2</v>
      </c>
      <c r="GG128">
        <v>22708.1</v>
      </c>
      <c r="GH128">
        <v>22795.5</v>
      </c>
      <c r="GI128">
        <v>28154</v>
      </c>
      <c r="GJ128">
        <v>27149.4</v>
      </c>
      <c r="GK128">
        <v>35788.699999999997</v>
      </c>
      <c r="GL128">
        <v>32442.2</v>
      </c>
      <c r="GM128">
        <v>41924.9</v>
      </c>
      <c r="GN128">
        <v>36850.300000000003</v>
      </c>
      <c r="GO128">
        <v>1.9175</v>
      </c>
      <c r="GP128">
        <v>1.8794999999999999</v>
      </c>
      <c r="GQ128">
        <v>2.5853500000000001E-2</v>
      </c>
      <c r="GR128">
        <v>0</v>
      </c>
      <c r="GS128">
        <v>27.171900000000001</v>
      </c>
      <c r="GT128">
        <v>999.9</v>
      </c>
      <c r="GU128">
        <v>50.2</v>
      </c>
      <c r="GV128">
        <v>35</v>
      </c>
      <c r="GW128">
        <v>28.469100000000001</v>
      </c>
      <c r="GX128">
        <v>62.298299999999998</v>
      </c>
      <c r="GY128">
        <v>26.5304</v>
      </c>
      <c r="GZ128">
        <v>1</v>
      </c>
      <c r="HA128">
        <v>0.49712099999999998</v>
      </c>
      <c r="HB128">
        <v>4.0538499999999997</v>
      </c>
      <c r="HC128">
        <v>20.351500000000001</v>
      </c>
      <c r="HD128">
        <v>5.2406499999999996</v>
      </c>
      <c r="HE128">
        <v>11.938800000000001</v>
      </c>
      <c r="HF128">
        <v>4.9737</v>
      </c>
      <c r="HG128">
        <v>3.2989999999999999</v>
      </c>
      <c r="HH128">
        <v>9999</v>
      </c>
      <c r="HI128">
        <v>9999</v>
      </c>
      <c r="HJ128">
        <v>9999</v>
      </c>
      <c r="HK128">
        <v>999.9</v>
      </c>
      <c r="HL128">
        <v>1.8730199999999999</v>
      </c>
      <c r="HM128">
        <v>1.88069</v>
      </c>
      <c r="HN128">
        <v>1.8843099999999999</v>
      </c>
      <c r="HO128">
        <v>1.8809499999999999</v>
      </c>
      <c r="HP128">
        <v>1.8783399999999999</v>
      </c>
      <c r="HQ128">
        <v>1.8730199999999999</v>
      </c>
      <c r="HR128">
        <v>1.87591</v>
      </c>
      <c r="HS128">
        <v>1.8801600000000001</v>
      </c>
      <c r="HT128">
        <v>5</v>
      </c>
      <c r="HU128">
        <v>0</v>
      </c>
      <c r="HV128">
        <v>0</v>
      </c>
      <c r="HW128">
        <v>0</v>
      </c>
      <c r="HX128" t="s">
        <v>421</v>
      </c>
      <c r="HY128" t="s">
        <v>422</v>
      </c>
      <c r="HZ128" t="s">
        <v>423</v>
      </c>
      <c r="IA128" t="s">
        <v>423</v>
      </c>
      <c r="IB128" t="s">
        <v>423</v>
      </c>
      <c r="IC128" t="s">
        <v>423</v>
      </c>
      <c r="ID128">
        <v>0</v>
      </c>
      <c r="IE128">
        <v>100</v>
      </c>
      <c r="IF128">
        <v>100</v>
      </c>
      <c r="IG128">
        <v>-1.57</v>
      </c>
      <c r="IH128">
        <v>0.2346</v>
      </c>
      <c r="II128">
        <v>-1.238122015217469</v>
      </c>
      <c r="IJ128">
        <v>9.4905977090923709E-4</v>
      </c>
      <c r="IK128">
        <v>-1.9106666302146479E-6</v>
      </c>
      <c r="IL128">
        <v>7.5819610513223293E-10</v>
      </c>
      <c r="IM128">
        <v>-6.2489138111386712E-2</v>
      </c>
      <c r="IN128">
        <v>-1.0595840490420019E-2</v>
      </c>
      <c r="IO128">
        <v>1.2407080968752471E-3</v>
      </c>
      <c r="IP128">
        <v>-1.3015442653884381E-5</v>
      </c>
      <c r="IQ128">
        <v>33</v>
      </c>
      <c r="IR128">
        <v>2014</v>
      </c>
      <c r="IS128">
        <v>1</v>
      </c>
      <c r="IT128">
        <v>26</v>
      </c>
      <c r="IU128">
        <v>0.8</v>
      </c>
      <c r="IV128">
        <v>0.6</v>
      </c>
      <c r="IW128">
        <v>2.96997</v>
      </c>
      <c r="IX128">
        <v>2.4877899999999999</v>
      </c>
      <c r="IY128">
        <v>1.5979000000000001</v>
      </c>
      <c r="IZ128">
        <v>2.2973599999999998</v>
      </c>
      <c r="JA128">
        <v>1.5502899999999999</v>
      </c>
      <c r="JB128">
        <v>2.3645</v>
      </c>
      <c r="JC128">
        <v>38.013399999999997</v>
      </c>
      <c r="JD128">
        <v>16.1371</v>
      </c>
      <c r="JE128">
        <v>18</v>
      </c>
      <c r="JF128">
        <v>487.79599999999999</v>
      </c>
      <c r="JG128">
        <v>497.02</v>
      </c>
      <c r="JH128">
        <v>21.7012</v>
      </c>
      <c r="JI128">
        <v>33.309199999999997</v>
      </c>
      <c r="JJ128">
        <v>30</v>
      </c>
      <c r="JK128">
        <v>33.264800000000001</v>
      </c>
      <c r="JL128">
        <v>33.1935</v>
      </c>
      <c r="JM128">
        <v>59.501899999999999</v>
      </c>
      <c r="JN128">
        <v>41.217599999999997</v>
      </c>
      <c r="JO128">
        <v>0</v>
      </c>
      <c r="JP128">
        <v>21.767700000000001</v>
      </c>
      <c r="JQ128">
        <v>1500</v>
      </c>
      <c r="JR128">
        <v>18.619</v>
      </c>
      <c r="JS128">
        <v>99.397000000000006</v>
      </c>
      <c r="JT128">
        <v>98.651600000000002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2023-01-24T22:56:31Z</dcterms:created>
  <dcterms:modified xsi:type="dcterms:W3CDTF">2023-01-24T23:49:26Z</dcterms:modified>
</cp:coreProperties>
</file>