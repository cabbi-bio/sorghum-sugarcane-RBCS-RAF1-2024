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ACi 28C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30" i="1" l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<sst xmlns="http://schemas.openxmlformats.org/spreadsheetml/2006/main" count="1084" uniqueCount="498">
  <si>
    <t>File opened</t>
  </si>
  <si>
    <t>2023-01-26 12:11:23</t>
  </si>
  <si>
    <t>Console s/n</t>
  </si>
  <si>
    <t>68C-812063</t>
  </si>
  <si>
    <t>Console ver</t>
  </si>
  <si>
    <t>Bluestem v.2.1.08</t>
  </si>
  <si>
    <t>Scripts ver</t>
  </si>
  <si>
    <t>2022.05  2.1.08, Aug 2022</t>
  </si>
  <si>
    <t>Head s/n</t>
  </si>
  <si>
    <t>68H-712053</t>
  </si>
  <si>
    <t>Head ver</t>
  </si>
  <si>
    <t>1.4.22</t>
  </si>
  <si>
    <t>Head cal</t>
  </si>
  <si>
    <t>{"oxygen": "21", "co2azero": "0.895415", "co2aspan1": "1.00043", "co2aspan2": "-0.0261169", "co2aspan2a": "0.316484", "co2aspan2b": "0.314005", "co2aspanconc1": "2505", "co2aspanconc2": "293", "co2bzero": "0.939459", "co2bspan1": "1.0008", "co2bspan2": "-0.0278542", "co2bspan2a": "0.313438", "co2bspan2b": "0.310951", "co2bspanconc1": "2505", "co2bspanconc2": "293", "h2oazero": "1.03803", "h2oaspan1": "1.0099", "h2oaspan2": "0", "h2oaspan2a": "0.0743833", "h2oaspan2b": "0.0751196", "h2oaspanconc1": "12.4", "h2oaspanconc2": "0", "h2obzero": "1.04859", "h2obspan1": "1.00019", "h2obspan2": "0", "h2obspan2a": "0.0740936", "h2obspan2b": "0.0741077", "h2obspanconc1": "12.4", "h2obspanconc2": "0", "tazero": "-0.144848", "tbzero": "-0.0641956", "flowmeterzero": "1.00385", "flowazero": "0.29255", "flowbzero": "0.29926", "chamberpressurezero": "2.65789", "ssa_ref": "32138.3", "ssb_ref": "32442.4"}</t>
  </si>
  <si>
    <t>CO2 rangematch</t>
  </si>
  <si>
    <t>Tue Aug  9 14:51</t>
  </si>
  <si>
    <t>H2O rangematch</t>
  </si>
  <si>
    <t>Tue Aug  9 14:58</t>
  </si>
  <si>
    <t>Chamber type</t>
  </si>
  <si>
    <t>6800-01A</t>
  </si>
  <si>
    <t>Chamber s/n</t>
  </si>
  <si>
    <t>MPF-281812</t>
  </si>
  <si>
    <t>Chamber rev</t>
  </si>
  <si>
    <t>0</t>
  </si>
  <si>
    <t>Chamber cal</t>
  </si>
  <si>
    <t>Fluorometer</t>
  </si>
  <si>
    <t>Flr. Version</t>
  </si>
  <si>
    <t>12:11:23</t>
  </si>
  <si>
    <t>Stability Definition:	A (GasEx): Per=20	gsw (GasEx): Per=20</t>
  </si>
  <si>
    <t>12:13:28</t>
  </si>
  <si>
    <t>Stability Definition:	A (GasEx): Per=20	gsw (GasEx): Slp&lt;0.05 Per=20</t>
  </si>
  <si>
    <t>12:13:29</t>
  </si>
  <si>
    <t>Stability Definition:	A (GasEx): Per=20	gsw (GasEx): Slp&lt;0.05 Std&lt;0.05 Per=20</t>
  </si>
  <si>
    <t>Stability Definition:	A (GasEx): Std&lt;0.2 Per=20	gsw (GasEx): Slp&lt;0.05 Std&lt;0.05 Per=20</t>
  </si>
  <si>
    <t>12:13:30</t>
  </si>
  <si>
    <t>Stability Definition:	A (GasEx): Slp&lt;0.7 Std&lt;0.2 Per=20	gsw (GasEx): Slp&lt;0.05 Std&lt;0.05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</si>
  <si>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</si>
  <si>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</si>
  <si>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</si>
  <si>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</si>
  <si>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</si>
  <si>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</si>
  <si>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</si>
  <si>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</si>
  <si>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</si>
  <si>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</si>
  <si>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</si>
  <si>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</si>
  <si>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</si>
  <si>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</si>
  <si>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</si>
  <si>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</si>
  <si>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</si>
  <si>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</si>
  <si>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</si>
  <si>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</si>
  <si>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</si>
  <si>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</si>
  <si>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</si>
  <si>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</si>
  <si>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</si>
  <si>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</si>
  <si>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</si>
  <si>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</si>
  <si>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</si>
  <si>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</si>
  <si>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</si>
  <si>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</si>
  <si>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</si>
  <si>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</si>
  <si>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</si>
  <si>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</si>
  <si>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</si>
  <si>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</si>
  <si>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</si>
  <si>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</si>
  <si>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</si>
  <si>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</si>
  <si>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</si>
  <si>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</si>
  <si>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</si>
  <si>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</si>
  <si>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</si>
  <si>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</si>
  <si>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</si>
  <si>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</si>
  <si>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</si>
  <si>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</si>
  <si>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6.71623 79.656 376.031 623.852 858.713 1050.1 1222.01 1368.5</t>
  </si>
  <si>
    <t>Fs_true</t>
  </si>
  <si>
    <t>0.0752013 101.97 401.017 600.582 800.243 1000.09 1200.6 1401.8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</si>
  <si>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</si>
  <si>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</si>
  <si>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</si>
  <si>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</si>
  <si>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</si>
  <si>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</si>
  <si>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</si>
  <si>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</si>
  <si>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</si>
  <si>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</si>
  <si>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</si>
  <si>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</si>
  <si>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</si>
  <si>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</si>
  <si>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</si>
  <si>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</si>
  <si>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</si>
  <si>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</si>
  <si>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</si>
  <si>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</si>
  <si>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</si>
  <si>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</si>
  <si>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</si>
  <si>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</si>
  <si>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</si>
  <si>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</si>
  <si>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</si>
  <si>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</si>
  <si>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</si>
  <si>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</si>
  <si>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</si>
  <si>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</si>
  <si>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</si>
  <si>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</si>
  <si>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</si>
  <si>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</si>
  <si>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</si>
  <si>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</si>
  <si>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</si>
  <si>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</si>
  <si>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</si>
  <si>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</si>
  <si>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</si>
  <si>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</si>
  <si>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</si>
  <si>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</si>
  <si>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</si>
  <si>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</si>
  <si>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</si>
  <si>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</si>
  <si>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</si>
  <si>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</si>
  <si>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</si>
  <si>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</si>
  <si>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</si>
  <si>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</si>
  <si>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</si>
  <si>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</si>
  <si>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</si>
  <si>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</si>
  <si>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</si>
  <si>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</si>
  <si>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</si>
  <si>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</si>
  <si>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</si>
  <si>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</si>
  <si>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</si>
  <si>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</si>
  <si>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</si>
  <si>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</si>
  <si>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</si>
  <si>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</si>
  <si>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</si>
  <si>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</si>
  <si>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</si>
  <si>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</si>
  <si>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</si>
  <si>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</si>
  <si>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</si>
  <si>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</si>
  <si>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</si>
  <si>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</si>
  <si>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</si>
  <si>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</si>
  <si>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</si>
  <si>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</si>
  <si>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</si>
  <si>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</si>
  <si>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</si>
  <si>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</si>
  <si>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</si>
  <si>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</si>
  <si>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</si>
  <si>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</si>
  <si>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</si>
  <si>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</si>
  <si>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</si>
  <si>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</si>
  <si>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</si>
  <si>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</si>
  <si>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</si>
  <si>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</si>
  <si>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</si>
  <si>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</si>
  <si>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</si>
  <si>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</si>
  <si>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</si>
  <si>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</si>
  <si>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</si>
  <si>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</si>
  <si>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</si>
  <si>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</si>
  <si>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</si>
  <si>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</si>
  <si>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</si>
  <si>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</si>
  <si>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</si>
  <si>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</si>
  <si>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</si>
  <si>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</si>
  <si>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</si>
  <si>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</si>
  <si>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</si>
  <si>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</si>
  <si>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</si>
  <si>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</si>
  <si>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</si>
  <si>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</si>
  <si>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</si>
  <si>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</si>
  <si>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</si>
  <si>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</si>
  <si>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</si>
  <si>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</si>
  <si>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</si>
  <si>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</si>
  <si>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</si>
  <si>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</si>
  <si>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</si>
  <si>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</si>
  <si>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</si>
  <si>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</si>
  <si>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</si>
  <si>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</si>
  <si>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</si>
  <si>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</si>
  <si>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</si>
  <si>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</si>
  <si>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</si>
  <si>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</si>
  <si>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</si>
  <si>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</si>
  <si>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</si>
  <si>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</si>
  <si>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</si>
  <si>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</si>
  <si>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</si>
  <si>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</si>
  <si>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</si>
  <si>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</si>
  <si>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</si>
  <si>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</si>
  <si>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</si>
  <si>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</si>
  <si>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</si>
  <si>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</si>
  <si>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</si>
  <si>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</si>
  <si>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</si>
  <si>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</si>
  <si>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</si>
  <si>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</si>
  <si>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</si>
  <si>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</si>
  <si>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</si>
  <si>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</si>
  <si>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</si>
  <si>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</si>
  <si>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</si>
  <si>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</si>
  <si>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</si>
  <si>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</si>
  <si>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</si>
  <si>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</si>
  <si>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</si>
  <si>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</si>
  <si>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</si>
  <si>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</si>
  <si>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</si>
  <si>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</si>
  <si>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</si>
  <si>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</si>
  <si>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</si>
  <si>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</si>
  <si>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</si>
  <si>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</si>
  <si>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</si>
  <si>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</si>
  <si>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</si>
  <si>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</si>
  <si>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</si>
  <si>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</si>
  <si>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</si>
  <si>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</si>
  <si>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</si>
  <si>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</si>
  <si>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</si>
  <si>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</si>
  <si>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</si>
  <si>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</si>
  <si>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</si>
  <si>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</si>
  <si>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</si>
  <si>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</si>
  <si>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</si>
  <si>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</si>
  <si>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</si>
  <si>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</si>
  <si>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</si>
  <si>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</si>
  <si>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</si>
  <si>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</si>
  <si>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</si>
  <si>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</si>
  <si>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</si>
  <si>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</si>
  <si>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</si>
  <si>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</si>
  <si>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</si>
  <si>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</si>
  <si>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</si>
  <si>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</si>
  <si>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</si>
  <si>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</si>
  <si>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</si>
  <si>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</si>
  <si>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</si>
  <si>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</si>
  <si>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</si>
  <si>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</si>
  <si>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</si>
  <si>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</si>
  <si>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</si>
  <si>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</si>
  <si>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</si>
  <si>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</si>
  <si>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</si>
  <si>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</si>
  <si>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</si>
  <si>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</si>
  <si>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</si>
  <si>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</si>
  <si>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</si>
  <si>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</si>
  <si>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</si>
  <si>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</si>
  <si>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</si>
  <si>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</si>
  <si>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</si>
  <si>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</si>
  <si>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</si>
  <si>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</si>
  <si>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</si>
  <si>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</si>
  <si>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</si>
  <si>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</si>
  <si>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</si>
  <si>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</si>
  <si>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</si>
  <si>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</si>
  <si>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</si>
  <si>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</si>
  <si>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</si>
  <si>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</si>
  <si>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</si>
  <si>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</si>
  <si>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</si>
  <si>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</si>
  <si>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</si>
  <si>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</si>
  <si>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</si>
  <si>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</si>
  <si>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</si>
  <si>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</si>
  <si>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</si>
  <si>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</si>
  <si>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</si>
  <si>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</si>
  <si>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</si>
  <si>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</si>
  <si>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</si>
  <si>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</si>
  <si>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</si>
  <si>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</si>
  <si>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</si>
  <si>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</si>
  <si>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</si>
  <si>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</si>
  <si>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</si>
  <si>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</si>
  <si>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</si>
  <si>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</si>
  <si>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</si>
  <si>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</si>
  <si>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</si>
  <si>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</si>
  <si>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</si>
  <si>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</si>
  <si>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</si>
  <si>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</si>
  <si>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</si>
  <si>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</si>
  <si>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</si>
  <si>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</si>
  <si>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</si>
  <si>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</si>
  <si>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</si>
  <si>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</si>
  <si>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</si>
  <si>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</si>
  <si>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</si>
  <si>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</si>
  <si>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</si>
  <si>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</si>
  <si>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</si>
  <si>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</si>
  <si>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20230126 12:35:30</t>
  </si>
  <si>
    <t>12:35:30</t>
  </si>
  <si>
    <t>none</t>
  </si>
  <si>
    <t>10</t>
  </si>
  <si>
    <t>hn1a</t>
  </si>
  <si>
    <t>RECT-19644-20220902-13_33_18</t>
  </si>
  <si>
    <t>MPF-20389-20230126-12_35_25</t>
  </si>
  <si>
    <t>DARK-20390-20230126-12_35_33</t>
  </si>
  <si>
    <t>0: Broadleaf</t>
  </si>
  <si>
    <t>12:34:52</t>
  </si>
  <si>
    <t>2/2</t>
  </si>
  <si>
    <t>10111111</t>
  </si>
  <si>
    <t>oioooooo</t>
  </si>
  <si>
    <t>off</t>
  </si>
  <si>
    <t>on</t>
  </si>
  <si>
    <t>20230126 12:37:17</t>
  </si>
  <si>
    <t>12:37:17</t>
  </si>
  <si>
    <t>MPF-20391-20230126-12_37_12</t>
  </si>
  <si>
    <t>DARK-20392-20230126-12_37_20</t>
  </si>
  <si>
    <t>12:36:42</t>
  </si>
  <si>
    <t>20230126 12:39:18</t>
  </si>
  <si>
    <t>12:39:18</t>
  </si>
  <si>
    <t>MPF-20393-20230126-12_39_14</t>
  </si>
  <si>
    <t>DARK-20394-20230126-12_39_21</t>
  </si>
  <si>
    <t>12:38:43</t>
  </si>
  <si>
    <t>20230126 12:41:16</t>
  </si>
  <si>
    <t>12:41:16</t>
  </si>
  <si>
    <t>MPF-20395-20230126-12_41_12</t>
  </si>
  <si>
    <t>DARK-20396-20230126-12_41_19</t>
  </si>
  <si>
    <t>12:40:43</t>
  </si>
  <si>
    <t>20230126 12:43:15</t>
  </si>
  <si>
    <t>12:43:15</t>
  </si>
  <si>
    <t>MPF-20397-20230126-12_43_11</t>
  </si>
  <si>
    <t>DARK-20398-20230126-12_43_18</t>
  </si>
  <si>
    <t>12:42:40</t>
  </si>
  <si>
    <t>20230126 12:45:10</t>
  </si>
  <si>
    <t>12:45:10</t>
  </si>
  <si>
    <t>MPF-20399-20230126-12_45_05</t>
  </si>
  <si>
    <t>DARK-20400-20230126-12_45_13</t>
  </si>
  <si>
    <t>12:44:31</t>
  </si>
  <si>
    <t>20230126 12:47:07</t>
  </si>
  <si>
    <t>12:47:07</t>
  </si>
  <si>
    <t>MPF-20401-20230126-12_47_03</t>
  </si>
  <si>
    <t>DARK-20402-20230126-12_47_10</t>
  </si>
  <si>
    <t>12:46:31</t>
  </si>
  <si>
    <t>20230126 12:50:17</t>
  </si>
  <si>
    <t>12:50:17</t>
  </si>
  <si>
    <t>MPF-20403-20230126-12_50_12</t>
  </si>
  <si>
    <t>DARK-20404-20230126-12_50_20</t>
  </si>
  <si>
    <t>12:48:51</t>
  </si>
  <si>
    <t>1/2</t>
  </si>
  <si>
    <t>20230126 12:53:26</t>
  </si>
  <si>
    <t>12:53:26</t>
  </si>
  <si>
    <t>MPF-20405-20230126-12_53_22</t>
  </si>
  <si>
    <t>DARK-20406-20230126-12_53_29</t>
  </si>
  <si>
    <t>12:51:32</t>
  </si>
  <si>
    <t>20230126 12:55:12</t>
  </si>
  <si>
    <t>12:55:12</t>
  </si>
  <si>
    <t>MPF-20407-20230126-12_55_08</t>
  </si>
  <si>
    <t>DARK-20408-20230126-12_55_15</t>
  </si>
  <si>
    <t>12:54:37</t>
  </si>
  <si>
    <t>20230126 12:56:57</t>
  </si>
  <si>
    <t>12:56:57</t>
  </si>
  <si>
    <t>MPF-20409-20230126-12_56_52</t>
  </si>
  <si>
    <t>DARK-20410-20230126-12_57_00</t>
  </si>
  <si>
    <t>12:56:22</t>
  </si>
  <si>
    <t>20230126 12:58:46</t>
  </si>
  <si>
    <t>12:58:46</t>
  </si>
  <si>
    <t>MPF-20411-20230126-12_58_42</t>
  </si>
  <si>
    <t>DARK-20412-20230126-12_58_49</t>
  </si>
  <si>
    <t>12:58:12</t>
  </si>
  <si>
    <t>20230126 13:00:34</t>
  </si>
  <si>
    <t>13:00:34</t>
  </si>
  <si>
    <t>MPF-20413-20230126-13_00_30</t>
  </si>
  <si>
    <t>DARK-20414-20230126-13_00_37</t>
  </si>
  <si>
    <t>13:00:01</t>
  </si>
  <si>
    <t>20230126 13:02:30</t>
  </si>
  <si>
    <t>13:02:30</t>
  </si>
  <si>
    <t>MPF-20415-20230126-13_02_25</t>
  </si>
  <si>
    <t>DARK-20416-20230126-13_02_33</t>
  </si>
  <si>
    <t>13:01:55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</si>
</sst>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30"/>
  <sheetViews>
    <sheetView tabSelected="1" workbookViewId="0"/>
  </sheetViews>
  <sheetFormatPr defaultRowHeight="15" x14ac:dyDescent="0.25"/>
  <sheetData>
    <row r="2" spans="1:280" x14ac:dyDescent="0.25">
      <c r="A2" t="s">
        <v>36</v>
      </c>
      <c r="B2" t="s">
        <v>37</v>
      </c>
      <c r="C2" t="s">
        <v>39</v>
      </c>
    </row>
    <row r="3" spans="1:280" x14ac:dyDescent="0.25">
      <c r="B3" t="s">
        <v>38</v>
      </c>
      <c r="C3">
        <v>21</v>
      </c>
    </row>
    <row r="4" spans="1:280" x14ac:dyDescent="0.25">
      <c r="A4" t="s">
        <v>40</v>
      </c>
      <c r="B4" t="s">
        <v>41</v>
      </c>
      <c r="C4" t="s">
        <v>42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</row>
    <row r="5" spans="1:280" x14ac:dyDescent="0.25">
      <c r="B5" t="s">
        <v>19</v>
      </c>
      <c r="C5" t="s">
        <v>43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57</v>
      </c>
      <c r="B8" t="s">
        <v>58</v>
      </c>
      <c r="C8" t="s">
        <v>60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  <c r="Q8" t="s">
        <v>75</v>
      </c>
    </row>
    <row r="9" spans="1:280" x14ac:dyDescent="0.25">
      <c r="B9" t="s">
        <v>59</v>
      </c>
      <c r="C9" t="s">
        <v>61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89</v>
      </c>
      <c r="H12" t="s">
        <v>91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88</v>
      </c>
      <c r="G13" t="s">
        <v>90</v>
      </c>
      <c r="H13">
        <v>0</v>
      </c>
    </row>
    <row r="14" spans="1:280" x14ac:dyDescent="0.25">
      <c r="A14" t="s">
        <v>92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G14" t="s">
        <v>93</v>
      </c>
      <c r="H14" t="s">
        <v>93</v>
      </c>
      <c r="I14" t="s">
        <v>94</v>
      </c>
      <c r="J14" t="s">
        <v>94</v>
      </c>
      <c r="K14" t="s">
        <v>94</v>
      </c>
      <c r="L14" t="s">
        <v>94</v>
      </c>
      <c r="M14" t="s">
        <v>94</v>
      </c>
      <c r="N14" t="s">
        <v>94</v>
      </c>
      <c r="O14" t="s">
        <v>94</v>
      </c>
      <c r="P14" t="s">
        <v>94</v>
      </c>
      <c r="Q14" t="s">
        <v>94</v>
      </c>
      <c r="R14" t="s">
        <v>94</v>
      </c>
      <c r="S14" t="s">
        <v>94</v>
      </c>
      <c r="T14" t="s">
        <v>94</v>
      </c>
      <c r="U14" t="s">
        <v>94</v>
      </c>
      <c r="V14" t="s">
        <v>94</v>
      </c>
      <c r="W14" t="s">
        <v>94</v>
      </c>
      <c r="X14" t="s">
        <v>94</v>
      </c>
      <c r="Y14" t="s">
        <v>94</v>
      </c>
      <c r="Z14" t="s">
        <v>94</v>
      </c>
      <c r="AA14" t="s">
        <v>94</v>
      </c>
      <c r="AB14" t="s">
        <v>94</v>
      </c>
      <c r="AC14" t="s">
        <v>94</v>
      </c>
      <c r="AD14" t="s">
        <v>94</v>
      </c>
      <c r="AE14" t="s">
        <v>94</v>
      </c>
      <c r="AF14" t="s">
        <v>94</v>
      </c>
      <c r="AG14" t="s">
        <v>95</v>
      </c>
      <c r="AH14" t="s">
        <v>95</v>
      </c>
      <c r="AI14" t="s">
        <v>95</v>
      </c>
      <c r="AJ14" t="s">
        <v>95</v>
      </c>
      <c r="AK14" t="s">
        <v>95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96</v>
      </c>
      <c r="AR14" t="s">
        <v>96</v>
      </c>
      <c r="AS14" t="s">
        <v>96</v>
      </c>
      <c r="AT14" t="s">
        <v>96</v>
      </c>
      <c r="AU14" t="s">
        <v>96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96</v>
      </c>
      <c r="BB14" t="s">
        <v>96</v>
      </c>
      <c r="BC14" t="s">
        <v>96</v>
      </c>
      <c r="BD14" t="s">
        <v>96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97</v>
      </c>
      <c r="BO14" t="s">
        <v>97</v>
      </c>
      <c r="BP14" t="s">
        <v>97</v>
      </c>
      <c r="BQ14" t="s">
        <v>97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97</v>
      </c>
      <c r="CC14" t="s">
        <v>97</v>
      </c>
      <c r="CD14" t="s">
        <v>97</v>
      </c>
      <c r="CE14" t="s">
        <v>97</v>
      </c>
      <c r="CF14" t="s">
        <v>97</v>
      </c>
      <c r="CG14" t="s">
        <v>97</v>
      </c>
      <c r="CH14" t="s">
        <v>97</v>
      </c>
      <c r="CI14" t="s">
        <v>98</v>
      </c>
      <c r="CJ14" t="s">
        <v>98</v>
      </c>
      <c r="CK14" t="s">
        <v>98</v>
      </c>
      <c r="CL14" t="s">
        <v>98</v>
      </c>
      <c r="CM14" t="s">
        <v>98</v>
      </c>
      <c r="CN14" t="s">
        <v>98</v>
      </c>
      <c r="CO14" t="s">
        <v>98</v>
      </c>
      <c r="CP14" t="s">
        <v>98</v>
      </c>
      <c r="CQ14" t="s">
        <v>98</v>
      </c>
      <c r="CR14" t="s">
        <v>98</v>
      </c>
      <c r="CS14" t="s">
        <v>98</v>
      </c>
      <c r="CT14" t="s">
        <v>98</v>
      </c>
      <c r="CU14" t="s">
        <v>98</v>
      </c>
      <c r="CV14" t="s">
        <v>99</v>
      </c>
      <c r="CW14" t="s">
        <v>99</v>
      </c>
      <c r="CX14" t="s">
        <v>99</v>
      </c>
      <c r="CY14" t="s">
        <v>99</v>
      </c>
      <c r="CZ14" t="s">
        <v>100</v>
      </c>
      <c r="DA14" t="s">
        <v>100</v>
      </c>
      <c r="DB14" t="s">
        <v>100</v>
      </c>
      <c r="DC14" t="s">
        <v>100</v>
      </c>
      <c r="DD14" t="s">
        <v>101</v>
      </c>
      <c r="DE14" t="s">
        <v>101</v>
      </c>
      <c r="DF14" t="s">
        <v>101</v>
      </c>
      <c r="DG14" t="s">
        <v>101</v>
      </c>
      <c r="DH14" t="s">
        <v>101</v>
      </c>
      <c r="DI14" t="s">
        <v>101</v>
      </c>
      <c r="DJ14" t="s">
        <v>101</v>
      </c>
      <c r="DK14" t="s">
        <v>101</v>
      </c>
      <c r="DL14" t="s">
        <v>101</v>
      </c>
      <c r="DM14" t="s">
        <v>101</v>
      </c>
      <c r="DN14" t="s">
        <v>101</v>
      </c>
      <c r="DO14" t="s">
        <v>101</v>
      </c>
      <c r="DP14" t="s">
        <v>101</v>
      </c>
      <c r="DQ14" t="s">
        <v>101</v>
      </c>
      <c r="DR14" t="s">
        <v>101</v>
      </c>
      <c r="DS14" t="s">
        <v>101</v>
      </c>
      <c r="DT14" t="s">
        <v>101</v>
      </c>
      <c r="DU14" t="s">
        <v>101</v>
      </c>
      <c r="DV14" t="s">
        <v>102</v>
      </c>
      <c r="DW14" t="s">
        <v>102</v>
      </c>
      <c r="DX14" t="s">
        <v>102</v>
      </c>
      <c r="DY14" t="s">
        <v>102</v>
      </c>
      <c r="DZ14" t="s">
        <v>102</v>
      </c>
      <c r="EA14" t="s">
        <v>102</v>
      </c>
      <c r="EB14" t="s">
        <v>102</v>
      </c>
      <c r="EC14" t="s">
        <v>102</v>
      </c>
      <c r="ED14" t="s">
        <v>102</v>
      </c>
      <c r="EE14" t="s">
        <v>102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103</v>
      </c>
      <c r="EO14" t="s">
        <v>103</v>
      </c>
      <c r="EP14" t="s">
        <v>103</v>
      </c>
      <c r="EQ14" t="s">
        <v>103</v>
      </c>
      <c r="ER14" t="s">
        <v>103</v>
      </c>
      <c r="ES14" t="s">
        <v>103</v>
      </c>
      <c r="ET14" t="s">
        <v>103</v>
      </c>
      <c r="EU14" t="s">
        <v>103</v>
      </c>
      <c r="EV14" t="s">
        <v>103</v>
      </c>
      <c r="EW14" t="s">
        <v>103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105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107</v>
      </c>
      <c r="GB14" t="s">
        <v>107</v>
      </c>
      <c r="GC14" t="s">
        <v>107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108</v>
      </c>
      <c r="GT14" t="s">
        <v>108</v>
      </c>
      <c r="GU14" t="s">
        <v>108</v>
      </c>
      <c r="GV14" t="s">
        <v>108</v>
      </c>
      <c r="GW14" t="s">
        <v>108</v>
      </c>
      <c r="GX14" t="s">
        <v>108</v>
      </c>
      <c r="GY14" t="s">
        <v>108</v>
      </c>
      <c r="GZ14" t="s">
        <v>108</v>
      </c>
      <c r="HA14" t="s">
        <v>108</v>
      </c>
      <c r="HB14" t="s">
        <v>108</v>
      </c>
      <c r="HC14" t="s">
        <v>108</v>
      </c>
      <c r="HD14" t="s">
        <v>108</v>
      </c>
      <c r="HE14" t="s">
        <v>108</v>
      </c>
      <c r="HF14" t="s">
        <v>108</v>
      </c>
      <c r="HG14" t="s">
        <v>108</v>
      </c>
      <c r="HH14" t="s">
        <v>108</v>
      </c>
      <c r="HI14" t="s">
        <v>108</v>
      </c>
      <c r="HJ14" t="s">
        <v>108</v>
      </c>
      <c r="HK14" t="s">
        <v>108</v>
      </c>
      <c r="HL14" t="s">
        <v>109</v>
      </c>
      <c r="HM14" t="s">
        <v>109</v>
      </c>
      <c r="HN14" t="s">
        <v>109</v>
      </c>
      <c r="HO14" t="s">
        <v>109</v>
      </c>
      <c r="HP14" t="s">
        <v>109</v>
      </c>
      <c r="HQ14" t="s">
        <v>109</v>
      </c>
      <c r="HR14" t="s">
        <v>109</v>
      </c>
      <c r="HS14" t="s">
        <v>109</v>
      </c>
      <c r="HT14" t="s">
        <v>109</v>
      </c>
      <c r="HU14" t="s">
        <v>109</v>
      </c>
      <c r="HV14" t="s">
        <v>109</v>
      </c>
      <c r="HW14" t="s">
        <v>109</v>
      </c>
      <c r="HX14" t="s">
        <v>109</v>
      </c>
      <c r="HY14" t="s">
        <v>109</v>
      </c>
      <c r="HZ14" t="s">
        <v>109</v>
      </c>
      <c r="IA14" t="s">
        <v>109</v>
      </c>
      <c r="IB14" t="s">
        <v>109</v>
      </c>
      <c r="IC14" t="s">
        <v>109</v>
      </c>
      <c r="ID14" t="s">
        <v>109</v>
      </c>
      <c r="IE14" t="s">
        <v>110</v>
      </c>
      <c r="IF14" t="s">
        <v>110</v>
      </c>
      <c r="IG14" t="s">
        <v>110</v>
      </c>
      <c r="IH14" t="s">
        <v>110</v>
      </c>
      <c r="II14" t="s">
        <v>110</v>
      </c>
      <c r="IJ14" t="s">
        <v>110</v>
      </c>
      <c r="IK14" t="s">
        <v>110</v>
      </c>
      <c r="IL14" t="s">
        <v>110</v>
      </c>
      <c r="IM14" t="s">
        <v>110</v>
      </c>
      <c r="IN14" t="s">
        <v>110</v>
      </c>
      <c r="IO14" t="s">
        <v>110</v>
      </c>
      <c r="IP14" t="s">
        <v>110</v>
      </c>
      <c r="IQ14" t="s">
        <v>110</v>
      </c>
      <c r="IR14" t="s">
        <v>110</v>
      </c>
      <c r="IS14" t="s">
        <v>110</v>
      </c>
      <c r="IT14" t="s">
        <v>110</v>
      </c>
      <c r="IU14" t="s">
        <v>110</v>
      </c>
      <c r="IV14" t="s">
        <v>110</v>
      </c>
      <c r="IW14" t="s">
        <v>111</v>
      </c>
      <c r="IX14" t="s">
        <v>111</v>
      </c>
      <c r="IY14" t="s">
        <v>111</v>
      </c>
      <c r="IZ14" t="s">
        <v>111</v>
      </c>
      <c r="JA14" t="s">
        <v>111</v>
      </c>
      <c r="JB14" t="s">
        <v>111</v>
      </c>
      <c r="JC14" t="s">
        <v>111</v>
      </c>
      <c r="JD14" t="s">
        <v>111</v>
      </c>
      <c r="JE14" t="s">
        <v>112</v>
      </c>
      <c r="JF14" t="s">
        <v>112</v>
      </c>
      <c r="JG14" t="s">
        <v>112</v>
      </c>
      <c r="JH14" t="s">
        <v>112</v>
      </c>
      <c r="JI14" t="s">
        <v>112</v>
      </c>
      <c r="JJ14" t="s">
        <v>112</v>
      </c>
      <c r="JK14" t="s">
        <v>112</v>
      </c>
      <c r="JL14" t="s">
        <v>112</v>
      </c>
      <c r="JM14" t="s">
        <v>112</v>
      </c>
      <c r="JN14" t="s">
        <v>112</v>
      </c>
      <c r="JO14" t="s">
        <v>112</v>
      </c>
      <c r="JP14" t="s">
        <v>112</v>
      </c>
      <c r="JQ14" t="s">
        <v>112</v>
      </c>
      <c r="JR14" t="s">
        <v>112</v>
      </c>
      <c r="JS14" t="s">
        <v>112</v>
      </c>
      <c r="JT14" t="s">
        <v>112</v>
      </c>
    </row>
    <row r="15" spans="1:280" x14ac:dyDescent="0.2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  <c r="L15" t="s">
        <v>124</v>
      </c>
      <c r="M15" t="s">
        <v>125</v>
      </c>
      <c r="N15" t="s">
        <v>126</v>
      </c>
      <c r="O15" t="s">
        <v>127</v>
      </c>
      <c r="P15" t="s">
        <v>128</v>
      </c>
      <c r="Q15" t="s">
        <v>129</v>
      </c>
      <c r="R15" t="s">
        <v>130</v>
      </c>
      <c r="S15" t="s">
        <v>131</v>
      </c>
      <c r="T15" t="s">
        <v>132</v>
      </c>
      <c r="U15" t="s">
        <v>133</v>
      </c>
      <c r="V15" t="s">
        <v>134</v>
      </c>
      <c r="W15" t="s">
        <v>135</v>
      </c>
      <c r="X15" t="s">
        <v>136</v>
      </c>
      <c r="Y15" t="s">
        <v>137</v>
      </c>
      <c r="Z15" t="s">
        <v>138</v>
      </c>
      <c r="AA15" t="s">
        <v>139</v>
      </c>
      <c r="AB15" t="s">
        <v>140</v>
      </c>
      <c r="AC15" t="s">
        <v>141</v>
      </c>
      <c r="AD15" t="s">
        <v>142</v>
      </c>
      <c r="AE15" t="s">
        <v>143</v>
      </c>
      <c r="AF15" t="s">
        <v>144</v>
      </c>
      <c r="AG15" t="s">
        <v>95</v>
      </c>
      <c r="AH15" t="s">
        <v>145</v>
      </c>
      <c r="AI15" t="s">
        <v>146</v>
      </c>
      <c r="AJ15" t="s">
        <v>147</v>
      </c>
      <c r="AK15" t="s">
        <v>148</v>
      </c>
      <c r="AL15" t="s">
        <v>149</v>
      </c>
      <c r="AM15" t="s">
        <v>150</v>
      </c>
      <c r="AN15" t="s">
        <v>151</v>
      </c>
      <c r="AO15" t="s">
        <v>152</v>
      </c>
      <c r="AP15" t="s">
        <v>153</v>
      </c>
      <c r="AQ15" t="s">
        <v>154</v>
      </c>
      <c r="AR15" t="s">
        <v>155</v>
      </c>
      <c r="AS15" t="s">
        <v>156</v>
      </c>
      <c r="AT15" t="s">
        <v>157</v>
      </c>
      <c r="AU15" t="s">
        <v>158</v>
      </c>
      <c r="AV15" t="s">
        <v>159</v>
      </c>
      <c r="AW15" t="s">
        <v>160</v>
      </c>
      <c r="AX15" t="s">
        <v>161</v>
      </c>
      <c r="AY15" t="s">
        <v>162</v>
      </c>
      <c r="AZ15" t="s">
        <v>163</v>
      </c>
      <c r="BA15" t="s">
        <v>164</v>
      </c>
      <c r="BB15" t="s">
        <v>165</v>
      </c>
      <c r="BC15" t="s">
        <v>166</v>
      </c>
      <c r="BD15" t="s">
        <v>167</v>
      </c>
      <c r="BE15" t="s">
        <v>168</v>
      </c>
      <c r="BF15" t="s">
        <v>169</v>
      </c>
      <c r="BG15" t="s">
        <v>170</v>
      </c>
      <c r="BH15" t="s">
        <v>171</v>
      </c>
      <c r="BI15" t="s">
        <v>172</v>
      </c>
      <c r="BJ15" t="s">
        <v>173</v>
      </c>
      <c r="BK15" t="s">
        <v>174</v>
      </c>
      <c r="BL15" t="s">
        <v>175</v>
      </c>
      <c r="BM15" t="s">
        <v>176</v>
      </c>
      <c r="BN15" t="s">
        <v>177</v>
      </c>
      <c r="BO15" t="s">
        <v>178</v>
      </c>
      <c r="BP15" t="s">
        <v>179</v>
      </c>
      <c r="BQ15" t="s">
        <v>180</v>
      </c>
      <c r="BR15" t="s">
        <v>181</v>
      </c>
      <c r="BS15" t="s">
        <v>182</v>
      </c>
      <c r="BT15" t="s">
        <v>183</v>
      </c>
      <c r="BU15" t="s">
        <v>184</v>
      </c>
      <c r="BV15" t="s">
        <v>185</v>
      </c>
      <c r="BW15" t="s">
        <v>186</v>
      </c>
      <c r="BX15" t="s">
        <v>187</v>
      </c>
      <c r="BY15" t="s">
        <v>188</v>
      </c>
      <c r="BZ15" t="s">
        <v>189</v>
      </c>
      <c r="CA15" t="s">
        <v>190</v>
      </c>
      <c r="CB15" t="s">
        <v>191</v>
      </c>
      <c r="CC15" t="s">
        <v>192</v>
      </c>
      <c r="CD15" t="s">
        <v>193</v>
      </c>
      <c r="CE15" t="s">
        <v>194</v>
      </c>
      <c r="CF15" t="s">
        <v>195</v>
      </c>
      <c r="CG15" t="s">
        <v>196</v>
      </c>
      <c r="CH15" t="s">
        <v>197</v>
      </c>
      <c r="CI15" t="s">
        <v>177</v>
      </c>
      <c r="CJ15" t="s">
        <v>198</v>
      </c>
      <c r="CK15" t="s">
        <v>199</v>
      </c>
      <c r="CL15" t="s">
        <v>200</v>
      </c>
      <c r="CM15" t="s">
        <v>151</v>
      </c>
      <c r="CN15" t="s">
        <v>201</v>
      </c>
      <c r="CO15" t="s">
        <v>202</v>
      </c>
      <c r="CP15" t="s">
        <v>203</v>
      </c>
      <c r="CQ15" t="s">
        <v>204</v>
      </c>
      <c r="CR15" t="s">
        <v>205</v>
      </c>
      <c r="CS15" t="s">
        <v>206</v>
      </c>
      <c r="CT15" t="s">
        <v>207</v>
      </c>
      <c r="CU15" t="s">
        <v>208</v>
      </c>
      <c r="CV15" t="s">
        <v>209</v>
      </c>
      <c r="CW15" t="s">
        <v>210</v>
      </c>
      <c r="CX15" t="s">
        <v>211</v>
      </c>
      <c r="CY15" t="s">
        <v>212</v>
      </c>
      <c r="CZ15" t="s">
        <v>213</v>
      </c>
      <c r="DA15" t="s">
        <v>214</v>
      </c>
      <c r="DB15" t="s">
        <v>215</v>
      </c>
      <c r="DC15" t="s">
        <v>216</v>
      </c>
      <c r="DD15" t="s">
        <v>121</v>
      </c>
      <c r="DE15" t="s">
        <v>217</v>
      </c>
      <c r="DF15" t="s">
        <v>218</v>
      </c>
      <c r="DG15" t="s">
        <v>219</v>
      </c>
      <c r="DH15" t="s">
        <v>220</v>
      </c>
      <c r="DI15" t="s">
        <v>221</v>
      </c>
      <c r="DJ15" t="s">
        <v>222</v>
      </c>
      <c r="DK15" t="s">
        <v>223</v>
      </c>
      <c r="DL15" t="s">
        <v>224</v>
      </c>
      <c r="DM15" t="s">
        <v>225</v>
      </c>
      <c r="DN15" t="s">
        <v>226</v>
      </c>
      <c r="DO15" t="s">
        <v>227</v>
      </c>
      <c r="DP15" t="s">
        <v>228</v>
      </c>
      <c r="DQ15" t="s">
        <v>229</v>
      </c>
      <c r="DR15" t="s">
        <v>230</v>
      </c>
      <c r="DS15" t="s">
        <v>231</v>
      </c>
      <c r="DT15" t="s">
        <v>232</v>
      </c>
      <c r="DU15" t="s">
        <v>233</v>
      </c>
      <c r="DV15" t="s">
        <v>234</v>
      </c>
      <c r="DW15" t="s">
        <v>235</v>
      </c>
      <c r="DX15" t="s">
        <v>236</v>
      </c>
      <c r="DY15" t="s">
        <v>237</v>
      </c>
      <c r="DZ15" t="s">
        <v>238</v>
      </c>
      <c r="EA15" t="s">
        <v>239</v>
      </c>
      <c r="EB15" t="s">
        <v>240</v>
      </c>
      <c r="EC15" t="s">
        <v>241</v>
      </c>
      <c r="ED15" t="s">
        <v>242</v>
      </c>
      <c r="EE15" t="s">
        <v>243</v>
      </c>
      <c r="EF15" t="s">
        <v>244</v>
      </c>
      <c r="EG15" t="s">
        <v>245</v>
      </c>
      <c r="EH15" t="s">
        <v>246</v>
      </c>
      <c r="EI15" t="s">
        <v>247</v>
      </c>
      <c r="EJ15" t="s">
        <v>248</v>
      </c>
      <c r="EK15" t="s">
        <v>249</v>
      </c>
      <c r="EL15" t="s">
        <v>250</v>
      </c>
      <c r="EM15" t="s">
        <v>251</v>
      </c>
      <c r="EN15" t="s">
        <v>252</v>
      </c>
      <c r="EO15" t="s">
        <v>253</v>
      </c>
      <c r="EP15" t="s">
        <v>254</v>
      </c>
      <c r="EQ15" t="s">
        <v>255</v>
      </c>
      <c r="ER15" t="s">
        <v>256</v>
      </c>
      <c r="ES15" t="s">
        <v>257</v>
      </c>
      <c r="ET15" t="s">
        <v>258</v>
      </c>
      <c r="EU15" t="s">
        <v>259</v>
      </c>
      <c r="EV15" t="s">
        <v>260</v>
      </c>
      <c r="EW15" t="s">
        <v>261</v>
      </c>
      <c r="EX15" t="s">
        <v>262</v>
      </c>
      <c r="EY15" t="s">
        <v>263</v>
      </c>
      <c r="EZ15" t="s">
        <v>264</v>
      </c>
      <c r="FA15" t="s">
        <v>265</v>
      </c>
      <c r="FB15" t="s">
        <v>266</v>
      </c>
      <c r="FC15" t="s">
        <v>114</v>
      </c>
      <c r="FD15" t="s">
        <v>117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  <c r="GQ15" t="s">
        <v>305</v>
      </c>
      <c r="GR15" t="s">
        <v>306</v>
      </c>
      <c r="GS15" t="s">
        <v>307</v>
      </c>
      <c r="GT15" t="s">
        <v>308</v>
      </c>
      <c r="GU15" t="s">
        <v>309</v>
      </c>
      <c r="GV15" t="s">
        <v>310</v>
      </c>
      <c r="GW15" t="s">
        <v>311</v>
      </c>
      <c r="GX15" t="s">
        <v>312</v>
      </c>
      <c r="GY15" t="s">
        <v>313</v>
      </c>
      <c r="GZ15" t="s">
        <v>314</v>
      </c>
      <c r="HA15" t="s">
        <v>315</v>
      </c>
      <c r="HB15" t="s">
        <v>316</v>
      </c>
      <c r="HC15" t="s">
        <v>317</v>
      </c>
      <c r="HD15" t="s">
        <v>318</v>
      </c>
      <c r="HE15" t="s">
        <v>319</v>
      </c>
      <c r="HF15" t="s">
        <v>320</v>
      </c>
      <c r="HG15" t="s">
        <v>321</v>
      </c>
      <c r="HH15" t="s">
        <v>322</v>
      </c>
      <c r="HI15" t="s">
        <v>323</v>
      </c>
      <c r="HJ15" t="s">
        <v>324</v>
      </c>
      <c r="HK15" t="s">
        <v>325</v>
      </c>
      <c r="HL15" t="s">
        <v>326</v>
      </c>
      <c r="HM15" t="s">
        <v>327</v>
      </c>
      <c r="HN15" t="s">
        <v>328</v>
      </c>
      <c r="HO15" t="s">
        <v>329</v>
      </c>
      <c r="HP15" t="s">
        <v>330</v>
      </c>
      <c r="HQ15" t="s">
        <v>331</v>
      </c>
      <c r="HR15" t="s">
        <v>332</v>
      </c>
      <c r="HS15" t="s">
        <v>333</v>
      </c>
      <c r="HT15" t="s">
        <v>334</v>
      </c>
      <c r="HU15" t="s">
        <v>335</v>
      </c>
      <c r="HV15" t="s">
        <v>336</v>
      </c>
      <c r="HW15" t="s">
        <v>337</v>
      </c>
      <c r="HX15" t="s">
        <v>338</v>
      </c>
      <c r="HY15" t="s">
        <v>339</v>
      </c>
      <c r="HZ15" t="s">
        <v>340</v>
      </c>
      <c r="IA15" t="s">
        <v>341</v>
      </c>
      <c r="IB15" t="s">
        <v>342</v>
      </c>
      <c r="IC15" t="s">
        <v>343</v>
      </c>
      <c r="ID15" t="s">
        <v>344</v>
      </c>
      <c r="IE15" t="s">
        <v>345</v>
      </c>
      <c r="IF15" t="s">
        <v>346</v>
      </c>
      <c r="IG15" t="s">
        <v>347</v>
      </c>
      <c r="IH15" t="s">
        <v>348</v>
      </c>
      <c r="II15" t="s">
        <v>349</v>
      </c>
      <c r="IJ15" t="s">
        <v>350</v>
      </c>
      <c r="IK15" t="s">
        <v>351</v>
      </c>
      <c r="IL15" t="s">
        <v>352</v>
      </c>
      <c r="IM15" t="s">
        <v>353</v>
      </c>
      <c r="IN15" t="s">
        <v>354</v>
      </c>
      <c r="IO15" t="s">
        <v>355</v>
      </c>
      <c r="IP15" t="s">
        <v>356</v>
      </c>
      <c r="IQ15" t="s">
        <v>357</v>
      </c>
      <c r="IR15" t="s">
        <v>358</v>
      </c>
      <c r="IS15" t="s">
        <v>359</v>
      </c>
      <c r="IT15" t="s">
        <v>360</v>
      </c>
      <c r="IU15" t="s">
        <v>361</v>
      </c>
      <c r="IV15" t="s">
        <v>362</v>
      </c>
      <c r="IW15" t="s">
        <v>363</v>
      </c>
      <c r="IX15" t="s">
        <v>364</v>
      </c>
      <c r="IY15" t="s">
        <v>365</v>
      </c>
      <c r="IZ15" t="s">
        <v>366</v>
      </c>
      <c r="JA15" t="s">
        <v>367</v>
      </c>
      <c r="JB15" t="s">
        <v>368</v>
      </c>
      <c r="JC15" t="s">
        <v>369</v>
      </c>
      <c r="JD15" t="s">
        <v>370</v>
      </c>
      <c r="JE15" t="s">
        <v>371</v>
      </c>
      <c r="JF15" t="s">
        <v>372</v>
      </c>
      <c r="JG15" t="s">
        <v>373</v>
      </c>
      <c r="JH15" t="s">
        <v>374</v>
      </c>
      <c r="JI15" t="s">
        <v>375</v>
      </c>
      <c r="JJ15" t="s">
        <v>376</v>
      </c>
      <c r="JK15" t="s">
        <v>377</v>
      </c>
      <c r="JL15" t="s">
        <v>378</v>
      </c>
      <c r="JM15" t="s">
        <v>379</v>
      </c>
      <c r="JN15" t="s">
        <v>380</v>
      </c>
      <c r="JO15" t="s">
        <v>381</v>
      </c>
      <c r="JP15" t="s">
        <v>382</v>
      </c>
      <c r="JQ15" t="s">
        <v>383</v>
      </c>
      <c r="JR15" t="s">
        <v>384</v>
      </c>
      <c r="JS15" t="s">
        <v>385</v>
      </c>
      <c r="JT15" t="s">
        <v>386</v>
      </c>
    </row>
    <row r="16" spans="1:280" x14ac:dyDescent="0.25">
      <c r="B16" t="s">
        <v>387</v>
      </c>
      <c r="C16" t="s">
        <v>387</v>
      </c>
      <c r="F16" t="s">
        <v>387</v>
      </c>
      <c r="I16" t="s">
        <v>387</v>
      </c>
      <c r="J16" t="s">
        <v>388</v>
      </c>
      <c r="K16" t="s">
        <v>389</v>
      </c>
      <c r="L16" t="s">
        <v>390</v>
      </c>
      <c r="M16" t="s">
        <v>391</v>
      </c>
      <c r="N16" t="s">
        <v>391</v>
      </c>
      <c r="O16" t="s">
        <v>224</v>
      </c>
      <c r="P16" t="s">
        <v>224</v>
      </c>
      <c r="Q16" t="s">
        <v>388</v>
      </c>
      <c r="R16" t="s">
        <v>388</v>
      </c>
      <c r="S16" t="s">
        <v>388</v>
      </c>
      <c r="T16" t="s">
        <v>388</v>
      </c>
      <c r="U16" t="s">
        <v>392</v>
      </c>
      <c r="V16" t="s">
        <v>393</v>
      </c>
      <c r="W16" t="s">
        <v>393</v>
      </c>
      <c r="X16" t="s">
        <v>394</v>
      </c>
      <c r="Y16" t="s">
        <v>395</v>
      </c>
      <c r="Z16" t="s">
        <v>394</v>
      </c>
      <c r="AA16" t="s">
        <v>394</v>
      </c>
      <c r="AB16" t="s">
        <v>394</v>
      </c>
      <c r="AC16" t="s">
        <v>392</v>
      </c>
      <c r="AD16" t="s">
        <v>392</v>
      </c>
      <c r="AE16" t="s">
        <v>392</v>
      </c>
      <c r="AF16" t="s">
        <v>392</v>
      </c>
      <c r="AG16" t="s">
        <v>396</v>
      </c>
      <c r="AH16" t="s">
        <v>395</v>
      </c>
      <c r="AJ16" t="s">
        <v>395</v>
      </c>
      <c r="AK16" t="s">
        <v>396</v>
      </c>
      <c r="AQ16" t="s">
        <v>390</v>
      </c>
      <c r="AX16" t="s">
        <v>390</v>
      </c>
      <c r="AY16" t="s">
        <v>390</v>
      </c>
      <c r="AZ16" t="s">
        <v>390</v>
      </c>
      <c r="BA16" t="s">
        <v>397</v>
      </c>
      <c r="BO16" t="s">
        <v>398</v>
      </c>
      <c r="BQ16" t="s">
        <v>398</v>
      </c>
      <c r="BR16" t="s">
        <v>390</v>
      </c>
      <c r="BU16" t="s">
        <v>398</v>
      </c>
      <c r="BV16" t="s">
        <v>395</v>
      </c>
      <c r="BY16" t="s">
        <v>399</v>
      </c>
      <c r="BZ16" t="s">
        <v>399</v>
      </c>
      <c r="CB16" t="s">
        <v>400</v>
      </c>
      <c r="CC16" t="s">
        <v>398</v>
      </c>
      <c r="CE16" t="s">
        <v>398</v>
      </c>
      <c r="CF16" t="s">
        <v>390</v>
      </c>
      <c r="CJ16" t="s">
        <v>398</v>
      </c>
      <c r="CL16" t="s">
        <v>401</v>
      </c>
      <c r="CO16" t="s">
        <v>398</v>
      </c>
      <c r="CP16" t="s">
        <v>398</v>
      </c>
      <c r="CR16" t="s">
        <v>398</v>
      </c>
      <c r="CT16" t="s">
        <v>398</v>
      </c>
      <c r="CV16" t="s">
        <v>390</v>
      </c>
      <c r="CW16" t="s">
        <v>390</v>
      </c>
      <c r="CY16" t="s">
        <v>402</v>
      </c>
      <c r="CZ16" t="s">
        <v>403</v>
      </c>
      <c r="DC16" t="s">
        <v>388</v>
      </c>
      <c r="DD16" t="s">
        <v>387</v>
      </c>
      <c r="DE16" t="s">
        <v>391</v>
      </c>
      <c r="DF16" t="s">
        <v>391</v>
      </c>
      <c r="DG16" t="s">
        <v>404</v>
      </c>
      <c r="DH16" t="s">
        <v>404</v>
      </c>
      <c r="DI16" t="s">
        <v>391</v>
      </c>
      <c r="DJ16" t="s">
        <v>404</v>
      </c>
      <c r="DK16" t="s">
        <v>396</v>
      </c>
      <c r="DL16" t="s">
        <v>394</v>
      </c>
      <c r="DM16" t="s">
        <v>394</v>
      </c>
      <c r="DN16" t="s">
        <v>393</v>
      </c>
      <c r="DO16" t="s">
        <v>393</v>
      </c>
      <c r="DP16" t="s">
        <v>393</v>
      </c>
      <c r="DQ16" t="s">
        <v>393</v>
      </c>
      <c r="DR16" t="s">
        <v>393</v>
      </c>
      <c r="DS16" t="s">
        <v>405</v>
      </c>
      <c r="DT16" t="s">
        <v>390</v>
      </c>
      <c r="DU16" t="s">
        <v>390</v>
      </c>
      <c r="DV16" t="s">
        <v>391</v>
      </c>
      <c r="DW16" t="s">
        <v>391</v>
      </c>
      <c r="DX16" t="s">
        <v>391</v>
      </c>
      <c r="DY16" t="s">
        <v>404</v>
      </c>
      <c r="DZ16" t="s">
        <v>391</v>
      </c>
      <c r="EA16" t="s">
        <v>404</v>
      </c>
      <c r="EB16" t="s">
        <v>394</v>
      </c>
      <c r="EC16" t="s">
        <v>394</v>
      </c>
      <c r="ED16" t="s">
        <v>393</v>
      </c>
      <c r="EE16" t="s">
        <v>393</v>
      </c>
      <c r="EF16" t="s">
        <v>390</v>
      </c>
      <c r="EK16" t="s">
        <v>390</v>
      </c>
      <c r="EN16" t="s">
        <v>393</v>
      </c>
      <c r="EO16" t="s">
        <v>393</v>
      </c>
      <c r="EP16" t="s">
        <v>393</v>
      </c>
      <c r="EQ16" t="s">
        <v>393</v>
      </c>
      <c r="ER16" t="s">
        <v>393</v>
      </c>
      <c r="ES16" t="s">
        <v>390</v>
      </c>
      <c r="ET16" t="s">
        <v>390</v>
      </c>
      <c r="EU16" t="s">
        <v>390</v>
      </c>
      <c r="EV16" t="s">
        <v>387</v>
      </c>
      <c r="EY16" t="s">
        <v>406</v>
      </c>
      <c r="EZ16" t="s">
        <v>406</v>
      </c>
      <c r="FB16" t="s">
        <v>387</v>
      </c>
      <c r="FC16" t="s">
        <v>407</v>
      </c>
      <c r="FE16" t="s">
        <v>387</v>
      </c>
      <c r="FF16" t="s">
        <v>387</v>
      </c>
      <c r="FH16" t="s">
        <v>408</v>
      </c>
      <c r="FI16" t="s">
        <v>409</v>
      </c>
      <c r="FJ16" t="s">
        <v>408</v>
      </c>
      <c r="FK16" t="s">
        <v>409</v>
      </c>
      <c r="FL16" t="s">
        <v>408</v>
      </c>
      <c r="FM16" t="s">
        <v>409</v>
      </c>
      <c r="FN16" t="s">
        <v>395</v>
      </c>
      <c r="FO16" t="s">
        <v>395</v>
      </c>
      <c r="FP16" t="s">
        <v>390</v>
      </c>
      <c r="FQ16" t="s">
        <v>410</v>
      </c>
      <c r="FR16" t="s">
        <v>390</v>
      </c>
      <c r="FT16" t="s">
        <v>388</v>
      </c>
      <c r="FU16" t="s">
        <v>411</v>
      </c>
      <c r="FV16" t="s">
        <v>388</v>
      </c>
      <c r="GA16" t="s">
        <v>412</v>
      </c>
      <c r="GB16" t="s">
        <v>412</v>
      </c>
      <c r="GO16" t="s">
        <v>412</v>
      </c>
      <c r="GP16" t="s">
        <v>412</v>
      </c>
      <c r="GQ16" t="s">
        <v>413</v>
      </c>
      <c r="GR16" t="s">
        <v>413</v>
      </c>
      <c r="GS16" t="s">
        <v>393</v>
      </c>
      <c r="GT16" t="s">
        <v>393</v>
      </c>
      <c r="GU16" t="s">
        <v>395</v>
      </c>
      <c r="GV16" t="s">
        <v>393</v>
      </c>
      <c r="GW16" t="s">
        <v>404</v>
      </c>
      <c r="GX16" t="s">
        <v>395</v>
      </c>
      <c r="GY16" t="s">
        <v>395</v>
      </c>
      <c r="HA16" t="s">
        <v>412</v>
      </c>
      <c r="HB16" t="s">
        <v>412</v>
      </c>
      <c r="HC16" t="s">
        <v>412</v>
      </c>
      <c r="HD16" t="s">
        <v>412</v>
      </c>
      <c r="HE16" t="s">
        <v>412</v>
      </c>
      <c r="HF16" t="s">
        <v>412</v>
      </c>
      <c r="HG16" t="s">
        <v>412</v>
      </c>
      <c r="HH16" t="s">
        <v>414</v>
      </c>
      <c r="HI16" t="s">
        <v>414</v>
      </c>
      <c r="HJ16" t="s">
        <v>414</v>
      </c>
      <c r="HK16" t="s">
        <v>415</v>
      </c>
      <c r="HL16" t="s">
        <v>412</v>
      </c>
      <c r="HM16" t="s">
        <v>412</v>
      </c>
      <c r="HN16" t="s">
        <v>412</v>
      </c>
      <c r="HO16" t="s">
        <v>412</v>
      </c>
      <c r="HP16" t="s">
        <v>412</v>
      </c>
      <c r="HQ16" t="s">
        <v>412</v>
      </c>
      <c r="HR16" t="s">
        <v>412</v>
      </c>
      <c r="HS16" t="s">
        <v>412</v>
      </c>
      <c r="HT16" t="s">
        <v>412</v>
      </c>
      <c r="HU16" t="s">
        <v>412</v>
      </c>
      <c r="HV16" t="s">
        <v>412</v>
      </c>
      <c r="HW16" t="s">
        <v>412</v>
      </c>
      <c r="ID16" t="s">
        <v>412</v>
      </c>
      <c r="IE16" t="s">
        <v>395</v>
      </c>
      <c r="IF16" t="s">
        <v>395</v>
      </c>
      <c r="IG16" t="s">
        <v>408</v>
      </c>
      <c r="IH16" t="s">
        <v>409</v>
      </c>
      <c r="II16" t="s">
        <v>409</v>
      </c>
      <c r="IM16" t="s">
        <v>409</v>
      </c>
      <c r="IQ16" t="s">
        <v>391</v>
      </c>
      <c r="IR16" t="s">
        <v>391</v>
      </c>
      <c r="IS16" t="s">
        <v>404</v>
      </c>
      <c r="IT16" t="s">
        <v>404</v>
      </c>
      <c r="IU16" t="s">
        <v>416</v>
      </c>
      <c r="IV16" t="s">
        <v>416</v>
      </c>
      <c r="IW16" t="s">
        <v>412</v>
      </c>
      <c r="IX16" t="s">
        <v>412</v>
      </c>
      <c r="IY16" t="s">
        <v>412</v>
      </c>
      <c r="IZ16" t="s">
        <v>412</v>
      </c>
      <c r="JA16" t="s">
        <v>412</v>
      </c>
      <c r="JB16" t="s">
        <v>412</v>
      </c>
      <c r="JC16" t="s">
        <v>393</v>
      </c>
      <c r="JD16" t="s">
        <v>412</v>
      </c>
      <c r="JF16" t="s">
        <v>396</v>
      </c>
      <c r="JG16" t="s">
        <v>396</v>
      </c>
      <c r="JH16" t="s">
        <v>393</v>
      </c>
      <c r="JI16" t="s">
        <v>393</v>
      </c>
      <c r="JJ16" t="s">
        <v>393</v>
      </c>
      <c r="JK16" t="s">
        <v>393</v>
      </c>
      <c r="JL16" t="s">
        <v>393</v>
      </c>
      <c r="JM16" t="s">
        <v>395</v>
      </c>
      <c r="JN16" t="s">
        <v>395</v>
      </c>
      <c r="JO16" t="s">
        <v>395</v>
      </c>
      <c r="JP16" t="s">
        <v>393</v>
      </c>
      <c r="JQ16" t="s">
        <v>391</v>
      </c>
      <c r="JR16" t="s">
        <v>404</v>
      </c>
      <c r="JS16" t="s">
        <v>395</v>
      </c>
      <c r="JT16" t="s">
        <v>395</v>
      </c>
    </row>
    <row r="17" spans="1:280" x14ac:dyDescent="0.25">
      <c r="A17">
        <v>1</v>
      </c>
      <c r="B17">
        <v>1674758130</v>
      </c>
      <c r="C17">
        <v>0</v>
      </c>
      <c r="D17" t="s">
        <v>417</v>
      </c>
      <c r="E17" t="s">
        <v>418</v>
      </c>
      <c r="F17" t="s">
        <v>419</v>
      </c>
      <c r="G17" t="s">
        <v>420</v>
      </c>
      <c r="H17" t="s">
        <v>421</v>
      </c>
      <c r="I17">
        <v>1674758130</v>
      </c>
      <c r="J17">
        <f t="shared" ref="J17:J30" si="0">(K17)/1000</f>
        <v>5.8993790469440638E-3</v>
      </c>
      <c r="K17">
        <f t="shared" ref="K17:K30" si="1">1000*DK17*AI17*(DG17-DH17)/(100*CZ17*(1000-AI17*DG17))</f>
        <v>5.8993790469440635</v>
      </c>
      <c r="L17">
        <f t="shared" ref="L17:L30" si="2">DK17*AI17*(DF17-DE17*(1000-AI17*DH17)/(1000-AI17*DG17))/(100*CZ17)</f>
        <v>53.484394908729946</v>
      </c>
      <c r="M17">
        <f t="shared" ref="M17:M30" si="3">DE17 - IF(AI17&gt;1, L17*CZ17*100/(AK17*DS17), 0)</f>
        <v>333.59</v>
      </c>
      <c r="N17">
        <f t="shared" ref="N17:N30" si="4">((T17-J17/2)*M17-L17)/(T17+J17/2)</f>
        <v>137.18261443715448</v>
      </c>
      <c r="O17">
        <f t="shared" ref="O17:O30" si="5">N17*(DL17+DM17)/1000</f>
        <v>13.604476558814081</v>
      </c>
      <c r="P17">
        <f t="shared" ref="P17:P30" si="6">(DE17 - IF(AI17&gt;1, L17*CZ17*100/(AK17*DS17), 0))*(DL17+DM17)/1000</f>
        <v>33.08230677681</v>
      </c>
      <c r="Q17">
        <f t="shared" ref="Q17:Q30" si="7">2/((1/S17-1/R17)+SIGN(S17)*SQRT((1/S17-1/R17)*(1/S17-1/R17) + 4*DA17/((DA17+1)*(DA17+1))*(2*1/S17*1/R17-1/R17*1/R17)))</f>
        <v>0.48201110986222656</v>
      </c>
      <c r="R17">
        <f t="shared" ref="R17:R3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2.9113327428460929</v>
      </c>
      <c r="S17">
        <f t="shared" ref="S17:S30" si="9">J17*(1000-(1000*0.61365*EXP(17.502*W17/(240.97+W17))/(DL17+DM17)+DG17)/2)/(1000*0.61365*EXP(17.502*W17/(240.97+W17))/(DL17+DM17)-DG17)</f>
        <v>0.44166524717861294</v>
      </c>
      <c r="T17">
        <f t="shared" ref="T17:T30" si="10">1/((DA17+1)/(Q17/1.6)+1/(R17/1.37)) + DA17/((DA17+1)/(Q17/1.6) + DA17/(R17/1.37))</f>
        <v>0.27938372989499799</v>
      </c>
      <c r="U17">
        <f t="shared" ref="U17:U30" si="11">(CV17*CY17)</f>
        <v>344.35739860499439</v>
      </c>
      <c r="V17">
        <f t="shared" ref="V17:V30" si="12">(DN17+(U17+2*0.95*0.0000000567*(((DN17+$B$7)+273)^4-(DN17+273)^4)-44100*J17)/(1.84*29.3*R17+8*0.95*0.0000000567*(DN17+273)^3))</f>
        <v>28.505056106133253</v>
      </c>
      <c r="W17">
        <f t="shared" ref="W17:W30" si="13">($C$7*DO17+$D$7*DP17+$E$7*V17)</f>
        <v>27.8611</v>
      </c>
      <c r="X17">
        <f t="shared" ref="X17:X30" si="14">0.61365*EXP(17.502*W17/(240.97+W17))</f>
        <v>3.7642196971479946</v>
      </c>
      <c r="Y17">
        <f t="shared" ref="Y17:Y30" si="15">(Z17/AA17*100)</f>
        <v>65.363215458338146</v>
      </c>
      <c r="Z17">
        <f t="shared" ref="Z17:Z30" si="16">DG17*(DL17+DM17)/1000</f>
        <v>2.4812969714595003</v>
      </c>
      <c r="AA17">
        <f t="shared" ref="AA17:AA30" si="17">0.61365*EXP(17.502*DN17/(240.97+DN17))</f>
        <v>3.7961672388058294</v>
      </c>
      <c r="AB17">
        <f t="shared" ref="AB17:AB30" si="18">(X17-DG17*(DL17+DM17)/1000)</f>
        <v>1.2829227256884943</v>
      </c>
      <c r="AC17">
        <f t="shared" ref="AC17:AC30" si="19">(-J17*44100)</f>
        <v>-260.16261597023322</v>
      </c>
      <c r="AD17">
        <f t="shared" ref="AD17:AD30" si="20">2*29.3*R17*0.92*(DN17-W17)</f>
        <v>22.742891193602933</v>
      </c>
      <c r="AE17">
        <f t="shared" ref="AE17:AE30" si="21">2*0.95*0.0000000567*(((DN17+$B$7)+273)^4-(W17+273)^4)</f>
        <v>1.7016760517381049</v>
      </c>
      <c r="AF17">
        <f t="shared" ref="AF17:AF30" si="22">U17+AE17+AC17+AD17</f>
        <v>108.6393498801022</v>
      </c>
      <c r="AG17">
        <v>0</v>
      </c>
      <c r="AH17">
        <v>0</v>
      </c>
      <c r="AI17">
        <f t="shared" ref="AI17:AI30" si="23">IF(AG17*$H$13&gt;=AK17,1,(AK17/(AK17-AG17*$H$13)))</f>
        <v>1</v>
      </c>
      <c r="AJ17">
        <f t="shared" ref="AJ17:AJ30" si="24">(AI17-1)*100</f>
        <v>0</v>
      </c>
      <c r="AK17">
        <f t="shared" ref="AK17:AK30" si="25">MAX(0,($B$13+$C$13*DS17)/(1+$D$13*DS17)*DL17/(DN17+273)*$E$13)</f>
        <v>52157.356307210568</v>
      </c>
      <c r="AL17" t="s">
        <v>422</v>
      </c>
      <c r="AM17">
        <v>10424.1</v>
      </c>
      <c r="AN17">
        <v>628.54280000000006</v>
      </c>
      <c r="AO17">
        <v>2663.98</v>
      </c>
      <c r="AP17">
        <f t="shared" ref="AP17:AP30" si="26">1-AN17/AO17</f>
        <v>0.76405873917972356</v>
      </c>
      <c r="AQ17">
        <v>-3.1675626227050531</v>
      </c>
      <c r="AR17" t="s">
        <v>423</v>
      </c>
      <c r="AS17">
        <v>10199.799999999999</v>
      </c>
      <c r="AT17">
        <v>756.30515384615398</v>
      </c>
      <c r="AU17">
        <v>1178.490740320143</v>
      </c>
      <c r="AV17">
        <f t="shared" ref="AV17:AV30" si="27">1-AT17/AU17</f>
        <v>0.35824259964851324</v>
      </c>
      <c r="AW17">
        <v>0.5</v>
      </c>
      <c r="AX17">
        <f t="shared" ref="AX17:AX30" si="28">CW17</f>
        <v>1513.1339993024972</v>
      </c>
      <c r="AY17">
        <f t="shared" ref="AY17:AY30" si="29">L17</f>
        <v>53.484394908729946</v>
      </c>
      <c r="AZ17">
        <f t="shared" ref="AZ17:AZ30" si="30">AV17*AW17*AX17</f>
        <v>271.0345287633391</v>
      </c>
      <c r="BA17">
        <f t="shared" ref="BA17:BA30" si="31">(AY17-AQ17)/AX17</f>
        <v>3.7440145788508891E-2</v>
      </c>
      <c r="BB17">
        <f t="shared" ref="BB17:BB30" si="32">(AO17-AU17)/AU17</f>
        <v>1.2605014268303172</v>
      </c>
      <c r="BC17">
        <f t="shared" ref="BC17:BC30" si="33">AN17/(AP17+AN17/AU17)</f>
        <v>484.46178417971186</v>
      </c>
      <c r="BD17" t="s">
        <v>424</v>
      </c>
      <c r="BE17">
        <v>551.24</v>
      </c>
      <c r="BF17">
        <f t="shared" ref="BF17:BF30" si="34">IF(BE17&lt;&gt;0, BE17, BC17)</f>
        <v>551.24</v>
      </c>
      <c r="BG17">
        <f t="shared" ref="BG17:BG30" si="35">1-BF17/AU17</f>
        <v>0.5322491886102958</v>
      </c>
      <c r="BH17">
        <f t="shared" ref="BH17:BH30" si="36">(AU17-AT17)/(AU17-BF17)</f>
        <v>0.67307307801423943</v>
      </c>
      <c r="BI17">
        <f t="shared" ref="BI17:BI30" si="37">(AO17-AU17)/(AO17-BF17)</f>
        <v>0.70311030210998848</v>
      </c>
      <c r="BJ17">
        <f t="shared" ref="BJ17:BJ30" si="38">(AU17-AT17)/(AU17-AN17)</f>
        <v>0.76768282144710054</v>
      </c>
      <c r="BK17">
        <f t="shared" ref="BK17:BK30" si="39">(AO17-AU17)/(AO17-AN17)</f>
        <v>0.72981335885963816</v>
      </c>
      <c r="BL17">
        <f t="shared" ref="BL17:BL30" si="40">(BH17*BF17/AT17)</f>
        <v>0.49057553242595309</v>
      </c>
      <c r="BM17">
        <f t="shared" ref="BM17:BM30" si="41">(1-BL17)</f>
        <v>0.50942446757404691</v>
      </c>
      <c r="BN17">
        <v>20389</v>
      </c>
      <c r="BO17">
        <v>290.00000000000011</v>
      </c>
      <c r="BP17">
        <v>1069.18</v>
      </c>
      <c r="BQ17">
        <v>145</v>
      </c>
      <c r="BR17">
        <v>10199.799999999999</v>
      </c>
      <c r="BS17">
        <v>1067.07</v>
      </c>
      <c r="BT17">
        <v>2.11</v>
      </c>
      <c r="BU17">
        <v>300.00000000000011</v>
      </c>
      <c r="BV17">
        <v>24.2</v>
      </c>
      <c r="BW17">
        <v>1178.490740320143</v>
      </c>
      <c r="BX17">
        <v>1.873870595190811</v>
      </c>
      <c r="BY17">
        <v>-113.6517709643219</v>
      </c>
      <c r="BZ17">
        <v>1.698197163115043</v>
      </c>
      <c r="CA17">
        <v>0.99378737252987404</v>
      </c>
      <c r="CB17">
        <v>-6.9362598442714264E-3</v>
      </c>
      <c r="CC17">
        <v>289.99999999999989</v>
      </c>
      <c r="CD17">
        <v>1064.73</v>
      </c>
      <c r="CE17">
        <v>675</v>
      </c>
      <c r="CF17">
        <v>10151.9</v>
      </c>
      <c r="CG17">
        <v>1066.54</v>
      </c>
      <c r="CH17">
        <v>-1.81</v>
      </c>
      <c r="CV17">
        <f t="shared" ref="CV17:CV30" si="42">$B$11*DT17+$C$11*DU17+$F$11*EF17*(1-EI17)</f>
        <v>1799.94</v>
      </c>
      <c r="CW17">
        <f t="shared" ref="CW17:CW30" si="43">CV17*CX17</f>
        <v>1513.1339993024972</v>
      </c>
      <c r="CX17">
        <f t="shared" ref="CX17:CX30" si="44">($B$11*$D$9+$C$11*$D$9+$F$11*((ES17+EK17)/MAX(ES17+EK17+ET17, 0.1)*$I$9+ET17/MAX(ES17+EK17+ET17, 0.1)*$J$9))/($B$11+$C$11+$F$11)</f>
        <v>0.84065802154654989</v>
      </c>
      <c r="CY17">
        <f t="shared" ref="CY17:CY30" si="45">($B$11*$K$9+$C$11*$K$9+$F$11*((ES17+EK17)/MAX(ES17+EK17+ET17, 0.1)*$P$9+ET17/MAX(ES17+EK17+ET17, 0.1)*$Q$9))/($B$11+$C$11+$F$11)</f>
        <v>0.19131604309309996</v>
      </c>
      <c r="CZ17">
        <v>6</v>
      </c>
      <c r="DA17">
        <v>0.5</v>
      </c>
      <c r="DB17" t="s">
        <v>425</v>
      </c>
      <c r="DC17">
        <v>2</v>
      </c>
      <c r="DD17">
        <v>1674758130</v>
      </c>
      <c r="DE17">
        <v>333.59</v>
      </c>
      <c r="DF17">
        <v>400.12099999999998</v>
      </c>
      <c r="DG17">
        <v>25.020499999999998</v>
      </c>
      <c r="DH17">
        <v>18.119599999999998</v>
      </c>
      <c r="DI17">
        <v>336.86900000000003</v>
      </c>
      <c r="DJ17">
        <v>24.656500000000001</v>
      </c>
      <c r="DK17">
        <v>500.089</v>
      </c>
      <c r="DL17">
        <v>99.070400000000006</v>
      </c>
      <c r="DM17">
        <v>0.100159</v>
      </c>
      <c r="DN17">
        <v>28.006</v>
      </c>
      <c r="DO17">
        <v>27.8611</v>
      </c>
      <c r="DP17">
        <v>999.9</v>
      </c>
      <c r="DQ17">
        <v>0</v>
      </c>
      <c r="DR17">
        <v>0</v>
      </c>
      <c r="DS17">
        <v>9989.3799999999992</v>
      </c>
      <c r="DT17">
        <v>0</v>
      </c>
      <c r="DU17">
        <v>414.53699999999998</v>
      </c>
      <c r="DV17">
        <v>-66.531300000000002</v>
      </c>
      <c r="DW17">
        <v>342.15</v>
      </c>
      <c r="DX17">
        <v>407.505</v>
      </c>
      <c r="DY17">
        <v>6.9008599999999998</v>
      </c>
      <c r="DZ17">
        <v>400.12099999999998</v>
      </c>
      <c r="EA17">
        <v>18.119599999999998</v>
      </c>
      <c r="EB17">
        <v>2.47879</v>
      </c>
      <c r="EC17">
        <v>1.79512</v>
      </c>
      <c r="ED17">
        <v>20.887899999999998</v>
      </c>
      <c r="EE17">
        <v>15.744400000000001</v>
      </c>
      <c r="EF17">
        <v>1799.94</v>
      </c>
      <c r="EG17">
        <v>0.97800699999999996</v>
      </c>
      <c r="EH17">
        <v>2.1992999999999999E-2</v>
      </c>
      <c r="EI17">
        <v>0</v>
      </c>
      <c r="EJ17">
        <v>756.16600000000005</v>
      </c>
      <c r="EK17">
        <v>5.0010599999999998</v>
      </c>
      <c r="EL17">
        <v>14186.8</v>
      </c>
      <c r="EM17">
        <v>16710.5</v>
      </c>
      <c r="EN17">
        <v>50.25</v>
      </c>
      <c r="EO17">
        <v>51</v>
      </c>
      <c r="EP17">
        <v>51.186999999999998</v>
      </c>
      <c r="EQ17">
        <v>49.936999999999998</v>
      </c>
      <c r="ER17">
        <v>51</v>
      </c>
      <c r="ES17">
        <v>1755.46</v>
      </c>
      <c r="ET17">
        <v>39.479999999999997</v>
      </c>
      <c r="EU17">
        <v>0</v>
      </c>
      <c r="EV17">
        <v>1674758127.5999999</v>
      </c>
      <c r="EW17">
        <v>0</v>
      </c>
      <c r="EX17">
        <v>756.30515384615398</v>
      </c>
      <c r="EY17">
        <v>0.19705983298851371</v>
      </c>
      <c r="EZ17">
        <v>20.058119710302019</v>
      </c>
      <c r="FA17">
        <v>14186.50384615385</v>
      </c>
      <c r="FB17">
        <v>15</v>
      </c>
      <c r="FC17">
        <v>1674758092.5</v>
      </c>
      <c r="FD17" t="s">
        <v>426</v>
      </c>
      <c r="FE17">
        <v>1674758092.5</v>
      </c>
      <c r="FF17">
        <v>1674758086.5</v>
      </c>
      <c r="FG17">
        <v>6</v>
      </c>
      <c r="FH17">
        <v>0.05</v>
      </c>
      <c r="FI17">
        <v>3.4000000000000002E-2</v>
      </c>
      <c r="FJ17">
        <v>-3.383</v>
      </c>
      <c r="FK17">
        <v>4.8000000000000001E-2</v>
      </c>
      <c r="FL17">
        <v>400</v>
      </c>
      <c r="FM17">
        <v>18</v>
      </c>
      <c r="FN17">
        <v>0.04</v>
      </c>
      <c r="FO17">
        <v>0.02</v>
      </c>
      <c r="FP17">
        <v>53.423467512928063</v>
      </c>
      <c r="FQ17">
        <v>-0.66123747774831487</v>
      </c>
      <c r="FR17">
        <v>8.8666735576668973E-2</v>
      </c>
      <c r="FS17">
        <v>1</v>
      </c>
      <c r="FT17">
        <v>0.49176297274484831</v>
      </c>
      <c r="FU17">
        <v>-3.8870545925682273E-2</v>
      </c>
      <c r="FV17">
        <v>4.820176231944708E-3</v>
      </c>
      <c r="FW17">
        <v>1</v>
      </c>
      <c r="FX17">
        <v>2</v>
      </c>
      <c r="FY17">
        <v>2</v>
      </c>
      <c r="FZ17" t="s">
        <v>427</v>
      </c>
      <c r="GA17">
        <v>2.9770500000000002</v>
      </c>
      <c r="GB17">
        <v>2.8063899999999999</v>
      </c>
      <c r="GC17">
        <v>8.4388000000000005E-2</v>
      </c>
      <c r="GD17">
        <v>9.5491900000000005E-2</v>
      </c>
      <c r="GE17">
        <v>0.121382</v>
      </c>
      <c r="GF17">
        <v>9.6830799999999995E-2</v>
      </c>
      <c r="GG17">
        <v>27017.599999999999</v>
      </c>
      <c r="GH17">
        <v>24727.9</v>
      </c>
      <c r="GI17">
        <v>26529</v>
      </c>
      <c r="GJ17">
        <v>25823.5</v>
      </c>
      <c r="GK17">
        <v>31709.200000000001</v>
      </c>
      <c r="GL17">
        <v>32918.199999999997</v>
      </c>
      <c r="GM17">
        <v>37573.1</v>
      </c>
      <c r="GN17">
        <v>38313</v>
      </c>
      <c r="GO17">
        <v>1.9627699999999999</v>
      </c>
      <c r="GP17">
        <v>1.899</v>
      </c>
      <c r="GQ17">
        <v>4.3906300000000002E-2</v>
      </c>
      <c r="GR17">
        <v>0</v>
      </c>
      <c r="GS17">
        <v>27.143699999999999</v>
      </c>
      <c r="GT17">
        <v>999.9</v>
      </c>
      <c r="GU17">
        <v>42.1</v>
      </c>
      <c r="GV17">
        <v>34.700000000000003</v>
      </c>
      <c r="GW17">
        <v>23.606999999999999</v>
      </c>
      <c r="GX17">
        <v>61.978099999999998</v>
      </c>
      <c r="GY17">
        <v>12.463900000000001</v>
      </c>
      <c r="GZ17">
        <v>1</v>
      </c>
      <c r="HA17">
        <v>0.48738799999999999</v>
      </c>
      <c r="HB17">
        <v>3.0873699999999999</v>
      </c>
      <c r="HC17">
        <v>20.227499999999999</v>
      </c>
      <c r="HD17">
        <v>5.2093499999999997</v>
      </c>
      <c r="HE17">
        <v>11.9381</v>
      </c>
      <c r="HF17">
        <v>4.9870000000000001</v>
      </c>
      <c r="HG17">
        <v>3.2907999999999999</v>
      </c>
      <c r="HH17">
        <v>9999</v>
      </c>
      <c r="HI17">
        <v>9999</v>
      </c>
      <c r="HJ17">
        <v>9999</v>
      </c>
      <c r="HK17">
        <v>999.9</v>
      </c>
      <c r="HL17">
        <v>1.8702700000000001</v>
      </c>
      <c r="HM17">
        <v>1.8765400000000001</v>
      </c>
      <c r="HN17">
        <v>1.8743300000000001</v>
      </c>
      <c r="HO17">
        <v>1.87256</v>
      </c>
      <c r="HP17">
        <v>1.8730199999999999</v>
      </c>
      <c r="HQ17">
        <v>1.8704099999999999</v>
      </c>
      <c r="HR17">
        <v>1.8763399999999999</v>
      </c>
      <c r="HS17">
        <v>1.8754299999999999</v>
      </c>
      <c r="HT17">
        <v>5</v>
      </c>
      <c r="HU17">
        <v>0</v>
      </c>
      <c r="HV17">
        <v>0</v>
      </c>
      <c r="HW17">
        <v>0</v>
      </c>
      <c r="HX17" t="s">
        <v>428</v>
      </c>
      <c r="HY17" t="s">
        <v>429</v>
      </c>
      <c r="HZ17" t="s">
        <v>430</v>
      </c>
      <c r="IA17" t="s">
        <v>431</v>
      </c>
      <c r="IB17" t="s">
        <v>431</v>
      </c>
      <c r="IC17" t="s">
        <v>430</v>
      </c>
      <c r="ID17">
        <v>0</v>
      </c>
      <c r="IE17">
        <v>100</v>
      </c>
      <c r="IF17">
        <v>100</v>
      </c>
      <c r="IG17">
        <v>-3.2789999999999999</v>
      </c>
      <c r="IH17">
        <v>0.36399999999999999</v>
      </c>
      <c r="II17">
        <v>-2.586616616487416</v>
      </c>
      <c r="IJ17">
        <v>-2.536945948238235E-3</v>
      </c>
      <c r="IK17">
        <v>1.581473279927893E-6</v>
      </c>
      <c r="IL17">
        <v>-4.6698293441882044E-10</v>
      </c>
      <c r="IM17">
        <v>-0.15545062245614619</v>
      </c>
      <c r="IN17">
        <v>-1.5895243091576399E-2</v>
      </c>
      <c r="IO17">
        <v>1.559614309849521E-3</v>
      </c>
      <c r="IP17">
        <v>-2.4566050869858518E-6</v>
      </c>
      <c r="IQ17">
        <v>2</v>
      </c>
      <c r="IR17">
        <v>2224</v>
      </c>
      <c r="IS17">
        <v>2</v>
      </c>
      <c r="IT17">
        <v>25</v>
      </c>
      <c r="IU17">
        <v>0.6</v>
      </c>
      <c r="IV17">
        <v>0.7</v>
      </c>
      <c r="IW17">
        <v>0.93872100000000003</v>
      </c>
      <c r="IX17">
        <v>2.49146</v>
      </c>
      <c r="IY17">
        <v>1.65039</v>
      </c>
      <c r="IZ17">
        <v>2.2949199999999998</v>
      </c>
      <c r="JA17">
        <v>1.50024</v>
      </c>
      <c r="JB17">
        <v>2.4072300000000002</v>
      </c>
      <c r="JC17">
        <v>39.068300000000001</v>
      </c>
      <c r="JD17">
        <v>23.842300000000002</v>
      </c>
      <c r="JE17">
        <v>18</v>
      </c>
      <c r="JF17">
        <v>506.61900000000003</v>
      </c>
      <c r="JG17">
        <v>457.97300000000001</v>
      </c>
      <c r="JH17">
        <v>24.3475</v>
      </c>
      <c r="JI17">
        <v>33.296599999999998</v>
      </c>
      <c r="JJ17">
        <v>30.0001</v>
      </c>
      <c r="JK17">
        <v>33.319000000000003</v>
      </c>
      <c r="JL17">
        <v>33.295000000000002</v>
      </c>
      <c r="JM17">
        <v>18.814800000000002</v>
      </c>
      <c r="JN17">
        <v>34.388300000000001</v>
      </c>
      <c r="JO17">
        <v>58.165500000000002</v>
      </c>
      <c r="JP17">
        <v>24.344200000000001</v>
      </c>
      <c r="JQ17">
        <v>400</v>
      </c>
      <c r="JR17">
        <v>18.0626</v>
      </c>
      <c r="JS17">
        <v>99.7286</v>
      </c>
      <c r="JT17">
        <v>98.846599999999995</v>
      </c>
    </row>
    <row r="18" spans="1:280" x14ac:dyDescent="0.25">
      <c r="A18">
        <v>2</v>
      </c>
      <c r="B18">
        <v>1674758237</v>
      </c>
      <c r="C18">
        <v>107</v>
      </c>
      <c r="D18" t="s">
        <v>432</v>
      </c>
      <c r="E18" t="s">
        <v>433</v>
      </c>
      <c r="F18" t="s">
        <v>419</v>
      </c>
      <c r="G18" t="s">
        <v>420</v>
      </c>
      <c r="H18" t="s">
        <v>421</v>
      </c>
      <c r="I18">
        <v>1674758237</v>
      </c>
      <c r="J18">
        <f t="shared" si="0"/>
        <v>6.0629161068544478E-3</v>
      </c>
      <c r="K18">
        <f t="shared" si="1"/>
        <v>6.0629161068544475</v>
      </c>
      <c r="L18">
        <f t="shared" si="2"/>
        <v>45.813068680820919</v>
      </c>
      <c r="M18">
        <f t="shared" si="3"/>
        <v>243.363</v>
      </c>
      <c r="N18">
        <f t="shared" si="4"/>
        <v>81.103747032654184</v>
      </c>
      <c r="O18">
        <f t="shared" si="5"/>
        <v>8.0430670280180081</v>
      </c>
      <c r="P18">
        <f t="shared" si="6"/>
        <v>24.134334019752</v>
      </c>
      <c r="Q18">
        <f t="shared" si="7"/>
        <v>0.49879414932033328</v>
      </c>
      <c r="R18">
        <f t="shared" si="8"/>
        <v>2.914063314553311</v>
      </c>
      <c r="S18">
        <f t="shared" si="9"/>
        <v>0.45576075737663546</v>
      </c>
      <c r="T18">
        <f t="shared" si="10"/>
        <v>0.288406825240346</v>
      </c>
      <c r="U18">
        <f t="shared" si="11"/>
        <v>344.39861176107303</v>
      </c>
      <c r="V18">
        <f t="shared" si="12"/>
        <v>28.452457121295996</v>
      </c>
      <c r="W18">
        <f t="shared" si="13"/>
        <v>27.848400000000002</v>
      </c>
      <c r="X18">
        <f t="shared" si="14"/>
        <v>3.7614308166349115</v>
      </c>
      <c r="Y18">
        <f t="shared" si="15"/>
        <v>65.464187671483316</v>
      </c>
      <c r="Z18">
        <f t="shared" si="16"/>
        <v>2.4837251716904003</v>
      </c>
      <c r="AA18">
        <f t="shared" si="17"/>
        <v>3.7940212198987222</v>
      </c>
      <c r="AB18">
        <f t="shared" si="18"/>
        <v>1.2777056449445112</v>
      </c>
      <c r="AC18">
        <f t="shared" si="19"/>
        <v>-267.37460031228113</v>
      </c>
      <c r="AD18">
        <f t="shared" si="20"/>
        <v>23.235530951159891</v>
      </c>
      <c r="AE18">
        <f t="shared" si="21"/>
        <v>1.736713521255427</v>
      </c>
      <c r="AF18">
        <f t="shared" si="22"/>
        <v>101.99625592120719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52237.212942418701</v>
      </c>
      <c r="AL18" t="s">
        <v>422</v>
      </c>
      <c r="AM18">
        <v>10424.1</v>
      </c>
      <c r="AN18">
        <v>628.54280000000006</v>
      </c>
      <c r="AO18">
        <v>2663.98</v>
      </c>
      <c r="AP18">
        <f t="shared" si="26"/>
        <v>0.76405873917972356</v>
      </c>
      <c r="AQ18">
        <v>-3.1675626227050531</v>
      </c>
      <c r="AR18" t="s">
        <v>434</v>
      </c>
      <c r="AS18">
        <v>10206</v>
      </c>
      <c r="AT18">
        <v>742.95735999999999</v>
      </c>
      <c r="AU18">
        <v>1105.159574694406</v>
      </c>
      <c r="AV18">
        <f t="shared" si="27"/>
        <v>0.32773748062089647</v>
      </c>
      <c r="AW18">
        <v>0.5</v>
      </c>
      <c r="AX18">
        <f t="shared" si="28"/>
        <v>1513.3185058805363</v>
      </c>
      <c r="AY18">
        <f t="shared" si="29"/>
        <v>45.813068680820919</v>
      </c>
      <c r="AZ18">
        <f t="shared" si="30"/>
        <v>247.98559724713314</v>
      </c>
      <c r="BA18">
        <f t="shared" si="31"/>
        <v>3.236637304915941E-2</v>
      </c>
      <c r="BB18">
        <f t="shared" si="32"/>
        <v>1.4104935260020095</v>
      </c>
      <c r="BC18">
        <f t="shared" si="33"/>
        <v>471.59799547494276</v>
      </c>
      <c r="BD18" t="s">
        <v>435</v>
      </c>
      <c r="BE18">
        <v>541.54</v>
      </c>
      <c r="BF18">
        <f t="shared" si="34"/>
        <v>541.54</v>
      </c>
      <c r="BG18">
        <f t="shared" si="35"/>
        <v>0.50998931520839941</v>
      </c>
      <c r="BH18">
        <f t="shared" si="36"/>
        <v>0.64263597461247102</v>
      </c>
      <c r="BI18">
        <f t="shared" si="37"/>
        <v>0.73444734612313844</v>
      </c>
      <c r="BJ18">
        <f t="shared" si="38"/>
        <v>0.75994432828479541</v>
      </c>
      <c r="BK18">
        <f t="shared" si="39"/>
        <v>0.76584058958222545</v>
      </c>
      <c r="BL18">
        <f t="shared" si="40"/>
        <v>0.46841596089934084</v>
      </c>
      <c r="BM18">
        <f t="shared" si="41"/>
        <v>0.53158403910065921</v>
      </c>
      <c r="BN18">
        <v>20391</v>
      </c>
      <c r="BO18">
        <v>290.00000000000011</v>
      </c>
      <c r="BP18">
        <v>1008.23</v>
      </c>
      <c r="BQ18">
        <v>115</v>
      </c>
      <c r="BR18">
        <v>10206</v>
      </c>
      <c r="BS18">
        <v>1005.47</v>
      </c>
      <c r="BT18">
        <v>2.76</v>
      </c>
      <c r="BU18">
        <v>300.00000000000011</v>
      </c>
      <c r="BV18">
        <v>24.2</v>
      </c>
      <c r="BW18">
        <v>1105.159574694406</v>
      </c>
      <c r="BX18">
        <v>1.747108600959423</v>
      </c>
      <c r="BY18">
        <v>-101.7461860503486</v>
      </c>
      <c r="BZ18">
        <v>1.5831688004485329</v>
      </c>
      <c r="CA18">
        <v>0.99326648270627638</v>
      </c>
      <c r="CB18">
        <v>-6.9356629588431754E-3</v>
      </c>
      <c r="CC18">
        <v>289.99999999999989</v>
      </c>
      <c r="CD18">
        <v>1002.85</v>
      </c>
      <c r="CE18">
        <v>665</v>
      </c>
      <c r="CF18">
        <v>10151.799999999999</v>
      </c>
      <c r="CG18">
        <v>1004.93</v>
      </c>
      <c r="CH18">
        <v>-2.08</v>
      </c>
      <c r="CV18">
        <f t="shared" si="42"/>
        <v>1800.16</v>
      </c>
      <c r="CW18">
        <f t="shared" si="43"/>
        <v>1513.3185058805363</v>
      </c>
      <c r="CX18">
        <f t="shared" si="44"/>
        <v>0.84065777813113074</v>
      </c>
      <c r="CY18">
        <f t="shared" si="45"/>
        <v>0.19131555626226168</v>
      </c>
      <c r="CZ18">
        <v>6</v>
      </c>
      <c r="DA18">
        <v>0.5</v>
      </c>
      <c r="DB18" t="s">
        <v>425</v>
      </c>
      <c r="DC18">
        <v>2</v>
      </c>
      <c r="DD18">
        <v>1674758237</v>
      </c>
      <c r="DE18">
        <v>243.363</v>
      </c>
      <c r="DF18">
        <v>300.10700000000003</v>
      </c>
      <c r="DG18">
        <v>25.045100000000001</v>
      </c>
      <c r="DH18">
        <v>17.952100000000002</v>
      </c>
      <c r="DI18">
        <v>246.24</v>
      </c>
      <c r="DJ18">
        <v>24.677299999999999</v>
      </c>
      <c r="DK18">
        <v>500.02</v>
      </c>
      <c r="DL18">
        <v>99.070300000000003</v>
      </c>
      <c r="DM18">
        <v>9.9804000000000004E-2</v>
      </c>
      <c r="DN18">
        <v>27.996300000000002</v>
      </c>
      <c r="DO18">
        <v>27.848400000000002</v>
      </c>
      <c r="DP18">
        <v>999.9</v>
      </c>
      <c r="DQ18">
        <v>0</v>
      </c>
      <c r="DR18">
        <v>0</v>
      </c>
      <c r="DS18">
        <v>10005</v>
      </c>
      <c r="DT18">
        <v>0</v>
      </c>
      <c r="DU18">
        <v>422.42599999999999</v>
      </c>
      <c r="DV18">
        <v>-56.744599999999998</v>
      </c>
      <c r="DW18">
        <v>249.614</v>
      </c>
      <c r="DX18">
        <v>305.59300000000002</v>
      </c>
      <c r="DY18">
        <v>7.0930200000000001</v>
      </c>
      <c r="DZ18">
        <v>300.10700000000003</v>
      </c>
      <c r="EA18">
        <v>17.952100000000002</v>
      </c>
      <c r="EB18">
        <v>2.48123</v>
      </c>
      <c r="EC18">
        <v>1.7785200000000001</v>
      </c>
      <c r="ED18">
        <v>20.9039</v>
      </c>
      <c r="EE18">
        <v>15.599299999999999</v>
      </c>
      <c r="EF18">
        <v>1800.16</v>
      </c>
      <c r="EG18">
        <v>0.97801000000000005</v>
      </c>
      <c r="EH18">
        <v>2.1989600000000002E-2</v>
      </c>
      <c r="EI18">
        <v>0</v>
      </c>
      <c r="EJ18">
        <v>742.55499999999995</v>
      </c>
      <c r="EK18">
        <v>5.0010599999999998</v>
      </c>
      <c r="EL18">
        <v>13932.6</v>
      </c>
      <c r="EM18">
        <v>16712.599999999999</v>
      </c>
      <c r="EN18">
        <v>50.311999999999998</v>
      </c>
      <c r="EO18">
        <v>51</v>
      </c>
      <c r="EP18">
        <v>51.25</v>
      </c>
      <c r="EQ18">
        <v>49.936999999999998</v>
      </c>
      <c r="ER18">
        <v>51.061999999999998</v>
      </c>
      <c r="ES18">
        <v>1755.68</v>
      </c>
      <c r="ET18">
        <v>39.47</v>
      </c>
      <c r="EU18">
        <v>0</v>
      </c>
      <c r="EV18">
        <v>105.19999980926509</v>
      </c>
      <c r="EW18">
        <v>0</v>
      </c>
      <c r="EX18">
        <v>742.95735999999999</v>
      </c>
      <c r="EY18">
        <v>-2.713076917747947</v>
      </c>
      <c r="EZ18">
        <v>-43.861538554662637</v>
      </c>
      <c r="FA18">
        <v>13936.316000000001</v>
      </c>
      <c r="FB18">
        <v>15</v>
      </c>
      <c r="FC18">
        <v>1674758202.5</v>
      </c>
      <c r="FD18" t="s">
        <v>436</v>
      </c>
      <c r="FE18">
        <v>1674758200</v>
      </c>
      <c r="FF18">
        <v>1674758202.5</v>
      </c>
      <c r="FG18">
        <v>7</v>
      </c>
      <c r="FH18">
        <v>0.245</v>
      </c>
      <c r="FI18">
        <v>3.0000000000000001E-3</v>
      </c>
      <c r="FJ18">
        <v>-2.9780000000000002</v>
      </c>
      <c r="FK18">
        <v>5.0999999999999997E-2</v>
      </c>
      <c r="FL18">
        <v>300</v>
      </c>
      <c r="FM18">
        <v>18</v>
      </c>
      <c r="FN18">
        <v>0.04</v>
      </c>
      <c r="FO18">
        <v>0.02</v>
      </c>
      <c r="FP18">
        <v>45.694463638556698</v>
      </c>
      <c r="FQ18">
        <v>-0.30548922139918322</v>
      </c>
      <c r="FR18">
        <v>9.0186614131267148E-2</v>
      </c>
      <c r="FS18">
        <v>1</v>
      </c>
      <c r="FT18">
        <v>0.50240911102706642</v>
      </c>
      <c r="FU18">
        <v>-2.9894085758679259E-2</v>
      </c>
      <c r="FV18">
        <v>4.048710248427686E-3</v>
      </c>
      <c r="FW18">
        <v>1</v>
      </c>
      <c r="FX18">
        <v>2</v>
      </c>
      <c r="FY18">
        <v>2</v>
      </c>
      <c r="FZ18" t="s">
        <v>427</v>
      </c>
      <c r="GA18">
        <v>2.9768699999999999</v>
      </c>
      <c r="GB18">
        <v>2.8061699999999998</v>
      </c>
      <c r="GC18">
        <v>6.5052700000000005E-2</v>
      </c>
      <c r="GD18">
        <v>7.5922600000000007E-2</v>
      </c>
      <c r="GE18">
        <v>0.12145499999999999</v>
      </c>
      <c r="GF18">
        <v>9.6201200000000001E-2</v>
      </c>
      <c r="GG18">
        <v>27588.5</v>
      </c>
      <c r="GH18">
        <v>25264.1</v>
      </c>
      <c r="GI18">
        <v>26529.200000000001</v>
      </c>
      <c r="GJ18">
        <v>25824.3</v>
      </c>
      <c r="GK18">
        <v>31706.7</v>
      </c>
      <c r="GL18">
        <v>32941.599999999999</v>
      </c>
      <c r="GM18">
        <v>37573.599999999999</v>
      </c>
      <c r="GN18">
        <v>38313.599999999999</v>
      </c>
      <c r="GO18">
        <v>1.96305</v>
      </c>
      <c r="GP18">
        <v>1.8984000000000001</v>
      </c>
      <c r="GQ18">
        <v>4.6469299999999998E-2</v>
      </c>
      <c r="GR18">
        <v>0</v>
      </c>
      <c r="GS18">
        <v>27.089099999999998</v>
      </c>
      <c r="GT18">
        <v>999.9</v>
      </c>
      <c r="GU18">
        <v>41.9</v>
      </c>
      <c r="GV18">
        <v>34.700000000000003</v>
      </c>
      <c r="GW18">
        <v>23.496600000000001</v>
      </c>
      <c r="GX18">
        <v>61.838099999999997</v>
      </c>
      <c r="GY18">
        <v>12.504</v>
      </c>
      <c r="GZ18">
        <v>1</v>
      </c>
      <c r="HA18">
        <v>0.486649</v>
      </c>
      <c r="HB18">
        <v>3.01492</v>
      </c>
      <c r="HC18">
        <v>20.228000000000002</v>
      </c>
      <c r="HD18">
        <v>5.2053099999999999</v>
      </c>
      <c r="HE18">
        <v>11.9381</v>
      </c>
      <c r="HF18">
        <v>4.9859999999999998</v>
      </c>
      <c r="HG18">
        <v>3.2897500000000002</v>
      </c>
      <c r="HH18">
        <v>9999</v>
      </c>
      <c r="HI18">
        <v>9999</v>
      </c>
      <c r="HJ18">
        <v>9999</v>
      </c>
      <c r="HK18">
        <v>999.9</v>
      </c>
      <c r="HL18">
        <v>1.8702700000000001</v>
      </c>
      <c r="HM18">
        <v>1.87656</v>
      </c>
      <c r="HN18">
        <v>1.8743799999999999</v>
      </c>
      <c r="HO18">
        <v>1.87256</v>
      </c>
      <c r="HP18">
        <v>1.8730199999999999</v>
      </c>
      <c r="HQ18">
        <v>1.87042</v>
      </c>
      <c r="HR18">
        <v>1.8763399999999999</v>
      </c>
      <c r="HS18">
        <v>1.8754500000000001</v>
      </c>
      <c r="HT18">
        <v>5</v>
      </c>
      <c r="HU18">
        <v>0</v>
      </c>
      <c r="HV18">
        <v>0</v>
      </c>
      <c r="HW18">
        <v>0</v>
      </c>
      <c r="HX18" t="s">
        <v>428</v>
      </c>
      <c r="HY18" t="s">
        <v>429</v>
      </c>
      <c r="HZ18" t="s">
        <v>430</v>
      </c>
      <c r="IA18" t="s">
        <v>431</v>
      </c>
      <c r="IB18" t="s">
        <v>431</v>
      </c>
      <c r="IC18" t="s">
        <v>430</v>
      </c>
      <c r="ID18">
        <v>0</v>
      </c>
      <c r="IE18">
        <v>100</v>
      </c>
      <c r="IF18">
        <v>100</v>
      </c>
      <c r="IG18">
        <v>-2.8769999999999998</v>
      </c>
      <c r="IH18">
        <v>0.36780000000000002</v>
      </c>
      <c r="II18">
        <v>-2.3420106242297218</v>
      </c>
      <c r="IJ18">
        <v>-2.536945948238235E-3</v>
      </c>
      <c r="IK18">
        <v>1.581473279927893E-6</v>
      </c>
      <c r="IL18">
        <v>-4.6698293441882044E-10</v>
      </c>
      <c r="IM18">
        <v>-0.1527332700535424</v>
      </c>
      <c r="IN18">
        <v>-1.5895243091576399E-2</v>
      </c>
      <c r="IO18">
        <v>1.559614309849521E-3</v>
      </c>
      <c r="IP18">
        <v>-2.4566050869858518E-6</v>
      </c>
      <c r="IQ18">
        <v>2</v>
      </c>
      <c r="IR18">
        <v>2224</v>
      </c>
      <c r="IS18">
        <v>2</v>
      </c>
      <c r="IT18">
        <v>25</v>
      </c>
      <c r="IU18">
        <v>0.6</v>
      </c>
      <c r="IV18">
        <v>0.6</v>
      </c>
      <c r="IW18">
        <v>0.74829100000000004</v>
      </c>
      <c r="IX18">
        <v>2.49146</v>
      </c>
      <c r="IY18">
        <v>1.65039</v>
      </c>
      <c r="IZ18">
        <v>2.2961399999999998</v>
      </c>
      <c r="JA18">
        <v>1.50024</v>
      </c>
      <c r="JB18">
        <v>2.4060100000000002</v>
      </c>
      <c r="JC18">
        <v>39.0931</v>
      </c>
      <c r="JD18">
        <v>23.851099999999999</v>
      </c>
      <c r="JE18">
        <v>18</v>
      </c>
      <c r="JF18">
        <v>506.72899999999998</v>
      </c>
      <c r="JG18">
        <v>457.51299999999998</v>
      </c>
      <c r="JH18">
        <v>24.385400000000001</v>
      </c>
      <c r="JI18">
        <v>33.287599999999998</v>
      </c>
      <c r="JJ18">
        <v>30</v>
      </c>
      <c r="JK18">
        <v>33.31</v>
      </c>
      <c r="JL18">
        <v>33.286000000000001</v>
      </c>
      <c r="JM18">
        <v>15.019</v>
      </c>
      <c r="JN18">
        <v>34.819899999999997</v>
      </c>
      <c r="JO18">
        <v>57.33</v>
      </c>
      <c r="JP18">
        <v>24.392099999999999</v>
      </c>
      <c r="JQ18">
        <v>300</v>
      </c>
      <c r="JR18">
        <v>17.903199999999998</v>
      </c>
      <c r="JS18">
        <v>99.729500000000002</v>
      </c>
      <c r="JT18">
        <v>98.848799999999997</v>
      </c>
    </row>
    <row r="19" spans="1:280" x14ac:dyDescent="0.25">
      <c r="A19">
        <v>3</v>
      </c>
      <c r="B19">
        <v>1674758358.5</v>
      </c>
      <c r="C19">
        <v>228.5</v>
      </c>
      <c r="D19" t="s">
        <v>437</v>
      </c>
      <c r="E19" t="s">
        <v>438</v>
      </c>
      <c r="F19" t="s">
        <v>419</v>
      </c>
      <c r="G19" t="s">
        <v>420</v>
      </c>
      <c r="H19" t="s">
        <v>421</v>
      </c>
      <c r="I19">
        <v>1674758358.5</v>
      </c>
      <c r="J19">
        <f t="shared" si="0"/>
        <v>6.4118693869344877E-3</v>
      </c>
      <c r="K19">
        <f t="shared" si="1"/>
        <v>6.4118693869344874</v>
      </c>
      <c r="L19">
        <f t="shared" si="2"/>
        <v>33.117978050448883</v>
      </c>
      <c r="M19">
        <f t="shared" si="3"/>
        <v>159.084</v>
      </c>
      <c r="N19">
        <f t="shared" si="4"/>
        <v>49.830036563015497</v>
      </c>
      <c r="O19">
        <f t="shared" si="5"/>
        <v>4.9414054022546416</v>
      </c>
      <c r="P19">
        <f t="shared" si="6"/>
        <v>15.775596231364799</v>
      </c>
      <c r="Q19">
        <f t="shared" si="7"/>
        <v>0.53796418823706038</v>
      </c>
      <c r="R19">
        <f t="shared" si="8"/>
        <v>2.9152877007359961</v>
      </c>
      <c r="S19">
        <f t="shared" si="9"/>
        <v>0.48828562936963871</v>
      </c>
      <c r="T19">
        <f t="shared" si="10"/>
        <v>0.30925873758078015</v>
      </c>
      <c r="U19">
        <f t="shared" si="11"/>
        <v>344.39339860407387</v>
      </c>
      <c r="V19">
        <f t="shared" si="12"/>
        <v>28.359847059949026</v>
      </c>
      <c r="W19">
        <f t="shared" si="13"/>
        <v>27.8066</v>
      </c>
      <c r="X19">
        <f t="shared" si="14"/>
        <v>3.7522643944863172</v>
      </c>
      <c r="Y19">
        <f t="shared" si="15"/>
        <v>65.66299956992458</v>
      </c>
      <c r="Z19">
        <f t="shared" si="16"/>
        <v>2.4910793362626</v>
      </c>
      <c r="AA19">
        <f t="shared" si="17"/>
        <v>3.7937336895641631</v>
      </c>
      <c r="AB19">
        <f t="shared" si="18"/>
        <v>1.2611850582237172</v>
      </c>
      <c r="AC19">
        <f t="shared" si="19"/>
        <v>-282.76343996381092</v>
      </c>
      <c r="AD19">
        <f t="shared" si="20"/>
        <v>29.610637814359919</v>
      </c>
      <c r="AE19">
        <f t="shared" si="21"/>
        <v>2.2118089922159618</v>
      </c>
      <c r="AF19">
        <f t="shared" si="22"/>
        <v>93.452405446838796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52272.402205887229</v>
      </c>
      <c r="AL19" t="s">
        <v>422</v>
      </c>
      <c r="AM19">
        <v>10424.1</v>
      </c>
      <c r="AN19">
        <v>628.54280000000006</v>
      </c>
      <c r="AO19">
        <v>2663.98</v>
      </c>
      <c r="AP19">
        <f t="shared" si="26"/>
        <v>0.76405873917972356</v>
      </c>
      <c r="AQ19">
        <v>-3.1675626227050531</v>
      </c>
      <c r="AR19" t="s">
        <v>439</v>
      </c>
      <c r="AS19">
        <v>10207.4</v>
      </c>
      <c r="AT19">
        <v>739.61415384615384</v>
      </c>
      <c r="AU19">
        <v>1013.258601673537</v>
      </c>
      <c r="AV19">
        <f t="shared" si="27"/>
        <v>0.2700637797452905</v>
      </c>
      <c r="AW19">
        <v>0.5</v>
      </c>
      <c r="AX19">
        <f t="shared" si="28"/>
        <v>1513.2860993020367</v>
      </c>
      <c r="AY19">
        <f t="shared" si="29"/>
        <v>33.117978050448883</v>
      </c>
      <c r="AZ19">
        <f t="shared" si="30"/>
        <v>204.34188190675752</v>
      </c>
      <c r="BA19">
        <f t="shared" si="31"/>
        <v>2.3977977918312795E-2</v>
      </c>
      <c r="BB19">
        <f t="shared" si="32"/>
        <v>1.6291215249493742</v>
      </c>
      <c r="BC19">
        <f t="shared" si="33"/>
        <v>454.02575026321398</v>
      </c>
      <c r="BD19" t="s">
        <v>440</v>
      </c>
      <c r="BE19">
        <v>530.82000000000005</v>
      </c>
      <c r="BF19">
        <f t="shared" si="34"/>
        <v>530.82000000000005</v>
      </c>
      <c r="BG19">
        <f t="shared" si="35"/>
        <v>0.47612583883001114</v>
      </c>
      <c r="BH19">
        <f t="shared" si="36"/>
        <v>0.56721092980150156</v>
      </c>
      <c r="BI19">
        <f t="shared" si="37"/>
        <v>0.77383852984607959</v>
      </c>
      <c r="BJ19">
        <f t="shared" si="38"/>
        <v>0.71128985770018627</v>
      </c>
      <c r="BK19">
        <f t="shared" si="39"/>
        <v>0.81099107274174964</v>
      </c>
      <c r="BL19">
        <f t="shared" si="40"/>
        <v>0.40708645743394162</v>
      </c>
      <c r="BM19">
        <f t="shared" si="41"/>
        <v>0.59291354256605833</v>
      </c>
      <c r="BN19">
        <v>20393</v>
      </c>
      <c r="BO19">
        <v>290.00000000000011</v>
      </c>
      <c r="BP19">
        <v>936.13</v>
      </c>
      <c r="BQ19">
        <v>105</v>
      </c>
      <c r="BR19">
        <v>10207.4</v>
      </c>
      <c r="BS19">
        <v>934.44</v>
      </c>
      <c r="BT19">
        <v>1.69</v>
      </c>
      <c r="BU19">
        <v>300.00000000000011</v>
      </c>
      <c r="BV19">
        <v>24.2</v>
      </c>
      <c r="BW19">
        <v>1013.258601673537</v>
      </c>
      <c r="BX19">
        <v>2.3102282419309041</v>
      </c>
      <c r="BY19">
        <v>-80.449047613612549</v>
      </c>
      <c r="BZ19">
        <v>2.0932154126428779</v>
      </c>
      <c r="CA19">
        <v>0.98139675597566767</v>
      </c>
      <c r="CB19">
        <v>-6.9347078976640698E-3</v>
      </c>
      <c r="CC19">
        <v>289.99999999999989</v>
      </c>
      <c r="CD19">
        <v>932.27</v>
      </c>
      <c r="CE19">
        <v>785</v>
      </c>
      <c r="CF19">
        <v>10142</v>
      </c>
      <c r="CG19">
        <v>933.94</v>
      </c>
      <c r="CH19">
        <v>-1.67</v>
      </c>
      <c r="CV19">
        <f t="shared" si="42"/>
        <v>1800.12</v>
      </c>
      <c r="CW19">
        <f t="shared" si="43"/>
        <v>1513.2860993020367</v>
      </c>
      <c r="CX19">
        <f t="shared" si="44"/>
        <v>0.84065845571519504</v>
      </c>
      <c r="CY19">
        <f t="shared" si="45"/>
        <v>0.19131691143039012</v>
      </c>
      <c r="CZ19">
        <v>6</v>
      </c>
      <c r="DA19">
        <v>0.5</v>
      </c>
      <c r="DB19" t="s">
        <v>425</v>
      </c>
      <c r="DC19">
        <v>2</v>
      </c>
      <c r="DD19">
        <v>1674758358.5</v>
      </c>
      <c r="DE19">
        <v>159.084</v>
      </c>
      <c r="DF19">
        <v>200.04599999999999</v>
      </c>
      <c r="DG19">
        <v>25.1205</v>
      </c>
      <c r="DH19">
        <v>17.620200000000001</v>
      </c>
      <c r="DI19">
        <v>161.52699999999999</v>
      </c>
      <c r="DJ19">
        <v>24.7454</v>
      </c>
      <c r="DK19">
        <v>500.04399999999998</v>
      </c>
      <c r="DL19">
        <v>99.065399999999997</v>
      </c>
      <c r="DM19">
        <v>9.9797200000000003E-2</v>
      </c>
      <c r="DN19">
        <v>27.995000000000001</v>
      </c>
      <c r="DO19">
        <v>27.8066</v>
      </c>
      <c r="DP19">
        <v>999.9</v>
      </c>
      <c r="DQ19">
        <v>0</v>
      </c>
      <c r="DR19">
        <v>0</v>
      </c>
      <c r="DS19">
        <v>10012.5</v>
      </c>
      <c r="DT19">
        <v>0</v>
      </c>
      <c r="DU19">
        <v>437.60300000000001</v>
      </c>
      <c r="DV19">
        <v>-40.961599999999997</v>
      </c>
      <c r="DW19">
        <v>163.184</v>
      </c>
      <c r="DX19">
        <v>203.63399999999999</v>
      </c>
      <c r="DY19">
        <v>7.5003500000000001</v>
      </c>
      <c r="DZ19">
        <v>200.04599999999999</v>
      </c>
      <c r="EA19">
        <v>17.620200000000001</v>
      </c>
      <c r="EB19">
        <v>2.4885799999999998</v>
      </c>
      <c r="EC19">
        <v>1.7455499999999999</v>
      </c>
      <c r="ED19">
        <v>20.952000000000002</v>
      </c>
      <c r="EE19">
        <v>15.307600000000001</v>
      </c>
      <c r="EF19">
        <v>1800.12</v>
      </c>
      <c r="EG19">
        <v>0.977993</v>
      </c>
      <c r="EH19">
        <v>2.2007200000000001E-2</v>
      </c>
      <c r="EI19">
        <v>0</v>
      </c>
      <c r="EJ19">
        <v>738.84400000000005</v>
      </c>
      <c r="EK19">
        <v>5.0010599999999998</v>
      </c>
      <c r="EL19">
        <v>13866</v>
      </c>
      <c r="EM19">
        <v>16712.099999999999</v>
      </c>
      <c r="EN19">
        <v>50.375</v>
      </c>
      <c r="EO19">
        <v>51.061999999999998</v>
      </c>
      <c r="EP19">
        <v>51.311999999999998</v>
      </c>
      <c r="EQ19">
        <v>50</v>
      </c>
      <c r="ER19">
        <v>51.061999999999998</v>
      </c>
      <c r="ES19">
        <v>1755.61</v>
      </c>
      <c r="ET19">
        <v>39.51</v>
      </c>
      <c r="EU19">
        <v>0</v>
      </c>
      <c r="EV19">
        <v>119.3999998569489</v>
      </c>
      <c r="EW19">
        <v>0</v>
      </c>
      <c r="EX19">
        <v>739.61415384615384</v>
      </c>
      <c r="EY19">
        <v>-6.1478290540261913</v>
      </c>
      <c r="EZ19">
        <v>-107.760683940533</v>
      </c>
      <c r="FA19">
        <v>13877.74615384615</v>
      </c>
      <c r="FB19">
        <v>15</v>
      </c>
      <c r="FC19">
        <v>1674758323.5</v>
      </c>
      <c r="FD19" t="s">
        <v>441</v>
      </c>
      <c r="FE19">
        <v>1674758308.5</v>
      </c>
      <c r="FF19">
        <v>1674758323.5</v>
      </c>
      <c r="FG19">
        <v>8</v>
      </c>
      <c r="FH19">
        <v>0.27</v>
      </c>
      <c r="FI19">
        <v>3.0000000000000001E-3</v>
      </c>
      <c r="FJ19">
        <v>-2.5249999999999999</v>
      </c>
      <c r="FK19">
        <v>4.7E-2</v>
      </c>
      <c r="FL19">
        <v>200</v>
      </c>
      <c r="FM19">
        <v>18</v>
      </c>
      <c r="FN19">
        <v>0.03</v>
      </c>
      <c r="FO19">
        <v>0.01</v>
      </c>
      <c r="FP19">
        <v>33.039296942092832</v>
      </c>
      <c r="FQ19">
        <v>-0.18604965944936899</v>
      </c>
      <c r="FR19">
        <v>7.739934189886527E-2</v>
      </c>
      <c r="FS19">
        <v>1</v>
      </c>
      <c r="FT19">
        <v>0.53915991178299993</v>
      </c>
      <c r="FU19">
        <v>-2.5810240230622412E-2</v>
      </c>
      <c r="FV19">
        <v>3.3292727139998912E-3</v>
      </c>
      <c r="FW19">
        <v>1</v>
      </c>
      <c r="FX19">
        <v>2</v>
      </c>
      <c r="FY19">
        <v>2</v>
      </c>
      <c r="FZ19" t="s">
        <v>427</v>
      </c>
      <c r="GA19">
        <v>2.9769600000000001</v>
      </c>
      <c r="GB19">
        <v>2.8062299999999998</v>
      </c>
      <c r="GC19">
        <v>4.4672900000000001E-2</v>
      </c>
      <c r="GD19">
        <v>5.3592500000000001E-2</v>
      </c>
      <c r="GE19">
        <v>0.121688</v>
      </c>
      <c r="GF19">
        <v>9.4943299999999994E-2</v>
      </c>
      <c r="GG19">
        <v>28191.4</v>
      </c>
      <c r="GH19">
        <v>25876.6</v>
      </c>
      <c r="GI19">
        <v>26530.6</v>
      </c>
      <c r="GJ19">
        <v>25826</v>
      </c>
      <c r="GK19">
        <v>31699.3</v>
      </c>
      <c r="GL19">
        <v>32989.1</v>
      </c>
      <c r="GM19">
        <v>37575.1</v>
      </c>
      <c r="GN19">
        <v>38315.699999999997</v>
      </c>
      <c r="GO19">
        <v>1.9635499999999999</v>
      </c>
      <c r="GP19">
        <v>1.8979299999999999</v>
      </c>
      <c r="GQ19">
        <v>4.5649700000000001E-2</v>
      </c>
      <c r="GR19">
        <v>0</v>
      </c>
      <c r="GS19">
        <v>27.060600000000001</v>
      </c>
      <c r="GT19">
        <v>999.9</v>
      </c>
      <c r="GU19">
        <v>41.6</v>
      </c>
      <c r="GV19">
        <v>34.799999999999997</v>
      </c>
      <c r="GW19">
        <v>23.459099999999999</v>
      </c>
      <c r="GX19">
        <v>61.828099999999999</v>
      </c>
      <c r="GY19">
        <v>11.963100000000001</v>
      </c>
      <c r="GZ19">
        <v>1</v>
      </c>
      <c r="HA19">
        <v>0.48363299999999998</v>
      </c>
      <c r="HB19">
        <v>2.89757</v>
      </c>
      <c r="HC19">
        <v>20.230399999999999</v>
      </c>
      <c r="HD19">
        <v>5.2036600000000002</v>
      </c>
      <c r="HE19">
        <v>11.9381</v>
      </c>
      <c r="HF19">
        <v>4.9858000000000002</v>
      </c>
      <c r="HG19">
        <v>3.2898000000000001</v>
      </c>
      <c r="HH19">
        <v>9999</v>
      </c>
      <c r="HI19">
        <v>9999</v>
      </c>
      <c r="HJ19">
        <v>9999</v>
      </c>
      <c r="HK19">
        <v>999.9</v>
      </c>
      <c r="HL19">
        <v>1.8702700000000001</v>
      </c>
      <c r="HM19">
        <v>1.87653</v>
      </c>
      <c r="HN19">
        <v>1.8743300000000001</v>
      </c>
      <c r="HO19">
        <v>1.8725700000000001</v>
      </c>
      <c r="HP19">
        <v>1.8730199999999999</v>
      </c>
      <c r="HQ19">
        <v>1.87042</v>
      </c>
      <c r="HR19">
        <v>1.8763399999999999</v>
      </c>
      <c r="HS19">
        <v>1.87541</v>
      </c>
      <c r="HT19">
        <v>5</v>
      </c>
      <c r="HU19">
        <v>0</v>
      </c>
      <c r="HV19">
        <v>0</v>
      </c>
      <c r="HW19">
        <v>0</v>
      </c>
      <c r="HX19" t="s">
        <v>428</v>
      </c>
      <c r="HY19" t="s">
        <v>429</v>
      </c>
      <c r="HZ19" t="s">
        <v>430</v>
      </c>
      <c r="IA19" t="s">
        <v>431</v>
      </c>
      <c r="IB19" t="s">
        <v>431</v>
      </c>
      <c r="IC19" t="s">
        <v>430</v>
      </c>
      <c r="ID19">
        <v>0</v>
      </c>
      <c r="IE19">
        <v>100</v>
      </c>
      <c r="IF19">
        <v>100</v>
      </c>
      <c r="IG19">
        <v>-2.4430000000000001</v>
      </c>
      <c r="IH19">
        <v>0.37509999999999999</v>
      </c>
      <c r="II19">
        <v>-2.0719895724685808</v>
      </c>
      <c r="IJ19">
        <v>-2.536945948238235E-3</v>
      </c>
      <c r="IK19">
        <v>1.581473279927893E-6</v>
      </c>
      <c r="IL19">
        <v>-4.6698293441882044E-10</v>
      </c>
      <c r="IM19">
        <v>-0.14935760923171079</v>
      </c>
      <c r="IN19">
        <v>-1.5895243091576399E-2</v>
      </c>
      <c r="IO19">
        <v>1.559614309849521E-3</v>
      </c>
      <c r="IP19">
        <v>-2.4566050869858518E-6</v>
      </c>
      <c r="IQ19">
        <v>2</v>
      </c>
      <c r="IR19">
        <v>2224</v>
      </c>
      <c r="IS19">
        <v>2</v>
      </c>
      <c r="IT19">
        <v>25</v>
      </c>
      <c r="IU19">
        <v>0.8</v>
      </c>
      <c r="IV19">
        <v>0.6</v>
      </c>
      <c r="IW19">
        <v>0.55053700000000005</v>
      </c>
      <c r="IX19">
        <v>2.50732</v>
      </c>
      <c r="IY19">
        <v>1.65039</v>
      </c>
      <c r="IZ19">
        <v>2.2949199999999998</v>
      </c>
      <c r="JA19">
        <v>1.50146</v>
      </c>
      <c r="JB19">
        <v>2.3022499999999999</v>
      </c>
      <c r="JC19">
        <v>39.0931</v>
      </c>
      <c r="JD19">
        <v>23.833600000000001</v>
      </c>
      <c r="JE19">
        <v>18</v>
      </c>
      <c r="JF19">
        <v>506.899</v>
      </c>
      <c r="JG19">
        <v>457.04599999999999</v>
      </c>
      <c r="JH19">
        <v>24.427199999999999</v>
      </c>
      <c r="JI19">
        <v>33.263800000000003</v>
      </c>
      <c r="JJ19">
        <v>29.9998</v>
      </c>
      <c r="JK19">
        <v>33.290100000000002</v>
      </c>
      <c r="JL19">
        <v>33.2652</v>
      </c>
      <c r="JM19">
        <v>11.065</v>
      </c>
      <c r="JN19">
        <v>35.869</v>
      </c>
      <c r="JO19">
        <v>55.9788</v>
      </c>
      <c r="JP19">
        <v>24.433499999999999</v>
      </c>
      <c r="JQ19">
        <v>200</v>
      </c>
      <c r="JR19">
        <v>17.529699999999998</v>
      </c>
      <c r="JS19">
        <v>99.734200000000001</v>
      </c>
      <c r="JT19">
        <v>98.854799999999997</v>
      </c>
    </row>
    <row r="20" spans="1:280" x14ac:dyDescent="0.25">
      <c r="A20">
        <v>4</v>
      </c>
      <c r="B20">
        <v>1674758476.5</v>
      </c>
      <c r="C20">
        <v>346.5</v>
      </c>
      <c r="D20" t="s">
        <v>442</v>
      </c>
      <c r="E20" t="s">
        <v>443</v>
      </c>
      <c r="F20" t="s">
        <v>419</v>
      </c>
      <c r="G20" t="s">
        <v>420</v>
      </c>
      <c r="H20" t="s">
        <v>421</v>
      </c>
      <c r="I20">
        <v>1674758476.5</v>
      </c>
      <c r="J20">
        <f t="shared" si="0"/>
        <v>6.8380111706792699E-3</v>
      </c>
      <c r="K20">
        <f t="shared" si="1"/>
        <v>6.8380111706792697</v>
      </c>
      <c r="L20">
        <f t="shared" si="2"/>
        <v>20.916625884971655</v>
      </c>
      <c r="M20">
        <f t="shared" si="3"/>
        <v>94.168700000000001</v>
      </c>
      <c r="N20">
        <f t="shared" si="4"/>
        <v>29.777042947826246</v>
      </c>
      <c r="O20">
        <f t="shared" si="5"/>
        <v>2.9530009830266084</v>
      </c>
      <c r="P20">
        <f t="shared" si="6"/>
        <v>9.3387467707110901</v>
      </c>
      <c r="Q20">
        <f t="shared" si="7"/>
        <v>0.58014187921993954</v>
      </c>
      <c r="R20">
        <f t="shared" si="8"/>
        <v>2.9132974624906374</v>
      </c>
      <c r="S20">
        <f t="shared" si="9"/>
        <v>0.52277680379641789</v>
      </c>
      <c r="T20">
        <f t="shared" si="10"/>
        <v>0.33141555986201987</v>
      </c>
      <c r="U20">
        <f t="shared" si="11"/>
        <v>344.31879860519268</v>
      </c>
      <c r="V20">
        <f t="shared" si="12"/>
        <v>28.249113206512671</v>
      </c>
      <c r="W20">
        <f t="shared" si="13"/>
        <v>27.798500000000001</v>
      </c>
      <c r="X20">
        <f t="shared" si="14"/>
        <v>3.7504903822913973</v>
      </c>
      <c r="Y20">
        <f t="shared" si="15"/>
        <v>65.741271239199335</v>
      </c>
      <c r="Z20">
        <f t="shared" si="16"/>
        <v>2.4941650772222101</v>
      </c>
      <c r="AA20">
        <f t="shared" si="17"/>
        <v>3.7939106290585736</v>
      </c>
      <c r="AB20">
        <f t="shared" si="18"/>
        <v>1.2563253050691872</v>
      </c>
      <c r="AC20">
        <f t="shared" si="19"/>
        <v>-301.55629262695578</v>
      </c>
      <c r="AD20">
        <f t="shared" si="20"/>
        <v>30.988271989004769</v>
      </c>
      <c r="AE20">
        <f t="shared" si="21"/>
        <v>2.3162103924952886</v>
      </c>
      <c r="AF20">
        <f t="shared" si="22"/>
        <v>76.066988359736968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52215.372517457065</v>
      </c>
      <c r="AL20" t="s">
        <v>422</v>
      </c>
      <c r="AM20">
        <v>10424.1</v>
      </c>
      <c r="AN20">
        <v>628.54280000000006</v>
      </c>
      <c r="AO20">
        <v>2663.98</v>
      </c>
      <c r="AP20">
        <f t="shared" si="26"/>
        <v>0.76405873917972356</v>
      </c>
      <c r="AQ20">
        <v>-3.1675626227050531</v>
      </c>
      <c r="AR20" t="s">
        <v>444</v>
      </c>
      <c r="AS20">
        <v>10175.5</v>
      </c>
      <c r="AT20">
        <v>758.79269230769228</v>
      </c>
      <c r="AU20">
        <v>939.10689342087335</v>
      </c>
      <c r="AV20">
        <f t="shared" si="27"/>
        <v>0.19200604571898383</v>
      </c>
      <c r="AW20">
        <v>0.5</v>
      </c>
      <c r="AX20">
        <f t="shared" si="28"/>
        <v>1512.9656993025962</v>
      </c>
      <c r="AY20">
        <f t="shared" si="29"/>
        <v>20.916625884971655</v>
      </c>
      <c r="AZ20">
        <f t="shared" si="30"/>
        <v>145.24928061577432</v>
      </c>
      <c r="BA20">
        <f t="shared" si="31"/>
        <v>1.5918529097373686E-2</v>
      </c>
      <c r="BB20">
        <f t="shared" si="32"/>
        <v>1.8367164788834125</v>
      </c>
      <c r="BC20">
        <f t="shared" si="33"/>
        <v>438.5109302914434</v>
      </c>
      <c r="BD20" t="s">
        <v>445</v>
      </c>
      <c r="BE20">
        <v>527.66</v>
      </c>
      <c r="BF20">
        <f t="shared" si="34"/>
        <v>527.66</v>
      </c>
      <c r="BG20">
        <f t="shared" si="35"/>
        <v>0.43812573020532386</v>
      </c>
      <c r="BH20">
        <f t="shared" si="36"/>
        <v>0.43824416710016512</v>
      </c>
      <c r="BI20">
        <f t="shared" si="37"/>
        <v>0.80740390324442335</v>
      </c>
      <c r="BJ20">
        <f t="shared" si="38"/>
        <v>0.58060221684681723</v>
      </c>
      <c r="BK20">
        <f t="shared" si="39"/>
        <v>0.84742143190619035</v>
      </c>
      <c r="BL20">
        <f t="shared" si="40"/>
        <v>0.30475243048110845</v>
      </c>
      <c r="BM20">
        <f t="shared" si="41"/>
        <v>0.69524756951889155</v>
      </c>
      <c r="BN20">
        <v>20395</v>
      </c>
      <c r="BO20">
        <v>290.00000000000011</v>
      </c>
      <c r="BP20">
        <v>895.76</v>
      </c>
      <c r="BQ20">
        <v>255</v>
      </c>
      <c r="BR20">
        <v>10175.5</v>
      </c>
      <c r="BS20">
        <v>895.14</v>
      </c>
      <c r="BT20">
        <v>0.62</v>
      </c>
      <c r="BU20">
        <v>300.00000000000011</v>
      </c>
      <c r="BV20">
        <v>24.2</v>
      </c>
      <c r="BW20">
        <v>939.10689342087335</v>
      </c>
      <c r="BX20">
        <v>1.661344814246956</v>
      </c>
      <c r="BY20">
        <v>-44.742826088795297</v>
      </c>
      <c r="BZ20">
        <v>1.5051734313330489</v>
      </c>
      <c r="CA20">
        <v>0.96928600993842584</v>
      </c>
      <c r="CB20">
        <v>-6.9340816462736413E-3</v>
      </c>
      <c r="CC20">
        <v>289.99999999999989</v>
      </c>
      <c r="CD20">
        <v>894.75</v>
      </c>
      <c r="CE20">
        <v>675</v>
      </c>
      <c r="CF20">
        <v>10148.9</v>
      </c>
      <c r="CG20">
        <v>895.02</v>
      </c>
      <c r="CH20">
        <v>-0.27</v>
      </c>
      <c r="CV20">
        <f t="shared" si="42"/>
        <v>1799.74</v>
      </c>
      <c r="CW20">
        <f t="shared" si="43"/>
        <v>1512.9656993025962</v>
      </c>
      <c r="CX20">
        <f t="shared" si="44"/>
        <v>0.84065792797992833</v>
      </c>
      <c r="CY20">
        <f t="shared" si="45"/>
        <v>0.19131585595985681</v>
      </c>
      <c r="CZ20">
        <v>6</v>
      </c>
      <c r="DA20">
        <v>0.5</v>
      </c>
      <c r="DB20" t="s">
        <v>425</v>
      </c>
      <c r="DC20">
        <v>2</v>
      </c>
      <c r="DD20">
        <v>1674758476.5</v>
      </c>
      <c r="DE20">
        <v>94.168700000000001</v>
      </c>
      <c r="DF20">
        <v>120.038</v>
      </c>
      <c r="DG20">
        <v>25.150300000000001</v>
      </c>
      <c r="DH20">
        <v>17.152100000000001</v>
      </c>
      <c r="DI20">
        <v>96.360799999999998</v>
      </c>
      <c r="DJ20">
        <v>24.769400000000001</v>
      </c>
      <c r="DK20">
        <v>500.065</v>
      </c>
      <c r="DL20">
        <v>99.070499999999996</v>
      </c>
      <c r="DM20">
        <v>9.9890699999999999E-2</v>
      </c>
      <c r="DN20">
        <v>27.995799999999999</v>
      </c>
      <c r="DO20">
        <v>27.798500000000001</v>
      </c>
      <c r="DP20">
        <v>999.9</v>
      </c>
      <c r="DQ20">
        <v>0</v>
      </c>
      <c r="DR20">
        <v>0</v>
      </c>
      <c r="DS20">
        <v>10000.6</v>
      </c>
      <c r="DT20">
        <v>0</v>
      </c>
      <c r="DU20">
        <v>440.358</v>
      </c>
      <c r="DV20">
        <v>-25.8691</v>
      </c>
      <c r="DW20">
        <v>96.598200000000006</v>
      </c>
      <c r="DX20">
        <v>122.133</v>
      </c>
      <c r="DY20">
        <v>7.9982499999999996</v>
      </c>
      <c r="DZ20">
        <v>120.038</v>
      </c>
      <c r="EA20">
        <v>17.152100000000001</v>
      </c>
      <c r="EB20">
        <v>2.49166</v>
      </c>
      <c r="EC20">
        <v>1.6992700000000001</v>
      </c>
      <c r="ED20">
        <v>20.972100000000001</v>
      </c>
      <c r="EE20">
        <v>14.889699999999999</v>
      </c>
      <c r="EF20">
        <v>1799.74</v>
      </c>
      <c r="EG20">
        <v>0.97800699999999996</v>
      </c>
      <c r="EH20">
        <v>2.1992999999999999E-2</v>
      </c>
      <c r="EI20">
        <v>0</v>
      </c>
      <c r="EJ20">
        <v>758.64499999999998</v>
      </c>
      <c r="EK20">
        <v>5.0010599999999998</v>
      </c>
      <c r="EL20">
        <v>14215.6</v>
      </c>
      <c r="EM20">
        <v>16708.599999999999</v>
      </c>
      <c r="EN20">
        <v>50.436999999999998</v>
      </c>
      <c r="EO20">
        <v>51.125</v>
      </c>
      <c r="EP20">
        <v>51.375</v>
      </c>
      <c r="EQ20">
        <v>50.061999999999998</v>
      </c>
      <c r="ER20">
        <v>51.125</v>
      </c>
      <c r="ES20">
        <v>1755.27</v>
      </c>
      <c r="ET20">
        <v>39.47</v>
      </c>
      <c r="EU20">
        <v>0</v>
      </c>
      <c r="EV20">
        <v>116</v>
      </c>
      <c r="EW20">
        <v>0</v>
      </c>
      <c r="EX20">
        <v>758.79269230769228</v>
      </c>
      <c r="EY20">
        <v>-3.7305299200040278</v>
      </c>
      <c r="EZ20">
        <v>-68.461538464042462</v>
      </c>
      <c r="FA20">
        <v>14226.18076923077</v>
      </c>
      <c r="FB20">
        <v>15</v>
      </c>
      <c r="FC20">
        <v>1674758443</v>
      </c>
      <c r="FD20" t="s">
        <v>446</v>
      </c>
      <c r="FE20">
        <v>1674758429</v>
      </c>
      <c r="FF20">
        <v>1674758443</v>
      </c>
      <c r="FG20">
        <v>9</v>
      </c>
      <c r="FH20">
        <v>0.11</v>
      </c>
      <c r="FI20">
        <v>4.0000000000000001E-3</v>
      </c>
      <c r="FJ20">
        <v>-2.2490000000000001</v>
      </c>
      <c r="FK20">
        <v>4.1000000000000002E-2</v>
      </c>
      <c r="FL20">
        <v>120</v>
      </c>
      <c r="FM20">
        <v>18</v>
      </c>
      <c r="FN20">
        <v>0.04</v>
      </c>
      <c r="FO20">
        <v>0.01</v>
      </c>
      <c r="FP20">
        <v>20.904295029462219</v>
      </c>
      <c r="FQ20">
        <v>-0.69192958261847215</v>
      </c>
      <c r="FR20">
        <v>0.112693035537096</v>
      </c>
      <c r="FS20">
        <v>1</v>
      </c>
      <c r="FT20">
        <v>0.57883242623024789</v>
      </c>
      <c r="FU20">
        <v>-8.639861697617433E-3</v>
      </c>
      <c r="FV20">
        <v>1.790583692824298E-3</v>
      </c>
      <c r="FW20">
        <v>1</v>
      </c>
      <c r="FX20">
        <v>2</v>
      </c>
      <c r="FY20">
        <v>2</v>
      </c>
      <c r="FZ20" t="s">
        <v>427</v>
      </c>
      <c r="GA20">
        <v>2.9770400000000001</v>
      </c>
      <c r="GB20">
        <v>2.8062200000000002</v>
      </c>
      <c r="GC20">
        <v>2.73709E-2</v>
      </c>
      <c r="GD20">
        <v>3.33976E-2</v>
      </c>
      <c r="GE20">
        <v>0.121781</v>
      </c>
      <c r="GF20">
        <v>9.3161400000000005E-2</v>
      </c>
      <c r="GG20">
        <v>28701.8</v>
      </c>
      <c r="GH20">
        <v>26429.9</v>
      </c>
      <c r="GI20">
        <v>26530.6</v>
      </c>
      <c r="GJ20">
        <v>25827.3</v>
      </c>
      <c r="GK20">
        <v>31695.4</v>
      </c>
      <c r="GL20">
        <v>33054.9</v>
      </c>
      <c r="GM20">
        <v>37574.699999999997</v>
      </c>
      <c r="GN20">
        <v>38316.800000000003</v>
      </c>
      <c r="GO20">
        <v>1.96445</v>
      </c>
      <c r="GP20">
        <v>1.8970499999999999</v>
      </c>
      <c r="GQ20">
        <v>4.2989899999999998E-2</v>
      </c>
      <c r="GR20">
        <v>0</v>
      </c>
      <c r="GS20">
        <v>27.0959</v>
      </c>
      <c r="GT20">
        <v>999.9</v>
      </c>
      <c r="GU20">
        <v>41.2</v>
      </c>
      <c r="GV20">
        <v>34.799999999999997</v>
      </c>
      <c r="GW20">
        <v>23.230399999999999</v>
      </c>
      <c r="GX20">
        <v>62.058100000000003</v>
      </c>
      <c r="GY20">
        <v>12.211499999999999</v>
      </c>
      <c r="GZ20">
        <v>1</v>
      </c>
      <c r="HA20">
        <v>0.482734</v>
      </c>
      <c r="HB20">
        <v>2.8542299999999998</v>
      </c>
      <c r="HC20">
        <v>20.231000000000002</v>
      </c>
      <c r="HD20">
        <v>5.2051600000000002</v>
      </c>
      <c r="HE20">
        <v>11.9381</v>
      </c>
      <c r="HF20">
        <v>4.9861500000000003</v>
      </c>
      <c r="HG20">
        <v>3.2899500000000002</v>
      </c>
      <c r="HH20">
        <v>9999</v>
      </c>
      <c r="HI20">
        <v>9999</v>
      </c>
      <c r="HJ20">
        <v>9999</v>
      </c>
      <c r="HK20">
        <v>999.9</v>
      </c>
      <c r="HL20">
        <v>1.8702700000000001</v>
      </c>
      <c r="HM20">
        <v>1.87653</v>
      </c>
      <c r="HN20">
        <v>1.8743300000000001</v>
      </c>
      <c r="HO20">
        <v>1.8725799999999999</v>
      </c>
      <c r="HP20">
        <v>1.8730199999999999</v>
      </c>
      <c r="HQ20">
        <v>1.87042</v>
      </c>
      <c r="HR20">
        <v>1.8763399999999999</v>
      </c>
      <c r="HS20">
        <v>1.87541</v>
      </c>
      <c r="HT20">
        <v>5</v>
      </c>
      <c r="HU20">
        <v>0</v>
      </c>
      <c r="HV20">
        <v>0</v>
      </c>
      <c r="HW20">
        <v>0</v>
      </c>
      <c r="HX20" t="s">
        <v>428</v>
      </c>
      <c r="HY20" t="s">
        <v>429</v>
      </c>
      <c r="HZ20" t="s">
        <v>430</v>
      </c>
      <c r="IA20" t="s">
        <v>431</v>
      </c>
      <c r="IB20" t="s">
        <v>431</v>
      </c>
      <c r="IC20" t="s">
        <v>430</v>
      </c>
      <c r="ID20">
        <v>0</v>
      </c>
      <c r="IE20">
        <v>100</v>
      </c>
      <c r="IF20">
        <v>100</v>
      </c>
      <c r="IG20">
        <v>-2.1920000000000002</v>
      </c>
      <c r="IH20">
        <v>0.38090000000000002</v>
      </c>
      <c r="II20">
        <v>-1.9619038250558021</v>
      </c>
      <c r="IJ20">
        <v>-2.536945948238235E-3</v>
      </c>
      <c r="IK20">
        <v>1.581473279927893E-6</v>
      </c>
      <c r="IL20">
        <v>-4.6698293441882044E-10</v>
      </c>
      <c r="IM20">
        <v>-0.14488020770565169</v>
      </c>
      <c r="IN20">
        <v>-1.5895243091576399E-2</v>
      </c>
      <c r="IO20">
        <v>1.559614309849521E-3</v>
      </c>
      <c r="IP20">
        <v>-2.4566050869858518E-6</v>
      </c>
      <c r="IQ20">
        <v>2</v>
      </c>
      <c r="IR20">
        <v>2224</v>
      </c>
      <c r="IS20">
        <v>2</v>
      </c>
      <c r="IT20">
        <v>25</v>
      </c>
      <c r="IU20">
        <v>0.8</v>
      </c>
      <c r="IV20">
        <v>0.6</v>
      </c>
      <c r="IW20">
        <v>0.38818399999999997</v>
      </c>
      <c r="IX20">
        <v>2.51831</v>
      </c>
      <c r="IY20">
        <v>1.65039</v>
      </c>
      <c r="IZ20">
        <v>2.2949199999999998</v>
      </c>
      <c r="JA20">
        <v>1.50024</v>
      </c>
      <c r="JB20">
        <v>2.31812</v>
      </c>
      <c r="JC20">
        <v>39.0931</v>
      </c>
      <c r="JD20">
        <v>23.833600000000001</v>
      </c>
      <c r="JE20">
        <v>18</v>
      </c>
      <c r="JF20">
        <v>507.36500000000001</v>
      </c>
      <c r="JG20">
        <v>456.34100000000001</v>
      </c>
      <c r="JH20">
        <v>24.330500000000001</v>
      </c>
      <c r="JI20">
        <v>33.246000000000002</v>
      </c>
      <c r="JJ20">
        <v>29.999700000000001</v>
      </c>
      <c r="JK20">
        <v>33.274099999999997</v>
      </c>
      <c r="JL20">
        <v>33.247199999999999</v>
      </c>
      <c r="JM20">
        <v>7.81304</v>
      </c>
      <c r="JN20">
        <v>36.917700000000004</v>
      </c>
      <c r="JO20">
        <v>54.707299999999996</v>
      </c>
      <c r="JP20">
        <v>24.378699999999998</v>
      </c>
      <c r="JQ20">
        <v>120</v>
      </c>
      <c r="JR20">
        <v>17.106100000000001</v>
      </c>
      <c r="JS20">
        <v>99.733599999999996</v>
      </c>
      <c r="JT20">
        <v>98.858400000000003</v>
      </c>
    </row>
    <row r="21" spans="1:280" x14ac:dyDescent="0.25">
      <c r="A21">
        <v>5</v>
      </c>
      <c r="B21">
        <v>1674758595.5999999</v>
      </c>
      <c r="C21">
        <v>465.59999990463263</v>
      </c>
      <c r="D21" t="s">
        <v>447</v>
      </c>
      <c r="E21" t="s">
        <v>448</v>
      </c>
      <c r="F21" t="s">
        <v>419</v>
      </c>
      <c r="G21" t="s">
        <v>420</v>
      </c>
      <c r="H21" t="s">
        <v>421</v>
      </c>
      <c r="I21">
        <v>1674758595.5999999</v>
      </c>
      <c r="J21">
        <f t="shared" si="0"/>
        <v>7.1366080725106347E-3</v>
      </c>
      <c r="K21">
        <f t="shared" si="1"/>
        <v>7.1366080725106347</v>
      </c>
      <c r="L21">
        <f t="shared" si="2"/>
        <v>12.85040564223555</v>
      </c>
      <c r="M21">
        <f t="shared" si="3"/>
        <v>54.195999999999998</v>
      </c>
      <c r="N21">
        <f t="shared" si="4"/>
        <v>16.485599730294449</v>
      </c>
      <c r="O21">
        <f t="shared" si="5"/>
        <v>1.6346777132661596</v>
      </c>
      <c r="P21">
        <f t="shared" si="6"/>
        <v>5.373962415536</v>
      </c>
      <c r="Q21">
        <f t="shared" si="7"/>
        <v>0.61105350668717873</v>
      </c>
      <c r="R21">
        <f t="shared" si="8"/>
        <v>2.9095750792113142</v>
      </c>
      <c r="S21">
        <f t="shared" si="9"/>
        <v>0.54769663909968347</v>
      </c>
      <c r="T21">
        <f t="shared" si="10"/>
        <v>0.34745372592526053</v>
      </c>
      <c r="U21">
        <f t="shared" si="11"/>
        <v>344.38521177053531</v>
      </c>
      <c r="V21">
        <f t="shared" si="12"/>
        <v>28.169111752312617</v>
      </c>
      <c r="W21">
        <f t="shared" si="13"/>
        <v>27.756699999999999</v>
      </c>
      <c r="X21">
        <f t="shared" si="14"/>
        <v>3.7413472311998155</v>
      </c>
      <c r="Y21">
        <f t="shared" si="15"/>
        <v>65.638667261535289</v>
      </c>
      <c r="Z21">
        <f t="shared" si="16"/>
        <v>2.4898949339263998</v>
      </c>
      <c r="AA21">
        <f t="shared" si="17"/>
        <v>3.793335602024777</v>
      </c>
      <c r="AB21">
        <f t="shared" si="18"/>
        <v>1.2514522972734157</v>
      </c>
      <c r="AC21">
        <f t="shared" si="19"/>
        <v>-314.72441599771901</v>
      </c>
      <c r="AD21">
        <f t="shared" si="20"/>
        <v>37.097629260059627</v>
      </c>
      <c r="AE21">
        <f t="shared" si="21"/>
        <v>2.7757858443402239</v>
      </c>
      <c r="AF21">
        <f t="shared" si="22"/>
        <v>69.534210877216168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52109.005401335009</v>
      </c>
      <c r="AL21" t="s">
        <v>422</v>
      </c>
      <c r="AM21">
        <v>10424.1</v>
      </c>
      <c r="AN21">
        <v>628.54280000000006</v>
      </c>
      <c r="AO21">
        <v>2663.98</v>
      </c>
      <c r="AP21">
        <f t="shared" si="26"/>
        <v>0.76405873917972356</v>
      </c>
      <c r="AQ21">
        <v>-3.1675626227050531</v>
      </c>
      <c r="AR21" t="s">
        <v>449</v>
      </c>
      <c r="AS21">
        <v>10185.9</v>
      </c>
      <c r="AT21">
        <v>775.5394</v>
      </c>
      <c r="AU21">
        <v>895.77837465434402</v>
      </c>
      <c r="AV21">
        <f t="shared" si="27"/>
        <v>0.13422848559024536</v>
      </c>
      <c r="AW21">
        <v>0.5</v>
      </c>
      <c r="AX21">
        <f t="shared" si="28"/>
        <v>1513.2522058852674</v>
      </c>
      <c r="AY21">
        <f t="shared" si="29"/>
        <v>12.85040564223555</v>
      </c>
      <c r="AZ21">
        <f t="shared" si="30"/>
        <v>101.56077595603881</v>
      </c>
      <c r="BA21">
        <f t="shared" si="31"/>
        <v>1.0585127979753998E-2</v>
      </c>
      <c r="BB21">
        <f t="shared" si="32"/>
        <v>1.9739275644245775</v>
      </c>
      <c r="BC21">
        <f t="shared" si="33"/>
        <v>428.82549244998205</v>
      </c>
      <c r="BD21" t="s">
        <v>450</v>
      </c>
      <c r="BE21">
        <v>527.67999999999995</v>
      </c>
      <c r="BF21">
        <f t="shared" si="34"/>
        <v>527.67999999999995</v>
      </c>
      <c r="BG21">
        <f t="shared" si="35"/>
        <v>0.41092572121578952</v>
      </c>
      <c r="BH21">
        <f t="shared" si="36"/>
        <v>0.32664902355858594</v>
      </c>
      <c r="BI21">
        <f t="shared" si="37"/>
        <v>0.82769350060649527</v>
      </c>
      <c r="BJ21">
        <f t="shared" si="38"/>
        <v>0.44993625871056725</v>
      </c>
      <c r="BK21">
        <f t="shared" si="39"/>
        <v>0.86870851399672566</v>
      </c>
      <c r="BL21">
        <f t="shared" si="40"/>
        <v>0.22225325592922116</v>
      </c>
      <c r="BM21">
        <f t="shared" si="41"/>
        <v>0.77774674407077882</v>
      </c>
      <c r="BN21">
        <v>20397</v>
      </c>
      <c r="BO21">
        <v>290.00000000000011</v>
      </c>
      <c r="BP21">
        <v>862.38</v>
      </c>
      <c r="BQ21">
        <v>195</v>
      </c>
      <c r="BR21">
        <v>10185.9</v>
      </c>
      <c r="BS21">
        <v>862.15</v>
      </c>
      <c r="BT21">
        <v>0.23</v>
      </c>
      <c r="BU21">
        <v>300.00000000000011</v>
      </c>
      <c r="BV21">
        <v>24.2</v>
      </c>
      <c r="BW21">
        <v>895.77837465434402</v>
      </c>
      <c r="BX21">
        <v>1.8791568147075279</v>
      </c>
      <c r="BY21">
        <v>-34.256618066609043</v>
      </c>
      <c r="BZ21">
        <v>1.7024198883670281</v>
      </c>
      <c r="CA21">
        <v>0.93532102547220863</v>
      </c>
      <c r="CB21">
        <v>-6.9337223581757527E-3</v>
      </c>
      <c r="CC21">
        <v>289.99999999999989</v>
      </c>
      <c r="CD21">
        <v>859.55</v>
      </c>
      <c r="CE21">
        <v>705</v>
      </c>
      <c r="CF21">
        <v>10146</v>
      </c>
      <c r="CG21">
        <v>862.01</v>
      </c>
      <c r="CH21">
        <v>-2.46</v>
      </c>
      <c r="CV21">
        <f t="shared" si="42"/>
        <v>1800.08</v>
      </c>
      <c r="CW21">
        <f t="shared" si="43"/>
        <v>1513.2522058852674</v>
      </c>
      <c r="CX21">
        <f t="shared" si="44"/>
        <v>0.84065830734482216</v>
      </c>
      <c r="CY21">
        <f t="shared" si="45"/>
        <v>0.19131661468964453</v>
      </c>
      <c r="CZ21">
        <v>6</v>
      </c>
      <c r="DA21">
        <v>0.5</v>
      </c>
      <c r="DB21" t="s">
        <v>425</v>
      </c>
      <c r="DC21">
        <v>2</v>
      </c>
      <c r="DD21">
        <v>1674758595.5999999</v>
      </c>
      <c r="DE21">
        <v>54.195999999999998</v>
      </c>
      <c r="DF21">
        <v>70.077600000000004</v>
      </c>
      <c r="DG21">
        <v>25.110399999999998</v>
      </c>
      <c r="DH21">
        <v>16.763100000000001</v>
      </c>
      <c r="DI21">
        <v>56.359400000000001</v>
      </c>
      <c r="DJ21">
        <v>24.725899999999999</v>
      </c>
      <c r="DK21">
        <v>500.09500000000003</v>
      </c>
      <c r="DL21">
        <v>99.057699999999997</v>
      </c>
      <c r="DM21">
        <v>0.100216</v>
      </c>
      <c r="DN21">
        <v>27.993200000000002</v>
      </c>
      <c r="DO21">
        <v>27.756699999999999</v>
      </c>
      <c r="DP21">
        <v>999.9</v>
      </c>
      <c r="DQ21">
        <v>0</v>
      </c>
      <c r="DR21">
        <v>0</v>
      </c>
      <c r="DS21">
        <v>9980.6200000000008</v>
      </c>
      <c r="DT21">
        <v>0</v>
      </c>
      <c r="DU21">
        <v>436.68400000000003</v>
      </c>
      <c r="DV21">
        <v>-15.881600000000001</v>
      </c>
      <c r="DW21">
        <v>55.591900000000003</v>
      </c>
      <c r="DX21">
        <v>71.272400000000005</v>
      </c>
      <c r="DY21">
        <v>8.3473199999999999</v>
      </c>
      <c r="DZ21">
        <v>70.077600000000004</v>
      </c>
      <c r="EA21">
        <v>16.763100000000001</v>
      </c>
      <c r="EB21">
        <v>2.4873799999999999</v>
      </c>
      <c r="EC21">
        <v>1.66052</v>
      </c>
      <c r="ED21">
        <v>20.944199999999999</v>
      </c>
      <c r="EE21">
        <v>14.5322</v>
      </c>
      <c r="EF21">
        <v>1800.08</v>
      </c>
      <c r="EG21">
        <v>0.977993</v>
      </c>
      <c r="EH21">
        <v>2.2007200000000001E-2</v>
      </c>
      <c r="EI21">
        <v>0</v>
      </c>
      <c r="EJ21">
        <v>775.45100000000002</v>
      </c>
      <c r="EK21">
        <v>5.0010599999999998</v>
      </c>
      <c r="EL21">
        <v>14524.3</v>
      </c>
      <c r="EM21">
        <v>16711.8</v>
      </c>
      <c r="EN21">
        <v>50.5</v>
      </c>
      <c r="EO21">
        <v>51.186999999999998</v>
      </c>
      <c r="EP21">
        <v>51.436999999999998</v>
      </c>
      <c r="EQ21">
        <v>50.186999999999998</v>
      </c>
      <c r="ER21">
        <v>51.186999999999998</v>
      </c>
      <c r="ES21">
        <v>1755.57</v>
      </c>
      <c r="ET21">
        <v>39.5</v>
      </c>
      <c r="EU21">
        <v>0</v>
      </c>
      <c r="EV21">
        <v>117.19999980926509</v>
      </c>
      <c r="EW21">
        <v>0</v>
      </c>
      <c r="EX21">
        <v>775.5394</v>
      </c>
      <c r="EY21">
        <v>-2.1860000088740641</v>
      </c>
      <c r="EZ21">
        <v>-54.192307792547929</v>
      </c>
      <c r="FA21">
        <v>14530.364</v>
      </c>
      <c r="FB21">
        <v>15</v>
      </c>
      <c r="FC21">
        <v>1674758560.0999999</v>
      </c>
      <c r="FD21" t="s">
        <v>451</v>
      </c>
      <c r="FE21">
        <v>1674758545.0999999</v>
      </c>
      <c r="FF21">
        <v>1674758560.0999999</v>
      </c>
      <c r="FG21">
        <v>10</v>
      </c>
      <c r="FH21">
        <v>-6.4000000000000001E-2</v>
      </c>
      <c r="FI21">
        <v>6.0000000000000001E-3</v>
      </c>
      <c r="FJ21">
        <v>-2.2000000000000002</v>
      </c>
      <c r="FK21">
        <v>2.1999999999999999E-2</v>
      </c>
      <c r="FL21">
        <v>70</v>
      </c>
      <c r="FM21">
        <v>17</v>
      </c>
      <c r="FN21">
        <v>0.05</v>
      </c>
      <c r="FO21">
        <v>0.01</v>
      </c>
      <c r="FP21">
        <v>12.814056177921181</v>
      </c>
      <c r="FQ21">
        <v>-0.3269045349784499</v>
      </c>
      <c r="FR21">
        <v>5.8041538594324378E-2</v>
      </c>
      <c r="FS21">
        <v>1</v>
      </c>
      <c r="FT21">
        <v>0.61215440866519177</v>
      </c>
      <c r="FU21">
        <v>5.6649281930901728E-3</v>
      </c>
      <c r="FV21">
        <v>2.308104816704494E-3</v>
      </c>
      <c r="FW21">
        <v>1</v>
      </c>
      <c r="FX21">
        <v>2</v>
      </c>
      <c r="FY21">
        <v>2</v>
      </c>
      <c r="FZ21" t="s">
        <v>427</v>
      </c>
      <c r="GA21">
        <v>2.9771399999999999</v>
      </c>
      <c r="GB21">
        <v>2.8063699999999998</v>
      </c>
      <c r="GC21">
        <v>1.6157399999999999E-2</v>
      </c>
      <c r="GD21">
        <v>1.9784300000000001E-2</v>
      </c>
      <c r="GE21">
        <v>0.12162100000000001</v>
      </c>
      <c r="GF21">
        <v>9.1650300000000004E-2</v>
      </c>
      <c r="GG21">
        <v>29033.599999999999</v>
      </c>
      <c r="GH21">
        <v>26803.1</v>
      </c>
      <c r="GI21">
        <v>26531.7</v>
      </c>
      <c r="GJ21">
        <v>25828.3</v>
      </c>
      <c r="GK21">
        <v>31702.400000000001</v>
      </c>
      <c r="GL21">
        <v>33111.4</v>
      </c>
      <c r="GM21">
        <v>37576.400000000001</v>
      </c>
      <c r="GN21">
        <v>38318.699999999997</v>
      </c>
      <c r="GO21">
        <v>1.9648699999999999</v>
      </c>
      <c r="GP21">
        <v>1.89605</v>
      </c>
      <c r="GQ21">
        <v>4.3384699999999998E-2</v>
      </c>
      <c r="GR21">
        <v>0</v>
      </c>
      <c r="GS21">
        <v>27.047599999999999</v>
      </c>
      <c r="GT21">
        <v>999.9</v>
      </c>
      <c r="GU21">
        <v>40.700000000000003</v>
      </c>
      <c r="GV21">
        <v>34.799999999999997</v>
      </c>
      <c r="GW21">
        <v>22.9526</v>
      </c>
      <c r="GX21">
        <v>62.068199999999997</v>
      </c>
      <c r="GY21">
        <v>12.011200000000001</v>
      </c>
      <c r="GZ21">
        <v>1</v>
      </c>
      <c r="HA21">
        <v>0.48047299999999998</v>
      </c>
      <c r="HB21">
        <v>2.8941400000000002</v>
      </c>
      <c r="HC21">
        <v>20.230399999999999</v>
      </c>
      <c r="HD21">
        <v>5.2057599999999997</v>
      </c>
      <c r="HE21">
        <v>11.9381</v>
      </c>
      <c r="HF21">
        <v>4.9862500000000001</v>
      </c>
      <c r="HG21">
        <v>3.2902800000000001</v>
      </c>
      <c r="HH21">
        <v>9999</v>
      </c>
      <c r="HI21">
        <v>9999</v>
      </c>
      <c r="HJ21">
        <v>9999</v>
      </c>
      <c r="HK21">
        <v>999.9</v>
      </c>
      <c r="HL21">
        <v>1.8702700000000001</v>
      </c>
      <c r="HM21">
        <v>1.8765700000000001</v>
      </c>
      <c r="HN21">
        <v>1.8743799999999999</v>
      </c>
      <c r="HO21">
        <v>1.8725799999999999</v>
      </c>
      <c r="HP21">
        <v>1.87303</v>
      </c>
      <c r="HQ21">
        <v>1.87042</v>
      </c>
      <c r="HR21">
        <v>1.8763300000000001</v>
      </c>
      <c r="HS21">
        <v>1.8754500000000001</v>
      </c>
      <c r="HT21">
        <v>5</v>
      </c>
      <c r="HU21">
        <v>0</v>
      </c>
      <c r="HV21">
        <v>0</v>
      </c>
      <c r="HW21">
        <v>0</v>
      </c>
      <c r="HX21" t="s">
        <v>428</v>
      </c>
      <c r="HY21" t="s">
        <v>429</v>
      </c>
      <c r="HZ21" t="s">
        <v>430</v>
      </c>
      <c r="IA21" t="s">
        <v>431</v>
      </c>
      <c r="IB21" t="s">
        <v>431</v>
      </c>
      <c r="IC21" t="s">
        <v>430</v>
      </c>
      <c r="ID21">
        <v>0</v>
      </c>
      <c r="IE21">
        <v>100</v>
      </c>
      <c r="IF21">
        <v>100</v>
      </c>
      <c r="IG21">
        <v>-2.1629999999999998</v>
      </c>
      <c r="IH21">
        <v>0.38450000000000001</v>
      </c>
      <c r="II21">
        <v>-2.0254013519078788</v>
      </c>
      <c r="IJ21">
        <v>-2.536945948238235E-3</v>
      </c>
      <c r="IK21">
        <v>1.581473279927893E-6</v>
      </c>
      <c r="IL21">
        <v>-4.6698293441882044E-10</v>
      </c>
      <c r="IM21">
        <v>-0.13875686661203729</v>
      </c>
      <c r="IN21">
        <v>-1.5895243091576399E-2</v>
      </c>
      <c r="IO21">
        <v>1.559614309849521E-3</v>
      </c>
      <c r="IP21">
        <v>-2.4566050869858518E-6</v>
      </c>
      <c r="IQ21">
        <v>2</v>
      </c>
      <c r="IR21">
        <v>2224</v>
      </c>
      <c r="IS21">
        <v>2</v>
      </c>
      <c r="IT21">
        <v>25</v>
      </c>
      <c r="IU21">
        <v>0.8</v>
      </c>
      <c r="IV21">
        <v>0.6</v>
      </c>
      <c r="IW21">
        <v>0.28686499999999998</v>
      </c>
      <c r="IX21">
        <v>2.5305200000000001</v>
      </c>
      <c r="IY21">
        <v>1.65039</v>
      </c>
      <c r="IZ21">
        <v>2.2961399999999998</v>
      </c>
      <c r="JA21">
        <v>1.50024</v>
      </c>
      <c r="JB21">
        <v>2.4206500000000002</v>
      </c>
      <c r="JC21">
        <v>39.118000000000002</v>
      </c>
      <c r="JD21">
        <v>23.842300000000002</v>
      </c>
      <c r="JE21">
        <v>18</v>
      </c>
      <c r="JF21">
        <v>507.50099999999998</v>
      </c>
      <c r="JG21">
        <v>455.56900000000002</v>
      </c>
      <c r="JH21">
        <v>24.453700000000001</v>
      </c>
      <c r="JI21">
        <v>33.228299999999997</v>
      </c>
      <c r="JJ21">
        <v>29.9999</v>
      </c>
      <c r="JK21">
        <v>33.256100000000004</v>
      </c>
      <c r="JL21">
        <v>33.231200000000001</v>
      </c>
      <c r="JM21">
        <v>5.7819399999999996</v>
      </c>
      <c r="JN21">
        <v>38.075600000000001</v>
      </c>
      <c r="JO21">
        <v>53.371200000000002</v>
      </c>
      <c r="JP21">
        <v>24.456399999999999</v>
      </c>
      <c r="JQ21">
        <v>70</v>
      </c>
      <c r="JR21">
        <v>16.6538</v>
      </c>
      <c r="JS21">
        <v>99.737799999999993</v>
      </c>
      <c r="JT21">
        <v>98.862899999999996</v>
      </c>
    </row>
    <row r="22" spans="1:280" x14ac:dyDescent="0.25">
      <c r="A22">
        <v>6</v>
      </c>
      <c r="B22">
        <v>1674758710.0999999</v>
      </c>
      <c r="C22">
        <v>580.09999990463257</v>
      </c>
      <c r="D22" t="s">
        <v>452</v>
      </c>
      <c r="E22" t="s">
        <v>453</v>
      </c>
      <c r="F22" t="s">
        <v>419</v>
      </c>
      <c r="G22" t="s">
        <v>420</v>
      </c>
      <c r="H22" t="s">
        <v>421</v>
      </c>
      <c r="I22">
        <v>1674758710.0999999</v>
      </c>
      <c r="J22">
        <f t="shared" si="0"/>
        <v>7.433485248537511E-3</v>
      </c>
      <c r="K22">
        <f t="shared" si="1"/>
        <v>7.4334852485375107</v>
      </c>
      <c r="L22">
        <f t="shared" si="2"/>
        <v>5.8992432564251471</v>
      </c>
      <c r="M22">
        <f t="shared" si="3"/>
        <v>22.759899999999998</v>
      </c>
      <c r="N22">
        <f t="shared" si="4"/>
        <v>6.1372038034716869</v>
      </c>
      <c r="O22">
        <f t="shared" si="5"/>
        <v>0.60855953693214682</v>
      </c>
      <c r="P22">
        <f t="shared" si="6"/>
        <v>2.2568509451791203</v>
      </c>
      <c r="Q22">
        <f t="shared" si="7"/>
        <v>0.63787350468716697</v>
      </c>
      <c r="R22">
        <f t="shared" si="8"/>
        <v>2.9155084165787404</v>
      </c>
      <c r="S22">
        <f t="shared" si="9"/>
        <v>0.56929060293362821</v>
      </c>
      <c r="T22">
        <f t="shared" si="10"/>
        <v>0.36135211056218008</v>
      </c>
      <c r="U22">
        <f t="shared" si="11"/>
        <v>344.33209860524693</v>
      </c>
      <c r="V22">
        <f t="shared" si="12"/>
        <v>28.088163972894048</v>
      </c>
      <c r="W22">
        <f t="shared" si="13"/>
        <v>27.742899999999999</v>
      </c>
      <c r="X22">
        <f t="shared" si="14"/>
        <v>3.7383329524062332</v>
      </c>
      <c r="Y22">
        <f t="shared" si="15"/>
        <v>65.499043647662148</v>
      </c>
      <c r="Z22">
        <f t="shared" si="16"/>
        <v>2.4841929880708804</v>
      </c>
      <c r="AA22">
        <f t="shared" si="17"/>
        <v>3.7927164271803049</v>
      </c>
      <c r="AB22">
        <f t="shared" si="18"/>
        <v>1.2541399643353528</v>
      </c>
      <c r="AC22">
        <f t="shared" si="19"/>
        <v>-327.81669946050425</v>
      </c>
      <c r="AD22">
        <f t="shared" si="20"/>
        <v>38.902270214262138</v>
      </c>
      <c r="AE22">
        <f t="shared" si="21"/>
        <v>2.904651807139329</v>
      </c>
      <c r="AF22">
        <f t="shared" si="22"/>
        <v>58.322321166144128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52279.38701806403</v>
      </c>
      <c r="AL22" t="s">
        <v>422</v>
      </c>
      <c r="AM22">
        <v>10424.1</v>
      </c>
      <c r="AN22">
        <v>628.54280000000006</v>
      </c>
      <c r="AO22">
        <v>2663.98</v>
      </c>
      <c r="AP22">
        <f t="shared" si="26"/>
        <v>0.76405873917972356</v>
      </c>
      <c r="AQ22">
        <v>-3.1675626227050531</v>
      </c>
      <c r="AR22" t="s">
        <v>454</v>
      </c>
      <c r="AS22">
        <v>10201.200000000001</v>
      </c>
      <c r="AT22">
        <v>791.72271999999998</v>
      </c>
      <c r="AU22">
        <v>870.80242086760268</v>
      </c>
      <c r="AV22">
        <f t="shared" si="27"/>
        <v>9.0812449497801762E-2</v>
      </c>
      <c r="AW22">
        <v>0.5</v>
      </c>
      <c r="AX22">
        <f t="shared" si="28"/>
        <v>1513.0244993026236</v>
      </c>
      <c r="AY22">
        <f t="shared" si="29"/>
        <v>5.8992432564251471</v>
      </c>
      <c r="AZ22">
        <f t="shared" si="30"/>
        <v>68.700730465928146</v>
      </c>
      <c r="BA22">
        <f t="shared" si="31"/>
        <v>5.9925043403522091E-3</v>
      </c>
      <c r="BB22">
        <f t="shared" si="32"/>
        <v>2.0592243845002276</v>
      </c>
      <c r="BC22">
        <f t="shared" si="33"/>
        <v>423.0173051891407</v>
      </c>
      <c r="BD22" t="s">
        <v>455</v>
      </c>
      <c r="BE22">
        <v>544.13</v>
      </c>
      <c r="BF22">
        <f t="shared" si="34"/>
        <v>544.13</v>
      </c>
      <c r="BG22">
        <f t="shared" si="35"/>
        <v>0.37513954146123141</v>
      </c>
      <c r="BH22">
        <f t="shared" si="36"/>
        <v>0.24207645278893308</v>
      </c>
      <c r="BI22">
        <f t="shared" si="37"/>
        <v>0.84589833201990583</v>
      </c>
      <c r="BJ22">
        <f t="shared" si="38"/>
        <v>0.32642542981118827</v>
      </c>
      <c r="BK22">
        <f t="shared" si="39"/>
        <v>0.88097907375005113</v>
      </c>
      <c r="BL22">
        <f t="shared" si="40"/>
        <v>0.16637271727662706</v>
      </c>
      <c r="BM22">
        <f t="shared" si="41"/>
        <v>0.83362728272337294</v>
      </c>
      <c r="BN22">
        <v>20399</v>
      </c>
      <c r="BO22">
        <v>290.00000000000011</v>
      </c>
      <c r="BP22">
        <v>846.48</v>
      </c>
      <c r="BQ22">
        <v>125</v>
      </c>
      <c r="BR22">
        <v>10201.200000000001</v>
      </c>
      <c r="BS22">
        <v>843.92</v>
      </c>
      <c r="BT22">
        <v>2.56</v>
      </c>
      <c r="BU22">
        <v>300.00000000000011</v>
      </c>
      <c r="BV22">
        <v>24.2</v>
      </c>
      <c r="BW22">
        <v>870.80242086760268</v>
      </c>
      <c r="BX22">
        <v>2.1279931774807528</v>
      </c>
      <c r="BY22">
        <v>-27.419850041916849</v>
      </c>
      <c r="BZ22">
        <v>1.9278462316078071</v>
      </c>
      <c r="CA22">
        <v>0.87841686737143965</v>
      </c>
      <c r="CB22">
        <v>-6.9337873192436084E-3</v>
      </c>
      <c r="CC22">
        <v>289.99999999999989</v>
      </c>
      <c r="CD22">
        <v>840.37</v>
      </c>
      <c r="CE22">
        <v>665</v>
      </c>
      <c r="CF22">
        <v>10149.1</v>
      </c>
      <c r="CG22">
        <v>843.79</v>
      </c>
      <c r="CH22">
        <v>-3.42</v>
      </c>
      <c r="CV22">
        <f t="shared" si="42"/>
        <v>1799.81</v>
      </c>
      <c r="CW22">
        <f t="shared" si="43"/>
        <v>1513.0244993026236</v>
      </c>
      <c r="CX22">
        <f t="shared" si="44"/>
        <v>0.84065790239115434</v>
      </c>
      <c r="CY22">
        <f t="shared" si="45"/>
        <v>0.19131580478230864</v>
      </c>
      <c r="CZ22">
        <v>6</v>
      </c>
      <c r="DA22">
        <v>0.5</v>
      </c>
      <c r="DB22" t="s">
        <v>425</v>
      </c>
      <c r="DC22">
        <v>2</v>
      </c>
      <c r="DD22">
        <v>1674758710.0999999</v>
      </c>
      <c r="DE22">
        <v>22.759899999999998</v>
      </c>
      <c r="DF22">
        <v>30.040500000000002</v>
      </c>
      <c r="DG22">
        <v>25.052600000000002</v>
      </c>
      <c r="DH22">
        <v>16.357700000000001</v>
      </c>
      <c r="DI22">
        <v>25.031099999999999</v>
      </c>
      <c r="DJ22">
        <v>24.668299999999999</v>
      </c>
      <c r="DK22">
        <v>500.10399999999998</v>
      </c>
      <c r="DL22">
        <v>99.059100000000001</v>
      </c>
      <c r="DM22">
        <v>9.9988800000000003E-2</v>
      </c>
      <c r="DN22">
        <v>27.990400000000001</v>
      </c>
      <c r="DO22">
        <v>27.742899999999999</v>
      </c>
      <c r="DP22">
        <v>999.9</v>
      </c>
      <c r="DQ22">
        <v>0</v>
      </c>
      <c r="DR22">
        <v>0</v>
      </c>
      <c r="DS22">
        <v>10014.4</v>
      </c>
      <c r="DT22">
        <v>0</v>
      </c>
      <c r="DU22">
        <v>436.774</v>
      </c>
      <c r="DV22">
        <v>-7.2806199999999999</v>
      </c>
      <c r="DW22">
        <v>23.3447</v>
      </c>
      <c r="DX22">
        <v>30.540099999999999</v>
      </c>
      <c r="DY22">
        <v>8.6948899999999991</v>
      </c>
      <c r="DZ22">
        <v>30.040500000000002</v>
      </c>
      <c r="EA22">
        <v>16.357700000000001</v>
      </c>
      <c r="EB22">
        <v>2.4816799999999999</v>
      </c>
      <c r="EC22">
        <v>1.6203799999999999</v>
      </c>
      <c r="ED22">
        <v>20.9069</v>
      </c>
      <c r="EE22">
        <v>14.154</v>
      </c>
      <c r="EF22">
        <v>1799.81</v>
      </c>
      <c r="EG22">
        <v>0.97800699999999996</v>
      </c>
      <c r="EH22">
        <v>2.1992999999999999E-2</v>
      </c>
      <c r="EI22">
        <v>0</v>
      </c>
      <c r="EJ22">
        <v>791.55499999999995</v>
      </c>
      <c r="EK22">
        <v>5.0010599999999998</v>
      </c>
      <c r="EL22">
        <v>14822</v>
      </c>
      <c r="EM22">
        <v>16709.3</v>
      </c>
      <c r="EN22">
        <v>50.5</v>
      </c>
      <c r="EO22">
        <v>51.186999999999998</v>
      </c>
      <c r="EP22">
        <v>51.436999999999998</v>
      </c>
      <c r="EQ22">
        <v>50.186999999999998</v>
      </c>
      <c r="ER22">
        <v>51.186999999999998</v>
      </c>
      <c r="ES22">
        <v>1755.34</v>
      </c>
      <c r="ET22">
        <v>39.47</v>
      </c>
      <c r="EU22">
        <v>0</v>
      </c>
      <c r="EV22">
        <v>112.4000000953674</v>
      </c>
      <c r="EW22">
        <v>0</v>
      </c>
      <c r="EX22">
        <v>791.72271999999998</v>
      </c>
      <c r="EY22">
        <v>-1.7224615479478029</v>
      </c>
      <c r="EZ22">
        <v>-34.169230765048518</v>
      </c>
      <c r="FA22">
        <v>14827.188</v>
      </c>
      <c r="FB22">
        <v>15</v>
      </c>
      <c r="FC22">
        <v>1674758671.5999999</v>
      </c>
      <c r="FD22" t="s">
        <v>456</v>
      </c>
      <c r="FE22">
        <v>1674758661.5999999</v>
      </c>
      <c r="FF22">
        <v>1674758671.5999999</v>
      </c>
      <c r="FG22">
        <v>11</v>
      </c>
      <c r="FH22">
        <v>-0.183</v>
      </c>
      <c r="FI22">
        <v>3.0000000000000001E-3</v>
      </c>
      <c r="FJ22">
        <v>-2.2890000000000001</v>
      </c>
      <c r="FK22">
        <v>1.6E-2</v>
      </c>
      <c r="FL22">
        <v>30</v>
      </c>
      <c r="FM22">
        <v>17</v>
      </c>
      <c r="FN22">
        <v>0.33</v>
      </c>
      <c r="FO22">
        <v>0.01</v>
      </c>
      <c r="FP22">
        <v>5.8779385964617701</v>
      </c>
      <c r="FQ22">
        <v>-0.53882502295379742</v>
      </c>
      <c r="FR22">
        <v>7.1470122258790444E-2</v>
      </c>
      <c r="FS22">
        <v>1</v>
      </c>
      <c r="FT22">
        <v>0.6452784921693685</v>
      </c>
      <c r="FU22">
        <v>-4.8111361292024771E-2</v>
      </c>
      <c r="FV22">
        <v>6.2069382785914637E-3</v>
      </c>
      <c r="FW22">
        <v>1</v>
      </c>
      <c r="FX22">
        <v>2</v>
      </c>
      <c r="FY22">
        <v>2</v>
      </c>
      <c r="FZ22" t="s">
        <v>427</v>
      </c>
      <c r="GA22">
        <v>2.9771700000000001</v>
      </c>
      <c r="GB22">
        <v>2.8064399999999998</v>
      </c>
      <c r="GC22">
        <v>7.1921700000000003E-3</v>
      </c>
      <c r="GD22">
        <v>8.5156599999999995E-3</v>
      </c>
      <c r="GE22">
        <v>0.121432</v>
      </c>
      <c r="GF22">
        <v>9.0074100000000004E-2</v>
      </c>
      <c r="GG22">
        <v>29299.1</v>
      </c>
      <c r="GH22">
        <v>27112</v>
      </c>
      <c r="GI22">
        <v>26532.7</v>
      </c>
      <c r="GJ22">
        <v>25829.3</v>
      </c>
      <c r="GK22">
        <v>31710.2</v>
      </c>
      <c r="GL22">
        <v>33170.199999999997</v>
      </c>
      <c r="GM22">
        <v>37577.699999999997</v>
      </c>
      <c r="GN22">
        <v>38320.199999999997</v>
      </c>
      <c r="GO22">
        <v>1.9657500000000001</v>
      </c>
      <c r="GP22">
        <v>1.8954</v>
      </c>
      <c r="GQ22">
        <v>4.3489E-2</v>
      </c>
      <c r="GR22">
        <v>0</v>
      </c>
      <c r="GS22">
        <v>27.0322</v>
      </c>
      <c r="GT22">
        <v>999.9</v>
      </c>
      <c r="GU22">
        <v>40.200000000000003</v>
      </c>
      <c r="GV22">
        <v>34.799999999999997</v>
      </c>
      <c r="GW22">
        <v>22.668700000000001</v>
      </c>
      <c r="GX22">
        <v>61.758200000000002</v>
      </c>
      <c r="GY22">
        <v>12.1554</v>
      </c>
      <c r="GZ22">
        <v>1</v>
      </c>
      <c r="HA22">
        <v>0.47809699999999999</v>
      </c>
      <c r="HB22">
        <v>2.8473199999999999</v>
      </c>
      <c r="HC22">
        <v>20.2315</v>
      </c>
      <c r="HD22">
        <v>5.2098000000000004</v>
      </c>
      <c r="HE22">
        <v>11.9381</v>
      </c>
      <c r="HF22">
        <v>4.9874999999999998</v>
      </c>
      <c r="HG22">
        <v>3.2907500000000001</v>
      </c>
      <c r="HH22">
        <v>9999</v>
      </c>
      <c r="HI22">
        <v>9999</v>
      </c>
      <c r="HJ22">
        <v>9999</v>
      </c>
      <c r="HK22">
        <v>999.9</v>
      </c>
      <c r="HL22">
        <v>1.87029</v>
      </c>
      <c r="HM22">
        <v>1.8765400000000001</v>
      </c>
      <c r="HN22">
        <v>1.8743700000000001</v>
      </c>
      <c r="HO22">
        <v>1.87256</v>
      </c>
      <c r="HP22">
        <v>1.87303</v>
      </c>
      <c r="HQ22">
        <v>1.87042</v>
      </c>
      <c r="HR22">
        <v>1.87635</v>
      </c>
      <c r="HS22">
        <v>1.87544</v>
      </c>
      <c r="HT22">
        <v>5</v>
      </c>
      <c r="HU22">
        <v>0</v>
      </c>
      <c r="HV22">
        <v>0</v>
      </c>
      <c r="HW22">
        <v>0</v>
      </c>
      <c r="HX22" t="s">
        <v>428</v>
      </c>
      <c r="HY22" t="s">
        <v>429</v>
      </c>
      <c r="HZ22" t="s">
        <v>430</v>
      </c>
      <c r="IA22" t="s">
        <v>431</v>
      </c>
      <c r="IB22" t="s">
        <v>431</v>
      </c>
      <c r="IC22" t="s">
        <v>430</v>
      </c>
      <c r="ID22">
        <v>0</v>
      </c>
      <c r="IE22">
        <v>100</v>
      </c>
      <c r="IF22">
        <v>100</v>
      </c>
      <c r="IG22">
        <v>-2.2709999999999999</v>
      </c>
      <c r="IH22">
        <v>0.38429999999999997</v>
      </c>
      <c r="II22">
        <v>-2.2086622030155838</v>
      </c>
      <c r="IJ22">
        <v>-2.536945948238235E-3</v>
      </c>
      <c r="IK22">
        <v>1.581473279927893E-6</v>
      </c>
      <c r="IL22">
        <v>-4.6698293441882044E-10</v>
      </c>
      <c r="IM22">
        <v>-0.1358486453788364</v>
      </c>
      <c r="IN22">
        <v>-1.5895243091576399E-2</v>
      </c>
      <c r="IO22">
        <v>1.559614309849521E-3</v>
      </c>
      <c r="IP22">
        <v>-2.4566050869858518E-6</v>
      </c>
      <c r="IQ22">
        <v>2</v>
      </c>
      <c r="IR22">
        <v>2224</v>
      </c>
      <c r="IS22">
        <v>2</v>
      </c>
      <c r="IT22">
        <v>25</v>
      </c>
      <c r="IU22">
        <v>0.8</v>
      </c>
      <c r="IV22">
        <v>0.6</v>
      </c>
      <c r="IW22">
        <v>0.20752000000000001</v>
      </c>
      <c r="IX22">
        <v>2.5500500000000001</v>
      </c>
      <c r="IY22">
        <v>1.65039</v>
      </c>
      <c r="IZ22">
        <v>2.2949199999999998</v>
      </c>
      <c r="JA22">
        <v>1.50024</v>
      </c>
      <c r="JB22">
        <v>2.36938</v>
      </c>
      <c r="JC22">
        <v>39.142800000000001</v>
      </c>
      <c r="JD22">
        <v>23.833600000000001</v>
      </c>
      <c r="JE22">
        <v>18</v>
      </c>
      <c r="JF22">
        <v>507.911</v>
      </c>
      <c r="JG22">
        <v>454.99799999999999</v>
      </c>
      <c r="JH22">
        <v>24.472899999999999</v>
      </c>
      <c r="JI22">
        <v>33.2074</v>
      </c>
      <c r="JJ22">
        <v>30</v>
      </c>
      <c r="JK22">
        <v>33.235199999999999</v>
      </c>
      <c r="JL22">
        <v>33.211500000000001</v>
      </c>
      <c r="JM22">
        <v>4.1963100000000004</v>
      </c>
      <c r="JN22">
        <v>40.4191</v>
      </c>
      <c r="JO22">
        <v>51.534399999999998</v>
      </c>
      <c r="JP22">
        <v>24.478999999999999</v>
      </c>
      <c r="JQ22">
        <v>30</v>
      </c>
      <c r="JR22">
        <v>16.313300000000002</v>
      </c>
      <c r="JS22">
        <v>99.741399999999999</v>
      </c>
      <c r="JT22">
        <v>98.866799999999998</v>
      </c>
    </row>
    <row r="23" spans="1:280" x14ac:dyDescent="0.25">
      <c r="A23">
        <v>7</v>
      </c>
      <c r="B23">
        <v>1674758827.5999999</v>
      </c>
      <c r="C23">
        <v>697.59999990463257</v>
      </c>
      <c r="D23" t="s">
        <v>457</v>
      </c>
      <c r="E23" t="s">
        <v>458</v>
      </c>
      <c r="F23" t="s">
        <v>419</v>
      </c>
      <c r="G23" t="s">
        <v>420</v>
      </c>
      <c r="H23" t="s">
        <v>421</v>
      </c>
      <c r="I23">
        <v>1674758827.5999999</v>
      </c>
      <c r="J23">
        <f t="shared" si="0"/>
        <v>7.4896287086211174E-3</v>
      </c>
      <c r="K23">
        <f t="shared" si="1"/>
        <v>7.4896287086211171</v>
      </c>
      <c r="L23">
        <f t="shared" si="2"/>
        <v>2.1776962862668201</v>
      </c>
      <c r="M23">
        <f t="shared" si="3"/>
        <v>7.3351199999999999</v>
      </c>
      <c r="N23">
        <f t="shared" si="4"/>
        <v>1.2737027429826091</v>
      </c>
      <c r="O23">
        <f t="shared" si="5"/>
        <v>0.12629915270284695</v>
      </c>
      <c r="P23">
        <f t="shared" si="6"/>
        <v>0.72734352350088016</v>
      </c>
      <c r="Q23">
        <f t="shared" si="7"/>
        <v>0.64429440841757701</v>
      </c>
      <c r="R23">
        <f t="shared" si="8"/>
        <v>2.9105731290407832</v>
      </c>
      <c r="S23">
        <f t="shared" si="9"/>
        <v>0.57429982060050455</v>
      </c>
      <c r="T23">
        <f t="shared" si="10"/>
        <v>0.36459043084189313</v>
      </c>
      <c r="U23">
        <f t="shared" si="11"/>
        <v>344.34351176296798</v>
      </c>
      <c r="V23">
        <f t="shared" si="12"/>
        <v>28.097004988039224</v>
      </c>
      <c r="W23">
        <f t="shared" si="13"/>
        <v>27.749199999999998</v>
      </c>
      <c r="X23">
        <f t="shared" si="14"/>
        <v>3.7397087732231702</v>
      </c>
      <c r="Y23">
        <f t="shared" si="15"/>
        <v>65.487916289163948</v>
      </c>
      <c r="Z23">
        <f t="shared" si="16"/>
        <v>2.4871469306376004</v>
      </c>
      <c r="AA23">
        <f t="shared" si="17"/>
        <v>3.7978715335139466</v>
      </c>
      <c r="AB23">
        <f t="shared" si="18"/>
        <v>1.2525618425855698</v>
      </c>
      <c r="AC23">
        <f t="shared" si="19"/>
        <v>-330.2926260501913</v>
      </c>
      <c r="AD23">
        <f t="shared" si="20"/>
        <v>41.503969501938236</v>
      </c>
      <c r="AE23">
        <f t="shared" si="21"/>
        <v>3.1046214343102947</v>
      </c>
      <c r="AF23">
        <f t="shared" si="22"/>
        <v>58.659476649025187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52134.027420971383</v>
      </c>
      <c r="AL23" t="s">
        <v>422</v>
      </c>
      <c r="AM23">
        <v>10424.1</v>
      </c>
      <c r="AN23">
        <v>628.54280000000006</v>
      </c>
      <c r="AO23">
        <v>2663.98</v>
      </c>
      <c r="AP23">
        <f t="shared" si="26"/>
        <v>0.76405873917972356</v>
      </c>
      <c r="AQ23">
        <v>-3.1675626227050531</v>
      </c>
      <c r="AR23" t="s">
        <v>459</v>
      </c>
      <c r="AS23">
        <v>10192.4</v>
      </c>
      <c r="AT23">
        <v>799.90948000000003</v>
      </c>
      <c r="AU23">
        <v>862.12447938768685</v>
      </c>
      <c r="AV23">
        <f t="shared" si="27"/>
        <v>7.2164752161862133E-2</v>
      </c>
      <c r="AW23">
        <v>0.5</v>
      </c>
      <c r="AX23">
        <f t="shared" si="28"/>
        <v>1513.0749058814838</v>
      </c>
      <c r="AY23">
        <f t="shared" si="29"/>
        <v>2.1776962862668201</v>
      </c>
      <c r="AZ23">
        <f t="shared" si="30"/>
        <v>54.595337792635078</v>
      </c>
      <c r="BA23">
        <f t="shared" si="31"/>
        <v>3.5327126820980776E-3</v>
      </c>
      <c r="BB23">
        <f t="shared" si="32"/>
        <v>2.090017814935563</v>
      </c>
      <c r="BC23">
        <f t="shared" si="33"/>
        <v>420.95892794667276</v>
      </c>
      <c r="BD23" t="s">
        <v>460</v>
      </c>
      <c r="BE23">
        <v>556.45000000000005</v>
      </c>
      <c r="BF23">
        <f t="shared" si="34"/>
        <v>556.45000000000005</v>
      </c>
      <c r="BG23">
        <f t="shared" si="35"/>
        <v>0.35455956384023368</v>
      </c>
      <c r="BH23">
        <f t="shared" si="36"/>
        <v>0.20353350895473207</v>
      </c>
      <c r="BI23">
        <f t="shared" si="37"/>
        <v>0.85496079325670971</v>
      </c>
      <c r="BJ23">
        <f t="shared" si="38"/>
        <v>0.26635222227521355</v>
      </c>
      <c r="BK23">
        <f t="shared" si="39"/>
        <v>0.88524250250133651</v>
      </c>
      <c r="BL23">
        <f t="shared" si="40"/>
        <v>0.14158629681181009</v>
      </c>
      <c r="BM23">
        <f t="shared" si="41"/>
        <v>0.85841370318818988</v>
      </c>
      <c r="BN23">
        <v>20401</v>
      </c>
      <c r="BO23">
        <v>290.00000000000011</v>
      </c>
      <c r="BP23">
        <v>841.81</v>
      </c>
      <c r="BQ23">
        <v>165</v>
      </c>
      <c r="BR23">
        <v>10192.4</v>
      </c>
      <c r="BS23">
        <v>839.15</v>
      </c>
      <c r="BT23">
        <v>2.66</v>
      </c>
      <c r="BU23">
        <v>300.00000000000011</v>
      </c>
      <c r="BV23">
        <v>24.2</v>
      </c>
      <c r="BW23">
        <v>862.12447938768685</v>
      </c>
      <c r="BX23">
        <v>1.4316237730612069</v>
      </c>
      <c r="BY23">
        <v>-23.414271203722439</v>
      </c>
      <c r="BZ23">
        <v>1.297007928509637</v>
      </c>
      <c r="CA23">
        <v>0.92088020692234496</v>
      </c>
      <c r="CB23">
        <v>-6.9339354838709724E-3</v>
      </c>
      <c r="CC23">
        <v>289.99999999999989</v>
      </c>
      <c r="CD23">
        <v>836.15</v>
      </c>
      <c r="CE23">
        <v>625</v>
      </c>
      <c r="CF23">
        <v>10152.9</v>
      </c>
      <c r="CG23">
        <v>839.06</v>
      </c>
      <c r="CH23">
        <v>-2.91</v>
      </c>
      <c r="CV23">
        <f t="shared" si="42"/>
        <v>1799.87</v>
      </c>
      <c r="CW23">
        <f t="shared" si="43"/>
        <v>1513.0749058814838</v>
      </c>
      <c r="CX23">
        <f t="shared" si="44"/>
        <v>0.84065788411467712</v>
      </c>
      <c r="CY23">
        <f t="shared" si="45"/>
        <v>0.19131576822935434</v>
      </c>
      <c r="CZ23">
        <v>6</v>
      </c>
      <c r="DA23">
        <v>0.5</v>
      </c>
      <c r="DB23" t="s">
        <v>425</v>
      </c>
      <c r="DC23">
        <v>2</v>
      </c>
      <c r="DD23">
        <v>1674758827.5999999</v>
      </c>
      <c r="DE23">
        <v>7.3351199999999999</v>
      </c>
      <c r="DF23">
        <v>10.0136</v>
      </c>
      <c r="DG23">
        <v>25.0824</v>
      </c>
      <c r="DH23">
        <v>16.322500000000002</v>
      </c>
      <c r="DI23">
        <v>9.68079</v>
      </c>
      <c r="DJ23">
        <v>24.694600000000001</v>
      </c>
      <c r="DK23">
        <v>500.12700000000001</v>
      </c>
      <c r="DL23">
        <v>99.058400000000006</v>
      </c>
      <c r="DM23">
        <v>0.100649</v>
      </c>
      <c r="DN23">
        <v>28.0137</v>
      </c>
      <c r="DO23">
        <v>27.749199999999998</v>
      </c>
      <c r="DP23">
        <v>999.9</v>
      </c>
      <c r="DQ23">
        <v>0</v>
      </c>
      <c r="DR23">
        <v>0</v>
      </c>
      <c r="DS23">
        <v>9986.25</v>
      </c>
      <c r="DT23">
        <v>0</v>
      </c>
      <c r="DU23">
        <v>435.20699999999999</v>
      </c>
      <c r="DV23">
        <v>-2.6784599999999998</v>
      </c>
      <c r="DW23">
        <v>7.5238399999999999</v>
      </c>
      <c r="DX23">
        <v>10.1797</v>
      </c>
      <c r="DY23">
        <v>8.7598699999999994</v>
      </c>
      <c r="DZ23">
        <v>10.0136</v>
      </c>
      <c r="EA23">
        <v>16.322500000000002</v>
      </c>
      <c r="EB23">
        <v>2.4846200000000001</v>
      </c>
      <c r="EC23">
        <v>1.6168800000000001</v>
      </c>
      <c r="ED23">
        <v>20.926100000000002</v>
      </c>
      <c r="EE23">
        <v>14.1206</v>
      </c>
      <c r="EF23">
        <v>1799.87</v>
      </c>
      <c r="EG23">
        <v>0.97800699999999996</v>
      </c>
      <c r="EH23">
        <v>2.1992999999999999E-2</v>
      </c>
      <c r="EI23">
        <v>0</v>
      </c>
      <c r="EJ23">
        <v>800.05799999999999</v>
      </c>
      <c r="EK23">
        <v>5.0010599999999998</v>
      </c>
      <c r="EL23">
        <v>14963.3</v>
      </c>
      <c r="EM23">
        <v>16709.900000000001</v>
      </c>
      <c r="EN23">
        <v>50.5</v>
      </c>
      <c r="EO23">
        <v>51.25</v>
      </c>
      <c r="EP23">
        <v>51.436999999999998</v>
      </c>
      <c r="EQ23">
        <v>50.186999999999998</v>
      </c>
      <c r="ER23">
        <v>51.186999999999998</v>
      </c>
      <c r="ES23">
        <v>1755.39</v>
      </c>
      <c r="ET23">
        <v>39.47</v>
      </c>
      <c r="EU23">
        <v>0</v>
      </c>
      <c r="EV23">
        <v>115.4000000953674</v>
      </c>
      <c r="EW23">
        <v>0</v>
      </c>
      <c r="EX23">
        <v>799.90948000000003</v>
      </c>
      <c r="EY23">
        <v>-0.42107691851774282</v>
      </c>
      <c r="EZ23">
        <v>0.16153837856315309</v>
      </c>
      <c r="FA23">
        <v>14964.987999999999</v>
      </c>
      <c r="FB23">
        <v>15</v>
      </c>
      <c r="FC23">
        <v>1674758791.5999999</v>
      </c>
      <c r="FD23" t="s">
        <v>461</v>
      </c>
      <c r="FE23">
        <v>1674758773.5999999</v>
      </c>
      <c r="FF23">
        <v>1674758791.5999999</v>
      </c>
      <c r="FG23">
        <v>12</v>
      </c>
      <c r="FH23">
        <v>-0.113</v>
      </c>
      <c r="FI23">
        <v>2E-3</v>
      </c>
      <c r="FJ23">
        <v>-2.3519999999999999</v>
      </c>
      <c r="FK23">
        <v>8.0000000000000002E-3</v>
      </c>
      <c r="FL23">
        <v>10</v>
      </c>
      <c r="FM23">
        <v>16</v>
      </c>
      <c r="FN23">
        <v>0.2</v>
      </c>
      <c r="FO23">
        <v>0.01</v>
      </c>
      <c r="FP23">
        <v>2.200198494091036</v>
      </c>
      <c r="FQ23">
        <v>-0.4145220918605817</v>
      </c>
      <c r="FR23">
        <v>6.9052352923572508E-2</v>
      </c>
      <c r="FS23">
        <v>1</v>
      </c>
      <c r="FT23">
        <v>0.65331190539707396</v>
      </c>
      <c r="FU23">
        <v>-1.6262940505809929E-2</v>
      </c>
      <c r="FV23">
        <v>3.0643049333803811E-3</v>
      </c>
      <c r="FW23">
        <v>1</v>
      </c>
      <c r="FX23">
        <v>2</v>
      </c>
      <c r="FY23">
        <v>2</v>
      </c>
      <c r="FZ23" t="s">
        <v>427</v>
      </c>
      <c r="GA23">
        <v>2.9772500000000002</v>
      </c>
      <c r="GB23">
        <v>2.8068499999999998</v>
      </c>
      <c r="GC23">
        <v>2.7794600000000001E-3</v>
      </c>
      <c r="GD23">
        <v>2.8355199999999998E-3</v>
      </c>
      <c r="GE23">
        <v>0.121527</v>
      </c>
      <c r="GF23">
        <v>8.9940500000000007E-2</v>
      </c>
      <c r="GG23">
        <v>29430.6</v>
      </c>
      <c r="GH23">
        <v>27269.7</v>
      </c>
      <c r="GI23">
        <v>26533.8</v>
      </c>
      <c r="GJ23">
        <v>25831.5</v>
      </c>
      <c r="GK23">
        <v>31707.8</v>
      </c>
      <c r="GL23">
        <v>33177.599999999999</v>
      </c>
      <c r="GM23">
        <v>37579.1</v>
      </c>
      <c r="GN23">
        <v>38323.199999999997</v>
      </c>
      <c r="GO23">
        <v>1.9657199999999999</v>
      </c>
      <c r="GP23">
        <v>1.8954500000000001</v>
      </c>
      <c r="GQ23">
        <v>4.4438999999999999E-2</v>
      </c>
      <c r="GR23">
        <v>0</v>
      </c>
      <c r="GS23">
        <v>27.0229</v>
      </c>
      <c r="GT23">
        <v>999.9</v>
      </c>
      <c r="GU23">
        <v>39.700000000000003</v>
      </c>
      <c r="GV23">
        <v>34.9</v>
      </c>
      <c r="GW23">
        <v>22.511199999999999</v>
      </c>
      <c r="GX23">
        <v>61.788200000000003</v>
      </c>
      <c r="GY23">
        <v>12.0954</v>
      </c>
      <c r="GZ23">
        <v>1</v>
      </c>
      <c r="HA23">
        <v>0.476489</v>
      </c>
      <c r="HB23">
        <v>3.0112000000000001</v>
      </c>
      <c r="HC23">
        <v>20.2285</v>
      </c>
      <c r="HD23">
        <v>5.2090500000000004</v>
      </c>
      <c r="HE23">
        <v>11.9381</v>
      </c>
      <c r="HF23">
        <v>4.98705</v>
      </c>
      <c r="HG23">
        <v>3.2906300000000002</v>
      </c>
      <c r="HH23">
        <v>9999</v>
      </c>
      <c r="HI23">
        <v>9999</v>
      </c>
      <c r="HJ23">
        <v>9999</v>
      </c>
      <c r="HK23">
        <v>999.9</v>
      </c>
      <c r="HL23">
        <v>1.87029</v>
      </c>
      <c r="HM23">
        <v>1.8765400000000001</v>
      </c>
      <c r="HN23">
        <v>1.8743799999999999</v>
      </c>
      <c r="HO23">
        <v>1.8725799999999999</v>
      </c>
      <c r="HP23">
        <v>1.8730199999999999</v>
      </c>
      <c r="HQ23">
        <v>1.87042</v>
      </c>
      <c r="HR23">
        <v>1.87636</v>
      </c>
      <c r="HS23">
        <v>1.8754500000000001</v>
      </c>
      <c r="HT23">
        <v>5</v>
      </c>
      <c r="HU23">
        <v>0</v>
      </c>
      <c r="HV23">
        <v>0</v>
      </c>
      <c r="HW23">
        <v>0</v>
      </c>
      <c r="HX23" t="s">
        <v>428</v>
      </c>
      <c r="HY23" t="s">
        <v>429</v>
      </c>
      <c r="HZ23" t="s">
        <v>430</v>
      </c>
      <c r="IA23" t="s">
        <v>431</v>
      </c>
      <c r="IB23" t="s">
        <v>431</v>
      </c>
      <c r="IC23" t="s">
        <v>430</v>
      </c>
      <c r="ID23">
        <v>0</v>
      </c>
      <c r="IE23">
        <v>100</v>
      </c>
      <c r="IF23">
        <v>100</v>
      </c>
      <c r="IG23">
        <v>-2.3460000000000001</v>
      </c>
      <c r="IH23">
        <v>0.38779999999999998</v>
      </c>
      <c r="II23">
        <v>-2.321257320064523</v>
      </c>
      <c r="IJ23">
        <v>-2.536945948238235E-3</v>
      </c>
      <c r="IK23">
        <v>1.581473279927893E-6</v>
      </c>
      <c r="IL23">
        <v>-4.6698293441882044E-10</v>
      </c>
      <c r="IM23">
        <v>-0.13379720169214759</v>
      </c>
      <c r="IN23">
        <v>-1.5895243091576399E-2</v>
      </c>
      <c r="IO23">
        <v>1.559614309849521E-3</v>
      </c>
      <c r="IP23">
        <v>-2.4566050869858518E-6</v>
      </c>
      <c r="IQ23">
        <v>2</v>
      </c>
      <c r="IR23">
        <v>2224</v>
      </c>
      <c r="IS23">
        <v>2</v>
      </c>
      <c r="IT23">
        <v>25</v>
      </c>
      <c r="IU23">
        <v>0.9</v>
      </c>
      <c r="IV23">
        <v>0.6</v>
      </c>
      <c r="IW23">
        <v>0.168457</v>
      </c>
      <c r="IX23">
        <v>2.5622600000000002</v>
      </c>
      <c r="IY23">
        <v>1.65039</v>
      </c>
      <c r="IZ23">
        <v>2.2949199999999998</v>
      </c>
      <c r="JA23">
        <v>1.50024</v>
      </c>
      <c r="JB23">
        <v>2.4023400000000001</v>
      </c>
      <c r="JC23">
        <v>39.142800000000001</v>
      </c>
      <c r="JD23">
        <v>23.833600000000001</v>
      </c>
      <c r="JE23">
        <v>18</v>
      </c>
      <c r="JF23">
        <v>507.726</v>
      </c>
      <c r="JG23">
        <v>454.85500000000002</v>
      </c>
      <c r="JH23">
        <v>24.413900000000002</v>
      </c>
      <c r="JI23">
        <v>33.180700000000002</v>
      </c>
      <c r="JJ23">
        <v>30.0001</v>
      </c>
      <c r="JK23">
        <v>33.214300000000001</v>
      </c>
      <c r="JL23">
        <v>33.188000000000002</v>
      </c>
      <c r="JM23">
        <v>3.4386199999999998</v>
      </c>
      <c r="JN23">
        <v>39.708100000000002</v>
      </c>
      <c r="JO23">
        <v>49.829000000000001</v>
      </c>
      <c r="JP23">
        <v>24.411300000000001</v>
      </c>
      <c r="JQ23">
        <v>10</v>
      </c>
      <c r="JR23">
        <v>16.215399999999999</v>
      </c>
      <c r="JS23">
        <v>99.745400000000004</v>
      </c>
      <c r="JT23">
        <v>98.874799999999993</v>
      </c>
    </row>
    <row r="24" spans="1:280" x14ac:dyDescent="0.25">
      <c r="A24">
        <v>8</v>
      </c>
      <c r="B24">
        <v>1674759017.0999999</v>
      </c>
      <c r="C24">
        <v>887.09999990463257</v>
      </c>
      <c r="D24" t="s">
        <v>462</v>
      </c>
      <c r="E24" t="s">
        <v>463</v>
      </c>
      <c r="F24" t="s">
        <v>419</v>
      </c>
      <c r="G24" t="s">
        <v>420</v>
      </c>
      <c r="H24" t="s">
        <v>421</v>
      </c>
      <c r="I24">
        <v>1674759017.0999999</v>
      </c>
      <c r="J24">
        <f t="shared" si="0"/>
        <v>7.0498526842206061E-3</v>
      </c>
      <c r="K24">
        <f t="shared" si="1"/>
        <v>7.049852684220606</v>
      </c>
      <c r="L24">
        <f t="shared" si="2"/>
        <v>44.46790465867555</v>
      </c>
      <c r="M24">
        <f t="shared" si="3"/>
        <v>343.76499999999999</v>
      </c>
      <c r="N24">
        <f t="shared" si="4"/>
        <v>206.03251358847552</v>
      </c>
      <c r="O24">
        <f t="shared" si="5"/>
        <v>20.430929473067398</v>
      </c>
      <c r="P24">
        <f t="shared" si="6"/>
        <v>34.088981141769999</v>
      </c>
      <c r="Q24">
        <f t="shared" si="7"/>
        <v>0.59074224911982864</v>
      </c>
      <c r="R24">
        <f t="shared" si="8"/>
        <v>2.9115399934202522</v>
      </c>
      <c r="S24">
        <f t="shared" si="9"/>
        <v>0.53134429515635051</v>
      </c>
      <c r="T24">
        <f t="shared" si="10"/>
        <v>0.33692777649055361</v>
      </c>
      <c r="U24">
        <f t="shared" si="11"/>
        <v>344.41429860415923</v>
      </c>
      <c r="V24">
        <f t="shared" si="12"/>
        <v>28.199149107642771</v>
      </c>
      <c r="W24">
        <f t="shared" si="13"/>
        <v>27.7225</v>
      </c>
      <c r="X24">
        <f t="shared" si="14"/>
        <v>3.7338809436203309</v>
      </c>
      <c r="Y24">
        <f t="shared" si="15"/>
        <v>64.803685219560634</v>
      </c>
      <c r="Z24">
        <f t="shared" si="16"/>
        <v>2.4592676427617999</v>
      </c>
      <c r="AA24">
        <f t="shared" si="17"/>
        <v>3.7949502939988413</v>
      </c>
      <c r="AB24">
        <f t="shared" si="18"/>
        <v>1.274613300858531</v>
      </c>
      <c r="AC24">
        <f t="shared" si="19"/>
        <v>-310.89850337412872</v>
      </c>
      <c r="AD24">
        <f t="shared" si="20"/>
        <v>43.636810466825594</v>
      </c>
      <c r="AE24">
        <f t="shared" si="21"/>
        <v>3.2624314049747416</v>
      </c>
      <c r="AF24">
        <f t="shared" si="22"/>
        <v>80.415037101830833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52164.095794631954</v>
      </c>
      <c r="AL24" t="s">
        <v>422</v>
      </c>
      <c r="AM24">
        <v>10424.1</v>
      </c>
      <c r="AN24">
        <v>628.54280000000006</v>
      </c>
      <c r="AO24">
        <v>2663.98</v>
      </c>
      <c r="AP24">
        <f t="shared" si="26"/>
        <v>0.76405873917972356</v>
      </c>
      <c r="AQ24">
        <v>-3.1675626227050531</v>
      </c>
      <c r="AR24" t="s">
        <v>464</v>
      </c>
      <c r="AS24">
        <v>10177</v>
      </c>
      <c r="AT24">
        <v>713.00026923076928</v>
      </c>
      <c r="AU24">
        <v>994.08153393611587</v>
      </c>
      <c r="AV24">
        <f t="shared" si="27"/>
        <v>0.28275473903271409</v>
      </c>
      <c r="AW24">
        <v>0.5</v>
      </c>
      <c r="AX24">
        <f t="shared" si="28"/>
        <v>1513.3784993020797</v>
      </c>
      <c r="AY24">
        <f t="shared" si="29"/>
        <v>44.46790465867555</v>
      </c>
      <c r="AZ24">
        <f t="shared" si="30"/>
        <v>213.95747131394</v>
      </c>
      <c r="BA24">
        <f t="shared" si="31"/>
        <v>3.1476241603371868E-2</v>
      </c>
      <c r="BB24">
        <f t="shared" si="32"/>
        <v>1.6798405453241216</v>
      </c>
      <c r="BC24">
        <f t="shared" si="33"/>
        <v>450.13473523184103</v>
      </c>
      <c r="BD24" t="s">
        <v>465</v>
      </c>
      <c r="BE24">
        <v>538.35</v>
      </c>
      <c r="BF24">
        <f t="shared" si="34"/>
        <v>538.35</v>
      </c>
      <c r="BG24">
        <f t="shared" si="35"/>
        <v>0.45844482406953468</v>
      </c>
      <c r="BH24">
        <f t="shared" si="36"/>
        <v>0.616769399908913</v>
      </c>
      <c r="BI24">
        <f t="shared" si="37"/>
        <v>0.7856016644777708</v>
      </c>
      <c r="BJ24">
        <f t="shared" si="38"/>
        <v>0.76895069827119988</v>
      </c>
      <c r="BK24">
        <f t="shared" si="39"/>
        <v>0.8204126691129966</v>
      </c>
      <c r="BL24">
        <f t="shared" si="40"/>
        <v>0.46569099728277402</v>
      </c>
      <c r="BM24">
        <f t="shared" si="41"/>
        <v>0.53430900271722592</v>
      </c>
      <c r="BN24">
        <v>20403</v>
      </c>
      <c r="BO24">
        <v>290.00000000000011</v>
      </c>
      <c r="BP24">
        <v>925.09</v>
      </c>
      <c r="BQ24">
        <v>255</v>
      </c>
      <c r="BR24">
        <v>10177</v>
      </c>
      <c r="BS24">
        <v>926.49</v>
      </c>
      <c r="BT24">
        <v>-1.4</v>
      </c>
      <c r="BU24">
        <v>300.00000000000011</v>
      </c>
      <c r="BV24">
        <v>24.2</v>
      </c>
      <c r="BW24">
        <v>994.08153393611587</v>
      </c>
      <c r="BX24">
        <v>1.8062131378777591</v>
      </c>
      <c r="BY24">
        <v>-68.789739113569254</v>
      </c>
      <c r="BZ24">
        <v>1.636644983399703</v>
      </c>
      <c r="CA24">
        <v>0.98439764200249458</v>
      </c>
      <c r="CB24">
        <v>-6.935447830923246E-3</v>
      </c>
      <c r="CC24">
        <v>289.99999999999989</v>
      </c>
      <c r="CD24">
        <v>925.57</v>
      </c>
      <c r="CE24">
        <v>635</v>
      </c>
      <c r="CF24">
        <v>10153.700000000001</v>
      </c>
      <c r="CG24">
        <v>926.33</v>
      </c>
      <c r="CH24">
        <v>-0.76</v>
      </c>
      <c r="CV24">
        <f t="shared" si="42"/>
        <v>1800.23</v>
      </c>
      <c r="CW24">
        <f t="shared" si="43"/>
        <v>1513.3784993020797</v>
      </c>
      <c r="CX24">
        <f t="shared" si="44"/>
        <v>0.84065841548139941</v>
      </c>
      <c r="CY24">
        <f t="shared" si="45"/>
        <v>0.19131683096279878</v>
      </c>
      <c r="CZ24">
        <v>6</v>
      </c>
      <c r="DA24">
        <v>0.5</v>
      </c>
      <c r="DB24" t="s">
        <v>425</v>
      </c>
      <c r="DC24">
        <v>2</v>
      </c>
      <c r="DD24">
        <v>1674759017.0999999</v>
      </c>
      <c r="DE24">
        <v>343.76499999999999</v>
      </c>
      <c r="DF24">
        <v>400.02499999999998</v>
      </c>
      <c r="DG24">
        <v>24.8001</v>
      </c>
      <c r="DH24">
        <v>16.551500000000001</v>
      </c>
      <c r="DI24">
        <v>346.91</v>
      </c>
      <c r="DJ24">
        <v>24.4236</v>
      </c>
      <c r="DK24">
        <v>500.08600000000001</v>
      </c>
      <c r="DL24">
        <v>99.063599999999994</v>
      </c>
      <c r="DM24">
        <v>0.100018</v>
      </c>
      <c r="DN24">
        <v>28.000499999999999</v>
      </c>
      <c r="DO24">
        <v>27.7225</v>
      </c>
      <c r="DP24">
        <v>999.9</v>
      </c>
      <c r="DQ24">
        <v>0</v>
      </c>
      <c r="DR24">
        <v>0</v>
      </c>
      <c r="DS24">
        <v>9991.25</v>
      </c>
      <c r="DT24">
        <v>0</v>
      </c>
      <c r="DU24">
        <v>414.685</v>
      </c>
      <c r="DV24">
        <v>-56.260100000000001</v>
      </c>
      <c r="DW24">
        <v>352.50700000000001</v>
      </c>
      <c r="DX24">
        <v>406.75799999999998</v>
      </c>
      <c r="DY24">
        <v>8.2486800000000002</v>
      </c>
      <c r="DZ24">
        <v>400.02499999999998</v>
      </c>
      <c r="EA24">
        <v>16.551500000000001</v>
      </c>
      <c r="EB24">
        <v>2.4567899999999998</v>
      </c>
      <c r="EC24">
        <v>1.6396500000000001</v>
      </c>
      <c r="ED24">
        <v>20.743099999999998</v>
      </c>
      <c r="EE24">
        <v>14.336600000000001</v>
      </c>
      <c r="EF24">
        <v>1800.23</v>
      </c>
      <c r="EG24">
        <v>0.977993</v>
      </c>
      <c r="EH24">
        <v>2.2007200000000001E-2</v>
      </c>
      <c r="EI24">
        <v>0</v>
      </c>
      <c r="EJ24">
        <v>712.15499999999997</v>
      </c>
      <c r="EK24">
        <v>5.0010599999999998</v>
      </c>
      <c r="EL24">
        <v>13377.1</v>
      </c>
      <c r="EM24">
        <v>16713.099999999999</v>
      </c>
      <c r="EN24">
        <v>50.5</v>
      </c>
      <c r="EO24">
        <v>51.25</v>
      </c>
      <c r="EP24">
        <v>51.436999999999998</v>
      </c>
      <c r="EQ24">
        <v>50.186999999999998</v>
      </c>
      <c r="ER24">
        <v>51.186999999999998</v>
      </c>
      <c r="ES24">
        <v>1755.72</v>
      </c>
      <c r="ET24">
        <v>39.51</v>
      </c>
      <c r="EU24">
        <v>0</v>
      </c>
      <c r="EV24">
        <v>187.20000004768369</v>
      </c>
      <c r="EW24">
        <v>0</v>
      </c>
      <c r="EX24">
        <v>713.00026923076928</v>
      </c>
      <c r="EY24">
        <v>-5.2705982876696407</v>
      </c>
      <c r="EZ24">
        <v>-89.894017155244768</v>
      </c>
      <c r="FA24">
        <v>13386.292307692311</v>
      </c>
      <c r="FB24">
        <v>15</v>
      </c>
      <c r="FC24">
        <v>1674758931.0999999</v>
      </c>
      <c r="FD24" t="s">
        <v>466</v>
      </c>
      <c r="FE24">
        <v>1674758916.5999999</v>
      </c>
      <c r="FF24">
        <v>1674758931.0999999</v>
      </c>
      <c r="FG24">
        <v>13</v>
      </c>
      <c r="FH24">
        <v>-0.115</v>
      </c>
      <c r="FI24">
        <v>4.0000000000000001E-3</v>
      </c>
      <c r="FJ24">
        <v>-3.2330000000000001</v>
      </c>
      <c r="FK24">
        <v>1.0999999999999999E-2</v>
      </c>
      <c r="FL24">
        <v>400</v>
      </c>
      <c r="FM24">
        <v>16</v>
      </c>
      <c r="FN24">
        <v>0.04</v>
      </c>
      <c r="FO24">
        <v>0.02</v>
      </c>
      <c r="FP24">
        <v>43.172135088018862</v>
      </c>
      <c r="FQ24">
        <v>6.8893744091127473</v>
      </c>
      <c r="FR24">
        <v>0.66497123755689158</v>
      </c>
      <c r="FS24">
        <v>0</v>
      </c>
      <c r="FT24">
        <v>0.58915165519431656</v>
      </c>
      <c r="FU24">
        <v>1.190515323417431E-2</v>
      </c>
      <c r="FV24">
        <v>1.6728066862964259E-3</v>
      </c>
      <c r="FW24">
        <v>1</v>
      </c>
      <c r="FX24">
        <v>1</v>
      </c>
      <c r="FY24">
        <v>2</v>
      </c>
      <c r="FZ24" t="s">
        <v>467</v>
      </c>
      <c r="GA24">
        <v>2.97715</v>
      </c>
      <c r="GB24">
        <v>2.80627</v>
      </c>
      <c r="GC24">
        <v>8.6416499999999993E-2</v>
      </c>
      <c r="GD24">
        <v>9.5485399999999998E-2</v>
      </c>
      <c r="GE24">
        <v>0.120611</v>
      </c>
      <c r="GF24">
        <v>9.0846099999999999E-2</v>
      </c>
      <c r="GG24">
        <v>26963.1</v>
      </c>
      <c r="GH24">
        <v>24736.3</v>
      </c>
      <c r="GI24">
        <v>26533.9</v>
      </c>
      <c r="GJ24">
        <v>25831.5</v>
      </c>
      <c r="GK24">
        <v>31742.2</v>
      </c>
      <c r="GL24">
        <v>33145.800000000003</v>
      </c>
      <c r="GM24">
        <v>37579.800000000003</v>
      </c>
      <c r="GN24">
        <v>38323.699999999997</v>
      </c>
      <c r="GO24">
        <v>1.96607</v>
      </c>
      <c r="GP24">
        <v>1.8974299999999999</v>
      </c>
      <c r="GQ24">
        <v>3.6530199999999999E-2</v>
      </c>
      <c r="GR24">
        <v>0</v>
      </c>
      <c r="GS24">
        <v>27.125499999999999</v>
      </c>
      <c r="GT24">
        <v>999.9</v>
      </c>
      <c r="GU24">
        <v>38.799999999999997</v>
      </c>
      <c r="GV24">
        <v>34.9</v>
      </c>
      <c r="GW24">
        <v>22.0032</v>
      </c>
      <c r="GX24">
        <v>61.718200000000003</v>
      </c>
      <c r="GY24">
        <v>12.636200000000001</v>
      </c>
      <c r="GZ24">
        <v>1</v>
      </c>
      <c r="HA24">
        <v>0.47475099999999998</v>
      </c>
      <c r="HB24">
        <v>2.9197600000000001</v>
      </c>
      <c r="HC24">
        <v>20.230499999999999</v>
      </c>
      <c r="HD24">
        <v>5.2105499999999996</v>
      </c>
      <c r="HE24">
        <v>11.9381</v>
      </c>
      <c r="HF24">
        <v>4.9874000000000001</v>
      </c>
      <c r="HG24">
        <v>3.2909299999999999</v>
      </c>
      <c r="HH24">
        <v>9999</v>
      </c>
      <c r="HI24">
        <v>9999</v>
      </c>
      <c r="HJ24">
        <v>9999</v>
      </c>
      <c r="HK24">
        <v>999.9</v>
      </c>
      <c r="HL24">
        <v>1.87029</v>
      </c>
      <c r="HM24">
        <v>1.8765700000000001</v>
      </c>
      <c r="HN24">
        <v>1.8743799999999999</v>
      </c>
      <c r="HO24">
        <v>1.8725799999999999</v>
      </c>
      <c r="HP24">
        <v>1.8730199999999999</v>
      </c>
      <c r="HQ24">
        <v>1.87042</v>
      </c>
      <c r="HR24">
        <v>1.87635</v>
      </c>
      <c r="HS24">
        <v>1.8754500000000001</v>
      </c>
      <c r="HT24">
        <v>5</v>
      </c>
      <c r="HU24">
        <v>0</v>
      </c>
      <c r="HV24">
        <v>0</v>
      </c>
      <c r="HW24">
        <v>0</v>
      </c>
      <c r="HX24" t="s">
        <v>428</v>
      </c>
      <c r="HY24" t="s">
        <v>429</v>
      </c>
      <c r="HZ24" t="s">
        <v>430</v>
      </c>
      <c r="IA24" t="s">
        <v>431</v>
      </c>
      <c r="IB24" t="s">
        <v>431</v>
      </c>
      <c r="IC24" t="s">
        <v>430</v>
      </c>
      <c r="ID24">
        <v>0</v>
      </c>
      <c r="IE24">
        <v>100</v>
      </c>
      <c r="IF24">
        <v>100</v>
      </c>
      <c r="IG24">
        <v>-3.145</v>
      </c>
      <c r="IH24">
        <v>0.3765</v>
      </c>
      <c r="II24">
        <v>-2.4359177055225079</v>
      </c>
      <c r="IJ24">
        <v>-2.536945948238235E-3</v>
      </c>
      <c r="IK24">
        <v>1.581473279927893E-6</v>
      </c>
      <c r="IL24">
        <v>-4.6698293441882044E-10</v>
      </c>
      <c r="IM24">
        <v>-0.12978774599434981</v>
      </c>
      <c r="IN24">
        <v>-1.5895243091576399E-2</v>
      </c>
      <c r="IO24">
        <v>1.559614309849521E-3</v>
      </c>
      <c r="IP24">
        <v>-2.4566050869858518E-6</v>
      </c>
      <c r="IQ24">
        <v>2</v>
      </c>
      <c r="IR24">
        <v>2224</v>
      </c>
      <c r="IS24">
        <v>2</v>
      </c>
      <c r="IT24">
        <v>25</v>
      </c>
      <c r="IU24">
        <v>1.7</v>
      </c>
      <c r="IV24">
        <v>1.4</v>
      </c>
      <c r="IW24">
        <v>0.9375</v>
      </c>
      <c r="IX24">
        <v>2.5146500000000001</v>
      </c>
      <c r="IY24">
        <v>1.65039</v>
      </c>
      <c r="IZ24">
        <v>2.2936999999999999</v>
      </c>
      <c r="JA24">
        <v>1.50024</v>
      </c>
      <c r="JB24">
        <v>2.2790499999999998</v>
      </c>
      <c r="JC24">
        <v>39.118000000000002</v>
      </c>
      <c r="JD24">
        <v>23.8248</v>
      </c>
      <c r="JE24">
        <v>18</v>
      </c>
      <c r="JF24">
        <v>507.71800000000002</v>
      </c>
      <c r="JG24">
        <v>455.959</v>
      </c>
      <c r="JH24">
        <v>24.347999999999999</v>
      </c>
      <c r="JI24">
        <v>33.165900000000001</v>
      </c>
      <c r="JJ24">
        <v>29.999700000000001</v>
      </c>
      <c r="JK24">
        <v>33.1845</v>
      </c>
      <c r="JL24">
        <v>33.164000000000001</v>
      </c>
      <c r="JM24">
        <v>18.798500000000001</v>
      </c>
      <c r="JN24">
        <v>35.348199999999999</v>
      </c>
      <c r="JO24">
        <v>47.619500000000002</v>
      </c>
      <c r="JP24">
        <v>24.351400000000002</v>
      </c>
      <c r="JQ24">
        <v>400</v>
      </c>
      <c r="JR24">
        <v>16.663499999999999</v>
      </c>
      <c r="JS24">
        <v>99.746499999999997</v>
      </c>
      <c r="JT24">
        <v>98.875600000000006</v>
      </c>
    </row>
    <row r="25" spans="1:280" x14ac:dyDescent="0.25">
      <c r="A25">
        <v>9</v>
      </c>
      <c r="B25">
        <v>1674759206.5999999</v>
      </c>
      <c r="C25">
        <v>1076.599999904633</v>
      </c>
      <c r="D25" t="s">
        <v>468</v>
      </c>
      <c r="E25" t="s">
        <v>469</v>
      </c>
      <c r="F25" t="s">
        <v>419</v>
      </c>
      <c r="G25" t="s">
        <v>420</v>
      </c>
      <c r="H25" t="s">
        <v>421</v>
      </c>
      <c r="I25">
        <v>1674759206.5999999</v>
      </c>
      <c r="J25">
        <f t="shared" si="0"/>
        <v>6.6382503239445821E-3</v>
      </c>
      <c r="K25">
        <f t="shared" si="1"/>
        <v>6.6382503239445825</v>
      </c>
      <c r="L25">
        <f t="shared" si="2"/>
        <v>52.740524343558668</v>
      </c>
      <c r="M25">
        <f t="shared" si="3"/>
        <v>333.98099999999999</v>
      </c>
      <c r="N25">
        <f t="shared" si="4"/>
        <v>162.83258485626951</v>
      </c>
      <c r="O25">
        <f t="shared" si="5"/>
        <v>16.14755462357066</v>
      </c>
      <c r="P25">
        <f t="shared" si="6"/>
        <v>33.119761904504998</v>
      </c>
      <c r="Q25">
        <f t="shared" si="7"/>
        <v>0.55417538771283359</v>
      </c>
      <c r="R25">
        <f t="shared" si="8"/>
        <v>2.9126864173456761</v>
      </c>
      <c r="S25">
        <f t="shared" si="9"/>
        <v>0.50157186982937363</v>
      </c>
      <c r="T25">
        <f t="shared" si="10"/>
        <v>0.31779149557527858</v>
      </c>
      <c r="U25">
        <f t="shared" si="11"/>
        <v>344.35359860497886</v>
      </c>
      <c r="V25">
        <f t="shared" si="12"/>
        <v>28.290966023243936</v>
      </c>
      <c r="W25">
        <f t="shared" si="13"/>
        <v>27.723400000000002</v>
      </c>
      <c r="X25">
        <f t="shared" si="14"/>
        <v>3.7340772581782429</v>
      </c>
      <c r="Y25">
        <f t="shared" si="15"/>
        <v>64.950040126854432</v>
      </c>
      <c r="Z25">
        <f t="shared" si="16"/>
        <v>2.4626241352859997</v>
      </c>
      <c r="AA25">
        <f t="shared" si="17"/>
        <v>3.7915667649723219</v>
      </c>
      <c r="AB25">
        <f t="shared" si="18"/>
        <v>1.2714531228922432</v>
      </c>
      <c r="AC25">
        <f t="shared" si="19"/>
        <v>-292.74683928595607</v>
      </c>
      <c r="AD25">
        <f t="shared" si="20"/>
        <v>41.110126784541507</v>
      </c>
      <c r="AE25">
        <f t="shared" si="21"/>
        <v>3.0720978533550616</v>
      </c>
      <c r="AF25">
        <f t="shared" si="22"/>
        <v>95.788983956919338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52199.63120271451</v>
      </c>
      <c r="AL25" t="s">
        <v>422</v>
      </c>
      <c r="AM25">
        <v>10424.1</v>
      </c>
      <c r="AN25">
        <v>628.54280000000006</v>
      </c>
      <c r="AO25">
        <v>2663.98</v>
      </c>
      <c r="AP25">
        <f t="shared" si="26"/>
        <v>0.76405873917972356</v>
      </c>
      <c r="AQ25">
        <v>-3.1675626227050531</v>
      </c>
      <c r="AR25" t="s">
        <v>470</v>
      </c>
      <c r="AS25">
        <v>10184.6</v>
      </c>
      <c r="AT25">
        <v>723.26380769230775</v>
      </c>
      <c r="AU25">
        <v>1094.5775067585409</v>
      </c>
      <c r="AV25">
        <f t="shared" si="27"/>
        <v>0.33923015663443867</v>
      </c>
      <c r="AW25">
        <v>0.5</v>
      </c>
      <c r="AX25">
        <f t="shared" si="28"/>
        <v>1513.1171993024893</v>
      </c>
      <c r="AY25">
        <f t="shared" si="29"/>
        <v>52.740524343558668</v>
      </c>
      <c r="AZ25">
        <f t="shared" si="30"/>
        <v>256.64749226282333</v>
      </c>
      <c r="BA25">
        <f t="shared" si="31"/>
        <v>3.6948946844326404E-2</v>
      </c>
      <c r="BB25">
        <f t="shared" si="32"/>
        <v>1.433797500452074</v>
      </c>
      <c r="BC25">
        <f t="shared" si="33"/>
        <v>469.6604363534471</v>
      </c>
      <c r="BD25" t="s">
        <v>471</v>
      </c>
      <c r="BE25">
        <v>548</v>
      </c>
      <c r="BF25">
        <f t="shared" si="34"/>
        <v>548</v>
      </c>
      <c r="BG25">
        <f t="shared" si="35"/>
        <v>0.49935020899265892</v>
      </c>
      <c r="BH25">
        <f t="shared" si="36"/>
        <v>0.67934317544147815</v>
      </c>
      <c r="BI25">
        <f t="shared" si="37"/>
        <v>0.7416906082484046</v>
      </c>
      <c r="BJ25">
        <f t="shared" si="38"/>
        <v>0.79675117256581496</v>
      </c>
      <c r="BK25">
        <f t="shared" si="39"/>
        <v>0.77103950602920057</v>
      </c>
      <c r="BL25">
        <f t="shared" si="40"/>
        <v>0.51472236849476938</v>
      </c>
      <c r="BM25">
        <f t="shared" si="41"/>
        <v>0.48527763150523062</v>
      </c>
      <c r="BN25">
        <v>20405</v>
      </c>
      <c r="BO25">
        <v>290.00000000000011</v>
      </c>
      <c r="BP25">
        <v>999.81</v>
      </c>
      <c r="BQ25">
        <v>215</v>
      </c>
      <c r="BR25">
        <v>10184.6</v>
      </c>
      <c r="BS25">
        <v>999.51</v>
      </c>
      <c r="BT25">
        <v>0.3</v>
      </c>
      <c r="BU25">
        <v>300.00000000000011</v>
      </c>
      <c r="BV25">
        <v>24.2</v>
      </c>
      <c r="BW25">
        <v>1094.5775067585409</v>
      </c>
      <c r="BX25">
        <v>2.5597820289785842</v>
      </c>
      <c r="BY25">
        <v>-96.826686301946935</v>
      </c>
      <c r="BZ25">
        <v>2.319592832071196</v>
      </c>
      <c r="CA25">
        <v>0.98418503747727137</v>
      </c>
      <c r="CB25">
        <v>-6.9360769744160177E-3</v>
      </c>
      <c r="CC25">
        <v>289.99999999999989</v>
      </c>
      <c r="CD25">
        <v>997.79</v>
      </c>
      <c r="CE25">
        <v>665</v>
      </c>
      <c r="CF25">
        <v>10151.700000000001</v>
      </c>
      <c r="CG25">
        <v>999.2</v>
      </c>
      <c r="CH25">
        <v>-1.41</v>
      </c>
      <c r="CV25">
        <f t="shared" si="42"/>
        <v>1799.92</v>
      </c>
      <c r="CW25">
        <f t="shared" si="43"/>
        <v>1513.1171993024893</v>
      </c>
      <c r="CX25">
        <f t="shared" si="44"/>
        <v>0.84065802885822105</v>
      </c>
      <c r="CY25">
        <f t="shared" si="45"/>
        <v>0.19131605771644231</v>
      </c>
      <c r="CZ25">
        <v>6</v>
      </c>
      <c r="DA25">
        <v>0.5</v>
      </c>
      <c r="DB25" t="s">
        <v>425</v>
      </c>
      <c r="DC25">
        <v>2</v>
      </c>
      <c r="DD25">
        <v>1674759206.5999999</v>
      </c>
      <c r="DE25">
        <v>333.98099999999999</v>
      </c>
      <c r="DF25">
        <v>399.92599999999999</v>
      </c>
      <c r="DG25">
        <v>24.833200000000001</v>
      </c>
      <c r="DH25">
        <v>17.0656</v>
      </c>
      <c r="DI25">
        <v>337.20400000000001</v>
      </c>
      <c r="DJ25">
        <v>24.4604</v>
      </c>
      <c r="DK25">
        <v>500.03100000000001</v>
      </c>
      <c r="DL25">
        <v>99.066599999999994</v>
      </c>
      <c r="DM25">
        <v>0.100005</v>
      </c>
      <c r="DN25">
        <v>27.985199999999999</v>
      </c>
      <c r="DO25">
        <v>27.723400000000002</v>
      </c>
      <c r="DP25">
        <v>999.9</v>
      </c>
      <c r="DQ25">
        <v>0</v>
      </c>
      <c r="DR25">
        <v>0</v>
      </c>
      <c r="DS25">
        <v>9997.5</v>
      </c>
      <c r="DT25">
        <v>0</v>
      </c>
      <c r="DU25">
        <v>410.267</v>
      </c>
      <c r="DV25">
        <v>-65.945400000000006</v>
      </c>
      <c r="DW25">
        <v>342.48599999999999</v>
      </c>
      <c r="DX25">
        <v>406.87</v>
      </c>
      <c r="DY25">
        <v>7.7675999999999998</v>
      </c>
      <c r="DZ25">
        <v>399.92599999999999</v>
      </c>
      <c r="EA25">
        <v>17.0656</v>
      </c>
      <c r="EB25">
        <v>2.46014</v>
      </c>
      <c r="EC25">
        <v>1.6906300000000001</v>
      </c>
      <c r="ED25">
        <v>20.7652</v>
      </c>
      <c r="EE25">
        <v>14.810700000000001</v>
      </c>
      <c r="EF25">
        <v>1799.92</v>
      </c>
      <c r="EG25">
        <v>0.97800699999999996</v>
      </c>
      <c r="EH25">
        <v>2.1992999999999999E-2</v>
      </c>
      <c r="EI25">
        <v>0</v>
      </c>
      <c r="EJ25">
        <v>724.12699999999995</v>
      </c>
      <c r="EK25">
        <v>5.0010599999999998</v>
      </c>
      <c r="EL25">
        <v>13596.8</v>
      </c>
      <c r="EM25">
        <v>16710.3</v>
      </c>
      <c r="EN25">
        <v>50.561999999999998</v>
      </c>
      <c r="EO25">
        <v>51.25</v>
      </c>
      <c r="EP25">
        <v>51.436999999999998</v>
      </c>
      <c r="EQ25">
        <v>50.25</v>
      </c>
      <c r="ER25">
        <v>51.25</v>
      </c>
      <c r="ES25">
        <v>1755.44</v>
      </c>
      <c r="ET25">
        <v>39.479999999999997</v>
      </c>
      <c r="EU25">
        <v>0</v>
      </c>
      <c r="EV25">
        <v>187.79999995231631</v>
      </c>
      <c r="EW25">
        <v>0</v>
      </c>
      <c r="EX25">
        <v>723.26380769230775</v>
      </c>
      <c r="EY25">
        <v>5.7997606830062729</v>
      </c>
      <c r="EZ25">
        <v>120.4136752154288</v>
      </c>
      <c r="FA25">
        <v>13582.72692307692</v>
      </c>
      <c r="FB25">
        <v>15</v>
      </c>
      <c r="FC25">
        <v>1674759092.5999999</v>
      </c>
      <c r="FD25" t="s">
        <v>472</v>
      </c>
      <c r="FE25">
        <v>1674759084.5999999</v>
      </c>
      <c r="FF25">
        <v>1674759092.5999999</v>
      </c>
      <c r="FG25">
        <v>14</v>
      </c>
      <c r="FH25">
        <v>-9.2999999999999999E-2</v>
      </c>
      <c r="FI25">
        <v>-6.0000000000000001E-3</v>
      </c>
      <c r="FJ25">
        <v>-3.3260000000000001</v>
      </c>
      <c r="FK25">
        <v>2.9000000000000001E-2</v>
      </c>
      <c r="FL25">
        <v>400</v>
      </c>
      <c r="FM25">
        <v>17</v>
      </c>
      <c r="FN25">
        <v>0.04</v>
      </c>
      <c r="FO25">
        <v>0.01</v>
      </c>
      <c r="FP25">
        <v>52.682718230812888</v>
      </c>
      <c r="FQ25">
        <v>0.81162584337148969</v>
      </c>
      <c r="FR25">
        <v>8.7273064823390964E-2</v>
      </c>
      <c r="FS25">
        <v>0</v>
      </c>
      <c r="FT25">
        <v>0.55142099453801641</v>
      </c>
      <c r="FU25">
        <v>1.2688176034058401E-2</v>
      </c>
      <c r="FV25">
        <v>1.8215087399079349E-3</v>
      </c>
      <c r="FW25">
        <v>1</v>
      </c>
      <c r="FX25">
        <v>1</v>
      </c>
      <c r="FY25">
        <v>2</v>
      </c>
      <c r="FZ25" t="s">
        <v>467</v>
      </c>
      <c r="GA25">
        <v>2.9769700000000001</v>
      </c>
      <c r="GB25">
        <v>2.8063099999999999</v>
      </c>
      <c r="GC25">
        <v>8.4477200000000002E-2</v>
      </c>
      <c r="GD25">
        <v>9.5471799999999996E-2</v>
      </c>
      <c r="GE25">
        <v>0.120737</v>
      </c>
      <c r="GF25">
        <v>9.2840199999999998E-2</v>
      </c>
      <c r="GG25">
        <v>27018.7</v>
      </c>
      <c r="GH25">
        <v>24733.5</v>
      </c>
      <c r="GI25">
        <v>26532.400000000001</v>
      </c>
      <c r="GJ25">
        <v>25828.3</v>
      </c>
      <c r="GK25">
        <v>31735.5</v>
      </c>
      <c r="GL25">
        <v>33069</v>
      </c>
      <c r="GM25">
        <v>37577.199999999997</v>
      </c>
      <c r="GN25">
        <v>38319.1</v>
      </c>
      <c r="GO25">
        <v>1.9653499999999999</v>
      </c>
      <c r="GP25">
        <v>1.89825</v>
      </c>
      <c r="GQ25">
        <v>3.7506200000000003E-2</v>
      </c>
      <c r="GR25">
        <v>0</v>
      </c>
      <c r="GS25">
        <v>27.110499999999998</v>
      </c>
      <c r="GT25">
        <v>999.9</v>
      </c>
      <c r="GU25">
        <v>38.4</v>
      </c>
      <c r="GV25">
        <v>34.9</v>
      </c>
      <c r="GW25">
        <v>21.771699999999999</v>
      </c>
      <c r="GX25">
        <v>61.928199999999997</v>
      </c>
      <c r="GY25">
        <v>12.616199999999999</v>
      </c>
      <c r="GZ25">
        <v>1</v>
      </c>
      <c r="HA25">
        <v>0.47714899999999999</v>
      </c>
      <c r="HB25">
        <v>2.9081700000000001</v>
      </c>
      <c r="HC25">
        <v>20.2301</v>
      </c>
      <c r="HD25">
        <v>5.2059100000000003</v>
      </c>
      <c r="HE25">
        <v>11.9381</v>
      </c>
      <c r="HF25">
        <v>4.9832999999999998</v>
      </c>
      <c r="HG25">
        <v>3.29095</v>
      </c>
      <c r="HH25">
        <v>9999</v>
      </c>
      <c r="HI25">
        <v>9999</v>
      </c>
      <c r="HJ25">
        <v>9999</v>
      </c>
      <c r="HK25">
        <v>999.9</v>
      </c>
      <c r="HL25">
        <v>1.8702799999999999</v>
      </c>
      <c r="HM25">
        <v>1.8765400000000001</v>
      </c>
      <c r="HN25">
        <v>1.8743700000000001</v>
      </c>
      <c r="HO25">
        <v>1.8725799999999999</v>
      </c>
      <c r="HP25">
        <v>1.8730199999999999</v>
      </c>
      <c r="HQ25">
        <v>1.87042</v>
      </c>
      <c r="HR25">
        <v>1.87636</v>
      </c>
      <c r="HS25">
        <v>1.8754200000000001</v>
      </c>
      <c r="HT25">
        <v>5</v>
      </c>
      <c r="HU25">
        <v>0</v>
      </c>
      <c r="HV25">
        <v>0</v>
      </c>
      <c r="HW25">
        <v>0</v>
      </c>
      <c r="HX25" t="s">
        <v>428</v>
      </c>
      <c r="HY25" t="s">
        <v>429</v>
      </c>
      <c r="HZ25" t="s">
        <v>430</v>
      </c>
      <c r="IA25" t="s">
        <v>431</v>
      </c>
      <c r="IB25" t="s">
        <v>431</v>
      </c>
      <c r="IC25" t="s">
        <v>430</v>
      </c>
      <c r="ID25">
        <v>0</v>
      </c>
      <c r="IE25">
        <v>100</v>
      </c>
      <c r="IF25">
        <v>100</v>
      </c>
      <c r="IG25">
        <v>-3.2229999999999999</v>
      </c>
      <c r="IH25">
        <v>0.37280000000000002</v>
      </c>
      <c r="II25">
        <v>-2.5291063254231361</v>
      </c>
      <c r="IJ25">
        <v>-2.536945948238235E-3</v>
      </c>
      <c r="IK25">
        <v>1.581473279927893E-6</v>
      </c>
      <c r="IL25">
        <v>-4.6698293441882044E-10</v>
      </c>
      <c r="IM25">
        <v>-0.13562041546558329</v>
      </c>
      <c r="IN25">
        <v>-1.5895243091576399E-2</v>
      </c>
      <c r="IO25">
        <v>1.559614309849521E-3</v>
      </c>
      <c r="IP25">
        <v>-2.4566050869858518E-6</v>
      </c>
      <c r="IQ25">
        <v>2</v>
      </c>
      <c r="IR25">
        <v>2224</v>
      </c>
      <c r="IS25">
        <v>2</v>
      </c>
      <c r="IT25">
        <v>25</v>
      </c>
      <c r="IU25">
        <v>2</v>
      </c>
      <c r="IV25">
        <v>1.9</v>
      </c>
      <c r="IW25">
        <v>0.93872100000000003</v>
      </c>
      <c r="IX25">
        <v>2.5061</v>
      </c>
      <c r="IY25">
        <v>1.65039</v>
      </c>
      <c r="IZ25">
        <v>2.2949199999999998</v>
      </c>
      <c r="JA25">
        <v>1.50024</v>
      </c>
      <c r="JB25">
        <v>2.4182100000000002</v>
      </c>
      <c r="JC25">
        <v>39.118000000000002</v>
      </c>
      <c r="JD25">
        <v>23.842300000000002</v>
      </c>
      <c r="JE25">
        <v>18</v>
      </c>
      <c r="JF25">
        <v>507.35899999999998</v>
      </c>
      <c r="JG25">
        <v>456.58600000000001</v>
      </c>
      <c r="JH25">
        <v>24.449200000000001</v>
      </c>
      <c r="JI25">
        <v>33.192500000000003</v>
      </c>
      <c r="JJ25">
        <v>30.0001</v>
      </c>
      <c r="JK25">
        <v>33.199399999999997</v>
      </c>
      <c r="JL25">
        <v>33.175800000000002</v>
      </c>
      <c r="JM25">
        <v>18.811599999999999</v>
      </c>
      <c r="JN25">
        <v>32.076599999999999</v>
      </c>
      <c r="JO25">
        <v>46.470100000000002</v>
      </c>
      <c r="JP25">
        <v>24.450099999999999</v>
      </c>
      <c r="JQ25">
        <v>400</v>
      </c>
      <c r="JR25">
        <v>17.164100000000001</v>
      </c>
      <c r="JS25">
        <v>99.740099999999998</v>
      </c>
      <c r="JT25">
        <v>98.863500000000002</v>
      </c>
    </row>
    <row r="26" spans="1:280" x14ac:dyDescent="0.25">
      <c r="A26">
        <v>10</v>
      </c>
      <c r="B26">
        <v>1674759312.5999999</v>
      </c>
      <c r="C26">
        <v>1182.599999904633</v>
      </c>
      <c r="D26" t="s">
        <v>473</v>
      </c>
      <c r="E26" t="s">
        <v>474</v>
      </c>
      <c r="F26" t="s">
        <v>419</v>
      </c>
      <c r="G26" t="s">
        <v>420</v>
      </c>
      <c r="H26" t="s">
        <v>421</v>
      </c>
      <c r="I26">
        <v>1674759312.5999999</v>
      </c>
      <c r="J26">
        <f t="shared" si="0"/>
        <v>6.5349299569357868E-3</v>
      </c>
      <c r="K26">
        <f t="shared" si="1"/>
        <v>6.5349299569357866</v>
      </c>
      <c r="L26">
        <f t="shared" si="2"/>
        <v>54.628721778883943</v>
      </c>
      <c r="M26">
        <f t="shared" si="3"/>
        <v>431.07600000000002</v>
      </c>
      <c r="N26">
        <f t="shared" si="4"/>
        <v>251.71676038351305</v>
      </c>
      <c r="O26">
        <f t="shared" si="5"/>
        <v>24.962117354773699</v>
      </c>
      <c r="P26">
        <f t="shared" si="6"/>
        <v>42.748721556847208</v>
      </c>
      <c r="Q26">
        <f t="shared" si="7"/>
        <v>0.5526686843884735</v>
      </c>
      <c r="R26">
        <f t="shared" si="8"/>
        <v>2.9146816863635419</v>
      </c>
      <c r="S26">
        <f t="shared" si="9"/>
        <v>0.50036857780434063</v>
      </c>
      <c r="T26">
        <f t="shared" si="10"/>
        <v>0.31701585785359154</v>
      </c>
      <c r="U26">
        <f t="shared" si="11"/>
        <v>344.35739860499439</v>
      </c>
      <c r="V26">
        <f t="shared" si="12"/>
        <v>28.33646874534616</v>
      </c>
      <c r="W26">
        <f t="shared" si="13"/>
        <v>27.728300000000001</v>
      </c>
      <c r="X26">
        <f t="shared" si="14"/>
        <v>3.7351462398911375</v>
      </c>
      <c r="Y26">
        <f t="shared" si="15"/>
        <v>65.352468635200182</v>
      </c>
      <c r="Z26">
        <f t="shared" si="16"/>
        <v>2.4805853164990204</v>
      </c>
      <c r="AA26">
        <f t="shared" si="17"/>
        <v>3.7957025469775845</v>
      </c>
      <c r="AB26">
        <f t="shared" si="18"/>
        <v>1.2545609233921171</v>
      </c>
      <c r="AC26">
        <f t="shared" si="19"/>
        <v>-288.19041110086818</v>
      </c>
      <c r="AD26">
        <f t="shared" si="20"/>
        <v>43.30676953713386</v>
      </c>
      <c r="AE26">
        <f t="shared" si="21"/>
        <v>3.234414870162762</v>
      </c>
      <c r="AF26">
        <f t="shared" si="22"/>
        <v>102.70817191142284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52253.548009345024</v>
      </c>
      <c r="AL26" t="s">
        <v>422</v>
      </c>
      <c r="AM26">
        <v>10424.1</v>
      </c>
      <c r="AN26">
        <v>628.54280000000006</v>
      </c>
      <c r="AO26">
        <v>2663.98</v>
      </c>
      <c r="AP26">
        <f t="shared" si="26"/>
        <v>0.76405873917972356</v>
      </c>
      <c r="AQ26">
        <v>-3.1675626227050531</v>
      </c>
      <c r="AR26" t="s">
        <v>475</v>
      </c>
      <c r="AS26">
        <v>10199.4</v>
      </c>
      <c r="AT26">
        <v>732.10453846153848</v>
      </c>
      <c r="AU26">
        <v>1126.369589517238</v>
      </c>
      <c r="AV26">
        <f t="shared" si="27"/>
        <v>0.35003169006425461</v>
      </c>
      <c r="AW26">
        <v>0.5</v>
      </c>
      <c r="AX26">
        <f t="shared" si="28"/>
        <v>1513.1339993024972</v>
      </c>
      <c r="AY26">
        <f t="shared" si="29"/>
        <v>54.628721778883943</v>
      </c>
      <c r="AZ26">
        <f t="shared" si="30"/>
        <v>264.82242553476885</v>
      </c>
      <c r="BA26">
        <f t="shared" si="31"/>
        <v>3.81964085323779E-2</v>
      </c>
      <c r="BB26">
        <f t="shared" si="32"/>
        <v>1.3651029154132099</v>
      </c>
      <c r="BC26">
        <f t="shared" si="33"/>
        <v>475.41816633906058</v>
      </c>
      <c r="BD26" t="s">
        <v>476</v>
      </c>
      <c r="BE26">
        <v>554.91999999999996</v>
      </c>
      <c r="BF26">
        <f t="shared" si="34"/>
        <v>554.91999999999996</v>
      </c>
      <c r="BG26">
        <f t="shared" si="35"/>
        <v>0.50733755140012371</v>
      </c>
      <c r="BH26">
        <f t="shared" si="36"/>
        <v>0.68993846226886879</v>
      </c>
      <c r="BI26">
        <f t="shared" si="37"/>
        <v>0.72905010311833807</v>
      </c>
      <c r="BJ26">
        <f t="shared" si="38"/>
        <v>0.7919723473259318</v>
      </c>
      <c r="BK26">
        <f t="shared" si="39"/>
        <v>0.75542021659167979</v>
      </c>
      <c r="BL26">
        <f t="shared" si="40"/>
        <v>0.52295899201334406</v>
      </c>
      <c r="BM26">
        <f t="shared" si="41"/>
        <v>0.47704100798665594</v>
      </c>
      <c r="BN26">
        <v>20407</v>
      </c>
      <c r="BO26">
        <v>290.00000000000011</v>
      </c>
      <c r="BP26">
        <v>1025.73</v>
      </c>
      <c r="BQ26">
        <v>145</v>
      </c>
      <c r="BR26">
        <v>10199.4</v>
      </c>
      <c r="BS26">
        <v>1024.08</v>
      </c>
      <c r="BT26">
        <v>1.65</v>
      </c>
      <c r="BU26">
        <v>300.00000000000011</v>
      </c>
      <c r="BV26">
        <v>24.2</v>
      </c>
      <c r="BW26">
        <v>1126.369589517238</v>
      </c>
      <c r="BX26">
        <v>1.994201772903812</v>
      </c>
      <c r="BY26">
        <v>-104.3332811682541</v>
      </c>
      <c r="BZ26">
        <v>1.807119188840455</v>
      </c>
      <c r="CA26">
        <v>0.99166984652663004</v>
      </c>
      <c r="CB26">
        <v>-6.9362171301446118E-3</v>
      </c>
      <c r="CC26">
        <v>289.99999999999989</v>
      </c>
      <c r="CD26">
        <v>1020.98</v>
      </c>
      <c r="CE26">
        <v>665</v>
      </c>
      <c r="CF26">
        <v>10151.9</v>
      </c>
      <c r="CG26">
        <v>1023.6</v>
      </c>
      <c r="CH26">
        <v>-2.62</v>
      </c>
      <c r="CV26">
        <f t="shared" si="42"/>
        <v>1799.94</v>
      </c>
      <c r="CW26">
        <f t="shared" si="43"/>
        <v>1513.1339993024972</v>
      </c>
      <c r="CX26">
        <f t="shared" si="44"/>
        <v>0.84065802154654989</v>
      </c>
      <c r="CY26">
        <f t="shared" si="45"/>
        <v>0.19131604309309996</v>
      </c>
      <c r="CZ26">
        <v>6</v>
      </c>
      <c r="DA26">
        <v>0.5</v>
      </c>
      <c r="DB26" t="s">
        <v>425</v>
      </c>
      <c r="DC26">
        <v>2</v>
      </c>
      <c r="DD26">
        <v>1674759312.5999999</v>
      </c>
      <c r="DE26">
        <v>431.07600000000002</v>
      </c>
      <c r="DF26">
        <v>500.005</v>
      </c>
      <c r="DG26">
        <v>25.014099999999999</v>
      </c>
      <c r="DH26">
        <v>17.369</v>
      </c>
      <c r="DI26">
        <v>434.44200000000001</v>
      </c>
      <c r="DJ26">
        <v>24.638200000000001</v>
      </c>
      <c r="DK26">
        <v>500.04300000000001</v>
      </c>
      <c r="DL26">
        <v>99.067700000000002</v>
      </c>
      <c r="DM26">
        <v>9.9782200000000001E-2</v>
      </c>
      <c r="DN26">
        <v>28.003900000000002</v>
      </c>
      <c r="DO26">
        <v>27.728300000000001</v>
      </c>
      <c r="DP26">
        <v>999.9</v>
      </c>
      <c r="DQ26">
        <v>0</v>
      </c>
      <c r="DR26">
        <v>0</v>
      </c>
      <c r="DS26">
        <v>10008.799999999999</v>
      </c>
      <c r="DT26">
        <v>0</v>
      </c>
      <c r="DU26">
        <v>447.97300000000001</v>
      </c>
      <c r="DV26">
        <v>-68.9285</v>
      </c>
      <c r="DW26">
        <v>442.13600000000002</v>
      </c>
      <c r="DX26">
        <v>508.84300000000002</v>
      </c>
      <c r="DY26">
        <v>7.6451500000000001</v>
      </c>
      <c r="DZ26">
        <v>500.005</v>
      </c>
      <c r="EA26">
        <v>17.369</v>
      </c>
      <c r="EB26">
        <v>2.4780899999999999</v>
      </c>
      <c r="EC26">
        <v>1.72071</v>
      </c>
      <c r="ED26">
        <v>20.883299999999998</v>
      </c>
      <c r="EE26">
        <v>15.0845</v>
      </c>
      <c r="EF26">
        <v>1799.94</v>
      </c>
      <c r="EG26">
        <v>0.97800699999999996</v>
      </c>
      <c r="EH26">
        <v>2.1992999999999999E-2</v>
      </c>
      <c r="EI26">
        <v>0</v>
      </c>
      <c r="EJ26">
        <v>732.65</v>
      </c>
      <c r="EK26">
        <v>5.0010599999999998</v>
      </c>
      <c r="EL26">
        <v>13787.9</v>
      </c>
      <c r="EM26">
        <v>16710.5</v>
      </c>
      <c r="EN26">
        <v>50.561999999999998</v>
      </c>
      <c r="EO26">
        <v>51.25</v>
      </c>
      <c r="EP26">
        <v>51.5</v>
      </c>
      <c r="EQ26">
        <v>50.186999999999998</v>
      </c>
      <c r="ER26">
        <v>51.25</v>
      </c>
      <c r="ES26">
        <v>1755.46</v>
      </c>
      <c r="ET26">
        <v>39.479999999999997</v>
      </c>
      <c r="EU26">
        <v>0</v>
      </c>
      <c r="EV26">
        <v>103.7999999523163</v>
      </c>
      <c r="EW26">
        <v>0</v>
      </c>
      <c r="EX26">
        <v>732.10453846153848</v>
      </c>
      <c r="EY26">
        <v>3.469538461402994</v>
      </c>
      <c r="EZ26">
        <v>79.470085538028272</v>
      </c>
      <c r="FA26">
        <v>13778.634615384621</v>
      </c>
      <c r="FB26">
        <v>15</v>
      </c>
      <c r="FC26">
        <v>1674759277.5999999</v>
      </c>
      <c r="FD26" t="s">
        <v>477</v>
      </c>
      <c r="FE26">
        <v>1674759273.5999999</v>
      </c>
      <c r="FF26">
        <v>1674759277.5999999</v>
      </c>
      <c r="FG26">
        <v>15</v>
      </c>
      <c r="FH26">
        <v>5.0000000000000001E-3</v>
      </c>
      <c r="FI26">
        <v>-7.0000000000000001E-3</v>
      </c>
      <c r="FJ26">
        <v>-3.46</v>
      </c>
      <c r="FK26">
        <v>3.1E-2</v>
      </c>
      <c r="FL26">
        <v>500</v>
      </c>
      <c r="FM26">
        <v>17</v>
      </c>
      <c r="FN26">
        <v>0.04</v>
      </c>
      <c r="FO26">
        <v>0.02</v>
      </c>
      <c r="FP26">
        <v>54.639988250376312</v>
      </c>
      <c r="FQ26">
        <v>-0.68913171330516232</v>
      </c>
      <c r="FR26">
        <v>8.9718750455114155E-2</v>
      </c>
      <c r="FS26">
        <v>1</v>
      </c>
      <c r="FT26">
        <v>0.55894432731714949</v>
      </c>
      <c r="FU26">
        <v>-1.8260891965038831E-2</v>
      </c>
      <c r="FV26">
        <v>2.50294418538683E-3</v>
      </c>
      <c r="FW26">
        <v>1</v>
      </c>
      <c r="FX26">
        <v>2</v>
      </c>
      <c r="FY26">
        <v>2</v>
      </c>
      <c r="FZ26" t="s">
        <v>427</v>
      </c>
      <c r="GA26">
        <v>2.97702</v>
      </c>
      <c r="GB26">
        <v>2.8061799999999999</v>
      </c>
      <c r="GC26">
        <v>0.10293099999999999</v>
      </c>
      <c r="GD26">
        <v>0.11294999999999999</v>
      </c>
      <c r="GE26">
        <v>0.121351</v>
      </c>
      <c r="GF26">
        <v>9.4008999999999995E-2</v>
      </c>
      <c r="GG26">
        <v>26475.200000000001</v>
      </c>
      <c r="GH26">
        <v>24256.2</v>
      </c>
      <c r="GI26">
        <v>26533.7</v>
      </c>
      <c r="GJ26">
        <v>25829.4</v>
      </c>
      <c r="GK26">
        <v>31714.7</v>
      </c>
      <c r="GL26">
        <v>33028</v>
      </c>
      <c r="GM26">
        <v>37578.800000000003</v>
      </c>
      <c r="GN26">
        <v>38320.699999999997</v>
      </c>
      <c r="GO26">
        <v>1.9650000000000001</v>
      </c>
      <c r="GP26">
        <v>1.89937</v>
      </c>
      <c r="GQ26">
        <v>4.2483199999999999E-2</v>
      </c>
      <c r="GR26">
        <v>0</v>
      </c>
      <c r="GS26">
        <v>27.033999999999999</v>
      </c>
      <c r="GT26">
        <v>999.9</v>
      </c>
      <c r="GU26">
        <v>38.200000000000003</v>
      </c>
      <c r="GV26">
        <v>35</v>
      </c>
      <c r="GW26">
        <v>21.781099999999999</v>
      </c>
      <c r="GX26">
        <v>61.888300000000001</v>
      </c>
      <c r="GY26">
        <v>12.007199999999999</v>
      </c>
      <c r="GZ26">
        <v>1</v>
      </c>
      <c r="HA26">
        <v>0.47562199999999999</v>
      </c>
      <c r="HB26">
        <v>2.94</v>
      </c>
      <c r="HC26">
        <v>20.229299999999999</v>
      </c>
      <c r="HD26">
        <v>5.2051600000000002</v>
      </c>
      <c r="HE26">
        <v>11.9381</v>
      </c>
      <c r="HF26">
        <v>4.9861500000000003</v>
      </c>
      <c r="HG26">
        <v>3.2897799999999999</v>
      </c>
      <c r="HH26">
        <v>9999</v>
      </c>
      <c r="HI26">
        <v>9999</v>
      </c>
      <c r="HJ26">
        <v>9999</v>
      </c>
      <c r="HK26">
        <v>999.9</v>
      </c>
      <c r="HL26">
        <v>1.8702700000000001</v>
      </c>
      <c r="HM26">
        <v>1.8765400000000001</v>
      </c>
      <c r="HN26">
        <v>1.8743799999999999</v>
      </c>
      <c r="HO26">
        <v>1.8726</v>
      </c>
      <c r="HP26">
        <v>1.8730199999999999</v>
      </c>
      <c r="HQ26">
        <v>1.87042</v>
      </c>
      <c r="HR26">
        <v>1.87636</v>
      </c>
      <c r="HS26">
        <v>1.8754500000000001</v>
      </c>
      <c r="HT26">
        <v>5</v>
      </c>
      <c r="HU26">
        <v>0</v>
      </c>
      <c r="HV26">
        <v>0</v>
      </c>
      <c r="HW26">
        <v>0</v>
      </c>
      <c r="HX26" t="s">
        <v>428</v>
      </c>
      <c r="HY26" t="s">
        <v>429</v>
      </c>
      <c r="HZ26" t="s">
        <v>430</v>
      </c>
      <c r="IA26" t="s">
        <v>431</v>
      </c>
      <c r="IB26" t="s">
        <v>431</v>
      </c>
      <c r="IC26" t="s">
        <v>430</v>
      </c>
      <c r="ID26">
        <v>0</v>
      </c>
      <c r="IE26">
        <v>100</v>
      </c>
      <c r="IF26">
        <v>100</v>
      </c>
      <c r="IG26">
        <v>-3.3660000000000001</v>
      </c>
      <c r="IH26">
        <v>0.37590000000000001</v>
      </c>
      <c r="II26">
        <v>-2.5241724047187728</v>
      </c>
      <c r="IJ26">
        <v>-2.536945948238235E-3</v>
      </c>
      <c r="IK26">
        <v>1.581473279927893E-6</v>
      </c>
      <c r="IL26">
        <v>-4.6698293441882044E-10</v>
      </c>
      <c r="IM26">
        <v>-0.14244009318793571</v>
      </c>
      <c r="IN26">
        <v>-1.5895243091576399E-2</v>
      </c>
      <c r="IO26">
        <v>1.559614309849521E-3</v>
      </c>
      <c r="IP26">
        <v>-2.4566050869858518E-6</v>
      </c>
      <c r="IQ26">
        <v>2</v>
      </c>
      <c r="IR26">
        <v>2224</v>
      </c>
      <c r="IS26">
        <v>2</v>
      </c>
      <c r="IT26">
        <v>25</v>
      </c>
      <c r="IU26">
        <v>0.7</v>
      </c>
      <c r="IV26">
        <v>0.6</v>
      </c>
      <c r="IW26">
        <v>1.1206100000000001</v>
      </c>
      <c r="IX26">
        <v>2.49756</v>
      </c>
      <c r="IY26">
        <v>1.65039</v>
      </c>
      <c r="IZ26">
        <v>2.2936999999999999</v>
      </c>
      <c r="JA26">
        <v>1.50024</v>
      </c>
      <c r="JB26">
        <v>2.3779300000000001</v>
      </c>
      <c r="JC26">
        <v>39.0931</v>
      </c>
      <c r="JD26">
        <v>23.842300000000002</v>
      </c>
      <c r="JE26">
        <v>18</v>
      </c>
      <c r="JF26">
        <v>507.05599999999998</v>
      </c>
      <c r="JG26">
        <v>457.23</v>
      </c>
      <c r="JH26">
        <v>24.456900000000001</v>
      </c>
      <c r="JI26">
        <v>33.174799999999998</v>
      </c>
      <c r="JJ26">
        <v>29.9999</v>
      </c>
      <c r="JK26">
        <v>33.190399999999997</v>
      </c>
      <c r="JL26">
        <v>33.164000000000001</v>
      </c>
      <c r="JM26">
        <v>22.473400000000002</v>
      </c>
      <c r="JN26">
        <v>31.013999999999999</v>
      </c>
      <c r="JO26">
        <v>46.512799999999999</v>
      </c>
      <c r="JP26">
        <v>24.453399999999998</v>
      </c>
      <c r="JQ26">
        <v>500</v>
      </c>
      <c r="JR26">
        <v>17.312200000000001</v>
      </c>
      <c r="JS26">
        <v>99.744699999999995</v>
      </c>
      <c r="JT26">
        <v>98.867800000000003</v>
      </c>
    </row>
    <row r="27" spans="1:280" x14ac:dyDescent="0.25">
      <c r="A27">
        <v>11</v>
      </c>
      <c r="B27">
        <v>1674759417.0999999</v>
      </c>
      <c r="C27">
        <v>1287.099999904633</v>
      </c>
      <c r="D27" t="s">
        <v>478</v>
      </c>
      <c r="E27" t="s">
        <v>479</v>
      </c>
      <c r="F27" t="s">
        <v>419</v>
      </c>
      <c r="G27" t="s">
        <v>420</v>
      </c>
      <c r="H27" t="s">
        <v>421</v>
      </c>
      <c r="I27">
        <v>1674759417.0999999</v>
      </c>
      <c r="J27">
        <f t="shared" si="0"/>
        <v>6.4180664455064304E-3</v>
      </c>
      <c r="K27">
        <f t="shared" si="1"/>
        <v>6.4180664455064305</v>
      </c>
      <c r="L27">
        <f t="shared" si="2"/>
        <v>55.321941728406685</v>
      </c>
      <c r="M27">
        <f t="shared" si="3"/>
        <v>529.66099999999994</v>
      </c>
      <c r="N27">
        <f t="shared" si="4"/>
        <v>342.54927623645648</v>
      </c>
      <c r="O27">
        <f t="shared" si="5"/>
        <v>33.971446688230216</v>
      </c>
      <c r="P27">
        <f t="shared" si="6"/>
        <v>52.527772418687498</v>
      </c>
      <c r="Q27">
        <f t="shared" si="7"/>
        <v>0.54057057191924085</v>
      </c>
      <c r="R27">
        <f t="shared" si="8"/>
        <v>2.913441230392956</v>
      </c>
      <c r="S27">
        <f t="shared" si="9"/>
        <v>0.49040483638178756</v>
      </c>
      <c r="T27">
        <f t="shared" si="10"/>
        <v>0.31062133528054442</v>
      </c>
      <c r="U27">
        <f t="shared" si="11"/>
        <v>344.3592986050021</v>
      </c>
      <c r="V27">
        <f t="shared" si="12"/>
        <v>28.360040930549257</v>
      </c>
      <c r="W27">
        <f t="shared" si="13"/>
        <v>27.730399999999999</v>
      </c>
      <c r="X27">
        <f t="shared" si="14"/>
        <v>3.7356044566488436</v>
      </c>
      <c r="Y27">
        <f t="shared" si="15"/>
        <v>65.321104303541972</v>
      </c>
      <c r="Z27">
        <f t="shared" si="16"/>
        <v>2.47836879934375</v>
      </c>
      <c r="AA27">
        <f t="shared" si="17"/>
        <v>3.7941318135513562</v>
      </c>
      <c r="AB27">
        <f t="shared" si="18"/>
        <v>1.2572356573050936</v>
      </c>
      <c r="AC27">
        <f t="shared" si="19"/>
        <v>-283.0367302468336</v>
      </c>
      <c r="AD27">
        <f t="shared" si="20"/>
        <v>41.843299778488699</v>
      </c>
      <c r="AE27">
        <f t="shared" si="21"/>
        <v>3.1263665839417949</v>
      </c>
      <c r="AF27">
        <f t="shared" si="22"/>
        <v>106.29223472059897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52219.363230844741</v>
      </c>
      <c r="AL27" t="s">
        <v>422</v>
      </c>
      <c r="AM27">
        <v>10424.1</v>
      </c>
      <c r="AN27">
        <v>628.54280000000006</v>
      </c>
      <c r="AO27">
        <v>2663.98</v>
      </c>
      <c r="AP27">
        <f t="shared" si="26"/>
        <v>0.76405873917972356</v>
      </c>
      <c r="AQ27">
        <v>-3.1675626227050531</v>
      </c>
      <c r="AR27" t="s">
        <v>480</v>
      </c>
      <c r="AS27">
        <v>10206.700000000001</v>
      </c>
      <c r="AT27">
        <v>736.00726923076923</v>
      </c>
      <c r="AU27">
        <v>1143.5418284622699</v>
      </c>
      <c r="AV27">
        <f t="shared" si="27"/>
        <v>0.35637923256337356</v>
      </c>
      <c r="AW27">
        <v>0.5</v>
      </c>
      <c r="AX27">
        <f t="shared" si="28"/>
        <v>1513.1423993025012</v>
      </c>
      <c r="AY27">
        <f t="shared" si="29"/>
        <v>55.321941728406685</v>
      </c>
      <c r="AZ27">
        <f t="shared" si="30"/>
        <v>269.62626351126357</v>
      </c>
      <c r="BA27">
        <f t="shared" si="31"/>
        <v>3.8654329148448345E-2</v>
      </c>
      <c r="BB27">
        <f t="shared" si="32"/>
        <v>1.3295868447438217</v>
      </c>
      <c r="BC27">
        <f t="shared" si="33"/>
        <v>478.45070905260707</v>
      </c>
      <c r="BD27" t="s">
        <v>481</v>
      </c>
      <c r="BE27">
        <v>552.70000000000005</v>
      </c>
      <c r="BF27">
        <f t="shared" si="34"/>
        <v>552.70000000000005</v>
      </c>
      <c r="BG27">
        <f t="shared" si="35"/>
        <v>0.516677058727952</v>
      </c>
      <c r="BH27">
        <f t="shared" si="36"/>
        <v>0.68975238312452203</v>
      </c>
      <c r="BI27">
        <f t="shared" si="37"/>
        <v>0.72014994294348944</v>
      </c>
      <c r="BJ27">
        <f t="shared" si="38"/>
        <v>0.79133073405663268</v>
      </c>
      <c r="BK27">
        <f t="shared" si="39"/>
        <v>0.74698358246460772</v>
      </c>
      <c r="BL27">
        <f t="shared" si="40"/>
        <v>0.51796518606583608</v>
      </c>
      <c r="BM27">
        <f t="shared" si="41"/>
        <v>0.48203481393416392</v>
      </c>
      <c r="BN27">
        <v>20409</v>
      </c>
      <c r="BO27">
        <v>290.00000000000011</v>
      </c>
      <c r="BP27">
        <v>1035.1400000000001</v>
      </c>
      <c r="BQ27">
        <v>115</v>
      </c>
      <c r="BR27">
        <v>10206.700000000001</v>
      </c>
      <c r="BS27">
        <v>1034.0899999999999</v>
      </c>
      <c r="BT27">
        <v>1.05</v>
      </c>
      <c r="BU27">
        <v>300.00000000000011</v>
      </c>
      <c r="BV27">
        <v>24.2</v>
      </c>
      <c r="BW27">
        <v>1143.5418284622699</v>
      </c>
      <c r="BX27">
        <v>1.688858747537012</v>
      </c>
      <c r="BY27">
        <v>-111.7188816713351</v>
      </c>
      <c r="BZ27">
        <v>1.530438842133212</v>
      </c>
      <c r="CA27">
        <v>0.99477290038663957</v>
      </c>
      <c r="CB27">
        <v>-6.9363072302558492E-3</v>
      </c>
      <c r="CC27">
        <v>289.99999999999989</v>
      </c>
      <c r="CD27">
        <v>1030.44</v>
      </c>
      <c r="CE27">
        <v>665</v>
      </c>
      <c r="CF27">
        <v>10152</v>
      </c>
      <c r="CG27">
        <v>1033.5</v>
      </c>
      <c r="CH27">
        <v>-3.06</v>
      </c>
      <c r="CV27">
        <f t="shared" si="42"/>
        <v>1799.95</v>
      </c>
      <c r="CW27">
        <f t="shared" si="43"/>
        <v>1513.1423993025012</v>
      </c>
      <c r="CX27">
        <f t="shared" si="44"/>
        <v>0.84065801789077532</v>
      </c>
      <c r="CY27">
        <f t="shared" si="45"/>
        <v>0.19131603578155065</v>
      </c>
      <c r="CZ27">
        <v>6</v>
      </c>
      <c r="DA27">
        <v>0.5</v>
      </c>
      <c r="DB27" t="s">
        <v>425</v>
      </c>
      <c r="DC27">
        <v>2</v>
      </c>
      <c r="DD27">
        <v>1674759417.0999999</v>
      </c>
      <c r="DE27">
        <v>529.66099999999994</v>
      </c>
      <c r="DF27">
        <v>600.11900000000003</v>
      </c>
      <c r="DG27">
        <v>24.990500000000001</v>
      </c>
      <c r="DH27">
        <v>17.482099999999999</v>
      </c>
      <c r="DI27">
        <v>533.07299999999998</v>
      </c>
      <c r="DJ27">
        <v>24.6175</v>
      </c>
      <c r="DK27">
        <v>500.05399999999997</v>
      </c>
      <c r="DL27">
        <v>99.072699999999998</v>
      </c>
      <c r="DM27">
        <v>9.9737500000000007E-2</v>
      </c>
      <c r="DN27">
        <v>27.9968</v>
      </c>
      <c r="DO27">
        <v>27.730399999999999</v>
      </c>
      <c r="DP27">
        <v>999.9</v>
      </c>
      <c r="DQ27">
        <v>0</v>
      </c>
      <c r="DR27">
        <v>0</v>
      </c>
      <c r="DS27">
        <v>10001.200000000001</v>
      </c>
      <c r="DT27">
        <v>0</v>
      </c>
      <c r="DU27">
        <v>461.41500000000002</v>
      </c>
      <c r="DV27">
        <v>-70.458600000000004</v>
      </c>
      <c r="DW27">
        <v>543.23599999999999</v>
      </c>
      <c r="DX27">
        <v>610.79700000000003</v>
      </c>
      <c r="DY27">
        <v>7.5084299999999997</v>
      </c>
      <c r="DZ27">
        <v>600.11900000000003</v>
      </c>
      <c r="EA27">
        <v>17.482099999999999</v>
      </c>
      <c r="EB27">
        <v>2.4758800000000001</v>
      </c>
      <c r="EC27">
        <v>1.732</v>
      </c>
      <c r="ED27">
        <v>20.8688</v>
      </c>
      <c r="EE27">
        <v>15.186199999999999</v>
      </c>
      <c r="EF27">
        <v>1799.95</v>
      </c>
      <c r="EG27">
        <v>0.97800699999999996</v>
      </c>
      <c r="EH27">
        <v>2.1992999999999999E-2</v>
      </c>
      <c r="EI27">
        <v>0</v>
      </c>
      <c r="EJ27">
        <v>736.39599999999996</v>
      </c>
      <c r="EK27">
        <v>5.0010599999999998</v>
      </c>
      <c r="EL27">
        <v>13871.2</v>
      </c>
      <c r="EM27">
        <v>16710.599999999999</v>
      </c>
      <c r="EN27">
        <v>50.5</v>
      </c>
      <c r="EO27">
        <v>51.186999999999998</v>
      </c>
      <c r="EP27">
        <v>51.436999999999998</v>
      </c>
      <c r="EQ27">
        <v>50.186999999999998</v>
      </c>
      <c r="ER27">
        <v>51.186999999999998</v>
      </c>
      <c r="ES27">
        <v>1755.47</v>
      </c>
      <c r="ET27">
        <v>39.479999999999997</v>
      </c>
      <c r="EU27">
        <v>0</v>
      </c>
      <c r="EV27">
        <v>102.5999999046326</v>
      </c>
      <c r="EW27">
        <v>0</v>
      </c>
      <c r="EX27">
        <v>736.00726923076923</v>
      </c>
      <c r="EY27">
        <v>2.5220854611206431</v>
      </c>
      <c r="EZ27">
        <v>80.666666689621678</v>
      </c>
      <c r="FA27">
        <v>13861.465384615391</v>
      </c>
      <c r="FB27">
        <v>15</v>
      </c>
      <c r="FC27">
        <v>1674759382.0999999</v>
      </c>
      <c r="FD27" t="s">
        <v>482</v>
      </c>
      <c r="FE27">
        <v>1674759381.0999999</v>
      </c>
      <c r="FF27">
        <v>1674759382.0999999</v>
      </c>
      <c r="FG27">
        <v>16</v>
      </c>
      <c r="FH27">
        <v>8.5000000000000006E-2</v>
      </c>
      <c r="FI27">
        <v>-2E-3</v>
      </c>
      <c r="FJ27">
        <v>-3.4969999999999999</v>
      </c>
      <c r="FK27">
        <v>3.5000000000000003E-2</v>
      </c>
      <c r="FL27">
        <v>600</v>
      </c>
      <c r="FM27">
        <v>17</v>
      </c>
      <c r="FN27">
        <v>0.02</v>
      </c>
      <c r="FO27">
        <v>0.01</v>
      </c>
      <c r="FP27">
        <v>55.170322647368977</v>
      </c>
      <c r="FQ27">
        <v>-0.36258778123099938</v>
      </c>
      <c r="FR27">
        <v>7.4519095634662968E-2</v>
      </c>
      <c r="FS27">
        <v>1</v>
      </c>
      <c r="FT27">
        <v>0.54950478084885945</v>
      </c>
      <c r="FU27">
        <v>-3.065675979704216E-2</v>
      </c>
      <c r="FV27">
        <v>4.312592517535214E-3</v>
      </c>
      <c r="FW27">
        <v>1</v>
      </c>
      <c r="FX27">
        <v>2</v>
      </c>
      <c r="FY27">
        <v>2</v>
      </c>
      <c r="FZ27" t="s">
        <v>427</v>
      </c>
      <c r="GA27">
        <v>2.9770699999999999</v>
      </c>
      <c r="GB27">
        <v>2.8060700000000001</v>
      </c>
      <c r="GC27">
        <v>0.119779</v>
      </c>
      <c r="GD27">
        <v>0.12881999999999999</v>
      </c>
      <c r="GE27">
        <v>0.121292</v>
      </c>
      <c r="GF27">
        <v>9.44498E-2</v>
      </c>
      <c r="GG27">
        <v>25979.1</v>
      </c>
      <c r="GH27">
        <v>23823.200000000001</v>
      </c>
      <c r="GI27">
        <v>26535.3</v>
      </c>
      <c r="GJ27">
        <v>25830.9</v>
      </c>
      <c r="GK27">
        <v>31719.3</v>
      </c>
      <c r="GL27">
        <v>33013.800000000003</v>
      </c>
      <c r="GM27">
        <v>37581.599999999999</v>
      </c>
      <c r="GN27">
        <v>38322.800000000003</v>
      </c>
      <c r="GO27">
        <v>1.9652499999999999</v>
      </c>
      <c r="GP27">
        <v>1.90025</v>
      </c>
      <c r="GQ27">
        <v>4.5277199999999997E-2</v>
      </c>
      <c r="GR27">
        <v>0</v>
      </c>
      <c r="GS27">
        <v>26.990400000000001</v>
      </c>
      <c r="GT27">
        <v>999.9</v>
      </c>
      <c r="GU27">
        <v>38.1</v>
      </c>
      <c r="GV27">
        <v>35</v>
      </c>
      <c r="GW27">
        <v>21.7225</v>
      </c>
      <c r="GX27">
        <v>62.008299999999998</v>
      </c>
      <c r="GY27">
        <v>12.179500000000001</v>
      </c>
      <c r="GZ27">
        <v>1</v>
      </c>
      <c r="HA27">
        <v>0.47234799999999999</v>
      </c>
      <c r="HB27">
        <v>2.8250299999999999</v>
      </c>
      <c r="HC27">
        <v>20.231100000000001</v>
      </c>
      <c r="HD27">
        <v>5.2060599999999999</v>
      </c>
      <c r="HE27">
        <v>11.9381</v>
      </c>
      <c r="HF27">
        <v>4.9858500000000001</v>
      </c>
      <c r="HG27">
        <v>3.28993</v>
      </c>
      <c r="HH27">
        <v>9999</v>
      </c>
      <c r="HI27">
        <v>9999</v>
      </c>
      <c r="HJ27">
        <v>9999</v>
      </c>
      <c r="HK27">
        <v>999.9</v>
      </c>
      <c r="HL27">
        <v>1.8702799999999999</v>
      </c>
      <c r="HM27">
        <v>1.8765400000000001</v>
      </c>
      <c r="HN27">
        <v>1.87436</v>
      </c>
      <c r="HO27">
        <v>1.8726</v>
      </c>
      <c r="HP27">
        <v>1.8730199999999999</v>
      </c>
      <c r="HQ27">
        <v>1.87042</v>
      </c>
      <c r="HR27">
        <v>1.8763300000000001</v>
      </c>
      <c r="HS27">
        <v>1.87544</v>
      </c>
      <c r="HT27">
        <v>5</v>
      </c>
      <c r="HU27">
        <v>0</v>
      </c>
      <c r="HV27">
        <v>0</v>
      </c>
      <c r="HW27">
        <v>0</v>
      </c>
      <c r="HX27" t="s">
        <v>428</v>
      </c>
      <c r="HY27" t="s">
        <v>429</v>
      </c>
      <c r="HZ27" t="s">
        <v>430</v>
      </c>
      <c r="IA27" t="s">
        <v>431</v>
      </c>
      <c r="IB27" t="s">
        <v>431</v>
      </c>
      <c r="IC27" t="s">
        <v>430</v>
      </c>
      <c r="ID27">
        <v>0</v>
      </c>
      <c r="IE27">
        <v>100</v>
      </c>
      <c r="IF27">
        <v>100</v>
      </c>
      <c r="IG27">
        <v>-3.4119999999999999</v>
      </c>
      <c r="IH27">
        <v>0.373</v>
      </c>
      <c r="II27">
        <v>-2.4391044367266641</v>
      </c>
      <c r="IJ27">
        <v>-2.536945948238235E-3</v>
      </c>
      <c r="IK27">
        <v>1.581473279927893E-6</v>
      </c>
      <c r="IL27">
        <v>-4.6698293441882044E-10</v>
      </c>
      <c r="IM27">
        <v>-0.14421779143317029</v>
      </c>
      <c r="IN27">
        <v>-1.5895243091576399E-2</v>
      </c>
      <c r="IO27">
        <v>1.559614309849521E-3</v>
      </c>
      <c r="IP27">
        <v>-2.4566050869858518E-6</v>
      </c>
      <c r="IQ27">
        <v>2</v>
      </c>
      <c r="IR27">
        <v>2224</v>
      </c>
      <c r="IS27">
        <v>2</v>
      </c>
      <c r="IT27">
        <v>25</v>
      </c>
      <c r="IU27">
        <v>0.6</v>
      </c>
      <c r="IV27">
        <v>0.6</v>
      </c>
      <c r="IW27">
        <v>1.2976099999999999</v>
      </c>
      <c r="IX27">
        <v>2.5</v>
      </c>
      <c r="IY27">
        <v>1.65039</v>
      </c>
      <c r="IZ27">
        <v>2.2936999999999999</v>
      </c>
      <c r="JA27">
        <v>1.50024</v>
      </c>
      <c r="JB27">
        <v>2.33521</v>
      </c>
      <c r="JC27">
        <v>39.0931</v>
      </c>
      <c r="JD27">
        <v>23.833600000000001</v>
      </c>
      <c r="JE27">
        <v>18</v>
      </c>
      <c r="JF27">
        <v>507.053</v>
      </c>
      <c r="JG27">
        <v>457.66800000000001</v>
      </c>
      <c r="JH27">
        <v>24.486799999999999</v>
      </c>
      <c r="JI27">
        <v>33.145200000000003</v>
      </c>
      <c r="JJ27">
        <v>29.9999</v>
      </c>
      <c r="JK27">
        <v>33.169600000000003</v>
      </c>
      <c r="JL27">
        <v>33.1462</v>
      </c>
      <c r="JM27">
        <v>25.9953</v>
      </c>
      <c r="JN27">
        <v>30.450199999999999</v>
      </c>
      <c r="JO27">
        <v>46.3127</v>
      </c>
      <c r="JP27">
        <v>24.487300000000001</v>
      </c>
      <c r="JQ27">
        <v>600</v>
      </c>
      <c r="JR27">
        <v>17.410299999999999</v>
      </c>
      <c r="JS27">
        <v>99.751499999999993</v>
      </c>
      <c r="JT27">
        <v>98.873199999999997</v>
      </c>
    </row>
    <row r="28" spans="1:280" x14ac:dyDescent="0.25">
      <c r="A28">
        <v>12</v>
      </c>
      <c r="B28">
        <v>1674759526.5999999</v>
      </c>
      <c r="C28">
        <v>1396.599999904633</v>
      </c>
      <c r="D28" t="s">
        <v>483</v>
      </c>
      <c r="E28" t="s">
        <v>484</v>
      </c>
      <c r="F28" t="s">
        <v>419</v>
      </c>
      <c r="G28" t="s">
        <v>420</v>
      </c>
      <c r="H28" t="s">
        <v>421</v>
      </c>
      <c r="I28">
        <v>1674759526.5999999</v>
      </c>
      <c r="J28">
        <f t="shared" si="0"/>
        <v>6.234906287743776E-3</v>
      </c>
      <c r="K28">
        <f t="shared" si="1"/>
        <v>6.234906287743776</v>
      </c>
      <c r="L28">
        <f t="shared" si="2"/>
        <v>55.522956995514299</v>
      </c>
      <c r="M28">
        <f t="shared" si="3"/>
        <v>727.94299999999998</v>
      </c>
      <c r="N28">
        <f t="shared" si="4"/>
        <v>529.60533299145936</v>
      </c>
      <c r="O28">
        <f t="shared" si="5"/>
        <v>52.523420359929432</v>
      </c>
      <c r="P28">
        <f t="shared" si="6"/>
        <v>72.193487877292</v>
      </c>
      <c r="Q28">
        <f t="shared" si="7"/>
        <v>0.51996558949968807</v>
      </c>
      <c r="R28">
        <f t="shared" si="8"/>
        <v>2.9148088266309715</v>
      </c>
      <c r="S28">
        <f t="shared" si="9"/>
        <v>0.47339481613724327</v>
      </c>
      <c r="T28">
        <f t="shared" si="10"/>
        <v>0.29970759410621528</v>
      </c>
      <c r="U28">
        <f t="shared" si="11"/>
        <v>344.35549860498656</v>
      </c>
      <c r="V28">
        <f t="shared" si="12"/>
        <v>28.422580552457752</v>
      </c>
      <c r="W28">
        <f t="shared" si="13"/>
        <v>27.773599999999998</v>
      </c>
      <c r="X28">
        <f t="shared" si="14"/>
        <v>3.7450415192625219</v>
      </c>
      <c r="Y28">
        <f t="shared" si="15"/>
        <v>65.303189918796633</v>
      </c>
      <c r="Z28">
        <f t="shared" si="16"/>
        <v>2.4798421382912004</v>
      </c>
      <c r="AA28">
        <f t="shared" si="17"/>
        <v>3.7974287954001027</v>
      </c>
      <c r="AB28">
        <f t="shared" si="18"/>
        <v>1.2651993809713216</v>
      </c>
      <c r="AC28">
        <f t="shared" si="19"/>
        <v>-274.95936728950051</v>
      </c>
      <c r="AD28">
        <f t="shared" si="20"/>
        <v>37.415789601142869</v>
      </c>
      <c r="AE28">
        <f t="shared" si="21"/>
        <v>2.7950581795941134</v>
      </c>
      <c r="AF28">
        <f t="shared" si="22"/>
        <v>109.60697909622303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52255.991545967183</v>
      </c>
      <c r="AL28" t="s">
        <v>422</v>
      </c>
      <c r="AM28">
        <v>10424.1</v>
      </c>
      <c r="AN28">
        <v>628.54280000000006</v>
      </c>
      <c r="AO28">
        <v>2663.98</v>
      </c>
      <c r="AP28">
        <f t="shared" si="26"/>
        <v>0.76405873917972356</v>
      </c>
      <c r="AQ28">
        <v>-3.1675626227050531</v>
      </c>
      <c r="AR28" t="s">
        <v>485</v>
      </c>
      <c r="AS28">
        <v>10204.200000000001</v>
      </c>
      <c r="AT28">
        <v>738.8572307692308</v>
      </c>
      <c r="AU28">
        <v>1154.316454836315</v>
      </c>
      <c r="AV28">
        <f t="shared" si="27"/>
        <v>0.35991796038807866</v>
      </c>
      <c r="AW28">
        <v>0.5</v>
      </c>
      <c r="AX28">
        <f t="shared" si="28"/>
        <v>1513.1255993024931</v>
      </c>
      <c r="AY28">
        <f t="shared" si="29"/>
        <v>55.522956995514299</v>
      </c>
      <c r="AZ28">
        <f t="shared" si="30"/>
        <v>272.30053975597127</v>
      </c>
      <c r="BA28">
        <f t="shared" si="31"/>
        <v>3.8787606029052693E-2</v>
      </c>
      <c r="BB28">
        <f t="shared" si="32"/>
        <v>1.3078420036711329</v>
      </c>
      <c r="BC28">
        <f t="shared" si="33"/>
        <v>480.32656327540769</v>
      </c>
      <c r="BD28" t="s">
        <v>486</v>
      </c>
      <c r="BE28">
        <v>554.52</v>
      </c>
      <c r="BF28">
        <f t="shared" si="34"/>
        <v>554.52</v>
      </c>
      <c r="BG28">
        <f t="shared" si="35"/>
        <v>0.51961180343857061</v>
      </c>
      <c r="BH28">
        <f t="shared" si="36"/>
        <v>0.69266702181569806</v>
      </c>
      <c r="BI28">
        <f t="shared" si="37"/>
        <v>0.71566350874806117</v>
      </c>
      <c r="BJ28">
        <f t="shared" si="38"/>
        <v>0.79018646188429864</v>
      </c>
      <c r="BK28">
        <f t="shared" si="39"/>
        <v>0.74169006303102114</v>
      </c>
      <c r="BL28">
        <f t="shared" si="40"/>
        <v>0.51985377004073352</v>
      </c>
      <c r="BM28">
        <f t="shared" si="41"/>
        <v>0.48014622995926648</v>
      </c>
      <c r="BN28">
        <v>20411</v>
      </c>
      <c r="BO28">
        <v>290.00000000000011</v>
      </c>
      <c r="BP28">
        <v>1043.3499999999999</v>
      </c>
      <c r="BQ28">
        <v>125</v>
      </c>
      <c r="BR28">
        <v>10204.200000000001</v>
      </c>
      <c r="BS28">
        <v>1041.74</v>
      </c>
      <c r="BT28">
        <v>1.61</v>
      </c>
      <c r="BU28">
        <v>300.00000000000011</v>
      </c>
      <c r="BV28">
        <v>24.2</v>
      </c>
      <c r="BW28">
        <v>1154.316454836315</v>
      </c>
      <c r="BX28">
        <v>1.971379960750693</v>
      </c>
      <c r="BY28">
        <v>-114.8803643248544</v>
      </c>
      <c r="BZ28">
        <v>1.786451965020101</v>
      </c>
      <c r="CA28">
        <v>0.99327459508405391</v>
      </c>
      <c r="CB28">
        <v>-6.9363350389321458E-3</v>
      </c>
      <c r="CC28">
        <v>289.99999999999989</v>
      </c>
      <c r="CD28">
        <v>1037.83</v>
      </c>
      <c r="CE28">
        <v>655</v>
      </c>
      <c r="CF28">
        <v>10152.799999999999</v>
      </c>
      <c r="CG28">
        <v>1041.17</v>
      </c>
      <c r="CH28">
        <v>-3.34</v>
      </c>
      <c r="CV28">
        <f t="shared" si="42"/>
        <v>1799.93</v>
      </c>
      <c r="CW28">
        <f t="shared" si="43"/>
        <v>1513.1255993024931</v>
      </c>
      <c r="CX28">
        <f t="shared" si="44"/>
        <v>0.8406580252023651</v>
      </c>
      <c r="CY28">
        <f t="shared" si="45"/>
        <v>0.19131605040473049</v>
      </c>
      <c r="CZ28">
        <v>6</v>
      </c>
      <c r="DA28">
        <v>0.5</v>
      </c>
      <c r="DB28" t="s">
        <v>425</v>
      </c>
      <c r="DC28">
        <v>2</v>
      </c>
      <c r="DD28">
        <v>1674759526.5999999</v>
      </c>
      <c r="DE28">
        <v>727.94299999999998</v>
      </c>
      <c r="DF28">
        <v>800.00800000000004</v>
      </c>
      <c r="DG28">
        <v>25.004799999999999</v>
      </c>
      <c r="DH28">
        <v>17.710899999999999</v>
      </c>
      <c r="DI28">
        <v>731.64400000000001</v>
      </c>
      <c r="DJ28">
        <v>24.633600000000001</v>
      </c>
      <c r="DK28">
        <v>500.06200000000001</v>
      </c>
      <c r="DL28">
        <v>99.0749</v>
      </c>
      <c r="DM28">
        <v>9.9743999999999999E-2</v>
      </c>
      <c r="DN28">
        <v>28.011700000000001</v>
      </c>
      <c r="DO28">
        <v>27.773599999999998</v>
      </c>
      <c r="DP28">
        <v>999.9</v>
      </c>
      <c r="DQ28">
        <v>0</v>
      </c>
      <c r="DR28">
        <v>0</v>
      </c>
      <c r="DS28">
        <v>10008.799999999999</v>
      </c>
      <c r="DT28">
        <v>0</v>
      </c>
      <c r="DU28">
        <v>442.73</v>
      </c>
      <c r="DV28">
        <v>-72.065100000000001</v>
      </c>
      <c r="DW28">
        <v>746.61199999999997</v>
      </c>
      <c r="DX28">
        <v>814.43299999999999</v>
      </c>
      <c r="DY28">
        <v>7.2938499999999999</v>
      </c>
      <c r="DZ28">
        <v>800.00800000000004</v>
      </c>
      <c r="EA28">
        <v>17.710899999999999</v>
      </c>
      <c r="EB28">
        <v>2.4773399999999999</v>
      </c>
      <c r="EC28">
        <v>1.75471</v>
      </c>
      <c r="ED28">
        <v>20.878399999999999</v>
      </c>
      <c r="EE28">
        <v>15.388999999999999</v>
      </c>
      <c r="EF28">
        <v>1799.93</v>
      </c>
      <c r="EG28">
        <v>0.97800699999999996</v>
      </c>
      <c r="EH28">
        <v>2.1992999999999999E-2</v>
      </c>
      <c r="EI28">
        <v>0</v>
      </c>
      <c r="EJ28">
        <v>739.21900000000005</v>
      </c>
      <c r="EK28">
        <v>5.0010599999999998</v>
      </c>
      <c r="EL28">
        <v>13912.7</v>
      </c>
      <c r="EM28">
        <v>16710.400000000001</v>
      </c>
      <c r="EN28">
        <v>50.5</v>
      </c>
      <c r="EO28">
        <v>51.25</v>
      </c>
      <c r="EP28">
        <v>51.436999999999998</v>
      </c>
      <c r="EQ28">
        <v>50.186999999999998</v>
      </c>
      <c r="ER28">
        <v>51.186999999999998</v>
      </c>
      <c r="ES28">
        <v>1755.45</v>
      </c>
      <c r="ET28">
        <v>39.479999999999997</v>
      </c>
      <c r="EU28">
        <v>0</v>
      </c>
      <c r="EV28">
        <v>107.5999999046326</v>
      </c>
      <c r="EW28">
        <v>0</v>
      </c>
      <c r="EX28">
        <v>738.8572307692308</v>
      </c>
      <c r="EY28">
        <v>2.042735017703099</v>
      </c>
      <c r="EZ28">
        <v>27.288888970338832</v>
      </c>
      <c r="FA28">
        <v>13909.946153846149</v>
      </c>
      <c r="FB28">
        <v>15</v>
      </c>
      <c r="FC28">
        <v>1674759492.5999999</v>
      </c>
      <c r="FD28" t="s">
        <v>487</v>
      </c>
      <c r="FE28">
        <v>1674759490.0999999</v>
      </c>
      <c r="FF28">
        <v>1674759492.5999999</v>
      </c>
      <c r="FG28">
        <v>17</v>
      </c>
      <c r="FH28">
        <v>-6.9000000000000006E-2</v>
      </c>
      <c r="FI28">
        <v>-3.0000000000000001E-3</v>
      </c>
      <c r="FJ28">
        <v>-3.7690000000000001</v>
      </c>
      <c r="FK28">
        <v>3.6999999999999998E-2</v>
      </c>
      <c r="FL28">
        <v>800</v>
      </c>
      <c r="FM28">
        <v>17</v>
      </c>
      <c r="FN28">
        <v>0.04</v>
      </c>
      <c r="FO28">
        <v>0.02</v>
      </c>
      <c r="FP28">
        <v>55.517168832564629</v>
      </c>
      <c r="FQ28">
        <v>-0.59915316853696754</v>
      </c>
      <c r="FR28">
        <v>0.12003399787087</v>
      </c>
      <c r="FS28">
        <v>1</v>
      </c>
      <c r="FT28">
        <v>0.53015861761990624</v>
      </c>
      <c r="FU28">
        <v>-3.4779028800244839E-2</v>
      </c>
      <c r="FV28">
        <v>4.3500893204493187E-3</v>
      </c>
      <c r="FW28">
        <v>1</v>
      </c>
      <c r="FX28">
        <v>2</v>
      </c>
      <c r="FY28">
        <v>2</v>
      </c>
      <c r="FZ28" t="s">
        <v>427</v>
      </c>
      <c r="GA28">
        <v>2.9771200000000002</v>
      </c>
      <c r="GB28">
        <v>2.8061400000000001</v>
      </c>
      <c r="GC28">
        <v>0.149557</v>
      </c>
      <c r="GD28">
        <v>0.15695700000000001</v>
      </c>
      <c r="GE28">
        <v>0.121355</v>
      </c>
      <c r="GF28">
        <v>9.5327700000000001E-2</v>
      </c>
      <c r="GG28">
        <v>25099.4</v>
      </c>
      <c r="GH28">
        <v>23053.3</v>
      </c>
      <c r="GI28">
        <v>26535.8</v>
      </c>
      <c r="GJ28">
        <v>25831.9</v>
      </c>
      <c r="GK28">
        <v>31717.1</v>
      </c>
      <c r="GL28">
        <v>32983</v>
      </c>
      <c r="GM28">
        <v>37581.599999999999</v>
      </c>
      <c r="GN28">
        <v>38323.9</v>
      </c>
      <c r="GO28">
        <v>1.96532</v>
      </c>
      <c r="GP28">
        <v>1.9018200000000001</v>
      </c>
      <c r="GQ28">
        <v>4.3287899999999997E-2</v>
      </c>
      <c r="GR28">
        <v>0</v>
      </c>
      <c r="GS28">
        <v>27.066199999999998</v>
      </c>
      <c r="GT28">
        <v>999.9</v>
      </c>
      <c r="GU28">
        <v>38.1</v>
      </c>
      <c r="GV28">
        <v>35</v>
      </c>
      <c r="GW28">
        <v>21.721399999999999</v>
      </c>
      <c r="GX28">
        <v>61.938299999999998</v>
      </c>
      <c r="GY28">
        <v>12.5601</v>
      </c>
      <c r="GZ28">
        <v>1</v>
      </c>
      <c r="HA28">
        <v>0.47262399999999999</v>
      </c>
      <c r="HB28">
        <v>3.2031299999999998</v>
      </c>
      <c r="HC28">
        <v>20.224399999999999</v>
      </c>
      <c r="HD28">
        <v>5.2057599999999997</v>
      </c>
      <c r="HE28">
        <v>11.9381</v>
      </c>
      <c r="HF28">
        <v>4.9866000000000001</v>
      </c>
      <c r="HG28">
        <v>3.2898499999999999</v>
      </c>
      <c r="HH28">
        <v>9999</v>
      </c>
      <c r="HI28">
        <v>9999</v>
      </c>
      <c r="HJ28">
        <v>9999</v>
      </c>
      <c r="HK28">
        <v>999.9</v>
      </c>
      <c r="HL28">
        <v>1.8702700000000001</v>
      </c>
      <c r="HM28">
        <v>1.87653</v>
      </c>
      <c r="HN28">
        <v>1.8743700000000001</v>
      </c>
      <c r="HO28">
        <v>1.8726</v>
      </c>
      <c r="HP28">
        <v>1.8730199999999999</v>
      </c>
      <c r="HQ28">
        <v>1.87042</v>
      </c>
      <c r="HR28">
        <v>1.8763300000000001</v>
      </c>
      <c r="HS28">
        <v>1.87544</v>
      </c>
      <c r="HT28">
        <v>5</v>
      </c>
      <c r="HU28">
        <v>0</v>
      </c>
      <c r="HV28">
        <v>0</v>
      </c>
      <c r="HW28">
        <v>0</v>
      </c>
      <c r="HX28" t="s">
        <v>428</v>
      </c>
      <c r="HY28" t="s">
        <v>429</v>
      </c>
      <c r="HZ28" t="s">
        <v>430</v>
      </c>
      <c r="IA28" t="s">
        <v>431</v>
      </c>
      <c r="IB28" t="s">
        <v>431</v>
      </c>
      <c r="IC28" t="s">
        <v>430</v>
      </c>
      <c r="ID28">
        <v>0</v>
      </c>
      <c r="IE28">
        <v>100</v>
      </c>
      <c r="IF28">
        <v>100</v>
      </c>
      <c r="IG28">
        <v>-3.7010000000000001</v>
      </c>
      <c r="IH28">
        <v>0.37119999999999997</v>
      </c>
      <c r="II28">
        <v>-2.5083852474688229</v>
      </c>
      <c r="IJ28">
        <v>-2.536945948238235E-3</v>
      </c>
      <c r="IK28">
        <v>1.581473279927893E-6</v>
      </c>
      <c r="IL28">
        <v>-4.6698293441882044E-10</v>
      </c>
      <c r="IM28">
        <v>-0.14693599060752</v>
      </c>
      <c r="IN28">
        <v>-1.5895243091576399E-2</v>
      </c>
      <c r="IO28">
        <v>1.559614309849521E-3</v>
      </c>
      <c r="IP28">
        <v>-2.4566050869858518E-6</v>
      </c>
      <c r="IQ28">
        <v>2</v>
      </c>
      <c r="IR28">
        <v>2224</v>
      </c>
      <c r="IS28">
        <v>2</v>
      </c>
      <c r="IT28">
        <v>25</v>
      </c>
      <c r="IU28">
        <v>0.6</v>
      </c>
      <c r="IV28">
        <v>0.6</v>
      </c>
      <c r="IW28">
        <v>1.6394</v>
      </c>
      <c r="IX28">
        <v>2.5</v>
      </c>
      <c r="IY28">
        <v>1.65039</v>
      </c>
      <c r="IZ28">
        <v>2.2949199999999998</v>
      </c>
      <c r="JA28">
        <v>1.50024</v>
      </c>
      <c r="JB28">
        <v>2.3083499999999999</v>
      </c>
      <c r="JC28">
        <v>39.0931</v>
      </c>
      <c r="JD28">
        <v>23.8248</v>
      </c>
      <c r="JE28">
        <v>18</v>
      </c>
      <c r="JF28">
        <v>506.94799999999998</v>
      </c>
      <c r="JG28">
        <v>458.54</v>
      </c>
      <c r="JH28">
        <v>24.233499999999999</v>
      </c>
      <c r="JI28">
        <v>33.121499999999997</v>
      </c>
      <c r="JJ28">
        <v>30.0001</v>
      </c>
      <c r="JK28">
        <v>33.150399999999998</v>
      </c>
      <c r="JL28">
        <v>33.125399999999999</v>
      </c>
      <c r="JM28">
        <v>32.822099999999999</v>
      </c>
      <c r="JN28">
        <v>29.3886</v>
      </c>
      <c r="JO28">
        <v>46.4375</v>
      </c>
      <c r="JP28">
        <v>24.228000000000002</v>
      </c>
      <c r="JQ28">
        <v>800</v>
      </c>
      <c r="JR28">
        <v>17.655999999999999</v>
      </c>
      <c r="JS28">
        <v>99.752200000000002</v>
      </c>
      <c r="JT28">
        <v>98.876400000000004</v>
      </c>
    </row>
    <row r="29" spans="1:280" x14ac:dyDescent="0.25">
      <c r="A29">
        <v>13</v>
      </c>
      <c r="B29">
        <v>1674759634.5999999</v>
      </c>
      <c r="C29">
        <v>1504.599999904633</v>
      </c>
      <c r="D29" t="s">
        <v>488</v>
      </c>
      <c r="E29" t="s">
        <v>489</v>
      </c>
      <c r="F29" t="s">
        <v>419</v>
      </c>
      <c r="G29" t="s">
        <v>420</v>
      </c>
      <c r="H29" t="s">
        <v>421</v>
      </c>
      <c r="I29">
        <v>1674759634.5999999</v>
      </c>
      <c r="J29">
        <f t="shared" si="0"/>
        <v>5.9983901927454022E-3</v>
      </c>
      <c r="K29">
        <f t="shared" si="1"/>
        <v>5.9983901927454024</v>
      </c>
      <c r="L29">
        <f t="shared" si="2"/>
        <v>54.452667863970355</v>
      </c>
      <c r="M29">
        <f t="shared" si="3"/>
        <v>1126.51</v>
      </c>
      <c r="N29">
        <f t="shared" si="4"/>
        <v>915.38869510099107</v>
      </c>
      <c r="O29">
        <f t="shared" si="5"/>
        <v>90.784127686355831</v>
      </c>
      <c r="P29">
        <f t="shared" si="6"/>
        <v>111.72218777365801</v>
      </c>
      <c r="Q29">
        <f t="shared" si="7"/>
        <v>0.49600499062604297</v>
      </c>
      <c r="R29">
        <f t="shared" si="8"/>
        <v>2.9161178626367903</v>
      </c>
      <c r="S29">
        <f t="shared" si="9"/>
        <v>0.45345678488862134</v>
      </c>
      <c r="T29">
        <f t="shared" si="10"/>
        <v>0.28692850513871304</v>
      </c>
      <c r="U29">
        <f t="shared" si="11"/>
        <v>344.35549860498656</v>
      </c>
      <c r="V29">
        <f t="shared" si="12"/>
        <v>28.476841600869516</v>
      </c>
      <c r="W29">
        <f t="shared" si="13"/>
        <v>27.783000000000001</v>
      </c>
      <c r="X29">
        <f t="shared" si="14"/>
        <v>3.7470977076027698</v>
      </c>
      <c r="Y29">
        <f t="shared" si="15"/>
        <v>65.239054326129292</v>
      </c>
      <c r="Z29">
        <f t="shared" si="16"/>
        <v>2.4763526248285204</v>
      </c>
      <c r="AA29">
        <f t="shared" si="17"/>
        <v>3.7958131833874567</v>
      </c>
      <c r="AB29">
        <f t="shared" si="18"/>
        <v>1.2707450827742495</v>
      </c>
      <c r="AC29">
        <f t="shared" si="19"/>
        <v>-264.52900750007223</v>
      </c>
      <c r="AD29">
        <f t="shared" si="20"/>
        <v>34.807123410998955</v>
      </c>
      <c r="AE29">
        <f t="shared" si="21"/>
        <v>2.5990438734419636</v>
      </c>
      <c r="AF29">
        <f t="shared" si="22"/>
        <v>117.23265838935528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52294.778924088037</v>
      </c>
      <c r="AL29" t="s">
        <v>422</v>
      </c>
      <c r="AM29">
        <v>10424.1</v>
      </c>
      <c r="AN29">
        <v>628.54280000000006</v>
      </c>
      <c r="AO29">
        <v>2663.98</v>
      </c>
      <c r="AP29">
        <f t="shared" si="26"/>
        <v>0.76405873917972356</v>
      </c>
      <c r="AQ29">
        <v>-3.1675626227050531</v>
      </c>
      <c r="AR29" t="s">
        <v>490</v>
      </c>
      <c r="AS29">
        <v>10197.200000000001</v>
      </c>
      <c r="AT29">
        <v>740.91304000000002</v>
      </c>
      <c r="AU29">
        <v>1158.0723856322729</v>
      </c>
      <c r="AV29">
        <f t="shared" si="27"/>
        <v>0.3602187141389408</v>
      </c>
      <c r="AW29">
        <v>0.5</v>
      </c>
      <c r="AX29">
        <f t="shared" si="28"/>
        <v>1513.1255993024931</v>
      </c>
      <c r="AY29">
        <f t="shared" si="29"/>
        <v>54.452667863970355</v>
      </c>
      <c r="AZ29">
        <f t="shared" si="30"/>
        <v>272.52807885572912</v>
      </c>
      <c r="BA29">
        <f t="shared" si="31"/>
        <v>3.8080269419297819E-2</v>
      </c>
      <c r="BB29">
        <f t="shared" si="32"/>
        <v>1.3003570701200569</v>
      </c>
      <c r="BC29">
        <f t="shared" si="33"/>
        <v>480.97567088896903</v>
      </c>
      <c r="BD29" t="s">
        <v>491</v>
      </c>
      <c r="BE29">
        <v>556.16</v>
      </c>
      <c r="BF29">
        <f t="shared" si="34"/>
        <v>556.16</v>
      </c>
      <c r="BG29">
        <f t="shared" si="35"/>
        <v>0.51975368128966037</v>
      </c>
      <c r="BH29">
        <f t="shared" si="36"/>
        <v>0.69305659027778932</v>
      </c>
      <c r="BI29">
        <f t="shared" si="37"/>
        <v>0.71443843134979601</v>
      </c>
      <c r="BJ29">
        <f t="shared" si="38"/>
        <v>0.78779232917490949</v>
      </c>
      <c r="BK29">
        <f t="shared" si="39"/>
        <v>0.7398447932305291</v>
      </c>
      <c r="BL29">
        <f t="shared" si="40"/>
        <v>0.52023696768637684</v>
      </c>
      <c r="BM29">
        <f t="shared" si="41"/>
        <v>0.47976303231362316</v>
      </c>
      <c r="BN29">
        <v>20413</v>
      </c>
      <c r="BO29">
        <v>290.00000000000011</v>
      </c>
      <c r="BP29">
        <v>1048.17</v>
      </c>
      <c r="BQ29">
        <v>155</v>
      </c>
      <c r="BR29">
        <v>10197.200000000001</v>
      </c>
      <c r="BS29">
        <v>1046.01</v>
      </c>
      <c r="BT29">
        <v>2.16</v>
      </c>
      <c r="BU29">
        <v>300.00000000000011</v>
      </c>
      <c r="BV29">
        <v>24.2</v>
      </c>
      <c r="BW29">
        <v>1158.0723856322729</v>
      </c>
      <c r="BX29">
        <v>1.85280312829802</v>
      </c>
      <c r="BY29">
        <v>-114.27528080721601</v>
      </c>
      <c r="BZ29">
        <v>1.679000193306623</v>
      </c>
      <c r="CA29">
        <v>0.99399189144486166</v>
      </c>
      <c r="CB29">
        <v>-6.9363348164627374E-3</v>
      </c>
      <c r="CC29">
        <v>289.99999999999989</v>
      </c>
      <c r="CD29">
        <v>1041.93</v>
      </c>
      <c r="CE29">
        <v>665</v>
      </c>
      <c r="CF29">
        <v>10152</v>
      </c>
      <c r="CG29">
        <v>1045.51</v>
      </c>
      <c r="CH29">
        <v>-3.58</v>
      </c>
      <c r="CV29">
        <f t="shared" si="42"/>
        <v>1799.93</v>
      </c>
      <c r="CW29">
        <f t="shared" si="43"/>
        <v>1513.1255993024931</v>
      </c>
      <c r="CX29">
        <f t="shared" si="44"/>
        <v>0.8406580252023651</v>
      </c>
      <c r="CY29">
        <f t="shared" si="45"/>
        <v>0.19131605040473049</v>
      </c>
      <c r="CZ29">
        <v>6</v>
      </c>
      <c r="DA29">
        <v>0.5</v>
      </c>
      <c r="DB29" t="s">
        <v>425</v>
      </c>
      <c r="DC29">
        <v>2</v>
      </c>
      <c r="DD29">
        <v>1674759634.5999999</v>
      </c>
      <c r="DE29">
        <v>1126.51</v>
      </c>
      <c r="DF29">
        <v>1199.95</v>
      </c>
      <c r="DG29">
        <v>24.9694</v>
      </c>
      <c r="DH29">
        <v>17.952200000000001</v>
      </c>
      <c r="DI29">
        <v>1130.83</v>
      </c>
      <c r="DJ29">
        <v>24.601500000000001</v>
      </c>
      <c r="DK29">
        <v>500.08100000000002</v>
      </c>
      <c r="DL29">
        <v>99.075800000000001</v>
      </c>
      <c r="DM29">
        <v>9.9695800000000001E-2</v>
      </c>
      <c r="DN29">
        <v>28.0044</v>
      </c>
      <c r="DO29">
        <v>27.783000000000001</v>
      </c>
      <c r="DP29">
        <v>999.9</v>
      </c>
      <c r="DQ29">
        <v>0</v>
      </c>
      <c r="DR29">
        <v>0</v>
      </c>
      <c r="DS29">
        <v>10016.200000000001</v>
      </c>
      <c r="DT29">
        <v>0</v>
      </c>
      <c r="DU29">
        <v>446.28199999999998</v>
      </c>
      <c r="DV29">
        <v>-73.440700000000007</v>
      </c>
      <c r="DW29">
        <v>1155.3599999999999</v>
      </c>
      <c r="DX29">
        <v>1221.8800000000001</v>
      </c>
      <c r="DY29">
        <v>7.0172400000000001</v>
      </c>
      <c r="DZ29">
        <v>1199.95</v>
      </c>
      <c r="EA29">
        <v>17.952200000000001</v>
      </c>
      <c r="EB29">
        <v>2.4738600000000002</v>
      </c>
      <c r="EC29">
        <v>1.7786200000000001</v>
      </c>
      <c r="ED29">
        <v>20.855599999999999</v>
      </c>
      <c r="EE29">
        <v>15.600199999999999</v>
      </c>
      <c r="EF29">
        <v>1799.93</v>
      </c>
      <c r="EG29">
        <v>0.97800699999999996</v>
      </c>
      <c r="EH29">
        <v>2.1992999999999999E-2</v>
      </c>
      <c r="EI29">
        <v>0</v>
      </c>
      <c r="EJ29">
        <v>741.26900000000001</v>
      </c>
      <c r="EK29">
        <v>5.0010599999999998</v>
      </c>
      <c r="EL29">
        <v>13951.9</v>
      </c>
      <c r="EM29">
        <v>16710.5</v>
      </c>
      <c r="EN29">
        <v>50.5</v>
      </c>
      <c r="EO29">
        <v>51.186999999999998</v>
      </c>
      <c r="EP29">
        <v>51.436999999999998</v>
      </c>
      <c r="EQ29">
        <v>50.186999999999998</v>
      </c>
      <c r="ER29">
        <v>51.186999999999998</v>
      </c>
      <c r="ES29">
        <v>1755.45</v>
      </c>
      <c r="ET29">
        <v>39.479999999999997</v>
      </c>
      <c r="EU29">
        <v>0</v>
      </c>
      <c r="EV29">
        <v>105.7999999523163</v>
      </c>
      <c r="EW29">
        <v>0</v>
      </c>
      <c r="EX29">
        <v>740.91304000000002</v>
      </c>
      <c r="EY29">
        <v>3.005769234228572</v>
      </c>
      <c r="EZ29">
        <v>64.315384628600569</v>
      </c>
      <c r="FA29">
        <v>13945.716</v>
      </c>
      <c r="FB29">
        <v>15</v>
      </c>
      <c r="FC29">
        <v>1674759601.0999999</v>
      </c>
      <c r="FD29" t="s">
        <v>492</v>
      </c>
      <c r="FE29">
        <v>1674759597.5999999</v>
      </c>
      <c r="FF29">
        <v>1674759601.0999999</v>
      </c>
      <c r="FG29">
        <v>18</v>
      </c>
      <c r="FH29">
        <v>-0.29099999999999998</v>
      </c>
      <c r="FI29">
        <v>-1E-3</v>
      </c>
      <c r="FJ29">
        <v>-4.3769999999999998</v>
      </c>
      <c r="FK29">
        <v>4.3999999999999997E-2</v>
      </c>
      <c r="FL29">
        <v>1201</v>
      </c>
      <c r="FM29">
        <v>18</v>
      </c>
      <c r="FN29">
        <v>0.05</v>
      </c>
      <c r="FO29">
        <v>0.02</v>
      </c>
      <c r="FP29">
        <v>54.433526700752211</v>
      </c>
      <c r="FQ29">
        <v>-0.2304879399686528</v>
      </c>
      <c r="FR29">
        <v>0.1381831938073193</v>
      </c>
      <c r="FS29">
        <v>1</v>
      </c>
      <c r="FT29">
        <v>0.5045756460564339</v>
      </c>
      <c r="FU29">
        <v>-3.4547119210037537E-2</v>
      </c>
      <c r="FV29">
        <v>4.2533395745026877E-3</v>
      </c>
      <c r="FW29">
        <v>1</v>
      </c>
      <c r="FX29">
        <v>2</v>
      </c>
      <c r="FY29">
        <v>2</v>
      </c>
      <c r="FZ29" t="s">
        <v>427</v>
      </c>
      <c r="GA29">
        <v>2.97716</v>
      </c>
      <c r="GB29">
        <v>2.8061600000000002</v>
      </c>
      <c r="GC29">
        <v>0.198905</v>
      </c>
      <c r="GD29">
        <v>0.20406199999999999</v>
      </c>
      <c r="GE29">
        <v>0.121249</v>
      </c>
      <c r="GF29">
        <v>9.6244300000000005E-2</v>
      </c>
      <c r="GG29">
        <v>23639.3</v>
      </c>
      <c r="GH29">
        <v>21760.7</v>
      </c>
      <c r="GI29">
        <v>26535.5</v>
      </c>
      <c r="GJ29">
        <v>25830.6</v>
      </c>
      <c r="GK29">
        <v>31721</v>
      </c>
      <c r="GL29">
        <v>32948.6</v>
      </c>
      <c r="GM29">
        <v>37581.300000000003</v>
      </c>
      <c r="GN29">
        <v>38322.300000000003</v>
      </c>
      <c r="GO29">
        <v>1.9652799999999999</v>
      </c>
      <c r="GP29">
        <v>1.9034199999999999</v>
      </c>
      <c r="GQ29">
        <v>4.4688600000000002E-2</v>
      </c>
      <c r="GR29">
        <v>0</v>
      </c>
      <c r="GS29">
        <v>27.052700000000002</v>
      </c>
      <c r="GT29">
        <v>999.9</v>
      </c>
      <c r="GU29">
        <v>38.1</v>
      </c>
      <c r="GV29">
        <v>35</v>
      </c>
      <c r="GW29">
        <v>21.721499999999999</v>
      </c>
      <c r="GX29">
        <v>61.848300000000002</v>
      </c>
      <c r="GY29">
        <v>12.0793</v>
      </c>
      <c r="GZ29">
        <v>1</v>
      </c>
      <c r="HA29">
        <v>0.47073199999999998</v>
      </c>
      <c r="HB29">
        <v>2.9550000000000001</v>
      </c>
      <c r="HC29">
        <v>20.2286</v>
      </c>
      <c r="HD29">
        <v>5.2063600000000001</v>
      </c>
      <c r="HE29">
        <v>11.9381</v>
      </c>
      <c r="HF29">
        <v>4.9864499999999996</v>
      </c>
      <c r="HG29">
        <v>3.28993</v>
      </c>
      <c r="HH29">
        <v>9999</v>
      </c>
      <c r="HI29">
        <v>9999</v>
      </c>
      <c r="HJ29">
        <v>9999</v>
      </c>
      <c r="HK29">
        <v>999.9</v>
      </c>
      <c r="HL29">
        <v>1.87029</v>
      </c>
      <c r="HM29">
        <v>1.8765499999999999</v>
      </c>
      <c r="HN29">
        <v>1.87439</v>
      </c>
      <c r="HO29">
        <v>1.8726499999999999</v>
      </c>
      <c r="HP29">
        <v>1.8730199999999999</v>
      </c>
      <c r="HQ29">
        <v>1.87042</v>
      </c>
      <c r="HR29">
        <v>1.8763399999999999</v>
      </c>
      <c r="HS29">
        <v>1.8754500000000001</v>
      </c>
      <c r="HT29">
        <v>5</v>
      </c>
      <c r="HU29">
        <v>0</v>
      </c>
      <c r="HV29">
        <v>0</v>
      </c>
      <c r="HW29">
        <v>0</v>
      </c>
      <c r="HX29" t="s">
        <v>428</v>
      </c>
      <c r="HY29" t="s">
        <v>429</v>
      </c>
      <c r="HZ29" t="s">
        <v>430</v>
      </c>
      <c r="IA29" t="s">
        <v>431</v>
      </c>
      <c r="IB29" t="s">
        <v>431</v>
      </c>
      <c r="IC29" t="s">
        <v>430</v>
      </c>
      <c r="ID29">
        <v>0</v>
      </c>
      <c r="IE29">
        <v>100</v>
      </c>
      <c r="IF29">
        <v>100</v>
      </c>
      <c r="IG29">
        <v>-4.32</v>
      </c>
      <c r="IH29">
        <v>0.3679</v>
      </c>
      <c r="II29">
        <v>-2.7995187203546772</v>
      </c>
      <c r="IJ29">
        <v>-2.536945948238235E-3</v>
      </c>
      <c r="IK29">
        <v>1.581473279927893E-6</v>
      </c>
      <c r="IL29">
        <v>-4.6698293441882044E-10</v>
      </c>
      <c r="IM29">
        <v>-0.148419882786297</v>
      </c>
      <c r="IN29">
        <v>-1.5895243091576399E-2</v>
      </c>
      <c r="IO29">
        <v>1.559614309849521E-3</v>
      </c>
      <c r="IP29">
        <v>-2.4566050869858518E-6</v>
      </c>
      <c r="IQ29">
        <v>2</v>
      </c>
      <c r="IR29">
        <v>2224</v>
      </c>
      <c r="IS29">
        <v>2</v>
      </c>
      <c r="IT29">
        <v>25</v>
      </c>
      <c r="IU29">
        <v>0.6</v>
      </c>
      <c r="IV29">
        <v>0.6</v>
      </c>
      <c r="IW29">
        <v>2.2863799999999999</v>
      </c>
      <c r="IX29">
        <v>2.48169</v>
      </c>
      <c r="IY29">
        <v>1.65039</v>
      </c>
      <c r="IZ29">
        <v>2.2936999999999999</v>
      </c>
      <c r="JA29">
        <v>1.50024</v>
      </c>
      <c r="JB29">
        <v>2.4365199999999998</v>
      </c>
      <c r="JC29">
        <v>39.068300000000001</v>
      </c>
      <c r="JD29">
        <v>23.842300000000002</v>
      </c>
      <c r="JE29">
        <v>18</v>
      </c>
      <c r="JF29">
        <v>506.83</v>
      </c>
      <c r="JG29">
        <v>459.52</v>
      </c>
      <c r="JH29">
        <v>24.409500000000001</v>
      </c>
      <c r="JI29">
        <v>33.115600000000001</v>
      </c>
      <c r="JJ29">
        <v>29.9999</v>
      </c>
      <c r="JK29">
        <v>33.139800000000001</v>
      </c>
      <c r="JL29">
        <v>33.116500000000002</v>
      </c>
      <c r="JM29">
        <v>45.785200000000003</v>
      </c>
      <c r="JN29">
        <v>28.5642</v>
      </c>
      <c r="JO29">
        <v>46.6357</v>
      </c>
      <c r="JP29">
        <v>24.407900000000001</v>
      </c>
      <c r="JQ29">
        <v>1200</v>
      </c>
      <c r="JR29">
        <v>17.892499999999998</v>
      </c>
      <c r="JS29">
        <v>99.751400000000004</v>
      </c>
      <c r="JT29">
        <v>98.871899999999997</v>
      </c>
    </row>
    <row r="30" spans="1:280" x14ac:dyDescent="0.25">
      <c r="A30">
        <v>14</v>
      </c>
      <c r="B30">
        <v>1674759750.0999999</v>
      </c>
      <c r="C30">
        <v>1620.099999904633</v>
      </c>
      <c r="D30" t="s">
        <v>493</v>
      </c>
      <c r="E30" t="s">
        <v>494</v>
      </c>
      <c r="F30" t="s">
        <v>419</v>
      </c>
      <c r="G30" t="s">
        <v>420</v>
      </c>
      <c r="H30" t="s">
        <v>421</v>
      </c>
      <c r="I30">
        <v>1674759750.0999999</v>
      </c>
      <c r="J30">
        <f t="shared" si="0"/>
        <v>5.7498350995681541E-3</v>
      </c>
      <c r="K30">
        <f t="shared" si="1"/>
        <v>5.7498350995681538</v>
      </c>
      <c r="L30">
        <f t="shared" si="2"/>
        <v>53.393248791596413</v>
      </c>
      <c r="M30">
        <f t="shared" si="3"/>
        <v>1425.86</v>
      </c>
      <c r="N30">
        <f t="shared" si="4"/>
        <v>1203.2897922624418</v>
      </c>
      <c r="O30">
        <f t="shared" si="5"/>
        <v>119.33131685901496</v>
      </c>
      <c r="P30">
        <f t="shared" si="6"/>
        <v>141.40380193592202</v>
      </c>
      <c r="Q30">
        <f t="shared" si="7"/>
        <v>0.47167885521331515</v>
      </c>
      <c r="R30">
        <f t="shared" si="8"/>
        <v>2.9167004028790879</v>
      </c>
      <c r="S30">
        <f t="shared" si="9"/>
        <v>0.43303478071329382</v>
      </c>
      <c r="T30">
        <f t="shared" si="10"/>
        <v>0.27385443132736709</v>
      </c>
      <c r="U30">
        <f t="shared" si="11"/>
        <v>344.36499860502533</v>
      </c>
      <c r="V30">
        <f t="shared" si="12"/>
        <v>28.529075409827939</v>
      </c>
      <c r="W30">
        <f t="shared" si="13"/>
        <v>27.7912</v>
      </c>
      <c r="X30">
        <f t="shared" si="14"/>
        <v>3.74889220819859</v>
      </c>
      <c r="Y30">
        <f t="shared" si="15"/>
        <v>65.209444667730097</v>
      </c>
      <c r="Z30">
        <f t="shared" si="16"/>
        <v>2.47341119303693</v>
      </c>
      <c r="AA30">
        <f t="shared" si="17"/>
        <v>3.7930260035797172</v>
      </c>
      <c r="AB30">
        <f t="shared" si="18"/>
        <v>1.27548101516166</v>
      </c>
      <c r="AC30">
        <f t="shared" si="19"/>
        <v>-253.56772789095558</v>
      </c>
      <c r="AD30">
        <f t="shared" si="20"/>
        <v>31.543377515275715</v>
      </c>
      <c r="AE30">
        <f t="shared" si="21"/>
        <v>2.3548182133159345</v>
      </c>
      <c r="AF30">
        <f t="shared" si="22"/>
        <v>124.6954664426614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52313.560059460506</v>
      </c>
      <c r="AL30" t="s">
        <v>422</v>
      </c>
      <c r="AM30">
        <v>10424.1</v>
      </c>
      <c r="AN30">
        <v>628.54280000000006</v>
      </c>
      <c r="AO30">
        <v>2663.98</v>
      </c>
      <c r="AP30">
        <f t="shared" si="26"/>
        <v>0.76405873917972356</v>
      </c>
      <c r="AQ30">
        <v>-3.1675626227050531</v>
      </c>
      <c r="AR30" t="s">
        <v>495</v>
      </c>
      <c r="AS30">
        <v>10206.799999999999</v>
      </c>
      <c r="AT30">
        <v>743.19703999999979</v>
      </c>
      <c r="AU30">
        <v>1166.59439220031</v>
      </c>
      <c r="AV30">
        <f t="shared" si="27"/>
        <v>0.36293449979794767</v>
      </c>
      <c r="AW30">
        <v>0.5</v>
      </c>
      <c r="AX30">
        <f t="shared" si="28"/>
        <v>1513.1675993025126</v>
      </c>
      <c r="AY30">
        <f t="shared" si="29"/>
        <v>53.393248791596413</v>
      </c>
      <c r="AZ30">
        <f t="shared" si="30"/>
        <v>274.59036288165936</v>
      </c>
      <c r="BA30">
        <f t="shared" si="31"/>
        <v>3.7379079118778982E-2</v>
      </c>
      <c r="BB30">
        <f t="shared" si="32"/>
        <v>1.2835528936286722</v>
      </c>
      <c r="BC30">
        <f t="shared" si="33"/>
        <v>482.43937106782755</v>
      </c>
      <c r="BD30" t="s">
        <v>496</v>
      </c>
      <c r="BE30">
        <v>553.77</v>
      </c>
      <c r="BF30">
        <f t="shared" si="34"/>
        <v>553.77</v>
      </c>
      <c r="BG30">
        <f t="shared" si="35"/>
        <v>0.52531059320837636</v>
      </c>
      <c r="BH30">
        <f t="shared" si="36"/>
        <v>0.69089507139251893</v>
      </c>
      <c r="BI30">
        <f t="shared" si="37"/>
        <v>0.70959080271617037</v>
      </c>
      <c r="BJ30">
        <f t="shared" si="38"/>
        <v>0.78690846442599993</v>
      </c>
      <c r="BK30">
        <f t="shared" si="39"/>
        <v>0.73565797451264525</v>
      </c>
      <c r="BL30">
        <f t="shared" si="40"/>
        <v>0.51479882600855797</v>
      </c>
      <c r="BM30">
        <f t="shared" si="41"/>
        <v>0.48520117399144203</v>
      </c>
      <c r="BN30">
        <v>20415</v>
      </c>
      <c r="BO30">
        <v>290.00000000000011</v>
      </c>
      <c r="BP30">
        <v>1051.52</v>
      </c>
      <c r="BQ30">
        <v>115</v>
      </c>
      <c r="BR30">
        <v>10206.799999999999</v>
      </c>
      <c r="BS30">
        <v>1050.3499999999999</v>
      </c>
      <c r="BT30">
        <v>1.17</v>
      </c>
      <c r="BU30">
        <v>300.00000000000011</v>
      </c>
      <c r="BV30">
        <v>24.2</v>
      </c>
      <c r="BW30">
        <v>1166.59439220031</v>
      </c>
      <c r="BX30">
        <v>2.0481003748457791</v>
      </c>
      <c r="BY30">
        <v>-118.6523318943342</v>
      </c>
      <c r="BZ30">
        <v>1.856005532310476</v>
      </c>
      <c r="CA30">
        <v>0.99319546058106978</v>
      </c>
      <c r="CB30">
        <v>-6.9363937708565061E-3</v>
      </c>
      <c r="CC30">
        <v>289.99999999999989</v>
      </c>
      <c r="CD30">
        <v>1045.78</v>
      </c>
      <c r="CE30">
        <v>655</v>
      </c>
      <c r="CF30">
        <v>10153</v>
      </c>
      <c r="CG30">
        <v>1049.73</v>
      </c>
      <c r="CH30">
        <v>-3.95</v>
      </c>
      <c r="CV30">
        <f t="shared" si="42"/>
        <v>1799.98</v>
      </c>
      <c r="CW30">
        <f t="shared" si="43"/>
        <v>1513.1675993025126</v>
      </c>
      <c r="CX30">
        <f t="shared" si="44"/>
        <v>0.84065800692369508</v>
      </c>
      <c r="CY30">
        <f t="shared" si="45"/>
        <v>0.19131601384739017</v>
      </c>
      <c r="CZ30">
        <v>6</v>
      </c>
      <c r="DA30">
        <v>0.5</v>
      </c>
      <c r="DB30" t="s">
        <v>425</v>
      </c>
      <c r="DC30">
        <v>2</v>
      </c>
      <c r="DD30">
        <v>1674759750.0999999</v>
      </c>
      <c r="DE30">
        <v>1425.86</v>
      </c>
      <c r="DF30">
        <v>1499.76</v>
      </c>
      <c r="DG30">
        <v>24.940899999999999</v>
      </c>
      <c r="DH30">
        <v>18.214099999999998</v>
      </c>
      <c r="DI30">
        <v>1430.28</v>
      </c>
      <c r="DJ30">
        <v>24.5777</v>
      </c>
      <c r="DK30">
        <v>500.06799999999998</v>
      </c>
      <c r="DL30">
        <v>99.071200000000005</v>
      </c>
      <c r="DM30">
        <v>9.9687700000000004E-2</v>
      </c>
      <c r="DN30">
        <v>27.991800000000001</v>
      </c>
      <c r="DO30">
        <v>27.7912</v>
      </c>
      <c r="DP30">
        <v>999.9</v>
      </c>
      <c r="DQ30">
        <v>0</v>
      </c>
      <c r="DR30">
        <v>0</v>
      </c>
      <c r="DS30">
        <v>10020</v>
      </c>
      <c r="DT30">
        <v>0</v>
      </c>
      <c r="DU30">
        <v>475.19900000000001</v>
      </c>
      <c r="DV30">
        <v>-73.901200000000003</v>
      </c>
      <c r="DW30">
        <v>1462.33</v>
      </c>
      <c r="DX30">
        <v>1527.58</v>
      </c>
      <c r="DY30">
        <v>6.72682</v>
      </c>
      <c r="DZ30">
        <v>1499.76</v>
      </c>
      <c r="EA30">
        <v>18.214099999999998</v>
      </c>
      <c r="EB30">
        <v>2.47092</v>
      </c>
      <c r="EC30">
        <v>1.8044899999999999</v>
      </c>
      <c r="ED30">
        <v>20.836200000000002</v>
      </c>
      <c r="EE30">
        <v>15.825699999999999</v>
      </c>
      <c r="EF30">
        <v>1799.98</v>
      </c>
      <c r="EG30">
        <v>0.97800699999999996</v>
      </c>
      <c r="EH30">
        <v>2.1992999999999999E-2</v>
      </c>
      <c r="EI30">
        <v>0</v>
      </c>
      <c r="EJ30">
        <v>743.40800000000002</v>
      </c>
      <c r="EK30">
        <v>5.0010599999999998</v>
      </c>
      <c r="EL30">
        <v>14021.8</v>
      </c>
      <c r="EM30">
        <v>16710.900000000001</v>
      </c>
      <c r="EN30">
        <v>50.5</v>
      </c>
      <c r="EO30">
        <v>51.25</v>
      </c>
      <c r="EP30">
        <v>51.436999999999998</v>
      </c>
      <c r="EQ30">
        <v>50.125</v>
      </c>
      <c r="ER30">
        <v>51.186999999999998</v>
      </c>
      <c r="ES30">
        <v>1755.5</v>
      </c>
      <c r="ET30">
        <v>39.479999999999997</v>
      </c>
      <c r="EU30">
        <v>0</v>
      </c>
      <c r="EV30">
        <v>113.3999998569489</v>
      </c>
      <c r="EW30">
        <v>0</v>
      </c>
      <c r="EX30">
        <v>743.19703999999979</v>
      </c>
      <c r="EY30">
        <v>1.241307684969686</v>
      </c>
      <c r="EZ30">
        <v>47.361538486478047</v>
      </c>
      <c r="FA30">
        <v>14016.603999999999</v>
      </c>
      <c r="FB30">
        <v>15</v>
      </c>
      <c r="FC30">
        <v>1674759715.5999999</v>
      </c>
      <c r="FD30" t="s">
        <v>497</v>
      </c>
      <c r="FE30">
        <v>1674759715.5999999</v>
      </c>
      <c r="FF30">
        <v>1674759704.0999999</v>
      </c>
      <c r="FG30">
        <v>19</v>
      </c>
      <c r="FH30">
        <v>0.13800000000000001</v>
      </c>
      <c r="FI30">
        <v>-3.0000000000000001E-3</v>
      </c>
      <c r="FJ30">
        <v>-4.49</v>
      </c>
      <c r="FK30">
        <v>4.5999999999999999E-2</v>
      </c>
      <c r="FL30">
        <v>1500</v>
      </c>
      <c r="FM30">
        <v>18</v>
      </c>
      <c r="FN30">
        <v>0.04</v>
      </c>
      <c r="FO30">
        <v>0.02</v>
      </c>
      <c r="FP30">
        <v>53.414750080715251</v>
      </c>
      <c r="FQ30">
        <v>-0.57823642842709322</v>
      </c>
      <c r="FR30">
        <v>0.10806193629827381</v>
      </c>
      <c r="FS30">
        <v>1</v>
      </c>
      <c r="FT30">
        <v>0.47961667710976141</v>
      </c>
      <c r="FU30">
        <v>-2.7364040848123331E-2</v>
      </c>
      <c r="FV30">
        <v>3.4547358744273829E-3</v>
      </c>
      <c r="FW30">
        <v>1</v>
      </c>
      <c r="FX30">
        <v>2</v>
      </c>
      <c r="FY30">
        <v>2</v>
      </c>
      <c r="FZ30" t="s">
        <v>427</v>
      </c>
      <c r="GA30">
        <v>2.9771399999999999</v>
      </c>
      <c r="GB30">
        <v>2.80619</v>
      </c>
      <c r="GC30">
        <v>0.23011599999999999</v>
      </c>
      <c r="GD30">
        <v>0.234126</v>
      </c>
      <c r="GE30">
        <v>0.121166</v>
      </c>
      <c r="GF30">
        <v>9.7230399999999995E-2</v>
      </c>
      <c r="GG30">
        <v>22715.7</v>
      </c>
      <c r="GH30">
        <v>20936.599999999999</v>
      </c>
      <c r="GI30">
        <v>26536</v>
      </c>
      <c r="GJ30">
        <v>25831.5</v>
      </c>
      <c r="GK30">
        <v>31725</v>
      </c>
      <c r="GL30">
        <v>32913.800000000003</v>
      </c>
      <c r="GM30">
        <v>37582.199999999997</v>
      </c>
      <c r="GN30">
        <v>38323.300000000003</v>
      </c>
      <c r="GO30">
        <v>1.9652499999999999</v>
      </c>
      <c r="GP30">
        <v>1.9055200000000001</v>
      </c>
      <c r="GQ30">
        <v>4.6931199999999999E-2</v>
      </c>
      <c r="GR30">
        <v>0</v>
      </c>
      <c r="GS30">
        <v>27.0242</v>
      </c>
      <c r="GT30">
        <v>999.9</v>
      </c>
      <c r="GU30">
        <v>38.1</v>
      </c>
      <c r="GV30">
        <v>35</v>
      </c>
      <c r="GW30">
        <v>21.721499999999999</v>
      </c>
      <c r="GX30">
        <v>61.6783</v>
      </c>
      <c r="GY30">
        <v>11.879</v>
      </c>
      <c r="GZ30">
        <v>1</v>
      </c>
      <c r="HA30">
        <v>0.46837699999999999</v>
      </c>
      <c r="HB30">
        <v>2.8376600000000001</v>
      </c>
      <c r="HC30">
        <v>20.230899999999998</v>
      </c>
      <c r="HD30">
        <v>5.2062099999999996</v>
      </c>
      <c r="HE30">
        <v>11.9381</v>
      </c>
      <c r="HF30">
        <v>4.9864499999999996</v>
      </c>
      <c r="HG30">
        <v>3.2897799999999999</v>
      </c>
      <c r="HH30">
        <v>9999</v>
      </c>
      <c r="HI30">
        <v>9999</v>
      </c>
      <c r="HJ30">
        <v>9999</v>
      </c>
      <c r="HK30">
        <v>999.9</v>
      </c>
      <c r="HL30">
        <v>1.8702799999999999</v>
      </c>
      <c r="HM30">
        <v>1.87656</v>
      </c>
      <c r="HN30">
        <v>1.8743700000000001</v>
      </c>
      <c r="HO30">
        <v>1.8725700000000001</v>
      </c>
      <c r="HP30">
        <v>1.87303</v>
      </c>
      <c r="HQ30">
        <v>1.8704099999999999</v>
      </c>
      <c r="HR30">
        <v>1.8763399999999999</v>
      </c>
      <c r="HS30">
        <v>1.8754500000000001</v>
      </c>
      <c r="HT30">
        <v>5</v>
      </c>
      <c r="HU30">
        <v>0</v>
      </c>
      <c r="HV30">
        <v>0</v>
      </c>
      <c r="HW30">
        <v>0</v>
      </c>
      <c r="HX30" t="s">
        <v>428</v>
      </c>
      <c r="HY30" t="s">
        <v>429</v>
      </c>
      <c r="HZ30" t="s">
        <v>430</v>
      </c>
      <c r="IA30" t="s">
        <v>431</v>
      </c>
      <c r="IB30" t="s">
        <v>431</v>
      </c>
      <c r="IC30" t="s">
        <v>430</v>
      </c>
      <c r="ID30">
        <v>0</v>
      </c>
      <c r="IE30">
        <v>100</v>
      </c>
      <c r="IF30">
        <v>100</v>
      </c>
      <c r="IG30">
        <v>-4.42</v>
      </c>
      <c r="IH30">
        <v>0.36320000000000002</v>
      </c>
      <c r="II30">
        <v>-2.6626262790243351</v>
      </c>
      <c r="IJ30">
        <v>-2.536945948238235E-3</v>
      </c>
      <c r="IK30">
        <v>1.581473279927893E-6</v>
      </c>
      <c r="IL30">
        <v>-4.6698293441882044E-10</v>
      </c>
      <c r="IM30">
        <v>-0.15182085428399369</v>
      </c>
      <c r="IN30">
        <v>-1.5895243091576399E-2</v>
      </c>
      <c r="IO30">
        <v>1.559614309849521E-3</v>
      </c>
      <c r="IP30">
        <v>-2.4566050869858518E-6</v>
      </c>
      <c r="IQ30">
        <v>2</v>
      </c>
      <c r="IR30">
        <v>2224</v>
      </c>
      <c r="IS30">
        <v>2</v>
      </c>
      <c r="IT30">
        <v>25</v>
      </c>
      <c r="IU30">
        <v>0.6</v>
      </c>
      <c r="IV30">
        <v>0.8</v>
      </c>
      <c r="IW30">
        <v>2.7490199999999998</v>
      </c>
      <c r="IX30">
        <v>2.4731399999999999</v>
      </c>
      <c r="IY30">
        <v>1.65039</v>
      </c>
      <c r="IZ30">
        <v>2.2936999999999999</v>
      </c>
      <c r="JA30">
        <v>1.50024</v>
      </c>
      <c r="JB30">
        <v>2.3938000000000001</v>
      </c>
      <c r="JC30">
        <v>39.068300000000001</v>
      </c>
      <c r="JD30">
        <v>23.842300000000002</v>
      </c>
      <c r="JE30">
        <v>18</v>
      </c>
      <c r="JF30">
        <v>506.69299999999998</v>
      </c>
      <c r="JG30">
        <v>460.762</v>
      </c>
      <c r="JH30">
        <v>24.4436</v>
      </c>
      <c r="JI30">
        <v>33.097900000000003</v>
      </c>
      <c r="JJ30">
        <v>30</v>
      </c>
      <c r="JK30">
        <v>33.124699999999997</v>
      </c>
      <c r="JL30">
        <v>33.098799999999997</v>
      </c>
      <c r="JM30">
        <v>55.021299999999997</v>
      </c>
      <c r="JN30">
        <v>27.418700000000001</v>
      </c>
      <c r="JO30">
        <v>46.918999999999997</v>
      </c>
      <c r="JP30">
        <v>24.448699999999999</v>
      </c>
      <c r="JQ30">
        <v>1500</v>
      </c>
      <c r="JR30">
        <v>18.219799999999999</v>
      </c>
      <c r="JS30">
        <v>99.753500000000003</v>
      </c>
      <c r="JT30">
        <v>98.875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31</v>
      </c>
      <c r="B19" t="s">
        <v>33</v>
      </c>
    </row>
    <row r="20" spans="1:2" x14ac:dyDescent="0.25">
      <c r="A20" t="s">
        <v>34</v>
      </c>
      <c r="B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2023-01-26T19:23:49Z</dcterms:created>
  <dcterms:modified xsi:type="dcterms:W3CDTF">2023-01-27T01:00:19Z</dcterms:modified>
</cp:coreProperties>
</file>