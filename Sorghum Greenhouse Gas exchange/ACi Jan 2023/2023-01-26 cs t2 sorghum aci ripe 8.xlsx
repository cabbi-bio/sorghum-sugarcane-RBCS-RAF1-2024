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ACi 28C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30" i="1" l="1"/>
  <c r="CX30" i="1"/>
  <c r="CV30" i="1"/>
  <c r="CW30" i="1"/>
  <c r="BF30" i="1"/>
  <c r="BH30" i="1"/>
  <c r="BL30" i="1"/>
  <c r="BM30" i="1"/>
  <c r="BK30" i="1"/>
  <c r="BJ30" i="1"/>
  <c r="BI30" i="1"/>
  <c r="BG30" i="1"/>
  <c r="AP30" i="1"/>
  <c r="BC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BF29" i="1"/>
  <c r="BH29" i="1"/>
  <c r="BL29" i="1"/>
  <c r="BM29" i="1"/>
  <c r="BK29" i="1"/>
  <c r="BJ29" i="1"/>
  <c r="BI29" i="1"/>
  <c r="BG29" i="1"/>
  <c r="AP29" i="1"/>
  <c r="BC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BF28" i="1"/>
  <c r="BH28" i="1"/>
  <c r="BL28" i="1"/>
  <c r="BM28" i="1"/>
  <c r="BK28" i="1"/>
  <c r="BJ28" i="1"/>
  <c r="BI28" i="1"/>
  <c r="BG28" i="1"/>
  <c r="AP28" i="1"/>
  <c r="BC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BF27" i="1"/>
  <c r="BH27" i="1"/>
  <c r="BL27" i="1"/>
  <c r="BM27" i="1"/>
  <c r="BK27" i="1"/>
  <c r="BJ27" i="1"/>
  <c r="BI27" i="1"/>
  <c r="BG27" i="1"/>
  <c r="AP27" i="1"/>
  <c r="BC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BF26" i="1"/>
  <c r="BH26" i="1"/>
  <c r="BL26" i="1"/>
  <c r="BM26" i="1"/>
  <c r="BK26" i="1"/>
  <c r="BJ26" i="1"/>
  <c r="BI26" i="1"/>
  <c r="BG26" i="1"/>
  <c r="AP26" i="1"/>
  <c r="BC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BF25" i="1"/>
  <c r="BH25" i="1"/>
  <c r="BL25" i="1"/>
  <c r="BM25" i="1"/>
  <c r="BK25" i="1"/>
  <c r="BJ25" i="1"/>
  <c r="BI25" i="1"/>
  <c r="BG25" i="1"/>
  <c r="AP25" i="1"/>
  <c r="BC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BF24" i="1"/>
  <c r="BH24" i="1"/>
  <c r="BL24" i="1"/>
  <c r="BM24" i="1"/>
  <c r="BK24" i="1"/>
  <c r="BJ24" i="1"/>
  <c r="BI24" i="1"/>
  <c r="BG24" i="1"/>
  <c r="AP24" i="1"/>
  <c r="BC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BF23" i="1"/>
  <c r="BH23" i="1"/>
  <c r="BL23" i="1"/>
  <c r="BM23" i="1"/>
  <c r="BK23" i="1"/>
  <c r="BJ23" i="1"/>
  <c r="BI23" i="1"/>
  <c r="BG23" i="1"/>
  <c r="AP23" i="1"/>
  <c r="BC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BF22" i="1"/>
  <c r="BH22" i="1"/>
  <c r="BL22" i="1"/>
  <c r="BM22" i="1"/>
  <c r="BK22" i="1"/>
  <c r="BJ22" i="1"/>
  <c r="BI22" i="1"/>
  <c r="BG22" i="1"/>
  <c r="AP22" i="1"/>
  <c r="BC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BF21" i="1"/>
  <c r="BH21" i="1"/>
  <c r="BL21" i="1"/>
  <c r="BM21" i="1"/>
  <c r="BK21" i="1"/>
  <c r="BJ21" i="1"/>
  <c r="BI21" i="1"/>
  <c r="BG21" i="1"/>
  <c r="AP21" i="1"/>
  <c r="BC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BF20" i="1"/>
  <c r="BH20" i="1"/>
  <c r="BL20" i="1"/>
  <c r="BM20" i="1"/>
  <c r="BK20" i="1"/>
  <c r="BJ20" i="1"/>
  <c r="BI20" i="1"/>
  <c r="BG20" i="1"/>
  <c r="AP20" i="1"/>
  <c r="BC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BF19" i="1"/>
  <c r="BH19" i="1"/>
  <c r="BL19" i="1"/>
  <c r="BM19" i="1"/>
  <c r="BK19" i="1"/>
  <c r="BJ19" i="1"/>
  <c r="BI19" i="1"/>
  <c r="BG19" i="1"/>
  <c r="AP19" i="1"/>
  <c r="BC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BF18" i="1"/>
  <c r="BH18" i="1"/>
  <c r="BL18" i="1"/>
  <c r="BM18" i="1"/>
  <c r="BK18" i="1"/>
  <c r="BJ18" i="1"/>
  <c r="BI18" i="1"/>
  <c r="BG18" i="1"/>
  <c r="AP18" i="1"/>
  <c r="BC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BF17" i="1"/>
  <c r="BH17" i="1"/>
  <c r="BL17" i="1"/>
  <c r="BM17" i="1"/>
  <c r="BK17" i="1"/>
  <c r="BJ17" i="1"/>
  <c r="BI17" i="1"/>
  <c r="BG17" i="1"/>
  <c r="AP17" i="1"/>
  <c r="BC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<sst xmlns="http://schemas.openxmlformats.org/spreadsheetml/2006/main" count="1076" uniqueCount="490">
  <si>
    <t>File opened</t>
  </si>
  <si>
    <t>2023-01-26 12:19:29</t>
  </si>
  <si>
    <t>Console s/n</t>
  </si>
  <si>
    <t>68C-812068</t>
  </si>
  <si>
    <t>Console ver</t>
  </si>
  <si>
    <t>Bluestem v.2.1.08</t>
  </si>
  <si>
    <t>Scripts ver</t>
  </si>
  <si>
    <t>2022.05  2.1.08, Aug 2022</t>
  </si>
  <si>
    <t>Head s/n</t>
  </si>
  <si>
    <t>68H-712058</t>
  </si>
  <si>
    <t>Head ver</t>
  </si>
  <si>
    <t>1.4.22</t>
  </si>
  <si>
    <t>Head cal</t>
  </si>
  <si>
    <t>{"oxygen": "21", "co2azero": "0.895998", "co2aspan1": "0.99881", "co2aspan2": "-0.0247369", "co2aspan2a": "0.285116", "co2aspan2b": "0.282766", "co2aspanconc1": "2490", "co2aspanconc2": "309.1", "co2bzero": "0.911525", "co2bspan1": "0.999994", "co2bspan2": "-0.0286752", "co2bspan2a": "0.281163", "co2bspan2b": "0.278895", "co2bspanconc1": "2490", "co2bspanconc2": "309.1", "h2oazero": "1.03459", "h2oaspan1": "1.00843", "h2oaspan2": "0", "h2oaspan2a": "0.0733649", "h2oaspan2b": "0.0739832", "h2oaspanconc1": "12.54", "h2oaspanconc2": "0", "h2obzero": "1.04039", "h2obspan1": "1.04271", "h2obspan2": "0", "h2obspan2a": "0.0711664", "h2obspan2b": "0.0742063", "h2obspanconc1": "12.54", "h2obspanconc2": "0", "tazero": "-0.00456619", "tbzero": "-0.0261154", "flowmeterzero": "0.996722", "flowazero": "0.30199", "flowbzero": "0.29665", "chamberpressurezero": "2.68502", "ssa_ref": "28357.3", "ssb_ref": "37271"}</t>
  </si>
  <si>
    <t>CO2 rangematch</t>
  </si>
  <si>
    <t>Thu Nov 17 10:57</t>
  </si>
  <si>
    <t>H2O rangematch</t>
  </si>
  <si>
    <t>Thu Nov 17 11:15</t>
  </si>
  <si>
    <t>Chamber type</t>
  </si>
  <si>
    <t>6800-01A</t>
  </si>
  <si>
    <t>Chamber s/n</t>
  </si>
  <si>
    <t>MPF-281817</t>
  </si>
  <si>
    <t>Chamber rev</t>
  </si>
  <si>
    <t>0</t>
  </si>
  <si>
    <t>Chamber cal</t>
  </si>
  <si>
    <t>Fluorometer</t>
  </si>
  <si>
    <t>Flr. Version</t>
  </si>
  <si>
    <t>12:19:29</t>
  </si>
  <si>
    <t>Stability Definition:	gsw (GasEx): Slp&lt;0.05 Std&lt;0.05 Per=20	A (GasEx): Slp&lt;0.7 Std&lt;0.2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</si>
  <si>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</si>
  <si>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</si>
  <si>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</si>
  <si>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</si>
  <si>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</si>
  <si>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</si>
  <si>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</si>
  <si>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</si>
  <si>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</si>
  <si>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</si>
  <si>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</si>
  <si>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</si>
  <si>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</si>
  <si>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</si>
  <si>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</si>
  <si>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</si>
  <si>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</si>
  <si>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</si>
  <si>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</si>
  <si>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</si>
  <si>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</si>
  <si>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</si>
  <si>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</si>
  <si>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</si>
  <si>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</si>
  <si>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</si>
  <si>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</si>
  <si>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</si>
  <si>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</si>
  <si>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</si>
  <si>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</si>
  <si>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</si>
  <si>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</si>
  <si>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</si>
  <si>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</si>
  <si>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</si>
  <si>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</si>
  <si>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</si>
  <si>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</si>
  <si>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</si>
  <si>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</si>
  <si>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</si>
  <si>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</si>
  <si>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</si>
  <si>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</si>
  <si>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</si>
  <si>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</si>
  <si>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</si>
  <si>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</si>
  <si>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</si>
  <si>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</si>
  <si>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</si>
  <si>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4.16368 79.327 388.552 636.077 874.047 1062.8 1236.32 1371.76</t>
  </si>
  <si>
    <t>Fs_true</t>
  </si>
  <si>
    <t>0.0342791 100.283 404.127 601.283 802.171 1004.79 1200.93 1401.1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</si>
  <si>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</si>
  <si>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</si>
  <si>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</si>
  <si>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</si>
  <si>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</si>
  <si>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</si>
  <si>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</si>
  <si>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</si>
  <si>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</si>
  <si>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</si>
  <si>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</si>
  <si>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</si>
  <si>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</si>
  <si>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</si>
  <si>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</si>
  <si>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</si>
  <si>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</si>
  <si>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</si>
  <si>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</si>
  <si>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</si>
  <si>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</si>
  <si>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</si>
  <si>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</si>
  <si>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</si>
  <si>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</si>
  <si>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</si>
  <si>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</si>
  <si>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</si>
  <si>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</si>
  <si>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</si>
  <si>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</si>
  <si>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</si>
  <si>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</si>
  <si>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</si>
  <si>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</si>
  <si>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</si>
  <si>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</si>
  <si>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</si>
  <si>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</si>
  <si>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</si>
  <si>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</si>
  <si>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</si>
  <si>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</si>
  <si>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</si>
  <si>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</si>
  <si>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</si>
  <si>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</si>
  <si>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</si>
  <si>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</si>
  <si>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</si>
  <si>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</si>
  <si>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</si>
  <si>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</si>
  <si>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</si>
  <si>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</si>
  <si>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</si>
  <si>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</si>
  <si>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</si>
  <si>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</si>
  <si>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</si>
  <si>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</si>
  <si>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</si>
  <si>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</si>
  <si>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</si>
  <si>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</si>
  <si>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</si>
  <si>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</si>
  <si>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</si>
  <si>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</si>
  <si>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</si>
  <si>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</si>
  <si>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</si>
  <si>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</si>
  <si>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</si>
  <si>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</si>
  <si>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</si>
  <si>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</si>
  <si>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</si>
  <si>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</si>
  <si>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</si>
  <si>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</si>
  <si>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</si>
  <si>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</si>
  <si>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</si>
  <si>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</si>
  <si>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</si>
  <si>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</si>
  <si>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</si>
  <si>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</si>
  <si>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</si>
  <si>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</si>
  <si>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</si>
  <si>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</si>
  <si>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</si>
  <si>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</si>
  <si>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</si>
  <si>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</si>
  <si>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</si>
  <si>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</si>
  <si>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</si>
  <si>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</si>
  <si>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</si>
  <si>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</si>
  <si>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</si>
  <si>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</si>
  <si>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</si>
  <si>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</si>
  <si>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</si>
  <si>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</si>
  <si>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</si>
  <si>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</si>
  <si>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</si>
  <si>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</si>
  <si>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</si>
  <si>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</si>
  <si>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</si>
  <si>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</si>
  <si>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</si>
  <si>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</si>
  <si>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</si>
  <si>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</si>
  <si>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</si>
  <si>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</si>
  <si>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</si>
  <si>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</si>
  <si>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</si>
  <si>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</si>
  <si>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</si>
  <si>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</si>
  <si>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</si>
  <si>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</si>
  <si>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</si>
  <si>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</si>
  <si>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</si>
  <si>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</si>
  <si>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</si>
  <si>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</si>
  <si>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</si>
  <si>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</si>
  <si>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</si>
  <si>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</si>
  <si>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</si>
  <si>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</si>
  <si>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</si>
  <si>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</si>
  <si>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</si>
  <si>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</si>
  <si>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</si>
  <si>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</si>
  <si>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</si>
  <si>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</si>
  <si>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</si>
  <si>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</si>
  <si>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</si>
  <si>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</si>
  <si>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</si>
  <si>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</si>
  <si>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</si>
  <si>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</si>
  <si>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</si>
  <si>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</si>
  <si>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</si>
  <si>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</si>
  <si>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</si>
  <si>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</si>
  <si>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</si>
  <si>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</si>
  <si>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</si>
  <si>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</si>
  <si>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</si>
  <si>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</si>
  <si>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</si>
  <si>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</si>
  <si>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</si>
  <si>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</si>
  <si>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</si>
  <si>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</si>
  <si>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</si>
  <si>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</si>
  <si>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</si>
  <si>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</si>
  <si>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</si>
  <si>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</si>
  <si>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</si>
  <si>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</si>
  <si>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</si>
  <si>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</si>
  <si>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</si>
  <si>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</si>
  <si>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</si>
  <si>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</si>
  <si>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</si>
  <si>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</si>
  <si>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</si>
  <si>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</si>
  <si>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</si>
  <si>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</si>
  <si>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</si>
  <si>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</si>
  <si>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</si>
  <si>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</si>
  <si>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</si>
  <si>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</si>
  <si>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</si>
  <si>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</si>
  <si>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</si>
  <si>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</si>
  <si>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</si>
  <si>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</si>
  <si>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</si>
  <si>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</si>
  <si>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</si>
  <si>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</si>
  <si>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</si>
  <si>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</si>
  <si>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</si>
  <si>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</si>
  <si>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</si>
  <si>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</si>
  <si>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</si>
  <si>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</si>
  <si>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</si>
  <si>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</si>
  <si>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</si>
  <si>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</si>
  <si>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</si>
  <si>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</si>
  <si>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</si>
  <si>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</si>
  <si>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</si>
  <si>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</si>
  <si>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</si>
  <si>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</si>
  <si>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</si>
  <si>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</si>
  <si>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</si>
  <si>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</si>
  <si>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</si>
  <si>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</si>
  <si>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</si>
  <si>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</si>
  <si>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</si>
  <si>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</si>
  <si>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</si>
  <si>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</si>
  <si>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</si>
  <si>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</si>
  <si>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</si>
  <si>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</si>
  <si>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</si>
  <si>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</si>
  <si>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</si>
  <si>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</si>
  <si>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</si>
  <si>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</si>
  <si>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</si>
  <si>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</si>
  <si>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</si>
  <si>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</si>
  <si>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</si>
  <si>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</si>
  <si>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</si>
  <si>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</si>
  <si>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</si>
  <si>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</si>
  <si>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</si>
  <si>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</si>
  <si>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</si>
  <si>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</si>
  <si>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</si>
  <si>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</si>
  <si>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</si>
  <si>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</si>
  <si>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</si>
  <si>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</si>
  <si>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</si>
  <si>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</si>
  <si>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</si>
  <si>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</si>
  <si>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</si>
  <si>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</si>
  <si>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</si>
  <si>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</si>
  <si>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</si>
  <si>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</si>
  <si>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</si>
  <si>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</si>
  <si>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</si>
  <si>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</si>
  <si>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</si>
  <si>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</si>
  <si>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</si>
  <si>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</si>
  <si>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</si>
  <si>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</si>
  <si>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</si>
  <si>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</si>
  <si>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</si>
  <si>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</si>
  <si>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</si>
  <si>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</si>
  <si>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</si>
  <si>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</si>
  <si>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</si>
  <si>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</si>
  <si>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</si>
  <si>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</si>
  <si>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</si>
  <si>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</si>
  <si>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</si>
  <si>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</si>
  <si>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</si>
  <si>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</si>
  <si>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</si>
  <si>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</si>
  <si>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</si>
  <si>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</si>
  <si>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</si>
  <si>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</si>
  <si>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</si>
  <si>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</si>
  <si>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</si>
  <si>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</si>
  <si>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</si>
  <si>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</si>
  <si>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</si>
  <si>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20230126 12:34:17</t>
  </si>
  <si>
    <t>12:34:17</t>
  </si>
  <si>
    <t>none</t>
  </si>
  <si>
    <t>9</t>
  </si>
  <si>
    <t>hn1a</t>
  </si>
  <si>
    <t>MPF-9056-20220831-11_12_14</t>
  </si>
  <si>
    <t>MPF-9282-20230126-12_34_11</t>
  </si>
  <si>
    <t>DARK-9283-20230126-12_34_19</t>
  </si>
  <si>
    <t>0: Broadleaf</t>
  </si>
  <si>
    <t>12:33:40</t>
  </si>
  <si>
    <t>2/2</t>
  </si>
  <si>
    <t>11111111</t>
  </si>
  <si>
    <t>oooooooo</t>
  </si>
  <si>
    <t>off</t>
  </si>
  <si>
    <t>20230126 12:36:20</t>
  </si>
  <si>
    <t>12:36:20</t>
  </si>
  <si>
    <t>MPF-9284-20230126-12_36_15</t>
  </si>
  <si>
    <t>DARK-9285-20230126-12_36_22</t>
  </si>
  <si>
    <t>12:35:44</t>
  </si>
  <si>
    <t>20230126 12:38:19</t>
  </si>
  <si>
    <t>12:38:19</t>
  </si>
  <si>
    <t>MPF-9286-20230126-12_38_13</t>
  </si>
  <si>
    <t>DARK-9287-20230126-12_38_21</t>
  </si>
  <si>
    <t>12:37:43</t>
  </si>
  <si>
    <t>20230126 12:40:16</t>
  </si>
  <si>
    <t>12:40:16</t>
  </si>
  <si>
    <t>MPF-9288-20230126-12_40_10</t>
  </si>
  <si>
    <t>DARK-9289-20230126-12_40_18</t>
  </si>
  <si>
    <t>12:39:41</t>
  </si>
  <si>
    <t>20230126 12:42:46</t>
  </si>
  <si>
    <t>12:42:46</t>
  </si>
  <si>
    <t>MPF-9290-20230126-12_42_40</t>
  </si>
  <si>
    <t>DARK-9291-20230126-12_42_48</t>
  </si>
  <si>
    <t>12:42:08</t>
  </si>
  <si>
    <t>20230126 12:45:01</t>
  </si>
  <si>
    <t>12:45:01</t>
  </si>
  <si>
    <t>MPF-9292-20230126-12_44_56</t>
  </si>
  <si>
    <t>DARK-9293-20230126-12_45_03</t>
  </si>
  <si>
    <t>12:44:22</t>
  </si>
  <si>
    <t>20230126 12:47:10</t>
  </si>
  <si>
    <t>12:47:10</t>
  </si>
  <si>
    <t>MPF-9294-20230126-12_47_04</t>
  </si>
  <si>
    <t>DARK-9295-20230126-12_47_12</t>
  </si>
  <si>
    <t>12:46:27</t>
  </si>
  <si>
    <t>20230126 12:50:19</t>
  </si>
  <si>
    <t>12:50:19</t>
  </si>
  <si>
    <t>MPF-9296-20230126-12_50_14</t>
  </si>
  <si>
    <t>DARK-9297-20230126-12_50_21</t>
  </si>
  <si>
    <t>12:48:30</t>
  </si>
  <si>
    <t>1/2</t>
  </si>
  <si>
    <t>20230126 12:53:25</t>
  </si>
  <si>
    <t>12:53:25</t>
  </si>
  <si>
    <t>MPF-9298-20230126-12_53_20</t>
  </si>
  <si>
    <t>DARK-9299-20230126-12_53_27</t>
  </si>
  <si>
    <t>12:51:28</t>
  </si>
  <si>
    <t>20230126 12:55:18</t>
  </si>
  <si>
    <t>12:55:18</t>
  </si>
  <si>
    <t>MPF-9300-20230126-12_55_13</t>
  </si>
  <si>
    <t>DARK-9301-20230126-12_55_20</t>
  </si>
  <si>
    <t>12:54:43</t>
  </si>
  <si>
    <t>20230126 12:57:08</t>
  </si>
  <si>
    <t>12:57:08</t>
  </si>
  <si>
    <t>MPF-9302-20230126-12_57_02</t>
  </si>
  <si>
    <t>DARK-9303-20230126-12_57_10</t>
  </si>
  <si>
    <t>12:56:32</t>
  </si>
  <si>
    <t>20230126 12:59:03</t>
  </si>
  <si>
    <t>12:59:03</t>
  </si>
  <si>
    <t>MPF-9304-20230126-12_58_58</t>
  </si>
  <si>
    <t>DARK-9305-20230126-12_59_05</t>
  </si>
  <si>
    <t>12:58:27</t>
  </si>
  <si>
    <t>20230126 13:00:54</t>
  </si>
  <si>
    <t>13:00:54</t>
  </si>
  <si>
    <t>MPF-9306-20230126-13_00_49</t>
  </si>
  <si>
    <t>DARK-9307-20230126-13_00_56</t>
  </si>
  <si>
    <t>13:00:19</t>
  </si>
  <si>
    <t>20230126 13:02:43</t>
  </si>
  <si>
    <t>13:02:43</t>
  </si>
  <si>
    <t>MPF-9308-20230126-13_02_38</t>
  </si>
  <si>
    <t>DARK-9309-20230126-13_02_45</t>
  </si>
  <si>
    <t>13:02:06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</si>
</sst>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30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1674758057.0999999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1674758057.0999999</v>
      </c>
      <c r="J17">
        <f t="shared" ref="J17:J30" si="0">(K17)/1000</f>
        <v>5.6530651457866723E-3</v>
      </c>
      <c r="K17">
        <f t="shared" ref="K17:K30" si="1">1000*DK17*AI17*(DG17-DH17)/(100*CZ17*(1000-AI17*DG17))</f>
        <v>5.6530651457866723</v>
      </c>
      <c r="L17">
        <f t="shared" ref="L17:L30" si="2">DK17*AI17*(DF17-DE17*(1000-AI17*DH17)/(1000-AI17*DG17))/(100*CZ17)</f>
        <v>55.187082789611559</v>
      </c>
      <c r="M17">
        <f t="shared" ref="M17:M30" si="3">DE17 - IF(AI17&gt;1, L17*CZ17*100/(AK17*DS17), 0)</f>
        <v>331.57</v>
      </c>
      <c r="N17">
        <f t="shared" ref="N17:N30" si="4">((T17-J17/2)*M17-L17)/(T17+J17/2)</f>
        <v>129.20821867179049</v>
      </c>
      <c r="O17">
        <f t="shared" ref="O17:O30" si="5">N17*(DL17+DM17)/1000</f>
        <v>12.81628231419087</v>
      </c>
      <c r="P17">
        <f t="shared" ref="P17:P30" si="6">(DE17 - IF(AI17&gt;1, L17*CZ17*100/(AK17*DS17), 0))*(DL17+DM17)/1000</f>
        <v>32.888733941226</v>
      </c>
      <c r="Q17">
        <f t="shared" ref="Q17:Q30" si="7">2/((1/S17-1/R17)+SIGN(S17)*SQRT((1/S17-1/R17)*(1/S17-1/R17) + 4*DA17/((DA17+1)*(DA17+1))*(2*1/S17*1/R17-1/R17*1/R17)))</f>
        <v>0.4815259177415932</v>
      </c>
      <c r="R17">
        <f t="shared" ref="R17:R30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2.9154130245272287</v>
      </c>
      <c r="S17">
        <f t="shared" ref="S17:S30" si="9">J17*(1000-(1000*0.61365*EXP(17.502*W17/(240.97+W17))/(DL17+DM17)+DG17)/2)/(1000*0.61365*EXP(17.502*W17/(240.97+W17))/(DL17+DM17)-DG17)</f>
        <v>0.44130892625563251</v>
      </c>
      <c r="T17">
        <f t="shared" ref="T17:T30" si="10">1/((DA17+1)/(Q17/1.6)+1/(R17/1.37)) + DA17/((DA17+1)/(Q17/1.6) + DA17/(R17/1.37))</f>
        <v>0.27915096943106632</v>
      </c>
      <c r="U17">
        <f t="shared" ref="U17:U30" si="11">(CV17*CY17)</f>
        <v>344.3485012637579</v>
      </c>
      <c r="V17">
        <f t="shared" ref="V17:V30" si="12">(DN17+(U17+2*0.95*0.0000000567*(((DN17+$B$7)+273)^4-(DN17+273)^4)-44100*J17)/(1.84*29.3*R17+8*0.95*0.0000000567*(DN17+273)^3))</f>
        <v>28.560259044438229</v>
      </c>
      <c r="W17">
        <f t="shared" ref="W17:W30" si="13">($C$7*DO17+$D$7*DP17+$E$7*V17)</f>
        <v>27.625399999999999</v>
      </c>
      <c r="X17">
        <f t="shared" ref="X17:X30" si="14">0.61365*EXP(17.502*W17/(240.97+W17))</f>
        <v>3.7127536118307329</v>
      </c>
      <c r="Y17">
        <f t="shared" ref="Y17:Y30" si="15">(Z17/AA17*100)</f>
        <v>65.40891975121103</v>
      </c>
      <c r="Z17">
        <f t="shared" ref="Z17:Z30" si="16">DG17*(DL17+DM17)/1000</f>
        <v>2.4818163779890803</v>
      </c>
      <c r="AA17">
        <f t="shared" ref="AA17:AA30" si="17">0.61365*EXP(17.502*DN17/(240.97+DN17))</f>
        <v>3.794308769245696</v>
      </c>
      <c r="AB17">
        <f t="shared" ref="AB17:AB30" si="18">(X17-DG17*(DL17+DM17)/1000)</f>
        <v>1.2309372338416527</v>
      </c>
      <c r="AC17">
        <f t="shared" ref="AC17:AC30" si="19">(-J17*44100)</f>
        <v>-249.30017292919226</v>
      </c>
      <c r="AD17">
        <f t="shared" ref="AD17:AD30" si="20">2*29.3*R17*0.92*(DN17-W17)</f>
        <v>58.500813025327624</v>
      </c>
      <c r="AE17">
        <f t="shared" ref="AE17:AE30" si="21">2*0.95*0.0000000567*(((DN17+$B$7)+273)^4-(W17+273)^4)</f>
        <v>4.3657261691436116</v>
      </c>
      <c r="AF17">
        <f t="shared" ref="AF17:AF30" si="22">U17+AE17+AC17+AD17</f>
        <v>157.91486752903688</v>
      </c>
      <c r="AG17">
        <v>0</v>
      </c>
      <c r="AH17">
        <v>0</v>
      </c>
      <c r="AI17">
        <f t="shared" ref="AI17:AI30" si="23">IF(AG17*$H$13&gt;=AK17,1,(AK17/(AK17-AG17*$H$13)))</f>
        <v>1</v>
      </c>
      <c r="AJ17">
        <f t="shared" ref="AJ17:AJ30" si="24">(AI17-1)*100</f>
        <v>0</v>
      </c>
      <c r="AK17">
        <f t="shared" ref="AK17:AK30" si="25">MAX(0,($B$13+$C$13*DS17)/(1+$D$13*DS17)*DL17/(DN17+273)*$E$13)</f>
        <v>52276.103227917469</v>
      </c>
      <c r="AL17" t="s">
        <v>415</v>
      </c>
      <c r="AM17">
        <v>10214.9</v>
      </c>
      <c r="AN17">
        <v>729.4384</v>
      </c>
      <c r="AO17">
        <v>3170.19</v>
      </c>
      <c r="AP17">
        <f t="shared" ref="AP17:AP30" si="26">1-AN17/AO17</f>
        <v>0.76990704027203416</v>
      </c>
      <c r="AQ17">
        <v>-0.45549566560547827</v>
      </c>
      <c r="AR17" t="s">
        <v>416</v>
      </c>
      <c r="AS17">
        <v>10096.700000000001</v>
      </c>
      <c r="AT17">
        <v>735.36323999999991</v>
      </c>
      <c r="AU17">
        <v>1133.306780293238</v>
      </c>
      <c r="AV17">
        <f t="shared" ref="AV17:AV30" si="27">1-AT17/AU17</f>
        <v>0.35113487999275184</v>
      </c>
      <c r="AW17">
        <v>0.5</v>
      </c>
      <c r="AX17">
        <f t="shared" ref="AX17:AX30" si="28">CW17</f>
        <v>1513.0923006318792</v>
      </c>
      <c r="AY17">
        <f t="shared" ref="AY17:AY30" si="29">L17</f>
        <v>55.187082789611559</v>
      </c>
      <c r="AZ17">
        <f t="shared" ref="AZ17:AZ30" si="30">AV17*AW17*AX17</f>
        <v>265.64974170016586</v>
      </c>
      <c r="BA17">
        <f t="shared" ref="BA17:BA30" si="31">(AY17-AQ17)/AX17</f>
        <v>3.6774080756329444E-2</v>
      </c>
      <c r="BB17">
        <f t="shared" ref="BB17:BB30" si="32">(AO17-AU17)/AU17</f>
        <v>1.7972920087707651</v>
      </c>
      <c r="BC17">
        <f t="shared" ref="BC17:BC30" si="33">AN17/(AP17+AN17/AU17)</f>
        <v>516.03507021374742</v>
      </c>
      <c r="BD17" t="s">
        <v>417</v>
      </c>
      <c r="BE17">
        <v>559.33000000000004</v>
      </c>
      <c r="BF17">
        <f t="shared" ref="BF17:BF30" si="34">IF(BE17&lt;&gt;0, BE17, BC17)</f>
        <v>559.33000000000004</v>
      </c>
      <c r="BG17">
        <f t="shared" ref="BG17:BG30" si="35">1-BF17/AU17</f>
        <v>0.50646196623364781</v>
      </c>
      <c r="BH17">
        <f t="shared" ref="BH17:BH30" si="36">(AU17-AT17)/(AU17-BF17)</f>
        <v>0.6933094751497324</v>
      </c>
      <c r="BI17">
        <f t="shared" ref="BI17:BI30" si="37">(AO17-AU17)/(AO17-BF17)</f>
        <v>0.78015796316415353</v>
      </c>
      <c r="BJ17">
        <f t="shared" ref="BJ17:BJ30" si="38">(AU17-AT17)/(AU17-AN17)</f>
        <v>0.98532977502299623</v>
      </c>
      <c r="BK17">
        <f t="shared" ref="BK17:BK30" si="39">(AO17-AU17)/(AO17-AN17)</f>
        <v>0.8345311418444884</v>
      </c>
      <c r="BL17">
        <f t="shared" ref="BL17:BL30" si="40">(BH17*BF17/AT17)</f>
        <v>0.52734317904645311</v>
      </c>
      <c r="BM17">
        <f t="shared" ref="BM17:BM30" si="41">(1-BL17)</f>
        <v>0.47265682095354689</v>
      </c>
      <c r="BN17">
        <v>9282</v>
      </c>
      <c r="BO17">
        <v>290.00000000000011</v>
      </c>
      <c r="BP17">
        <v>1029.05</v>
      </c>
      <c r="BQ17">
        <v>265</v>
      </c>
      <c r="BR17">
        <v>10096.700000000001</v>
      </c>
      <c r="BS17">
        <v>1029.58</v>
      </c>
      <c r="BT17">
        <v>-0.53</v>
      </c>
      <c r="BU17">
        <v>300.00000000000011</v>
      </c>
      <c r="BV17">
        <v>24.2</v>
      </c>
      <c r="BW17">
        <v>1133.306780293238</v>
      </c>
      <c r="BX17">
        <v>2.049672672353152</v>
      </c>
      <c r="BY17">
        <v>-104.7329935126287</v>
      </c>
      <c r="BZ17">
        <v>1.8427110455699429</v>
      </c>
      <c r="CA17">
        <v>0.99140675195061589</v>
      </c>
      <c r="CB17">
        <v>-6.9016438264738683E-3</v>
      </c>
      <c r="CC17">
        <v>289.99999999999989</v>
      </c>
      <c r="CD17">
        <v>1027.53</v>
      </c>
      <c r="CE17">
        <v>635</v>
      </c>
      <c r="CF17">
        <v>10079.200000000001</v>
      </c>
      <c r="CG17">
        <v>1029.4000000000001</v>
      </c>
      <c r="CH17">
        <v>-1.87</v>
      </c>
      <c r="CV17">
        <f t="shared" ref="CV17:CV30" si="42">$B$11*DT17+$C$11*DU17+$F$11*EF17*(1-EI17)</f>
        <v>1799.89</v>
      </c>
      <c r="CW17">
        <f t="shared" ref="CW17:CW30" si="43">CV17*CX17</f>
        <v>1513.0923006318792</v>
      </c>
      <c r="CX17">
        <f t="shared" ref="CX17:CX30" si="44">($B$11*$D$9+$C$11*$D$9+$F$11*((ES17+EK17)/MAX(ES17+EK17+ET17, 0.1)*$I$9+ET17/MAX(ES17+EK17+ET17, 0.1)*$J$9))/($B$11+$C$11+$F$11)</f>
        <v>0.84065820724148643</v>
      </c>
      <c r="CY17">
        <f t="shared" ref="CY17:CY30" si="45">($B$11*$K$9+$C$11*$K$9+$F$11*((ES17+EK17)/MAX(ES17+EK17+ET17, 0.1)*$P$9+ET17/MAX(ES17+EK17+ET17, 0.1)*$Q$9))/($B$11+$C$11+$F$11)</f>
        <v>0.19131641448297279</v>
      </c>
      <c r="CZ17">
        <v>6</v>
      </c>
      <c r="DA17">
        <v>0.5</v>
      </c>
      <c r="DB17" t="s">
        <v>418</v>
      </c>
      <c r="DC17">
        <v>2</v>
      </c>
      <c r="DD17">
        <v>1674758057.0999999</v>
      </c>
      <c r="DE17">
        <v>331.57</v>
      </c>
      <c r="DF17">
        <v>400.03500000000003</v>
      </c>
      <c r="DG17">
        <v>25.020600000000002</v>
      </c>
      <c r="DH17">
        <v>18.407499999999999</v>
      </c>
      <c r="DI17">
        <v>330.64299999999997</v>
      </c>
      <c r="DJ17">
        <v>24.918900000000001</v>
      </c>
      <c r="DK17">
        <v>500.06400000000002</v>
      </c>
      <c r="DL17">
        <v>99.091300000000004</v>
      </c>
      <c r="DM17">
        <v>9.9621799999999996E-2</v>
      </c>
      <c r="DN17">
        <v>27.997599999999998</v>
      </c>
      <c r="DO17">
        <v>27.625399999999999</v>
      </c>
      <c r="DP17">
        <v>999.9</v>
      </c>
      <c r="DQ17">
        <v>0</v>
      </c>
      <c r="DR17">
        <v>0</v>
      </c>
      <c r="DS17">
        <v>10010.6</v>
      </c>
      <c r="DT17">
        <v>0</v>
      </c>
      <c r="DU17">
        <v>262.73899999999998</v>
      </c>
      <c r="DV17">
        <v>-68.465299999999999</v>
      </c>
      <c r="DW17">
        <v>340.07900000000001</v>
      </c>
      <c r="DX17">
        <v>407.53699999999998</v>
      </c>
      <c r="DY17">
        <v>6.6130300000000002</v>
      </c>
      <c r="DZ17">
        <v>400.03500000000003</v>
      </c>
      <c r="EA17">
        <v>18.407499999999999</v>
      </c>
      <c r="EB17">
        <v>2.47932</v>
      </c>
      <c r="EC17">
        <v>1.82403</v>
      </c>
      <c r="ED17">
        <v>20.891400000000001</v>
      </c>
      <c r="EE17">
        <v>15.994199999999999</v>
      </c>
      <c r="EF17">
        <v>1799.89</v>
      </c>
      <c r="EG17">
        <v>0.97799999999999998</v>
      </c>
      <c r="EH17">
        <v>2.19998E-2</v>
      </c>
      <c r="EI17">
        <v>0</v>
      </c>
      <c r="EJ17">
        <v>735.54899999999998</v>
      </c>
      <c r="EK17">
        <v>4.9990399999999999</v>
      </c>
      <c r="EL17">
        <v>13842.7</v>
      </c>
      <c r="EM17">
        <v>14819.8</v>
      </c>
      <c r="EN17">
        <v>48.75</v>
      </c>
      <c r="EO17">
        <v>50.311999999999998</v>
      </c>
      <c r="EP17">
        <v>49.75</v>
      </c>
      <c r="EQ17">
        <v>48.75</v>
      </c>
      <c r="ER17">
        <v>49.625</v>
      </c>
      <c r="ES17">
        <v>1755.4</v>
      </c>
      <c r="ET17">
        <v>39.49</v>
      </c>
      <c r="EU17">
        <v>0</v>
      </c>
      <c r="EV17">
        <v>1674758057.5</v>
      </c>
      <c r="EW17">
        <v>0</v>
      </c>
      <c r="EX17">
        <v>735.36323999999991</v>
      </c>
      <c r="EY17">
        <v>1.059923082978758</v>
      </c>
      <c r="EZ17">
        <v>41.661538280948733</v>
      </c>
      <c r="FA17">
        <v>13839.06</v>
      </c>
      <c r="FB17">
        <v>15</v>
      </c>
      <c r="FC17">
        <v>1674758020.5999999</v>
      </c>
      <c r="FD17" t="s">
        <v>419</v>
      </c>
      <c r="FE17">
        <v>1674758019.5999999</v>
      </c>
      <c r="FF17">
        <v>1674758020.5999999</v>
      </c>
      <c r="FG17">
        <v>5</v>
      </c>
      <c r="FH17">
        <v>-4.2999999999999997E-2</v>
      </c>
      <c r="FI17">
        <v>-6.0000000000000001E-3</v>
      </c>
      <c r="FJ17">
        <v>1.038</v>
      </c>
      <c r="FK17">
        <v>0.06</v>
      </c>
      <c r="FL17">
        <v>400</v>
      </c>
      <c r="FM17">
        <v>18</v>
      </c>
      <c r="FN17">
        <v>0.04</v>
      </c>
      <c r="FO17">
        <v>0.01</v>
      </c>
      <c r="FP17">
        <v>55.270624867418057</v>
      </c>
      <c r="FQ17">
        <v>-0.51328891579388469</v>
      </c>
      <c r="FR17">
        <v>8.4664795788924913E-2</v>
      </c>
      <c r="FS17">
        <v>1</v>
      </c>
      <c r="FT17">
        <v>0.48567278888595677</v>
      </c>
      <c r="FU17">
        <v>2.882103043671428E-3</v>
      </c>
      <c r="FV17">
        <v>2.7703466556054279E-3</v>
      </c>
      <c r="FW17">
        <v>1</v>
      </c>
      <c r="FX17">
        <v>2</v>
      </c>
      <c r="FY17">
        <v>2</v>
      </c>
      <c r="FZ17" t="s">
        <v>420</v>
      </c>
      <c r="GA17">
        <v>2.9331</v>
      </c>
      <c r="GB17">
        <v>2.83317</v>
      </c>
      <c r="GC17">
        <v>7.7536400000000005E-2</v>
      </c>
      <c r="GD17">
        <v>8.8180999999999995E-2</v>
      </c>
      <c r="GE17">
        <v>0.122151</v>
      </c>
      <c r="GF17">
        <v>9.5166500000000001E-2</v>
      </c>
      <c r="GG17">
        <v>23926.7</v>
      </c>
      <c r="GH17">
        <v>29688.9</v>
      </c>
      <c r="GI17">
        <v>23337.3</v>
      </c>
      <c r="GJ17">
        <v>29831.7</v>
      </c>
      <c r="GK17">
        <v>27883.4</v>
      </c>
      <c r="GL17">
        <v>38389.300000000003</v>
      </c>
      <c r="GM17">
        <v>32952.699999999997</v>
      </c>
      <c r="GN17">
        <v>44264.6</v>
      </c>
      <c r="GO17">
        <v>1.9865200000000001</v>
      </c>
      <c r="GP17">
        <v>1.82348</v>
      </c>
      <c r="GQ17">
        <v>5.9679200000000002E-2</v>
      </c>
      <c r="GR17">
        <v>0</v>
      </c>
      <c r="GS17">
        <v>26.649699999999999</v>
      </c>
      <c r="GT17">
        <v>999.9</v>
      </c>
      <c r="GU17">
        <v>43.1</v>
      </c>
      <c r="GV17">
        <v>36.6</v>
      </c>
      <c r="GW17">
        <v>26.8306</v>
      </c>
      <c r="GX17">
        <v>60.870800000000003</v>
      </c>
      <c r="GY17">
        <v>36.7027</v>
      </c>
      <c r="GZ17">
        <v>1</v>
      </c>
      <c r="HA17">
        <v>0.35512199999999999</v>
      </c>
      <c r="HB17">
        <v>2.2736700000000001</v>
      </c>
      <c r="HC17">
        <v>20.261700000000001</v>
      </c>
      <c r="HD17">
        <v>5.2081600000000003</v>
      </c>
      <c r="HE17">
        <v>11.872199999999999</v>
      </c>
      <c r="HF17">
        <v>4.9843000000000002</v>
      </c>
      <c r="HG17">
        <v>3.2833999999999999</v>
      </c>
      <c r="HH17">
        <v>9999</v>
      </c>
      <c r="HI17">
        <v>9999</v>
      </c>
      <c r="HJ17">
        <v>9999</v>
      </c>
      <c r="HK17">
        <v>999.9</v>
      </c>
      <c r="HL17">
        <v>1.85487</v>
      </c>
      <c r="HM17">
        <v>1.8609500000000001</v>
      </c>
      <c r="HN17">
        <v>1.85836</v>
      </c>
      <c r="HO17">
        <v>1.8595699999999999</v>
      </c>
      <c r="HP17">
        <v>1.85887</v>
      </c>
      <c r="HQ17">
        <v>1.85944</v>
      </c>
      <c r="HR17">
        <v>1.8577699999999999</v>
      </c>
      <c r="HS17">
        <v>1.86111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0.92700000000000005</v>
      </c>
      <c r="IH17">
        <v>0.1017</v>
      </c>
      <c r="II17">
        <v>0.38479042479328579</v>
      </c>
      <c r="IJ17">
        <v>1.6187016317407189E-3</v>
      </c>
      <c r="IK17">
        <v>1.4341569744255341E-7</v>
      </c>
      <c r="IL17">
        <v>-2.4096625942085749E-10</v>
      </c>
      <c r="IM17">
        <v>0.101630750022071</v>
      </c>
      <c r="IN17">
        <v>0</v>
      </c>
      <c r="IO17">
        <v>0</v>
      </c>
      <c r="IP17">
        <v>0</v>
      </c>
      <c r="IQ17">
        <v>4</v>
      </c>
      <c r="IR17">
        <v>2205</v>
      </c>
      <c r="IS17">
        <v>1</v>
      </c>
      <c r="IT17">
        <v>21</v>
      </c>
      <c r="IU17">
        <v>0.6</v>
      </c>
      <c r="IV17">
        <v>0.6</v>
      </c>
      <c r="IW17">
        <v>0.98510699999999995</v>
      </c>
      <c r="IX17">
        <v>2.4438499999999999</v>
      </c>
      <c r="IY17">
        <v>1.49414</v>
      </c>
      <c r="IZ17">
        <v>2.3046899999999999</v>
      </c>
      <c r="JA17">
        <v>1.69434</v>
      </c>
      <c r="JB17">
        <v>2.4084500000000002</v>
      </c>
      <c r="JC17">
        <v>41.326099999999997</v>
      </c>
      <c r="JD17">
        <v>23.544599999999999</v>
      </c>
      <c r="JE17">
        <v>18</v>
      </c>
      <c r="JF17">
        <v>524.01599999999996</v>
      </c>
      <c r="JG17">
        <v>440.03500000000003</v>
      </c>
      <c r="JH17">
        <v>24.641100000000002</v>
      </c>
      <c r="JI17">
        <v>31.785399999999999</v>
      </c>
      <c r="JJ17">
        <v>30.0001</v>
      </c>
      <c r="JK17">
        <v>31.711099999999998</v>
      </c>
      <c r="JL17">
        <v>31.681100000000001</v>
      </c>
      <c r="JM17">
        <v>19.7867</v>
      </c>
      <c r="JN17">
        <v>36.817999999999998</v>
      </c>
      <c r="JO17">
        <v>0</v>
      </c>
      <c r="JP17">
        <v>24.644500000000001</v>
      </c>
      <c r="JQ17">
        <v>400</v>
      </c>
      <c r="JR17">
        <v>18.322700000000001</v>
      </c>
      <c r="JS17">
        <v>99.251300000000001</v>
      </c>
      <c r="JT17">
        <v>99.402000000000001</v>
      </c>
    </row>
    <row r="18" spans="1:280" x14ac:dyDescent="0.25">
      <c r="A18">
        <v>2</v>
      </c>
      <c r="B18">
        <v>1674758180.5999999</v>
      </c>
      <c r="C18">
        <v>123.5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1674758180.5999999</v>
      </c>
      <c r="J18">
        <f t="shared" si="0"/>
        <v>5.7881651101702042E-3</v>
      </c>
      <c r="K18">
        <f t="shared" si="1"/>
        <v>5.7881651101702039</v>
      </c>
      <c r="L18">
        <f t="shared" si="2"/>
        <v>47.300627463236438</v>
      </c>
      <c r="M18">
        <f t="shared" si="3"/>
        <v>241.613</v>
      </c>
      <c r="N18">
        <f t="shared" si="4"/>
        <v>73.699441294777728</v>
      </c>
      <c r="O18">
        <f t="shared" si="5"/>
        <v>7.3104414705191614</v>
      </c>
      <c r="P18">
        <f t="shared" si="6"/>
        <v>23.966229105480402</v>
      </c>
      <c r="Q18">
        <f t="shared" si="7"/>
        <v>0.49646810947436193</v>
      </c>
      <c r="R18">
        <f t="shared" si="8"/>
        <v>2.9098667756361389</v>
      </c>
      <c r="S18">
        <f t="shared" si="9"/>
        <v>0.45376092806937929</v>
      </c>
      <c r="T18">
        <f t="shared" si="10"/>
        <v>0.2871308789520014</v>
      </c>
      <c r="U18">
        <f t="shared" si="11"/>
        <v>344.33520126380705</v>
      </c>
      <c r="V18">
        <f t="shared" si="12"/>
        <v>28.531244231570934</v>
      </c>
      <c r="W18">
        <f t="shared" si="13"/>
        <v>27.617100000000001</v>
      </c>
      <c r="X18">
        <f t="shared" si="14"/>
        <v>3.7109525202476994</v>
      </c>
      <c r="Y18">
        <f t="shared" si="15"/>
        <v>65.476747207717608</v>
      </c>
      <c r="Z18">
        <f t="shared" si="16"/>
        <v>2.4851721720632001</v>
      </c>
      <c r="AA18">
        <f t="shared" si="17"/>
        <v>3.795503408529552</v>
      </c>
      <c r="AB18">
        <f t="shared" si="18"/>
        <v>1.2257803481844993</v>
      </c>
      <c r="AC18">
        <f t="shared" si="19"/>
        <v>-255.25808135850602</v>
      </c>
      <c r="AD18">
        <f t="shared" si="20"/>
        <v>60.538733042963983</v>
      </c>
      <c r="AE18">
        <f t="shared" si="21"/>
        <v>4.5263552240750915</v>
      </c>
      <c r="AF18">
        <f t="shared" si="22"/>
        <v>154.14220817234008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52116.400410173439</v>
      </c>
      <c r="AL18" t="s">
        <v>415</v>
      </c>
      <c r="AM18">
        <v>10214.9</v>
      </c>
      <c r="AN18">
        <v>729.4384</v>
      </c>
      <c r="AO18">
        <v>3170.19</v>
      </c>
      <c r="AP18">
        <f t="shared" si="26"/>
        <v>0.76990704027203416</v>
      </c>
      <c r="AQ18">
        <v>-0.45549566560547827</v>
      </c>
      <c r="AR18" t="s">
        <v>426</v>
      </c>
      <c r="AS18">
        <v>10098.200000000001</v>
      </c>
      <c r="AT18">
        <v>727.86126923076938</v>
      </c>
      <c r="AU18">
        <v>1068.5099133785111</v>
      </c>
      <c r="AV18">
        <f t="shared" si="27"/>
        <v>0.318807191100968</v>
      </c>
      <c r="AW18">
        <v>0.5</v>
      </c>
      <c r="AX18">
        <f t="shared" si="28"/>
        <v>1513.0335006319035</v>
      </c>
      <c r="AY18">
        <f t="shared" si="29"/>
        <v>47.300627463236438</v>
      </c>
      <c r="AZ18">
        <f t="shared" si="30"/>
        <v>241.18298018906091</v>
      </c>
      <c r="BA18">
        <f t="shared" si="31"/>
        <v>3.1563163081912621E-2</v>
      </c>
      <c r="BB18">
        <f t="shared" si="32"/>
        <v>1.9669261466898393</v>
      </c>
      <c r="BC18">
        <f t="shared" si="33"/>
        <v>502.16888546792745</v>
      </c>
      <c r="BD18" t="s">
        <v>427</v>
      </c>
      <c r="BE18">
        <v>553.65</v>
      </c>
      <c r="BF18">
        <f t="shared" si="34"/>
        <v>553.65</v>
      </c>
      <c r="BG18">
        <f t="shared" si="35"/>
        <v>0.48184851345981483</v>
      </c>
      <c r="BH18">
        <f t="shared" si="36"/>
        <v>0.66163365081659797</v>
      </c>
      <c r="BI18">
        <f t="shared" si="37"/>
        <v>0.8032287244305415</v>
      </c>
      <c r="BJ18">
        <f t="shared" si="38"/>
        <v>1.0046513219394815</v>
      </c>
      <c r="BK18">
        <f t="shared" si="39"/>
        <v>0.86107905721397004</v>
      </c>
      <c r="BL18">
        <f t="shared" si="40"/>
        <v>0.50327375045211986</v>
      </c>
      <c r="BM18">
        <f t="shared" si="41"/>
        <v>0.49672624954788014</v>
      </c>
      <c r="BN18">
        <v>9284</v>
      </c>
      <c r="BO18">
        <v>290.00000000000011</v>
      </c>
      <c r="BP18">
        <v>976.16</v>
      </c>
      <c r="BQ18">
        <v>245</v>
      </c>
      <c r="BR18">
        <v>10098.200000000001</v>
      </c>
      <c r="BS18">
        <v>975.11</v>
      </c>
      <c r="BT18">
        <v>1.05</v>
      </c>
      <c r="BU18">
        <v>300.00000000000011</v>
      </c>
      <c r="BV18">
        <v>24.2</v>
      </c>
      <c r="BW18">
        <v>1068.5099133785111</v>
      </c>
      <c r="BX18">
        <v>1.7068910983398189</v>
      </c>
      <c r="BY18">
        <v>-94.313961611057451</v>
      </c>
      <c r="BZ18">
        <v>1.534405050467309</v>
      </c>
      <c r="CA18">
        <v>0.99264336281697141</v>
      </c>
      <c r="CB18">
        <v>-6.9011232480533993E-3</v>
      </c>
      <c r="CC18">
        <v>289.99999999999989</v>
      </c>
      <c r="CD18">
        <v>972.75</v>
      </c>
      <c r="CE18">
        <v>655</v>
      </c>
      <c r="CF18">
        <v>10077.1</v>
      </c>
      <c r="CG18">
        <v>974.92</v>
      </c>
      <c r="CH18">
        <v>-2.17</v>
      </c>
      <c r="CV18">
        <f t="shared" si="42"/>
        <v>1799.82</v>
      </c>
      <c r="CW18">
        <f t="shared" si="43"/>
        <v>1513.0335006319035</v>
      </c>
      <c r="CX18">
        <f t="shared" si="44"/>
        <v>0.84065823284100827</v>
      </c>
      <c r="CY18">
        <f t="shared" si="45"/>
        <v>0.19131646568201657</v>
      </c>
      <c r="CZ18">
        <v>6</v>
      </c>
      <c r="DA18">
        <v>0.5</v>
      </c>
      <c r="DB18" t="s">
        <v>418</v>
      </c>
      <c r="DC18">
        <v>2</v>
      </c>
      <c r="DD18">
        <v>1674758180.5999999</v>
      </c>
      <c r="DE18">
        <v>241.613</v>
      </c>
      <c r="DF18">
        <v>300.053</v>
      </c>
      <c r="DG18">
        <v>25.053999999999998</v>
      </c>
      <c r="DH18">
        <v>18.2821</v>
      </c>
      <c r="DI18">
        <v>240.83600000000001</v>
      </c>
      <c r="DJ18">
        <v>24.9497</v>
      </c>
      <c r="DK18">
        <v>499.99099999999999</v>
      </c>
      <c r="DL18">
        <v>99.092799999999997</v>
      </c>
      <c r="DM18">
        <v>9.9830799999999997E-2</v>
      </c>
      <c r="DN18">
        <v>28.003</v>
      </c>
      <c r="DO18">
        <v>27.617100000000001</v>
      </c>
      <c r="DP18">
        <v>999.9</v>
      </c>
      <c r="DQ18">
        <v>0</v>
      </c>
      <c r="DR18">
        <v>0</v>
      </c>
      <c r="DS18">
        <v>9978.75</v>
      </c>
      <c r="DT18">
        <v>0</v>
      </c>
      <c r="DU18">
        <v>275.61599999999999</v>
      </c>
      <c r="DV18">
        <v>-58.440199999999997</v>
      </c>
      <c r="DW18">
        <v>247.822</v>
      </c>
      <c r="DX18">
        <v>305.64100000000002</v>
      </c>
      <c r="DY18">
        <v>6.7718699999999998</v>
      </c>
      <c r="DZ18">
        <v>300.053</v>
      </c>
      <c r="EA18">
        <v>18.2821</v>
      </c>
      <c r="EB18">
        <v>2.4826700000000002</v>
      </c>
      <c r="EC18">
        <v>1.8116300000000001</v>
      </c>
      <c r="ED18">
        <v>20.9133</v>
      </c>
      <c r="EE18">
        <v>15.887499999999999</v>
      </c>
      <c r="EF18">
        <v>1799.82</v>
      </c>
      <c r="EG18">
        <v>0.97799999999999998</v>
      </c>
      <c r="EH18">
        <v>2.19998E-2</v>
      </c>
      <c r="EI18">
        <v>0</v>
      </c>
      <c r="EJ18">
        <v>727.54399999999998</v>
      </c>
      <c r="EK18">
        <v>4.9990399999999999</v>
      </c>
      <c r="EL18">
        <v>13713.5</v>
      </c>
      <c r="EM18">
        <v>14819.2</v>
      </c>
      <c r="EN18">
        <v>48.875</v>
      </c>
      <c r="EO18">
        <v>50.375</v>
      </c>
      <c r="EP18">
        <v>49.811999999999998</v>
      </c>
      <c r="EQ18">
        <v>48.811999999999998</v>
      </c>
      <c r="ER18">
        <v>49.686999999999998</v>
      </c>
      <c r="ES18">
        <v>1755.33</v>
      </c>
      <c r="ET18">
        <v>39.49</v>
      </c>
      <c r="EU18">
        <v>0</v>
      </c>
      <c r="EV18">
        <v>121.4000000953674</v>
      </c>
      <c r="EW18">
        <v>0</v>
      </c>
      <c r="EX18">
        <v>727.86126923076938</v>
      </c>
      <c r="EY18">
        <v>-2.5308376028939059</v>
      </c>
      <c r="EZ18">
        <v>-40.058119691907628</v>
      </c>
      <c r="FA18">
        <v>13719.711538461541</v>
      </c>
      <c r="FB18">
        <v>15</v>
      </c>
      <c r="FC18">
        <v>1674758144.0999999</v>
      </c>
      <c r="FD18" t="s">
        <v>428</v>
      </c>
      <c r="FE18">
        <v>1674758132.5999999</v>
      </c>
      <c r="FF18">
        <v>1674758144.0999999</v>
      </c>
      <c r="FG18">
        <v>6</v>
      </c>
      <c r="FH18">
        <v>-3.0000000000000001E-3</v>
      </c>
      <c r="FI18">
        <v>3.0000000000000001E-3</v>
      </c>
      <c r="FJ18">
        <v>0.873</v>
      </c>
      <c r="FK18">
        <v>6.0999999999999999E-2</v>
      </c>
      <c r="FL18">
        <v>300</v>
      </c>
      <c r="FM18">
        <v>18</v>
      </c>
      <c r="FN18">
        <v>0.02</v>
      </c>
      <c r="FO18">
        <v>0.03</v>
      </c>
      <c r="FP18">
        <v>47.238360850582843</v>
      </c>
      <c r="FQ18">
        <v>-0.54158117054218402</v>
      </c>
      <c r="FR18">
        <v>7.0352815683167869E-2</v>
      </c>
      <c r="FS18">
        <v>1</v>
      </c>
      <c r="FT18">
        <v>0.50067467255755993</v>
      </c>
      <c r="FU18">
        <v>4.2420883988976178E-3</v>
      </c>
      <c r="FV18">
        <v>2.8450843163980622E-3</v>
      </c>
      <c r="FW18">
        <v>1</v>
      </c>
      <c r="FX18">
        <v>2</v>
      </c>
      <c r="FY18">
        <v>2</v>
      </c>
      <c r="FZ18" t="s">
        <v>420</v>
      </c>
      <c r="GA18">
        <v>2.9328799999999999</v>
      </c>
      <c r="GB18">
        <v>2.8331</v>
      </c>
      <c r="GC18">
        <v>5.9736400000000002E-2</v>
      </c>
      <c r="GD18">
        <v>7.0233900000000002E-2</v>
      </c>
      <c r="GE18">
        <v>0.122253</v>
      </c>
      <c r="GF18">
        <v>9.4704700000000003E-2</v>
      </c>
      <c r="GG18">
        <v>24387.4</v>
      </c>
      <c r="GH18">
        <v>30272.799999999999</v>
      </c>
      <c r="GI18">
        <v>23336.799999999999</v>
      </c>
      <c r="GJ18">
        <v>29831.599999999999</v>
      </c>
      <c r="GK18">
        <v>27879.599999999999</v>
      </c>
      <c r="GL18">
        <v>38408.400000000001</v>
      </c>
      <c r="GM18">
        <v>32952.300000000003</v>
      </c>
      <c r="GN18">
        <v>44264.3</v>
      </c>
      <c r="GO18">
        <v>1.9860800000000001</v>
      </c>
      <c r="GP18">
        <v>1.8226199999999999</v>
      </c>
      <c r="GQ18">
        <v>6.2882900000000005E-2</v>
      </c>
      <c r="GR18">
        <v>0</v>
      </c>
      <c r="GS18">
        <v>26.588899999999999</v>
      </c>
      <c r="GT18">
        <v>999.9</v>
      </c>
      <c r="GU18">
        <v>43.1</v>
      </c>
      <c r="GV18">
        <v>36.700000000000003</v>
      </c>
      <c r="GW18">
        <v>26.978300000000001</v>
      </c>
      <c r="GX18">
        <v>61.260800000000003</v>
      </c>
      <c r="GY18">
        <v>36.810899999999997</v>
      </c>
      <c r="GZ18">
        <v>1</v>
      </c>
      <c r="HA18">
        <v>0.35683199999999998</v>
      </c>
      <c r="HB18">
        <v>2.2300599999999999</v>
      </c>
      <c r="HC18">
        <v>20.2622</v>
      </c>
      <c r="HD18">
        <v>5.2074100000000003</v>
      </c>
      <c r="HE18">
        <v>11.872199999999999</v>
      </c>
      <c r="HF18">
        <v>4.9838500000000003</v>
      </c>
      <c r="HG18">
        <v>3.2832499999999998</v>
      </c>
      <c r="HH18">
        <v>9999</v>
      </c>
      <c r="HI18">
        <v>9999</v>
      </c>
      <c r="HJ18">
        <v>9999</v>
      </c>
      <c r="HK18">
        <v>999.9</v>
      </c>
      <c r="HL18">
        <v>1.8549</v>
      </c>
      <c r="HM18">
        <v>1.8609599999999999</v>
      </c>
      <c r="HN18">
        <v>1.8583700000000001</v>
      </c>
      <c r="HO18">
        <v>1.8595900000000001</v>
      </c>
      <c r="HP18">
        <v>1.8589</v>
      </c>
      <c r="HQ18">
        <v>1.85944</v>
      </c>
      <c r="HR18">
        <v>1.85778</v>
      </c>
      <c r="HS18">
        <v>1.86111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0.77700000000000002</v>
      </c>
      <c r="IH18">
        <v>0.1043</v>
      </c>
      <c r="II18">
        <v>0.38200750449837462</v>
      </c>
      <c r="IJ18">
        <v>1.6187016317407189E-3</v>
      </c>
      <c r="IK18">
        <v>1.4341569744255341E-7</v>
      </c>
      <c r="IL18">
        <v>-2.4096625942085749E-10</v>
      </c>
      <c r="IM18">
        <v>0.1042832207202561</v>
      </c>
      <c r="IN18">
        <v>0</v>
      </c>
      <c r="IO18">
        <v>0</v>
      </c>
      <c r="IP18">
        <v>0</v>
      </c>
      <c r="IQ18">
        <v>4</v>
      </c>
      <c r="IR18">
        <v>2205</v>
      </c>
      <c r="IS18">
        <v>1</v>
      </c>
      <c r="IT18">
        <v>21</v>
      </c>
      <c r="IU18">
        <v>0.8</v>
      </c>
      <c r="IV18">
        <v>0.6</v>
      </c>
      <c r="IW18">
        <v>0.78002899999999997</v>
      </c>
      <c r="IX18">
        <v>2.4536099999999998</v>
      </c>
      <c r="IY18">
        <v>1.49414</v>
      </c>
      <c r="IZ18">
        <v>2.3046899999999999</v>
      </c>
      <c r="JA18">
        <v>1.69434</v>
      </c>
      <c r="JB18">
        <v>2.4328599999999998</v>
      </c>
      <c r="JC18">
        <v>41.326099999999997</v>
      </c>
      <c r="JD18">
        <v>23.5534</v>
      </c>
      <c r="JE18">
        <v>18</v>
      </c>
      <c r="JF18">
        <v>523.90899999999999</v>
      </c>
      <c r="JG18">
        <v>439.608</v>
      </c>
      <c r="JH18">
        <v>24.678699999999999</v>
      </c>
      <c r="JI18">
        <v>31.807700000000001</v>
      </c>
      <c r="JJ18">
        <v>30.0001</v>
      </c>
      <c r="JK18">
        <v>31.7333</v>
      </c>
      <c r="JL18">
        <v>31.700600000000001</v>
      </c>
      <c r="JM18">
        <v>15.699299999999999</v>
      </c>
      <c r="JN18">
        <v>37.3078</v>
      </c>
      <c r="JO18">
        <v>0</v>
      </c>
      <c r="JP18">
        <v>24.673100000000002</v>
      </c>
      <c r="JQ18">
        <v>300</v>
      </c>
      <c r="JR18">
        <v>18.151</v>
      </c>
      <c r="JS18">
        <v>99.249700000000004</v>
      </c>
      <c r="JT18">
        <v>99.401499999999999</v>
      </c>
    </row>
    <row r="19" spans="1:280" x14ac:dyDescent="0.25">
      <c r="A19">
        <v>3</v>
      </c>
      <c r="B19">
        <v>1674758299.0999999</v>
      </c>
      <c r="C19">
        <v>242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1674758299.0999999</v>
      </c>
      <c r="J19">
        <f t="shared" si="0"/>
        <v>6.1165688202068072E-3</v>
      </c>
      <c r="K19">
        <f t="shared" si="1"/>
        <v>6.1165688202068074</v>
      </c>
      <c r="L19">
        <f t="shared" si="2"/>
        <v>33.987814658840385</v>
      </c>
      <c r="M19">
        <f t="shared" si="3"/>
        <v>158.09299999999999</v>
      </c>
      <c r="N19">
        <f t="shared" si="4"/>
        <v>45.199525801821828</v>
      </c>
      <c r="O19">
        <f t="shared" si="5"/>
        <v>4.4833616249859514</v>
      </c>
      <c r="P19">
        <f t="shared" si="6"/>
        <v>15.681316934310299</v>
      </c>
      <c r="Q19">
        <f t="shared" si="7"/>
        <v>0.53295074163573353</v>
      </c>
      <c r="R19">
        <f t="shared" si="8"/>
        <v>2.9109242164188442</v>
      </c>
      <c r="S19">
        <f t="shared" si="9"/>
        <v>0.48408291163754941</v>
      </c>
      <c r="T19">
        <f t="shared" si="10"/>
        <v>0.30656812775940917</v>
      </c>
      <c r="U19">
        <f t="shared" si="11"/>
        <v>344.33328809915025</v>
      </c>
      <c r="V19">
        <f t="shared" si="12"/>
        <v>28.446198494935192</v>
      </c>
      <c r="W19">
        <f t="shared" si="13"/>
        <v>27.575199999999999</v>
      </c>
      <c r="X19">
        <f t="shared" si="14"/>
        <v>3.701871897436471</v>
      </c>
      <c r="Y19">
        <f t="shared" si="15"/>
        <v>65.538655212489971</v>
      </c>
      <c r="Z19">
        <f t="shared" si="16"/>
        <v>2.4876669069308699</v>
      </c>
      <c r="AA19">
        <f t="shared" si="17"/>
        <v>3.795724674034485</v>
      </c>
      <c r="AB19">
        <f t="shared" si="18"/>
        <v>1.2142049905056012</v>
      </c>
      <c r="AC19">
        <f t="shared" si="19"/>
        <v>-269.74068497112017</v>
      </c>
      <c r="AD19">
        <f t="shared" si="20"/>
        <v>67.293190437269985</v>
      </c>
      <c r="AE19">
        <f t="shared" si="21"/>
        <v>5.028519018083049</v>
      </c>
      <c r="AF19">
        <f t="shared" si="22"/>
        <v>146.91431258338309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52146.443847795628</v>
      </c>
      <c r="AL19" t="s">
        <v>415</v>
      </c>
      <c r="AM19">
        <v>10214.9</v>
      </c>
      <c r="AN19">
        <v>729.4384</v>
      </c>
      <c r="AO19">
        <v>3170.19</v>
      </c>
      <c r="AP19">
        <f t="shared" si="26"/>
        <v>0.76990704027203416</v>
      </c>
      <c r="AQ19">
        <v>-0.45549566560547827</v>
      </c>
      <c r="AR19" t="s">
        <v>431</v>
      </c>
      <c r="AS19">
        <v>10102.700000000001</v>
      </c>
      <c r="AT19">
        <v>734.50463999999988</v>
      </c>
      <c r="AU19">
        <v>988.82045464581131</v>
      </c>
      <c r="AV19">
        <f t="shared" si="27"/>
        <v>0.25719109414752717</v>
      </c>
      <c r="AW19">
        <v>0.5</v>
      </c>
      <c r="AX19">
        <f t="shared" si="28"/>
        <v>1513.025094049575</v>
      </c>
      <c r="AY19">
        <f t="shared" si="29"/>
        <v>33.987814658840385</v>
      </c>
      <c r="AZ19">
        <f t="shared" si="30"/>
        <v>194.56828970563771</v>
      </c>
      <c r="BA19">
        <f t="shared" si="31"/>
        <v>2.2764533423737986E-2</v>
      </c>
      <c r="BB19">
        <f t="shared" si="32"/>
        <v>2.2060319799265682</v>
      </c>
      <c r="BC19">
        <f t="shared" si="33"/>
        <v>483.8432368633874</v>
      </c>
      <c r="BD19" t="s">
        <v>432</v>
      </c>
      <c r="BE19">
        <v>545.12</v>
      </c>
      <c r="BF19">
        <f t="shared" si="34"/>
        <v>545.12</v>
      </c>
      <c r="BG19">
        <f t="shared" si="35"/>
        <v>0.44871690564364564</v>
      </c>
      <c r="BH19">
        <f t="shared" si="36"/>
        <v>0.57317005647159358</v>
      </c>
      <c r="BI19">
        <f t="shared" si="37"/>
        <v>0.83097576268601925</v>
      </c>
      <c r="BJ19">
        <f t="shared" si="38"/>
        <v>0.98046803967638441</v>
      </c>
      <c r="BK19">
        <f t="shared" si="39"/>
        <v>0.8937286143146187</v>
      </c>
      <c r="BL19">
        <f t="shared" si="40"/>
        <v>0.42538391749818649</v>
      </c>
      <c r="BM19">
        <f t="shared" si="41"/>
        <v>0.57461608250181351</v>
      </c>
      <c r="BN19">
        <v>9286</v>
      </c>
      <c r="BO19">
        <v>290.00000000000011</v>
      </c>
      <c r="BP19">
        <v>918.88</v>
      </c>
      <c r="BQ19">
        <v>205</v>
      </c>
      <c r="BR19">
        <v>10102.700000000001</v>
      </c>
      <c r="BS19">
        <v>918</v>
      </c>
      <c r="BT19">
        <v>0.88</v>
      </c>
      <c r="BU19">
        <v>300.00000000000011</v>
      </c>
      <c r="BV19">
        <v>24.2</v>
      </c>
      <c r="BW19">
        <v>988.82045464581131</v>
      </c>
      <c r="BX19">
        <v>3.1129422646531468</v>
      </c>
      <c r="BY19">
        <v>-71.548237560311421</v>
      </c>
      <c r="BZ19">
        <v>2.7981851201617141</v>
      </c>
      <c r="CA19">
        <v>0.95893224533013111</v>
      </c>
      <c r="CB19">
        <v>-6.9004467185762074E-3</v>
      </c>
      <c r="CC19">
        <v>289.99999999999989</v>
      </c>
      <c r="CD19">
        <v>915.98</v>
      </c>
      <c r="CE19">
        <v>705</v>
      </c>
      <c r="CF19">
        <v>10073.5</v>
      </c>
      <c r="CG19">
        <v>917.79</v>
      </c>
      <c r="CH19">
        <v>-1.81</v>
      </c>
      <c r="CV19">
        <f t="shared" si="42"/>
        <v>1799.81</v>
      </c>
      <c r="CW19">
        <f t="shared" si="43"/>
        <v>1513.025094049575</v>
      </c>
      <c r="CX19">
        <f t="shared" si="44"/>
        <v>0.84065823284100827</v>
      </c>
      <c r="CY19">
        <f t="shared" si="45"/>
        <v>0.19131646568201657</v>
      </c>
      <c r="CZ19">
        <v>6</v>
      </c>
      <c r="DA19">
        <v>0.5</v>
      </c>
      <c r="DB19" t="s">
        <v>418</v>
      </c>
      <c r="DC19">
        <v>2</v>
      </c>
      <c r="DD19">
        <v>1674758299.0999999</v>
      </c>
      <c r="DE19">
        <v>158.09299999999999</v>
      </c>
      <c r="DF19">
        <v>200.03700000000001</v>
      </c>
      <c r="DG19">
        <v>25.079699999999999</v>
      </c>
      <c r="DH19">
        <v>17.924199999999999</v>
      </c>
      <c r="DI19">
        <v>157.39500000000001</v>
      </c>
      <c r="DJ19">
        <v>24.979399999999998</v>
      </c>
      <c r="DK19">
        <v>500.02100000000002</v>
      </c>
      <c r="DL19">
        <v>99.090699999999998</v>
      </c>
      <c r="DM19">
        <v>9.9757100000000001E-2</v>
      </c>
      <c r="DN19">
        <v>28.004000000000001</v>
      </c>
      <c r="DO19">
        <v>27.575199999999999</v>
      </c>
      <c r="DP19">
        <v>999.9</v>
      </c>
      <c r="DQ19">
        <v>0</v>
      </c>
      <c r="DR19">
        <v>0</v>
      </c>
      <c r="DS19">
        <v>9985</v>
      </c>
      <c r="DT19">
        <v>0</v>
      </c>
      <c r="DU19">
        <v>276.08699999999999</v>
      </c>
      <c r="DV19">
        <v>-41.944000000000003</v>
      </c>
      <c r="DW19">
        <v>162.16</v>
      </c>
      <c r="DX19">
        <v>203.68799999999999</v>
      </c>
      <c r="DY19">
        <v>7.1554799999999998</v>
      </c>
      <c r="DZ19">
        <v>200.03700000000001</v>
      </c>
      <c r="EA19">
        <v>17.924199999999999</v>
      </c>
      <c r="EB19">
        <v>2.4851700000000001</v>
      </c>
      <c r="EC19">
        <v>1.7761199999999999</v>
      </c>
      <c r="ED19">
        <v>20.9297</v>
      </c>
      <c r="EE19">
        <v>15.578200000000001</v>
      </c>
      <c r="EF19">
        <v>1799.81</v>
      </c>
      <c r="EG19">
        <v>0.97799999999999998</v>
      </c>
      <c r="EH19">
        <v>2.19998E-2</v>
      </c>
      <c r="EI19">
        <v>0</v>
      </c>
      <c r="EJ19">
        <v>733.85</v>
      </c>
      <c r="EK19">
        <v>4.9990399999999999</v>
      </c>
      <c r="EL19">
        <v>13814.8</v>
      </c>
      <c r="EM19">
        <v>14819.1</v>
      </c>
      <c r="EN19">
        <v>48.875</v>
      </c>
      <c r="EO19">
        <v>50.436999999999998</v>
      </c>
      <c r="EP19">
        <v>49.875</v>
      </c>
      <c r="EQ19">
        <v>48.811999999999998</v>
      </c>
      <c r="ER19">
        <v>49.686999999999998</v>
      </c>
      <c r="ES19">
        <v>1755.33</v>
      </c>
      <c r="ET19">
        <v>39.49</v>
      </c>
      <c r="EU19">
        <v>0</v>
      </c>
      <c r="EV19">
        <v>116.5999999046326</v>
      </c>
      <c r="EW19">
        <v>0</v>
      </c>
      <c r="EX19">
        <v>734.50463999999988</v>
      </c>
      <c r="EY19">
        <v>-5.4748461674485016</v>
      </c>
      <c r="EZ19">
        <v>-77.561538588605941</v>
      </c>
      <c r="FA19">
        <v>13823.907999999999</v>
      </c>
      <c r="FB19">
        <v>15</v>
      </c>
      <c r="FC19">
        <v>1674758263.5999999</v>
      </c>
      <c r="FD19" t="s">
        <v>433</v>
      </c>
      <c r="FE19">
        <v>1674758253.5999999</v>
      </c>
      <c r="FF19">
        <v>1674758263.5999999</v>
      </c>
      <c r="FG19">
        <v>7</v>
      </c>
      <c r="FH19">
        <v>5.8999999999999997E-2</v>
      </c>
      <c r="FI19">
        <v>-4.0000000000000001E-3</v>
      </c>
      <c r="FJ19">
        <v>0.76700000000000002</v>
      </c>
      <c r="FK19">
        <v>5.1999999999999998E-2</v>
      </c>
      <c r="FL19">
        <v>200</v>
      </c>
      <c r="FM19">
        <v>18</v>
      </c>
      <c r="FN19">
        <v>0.06</v>
      </c>
      <c r="FO19">
        <v>0.02</v>
      </c>
      <c r="FP19">
        <v>33.977299305629948</v>
      </c>
      <c r="FQ19">
        <v>-0.1035055363903411</v>
      </c>
      <c r="FR19">
        <v>5.1150016524365523E-2</v>
      </c>
      <c r="FS19">
        <v>1</v>
      </c>
      <c r="FT19">
        <v>0.52938869052150983</v>
      </c>
      <c r="FU19">
        <v>4.410449816846175E-2</v>
      </c>
      <c r="FV19">
        <v>4.951590874884588E-3</v>
      </c>
      <c r="FW19">
        <v>1</v>
      </c>
      <c r="FX19">
        <v>2</v>
      </c>
      <c r="FY19">
        <v>2</v>
      </c>
      <c r="FZ19" t="s">
        <v>420</v>
      </c>
      <c r="GA19">
        <v>2.93296</v>
      </c>
      <c r="GB19">
        <v>2.8330799999999998</v>
      </c>
      <c r="GC19">
        <v>4.1109600000000003E-2</v>
      </c>
      <c r="GD19">
        <v>4.9815999999999999E-2</v>
      </c>
      <c r="GE19">
        <v>0.12235</v>
      </c>
      <c r="GF19">
        <v>9.3382099999999996E-2</v>
      </c>
      <c r="GG19">
        <v>24871.5</v>
      </c>
      <c r="GH19">
        <v>30937.5</v>
      </c>
      <c r="GI19">
        <v>23338.1</v>
      </c>
      <c r="GJ19">
        <v>29832</v>
      </c>
      <c r="GK19">
        <v>27877.5</v>
      </c>
      <c r="GL19">
        <v>38465.699999999997</v>
      </c>
      <c r="GM19">
        <v>32954</v>
      </c>
      <c r="GN19">
        <v>44265.4</v>
      </c>
      <c r="GO19">
        <v>1.98655</v>
      </c>
      <c r="GP19">
        <v>1.8219000000000001</v>
      </c>
      <c r="GQ19">
        <v>6.2514100000000003E-2</v>
      </c>
      <c r="GR19">
        <v>0</v>
      </c>
      <c r="GS19">
        <v>26.552900000000001</v>
      </c>
      <c r="GT19">
        <v>999.9</v>
      </c>
      <c r="GU19">
        <v>43.1</v>
      </c>
      <c r="GV19">
        <v>36.6</v>
      </c>
      <c r="GW19">
        <v>26.832599999999999</v>
      </c>
      <c r="GX19">
        <v>61.300800000000002</v>
      </c>
      <c r="GY19">
        <v>36.618600000000001</v>
      </c>
      <c r="GZ19">
        <v>1</v>
      </c>
      <c r="HA19">
        <v>0.35631099999999999</v>
      </c>
      <c r="HB19">
        <v>2.21313</v>
      </c>
      <c r="HC19">
        <v>20.262599999999999</v>
      </c>
      <c r="HD19">
        <v>5.2078600000000002</v>
      </c>
      <c r="HE19">
        <v>11.872199999999999</v>
      </c>
      <c r="HF19">
        <v>4.9830500000000004</v>
      </c>
      <c r="HG19">
        <v>3.2833999999999999</v>
      </c>
      <c r="HH19">
        <v>9999</v>
      </c>
      <c r="HI19">
        <v>9999</v>
      </c>
      <c r="HJ19">
        <v>9999</v>
      </c>
      <c r="HK19">
        <v>999.9</v>
      </c>
      <c r="HL19">
        <v>1.8549800000000001</v>
      </c>
      <c r="HM19">
        <v>1.8609899999999999</v>
      </c>
      <c r="HN19">
        <v>1.8583700000000001</v>
      </c>
      <c r="HO19">
        <v>1.8595999999999999</v>
      </c>
      <c r="HP19">
        <v>1.8589599999999999</v>
      </c>
      <c r="HQ19">
        <v>1.85947</v>
      </c>
      <c r="HR19">
        <v>1.8578399999999999</v>
      </c>
      <c r="HS19">
        <v>1.8612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0.69799999999999995</v>
      </c>
      <c r="IH19">
        <v>0.1003</v>
      </c>
      <c r="II19">
        <v>0.44093792798225889</v>
      </c>
      <c r="IJ19">
        <v>1.6187016317407189E-3</v>
      </c>
      <c r="IK19">
        <v>1.4341569744255341E-7</v>
      </c>
      <c r="IL19">
        <v>-2.4096625942085749E-10</v>
      </c>
      <c r="IM19">
        <v>0.1003374074146513</v>
      </c>
      <c r="IN19">
        <v>0</v>
      </c>
      <c r="IO19">
        <v>0</v>
      </c>
      <c r="IP19">
        <v>0</v>
      </c>
      <c r="IQ19">
        <v>4</v>
      </c>
      <c r="IR19">
        <v>2205</v>
      </c>
      <c r="IS19">
        <v>1</v>
      </c>
      <c r="IT19">
        <v>21</v>
      </c>
      <c r="IU19">
        <v>0.8</v>
      </c>
      <c r="IV19">
        <v>0.6</v>
      </c>
      <c r="IW19">
        <v>0.56884800000000002</v>
      </c>
      <c r="IX19">
        <v>2.4731399999999999</v>
      </c>
      <c r="IY19">
        <v>1.49414</v>
      </c>
      <c r="IZ19">
        <v>2.3046899999999999</v>
      </c>
      <c r="JA19">
        <v>1.69434</v>
      </c>
      <c r="JB19">
        <v>2.3791500000000001</v>
      </c>
      <c r="JC19">
        <v>41.326099999999997</v>
      </c>
      <c r="JD19">
        <v>23.544599999999999</v>
      </c>
      <c r="JE19">
        <v>18</v>
      </c>
      <c r="JF19">
        <v>524.27300000000002</v>
      </c>
      <c r="JG19">
        <v>439.15499999999997</v>
      </c>
      <c r="JH19">
        <v>24.679099999999998</v>
      </c>
      <c r="JI19">
        <v>31.8049</v>
      </c>
      <c r="JJ19">
        <v>30.0001</v>
      </c>
      <c r="JK19">
        <v>31.738900000000001</v>
      </c>
      <c r="JL19">
        <v>31.706199999999999</v>
      </c>
      <c r="JM19">
        <v>11.4406</v>
      </c>
      <c r="JN19">
        <v>38.732999999999997</v>
      </c>
      <c r="JO19">
        <v>0</v>
      </c>
      <c r="JP19">
        <v>24.672999999999998</v>
      </c>
      <c r="JQ19">
        <v>200</v>
      </c>
      <c r="JR19">
        <v>17.795999999999999</v>
      </c>
      <c r="JS19">
        <v>99.254999999999995</v>
      </c>
      <c r="JT19">
        <v>99.403499999999994</v>
      </c>
    </row>
    <row r="20" spans="1:280" x14ac:dyDescent="0.25">
      <c r="A20">
        <v>4</v>
      </c>
      <c r="B20">
        <v>1674758416.0999999</v>
      </c>
      <c r="C20">
        <v>359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1674758416.0999999</v>
      </c>
      <c r="J20">
        <f t="shared" si="0"/>
        <v>6.4896888127435864E-3</v>
      </c>
      <c r="K20">
        <f t="shared" si="1"/>
        <v>6.4896888127435863</v>
      </c>
      <c r="L20">
        <f t="shared" si="2"/>
        <v>21.35076047958233</v>
      </c>
      <c r="M20">
        <f t="shared" si="3"/>
        <v>93.681799999999996</v>
      </c>
      <c r="N20">
        <f t="shared" si="4"/>
        <v>27.362035142519037</v>
      </c>
      <c r="O20">
        <f t="shared" si="5"/>
        <v>2.713928026718309</v>
      </c>
      <c r="P20">
        <f t="shared" si="6"/>
        <v>9.291913459256401</v>
      </c>
      <c r="Q20">
        <f t="shared" si="7"/>
        <v>0.57337425430160827</v>
      </c>
      <c r="R20">
        <f t="shared" si="8"/>
        <v>2.9114924619194218</v>
      </c>
      <c r="S20">
        <f t="shared" si="9"/>
        <v>0.51723944996268745</v>
      </c>
      <c r="T20">
        <f t="shared" si="10"/>
        <v>0.32785895634124257</v>
      </c>
      <c r="U20">
        <f t="shared" si="11"/>
        <v>344.33520126380705</v>
      </c>
      <c r="V20">
        <f t="shared" si="12"/>
        <v>28.344002546412035</v>
      </c>
      <c r="W20">
        <f t="shared" si="13"/>
        <v>27.5488</v>
      </c>
      <c r="X20">
        <f t="shared" si="14"/>
        <v>3.6961604177795944</v>
      </c>
      <c r="Y20">
        <f t="shared" si="15"/>
        <v>65.631110421634091</v>
      </c>
      <c r="Z20">
        <f t="shared" si="16"/>
        <v>2.4905083058310002</v>
      </c>
      <c r="AA20">
        <f t="shared" si="17"/>
        <v>3.7947069458846916</v>
      </c>
      <c r="AB20">
        <f t="shared" si="18"/>
        <v>1.2056521119485941</v>
      </c>
      <c r="AC20">
        <f t="shared" si="19"/>
        <v>-286.19527664199217</v>
      </c>
      <c r="AD20">
        <f t="shared" si="20"/>
        <v>70.728150352114383</v>
      </c>
      <c r="AE20">
        <f t="shared" si="21"/>
        <v>5.2833500998975191</v>
      </c>
      <c r="AF20">
        <f t="shared" si="22"/>
        <v>134.15142507382677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52163.398703082778</v>
      </c>
      <c r="AL20" t="s">
        <v>415</v>
      </c>
      <c r="AM20">
        <v>10214.9</v>
      </c>
      <c r="AN20">
        <v>729.4384</v>
      </c>
      <c r="AO20">
        <v>3170.19</v>
      </c>
      <c r="AP20">
        <f t="shared" si="26"/>
        <v>0.76990704027203416</v>
      </c>
      <c r="AQ20">
        <v>-0.45549566560547827</v>
      </c>
      <c r="AR20" t="s">
        <v>436</v>
      </c>
      <c r="AS20">
        <v>10092.4</v>
      </c>
      <c r="AT20">
        <v>757.18596153846136</v>
      </c>
      <c r="AU20">
        <v>928.66250575610752</v>
      </c>
      <c r="AV20">
        <f t="shared" si="27"/>
        <v>0.18464893667482751</v>
      </c>
      <c r="AW20">
        <v>0.5</v>
      </c>
      <c r="AX20">
        <f t="shared" si="28"/>
        <v>1513.0335006319035</v>
      </c>
      <c r="AY20">
        <f t="shared" si="29"/>
        <v>21.35076047958233</v>
      </c>
      <c r="AZ20">
        <f t="shared" si="30"/>
        <v>139.69001352253647</v>
      </c>
      <c r="BA20">
        <f t="shared" si="31"/>
        <v>1.4412275826067725E-2</v>
      </c>
      <c r="BB20">
        <f t="shared" si="32"/>
        <v>2.4137159413137543</v>
      </c>
      <c r="BC20">
        <f t="shared" si="33"/>
        <v>468.97790117555115</v>
      </c>
      <c r="BD20" t="s">
        <v>437</v>
      </c>
      <c r="BE20">
        <v>547.11</v>
      </c>
      <c r="BF20">
        <f t="shared" si="34"/>
        <v>547.11</v>
      </c>
      <c r="BG20">
        <f t="shared" si="35"/>
        <v>0.4108623998397043</v>
      </c>
      <c r="BH20">
        <f t="shared" si="36"/>
        <v>0.44941794806939578</v>
      </c>
      <c r="BI20">
        <f t="shared" si="37"/>
        <v>0.85454027107213382</v>
      </c>
      <c r="BJ20">
        <f t="shared" si="38"/>
        <v>0.86072186679843732</v>
      </c>
      <c r="BK20">
        <f t="shared" si="39"/>
        <v>0.91837591922254302</v>
      </c>
      <c r="BL20">
        <f t="shared" si="40"/>
        <v>0.3247300743250211</v>
      </c>
      <c r="BM20">
        <f t="shared" si="41"/>
        <v>0.6752699256749789</v>
      </c>
      <c r="BN20">
        <v>9288</v>
      </c>
      <c r="BO20">
        <v>290.00000000000011</v>
      </c>
      <c r="BP20">
        <v>885.21</v>
      </c>
      <c r="BQ20">
        <v>285</v>
      </c>
      <c r="BR20">
        <v>10092.4</v>
      </c>
      <c r="BS20">
        <v>885.38</v>
      </c>
      <c r="BT20">
        <v>-0.17</v>
      </c>
      <c r="BU20">
        <v>300.00000000000011</v>
      </c>
      <c r="BV20">
        <v>24.2</v>
      </c>
      <c r="BW20">
        <v>928.66250575610752</v>
      </c>
      <c r="BX20">
        <v>1.59402783496879</v>
      </c>
      <c r="BY20">
        <v>-43.686701439495216</v>
      </c>
      <c r="BZ20">
        <v>1.4327930293419151</v>
      </c>
      <c r="CA20">
        <v>0.97076255236408393</v>
      </c>
      <c r="CB20">
        <v>-6.9000122358175752E-3</v>
      </c>
      <c r="CC20">
        <v>289.99999999999989</v>
      </c>
      <c r="CD20">
        <v>884.37</v>
      </c>
      <c r="CE20">
        <v>635</v>
      </c>
      <c r="CF20">
        <v>10077.200000000001</v>
      </c>
      <c r="CG20">
        <v>885.31</v>
      </c>
      <c r="CH20">
        <v>-0.94</v>
      </c>
      <c r="CV20">
        <f t="shared" si="42"/>
        <v>1799.82</v>
      </c>
      <c r="CW20">
        <f t="shared" si="43"/>
        <v>1513.0335006319035</v>
      </c>
      <c r="CX20">
        <f t="shared" si="44"/>
        <v>0.84065823284100827</v>
      </c>
      <c r="CY20">
        <f t="shared" si="45"/>
        <v>0.19131646568201657</v>
      </c>
      <c r="CZ20">
        <v>6</v>
      </c>
      <c r="DA20">
        <v>0.5</v>
      </c>
      <c r="DB20" t="s">
        <v>418</v>
      </c>
      <c r="DC20">
        <v>2</v>
      </c>
      <c r="DD20">
        <v>1674758416.0999999</v>
      </c>
      <c r="DE20">
        <v>93.681799999999996</v>
      </c>
      <c r="DF20">
        <v>120.024</v>
      </c>
      <c r="DG20">
        <v>25.109500000000001</v>
      </c>
      <c r="DH20">
        <v>17.5198</v>
      </c>
      <c r="DI20">
        <v>93.106399999999994</v>
      </c>
      <c r="DJ20">
        <v>25.0093</v>
      </c>
      <c r="DK20">
        <v>500.15699999999998</v>
      </c>
      <c r="DL20">
        <v>99.085700000000003</v>
      </c>
      <c r="DM20">
        <v>0.100198</v>
      </c>
      <c r="DN20">
        <v>27.999400000000001</v>
      </c>
      <c r="DO20">
        <v>27.5488</v>
      </c>
      <c r="DP20">
        <v>999.9</v>
      </c>
      <c r="DQ20">
        <v>0</v>
      </c>
      <c r="DR20">
        <v>0</v>
      </c>
      <c r="DS20">
        <v>9988.75</v>
      </c>
      <c r="DT20">
        <v>0</v>
      </c>
      <c r="DU20">
        <v>277.11399999999998</v>
      </c>
      <c r="DV20">
        <v>-26.342099999999999</v>
      </c>
      <c r="DW20">
        <v>96.0946</v>
      </c>
      <c r="DX20">
        <v>122.164</v>
      </c>
      <c r="DY20">
        <v>7.5896400000000002</v>
      </c>
      <c r="DZ20">
        <v>120.024</v>
      </c>
      <c r="EA20">
        <v>17.5198</v>
      </c>
      <c r="EB20">
        <v>2.4879899999999999</v>
      </c>
      <c r="EC20">
        <v>1.7359599999999999</v>
      </c>
      <c r="ED20">
        <v>20.9481</v>
      </c>
      <c r="EE20">
        <v>15.2218</v>
      </c>
      <c r="EF20">
        <v>1799.82</v>
      </c>
      <c r="EG20">
        <v>0.97799999999999998</v>
      </c>
      <c r="EH20">
        <v>2.19998E-2</v>
      </c>
      <c r="EI20">
        <v>0</v>
      </c>
      <c r="EJ20">
        <v>756.67200000000003</v>
      </c>
      <c r="EK20">
        <v>4.9990399999999999</v>
      </c>
      <c r="EL20">
        <v>14243.4</v>
      </c>
      <c r="EM20">
        <v>14819.2</v>
      </c>
      <c r="EN20">
        <v>48.936999999999998</v>
      </c>
      <c r="EO20">
        <v>50.5</v>
      </c>
      <c r="EP20">
        <v>49.936999999999998</v>
      </c>
      <c r="EQ20">
        <v>48.875</v>
      </c>
      <c r="ER20">
        <v>49.75</v>
      </c>
      <c r="ES20">
        <v>1755.33</v>
      </c>
      <c r="ET20">
        <v>39.49</v>
      </c>
      <c r="EU20">
        <v>0</v>
      </c>
      <c r="EV20">
        <v>114.7999999523163</v>
      </c>
      <c r="EW20">
        <v>0</v>
      </c>
      <c r="EX20">
        <v>757.18596153846136</v>
      </c>
      <c r="EY20">
        <v>-3.8496752172536848</v>
      </c>
      <c r="EZ20">
        <v>-74.721367555068468</v>
      </c>
      <c r="FA20">
        <v>14253.884615384621</v>
      </c>
      <c r="FB20">
        <v>15</v>
      </c>
      <c r="FC20">
        <v>1674758381.0999999</v>
      </c>
      <c r="FD20" t="s">
        <v>438</v>
      </c>
      <c r="FE20">
        <v>1674758365.0999999</v>
      </c>
      <c r="FF20">
        <v>1674758381.0999999</v>
      </c>
      <c r="FG20">
        <v>8</v>
      </c>
      <c r="FH20">
        <v>-1.7000000000000001E-2</v>
      </c>
      <c r="FI20">
        <v>0</v>
      </c>
      <c r="FJ20">
        <v>0.61799999999999999</v>
      </c>
      <c r="FK20">
        <v>4.5999999999999999E-2</v>
      </c>
      <c r="FL20">
        <v>120</v>
      </c>
      <c r="FM20">
        <v>18</v>
      </c>
      <c r="FN20">
        <v>7.0000000000000007E-2</v>
      </c>
      <c r="FO20">
        <v>0.01</v>
      </c>
      <c r="FP20">
        <v>21.350116865001919</v>
      </c>
      <c r="FQ20">
        <v>-0.5682281373119159</v>
      </c>
      <c r="FR20">
        <v>8.3145011503030594E-2</v>
      </c>
      <c r="FS20">
        <v>1</v>
      </c>
      <c r="FT20">
        <v>0.56989303447736039</v>
      </c>
      <c r="FU20">
        <v>3.5523948057848323E-2</v>
      </c>
      <c r="FV20">
        <v>5.2459723554591038E-3</v>
      </c>
      <c r="FW20">
        <v>1</v>
      </c>
      <c r="FX20">
        <v>2</v>
      </c>
      <c r="FY20">
        <v>2</v>
      </c>
      <c r="FZ20" t="s">
        <v>420</v>
      </c>
      <c r="GA20">
        <v>2.9333100000000001</v>
      </c>
      <c r="GB20">
        <v>2.8335599999999999</v>
      </c>
      <c r="GC20">
        <v>2.5196799999999998E-2</v>
      </c>
      <c r="GD20">
        <v>3.1307399999999999E-2</v>
      </c>
      <c r="GE20">
        <v>0.122445</v>
      </c>
      <c r="GF20">
        <v>9.1873399999999994E-2</v>
      </c>
      <c r="GG20">
        <v>25284.5</v>
      </c>
      <c r="GH20">
        <v>31539.599999999999</v>
      </c>
      <c r="GI20">
        <v>23338.799999999999</v>
      </c>
      <c r="GJ20">
        <v>29832.1</v>
      </c>
      <c r="GK20">
        <v>27875.3</v>
      </c>
      <c r="GL20">
        <v>38529.9</v>
      </c>
      <c r="GM20">
        <v>32955.4</v>
      </c>
      <c r="GN20">
        <v>44265.3</v>
      </c>
      <c r="GO20">
        <v>1.9870300000000001</v>
      </c>
      <c r="GP20">
        <v>1.8207500000000001</v>
      </c>
      <c r="GQ20">
        <v>6.1452399999999997E-2</v>
      </c>
      <c r="GR20">
        <v>0</v>
      </c>
      <c r="GS20">
        <v>26.543900000000001</v>
      </c>
      <c r="GT20">
        <v>999.9</v>
      </c>
      <c r="GU20">
        <v>43</v>
      </c>
      <c r="GV20">
        <v>36.700000000000003</v>
      </c>
      <c r="GW20">
        <v>26.915800000000001</v>
      </c>
      <c r="GX20">
        <v>61.090800000000002</v>
      </c>
      <c r="GY20">
        <v>36.939100000000003</v>
      </c>
      <c r="GZ20">
        <v>1</v>
      </c>
      <c r="HA20">
        <v>0.35629100000000002</v>
      </c>
      <c r="HB20">
        <v>2.16092</v>
      </c>
      <c r="HC20">
        <v>20.2636</v>
      </c>
      <c r="HD20">
        <v>5.20845</v>
      </c>
      <c r="HE20">
        <v>11.872199999999999</v>
      </c>
      <c r="HF20">
        <v>4.9836499999999999</v>
      </c>
      <c r="HG20">
        <v>3.2839999999999998</v>
      </c>
      <c r="HH20">
        <v>9999</v>
      </c>
      <c r="HI20">
        <v>9999</v>
      </c>
      <c r="HJ20">
        <v>9999</v>
      </c>
      <c r="HK20">
        <v>999.9</v>
      </c>
      <c r="HL20">
        <v>1.8548899999999999</v>
      </c>
      <c r="HM20">
        <v>1.8609599999999999</v>
      </c>
      <c r="HN20">
        <v>1.8583700000000001</v>
      </c>
      <c r="HO20">
        <v>1.8595699999999999</v>
      </c>
      <c r="HP20">
        <v>1.8588800000000001</v>
      </c>
      <c r="HQ20">
        <v>1.85944</v>
      </c>
      <c r="HR20">
        <v>1.8577600000000001</v>
      </c>
      <c r="HS20">
        <v>1.8611200000000001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0.57499999999999996</v>
      </c>
      <c r="IH20">
        <v>0.1002</v>
      </c>
      <c r="II20">
        <v>0.42357241907848547</v>
      </c>
      <c r="IJ20">
        <v>1.6187016317407189E-3</v>
      </c>
      <c r="IK20">
        <v>1.4341569744255341E-7</v>
      </c>
      <c r="IL20">
        <v>-2.4096625942085749E-10</v>
      </c>
      <c r="IM20">
        <v>0.100119295960784</v>
      </c>
      <c r="IN20">
        <v>0</v>
      </c>
      <c r="IO20">
        <v>0</v>
      </c>
      <c r="IP20">
        <v>0</v>
      </c>
      <c r="IQ20">
        <v>4</v>
      </c>
      <c r="IR20">
        <v>2205</v>
      </c>
      <c r="IS20">
        <v>1</v>
      </c>
      <c r="IT20">
        <v>21</v>
      </c>
      <c r="IU20">
        <v>0.8</v>
      </c>
      <c r="IV20">
        <v>0.6</v>
      </c>
      <c r="IW20">
        <v>0.39306600000000003</v>
      </c>
      <c r="IX20">
        <v>2.49268</v>
      </c>
      <c r="IY20">
        <v>1.49414</v>
      </c>
      <c r="IZ20">
        <v>2.3046899999999999</v>
      </c>
      <c r="JA20">
        <v>1.69434</v>
      </c>
      <c r="JB20">
        <v>2.2924799999999999</v>
      </c>
      <c r="JC20">
        <v>41.326099999999997</v>
      </c>
      <c r="JD20">
        <v>23.544599999999999</v>
      </c>
      <c r="JE20">
        <v>18</v>
      </c>
      <c r="JF20">
        <v>524.61400000000003</v>
      </c>
      <c r="JG20">
        <v>438.38900000000001</v>
      </c>
      <c r="JH20">
        <v>24.696999999999999</v>
      </c>
      <c r="JI20">
        <v>31.802199999999999</v>
      </c>
      <c r="JJ20">
        <v>30.0001</v>
      </c>
      <c r="JK20">
        <v>31.741700000000002</v>
      </c>
      <c r="JL20">
        <v>31.709</v>
      </c>
      <c r="JM20">
        <v>7.9280099999999996</v>
      </c>
      <c r="JN20">
        <v>40.265099999999997</v>
      </c>
      <c r="JO20">
        <v>0</v>
      </c>
      <c r="JP20">
        <v>24.700099999999999</v>
      </c>
      <c r="JQ20">
        <v>120</v>
      </c>
      <c r="JR20">
        <v>17.388200000000001</v>
      </c>
      <c r="JS20">
        <v>99.258700000000005</v>
      </c>
      <c r="JT20">
        <v>99.403499999999994</v>
      </c>
    </row>
    <row r="21" spans="1:280" x14ac:dyDescent="0.25">
      <c r="A21">
        <v>5</v>
      </c>
      <c r="B21">
        <v>1674758566.0999999</v>
      </c>
      <c r="C21">
        <v>509</v>
      </c>
      <c r="D21" t="s">
        <v>439</v>
      </c>
      <c r="E21" t="s">
        <v>440</v>
      </c>
      <c r="F21" t="s">
        <v>412</v>
      </c>
      <c r="G21" t="s">
        <v>413</v>
      </c>
      <c r="H21" t="s">
        <v>414</v>
      </c>
      <c r="I21">
        <v>1674758566.0999999</v>
      </c>
      <c r="J21">
        <f t="shared" si="0"/>
        <v>6.8973215699242724E-3</v>
      </c>
      <c r="K21">
        <f t="shared" si="1"/>
        <v>6.897321569924272</v>
      </c>
      <c r="L21">
        <f t="shared" si="2"/>
        <v>12.934337823850722</v>
      </c>
      <c r="M21">
        <f t="shared" si="3"/>
        <v>54.0306</v>
      </c>
      <c r="N21">
        <f t="shared" si="4"/>
        <v>16.344872293259439</v>
      </c>
      <c r="O21">
        <f t="shared" si="5"/>
        <v>1.621134822017777</v>
      </c>
      <c r="P21">
        <f t="shared" si="6"/>
        <v>5.3589214735336803</v>
      </c>
      <c r="Q21">
        <f t="shared" si="7"/>
        <v>0.61526648859431221</v>
      </c>
      <c r="R21">
        <f t="shared" si="8"/>
        <v>2.9116653653316442</v>
      </c>
      <c r="S21">
        <f t="shared" si="9"/>
        <v>0.55112291925419132</v>
      </c>
      <c r="T21">
        <f t="shared" si="10"/>
        <v>0.34965595086584456</v>
      </c>
      <c r="U21">
        <f t="shared" si="11"/>
        <v>344.3485012637579</v>
      </c>
      <c r="V21">
        <f t="shared" si="12"/>
        <v>28.233919250446583</v>
      </c>
      <c r="W21">
        <f t="shared" si="13"/>
        <v>27.5151</v>
      </c>
      <c r="X21">
        <f t="shared" si="14"/>
        <v>3.6888808019808716</v>
      </c>
      <c r="Y21">
        <f t="shared" si="15"/>
        <v>65.532439117605151</v>
      </c>
      <c r="Z21">
        <f t="shared" si="16"/>
        <v>2.4862421731641602</v>
      </c>
      <c r="AA21">
        <f t="shared" si="17"/>
        <v>3.7939106290585736</v>
      </c>
      <c r="AB21">
        <f t="shared" si="18"/>
        <v>1.2026386288167115</v>
      </c>
      <c r="AC21">
        <f t="shared" si="19"/>
        <v>-304.17188123366043</v>
      </c>
      <c r="AD21">
        <f t="shared" si="20"/>
        <v>75.457259116587466</v>
      </c>
      <c r="AE21">
        <f t="shared" si="21"/>
        <v>5.6352289902842454</v>
      </c>
      <c r="AF21">
        <f t="shared" si="22"/>
        <v>121.26910813696918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52168.916340283329</v>
      </c>
      <c r="AL21" t="s">
        <v>415</v>
      </c>
      <c r="AM21">
        <v>10214.9</v>
      </c>
      <c r="AN21">
        <v>729.4384</v>
      </c>
      <c r="AO21">
        <v>3170.19</v>
      </c>
      <c r="AP21">
        <f t="shared" si="26"/>
        <v>0.76990704027203416</v>
      </c>
      <c r="AQ21">
        <v>-0.45549566560547827</v>
      </c>
      <c r="AR21" t="s">
        <v>441</v>
      </c>
      <c r="AS21">
        <v>10103.5</v>
      </c>
      <c r="AT21">
        <v>774.07238461538452</v>
      </c>
      <c r="AU21">
        <v>884.6051167438402</v>
      </c>
      <c r="AV21">
        <f t="shared" si="27"/>
        <v>0.12495149534666694</v>
      </c>
      <c r="AW21">
        <v>0.5</v>
      </c>
      <c r="AX21">
        <f t="shared" si="28"/>
        <v>1513.0923006318792</v>
      </c>
      <c r="AY21">
        <f t="shared" si="29"/>
        <v>12.934337823850722</v>
      </c>
      <c r="AZ21">
        <f t="shared" si="30"/>
        <v>94.531572780740916</v>
      </c>
      <c r="BA21">
        <f t="shared" si="31"/>
        <v>8.8493170468612534E-3</v>
      </c>
      <c r="BB21">
        <f t="shared" si="32"/>
        <v>2.5837346404565378</v>
      </c>
      <c r="BC21">
        <f t="shared" si="33"/>
        <v>457.47180218770666</v>
      </c>
      <c r="BD21" t="s">
        <v>442</v>
      </c>
      <c r="BE21">
        <v>559.54999999999995</v>
      </c>
      <c r="BF21">
        <f t="shared" si="34"/>
        <v>559.54999999999995</v>
      </c>
      <c r="BG21">
        <f t="shared" si="35"/>
        <v>0.36745787537420294</v>
      </c>
      <c r="BH21">
        <f t="shared" si="36"/>
        <v>0.34004304634761684</v>
      </c>
      <c r="BI21">
        <f t="shared" si="37"/>
        <v>0.87548834127116693</v>
      </c>
      <c r="BJ21">
        <f t="shared" si="38"/>
        <v>0.71234820487263806</v>
      </c>
      <c r="BK21">
        <f t="shared" si="39"/>
        <v>0.93642666597295665</v>
      </c>
      <c r="BL21">
        <f t="shared" si="40"/>
        <v>0.24580528948639541</v>
      </c>
      <c r="BM21">
        <f t="shared" si="41"/>
        <v>0.75419471051360465</v>
      </c>
      <c r="BN21">
        <v>9290</v>
      </c>
      <c r="BO21">
        <v>290.00000000000011</v>
      </c>
      <c r="BP21">
        <v>856.14</v>
      </c>
      <c r="BQ21">
        <v>195</v>
      </c>
      <c r="BR21">
        <v>10103.5</v>
      </c>
      <c r="BS21">
        <v>855.41</v>
      </c>
      <c r="BT21">
        <v>0.73</v>
      </c>
      <c r="BU21">
        <v>300.00000000000011</v>
      </c>
      <c r="BV21">
        <v>24.2</v>
      </c>
      <c r="BW21">
        <v>884.6051167438402</v>
      </c>
      <c r="BX21">
        <v>1.745862806832752</v>
      </c>
      <c r="BY21">
        <v>-29.495171265663771</v>
      </c>
      <c r="BZ21">
        <v>1.569250464147762</v>
      </c>
      <c r="CA21">
        <v>0.92656288326734038</v>
      </c>
      <c r="CB21">
        <v>-6.8999875417130076E-3</v>
      </c>
      <c r="CC21">
        <v>289.99999999999989</v>
      </c>
      <c r="CD21">
        <v>853.7</v>
      </c>
      <c r="CE21">
        <v>675</v>
      </c>
      <c r="CF21">
        <v>10074.6</v>
      </c>
      <c r="CG21">
        <v>855.33</v>
      </c>
      <c r="CH21">
        <v>-1.63</v>
      </c>
      <c r="CV21">
        <f t="shared" si="42"/>
        <v>1799.89</v>
      </c>
      <c r="CW21">
        <f t="shared" si="43"/>
        <v>1513.0923006318792</v>
      </c>
      <c r="CX21">
        <f t="shared" si="44"/>
        <v>0.84065820724148643</v>
      </c>
      <c r="CY21">
        <f t="shared" si="45"/>
        <v>0.19131641448297279</v>
      </c>
      <c r="CZ21">
        <v>6</v>
      </c>
      <c r="DA21">
        <v>0.5</v>
      </c>
      <c r="DB21" t="s">
        <v>418</v>
      </c>
      <c r="DC21">
        <v>2</v>
      </c>
      <c r="DD21">
        <v>1674758566.0999999</v>
      </c>
      <c r="DE21">
        <v>54.0306</v>
      </c>
      <c r="DF21">
        <v>69.997600000000006</v>
      </c>
      <c r="DG21">
        <v>25.0672</v>
      </c>
      <c r="DH21">
        <v>16.9986</v>
      </c>
      <c r="DI21">
        <v>53.533099999999997</v>
      </c>
      <c r="DJ21">
        <v>24.9693</v>
      </c>
      <c r="DK21">
        <v>500.04399999999998</v>
      </c>
      <c r="DL21">
        <v>99.083100000000002</v>
      </c>
      <c r="DM21">
        <v>9.9982799999999997E-2</v>
      </c>
      <c r="DN21">
        <v>27.995799999999999</v>
      </c>
      <c r="DO21">
        <v>27.5151</v>
      </c>
      <c r="DP21">
        <v>999.9</v>
      </c>
      <c r="DQ21">
        <v>0</v>
      </c>
      <c r="DR21">
        <v>0</v>
      </c>
      <c r="DS21">
        <v>9990</v>
      </c>
      <c r="DT21">
        <v>0</v>
      </c>
      <c r="DU21">
        <v>277.30700000000002</v>
      </c>
      <c r="DV21">
        <v>-15.966900000000001</v>
      </c>
      <c r="DW21">
        <v>55.419800000000002</v>
      </c>
      <c r="DX21">
        <v>71.207999999999998</v>
      </c>
      <c r="DY21">
        <v>8.0685900000000004</v>
      </c>
      <c r="DZ21">
        <v>69.997600000000006</v>
      </c>
      <c r="EA21">
        <v>16.9986</v>
      </c>
      <c r="EB21">
        <v>2.4837400000000001</v>
      </c>
      <c r="EC21">
        <v>1.68428</v>
      </c>
      <c r="ED21">
        <v>20.920300000000001</v>
      </c>
      <c r="EE21">
        <v>14.7523</v>
      </c>
      <c r="EF21">
        <v>1799.89</v>
      </c>
      <c r="EG21">
        <v>0.97799999999999998</v>
      </c>
      <c r="EH21">
        <v>2.19998E-2</v>
      </c>
      <c r="EI21">
        <v>0</v>
      </c>
      <c r="EJ21">
        <v>773.99099999999999</v>
      </c>
      <c r="EK21">
        <v>4.9990399999999999</v>
      </c>
      <c r="EL21">
        <v>14557.5</v>
      </c>
      <c r="EM21">
        <v>14819.8</v>
      </c>
      <c r="EN21">
        <v>48.936999999999998</v>
      </c>
      <c r="EO21">
        <v>50.5</v>
      </c>
      <c r="EP21">
        <v>49.936999999999998</v>
      </c>
      <c r="EQ21">
        <v>48.936999999999998</v>
      </c>
      <c r="ER21">
        <v>49.811999999999998</v>
      </c>
      <c r="ES21">
        <v>1755.4</v>
      </c>
      <c r="ET21">
        <v>39.49</v>
      </c>
      <c r="EU21">
        <v>0</v>
      </c>
      <c r="EV21">
        <v>148.20000004768369</v>
      </c>
      <c r="EW21">
        <v>0</v>
      </c>
      <c r="EX21">
        <v>774.07238461538452</v>
      </c>
      <c r="EY21">
        <v>-0.92765812133201986</v>
      </c>
      <c r="EZ21">
        <v>-36.803418834322649</v>
      </c>
      <c r="FA21">
        <v>14563.08076923077</v>
      </c>
      <c r="FB21">
        <v>15</v>
      </c>
      <c r="FC21">
        <v>1674758528.5999999</v>
      </c>
      <c r="FD21" t="s">
        <v>443</v>
      </c>
      <c r="FE21">
        <v>1674758517.5999999</v>
      </c>
      <c r="FF21">
        <v>1674758528.5999999</v>
      </c>
      <c r="FG21">
        <v>9</v>
      </c>
      <c r="FH21">
        <v>-1.2999999999999999E-2</v>
      </c>
      <c r="FI21">
        <v>-2E-3</v>
      </c>
      <c r="FJ21">
        <v>0.52300000000000002</v>
      </c>
      <c r="FK21">
        <v>3.2000000000000001E-2</v>
      </c>
      <c r="FL21">
        <v>70</v>
      </c>
      <c r="FM21">
        <v>17</v>
      </c>
      <c r="FN21">
        <v>0.1</v>
      </c>
      <c r="FO21">
        <v>0.01</v>
      </c>
      <c r="FP21">
        <v>13.00165835707794</v>
      </c>
      <c r="FQ21">
        <v>-0.66387009542893183</v>
      </c>
      <c r="FR21">
        <v>7.3627571209554085E-2</v>
      </c>
      <c r="FS21">
        <v>1</v>
      </c>
      <c r="FT21">
        <v>0.62211470846065342</v>
      </c>
      <c r="FU21">
        <v>-1.679028841540546E-2</v>
      </c>
      <c r="FV21">
        <v>4.2134084108549682E-3</v>
      </c>
      <c r="FW21">
        <v>1</v>
      </c>
      <c r="FX21">
        <v>2</v>
      </c>
      <c r="FY21">
        <v>2</v>
      </c>
      <c r="FZ21" t="s">
        <v>420</v>
      </c>
      <c r="GA21">
        <v>2.9330500000000002</v>
      </c>
      <c r="GB21">
        <v>2.8333499999999998</v>
      </c>
      <c r="GC21">
        <v>1.4744699999999999E-2</v>
      </c>
      <c r="GD21">
        <v>1.86991E-2</v>
      </c>
      <c r="GE21">
        <v>0.122309</v>
      </c>
      <c r="GF21">
        <v>8.9914499999999994E-2</v>
      </c>
      <c r="GG21">
        <v>25556.9</v>
      </c>
      <c r="GH21">
        <v>31950.7</v>
      </c>
      <c r="GI21">
        <v>23340.3</v>
      </c>
      <c r="GJ21">
        <v>29833</v>
      </c>
      <c r="GK21">
        <v>27881.1</v>
      </c>
      <c r="GL21">
        <v>38615.1</v>
      </c>
      <c r="GM21">
        <v>32957.4</v>
      </c>
      <c r="GN21">
        <v>44267</v>
      </c>
      <c r="GO21">
        <v>1.9873799999999999</v>
      </c>
      <c r="GP21">
        <v>1.8204</v>
      </c>
      <c r="GQ21">
        <v>6.0763200000000003E-2</v>
      </c>
      <c r="GR21">
        <v>0</v>
      </c>
      <c r="GS21">
        <v>26.5214</v>
      </c>
      <c r="GT21">
        <v>999.9</v>
      </c>
      <c r="GU21">
        <v>42.9</v>
      </c>
      <c r="GV21">
        <v>36.700000000000003</v>
      </c>
      <c r="GW21">
        <v>26.855699999999999</v>
      </c>
      <c r="GX21">
        <v>61.330800000000004</v>
      </c>
      <c r="GY21">
        <v>37.3157</v>
      </c>
      <c r="GZ21">
        <v>1</v>
      </c>
      <c r="HA21">
        <v>0.35448400000000002</v>
      </c>
      <c r="HB21">
        <v>2.1013299999999999</v>
      </c>
      <c r="HC21">
        <v>20.264299999999999</v>
      </c>
      <c r="HD21">
        <v>5.2065099999999997</v>
      </c>
      <c r="HE21">
        <v>11.872199999999999</v>
      </c>
      <c r="HF21">
        <v>4.98325</v>
      </c>
      <c r="HG21">
        <v>3.2832499999999998</v>
      </c>
      <c r="HH21">
        <v>9999</v>
      </c>
      <c r="HI21">
        <v>9999</v>
      </c>
      <c r="HJ21">
        <v>9999</v>
      </c>
      <c r="HK21">
        <v>999.9</v>
      </c>
      <c r="HL21">
        <v>1.8549100000000001</v>
      </c>
      <c r="HM21">
        <v>1.8609599999999999</v>
      </c>
      <c r="HN21">
        <v>1.8583700000000001</v>
      </c>
      <c r="HO21">
        <v>1.85958</v>
      </c>
      <c r="HP21">
        <v>1.85894</v>
      </c>
      <c r="HQ21">
        <v>1.85944</v>
      </c>
      <c r="HR21">
        <v>1.8577699999999999</v>
      </c>
      <c r="HS21">
        <v>1.86111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0.498</v>
      </c>
      <c r="IH21">
        <v>9.7900000000000001E-2</v>
      </c>
      <c r="II21">
        <v>0.41049697562560011</v>
      </c>
      <c r="IJ21">
        <v>1.6187016317407189E-3</v>
      </c>
      <c r="IK21">
        <v>1.4341569744255341E-7</v>
      </c>
      <c r="IL21">
        <v>-2.4096625942085749E-10</v>
      </c>
      <c r="IM21">
        <v>9.7922122121049698E-2</v>
      </c>
      <c r="IN21">
        <v>0</v>
      </c>
      <c r="IO21">
        <v>0</v>
      </c>
      <c r="IP21">
        <v>0</v>
      </c>
      <c r="IQ21">
        <v>4</v>
      </c>
      <c r="IR21">
        <v>2205</v>
      </c>
      <c r="IS21">
        <v>1</v>
      </c>
      <c r="IT21">
        <v>21</v>
      </c>
      <c r="IU21">
        <v>0.8</v>
      </c>
      <c r="IV21">
        <v>0.6</v>
      </c>
      <c r="IW21">
        <v>0.28198200000000001</v>
      </c>
      <c r="IX21">
        <v>2.5061</v>
      </c>
      <c r="IY21">
        <v>1.49414</v>
      </c>
      <c r="IZ21">
        <v>2.3059099999999999</v>
      </c>
      <c r="JA21">
        <v>1.69434</v>
      </c>
      <c r="JB21">
        <v>2.34985</v>
      </c>
      <c r="JC21">
        <v>41.3521</v>
      </c>
      <c r="JD21">
        <v>23.544599999999999</v>
      </c>
      <c r="JE21">
        <v>18</v>
      </c>
      <c r="JF21">
        <v>524.75099999999998</v>
      </c>
      <c r="JG21">
        <v>438.08100000000002</v>
      </c>
      <c r="JH21">
        <v>24.736499999999999</v>
      </c>
      <c r="JI21">
        <v>31.785399999999999</v>
      </c>
      <c r="JJ21">
        <v>30.0001</v>
      </c>
      <c r="JK21">
        <v>31.730599999999999</v>
      </c>
      <c r="JL21">
        <v>31.700600000000001</v>
      </c>
      <c r="JM21">
        <v>5.7187700000000001</v>
      </c>
      <c r="JN21">
        <v>41.700299999999999</v>
      </c>
      <c r="JO21">
        <v>0</v>
      </c>
      <c r="JP21">
        <v>24.7378</v>
      </c>
      <c r="JQ21">
        <v>70</v>
      </c>
      <c r="JR21">
        <v>16.879799999999999</v>
      </c>
      <c r="JS21">
        <v>99.264799999999994</v>
      </c>
      <c r="JT21">
        <v>99.406999999999996</v>
      </c>
    </row>
    <row r="22" spans="1:280" x14ac:dyDescent="0.25">
      <c r="A22">
        <v>6</v>
      </c>
      <c r="B22">
        <v>1674758701.5999999</v>
      </c>
      <c r="C22">
        <v>644.5</v>
      </c>
      <c r="D22" t="s">
        <v>444</v>
      </c>
      <c r="E22" t="s">
        <v>445</v>
      </c>
      <c r="F22" t="s">
        <v>412</v>
      </c>
      <c r="G22" t="s">
        <v>413</v>
      </c>
      <c r="H22" t="s">
        <v>414</v>
      </c>
      <c r="I22">
        <v>1674758701.5999999</v>
      </c>
      <c r="J22">
        <f t="shared" si="0"/>
        <v>7.1503127832590191E-3</v>
      </c>
      <c r="K22">
        <f t="shared" si="1"/>
        <v>7.150312783259019</v>
      </c>
      <c r="L22">
        <f t="shared" si="2"/>
        <v>5.5810257891704547</v>
      </c>
      <c r="M22">
        <f t="shared" si="3"/>
        <v>23.117699999999999</v>
      </c>
      <c r="N22">
        <f t="shared" si="4"/>
        <v>7.4927533270982458</v>
      </c>
      <c r="O22">
        <f t="shared" si="5"/>
        <v>0.74314915269104243</v>
      </c>
      <c r="P22">
        <f t="shared" si="6"/>
        <v>2.2928686448321995</v>
      </c>
      <c r="Q22">
        <f t="shared" si="7"/>
        <v>0.64354072954527586</v>
      </c>
      <c r="R22">
        <f t="shared" si="8"/>
        <v>2.9094590941980161</v>
      </c>
      <c r="S22">
        <f t="shared" si="9"/>
        <v>0.57367668419409146</v>
      </c>
      <c r="T22">
        <f t="shared" si="10"/>
        <v>0.36419087156965735</v>
      </c>
      <c r="U22">
        <f t="shared" si="11"/>
        <v>344.35990126371581</v>
      </c>
      <c r="V22">
        <f t="shared" si="12"/>
        <v>28.172882696134344</v>
      </c>
      <c r="W22">
        <f t="shared" si="13"/>
        <v>27.479299999999999</v>
      </c>
      <c r="X22">
        <f t="shared" si="14"/>
        <v>3.6811612689187081</v>
      </c>
      <c r="Y22">
        <f t="shared" si="15"/>
        <v>65.43799278423414</v>
      </c>
      <c r="Z22">
        <f t="shared" si="16"/>
        <v>2.4833682536223995</v>
      </c>
      <c r="AA22">
        <f t="shared" si="17"/>
        <v>3.7949945405732444</v>
      </c>
      <c r="AB22">
        <f t="shared" si="18"/>
        <v>1.1977930152963085</v>
      </c>
      <c r="AC22">
        <f t="shared" si="19"/>
        <v>-315.32879374172273</v>
      </c>
      <c r="AD22">
        <f t="shared" si="20"/>
        <v>81.784071179090731</v>
      </c>
      <c r="AE22">
        <f t="shared" si="21"/>
        <v>6.1114123928446347</v>
      </c>
      <c r="AF22">
        <f t="shared" si="22"/>
        <v>116.92659109392842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52104.906671391924</v>
      </c>
      <c r="AL22" t="s">
        <v>415</v>
      </c>
      <c r="AM22">
        <v>10214.9</v>
      </c>
      <c r="AN22">
        <v>729.4384</v>
      </c>
      <c r="AO22">
        <v>3170.19</v>
      </c>
      <c r="AP22">
        <f t="shared" si="26"/>
        <v>0.76990704027203416</v>
      </c>
      <c r="AQ22">
        <v>-0.45549566560547827</v>
      </c>
      <c r="AR22" t="s">
        <v>446</v>
      </c>
      <c r="AS22">
        <v>10116.200000000001</v>
      </c>
      <c r="AT22">
        <v>791.62584000000004</v>
      </c>
      <c r="AU22">
        <v>866.71424857914542</v>
      </c>
      <c r="AV22">
        <f t="shared" si="27"/>
        <v>8.6635714945545339E-2</v>
      </c>
      <c r="AW22">
        <v>0.5</v>
      </c>
      <c r="AX22">
        <f t="shared" si="28"/>
        <v>1513.1427006318577</v>
      </c>
      <c r="AY22">
        <f t="shared" si="29"/>
        <v>5.5810257891704547</v>
      </c>
      <c r="AZ22">
        <f t="shared" si="30"/>
        <v>65.546099841937135</v>
      </c>
      <c r="BA22">
        <f t="shared" si="31"/>
        <v>3.9893933680248423E-3</v>
      </c>
      <c r="BB22">
        <f t="shared" si="32"/>
        <v>2.6577107220714034</v>
      </c>
      <c r="BC22">
        <f t="shared" si="33"/>
        <v>452.63984427564992</v>
      </c>
      <c r="BD22" t="s">
        <v>447</v>
      </c>
      <c r="BE22">
        <v>573.38</v>
      </c>
      <c r="BF22">
        <f t="shared" si="34"/>
        <v>573.38</v>
      </c>
      <c r="BG22">
        <f t="shared" si="35"/>
        <v>0.33844401319122785</v>
      </c>
      <c r="BH22">
        <f t="shared" si="36"/>
        <v>0.25598241236016306</v>
      </c>
      <c r="BI22">
        <f t="shared" si="37"/>
        <v>0.88704054259682252</v>
      </c>
      <c r="BJ22">
        <f t="shared" si="38"/>
        <v>0.54698921446370585</v>
      </c>
      <c r="BK22">
        <f t="shared" si="39"/>
        <v>0.94375673109088798</v>
      </c>
      <c r="BL22">
        <f t="shared" si="40"/>
        <v>0.18540980875393137</v>
      </c>
      <c r="BM22">
        <f t="shared" si="41"/>
        <v>0.81459019124606868</v>
      </c>
      <c r="BN22">
        <v>9292</v>
      </c>
      <c r="BO22">
        <v>290.00000000000011</v>
      </c>
      <c r="BP22">
        <v>846.1</v>
      </c>
      <c r="BQ22">
        <v>115</v>
      </c>
      <c r="BR22">
        <v>10116.200000000001</v>
      </c>
      <c r="BS22">
        <v>843.36</v>
      </c>
      <c r="BT22">
        <v>2.74</v>
      </c>
      <c r="BU22">
        <v>300.00000000000011</v>
      </c>
      <c r="BV22">
        <v>24.2</v>
      </c>
      <c r="BW22">
        <v>866.71424857914542</v>
      </c>
      <c r="BX22">
        <v>1.611911580717176</v>
      </c>
      <c r="BY22">
        <v>-23.623751275903789</v>
      </c>
      <c r="BZ22">
        <v>1.4488701477600421</v>
      </c>
      <c r="CA22">
        <v>0.90471371180298776</v>
      </c>
      <c r="CB22">
        <v>-6.8999973303670806E-3</v>
      </c>
      <c r="CC22">
        <v>289.99999999999989</v>
      </c>
      <c r="CD22">
        <v>840.5</v>
      </c>
      <c r="CE22">
        <v>635</v>
      </c>
      <c r="CF22">
        <v>10077.1</v>
      </c>
      <c r="CG22">
        <v>843.27</v>
      </c>
      <c r="CH22">
        <v>-2.77</v>
      </c>
      <c r="CV22">
        <f t="shared" si="42"/>
        <v>1799.95</v>
      </c>
      <c r="CW22">
        <f t="shared" si="43"/>
        <v>1513.1427006318577</v>
      </c>
      <c r="CX22">
        <f t="shared" si="44"/>
        <v>0.84065818530062375</v>
      </c>
      <c r="CY22">
        <f t="shared" si="45"/>
        <v>0.1913163706012477</v>
      </c>
      <c r="CZ22">
        <v>6</v>
      </c>
      <c r="DA22">
        <v>0.5</v>
      </c>
      <c r="DB22" t="s">
        <v>418</v>
      </c>
      <c r="DC22">
        <v>2</v>
      </c>
      <c r="DD22">
        <v>1674758701.5999999</v>
      </c>
      <c r="DE22">
        <v>23.117699999999999</v>
      </c>
      <c r="DF22">
        <v>30.012599999999999</v>
      </c>
      <c r="DG22">
        <v>25.038399999999999</v>
      </c>
      <c r="DH22">
        <v>16.6737</v>
      </c>
      <c r="DI22">
        <v>22.635200000000001</v>
      </c>
      <c r="DJ22">
        <v>24.942900000000002</v>
      </c>
      <c r="DK22">
        <v>500.05</v>
      </c>
      <c r="DL22">
        <v>99.082099999999997</v>
      </c>
      <c r="DM22">
        <v>0.100286</v>
      </c>
      <c r="DN22">
        <v>28.000699999999998</v>
      </c>
      <c r="DO22">
        <v>27.479299999999999</v>
      </c>
      <c r="DP22">
        <v>999.9</v>
      </c>
      <c r="DQ22">
        <v>0</v>
      </c>
      <c r="DR22">
        <v>0</v>
      </c>
      <c r="DS22">
        <v>9977.5</v>
      </c>
      <c r="DT22">
        <v>0</v>
      </c>
      <c r="DU22">
        <v>275.93099999999998</v>
      </c>
      <c r="DV22">
        <v>-6.8949600000000002</v>
      </c>
      <c r="DW22">
        <v>23.711400000000001</v>
      </c>
      <c r="DX22">
        <v>30.5215</v>
      </c>
      <c r="DY22">
        <v>8.3646399999999996</v>
      </c>
      <c r="DZ22">
        <v>30.012599999999999</v>
      </c>
      <c r="EA22">
        <v>16.6737</v>
      </c>
      <c r="EB22">
        <v>2.4808599999999998</v>
      </c>
      <c r="EC22">
        <v>1.6520699999999999</v>
      </c>
      <c r="ED22">
        <v>20.901499999999999</v>
      </c>
      <c r="EE22">
        <v>14.4533</v>
      </c>
      <c r="EF22">
        <v>1799.95</v>
      </c>
      <c r="EG22">
        <v>0.97799999999999998</v>
      </c>
      <c r="EH22">
        <v>2.19998E-2</v>
      </c>
      <c r="EI22">
        <v>0</v>
      </c>
      <c r="EJ22">
        <v>791.52300000000002</v>
      </c>
      <c r="EK22">
        <v>4.9990399999999999</v>
      </c>
      <c r="EL22">
        <v>14868</v>
      </c>
      <c r="EM22">
        <v>14820.3</v>
      </c>
      <c r="EN22">
        <v>49</v>
      </c>
      <c r="EO22">
        <v>50.5</v>
      </c>
      <c r="EP22">
        <v>50</v>
      </c>
      <c r="EQ22">
        <v>48.936999999999998</v>
      </c>
      <c r="ER22">
        <v>49.811999999999998</v>
      </c>
      <c r="ES22">
        <v>1755.46</v>
      </c>
      <c r="ET22">
        <v>39.49</v>
      </c>
      <c r="EU22">
        <v>0</v>
      </c>
      <c r="EV22">
        <v>133.79999995231631</v>
      </c>
      <c r="EW22">
        <v>0</v>
      </c>
      <c r="EX22">
        <v>791.62584000000004</v>
      </c>
      <c r="EY22">
        <v>-1.600461539855923</v>
      </c>
      <c r="EZ22">
        <v>-23.415384601341419</v>
      </c>
      <c r="FA22">
        <v>14871.288</v>
      </c>
      <c r="FB22">
        <v>15</v>
      </c>
      <c r="FC22">
        <v>1674758662.5999999</v>
      </c>
      <c r="FD22" t="s">
        <v>448</v>
      </c>
      <c r="FE22">
        <v>1674758655.0999999</v>
      </c>
      <c r="FF22">
        <v>1674758662.5999999</v>
      </c>
      <c r="FG22">
        <v>10</v>
      </c>
      <c r="FH22">
        <v>3.5000000000000003E-2</v>
      </c>
      <c r="FI22">
        <v>-2E-3</v>
      </c>
      <c r="FJ22">
        <v>0.49299999999999999</v>
      </c>
      <c r="FK22">
        <v>2.1999999999999999E-2</v>
      </c>
      <c r="FL22">
        <v>30</v>
      </c>
      <c r="FM22">
        <v>17</v>
      </c>
      <c r="FN22">
        <v>0.35</v>
      </c>
      <c r="FO22">
        <v>0.01</v>
      </c>
      <c r="FP22">
        <v>5.5871123874504303</v>
      </c>
      <c r="FQ22">
        <v>-0.58214956062118262</v>
      </c>
      <c r="FR22">
        <v>7.1242381857812384E-2</v>
      </c>
      <c r="FS22">
        <v>1</v>
      </c>
      <c r="FT22">
        <v>0.64843918147341484</v>
      </c>
      <c r="FU22">
        <v>-2.706888825052815E-2</v>
      </c>
      <c r="FV22">
        <v>3.097370480446361E-3</v>
      </c>
      <c r="FW22">
        <v>1</v>
      </c>
      <c r="FX22">
        <v>2</v>
      </c>
      <c r="FY22">
        <v>2</v>
      </c>
      <c r="FZ22" t="s">
        <v>420</v>
      </c>
      <c r="GA22">
        <v>2.9331100000000001</v>
      </c>
      <c r="GB22">
        <v>2.8335499999999998</v>
      </c>
      <c r="GC22">
        <v>6.2988499999999999E-3</v>
      </c>
      <c r="GD22">
        <v>8.1296900000000002E-3</v>
      </c>
      <c r="GE22">
        <v>0.122225</v>
      </c>
      <c r="GF22">
        <v>8.8686000000000001E-2</v>
      </c>
      <c r="GG22">
        <v>25778</v>
      </c>
      <c r="GH22">
        <v>32299.1</v>
      </c>
      <c r="GI22">
        <v>23342.3</v>
      </c>
      <c r="GJ22">
        <v>29837.200000000001</v>
      </c>
      <c r="GK22">
        <v>27886.400000000001</v>
      </c>
      <c r="GL22">
        <v>38672.699999999997</v>
      </c>
      <c r="GM22">
        <v>32960.800000000003</v>
      </c>
      <c r="GN22">
        <v>44272.7</v>
      </c>
      <c r="GO22">
        <v>1.9883999999999999</v>
      </c>
      <c r="GP22">
        <v>1.8205</v>
      </c>
      <c r="GQ22">
        <v>6.0625400000000003E-2</v>
      </c>
      <c r="GR22">
        <v>0</v>
      </c>
      <c r="GS22">
        <v>26.4878</v>
      </c>
      <c r="GT22">
        <v>999.9</v>
      </c>
      <c r="GU22">
        <v>42.8</v>
      </c>
      <c r="GV22">
        <v>36.700000000000003</v>
      </c>
      <c r="GW22">
        <v>26.7911</v>
      </c>
      <c r="GX22">
        <v>61.210799999999999</v>
      </c>
      <c r="GY22">
        <v>36.738799999999998</v>
      </c>
      <c r="GZ22">
        <v>1</v>
      </c>
      <c r="HA22">
        <v>0.35117900000000002</v>
      </c>
      <c r="HB22">
        <v>2.0156200000000002</v>
      </c>
      <c r="HC22">
        <v>20.2654</v>
      </c>
      <c r="HD22">
        <v>5.2069599999999996</v>
      </c>
      <c r="HE22">
        <v>11.872199999999999</v>
      </c>
      <c r="HF22">
        <v>4.9828000000000001</v>
      </c>
      <c r="HG22">
        <v>3.2832499999999998</v>
      </c>
      <c r="HH22">
        <v>9999</v>
      </c>
      <c r="HI22">
        <v>9999</v>
      </c>
      <c r="HJ22">
        <v>9999</v>
      </c>
      <c r="HK22">
        <v>999.9</v>
      </c>
      <c r="HL22">
        <v>1.8549100000000001</v>
      </c>
      <c r="HM22">
        <v>1.8609599999999999</v>
      </c>
      <c r="HN22">
        <v>1.8583700000000001</v>
      </c>
      <c r="HO22">
        <v>1.8595900000000001</v>
      </c>
      <c r="HP22">
        <v>1.8589199999999999</v>
      </c>
      <c r="HQ22">
        <v>1.85944</v>
      </c>
      <c r="HR22">
        <v>1.8577900000000001</v>
      </c>
      <c r="HS22">
        <v>1.86111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0.48199999999999998</v>
      </c>
      <c r="IH22">
        <v>9.5500000000000002E-2</v>
      </c>
      <c r="II22">
        <v>0.44576284019067353</v>
      </c>
      <c r="IJ22">
        <v>1.6187016317407189E-3</v>
      </c>
      <c r="IK22">
        <v>1.4341569744255341E-7</v>
      </c>
      <c r="IL22">
        <v>-2.4096625942085749E-10</v>
      </c>
      <c r="IM22">
        <v>9.5481618389980177E-2</v>
      </c>
      <c r="IN22">
        <v>0</v>
      </c>
      <c r="IO22">
        <v>0</v>
      </c>
      <c r="IP22">
        <v>0</v>
      </c>
      <c r="IQ22">
        <v>4</v>
      </c>
      <c r="IR22">
        <v>2205</v>
      </c>
      <c r="IS22">
        <v>1</v>
      </c>
      <c r="IT22">
        <v>21</v>
      </c>
      <c r="IU22">
        <v>0.8</v>
      </c>
      <c r="IV22">
        <v>0.7</v>
      </c>
      <c r="IW22">
        <v>0.19409199999999999</v>
      </c>
      <c r="IX22">
        <v>2.5134300000000001</v>
      </c>
      <c r="IY22">
        <v>1.49414</v>
      </c>
      <c r="IZ22">
        <v>2.3059099999999999</v>
      </c>
      <c r="JA22">
        <v>1.69434</v>
      </c>
      <c r="JB22">
        <v>2.4279799999999998</v>
      </c>
      <c r="JC22">
        <v>41.3521</v>
      </c>
      <c r="JD22">
        <v>23.5534</v>
      </c>
      <c r="JE22">
        <v>18</v>
      </c>
      <c r="JF22">
        <v>525.20699999999999</v>
      </c>
      <c r="JG22">
        <v>437.94799999999998</v>
      </c>
      <c r="JH22">
        <v>24.781099999999999</v>
      </c>
      <c r="JI22">
        <v>31.7486</v>
      </c>
      <c r="JJ22">
        <v>29.9999</v>
      </c>
      <c r="JK22">
        <v>31.7043</v>
      </c>
      <c r="JL22">
        <v>31.675599999999999</v>
      </c>
      <c r="JM22">
        <v>3.9482599999999999</v>
      </c>
      <c r="JN22">
        <v>42.531399999999998</v>
      </c>
      <c r="JO22">
        <v>0</v>
      </c>
      <c r="JP22">
        <v>24.782699999999998</v>
      </c>
      <c r="JQ22">
        <v>30</v>
      </c>
      <c r="JR22">
        <v>16.565999999999999</v>
      </c>
      <c r="JS22">
        <v>99.2744</v>
      </c>
      <c r="JT22">
        <v>99.420299999999997</v>
      </c>
    </row>
    <row r="23" spans="1:280" x14ac:dyDescent="0.25">
      <c r="A23">
        <v>7</v>
      </c>
      <c r="B23">
        <v>1674758830.0999999</v>
      </c>
      <c r="C23">
        <v>773</v>
      </c>
      <c r="D23" t="s">
        <v>449</v>
      </c>
      <c r="E23" t="s">
        <v>450</v>
      </c>
      <c r="F23" t="s">
        <v>412</v>
      </c>
      <c r="G23" t="s">
        <v>413</v>
      </c>
      <c r="H23" t="s">
        <v>414</v>
      </c>
      <c r="I23">
        <v>1674758830.0999999</v>
      </c>
      <c r="J23">
        <f t="shared" si="0"/>
        <v>7.2904515372196332E-3</v>
      </c>
      <c r="K23">
        <f t="shared" si="1"/>
        <v>7.2904515372196332</v>
      </c>
      <c r="L23">
        <f t="shared" si="2"/>
        <v>1.6540360903283258</v>
      </c>
      <c r="M23">
        <f t="shared" si="3"/>
        <v>8.0278100000000006</v>
      </c>
      <c r="N23">
        <f t="shared" si="4"/>
        <v>3.477332882544486</v>
      </c>
      <c r="O23">
        <f t="shared" si="5"/>
        <v>0.34489011448329404</v>
      </c>
      <c r="P23">
        <f t="shared" si="6"/>
        <v>0.79621721689301406</v>
      </c>
      <c r="Q23">
        <f t="shared" si="7"/>
        <v>0.6599635381010468</v>
      </c>
      <c r="R23">
        <f t="shared" si="8"/>
        <v>2.9184366068426204</v>
      </c>
      <c r="S23">
        <f t="shared" si="9"/>
        <v>0.58690357312714803</v>
      </c>
      <c r="T23">
        <f t="shared" si="10"/>
        <v>0.37270266169004518</v>
      </c>
      <c r="U23">
        <f t="shared" si="11"/>
        <v>344.36560126369471</v>
      </c>
      <c r="V23">
        <f t="shared" si="12"/>
        <v>28.139274042317169</v>
      </c>
      <c r="W23">
        <f t="shared" si="13"/>
        <v>27.456700000000001</v>
      </c>
      <c r="X23">
        <f t="shared" si="14"/>
        <v>3.6762953064293167</v>
      </c>
      <c r="Y23">
        <f t="shared" si="15"/>
        <v>65.402541308095834</v>
      </c>
      <c r="Z23">
        <f t="shared" si="16"/>
        <v>2.4825148696081203</v>
      </c>
      <c r="AA23">
        <f t="shared" si="17"/>
        <v>3.7957468012039208</v>
      </c>
      <c r="AB23">
        <f t="shared" si="18"/>
        <v>1.1937804368211964</v>
      </c>
      <c r="AC23">
        <f t="shared" si="19"/>
        <v>-321.50891279138585</v>
      </c>
      <c r="AD23">
        <f t="shared" si="20"/>
        <v>86.127234130149532</v>
      </c>
      <c r="AE23">
        <f t="shared" si="21"/>
        <v>6.4155486080921404</v>
      </c>
      <c r="AF23">
        <f t="shared" si="22"/>
        <v>115.39947121055053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52361.430624422661</v>
      </c>
      <c r="AL23" t="s">
        <v>415</v>
      </c>
      <c r="AM23">
        <v>10214.9</v>
      </c>
      <c r="AN23">
        <v>729.4384</v>
      </c>
      <c r="AO23">
        <v>3170.19</v>
      </c>
      <c r="AP23">
        <f t="shared" si="26"/>
        <v>0.76990704027203416</v>
      </c>
      <c r="AQ23">
        <v>-0.45549566560547827</v>
      </c>
      <c r="AR23" t="s">
        <v>451</v>
      </c>
      <c r="AS23">
        <v>10118.1</v>
      </c>
      <c r="AT23">
        <v>801.22669230769236</v>
      </c>
      <c r="AU23">
        <v>863.12049381840075</v>
      </c>
      <c r="AV23">
        <f t="shared" si="27"/>
        <v>7.1709340647090225E-2</v>
      </c>
      <c r="AW23">
        <v>0.5</v>
      </c>
      <c r="AX23">
        <f t="shared" si="28"/>
        <v>1513.1679006318473</v>
      </c>
      <c r="AY23">
        <f t="shared" si="29"/>
        <v>1.6540360903283258</v>
      </c>
      <c r="AZ23">
        <f t="shared" si="30"/>
        <v>54.254136221325751</v>
      </c>
      <c r="BA23">
        <f t="shared" si="31"/>
        <v>1.3941161156359025E-3</v>
      </c>
      <c r="BB23">
        <f t="shared" si="32"/>
        <v>2.6729402472825576</v>
      </c>
      <c r="BC23">
        <f t="shared" si="33"/>
        <v>451.65772711889588</v>
      </c>
      <c r="BD23" t="s">
        <v>452</v>
      </c>
      <c r="BE23">
        <v>588.29</v>
      </c>
      <c r="BF23">
        <f t="shared" si="34"/>
        <v>588.29</v>
      </c>
      <c r="BG23">
        <f t="shared" si="35"/>
        <v>0.31841497888963888</v>
      </c>
      <c r="BH23">
        <f t="shared" si="36"/>
        <v>0.22520718371086521</v>
      </c>
      <c r="BI23">
        <f t="shared" si="37"/>
        <v>0.89355494255455259</v>
      </c>
      <c r="BJ23">
        <f t="shared" si="38"/>
        <v>0.4629924602676217</v>
      </c>
      <c r="BK23">
        <f t="shared" si="39"/>
        <v>0.94522912785618962</v>
      </c>
      <c r="BL23">
        <f t="shared" si="40"/>
        <v>0.1653553674349959</v>
      </c>
      <c r="BM23">
        <f t="shared" si="41"/>
        <v>0.8346446325650041</v>
      </c>
      <c r="BN23">
        <v>9294</v>
      </c>
      <c r="BO23">
        <v>290.00000000000011</v>
      </c>
      <c r="BP23">
        <v>843.55</v>
      </c>
      <c r="BQ23">
        <v>105</v>
      </c>
      <c r="BR23">
        <v>10118.1</v>
      </c>
      <c r="BS23">
        <v>841.22</v>
      </c>
      <c r="BT23">
        <v>2.33</v>
      </c>
      <c r="BU23">
        <v>300.00000000000011</v>
      </c>
      <c r="BV23">
        <v>24.2</v>
      </c>
      <c r="BW23">
        <v>863.12049381840075</v>
      </c>
      <c r="BX23">
        <v>1.85148974589652</v>
      </c>
      <c r="BY23">
        <v>-22.164094859900992</v>
      </c>
      <c r="BZ23">
        <v>1.664235334208817</v>
      </c>
      <c r="CA23">
        <v>0.8636580955273534</v>
      </c>
      <c r="CB23">
        <v>-6.9001862068965546E-3</v>
      </c>
      <c r="CC23">
        <v>289.99999999999989</v>
      </c>
      <c r="CD23">
        <v>838.03</v>
      </c>
      <c r="CE23">
        <v>655</v>
      </c>
      <c r="CF23">
        <v>10076</v>
      </c>
      <c r="CG23">
        <v>841.12</v>
      </c>
      <c r="CH23">
        <v>-3.09</v>
      </c>
      <c r="CV23">
        <f t="shared" si="42"/>
        <v>1799.98</v>
      </c>
      <c r="CW23">
        <f t="shared" si="43"/>
        <v>1513.1679006318473</v>
      </c>
      <c r="CX23">
        <f t="shared" si="44"/>
        <v>0.84065817433074108</v>
      </c>
      <c r="CY23">
        <f t="shared" si="45"/>
        <v>0.1913163486614822</v>
      </c>
      <c r="CZ23">
        <v>6</v>
      </c>
      <c r="DA23">
        <v>0.5</v>
      </c>
      <c r="DB23" t="s">
        <v>418</v>
      </c>
      <c r="DC23">
        <v>2</v>
      </c>
      <c r="DD23">
        <v>1674758830.0999999</v>
      </c>
      <c r="DE23">
        <v>8.0278100000000006</v>
      </c>
      <c r="DF23">
        <v>10.082700000000001</v>
      </c>
      <c r="DG23">
        <v>25.029800000000002</v>
      </c>
      <c r="DH23">
        <v>16.501000000000001</v>
      </c>
      <c r="DI23">
        <v>7.6144699999999998</v>
      </c>
      <c r="DJ23">
        <v>24.9313</v>
      </c>
      <c r="DK23">
        <v>500.04500000000002</v>
      </c>
      <c r="DL23">
        <v>99.082499999999996</v>
      </c>
      <c r="DM23">
        <v>9.9869399999999997E-2</v>
      </c>
      <c r="DN23">
        <v>28.004100000000001</v>
      </c>
      <c r="DO23">
        <v>27.456700000000001</v>
      </c>
      <c r="DP23">
        <v>999.9</v>
      </c>
      <c r="DQ23">
        <v>0</v>
      </c>
      <c r="DR23">
        <v>0</v>
      </c>
      <c r="DS23">
        <v>10028.799999999999</v>
      </c>
      <c r="DT23">
        <v>0</v>
      </c>
      <c r="DU23">
        <v>264.30399999999997</v>
      </c>
      <c r="DV23">
        <v>-2.05491</v>
      </c>
      <c r="DW23">
        <v>8.2339099999999998</v>
      </c>
      <c r="DX23">
        <v>10.251899999999999</v>
      </c>
      <c r="DY23">
        <v>8.52881</v>
      </c>
      <c r="DZ23">
        <v>10.082700000000001</v>
      </c>
      <c r="EA23">
        <v>16.501000000000001</v>
      </c>
      <c r="EB23">
        <v>2.4800200000000001</v>
      </c>
      <c r="EC23">
        <v>1.63496</v>
      </c>
      <c r="ED23">
        <v>20.895900000000001</v>
      </c>
      <c r="EE23">
        <v>14.292299999999999</v>
      </c>
      <c r="EF23">
        <v>1799.98</v>
      </c>
      <c r="EG23">
        <v>0.97799999999999998</v>
      </c>
      <c r="EH23">
        <v>2.19998E-2</v>
      </c>
      <c r="EI23">
        <v>0</v>
      </c>
      <c r="EJ23">
        <v>801.255</v>
      </c>
      <c r="EK23">
        <v>4.9990399999999999</v>
      </c>
      <c r="EL23">
        <v>15020.6</v>
      </c>
      <c r="EM23">
        <v>14820.5</v>
      </c>
      <c r="EN23">
        <v>49</v>
      </c>
      <c r="EO23">
        <v>50.5</v>
      </c>
      <c r="EP23">
        <v>50</v>
      </c>
      <c r="EQ23">
        <v>48.936999999999998</v>
      </c>
      <c r="ER23">
        <v>49.811999999999998</v>
      </c>
      <c r="ES23">
        <v>1755.49</v>
      </c>
      <c r="ET23">
        <v>39.49</v>
      </c>
      <c r="EU23">
        <v>0</v>
      </c>
      <c r="EV23">
        <v>126.5999999046326</v>
      </c>
      <c r="EW23">
        <v>0</v>
      </c>
      <c r="EX23">
        <v>801.22669230769236</v>
      </c>
      <c r="EY23">
        <v>0.33388033799047279</v>
      </c>
      <c r="EZ23">
        <v>-29.018803417832</v>
      </c>
      <c r="FA23">
        <v>15023.992307692301</v>
      </c>
      <c r="FB23">
        <v>15</v>
      </c>
      <c r="FC23">
        <v>1674758787.0999999</v>
      </c>
      <c r="FD23" t="s">
        <v>453</v>
      </c>
      <c r="FE23">
        <v>1674758770.0999999</v>
      </c>
      <c r="FF23">
        <v>1674758787.0999999</v>
      </c>
      <c r="FG23">
        <v>11</v>
      </c>
      <c r="FH23">
        <v>-4.4999999999999998E-2</v>
      </c>
      <c r="FI23">
        <v>3.0000000000000001E-3</v>
      </c>
      <c r="FJ23">
        <v>0.41599999999999998</v>
      </c>
      <c r="FK23">
        <v>2.4E-2</v>
      </c>
      <c r="FL23">
        <v>10</v>
      </c>
      <c r="FM23">
        <v>17</v>
      </c>
      <c r="FN23">
        <v>0.26</v>
      </c>
      <c r="FO23">
        <v>0.02</v>
      </c>
      <c r="FP23">
        <v>1.709352189552251</v>
      </c>
      <c r="FQ23">
        <v>-0.58881119003607585</v>
      </c>
      <c r="FR23">
        <v>6.6913433062637084E-2</v>
      </c>
      <c r="FS23">
        <v>1</v>
      </c>
      <c r="FT23">
        <v>0.66599354540549627</v>
      </c>
      <c r="FU23">
        <v>-4.3247130944494068E-2</v>
      </c>
      <c r="FV23">
        <v>4.3978879867642394E-3</v>
      </c>
      <c r="FW23">
        <v>1</v>
      </c>
      <c r="FX23">
        <v>2</v>
      </c>
      <c r="FY23">
        <v>2</v>
      </c>
      <c r="FZ23" t="s">
        <v>420</v>
      </c>
      <c r="GA23">
        <v>2.9331299999999998</v>
      </c>
      <c r="GB23">
        <v>2.83358</v>
      </c>
      <c r="GC23">
        <v>2.1266800000000002E-3</v>
      </c>
      <c r="GD23">
        <v>2.7437999999999998E-3</v>
      </c>
      <c r="GE23">
        <v>0.122193</v>
      </c>
      <c r="GF23">
        <v>8.8031499999999999E-2</v>
      </c>
      <c r="GG23">
        <v>25888.6</v>
      </c>
      <c r="GH23">
        <v>32476.799999999999</v>
      </c>
      <c r="GI23">
        <v>23344.400000000001</v>
      </c>
      <c r="GJ23">
        <v>29839.4</v>
      </c>
      <c r="GK23">
        <v>27889.9</v>
      </c>
      <c r="GL23">
        <v>38702.9</v>
      </c>
      <c r="GM23">
        <v>32963.9</v>
      </c>
      <c r="GN23">
        <v>44275.3</v>
      </c>
      <c r="GO23">
        <v>1.98905</v>
      </c>
      <c r="GP23">
        <v>1.8207800000000001</v>
      </c>
      <c r="GQ23">
        <v>5.7872399999999997E-2</v>
      </c>
      <c r="GR23">
        <v>0</v>
      </c>
      <c r="GS23">
        <v>26.510200000000001</v>
      </c>
      <c r="GT23">
        <v>999.9</v>
      </c>
      <c r="GU23">
        <v>42.7</v>
      </c>
      <c r="GV23">
        <v>36.700000000000003</v>
      </c>
      <c r="GW23">
        <v>26.7286</v>
      </c>
      <c r="GX23">
        <v>61.030799999999999</v>
      </c>
      <c r="GY23">
        <v>36.875</v>
      </c>
      <c r="GZ23">
        <v>1</v>
      </c>
      <c r="HA23">
        <v>0.34949400000000003</v>
      </c>
      <c r="HB23">
        <v>2.19543</v>
      </c>
      <c r="HC23">
        <v>20.2636</v>
      </c>
      <c r="HD23">
        <v>5.2107000000000001</v>
      </c>
      <c r="HE23">
        <v>11.872199999999999</v>
      </c>
      <c r="HF23">
        <v>4.9850500000000002</v>
      </c>
      <c r="HG23">
        <v>3.2839999999999998</v>
      </c>
      <c r="HH23">
        <v>9999</v>
      </c>
      <c r="HI23">
        <v>9999</v>
      </c>
      <c r="HJ23">
        <v>9999</v>
      </c>
      <c r="HK23">
        <v>999.9</v>
      </c>
      <c r="HL23">
        <v>1.8549500000000001</v>
      </c>
      <c r="HM23">
        <v>1.8609599999999999</v>
      </c>
      <c r="HN23">
        <v>1.8583700000000001</v>
      </c>
      <c r="HO23">
        <v>1.8595900000000001</v>
      </c>
      <c r="HP23">
        <v>1.8589500000000001</v>
      </c>
      <c r="HQ23">
        <v>1.8594599999999999</v>
      </c>
      <c r="HR23">
        <v>1.8578399999999999</v>
      </c>
      <c r="HS23">
        <v>1.8611200000000001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0.41299999999999998</v>
      </c>
      <c r="IH23">
        <v>9.8500000000000004E-2</v>
      </c>
      <c r="II23">
        <v>0.40100976977566921</v>
      </c>
      <c r="IJ23">
        <v>1.6187016317407189E-3</v>
      </c>
      <c r="IK23">
        <v>1.4341569744255341E-7</v>
      </c>
      <c r="IL23">
        <v>-2.4096625942085749E-10</v>
      </c>
      <c r="IM23">
        <v>9.8504728555634025E-2</v>
      </c>
      <c r="IN23">
        <v>0</v>
      </c>
      <c r="IO23">
        <v>0</v>
      </c>
      <c r="IP23">
        <v>0</v>
      </c>
      <c r="IQ23">
        <v>4</v>
      </c>
      <c r="IR23">
        <v>2205</v>
      </c>
      <c r="IS23">
        <v>1</v>
      </c>
      <c r="IT23">
        <v>21</v>
      </c>
      <c r="IU23">
        <v>1</v>
      </c>
      <c r="IV23">
        <v>0.7</v>
      </c>
      <c r="IW23">
        <v>0.146484</v>
      </c>
      <c r="IX23">
        <v>2.5354000000000001</v>
      </c>
      <c r="IY23">
        <v>1.49414</v>
      </c>
      <c r="IZ23">
        <v>2.3059099999999999</v>
      </c>
      <c r="JA23">
        <v>1.69434</v>
      </c>
      <c r="JB23">
        <v>2.4121100000000002</v>
      </c>
      <c r="JC23">
        <v>41.378100000000003</v>
      </c>
      <c r="JD23">
        <v>23.5534</v>
      </c>
      <c r="JE23">
        <v>18</v>
      </c>
      <c r="JF23">
        <v>525.41999999999996</v>
      </c>
      <c r="JG23">
        <v>437.95699999999999</v>
      </c>
      <c r="JH23">
        <v>24.674499999999998</v>
      </c>
      <c r="JI23">
        <v>31.718399999999999</v>
      </c>
      <c r="JJ23">
        <v>30</v>
      </c>
      <c r="JK23">
        <v>31.678799999999999</v>
      </c>
      <c r="JL23">
        <v>31.653199999999998</v>
      </c>
      <c r="JM23">
        <v>3.0030199999999998</v>
      </c>
      <c r="JN23">
        <v>42.927</v>
      </c>
      <c r="JO23">
        <v>0</v>
      </c>
      <c r="JP23">
        <v>24.671700000000001</v>
      </c>
      <c r="JQ23">
        <v>10</v>
      </c>
      <c r="JR23">
        <v>16.418900000000001</v>
      </c>
      <c r="JS23">
        <v>99.283600000000007</v>
      </c>
      <c r="JT23">
        <v>99.426699999999997</v>
      </c>
    </row>
    <row r="24" spans="1:280" x14ac:dyDescent="0.25">
      <c r="A24">
        <v>8</v>
      </c>
      <c r="B24">
        <v>1674759019.5999999</v>
      </c>
      <c r="C24">
        <v>962.5</v>
      </c>
      <c r="D24" t="s">
        <v>454</v>
      </c>
      <c r="E24" t="s">
        <v>455</v>
      </c>
      <c r="F24" t="s">
        <v>412</v>
      </c>
      <c r="G24" t="s">
        <v>413</v>
      </c>
      <c r="H24" t="s">
        <v>414</v>
      </c>
      <c r="I24">
        <v>1674759019.5999999</v>
      </c>
      <c r="J24">
        <f t="shared" si="0"/>
        <v>6.9891052206239243E-3</v>
      </c>
      <c r="K24">
        <f t="shared" si="1"/>
        <v>6.9891052206239239</v>
      </c>
      <c r="L24">
        <f t="shared" si="2"/>
        <v>46.047140628647817</v>
      </c>
      <c r="M24">
        <f t="shared" si="3"/>
        <v>341.904</v>
      </c>
      <c r="N24">
        <f t="shared" si="4"/>
        <v>205.72844771121507</v>
      </c>
      <c r="O24">
        <f t="shared" si="5"/>
        <v>20.405630602096398</v>
      </c>
      <c r="P24">
        <f t="shared" si="6"/>
        <v>33.912503608507201</v>
      </c>
      <c r="Q24">
        <f t="shared" si="7"/>
        <v>0.62004694931368187</v>
      </c>
      <c r="R24">
        <f t="shared" si="8"/>
        <v>2.9182980041012856</v>
      </c>
      <c r="S24">
        <f t="shared" si="9"/>
        <v>0.5550904363372765</v>
      </c>
      <c r="T24">
        <f t="shared" si="10"/>
        <v>0.35219883615069802</v>
      </c>
      <c r="U24">
        <f t="shared" si="11"/>
        <v>344.35800126372283</v>
      </c>
      <c r="V24">
        <f t="shared" si="12"/>
        <v>28.215032064727563</v>
      </c>
      <c r="W24">
        <f t="shared" si="13"/>
        <v>27.4299</v>
      </c>
      <c r="X24">
        <f t="shared" si="14"/>
        <v>3.6705323258605924</v>
      </c>
      <c r="Y24">
        <f t="shared" si="15"/>
        <v>64.827056174441296</v>
      </c>
      <c r="Z24">
        <f t="shared" si="16"/>
        <v>2.4602692956399901</v>
      </c>
      <c r="AA24">
        <f t="shared" si="17"/>
        <v>3.7951272829969649</v>
      </c>
      <c r="AB24">
        <f t="shared" si="18"/>
        <v>1.2102630302206023</v>
      </c>
      <c r="AC24">
        <f t="shared" si="19"/>
        <v>-308.21954022951508</v>
      </c>
      <c r="AD24">
        <f t="shared" si="20"/>
        <v>89.899094533147903</v>
      </c>
      <c r="AE24">
        <f t="shared" si="21"/>
        <v>6.6958413343205487</v>
      </c>
      <c r="AF24">
        <f t="shared" si="22"/>
        <v>132.7333969016762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52358.054213922842</v>
      </c>
      <c r="AL24" t="s">
        <v>415</v>
      </c>
      <c r="AM24">
        <v>10214.9</v>
      </c>
      <c r="AN24">
        <v>729.4384</v>
      </c>
      <c r="AO24">
        <v>3170.19</v>
      </c>
      <c r="AP24">
        <f t="shared" si="26"/>
        <v>0.76990704027203416</v>
      </c>
      <c r="AQ24">
        <v>-0.45549566560547827</v>
      </c>
      <c r="AR24" t="s">
        <v>456</v>
      </c>
      <c r="AS24">
        <v>10093.6</v>
      </c>
      <c r="AT24">
        <v>713.61976923076929</v>
      </c>
      <c r="AU24">
        <v>984.79693050049013</v>
      </c>
      <c r="AV24">
        <f t="shared" si="27"/>
        <v>0.27536353218719323</v>
      </c>
      <c r="AW24">
        <v>0.5</v>
      </c>
      <c r="AX24">
        <f t="shared" si="28"/>
        <v>1513.1343006318612</v>
      </c>
      <c r="AY24">
        <f t="shared" si="29"/>
        <v>46.047140628647817</v>
      </c>
      <c r="AZ24">
        <f t="shared" si="30"/>
        <v>208.3310028477938</v>
      </c>
      <c r="BA24">
        <f t="shared" si="31"/>
        <v>3.0732656232057207E-2</v>
      </c>
      <c r="BB24">
        <f t="shared" si="32"/>
        <v>2.2191306672623936</v>
      </c>
      <c r="BC24">
        <f t="shared" si="33"/>
        <v>482.87788758317856</v>
      </c>
      <c r="BD24" t="s">
        <v>457</v>
      </c>
      <c r="BE24">
        <v>555.48</v>
      </c>
      <c r="BF24">
        <f t="shared" si="34"/>
        <v>555.48</v>
      </c>
      <c r="BG24">
        <f t="shared" si="35"/>
        <v>0.43594462696213332</v>
      </c>
      <c r="BH24">
        <f t="shared" si="36"/>
        <v>0.63164795516819539</v>
      </c>
      <c r="BI24">
        <f t="shared" si="37"/>
        <v>0.83580705680534728</v>
      </c>
      <c r="BJ24">
        <f t="shared" si="38"/>
        <v>1.0619467489033045</v>
      </c>
      <c r="BK24">
        <f t="shared" si="39"/>
        <v>0.89537709183495351</v>
      </c>
      <c r="BL24">
        <f t="shared" si="40"/>
        <v>0.49167332698061239</v>
      </c>
      <c r="BM24">
        <f t="shared" si="41"/>
        <v>0.50832667301938761</v>
      </c>
      <c r="BN24">
        <v>9296</v>
      </c>
      <c r="BO24">
        <v>290.00000000000011</v>
      </c>
      <c r="BP24">
        <v>919.62</v>
      </c>
      <c r="BQ24">
        <v>295</v>
      </c>
      <c r="BR24">
        <v>10093.6</v>
      </c>
      <c r="BS24">
        <v>922.08</v>
      </c>
      <c r="BT24">
        <v>-2.46</v>
      </c>
      <c r="BU24">
        <v>300.00000000000011</v>
      </c>
      <c r="BV24">
        <v>24.2</v>
      </c>
      <c r="BW24">
        <v>984.79693050049013</v>
      </c>
      <c r="BX24">
        <v>2.6723797274256791</v>
      </c>
      <c r="BY24">
        <v>-63.305747008464962</v>
      </c>
      <c r="BZ24">
        <v>2.4023505514799308</v>
      </c>
      <c r="CA24">
        <v>0.96124063636758017</v>
      </c>
      <c r="CB24">
        <v>-6.90124048943271E-3</v>
      </c>
      <c r="CC24">
        <v>289.99999999999989</v>
      </c>
      <c r="CD24">
        <v>920.88</v>
      </c>
      <c r="CE24">
        <v>625</v>
      </c>
      <c r="CF24">
        <v>10079</v>
      </c>
      <c r="CG24">
        <v>921.99</v>
      </c>
      <c r="CH24">
        <v>-1.1100000000000001</v>
      </c>
      <c r="CV24">
        <f t="shared" si="42"/>
        <v>1799.94</v>
      </c>
      <c r="CW24">
        <f t="shared" si="43"/>
        <v>1513.1343006318612</v>
      </c>
      <c r="CX24">
        <f t="shared" si="44"/>
        <v>0.84065818895733257</v>
      </c>
      <c r="CY24">
        <f t="shared" si="45"/>
        <v>0.19131637791466538</v>
      </c>
      <c r="CZ24">
        <v>6</v>
      </c>
      <c r="DA24">
        <v>0.5</v>
      </c>
      <c r="DB24" t="s">
        <v>418</v>
      </c>
      <c r="DC24">
        <v>2</v>
      </c>
      <c r="DD24">
        <v>1674759019.5999999</v>
      </c>
      <c r="DE24">
        <v>341.904</v>
      </c>
      <c r="DF24">
        <v>400.02600000000001</v>
      </c>
      <c r="DG24">
        <v>24.804300000000001</v>
      </c>
      <c r="DH24">
        <v>16.625699999999998</v>
      </c>
      <c r="DI24">
        <v>340.97300000000001</v>
      </c>
      <c r="DJ24">
        <v>24.705200000000001</v>
      </c>
      <c r="DK24">
        <v>500.01799999999997</v>
      </c>
      <c r="DL24">
        <v>99.087500000000006</v>
      </c>
      <c r="DM24">
        <v>9.9709300000000001E-2</v>
      </c>
      <c r="DN24">
        <v>28.001300000000001</v>
      </c>
      <c r="DO24">
        <v>27.4299</v>
      </c>
      <c r="DP24">
        <v>999.9</v>
      </c>
      <c r="DQ24">
        <v>0</v>
      </c>
      <c r="DR24">
        <v>0</v>
      </c>
      <c r="DS24">
        <v>10027.5</v>
      </c>
      <c r="DT24">
        <v>0</v>
      </c>
      <c r="DU24">
        <v>254.988</v>
      </c>
      <c r="DV24">
        <v>-58.121600000000001</v>
      </c>
      <c r="DW24">
        <v>350.601</v>
      </c>
      <c r="DX24">
        <v>406.78899999999999</v>
      </c>
      <c r="DY24">
        <v>8.1786100000000008</v>
      </c>
      <c r="DZ24">
        <v>400.02600000000001</v>
      </c>
      <c r="EA24">
        <v>16.625699999999998</v>
      </c>
      <c r="EB24">
        <v>2.4578000000000002</v>
      </c>
      <c r="EC24">
        <v>1.6474</v>
      </c>
      <c r="ED24">
        <v>20.749700000000001</v>
      </c>
      <c r="EE24">
        <v>14.4095</v>
      </c>
      <c r="EF24">
        <v>1799.94</v>
      </c>
      <c r="EG24">
        <v>0.97799999999999998</v>
      </c>
      <c r="EH24">
        <v>2.1999600000000001E-2</v>
      </c>
      <c r="EI24">
        <v>0</v>
      </c>
      <c r="EJ24">
        <v>713.10900000000004</v>
      </c>
      <c r="EK24">
        <v>4.9990399999999999</v>
      </c>
      <c r="EL24">
        <v>13411.1</v>
      </c>
      <c r="EM24">
        <v>14820.2</v>
      </c>
      <c r="EN24">
        <v>49.061999999999998</v>
      </c>
      <c r="EO24">
        <v>50.561999999999998</v>
      </c>
      <c r="EP24">
        <v>50.061999999999998</v>
      </c>
      <c r="EQ24">
        <v>49</v>
      </c>
      <c r="ER24">
        <v>49.875</v>
      </c>
      <c r="ES24">
        <v>1755.45</v>
      </c>
      <c r="ET24">
        <v>39.49</v>
      </c>
      <c r="EU24">
        <v>0</v>
      </c>
      <c r="EV24">
        <v>187.39999985694891</v>
      </c>
      <c r="EW24">
        <v>0</v>
      </c>
      <c r="EX24">
        <v>713.61976923076929</v>
      </c>
      <c r="EY24">
        <v>-7.0380170941106366</v>
      </c>
      <c r="EZ24">
        <v>-122.683760821094</v>
      </c>
      <c r="FA24">
        <v>13426.403846153849</v>
      </c>
      <c r="FB24">
        <v>15</v>
      </c>
      <c r="FC24">
        <v>1674758910.0999999</v>
      </c>
      <c r="FD24" t="s">
        <v>458</v>
      </c>
      <c r="FE24">
        <v>1674758905.5999999</v>
      </c>
      <c r="FF24">
        <v>1674758910.0999999</v>
      </c>
      <c r="FG24">
        <v>12</v>
      </c>
      <c r="FH24">
        <v>-2.8000000000000001E-2</v>
      </c>
      <c r="FI24">
        <v>1E-3</v>
      </c>
      <c r="FJ24">
        <v>1.03</v>
      </c>
      <c r="FK24">
        <v>2.1999999999999999E-2</v>
      </c>
      <c r="FL24">
        <v>402</v>
      </c>
      <c r="FM24">
        <v>16</v>
      </c>
      <c r="FN24">
        <v>0.06</v>
      </c>
      <c r="FO24">
        <v>0.02</v>
      </c>
      <c r="FP24">
        <v>44.991717618442259</v>
      </c>
      <c r="FQ24">
        <v>6.3411876619761838</v>
      </c>
      <c r="FR24">
        <v>0.62832009400579425</v>
      </c>
      <c r="FS24">
        <v>0</v>
      </c>
      <c r="FT24">
        <v>0.62361878532136772</v>
      </c>
      <c r="FU24">
        <v>-1.5606249309648089E-2</v>
      </c>
      <c r="FV24">
        <v>1.714315961056851E-3</v>
      </c>
      <c r="FW24">
        <v>1</v>
      </c>
      <c r="FX24">
        <v>1</v>
      </c>
      <c r="FY24">
        <v>2</v>
      </c>
      <c r="FZ24" t="s">
        <v>459</v>
      </c>
      <c r="GA24">
        <v>2.9330599999999998</v>
      </c>
      <c r="GB24">
        <v>2.8334000000000001</v>
      </c>
      <c r="GC24">
        <v>7.9459600000000005E-2</v>
      </c>
      <c r="GD24">
        <v>8.8169800000000007E-2</v>
      </c>
      <c r="GE24">
        <v>0.121429</v>
      </c>
      <c r="GF24">
        <v>8.8513700000000001E-2</v>
      </c>
      <c r="GG24">
        <v>23884.2</v>
      </c>
      <c r="GH24">
        <v>29696.799999999999</v>
      </c>
      <c r="GI24">
        <v>23344.3</v>
      </c>
      <c r="GJ24">
        <v>29839.1</v>
      </c>
      <c r="GK24">
        <v>27916</v>
      </c>
      <c r="GL24">
        <v>38683.9</v>
      </c>
      <c r="GM24">
        <v>32963.9</v>
      </c>
      <c r="GN24">
        <v>44274.7</v>
      </c>
      <c r="GO24">
        <v>1.98895</v>
      </c>
      <c r="GP24">
        <v>1.8224499999999999</v>
      </c>
      <c r="GQ24">
        <v>5.4046499999999997E-2</v>
      </c>
      <c r="GR24">
        <v>0</v>
      </c>
      <c r="GS24">
        <v>26.545999999999999</v>
      </c>
      <c r="GT24">
        <v>999.9</v>
      </c>
      <c r="GU24">
        <v>42.5</v>
      </c>
      <c r="GV24">
        <v>36.700000000000003</v>
      </c>
      <c r="GW24">
        <v>26.603300000000001</v>
      </c>
      <c r="GX24">
        <v>61.270800000000001</v>
      </c>
      <c r="GY24">
        <v>36.766800000000003</v>
      </c>
      <c r="GZ24">
        <v>1</v>
      </c>
      <c r="HA24">
        <v>0.34968700000000003</v>
      </c>
      <c r="HB24">
        <v>2.17157</v>
      </c>
      <c r="HC24">
        <v>20.2637</v>
      </c>
      <c r="HD24">
        <v>5.2105499999999996</v>
      </c>
      <c r="HE24">
        <v>11.872199999999999</v>
      </c>
      <c r="HF24">
        <v>4.9852999999999996</v>
      </c>
      <c r="HG24">
        <v>3.2839499999999999</v>
      </c>
      <c r="HH24">
        <v>9999</v>
      </c>
      <c r="HI24">
        <v>9999</v>
      </c>
      <c r="HJ24">
        <v>9999</v>
      </c>
      <c r="HK24">
        <v>999.9</v>
      </c>
      <c r="HL24">
        <v>1.8549500000000001</v>
      </c>
      <c r="HM24">
        <v>1.86097</v>
      </c>
      <c r="HN24">
        <v>1.8583799999999999</v>
      </c>
      <c r="HO24">
        <v>1.8595900000000001</v>
      </c>
      <c r="HP24">
        <v>1.8589500000000001</v>
      </c>
      <c r="HQ24">
        <v>1.85945</v>
      </c>
      <c r="HR24">
        <v>1.85781</v>
      </c>
      <c r="HS24">
        <v>1.8611599999999999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0.93100000000000005</v>
      </c>
      <c r="IH24">
        <v>9.9099999999999994E-2</v>
      </c>
      <c r="II24">
        <v>0.37287074375283441</v>
      </c>
      <c r="IJ24">
        <v>1.6187016317407189E-3</v>
      </c>
      <c r="IK24">
        <v>1.4341569744255341E-7</v>
      </c>
      <c r="IL24">
        <v>-2.4096625942085749E-10</v>
      </c>
      <c r="IM24">
        <v>9.9058862900920031E-2</v>
      </c>
      <c r="IN24">
        <v>0</v>
      </c>
      <c r="IO24">
        <v>0</v>
      </c>
      <c r="IP24">
        <v>0</v>
      </c>
      <c r="IQ24">
        <v>4</v>
      </c>
      <c r="IR24">
        <v>2205</v>
      </c>
      <c r="IS24">
        <v>1</v>
      </c>
      <c r="IT24">
        <v>21</v>
      </c>
      <c r="IU24">
        <v>1.9</v>
      </c>
      <c r="IV24">
        <v>1.8</v>
      </c>
      <c r="IW24">
        <v>0.98388699999999996</v>
      </c>
      <c r="IX24">
        <v>2.4645999999999999</v>
      </c>
      <c r="IY24">
        <v>1.49414</v>
      </c>
      <c r="IZ24">
        <v>2.3059099999999999</v>
      </c>
      <c r="JA24">
        <v>1.69434</v>
      </c>
      <c r="JB24">
        <v>2.4352999999999998</v>
      </c>
      <c r="JC24">
        <v>41.378100000000003</v>
      </c>
      <c r="JD24">
        <v>23.544599999999999</v>
      </c>
      <c r="JE24">
        <v>18</v>
      </c>
      <c r="JF24">
        <v>525.27</v>
      </c>
      <c r="JG24">
        <v>439.03800000000001</v>
      </c>
      <c r="JH24">
        <v>24.705300000000001</v>
      </c>
      <c r="JI24">
        <v>31.7212</v>
      </c>
      <c r="JJ24">
        <v>30.0001</v>
      </c>
      <c r="JK24">
        <v>31.6693</v>
      </c>
      <c r="JL24">
        <v>31.645</v>
      </c>
      <c r="JM24">
        <v>19.7667</v>
      </c>
      <c r="JN24">
        <v>42.332000000000001</v>
      </c>
      <c r="JO24">
        <v>0</v>
      </c>
      <c r="JP24">
        <v>24.703099999999999</v>
      </c>
      <c r="JQ24">
        <v>400</v>
      </c>
      <c r="JR24">
        <v>16.6999</v>
      </c>
      <c r="JS24">
        <v>99.283600000000007</v>
      </c>
      <c r="JT24">
        <v>99.425600000000003</v>
      </c>
    </row>
    <row r="25" spans="1:280" x14ac:dyDescent="0.25">
      <c r="A25">
        <v>9</v>
      </c>
      <c r="B25">
        <v>1674759205.5999999</v>
      </c>
      <c r="C25">
        <v>1148.5</v>
      </c>
      <c r="D25" t="s">
        <v>460</v>
      </c>
      <c r="E25" t="s">
        <v>461</v>
      </c>
      <c r="F25" t="s">
        <v>412</v>
      </c>
      <c r="G25" t="s">
        <v>413</v>
      </c>
      <c r="H25" t="s">
        <v>414</v>
      </c>
      <c r="I25">
        <v>1674759205.5999999</v>
      </c>
      <c r="J25">
        <f t="shared" si="0"/>
        <v>6.5781941962286703E-3</v>
      </c>
      <c r="K25">
        <f t="shared" si="1"/>
        <v>6.5781941962286705</v>
      </c>
      <c r="L25">
        <f t="shared" si="2"/>
        <v>55.030721938221745</v>
      </c>
      <c r="M25">
        <f t="shared" si="3"/>
        <v>331.363</v>
      </c>
      <c r="N25">
        <f t="shared" si="4"/>
        <v>160.17563311071066</v>
      </c>
      <c r="O25">
        <f t="shared" si="5"/>
        <v>15.887957357715168</v>
      </c>
      <c r="P25">
        <f t="shared" si="6"/>
        <v>32.868177959912998</v>
      </c>
      <c r="Q25">
        <f t="shared" si="7"/>
        <v>0.57919616622987757</v>
      </c>
      <c r="R25">
        <f t="shared" si="8"/>
        <v>2.9120200042416489</v>
      </c>
      <c r="S25">
        <f t="shared" si="9"/>
        <v>0.52198567442297117</v>
      </c>
      <c r="T25">
        <f t="shared" si="10"/>
        <v>0.3309089990655234</v>
      </c>
      <c r="U25">
        <f t="shared" si="11"/>
        <v>344.37130126367367</v>
      </c>
      <c r="V25">
        <f t="shared" si="12"/>
        <v>28.319228616415902</v>
      </c>
      <c r="W25">
        <f t="shared" si="13"/>
        <v>27.441800000000001</v>
      </c>
      <c r="X25">
        <f t="shared" si="14"/>
        <v>3.6730902873489399</v>
      </c>
      <c r="Y25">
        <f t="shared" si="15"/>
        <v>64.879235977608289</v>
      </c>
      <c r="Z25">
        <f t="shared" si="16"/>
        <v>2.461718540118</v>
      </c>
      <c r="AA25">
        <f t="shared" si="17"/>
        <v>3.794308769245696</v>
      </c>
      <c r="AB25">
        <f t="shared" si="18"/>
        <v>1.21137174723094</v>
      </c>
      <c r="AC25">
        <f t="shared" si="19"/>
        <v>-290.09836405368435</v>
      </c>
      <c r="AD25">
        <f t="shared" si="20"/>
        <v>87.256610728089655</v>
      </c>
      <c r="AE25">
        <f t="shared" si="21"/>
        <v>6.513301811475368</v>
      </c>
      <c r="AF25">
        <f t="shared" si="22"/>
        <v>148.04284974955431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52178.921266609534</v>
      </c>
      <c r="AL25" t="s">
        <v>415</v>
      </c>
      <c r="AM25">
        <v>10214.9</v>
      </c>
      <c r="AN25">
        <v>729.4384</v>
      </c>
      <c r="AO25">
        <v>3170.19</v>
      </c>
      <c r="AP25">
        <f t="shared" si="26"/>
        <v>0.76990704027203416</v>
      </c>
      <c r="AQ25">
        <v>-0.45549566560547827</v>
      </c>
      <c r="AR25" t="s">
        <v>462</v>
      </c>
      <c r="AS25">
        <v>10097.9</v>
      </c>
      <c r="AT25">
        <v>716.17573076923065</v>
      </c>
      <c r="AU25">
        <v>1065.291730318381</v>
      </c>
      <c r="AV25">
        <f t="shared" si="27"/>
        <v>0.3277186798819991</v>
      </c>
      <c r="AW25">
        <v>0.5</v>
      </c>
      <c r="AX25">
        <f t="shared" si="28"/>
        <v>1513.1931006318368</v>
      </c>
      <c r="AY25">
        <f t="shared" si="29"/>
        <v>55.030721938221745</v>
      </c>
      <c r="AZ25">
        <f t="shared" si="30"/>
        <v>247.95082267280731</v>
      </c>
      <c r="BA25">
        <f t="shared" si="31"/>
        <v>3.6668299360246119E-2</v>
      </c>
      <c r="BB25">
        <f t="shared" si="32"/>
        <v>1.9758890544025285</v>
      </c>
      <c r="BC25">
        <f t="shared" si="33"/>
        <v>501.45693942767849</v>
      </c>
      <c r="BD25" t="s">
        <v>463</v>
      </c>
      <c r="BE25">
        <v>560.80999999999995</v>
      </c>
      <c r="BF25">
        <f t="shared" si="34"/>
        <v>560.80999999999995</v>
      </c>
      <c r="BG25">
        <f t="shared" si="35"/>
        <v>0.47356204498800336</v>
      </c>
      <c r="BH25">
        <f t="shared" si="36"/>
        <v>0.69202902418056134</v>
      </c>
      <c r="BI25">
        <f t="shared" si="37"/>
        <v>0.8066660546496176</v>
      </c>
      <c r="BJ25">
        <f t="shared" si="38"/>
        <v>1.0394894676738702</v>
      </c>
      <c r="BK25">
        <f t="shared" si="39"/>
        <v>0.86239757854982835</v>
      </c>
      <c r="BL25">
        <f t="shared" si="40"/>
        <v>0.54190163164821736</v>
      </c>
      <c r="BM25">
        <f t="shared" si="41"/>
        <v>0.45809836835178264</v>
      </c>
      <c r="BN25">
        <v>9298</v>
      </c>
      <c r="BO25">
        <v>290.00000000000011</v>
      </c>
      <c r="BP25">
        <v>976.75</v>
      </c>
      <c r="BQ25">
        <v>255</v>
      </c>
      <c r="BR25">
        <v>10097.9</v>
      </c>
      <c r="BS25">
        <v>977.67</v>
      </c>
      <c r="BT25">
        <v>-0.92</v>
      </c>
      <c r="BU25">
        <v>300.00000000000011</v>
      </c>
      <c r="BV25">
        <v>24.2</v>
      </c>
      <c r="BW25">
        <v>1065.291730318381</v>
      </c>
      <c r="BX25">
        <v>2.4085504023693112</v>
      </c>
      <c r="BY25">
        <v>-88.474731701500744</v>
      </c>
      <c r="BZ25">
        <v>2.165337290664723</v>
      </c>
      <c r="CA25">
        <v>0.98350519105207568</v>
      </c>
      <c r="CB25">
        <v>-6.9018224694104534E-3</v>
      </c>
      <c r="CC25">
        <v>289.99999999999989</v>
      </c>
      <c r="CD25">
        <v>976.81</v>
      </c>
      <c r="CE25">
        <v>655</v>
      </c>
      <c r="CF25">
        <v>10077.799999999999</v>
      </c>
      <c r="CG25">
        <v>977.5</v>
      </c>
      <c r="CH25">
        <v>-0.69</v>
      </c>
      <c r="CV25">
        <f t="shared" si="42"/>
        <v>1800.01</v>
      </c>
      <c r="CW25">
        <f t="shared" si="43"/>
        <v>1513.1931006318368</v>
      </c>
      <c r="CX25">
        <f t="shared" si="44"/>
        <v>0.84065816336122401</v>
      </c>
      <c r="CY25">
        <f t="shared" si="45"/>
        <v>0.19131632672244803</v>
      </c>
      <c r="CZ25">
        <v>6</v>
      </c>
      <c r="DA25">
        <v>0.5</v>
      </c>
      <c r="DB25" t="s">
        <v>418</v>
      </c>
      <c r="DC25">
        <v>2</v>
      </c>
      <c r="DD25">
        <v>1674759205.5999999</v>
      </c>
      <c r="DE25">
        <v>331.363</v>
      </c>
      <c r="DF25">
        <v>400.00200000000001</v>
      </c>
      <c r="DG25">
        <v>24.818000000000001</v>
      </c>
      <c r="DH25">
        <v>17.121600000000001</v>
      </c>
      <c r="DI25">
        <v>330.464</v>
      </c>
      <c r="DJ25">
        <v>24.718900000000001</v>
      </c>
      <c r="DK25">
        <v>500.09899999999999</v>
      </c>
      <c r="DL25">
        <v>99.090800000000002</v>
      </c>
      <c r="DM25">
        <v>0.100051</v>
      </c>
      <c r="DN25">
        <v>27.997599999999998</v>
      </c>
      <c r="DO25">
        <v>27.441800000000001</v>
      </c>
      <c r="DP25">
        <v>999.9</v>
      </c>
      <c r="DQ25">
        <v>0</v>
      </c>
      <c r="DR25">
        <v>0</v>
      </c>
      <c r="DS25">
        <v>9991.25</v>
      </c>
      <c r="DT25">
        <v>0</v>
      </c>
      <c r="DU25">
        <v>290.87299999999999</v>
      </c>
      <c r="DV25">
        <v>-68.639099999999999</v>
      </c>
      <c r="DW25">
        <v>339.79599999999999</v>
      </c>
      <c r="DX25">
        <v>406.97</v>
      </c>
      <c r="DY25">
        <v>7.6963999999999997</v>
      </c>
      <c r="DZ25">
        <v>400.00200000000001</v>
      </c>
      <c r="EA25">
        <v>17.121600000000001</v>
      </c>
      <c r="EB25">
        <v>2.4592299999999998</v>
      </c>
      <c r="EC25">
        <v>1.69659</v>
      </c>
      <c r="ED25">
        <v>20.7592</v>
      </c>
      <c r="EE25">
        <v>14.8653</v>
      </c>
      <c r="EF25">
        <v>1800.01</v>
      </c>
      <c r="EG25">
        <v>0.97799999999999998</v>
      </c>
      <c r="EH25">
        <v>2.19998E-2</v>
      </c>
      <c r="EI25">
        <v>0</v>
      </c>
      <c r="EJ25">
        <v>716.74699999999996</v>
      </c>
      <c r="EK25">
        <v>4.9990399999999999</v>
      </c>
      <c r="EL25">
        <v>13542.4</v>
      </c>
      <c r="EM25">
        <v>14820.8</v>
      </c>
      <c r="EN25">
        <v>49</v>
      </c>
      <c r="EO25">
        <v>50.5</v>
      </c>
      <c r="EP25">
        <v>50</v>
      </c>
      <c r="EQ25">
        <v>48.875</v>
      </c>
      <c r="ER25">
        <v>49.811999999999998</v>
      </c>
      <c r="ES25">
        <v>1755.52</v>
      </c>
      <c r="ET25">
        <v>39.49</v>
      </c>
      <c r="EU25">
        <v>0</v>
      </c>
      <c r="EV25">
        <v>183.79999995231631</v>
      </c>
      <c r="EW25">
        <v>0</v>
      </c>
      <c r="EX25">
        <v>716.17573076923065</v>
      </c>
      <c r="EY25">
        <v>4.9182564089465437</v>
      </c>
      <c r="EZ25">
        <v>96.618803520972392</v>
      </c>
      <c r="FA25">
        <v>13530.25</v>
      </c>
      <c r="FB25">
        <v>15</v>
      </c>
      <c r="FC25">
        <v>1674759088.5999999</v>
      </c>
      <c r="FD25" t="s">
        <v>464</v>
      </c>
      <c r="FE25">
        <v>1674759082.0999999</v>
      </c>
      <c r="FF25">
        <v>1674759088.5999999</v>
      </c>
      <c r="FG25">
        <v>13</v>
      </c>
      <c r="FH25">
        <v>-1.6E-2</v>
      </c>
      <c r="FI25">
        <v>0</v>
      </c>
      <c r="FJ25">
        <v>1.01</v>
      </c>
      <c r="FK25">
        <v>3.1E-2</v>
      </c>
      <c r="FL25">
        <v>400</v>
      </c>
      <c r="FM25">
        <v>17</v>
      </c>
      <c r="FN25">
        <v>0.03</v>
      </c>
      <c r="FO25">
        <v>0.01</v>
      </c>
      <c r="FP25">
        <v>54.878373833396488</v>
      </c>
      <c r="FQ25">
        <v>0.60233997675482198</v>
      </c>
      <c r="FR25">
        <v>6.8888228142601746E-2</v>
      </c>
      <c r="FS25">
        <v>1</v>
      </c>
      <c r="FT25">
        <v>0.58014997984998384</v>
      </c>
      <c r="FU25">
        <v>-3.8179599560819719E-3</v>
      </c>
      <c r="FV25">
        <v>6.8192658075887211E-4</v>
      </c>
      <c r="FW25">
        <v>1</v>
      </c>
      <c r="FX25">
        <v>2</v>
      </c>
      <c r="FY25">
        <v>2</v>
      </c>
      <c r="FZ25" t="s">
        <v>420</v>
      </c>
      <c r="GA25">
        <v>2.9332600000000002</v>
      </c>
      <c r="GB25">
        <v>2.8334299999999999</v>
      </c>
      <c r="GC25">
        <v>7.7511800000000006E-2</v>
      </c>
      <c r="GD25">
        <v>8.81749E-2</v>
      </c>
      <c r="GE25">
        <v>0.12148200000000001</v>
      </c>
      <c r="GF25">
        <v>9.0399099999999996E-2</v>
      </c>
      <c r="GG25">
        <v>23934.6</v>
      </c>
      <c r="GH25">
        <v>29697.200000000001</v>
      </c>
      <c r="GI25">
        <v>23344.3</v>
      </c>
      <c r="GJ25">
        <v>29839.599999999999</v>
      </c>
      <c r="GK25">
        <v>27914.5</v>
      </c>
      <c r="GL25">
        <v>38603.599999999999</v>
      </c>
      <c r="GM25">
        <v>32964.199999999997</v>
      </c>
      <c r="GN25">
        <v>44275.5</v>
      </c>
      <c r="GO25">
        <v>1.9886999999999999</v>
      </c>
      <c r="GP25">
        <v>1.8233699999999999</v>
      </c>
      <c r="GQ25">
        <v>5.73508E-2</v>
      </c>
      <c r="GR25">
        <v>0</v>
      </c>
      <c r="GS25">
        <v>26.503900000000002</v>
      </c>
      <c r="GT25">
        <v>999.9</v>
      </c>
      <c r="GU25">
        <v>42.4</v>
      </c>
      <c r="GV25">
        <v>36.700000000000003</v>
      </c>
      <c r="GW25">
        <v>26.5379</v>
      </c>
      <c r="GX25">
        <v>61.240900000000003</v>
      </c>
      <c r="GY25">
        <v>36.470399999999998</v>
      </c>
      <c r="GZ25">
        <v>1</v>
      </c>
      <c r="HA25">
        <v>0.350107</v>
      </c>
      <c r="HB25">
        <v>2.11937</v>
      </c>
      <c r="HC25">
        <v>20.264600000000002</v>
      </c>
      <c r="HD25">
        <v>5.2110000000000003</v>
      </c>
      <c r="HE25">
        <v>11.872199999999999</v>
      </c>
      <c r="HF25">
        <v>4.9851999999999999</v>
      </c>
      <c r="HG25">
        <v>3.2839999999999998</v>
      </c>
      <c r="HH25">
        <v>9999</v>
      </c>
      <c r="HI25">
        <v>9999</v>
      </c>
      <c r="HJ25">
        <v>9999</v>
      </c>
      <c r="HK25">
        <v>999.9</v>
      </c>
      <c r="HL25">
        <v>1.8549</v>
      </c>
      <c r="HM25">
        <v>1.8609599999999999</v>
      </c>
      <c r="HN25">
        <v>1.8583700000000001</v>
      </c>
      <c r="HO25">
        <v>1.8595900000000001</v>
      </c>
      <c r="HP25">
        <v>1.8589</v>
      </c>
      <c r="HQ25">
        <v>1.85944</v>
      </c>
      <c r="HR25">
        <v>1.8577699999999999</v>
      </c>
      <c r="HS25">
        <v>1.86113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0.89900000000000002</v>
      </c>
      <c r="IH25">
        <v>9.9099999999999994E-2</v>
      </c>
      <c r="II25">
        <v>0.35668396002075742</v>
      </c>
      <c r="IJ25">
        <v>1.6187016317407189E-3</v>
      </c>
      <c r="IK25">
        <v>1.4341569744255341E-7</v>
      </c>
      <c r="IL25">
        <v>-2.4096625942085749E-10</v>
      </c>
      <c r="IM25">
        <v>9.9032097974982053E-2</v>
      </c>
      <c r="IN25">
        <v>0</v>
      </c>
      <c r="IO25">
        <v>0</v>
      </c>
      <c r="IP25">
        <v>0</v>
      </c>
      <c r="IQ25">
        <v>4</v>
      </c>
      <c r="IR25">
        <v>2205</v>
      </c>
      <c r="IS25">
        <v>1</v>
      </c>
      <c r="IT25">
        <v>21</v>
      </c>
      <c r="IU25">
        <v>2.1</v>
      </c>
      <c r="IV25">
        <v>1.9</v>
      </c>
      <c r="IW25">
        <v>0.98388699999999996</v>
      </c>
      <c r="IX25">
        <v>2.4682599999999999</v>
      </c>
      <c r="IY25">
        <v>1.49414</v>
      </c>
      <c r="IZ25">
        <v>2.3046899999999999</v>
      </c>
      <c r="JA25">
        <v>1.69434</v>
      </c>
      <c r="JB25">
        <v>2.4255399999999998</v>
      </c>
      <c r="JC25">
        <v>41.378100000000003</v>
      </c>
      <c r="JD25">
        <v>23.544599999999999</v>
      </c>
      <c r="JE25">
        <v>18</v>
      </c>
      <c r="JF25">
        <v>525.05499999999995</v>
      </c>
      <c r="JG25">
        <v>439.60599999999999</v>
      </c>
      <c r="JH25">
        <v>24.752800000000001</v>
      </c>
      <c r="JI25">
        <v>31.7195</v>
      </c>
      <c r="JJ25">
        <v>30.0001</v>
      </c>
      <c r="JK25">
        <v>31.663699999999999</v>
      </c>
      <c r="JL25">
        <v>31.636600000000001</v>
      </c>
      <c r="JM25">
        <v>19.7697</v>
      </c>
      <c r="JN25">
        <v>40.292200000000001</v>
      </c>
      <c r="JO25">
        <v>0</v>
      </c>
      <c r="JP25">
        <v>24.7532</v>
      </c>
      <c r="JQ25">
        <v>400</v>
      </c>
      <c r="JR25">
        <v>17.172799999999999</v>
      </c>
      <c r="JS25">
        <v>99.283900000000003</v>
      </c>
      <c r="JT25">
        <v>99.427199999999999</v>
      </c>
    </row>
    <row r="26" spans="1:280" x14ac:dyDescent="0.25">
      <c r="A26">
        <v>10</v>
      </c>
      <c r="B26">
        <v>1674759318.5999999</v>
      </c>
      <c r="C26">
        <v>1261.5</v>
      </c>
      <c r="D26" t="s">
        <v>465</v>
      </c>
      <c r="E26" t="s">
        <v>466</v>
      </c>
      <c r="F26" t="s">
        <v>412</v>
      </c>
      <c r="G26" t="s">
        <v>413</v>
      </c>
      <c r="H26" t="s">
        <v>414</v>
      </c>
      <c r="I26">
        <v>1674759318.5999999</v>
      </c>
      <c r="J26">
        <f t="shared" si="0"/>
        <v>6.4927143142129813E-3</v>
      </c>
      <c r="K26">
        <f t="shared" si="1"/>
        <v>6.4927143142129813</v>
      </c>
      <c r="L26">
        <f t="shared" si="2"/>
        <v>57.87666301639468</v>
      </c>
      <c r="M26">
        <f t="shared" si="3"/>
        <v>427.27499999999998</v>
      </c>
      <c r="N26">
        <f t="shared" si="4"/>
        <v>245.2198994868578</v>
      </c>
      <c r="O26">
        <f t="shared" si="5"/>
        <v>24.324518262625418</v>
      </c>
      <c r="P26">
        <f t="shared" si="6"/>
        <v>42.3834222361725</v>
      </c>
      <c r="Q26">
        <f t="shared" si="7"/>
        <v>0.57720865909960495</v>
      </c>
      <c r="R26">
        <f t="shared" si="8"/>
        <v>2.9150413615868116</v>
      </c>
      <c r="S26">
        <f t="shared" si="9"/>
        <v>0.52042225827736144</v>
      </c>
      <c r="T26">
        <f t="shared" si="10"/>
        <v>0.32989914304612317</v>
      </c>
      <c r="U26">
        <f t="shared" si="11"/>
        <v>344.3675012636877</v>
      </c>
      <c r="V26">
        <f t="shared" si="12"/>
        <v>28.357909951098456</v>
      </c>
      <c r="W26">
        <f t="shared" si="13"/>
        <v>27.477399999999999</v>
      </c>
      <c r="X26">
        <f t="shared" si="14"/>
        <v>3.6807519672842743</v>
      </c>
      <c r="Y26">
        <f t="shared" si="15"/>
        <v>65.340983440823393</v>
      </c>
      <c r="Z26">
        <f t="shared" si="16"/>
        <v>2.4816534023862</v>
      </c>
      <c r="AA26">
        <f t="shared" si="17"/>
        <v>3.7980043637294347</v>
      </c>
      <c r="AB26">
        <f t="shared" si="18"/>
        <v>1.1990985648980743</v>
      </c>
      <c r="AC26">
        <f t="shared" si="19"/>
        <v>-286.3287012567925</v>
      </c>
      <c r="AD26">
        <f t="shared" si="20"/>
        <v>84.376900637722528</v>
      </c>
      <c r="AE26">
        <f t="shared" si="21"/>
        <v>6.2934578922598865</v>
      </c>
      <c r="AF26">
        <f t="shared" si="22"/>
        <v>148.70915853687762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52262.636356056748</v>
      </c>
      <c r="AL26" t="s">
        <v>415</v>
      </c>
      <c r="AM26">
        <v>10214.9</v>
      </c>
      <c r="AN26">
        <v>729.4384</v>
      </c>
      <c r="AO26">
        <v>3170.19</v>
      </c>
      <c r="AP26">
        <f t="shared" si="26"/>
        <v>0.76990704027203416</v>
      </c>
      <c r="AQ26">
        <v>-0.45549566560547827</v>
      </c>
      <c r="AR26" t="s">
        <v>467</v>
      </c>
      <c r="AS26">
        <v>10094.6</v>
      </c>
      <c r="AT26">
        <v>724.40815999999995</v>
      </c>
      <c r="AU26">
        <v>1106.1464260747839</v>
      </c>
      <c r="AV26">
        <f t="shared" si="27"/>
        <v>0.34510644981189453</v>
      </c>
      <c r="AW26">
        <v>0.5</v>
      </c>
      <c r="AX26">
        <f t="shared" si="28"/>
        <v>1513.1763006318438</v>
      </c>
      <c r="AY26">
        <f t="shared" si="29"/>
        <v>57.87666301639468</v>
      </c>
      <c r="AZ26">
        <f t="shared" si="30"/>
        <v>261.10345052527583</v>
      </c>
      <c r="BA26">
        <f t="shared" si="31"/>
        <v>3.8549479434513284E-2</v>
      </c>
      <c r="BB26">
        <f t="shared" si="32"/>
        <v>1.8659768049421614</v>
      </c>
      <c r="BC26">
        <f t="shared" si="33"/>
        <v>510.32941997594838</v>
      </c>
      <c r="BD26" t="s">
        <v>468</v>
      </c>
      <c r="BE26">
        <v>563.97</v>
      </c>
      <c r="BF26">
        <f t="shared" si="34"/>
        <v>563.97</v>
      </c>
      <c r="BG26">
        <f t="shared" si="35"/>
        <v>0.49014887477304803</v>
      </c>
      <c r="BH26">
        <f t="shared" si="36"/>
        <v>0.70408495780325531</v>
      </c>
      <c r="BI26">
        <f t="shared" si="37"/>
        <v>0.79196828123689322</v>
      </c>
      <c r="BJ26">
        <f t="shared" si="38"/>
        <v>1.0133531532428817</v>
      </c>
      <c r="BK26">
        <f t="shared" si="39"/>
        <v>0.84565900680971229</v>
      </c>
      <c r="BL26">
        <f t="shared" si="40"/>
        <v>0.54814787515963648</v>
      </c>
      <c r="BM26">
        <f t="shared" si="41"/>
        <v>0.45185212484036352</v>
      </c>
      <c r="BN26">
        <v>9300</v>
      </c>
      <c r="BO26">
        <v>290.00000000000011</v>
      </c>
      <c r="BP26">
        <v>1007.39</v>
      </c>
      <c r="BQ26">
        <v>295</v>
      </c>
      <c r="BR26">
        <v>10094.6</v>
      </c>
      <c r="BS26">
        <v>1007.83</v>
      </c>
      <c r="BT26">
        <v>-0.44</v>
      </c>
      <c r="BU26">
        <v>300.00000000000011</v>
      </c>
      <c r="BV26">
        <v>24.2</v>
      </c>
      <c r="BW26">
        <v>1106.1464260747839</v>
      </c>
      <c r="BX26">
        <v>1.652160699875082</v>
      </c>
      <c r="BY26">
        <v>-99.24884560772459</v>
      </c>
      <c r="BZ26">
        <v>1.4853490807117169</v>
      </c>
      <c r="CA26">
        <v>0.99376769011394306</v>
      </c>
      <c r="CB26">
        <v>-6.9019147942157933E-3</v>
      </c>
      <c r="CC26">
        <v>289.99999999999989</v>
      </c>
      <c r="CD26">
        <v>1006.25</v>
      </c>
      <c r="CE26">
        <v>665</v>
      </c>
      <c r="CF26">
        <v>10077.4</v>
      </c>
      <c r="CG26">
        <v>1007.66</v>
      </c>
      <c r="CH26">
        <v>-1.41</v>
      </c>
      <c r="CV26">
        <f t="shared" si="42"/>
        <v>1799.99</v>
      </c>
      <c r="CW26">
        <f t="shared" si="43"/>
        <v>1513.1763006318438</v>
      </c>
      <c r="CX26">
        <f t="shared" si="44"/>
        <v>0.84065817067419468</v>
      </c>
      <c r="CY26">
        <f t="shared" si="45"/>
        <v>0.19131634134838954</v>
      </c>
      <c r="CZ26">
        <v>6</v>
      </c>
      <c r="DA26">
        <v>0.5</v>
      </c>
      <c r="DB26" t="s">
        <v>418</v>
      </c>
      <c r="DC26">
        <v>2</v>
      </c>
      <c r="DD26">
        <v>1674759318.5999999</v>
      </c>
      <c r="DE26">
        <v>427.27499999999998</v>
      </c>
      <c r="DF26">
        <v>500.048</v>
      </c>
      <c r="DG26">
        <v>25.018000000000001</v>
      </c>
      <c r="DH26">
        <v>17.422499999999999</v>
      </c>
      <c r="DI26">
        <v>426.11500000000001</v>
      </c>
      <c r="DJ26">
        <v>24.918099999999999</v>
      </c>
      <c r="DK26">
        <v>500.05500000000001</v>
      </c>
      <c r="DL26">
        <v>99.094999999999999</v>
      </c>
      <c r="DM26">
        <v>9.9715899999999996E-2</v>
      </c>
      <c r="DN26">
        <v>28.014299999999999</v>
      </c>
      <c r="DO26">
        <v>27.477399999999999</v>
      </c>
      <c r="DP26">
        <v>999.9</v>
      </c>
      <c r="DQ26">
        <v>0</v>
      </c>
      <c r="DR26">
        <v>0</v>
      </c>
      <c r="DS26">
        <v>10008.1</v>
      </c>
      <c r="DT26">
        <v>0</v>
      </c>
      <c r="DU26">
        <v>304.483</v>
      </c>
      <c r="DV26">
        <v>-72.773499999999999</v>
      </c>
      <c r="DW26">
        <v>438.23899999999998</v>
      </c>
      <c r="DX26">
        <v>508.91500000000002</v>
      </c>
      <c r="DY26">
        <v>7.5955500000000002</v>
      </c>
      <c r="DZ26">
        <v>500.048</v>
      </c>
      <c r="EA26">
        <v>17.422499999999999</v>
      </c>
      <c r="EB26">
        <v>2.4791599999999998</v>
      </c>
      <c r="EC26">
        <v>1.72648</v>
      </c>
      <c r="ED26">
        <v>20.8903</v>
      </c>
      <c r="EE26">
        <v>15.1366</v>
      </c>
      <c r="EF26">
        <v>1799.99</v>
      </c>
      <c r="EG26">
        <v>0.97799999999999998</v>
      </c>
      <c r="EH26">
        <v>2.19998E-2</v>
      </c>
      <c r="EI26">
        <v>0</v>
      </c>
      <c r="EJ26">
        <v>724.33799999999997</v>
      </c>
      <c r="EK26">
        <v>4.9990399999999999</v>
      </c>
      <c r="EL26">
        <v>13712.3</v>
      </c>
      <c r="EM26">
        <v>14820.6</v>
      </c>
      <c r="EN26">
        <v>49</v>
      </c>
      <c r="EO26">
        <v>50.5</v>
      </c>
      <c r="EP26">
        <v>50</v>
      </c>
      <c r="EQ26">
        <v>48.875</v>
      </c>
      <c r="ER26">
        <v>49.811999999999998</v>
      </c>
      <c r="ES26">
        <v>1755.5</v>
      </c>
      <c r="ET26">
        <v>39.49</v>
      </c>
      <c r="EU26">
        <v>0</v>
      </c>
      <c r="EV26">
        <v>111</v>
      </c>
      <c r="EW26">
        <v>0</v>
      </c>
      <c r="EX26">
        <v>724.40815999999995</v>
      </c>
      <c r="EY26">
        <v>2.716076909891044</v>
      </c>
      <c r="EZ26">
        <v>52.230769153689593</v>
      </c>
      <c r="FA26">
        <v>13706.52</v>
      </c>
      <c r="FB26">
        <v>15</v>
      </c>
      <c r="FC26">
        <v>1674759283.0999999</v>
      </c>
      <c r="FD26" t="s">
        <v>469</v>
      </c>
      <c r="FE26">
        <v>1674759279.5999999</v>
      </c>
      <c r="FF26">
        <v>1674759283.0999999</v>
      </c>
      <c r="FG26">
        <v>14</v>
      </c>
      <c r="FH26">
        <v>0.106</v>
      </c>
      <c r="FI26">
        <v>1E-3</v>
      </c>
      <c r="FJ26">
        <v>1.276</v>
      </c>
      <c r="FK26">
        <v>3.7999999999999999E-2</v>
      </c>
      <c r="FL26">
        <v>500</v>
      </c>
      <c r="FM26">
        <v>17</v>
      </c>
      <c r="FN26">
        <v>0.09</v>
      </c>
      <c r="FO26">
        <v>0.01</v>
      </c>
      <c r="FP26">
        <v>57.825545810218657</v>
      </c>
      <c r="FQ26">
        <v>-0.44828853188909912</v>
      </c>
      <c r="FR26">
        <v>7.48406257525039E-2</v>
      </c>
      <c r="FS26">
        <v>1</v>
      </c>
      <c r="FT26">
        <v>0.58062203794136491</v>
      </c>
      <c r="FU26">
        <v>1.545837223400537E-2</v>
      </c>
      <c r="FV26">
        <v>2.32555838595256E-3</v>
      </c>
      <c r="FW26">
        <v>1</v>
      </c>
      <c r="FX26">
        <v>2</v>
      </c>
      <c r="FY26">
        <v>2</v>
      </c>
      <c r="FZ26" t="s">
        <v>420</v>
      </c>
      <c r="GA26">
        <v>2.9331700000000001</v>
      </c>
      <c r="GB26">
        <v>2.83324</v>
      </c>
      <c r="GC26">
        <v>9.4426300000000005E-2</v>
      </c>
      <c r="GD26">
        <v>0.10424</v>
      </c>
      <c r="GE26">
        <v>0.122171</v>
      </c>
      <c r="GF26">
        <v>9.1536300000000001E-2</v>
      </c>
      <c r="GG26">
        <v>23496.9</v>
      </c>
      <c r="GH26">
        <v>29175.4</v>
      </c>
      <c r="GI26">
        <v>23345.1</v>
      </c>
      <c r="GJ26">
        <v>29840.9</v>
      </c>
      <c r="GK26">
        <v>27894.3</v>
      </c>
      <c r="GL26">
        <v>38556.699999999997</v>
      </c>
      <c r="GM26">
        <v>32966.199999999997</v>
      </c>
      <c r="GN26">
        <v>44277.2</v>
      </c>
      <c r="GO26">
        <v>1.9881800000000001</v>
      </c>
      <c r="GP26">
        <v>1.8243499999999999</v>
      </c>
      <c r="GQ26">
        <v>5.9474300000000001E-2</v>
      </c>
      <c r="GR26">
        <v>0</v>
      </c>
      <c r="GS26">
        <v>26.504799999999999</v>
      </c>
      <c r="GT26">
        <v>999.9</v>
      </c>
      <c r="GU26">
        <v>42.4</v>
      </c>
      <c r="GV26">
        <v>36.700000000000003</v>
      </c>
      <c r="GW26">
        <v>26.5383</v>
      </c>
      <c r="GX26">
        <v>61.040900000000001</v>
      </c>
      <c r="GY26">
        <v>36.590499999999999</v>
      </c>
      <c r="GZ26">
        <v>1</v>
      </c>
      <c r="HA26">
        <v>0.34805599999999998</v>
      </c>
      <c r="HB26">
        <v>2.2273399999999999</v>
      </c>
      <c r="HC26">
        <v>20.2621</v>
      </c>
      <c r="HD26">
        <v>5.2095000000000002</v>
      </c>
      <c r="HE26">
        <v>11.872199999999999</v>
      </c>
      <c r="HF26">
        <v>4.9845499999999996</v>
      </c>
      <c r="HG26">
        <v>3.2837800000000001</v>
      </c>
      <c r="HH26">
        <v>9999</v>
      </c>
      <c r="HI26">
        <v>9999</v>
      </c>
      <c r="HJ26">
        <v>9999</v>
      </c>
      <c r="HK26">
        <v>999.9</v>
      </c>
      <c r="HL26">
        <v>1.85494</v>
      </c>
      <c r="HM26">
        <v>1.86097</v>
      </c>
      <c r="HN26">
        <v>1.8583700000000001</v>
      </c>
      <c r="HO26">
        <v>1.8595999999999999</v>
      </c>
      <c r="HP26">
        <v>1.85893</v>
      </c>
      <c r="HQ26">
        <v>1.8594900000000001</v>
      </c>
      <c r="HR26">
        <v>1.8577999999999999</v>
      </c>
      <c r="HS26">
        <v>1.86114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1.1599999999999999</v>
      </c>
      <c r="IH26">
        <v>9.9900000000000003E-2</v>
      </c>
      <c r="II26">
        <v>0.46296519281546028</v>
      </c>
      <c r="IJ26">
        <v>1.6187016317407189E-3</v>
      </c>
      <c r="IK26">
        <v>1.4341569744255341E-7</v>
      </c>
      <c r="IL26">
        <v>-2.4096625942085749E-10</v>
      </c>
      <c r="IM26">
        <v>9.9969460686977318E-2</v>
      </c>
      <c r="IN26">
        <v>0</v>
      </c>
      <c r="IO26">
        <v>0</v>
      </c>
      <c r="IP26">
        <v>0</v>
      </c>
      <c r="IQ26">
        <v>4</v>
      </c>
      <c r="IR26">
        <v>2205</v>
      </c>
      <c r="IS26">
        <v>1</v>
      </c>
      <c r="IT26">
        <v>21</v>
      </c>
      <c r="IU26">
        <v>0.7</v>
      </c>
      <c r="IV26">
        <v>0.6</v>
      </c>
      <c r="IW26">
        <v>1.18164</v>
      </c>
      <c r="IX26">
        <v>2.4597199999999999</v>
      </c>
      <c r="IY26">
        <v>1.49414</v>
      </c>
      <c r="IZ26">
        <v>2.3046899999999999</v>
      </c>
      <c r="JA26">
        <v>1.69434</v>
      </c>
      <c r="JB26">
        <v>2.4072300000000002</v>
      </c>
      <c r="JC26">
        <v>41.378100000000003</v>
      </c>
      <c r="JD26">
        <v>23.544599999999999</v>
      </c>
      <c r="JE26">
        <v>18</v>
      </c>
      <c r="JF26">
        <v>524.6</v>
      </c>
      <c r="JG26">
        <v>440.16399999999999</v>
      </c>
      <c r="JH26">
        <v>24.711300000000001</v>
      </c>
      <c r="JI26">
        <v>31.698899999999998</v>
      </c>
      <c r="JJ26">
        <v>30.0002</v>
      </c>
      <c r="JK26">
        <v>31.651399999999999</v>
      </c>
      <c r="JL26">
        <v>31.622699999999998</v>
      </c>
      <c r="JM26">
        <v>23.717500000000001</v>
      </c>
      <c r="JN26">
        <v>39.283000000000001</v>
      </c>
      <c r="JO26">
        <v>0</v>
      </c>
      <c r="JP26">
        <v>24.7058</v>
      </c>
      <c r="JQ26">
        <v>500</v>
      </c>
      <c r="JR26">
        <v>17.3294</v>
      </c>
      <c r="JS26">
        <v>99.288899999999998</v>
      </c>
      <c r="JT26">
        <v>99.431200000000004</v>
      </c>
    </row>
    <row r="27" spans="1:280" x14ac:dyDescent="0.25">
      <c r="A27">
        <v>11</v>
      </c>
      <c r="B27">
        <v>1674759428.0999999</v>
      </c>
      <c r="C27">
        <v>1371</v>
      </c>
      <c r="D27" t="s">
        <v>470</v>
      </c>
      <c r="E27" t="s">
        <v>471</v>
      </c>
      <c r="F27" t="s">
        <v>412</v>
      </c>
      <c r="G27" t="s">
        <v>413</v>
      </c>
      <c r="H27" t="s">
        <v>414</v>
      </c>
      <c r="I27">
        <v>1674759428.0999999</v>
      </c>
      <c r="J27">
        <f t="shared" si="0"/>
        <v>6.3381688817502248E-3</v>
      </c>
      <c r="K27">
        <f t="shared" si="1"/>
        <v>6.3381688817502244</v>
      </c>
      <c r="L27">
        <f t="shared" si="2"/>
        <v>58.610965255125862</v>
      </c>
      <c r="M27">
        <f t="shared" si="3"/>
        <v>525.65700000000004</v>
      </c>
      <c r="N27">
        <f t="shared" si="4"/>
        <v>334.62574895520316</v>
      </c>
      <c r="O27">
        <f t="shared" si="5"/>
        <v>33.192992394606605</v>
      </c>
      <c r="P27">
        <f t="shared" si="6"/>
        <v>52.142218157597704</v>
      </c>
      <c r="Q27">
        <f t="shared" si="7"/>
        <v>0.56040590232883636</v>
      </c>
      <c r="R27">
        <f t="shared" si="8"/>
        <v>2.9144923269843157</v>
      </c>
      <c r="S27">
        <f t="shared" si="9"/>
        <v>0.50670409149612428</v>
      </c>
      <c r="T27">
        <f t="shared" si="10"/>
        <v>0.32108502453983018</v>
      </c>
      <c r="U27">
        <f t="shared" si="11"/>
        <v>344.3618012637088</v>
      </c>
      <c r="V27">
        <f t="shared" si="12"/>
        <v>28.38099796716903</v>
      </c>
      <c r="W27">
        <f t="shared" si="13"/>
        <v>27.4679</v>
      </c>
      <c r="X27">
        <f t="shared" si="14"/>
        <v>3.6787060547956854</v>
      </c>
      <c r="Y27">
        <f t="shared" si="15"/>
        <v>65.268910135958009</v>
      </c>
      <c r="Z27">
        <f t="shared" si="16"/>
        <v>2.4764173576493298</v>
      </c>
      <c r="AA27">
        <f t="shared" si="17"/>
        <v>3.7941760517999206</v>
      </c>
      <c r="AB27">
        <f t="shared" si="18"/>
        <v>1.2022886971463556</v>
      </c>
      <c r="AC27">
        <f t="shared" si="19"/>
        <v>-279.51324768518492</v>
      </c>
      <c r="AD27">
        <f t="shared" si="20"/>
        <v>83.135424976861373</v>
      </c>
      <c r="AE27">
        <f t="shared" si="21"/>
        <v>6.2011983954780048</v>
      </c>
      <c r="AF27">
        <f t="shared" si="22"/>
        <v>154.18517695086325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52249.904192522576</v>
      </c>
      <c r="AL27" t="s">
        <v>415</v>
      </c>
      <c r="AM27">
        <v>10214.9</v>
      </c>
      <c r="AN27">
        <v>729.4384</v>
      </c>
      <c r="AO27">
        <v>3170.19</v>
      </c>
      <c r="AP27">
        <f t="shared" si="26"/>
        <v>0.76990704027203416</v>
      </c>
      <c r="AQ27">
        <v>-0.45549566560547827</v>
      </c>
      <c r="AR27" t="s">
        <v>472</v>
      </c>
      <c r="AS27">
        <v>10094.4</v>
      </c>
      <c r="AT27">
        <v>727.7056</v>
      </c>
      <c r="AU27">
        <v>1118.7466971973231</v>
      </c>
      <c r="AV27">
        <f t="shared" si="27"/>
        <v>0.34953497353507879</v>
      </c>
      <c r="AW27">
        <v>0.5</v>
      </c>
      <c r="AX27">
        <f t="shared" si="28"/>
        <v>1513.1511006318544</v>
      </c>
      <c r="AY27">
        <f t="shared" si="29"/>
        <v>58.610965255125862</v>
      </c>
      <c r="AZ27">
        <f t="shared" si="30"/>
        <v>264.44961495696526</v>
      </c>
      <c r="BA27">
        <f t="shared" si="31"/>
        <v>3.9035401617238785E-2</v>
      </c>
      <c r="BB27">
        <f t="shared" si="32"/>
        <v>1.8336977511906307</v>
      </c>
      <c r="BC27">
        <f t="shared" si="33"/>
        <v>512.99504637325106</v>
      </c>
      <c r="BD27" t="s">
        <v>473</v>
      </c>
      <c r="BE27">
        <v>568.47</v>
      </c>
      <c r="BF27">
        <f t="shared" si="34"/>
        <v>568.47</v>
      </c>
      <c r="BG27">
        <f t="shared" si="35"/>
        <v>0.49186889094365382</v>
      </c>
      <c r="BH27">
        <f t="shared" si="36"/>
        <v>0.71062630707238572</v>
      </c>
      <c r="BI27">
        <f t="shared" si="37"/>
        <v>0.78849503513163477</v>
      </c>
      <c r="BJ27">
        <f t="shared" si="38"/>
        <v>1.004450971151847</v>
      </c>
      <c r="BK27">
        <f t="shared" si="39"/>
        <v>0.84049655147319247</v>
      </c>
      <c r="BL27">
        <f t="shared" si="40"/>
        <v>0.55512797590322116</v>
      </c>
      <c r="BM27">
        <f t="shared" si="41"/>
        <v>0.44487202409677884</v>
      </c>
      <c r="BN27">
        <v>9302</v>
      </c>
      <c r="BO27">
        <v>290.00000000000011</v>
      </c>
      <c r="BP27">
        <v>1017.85</v>
      </c>
      <c r="BQ27">
        <v>295</v>
      </c>
      <c r="BR27">
        <v>10094.4</v>
      </c>
      <c r="BS27">
        <v>1017.8</v>
      </c>
      <c r="BT27">
        <v>0.05</v>
      </c>
      <c r="BU27">
        <v>300.00000000000011</v>
      </c>
      <c r="BV27">
        <v>24.2</v>
      </c>
      <c r="BW27">
        <v>1118.7466971973231</v>
      </c>
      <c r="BX27">
        <v>2.0324919211700401</v>
      </c>
      <c r="BY27">
        <v>-101.9030214526219</v>
      </c>
      <c r="BZ27">
        <v>1.827258584875918</v>
      </c>
      <c r="CA27">
        <v>0.99107739837474418</v>
      </c>
      <c r="CB27">
        <v>-6.9019368186874286E-3</v>
      </c>
      <c r="CC27">
        <v>289.99999999999989</v>
      </c>
      <c r="CD27">
        <v>1016</v>
      </c>
      <c r="CE27">
        <v>665</v>
      </c>
      <c r="CF27">
        <v>10077.299999999999</v>
      </c>
      <c r="CG27">
        <v>1017.63</v>
      </c>
      <c r="CH27">
        <v>-1.63</v>
      </c>
      <c r="CV27">
        <f t="shared" si="42"/>
        <v>1799.96</v>
      </c>
      <c r="CW27">
        <f t="shared" si="43"/>
        <v>1513.1511006318544</v>
      </c>
      <c r="CX27">
        <f t="shared" si="44"/>
        <v>0.84065818164395567</v>
      </c>
      <c r="CY27">
        <f t="shared" si="45"/>
        <v>0.19131636328791127</v>
      </c>
      <c r="CZ27">
        <v>6</v>
      </c>
      <c r="DA27">
        <v>0.5</v>
      </c>
      <c r="DB27" t="s">
        <v>418</v>
      </c>
      <c r="DC27">
        <v>2</v>
      </c>
      <c r="DD27">
        <v>1674759428.0999999</v>
      </c>
      <c r="DE27">
        <v>525.65700000000004</v>
      </c>
      <c r="DF27">
        <v>599.99400000000003</v>
      </c>
      <c r="DG27">
        <v>24.965299999999999</v>
      </c>
      <c r="DH27">
        <v>17.5488</v>
      </c>
      <c r="DI27">
        <v>524.24199999999996</v>
      </c>
      <c r="DJ27">
        <v>24.870899999999999</v>
      </c>
      <c r="DK27">
        <v>499.96100000000001</v>
      </c>
      <c r="DL27">
        <v>99.0946</v>
      </c>
      <c r="DM27">
        <v>9.9776100000000006E-2</v>
      </c>
      <c r="DN27">
        <v>27.997</v>
      </c>
      <c r="DO27">
        <v>27.4679</v>
      </c>
      <c r="DP27">
        <v>999.9</v>
      </c>
      <c r="DQ27">
        <v>0</v>
      </c>
      <c r="DR27">
        <v>0</v>
      </c>
      <c r="DS27">
        <v>10005</v>
      </c>
      <c r="DT27">
        <v>0</v>
      </c>
      <c r="DU27">
        <v>265.50700000000001</v>
      </c>
      <c r="DV27">
        <v>-74.336500000000001</v>
      </c>
      <c r="DW27">
        <v>539.11599999999999</v>
      </c>
      <c r="DX27">
        <v>610.71100000000001</v>
      </c>
      <c r="DY27">
        <v>7.4165299999999998</v>
      </c>
      <c r="DZ27">
        <v>599.99400000000003</v>
      </c>
      <c r="EA27">
        <v>17.5488</v>
      </c>
      <c r="EB27">
        <v>2.4739200000000001</v>
      </c>
      <c r="EC27">
        <v>1.73899</v>
      </c>
      <c r="ED27">
        <v>20.856000000000002</v>
      </c>
      <c r="EE27">
        <v>15.248900000000001</v>
      </c>
      <c r="EF27">
        <v>1799.96</v>
      </c>
      <c r="EG27">
        <v>0.97799999999999998</v>
      </c>
      <c r="EH27">
        <v>2.19998E-2</v>
      </c>
      <c r="EI27">
        <v>0</v>
      </c>
      <c r="EJ27">
        <v>727.83100000000002</v>
      </c>
      <c r="EK27">
        <v>4.9990399999999999</v>
      </c>
      <c r="EL27">
        <v>13716.6</v>
      </c>
      <c r="EM27">
        <v>14820.3</v>
      </c>
      <c r="EN27">
        <v>49</v>
      </c>
      <c r="EO27">
        <v>50.5</v>
      </c>
      <c r="EP27">
        <v>50</v>
      </c>
      <c r="EQ27">
        <v>48.875</v>
      </c>
      <c r="ER27">
        <v>49.811999999999998</v>
      </c>
      <c r="ES27">
        <v>1755.47</v>
      </c>
      <c r="ET27">
        <v>39.49</v>
      </c>
      <c r="EU27">
        <v>0</v>
      </c>
      <c r="EV27">
        <v>107.5999999046326</v>
      </c>
      <c r="EW27">
        <v>0</v>
      </c>
      <c r="EX27">
        <v>727.7056</v>
      </c>
      <c r="EY27">
        <v>1.082692309810191</v>
      </c>
      <c r="EZ27">
        <v>-1.000000067861025</v>
      </c>
      <c r="FA27">
        <v>13716.808000000001</v>
      </c>
      <c r="FB27">
        <v>15</v>
      </c>
      <c r="FC27">
        <v>1674759392.0999999</v>
      </c>
      <c r="FD27" t="s">
        <v>474</v>
      </c>
      <c r="FE27">
        <v>1674759392.0999999</v>
      </c>
      <c r="FF27">
        <v>1674759392.0999999</v>
      </c>
      <c r="FG27">
        <v>15</v>
      </c>
      <c r="FH27">
        <v>9.9000000000000005E-2</v>
      </c>
      <c r="FI27">
        <v>-6.0000000000000001E-3</v>
      </c>
      <c r="FJ27">
        <v>1.5309999999999999</v>
      </c>
      <c r="FK27">
        <v>3.4000000000000002E-2</v>
      </c>
      <c r="FL27">
        <v>600</v>
      </c>
      <c r="FM27">
        <v>17</v>
      </c>
      <c r="FN27">
        <v>7.0000000000000007E-2</v>
      </c>
      <c r="FO27">
        <v>0.02</v>
      </c>
      <c r="FP27">
        <v>58.673673263733683</v>
      </c>
      <c r="FQ27">
        <v>-0.67290908359824142</v>
      </c>
      <c r="FR27">
        <v>0.1085019348010324</v>
      </c>
      <c r="FS27">
        <v>1</v>
      </c>
      <c r="FT27">
        <v>0.56603480111186599</v>
      </c>
      <c r="FU27">
        <v>-1.364030774614108E-2</v>
      </c>
      <c r="FV27">
        <v>2.3568345308581768E-3</v>
      </c>
      <c r="FW27">
        <v>1</v>
      </c>
      <c r="FX27">
        <v>2</v>
      </c>
      <c r="FY27">
        <v>2</v>
      </c>
      <c r="FZ27" t="s">
        <v>420</v>
      </c>
      <c r="GA27">
        <v>2.9329399999999999</v>
      </c>
      <c r="GB27">
        <v>2.8332799999999998</v>
      </c>
      <c r="GC27">
        <v>0.110052</v>
      </c>
      <c r="GD27">
        <v>0.11881</v>
      </c>
      <c r="GE27">
        <v>0.12201099999999999</v>
      </c>
      <c r="GF27">
        <v>9.2009800000000003E-2</v>
      </c>
      <c r="GG27">
        <v>23092.2</v>
      </c>
      <c r="GH27">
        <v>28701</v>
      </c>
      <c r="GI27">
        <v>23345.7</v>
      </c>
      <c r="GJ27">
        <v>29840.9</v>
      </c>
      <c r="GK27">
        <v>27899.9</v>
      </c>
      <c r="GL27">
        <v>38536.5</v>
      </c>
      <c r="GM27">
        <v>32966.5</v>
      </c>
      <c r="GN27">
        <v>44276.800000000003</v>
      </c>
      <c r="GO27">
        <v>1.9882200000000001</v>
      </c>
      <c r="GP27">
        <v>1.82518</v>
      </c>
      <c r="GQ27">
        <v>5.8971299999999997E-2</v>
      </c>
      <c r="GR27">
        <v>0</v>
      </c>
      <c r="GS27">
        <v>26.503499999999999</v>
      </c>
      <c r="GT27">
        <v>999.9</v>
      </c>
      <c r="GU27">
        <v>42.3</v>
      </c>
      <c r="GV27">
        <v>36.700000000000003</v>
      </c>
      <c r="GW27">
        <v>26.4756</v>
      </c>
      <c r="GX27">
        <v>60.870899999999999</v>
      </c>
      <c r="GY27">
        <v>37.223599999999998</v>
      </c>
      <c r="GZ27">
        <v>1</v>
      </c>
      <c r="HA27">
        <v>0.34716200000000003</v>
      </c>
      <c r="HB27">
        <v>2.0828500000000001</v>
      </c>
      <c r="HC27">
        <v>20.264199999999999</v>
      </c>
      <c r="HD27">
        <v>5.20756</v>
      </c>
      <c r="HE27">
        <v>11.872199999999999</v>
      </c>
      <c r="HF27">
        <v>4.9839500000000001</v>
      </c>
      <c r="HG27">
        <v>3.2833999999999999</v>
      </c>
      <c r="HH27">
        <v>9999</v>
      </c>
      <c r="HI27">
        <v>9999</v>
      </c>
      <c r="HJ27">
        <v>9999</v>
      </c>
      <c r="HK27">
        <v>999.9</v>
      </c>
      <c r="HL27">
        <v>1.85487</v>
      </c>
      <c r="HM27">
        <v>1.8609599999999999</v>
      </c>
      <c r="HN27">
        <v>1.8583700000000001</v>
      </c>
      <c r="HO27">
        <v>1.8595900000000001</v>
      </c>
      <c r="HP27">
        <v>1.85884</v>
      </c>
      <c r="HQ27">
        <v>1.85944</v>
      </c>
      <c r="HR27">
        <v>1.8577900000000001</v>
      </c>
      <c r="HS27">
        <v>1.86111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1.415</v>
      </c>
      <c r="IH27">
        <v>9.4399999999999998E-2</v>
      </c>
      <c r="II27">
        <v>0.5624269578585126</v>
      </c>
      <c r="IJ27">
        <v>1.6187016317407189E-3</v>
      </c>
      <c r="IK27">
        <v>1.4341569744255341E-7</v>
      </c>
      <c r="IL27">
        <v>-2.4096625942085749E-10</v>
      </c>
      <c r="IM27">
        <v>9.4352176073621452E-2</v>
      </c>
      <c r="IN27">
        <v>0</v>
      </c>
      <c r="IO27">
        <v>0</v>
      </c>
      <c r="IP27">
        <v>0</v>
      </c>
      <c r="IQ27">
        <v>4</v>
      </c>
      <c r="IR27">
        <v>2205</v>
      </c>
      <c r="IS27">
        <v>1</v>
      </c>
      <c r="IT27">
        <v>21</v>
      </c>
      <c r="IU27">
        <v>0.6</v>
      </c>
      <c r="IV27">
        <v>0.6</v>
      </c>
      <c r="IW27">
        <v>1.3732899999999999</v>
      </c>
      <c r="IX27">
        <v>2.4621599999999999</v>
      </c>
      <c r="IY27">
        <v>1.49414</v>
      </c>
      <c r="IZ27">
        <v>2.3046899999999999</v>
      </c>
      <c r="JA27">
        <v>1.69434</v>
      </c>
      <c r="JB27">
        <v>2.2875999999999999</v>
      </c>
      <c r="JC27">
        <v>41.378100000000003</v>
      </c>
      <c r="JD27">
        <v>23.527100000000001</v>
      </c>
      <c r="JE27">
        <v>18</v>
      </c>
      <c r="JF27">
        <v>524.56399999999996</v>
      </c>
      <c r="JG27">
        <v>440.66399999999999</v>
      </c>
      <c r="JH27">
        <v>24.729299999999999</v>
      </c>
      <c r="JI27">
        <v>31.6906</v>
      </c>
      <c r="JJ27">
        <v>30.0001</v>
      </c>
      <c r="JK27">
        <v>31.6434</v>
      </c>
      <c r="JL27">
        <v>31.6144</v>
      </c>
      <c r="JM27">
        <v>27.556899999999999</v>
      </c>
      <c r="JN27">
        <v>38.480600000000003</v>
      </c>
      <c r="JO27">
        <v>0</v>
      </c>
      <c r="JP27">
        <v>24.732600000000001</v>
      </c>
      <c r="JQ27">
        <v>600</v>
      </c>
      <c r="JR27">
        <v>17.447500000000002</v>
      </c>
      <c r="JS27">
        <v>99.290499999999994</v>
      </c>
      <c r="JT27">
        <v>99.430800000000005</v>
      </c>
    </row>
    <row r="28" spans="1:280" x14ac:dyDescent="0.25">
      <c r="A28">
        <v>12</v>
      </c>
      <c r="B28">
        <v>1674759543.5999999</v>
      </c>
      <c r="C28">
        <v>1486.5</v>
      </c>
      <c r="D28" t="s">
        <v>475</v>
      </c>
      <c r="E28" t="s">
        <v>476</v>
      </c>
      <c r="F28" t="s">
        <v>412</v>
      </c>
      <c r="G28" t="s">
        <v>413</v>
      </c>
      <c r="H28" t="s">
        <v>414</v>
      </c>
      <c r="I28">
        <v>1674759543.5999999</v>
      </c>
      <c r="J28">
        <f t="shared" si="0"/>
        <v>6.0278004304144548E-3</v>
      </c>
      <c r="K28">
        <f t="shared" si="1"/>
        <v>6.0278004304144543</v>
      </c>
      <c r="L28">
        <f t="shared" si="2"/>
        <v>58.599788271043884</v>
      </c>
      <c r="M28">
        <f t="shared" si="3"/>
        <v>724.471</v>
      </c>
      <c r="N28">
        <f t="shared" si="4"/>
        <v>518.62466834896406</v>
      </c>
      <c r="O28">
        <f t="shared" si="5"/>
        <v>51.442497388496726</v>
      </c>
      <c r="P28">
        <f t="shared" si="6"/>
        <v>71.860441278633701</v>
      </c>
      <c r="Q28">
        <f t="shared" si="7"/>
        <v>0.52592157724690458</v>
      </c>
      <c r="R28">
        <f t="shared" si="8"/>
        <v>2.915507296233288</v>
      </c>
      <c r="S28">
        <f t="shared" si="9"/>
        <v>0.47834032044227137</v>
      </c>
      <c r="T28">
        <f t="shared" si="10"/>
        <v>0.30287814251214162</v>
      </c>
      <c r="U28">
        <f t="shared" si="11"/>
        <v>344.35420126373685</v>
      </c>
      <c r="V28">
        <f t="shared" si="12"/>
        <v>28.465149745539556</v>
      </c>
      <c r="W28">
        <f t="shared" si="13"/>
        <v>27.503799999999998</v>
      </c>
      <c r="X28">
        <f t="shared" si="14"/>
        <v>3.6864426652187618</v>
      </c>
      <c r="Y28">
        <f t="shared" si="15"/>
        <v>65.227486088682156</v>
      </c>
      <c r="Z28">
        <f t="shared" si="16"/>
        <v>2.4753218144559099</v>
      </c>
      <c r="AA28">
        <f t="shared" si="17"/>
        <v>3.7949060478745191</v>
      </c>
      <c r="AB28">
        <f t="shared" si="18"/>
        <v>1.2111208507628519</v>
      </c>
      <c r="AC28">
        <f t="shared" si="19"/>
        <v>-265.82599898127745</v>
      </c>
      <c r="AD28">
        <f t="shared" si="20"/>
        <v>78.040281774523834</v>
      </c>
      <c r="AE28">
        <f t="shared" si="21"/>
        <v>5.8202546803188397</v>
      </c>
      <c r="AF28">
        <f t="shared" si="22"/>
        <v>162.38873873730208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52278.322086512766</v>
      </c>
      <c r="AL28" t="s">
        <v>415</v>
      </c>
      <c r="AM28">
        <v>10214.9</v>
      </c>
      <c r="AN28">
        <v>729.4384</v>
      </c>
      <c r="AO28">
        <v>3170.19</v>
      </c>
      <c r="AP28">
        <f t="shared" si="26"/>
        <v>0.76990704027203416</v>
      </c>
      <c r="AQ28">
        <v>-0.45549566560547827</v>
      </c>
      <c r="AR28" t="s">
        <v>477</v>
      </c>
      <c r="AS28">
        <v>10109.9</v>
      </c>
      <c r="AT28">
        <v>729.34738461538461</v>
      </c>
      <c r="AU28">
        <v>1132.6404513437919</v>
      </c>
      <c r="AV28">
        <f t="shared" si="27"/>
        <v>0.35606450948306734</v>
      </c>
      <c r="AW28">
        <v>0.5</v>
      </c>
      <c r="AX28">
        <f t="shared" si="28"/>
        <v>1513.1175006318683</v>
      </c>
      <c r="AY28">
        <f t="shared" si="29"/>
        <v>58.599788271043884</v>
      </c>
      <c r="AZ28">
        <f t="shared" si="30"/>
        <v>269.38372032636551</v>
      </c>
      <c r="BA28">
        <f t="shared" si="31"/>
        <v>3.9028881704155985E-2</v>
      </c>
      <c r="BB28">
        <f t="shared" si="32"/>
        <v>1.7989376471931673</v>
      </c>
      <c r="BC28">
        <f t="shared" si="33"/>
        <v>515.89687555991406</v>
      </c>
      <c r="BD28" t="s">
        <v>478</v>
      </c>
      <c r="BE28">
        <v>567.49</v>
      </c>
      <c r="BF28">
        <f t="shared" si="34"/>
        <v>567.49</v>
      </c>
      <c r="BG28">
        <f t="shared" si="35"/>
        <v>0.49896721477083372</v>
      </c>
      <c r="BH28">
        <f t="shared" si="36"/>
        <v>0.71360301627553047</v>
      </c>
      <c r="BI28">
        <f t="shared" si="37"/>
        <v>0.78285993339847404</v>
      </c>
      <c r="BJ28">
        <f t="shared" si="38"/>
        <v>1.0002257314522882</v>
      </c>
      <c r="BK28">
        <f t="shared" si="39"/>
        <v>0.83480414338608155</v>
      </c>
      <c r="BL28">
        <f t="shared" si="40"/>
        <v>0.55523963511537711</v>
      </c>
      <c r="BM28">
        <f t="shared" si="41"/>
        <v>0.44476036488462289</v>
      </c>
      <c r="BN28">
        <v>9304</v>
      </c>
      <c r="BO28">
        <v>290.00000000000011</v>
      </c>
      <c r="BP28">
        <v>1024.48</v>
      </c>
      <c r="BQ28">
        <v>165</v>
      </c>
      <c r="BR28">
        <v>10109.9</v>
      </c>
      <c r="BS28">
        <v>1024.71</v>
      </c>
      <c r="BT28">
        <v>-0.23</v>
      </c>
      <c r="BU28">
        <v>300.00000000000011</v>
      </c>
      <c r="BV28">
        <v>24.2</v>
      </c>
      <c r="BW28">
        <v>1132.6404513437919</v>
      </c>
      <c r="BX28">
        <v>1.752991298953585</v>
      </c>
      <c r="BY28">
        <v>-109.1190701196939</v>
      </c>
      <c r="BZ28">
        <v>1.575945243011531</v>
      </c>
      <c r="CA28">
        <v>0.99419356041511886</v>
      </c>
      <c r="CB28">
        <v>-6.9017383759733073E-3</v>
      </c>
      <c r="CC28">
        <v>289.99999999999989</v>
      </c>
      <c r="CD28">
        <v>1021.37</v>
      </c>
      <c r="CE28">
        <v>675</v>
      </c>
      <c r="CF28">
        <v>10076.5</v>
      </c>
      <c r="CG28">
        <v>1024.3499999999999</v>
      </c>
      <c r="CH28">
        <v>-2.98</v>
      </c>
      <c r="CV28">
        <f t="shared" si="42"/>
        <v>1799.92</v>
      </c>
      <c r="CW28">
        <f t="shared" si="43"/>
        <v>1513.1175006318683</v>
      </c>
      <c r="CX28">
        <f t="shared" si="44"/>
        <v>0.84065819627087224</v>
      </c>
      <c r="CY28">
        <f t="shared" si="45"/>
        <v>0.19131639254174454</v>
      </c>
      <c r="CZ28">
        <v>6</v>
      </c>
      <c r="DA28">
        <v>0.5</v>
      </c>
      <c r="DB28" t="s">
        <v>418</v>
      </c>
      <c r="DC28">
        <v>2</v>
      </c>
      <c r="DD28">
        <v>1674759543.5999999</v>
      </c>
      <c r="DE28">
        <v>724.471</v>
      </c>
      <c r="DF28">
        <v>800.03700000000003</v>
      </c>
      <c r="DG28">
        <v>24.955300000000001</v>
      </c>
      <c r="DH28">
        <v>17.901900000000001</v>
      </c>
      <c r="DI28">
        <v>722.40300000000002</v>
      </c>
      <c r="DJ28">
        <v>24.857299999999999</v>
      </c>
      <c r="DK28">
        <v>499.96100000000001</v>
      </c>
      <c r="DL28">
        <v>99.090699999999998</v>
      </c>
      <c r="DM28">
        <v>9.9524699999999994E-2</v>
      </c>
      <c r="DN28">
        <v>28.000299999999999</v>
      </c>
      <c r="DO28">
        <v>27.503799999999998</v>
      </c>
      <c r="DP28">
        <v>999.9</v>
      </c>
      <c r="DQ28">
        <v>0</v>
      </c>
      <c r="DR28">
        <v>0</v>
      </c>
      <c r="DS28">
        <v>10011.200000000001</v>
      </c>
      <c r="DT28">
        <v>0</v>
      </c>
      <c r="DU28">
        <v>292.87200000000001</v>
      </c>
      <c r="DV28">
        <v>-75.565700000000007</v>
      </c>
      <c r="DW28">
        <v>743.01300000000003</v>
      </c>
      <c r="DX28">
        <v>814.62</v>
      </c>
      <c r="DY28">
        <v>7.0533599999999996</v>
      </c>
      <c r="DZ28">
        <v>800.03700000000003</v>
      </c>
      <c r="EA28">
        <v>17.901900000000001</v>
      </c>
      <c r="EB28">
        <v>2.4728400000000001</v>
      </c>
      <c r="EC28">
        <v>1.7739199999999999</v>
      </c>
      <c r="ED28">
        <v>20.848800000000001</v>
      </c>
      <c r="EE28">
        <v>15.5588</v>
      </c>
      <c r="EF28">
        <v>1799.92</v>
      </c>
      <c r="EG28">
        <v>0.97799999999999998</v>
      </c>
      <c r="EH28">
        <v>2.19998E-2</v>
      </c>
      <c r="EI28">
        <v>0</v>
      </c>
      <c r="EJ28">
        <v>729.774</v>
      </c>
      <c r="EK28">
        <v>4.9990399999999999</v>
      </c>
      <c r="EL28">
        <v>13794.5</v>
      </c>
      <c r="EM28">
        <v>14820</v>
      </c>
      <c r="EN28">
        <v>49</v>
      </c>
      <c r="EO28">
        <v>50.5</v>
      </c>
      <c r="EP28">
        <v>50</v>
      </c>
      <c r="EQ28">
        <v>48.936999999999998</v>
      </c>
      <c r="ER28">
        <v>49.811999999999998</v>
      </c>
      <c r="ES28">
        <v>1755.43</v>
      </c>
      <c r="ET28">
        <v>39.49</v>
      </c>
      <c r="EU28">
        <v>0</v>
      </c>
      <c r="EV28">
        <v>113.4000000953674</v>
      </c>
      <c r="EW28">
        <v>0</v>
      </c>
      <c r="EX28">
        <v>729.34738461538461</v>
      </c>
      <c r="EY28">
        <v>0.82270085271934101</v>
      </c>
      <c r="EZ28">
        <v>50.823931631737608</v>
      </c>
      <c r="FA28">
        <v>13789.83076923077</v>
      </c>
      <c r="FB28">
        <v>15</v>
      </c>
      <c r="FC28">
        <v>1674759507.0999999</v>
      </c>
      <c r="FD28" t="s">
        <v>479</v>
      </c>
      <c r="FE28">
        <v>1674759495.5999999</v>
      </c>
      <c r="FF28">
        <v>1674759507.0999999</v>
      </c>
      <c r="FG28">
        <v>16</v>
      </c>
      <c r="FH28">
        <v>0.35199999999999998</v>
      </c>
      <c r="FI28">
        <v>4.0000000000000001E-3</v>
      </c>
      <c r="FJ28">
        <v>2.1760000000000002</v>
      </c>
      <c r="FK28">
        <v>0.04</v>
      </c>
      <c r="FL28">
        <v>800</v>
      </c>
      <c r="FM28">
        <v>17</v>
      </c>
      <c r="FN28">
        <v>0.03</v>
      </c>
      <c r="FO28">
        <v>0.01</v>
      </c>
      <c r="FP28">
        <v>58.751805144208006</v>
      </c>
      <c r="FQ28">
        <v>-0.61795469201206532</v>
      </c>
      <c r="FR28">
        <v>0.11030714257829941</v>
      </c>
      <c r="FS28">
        <v>1</v>
      </c>
      <c r="FT28">
        <v>0.53298213065544431</v>
      </c>
      <c r="FU28">
        <v>-2.556669751172291E-2</v>
      </c>
      <c r="FV28">
        <v>4.2299632368435636E-3</v>
      </c>
      <c r="FW28">
        <v>1</v>
      </c>
      <c r="FX28">
        <v>2</v>
      </c>
      <c r="FY28">
        <v>2</v>
      </c>
      <c r="FZ28" t="s">
        <v>420</v>
      </c>
      <c r="GA28">
        <v>2.9329399999999999</v>
      </c>
      <c r="GB28">
        <v>2.8330799999999998</v>
      </c>
      <c r="GC28">
        <v>0.137707</v>
      </c>
      <c r="GD28">
        <v>0.14468400000000001</v>
      </c>
      <c r="GE28">
        <v>0.121962</v>
      </c>
      <c r="GF28">
        <v>9.3320799999999995E-2</v>
      </c>
      <c r="GG28">
        <v>22376.799999999999</v>
      </c>
      <c r="GH28">
        <v>27858</v>
      </c>
      <c r="GI28">
        <v>23348</v>
      </c>
      <c r="GJ28">
        <v>29840.799999999999</v>
      </c>
      <c r="GK28">
        <v>27904.799999999999</v>
      </c>
      <c r="GL28">
        <v>38481.199999999997</v>
      </c>
      <c r="GM28">
        <v>32969.800000000003</v>
      </c>
      <c r="GN28">
        <v>44277.2</v>
      </c>
      <c r="GO28">
        <v>1.9876499999999999</v>
      </c>
      <c r="GP28">
        <v>1.8266800000000001</v>
      </c>
      <c r="GQ28">
        <v>6.0014400000000002E-2</v>
      </c>
      <c r="GR28">
        <v>0</v>
      </c>
      <c r="GS28">
        <v>26.522400000000001</v>
      </c>
      <c r="GT28">
        <v>999.9</v>
      </c>
      <c r="GU28">
        <v>42.2</v>
      </c>
      <c r="GV28">
        <v>36.700000000000003</v>
      </c>
      <c r="GW28">
        <v>26.416499999999999</v>
      </c>
      <c r="GX28">
        <v>61.250900000000001</v>
      </c>
      <c r="GY28">
        <v>36.8429</v>
      </c>
      <c r="GZ28">
        <v>1</v>
      </c>
      <c r="HA28">
        <v>0.34638200000000002</v>
      </c>
      <c r="HB28">
        <v>2.0377000000000001</v>
      </c>
      <c r="HC28">
        <v>20.264399999999998</v>
      </c>
      <c r="HD28">
        <v>5.2057599999999997</v>
      </c>
      <c r="HE28">
        <v>11.872199999999999</v>
      </c>
      <c r="HF28">
        <v>4.9835500000000001</v>
      </c>
      <c r="HG28">
        <v>3.2832499999999998</v>
      </c>
      <c r="HH28">
        <v>9999</v>
      </c>
      <c r="HI28">
        <v>9999</v>
      </c>
      <c r="HJ28">
        <v>9999</v>
      </c>
      <c r="HK28">
        <v>999.9</v>
      </c>
      <c r="HL28">
        <v>1.8549599999999999</v>
      </c>
      <c r="HM28">
        <v>1.8609800000000001</v>
      </c>
      <c r="HN28">
        <v>1.8583799999999999</v>
      </c>
      <c r="HO28">
        <v>1.8595900000000001</v>
      </c>
      <c r="HP28">
        <v>1.8589800000000001</v>
      </c>
      <c r="HQ28">
        <v>1.8594599999999999</v>
      </c>
      <c r="HR28">
        <v>1.85785</v>
      </c>
      <c r="HS28">
        <v>1.86113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2.0680000000000001</v>
      </c>
      <c r="IH28">
        <v>9.8000000000000004E-2</v>
      </c>
      <c r="II28">
        <v>0.91477389091943273</v>
      </c>
      <c r="IJ28">
        <v>1.6187016317407189E-3</v>
      </c>
      <c r="IK28">
        <v>1.4341569744255341E-7</v>
      </c>
      <c r="IL28">
        <v>-2.4096625942085749E-10</v>
      </c>
      <c r="IM28">
        <v>9.7989016785529293E-2</v>
      </c>
      <c r="IN28">
        <v>0</v>
      </c>
      <c r="IO28">
        <v>0</v>
      </c>
      <c r="IP28">
        <v>0</v>
      </c>
      <c r="IQ28">
        <v>4</v>
      </c>
      <c r="IR28">
        <v>2205</v>
      </c>
      <c r="IS28">
        <v>1</v>
      </c>
      <c r="IT28">
        <v>21</v>
      </c>
      <c r="IU28">
        <v>0.8</v>
      </c>
      <c r="IV28">
        <v>0.6</v>
      </c>
      <c r="IW28">
        <v>1.74316</v>
      </c>
      <c r="IX28">
        <v>2.4475099999999999</v>
      </c>
      <c r="IY28">
        <v>1.49414</v>
      </c>
      <c r="IZ28">
        <v>2.3046899999999999</v>
      </c>
      <c r="JA28">
        <v>1.69434</v>
      </c>
      <c r="JB28">
        <v>2.3535200000000001</v>
      </c>
      <c r="JC28">
        <v>41.4041</v>
      </c>
      <c r="JD28">
        <v>23.535900000000002</v>
      </c>
      <c r="JE28">
        <v>18</v>
      </c>
      <c r="JF28">
        <v>524.11599999999999</v>
      </c>
      <c r="JG28">
        <v>441.65199999999999</v>
      </c>
      <c r="JH28">
        <v>24.714099999999998</v>
      </c>
      <c r="JI28">
        <v>31.6877</v>
      </c>
      <c r="JJ28">
        <v>29.9999</v>
      </c>
      <c r="JK28">
        <v>31.635899999999999</v>
      </c>
      <c r="JL28">
        <v>31.608799999999999</v>
      </c>
      <c r="JM28">
        <v>34.959600000000002</v>
      </c>
      <c r="JN28">
        <v>36.289400000000001</v>
      </c>
      <c r="JO28">
        <v>0</v>
      </c>
      <c r="JP28">
        <v>24.714700000000001</v>
      </c>
      <c r="JQ28">
        <v>800</v>
      </c>
      <c r="JR28">
        <v>17.831800000000001</v>
      </c>
      <c r="JS28">
        <v>99.300299999999993</v>
      </c>
      <c r="JT28">
        <v>99.431200000000004</v>
      </c>
    </row>
    <row r="29" spans="1:280" x14ac:dyDescent="0.25">
      <c r="A29">
        <v>13</v>
      </c>
      <c r="B29">
        <v>1674759654.5</v>
      </c>
      <c r="C29">
        <v>1597.400000095367</v>
      </c>
      <c r="D29" t="s">
        <v>480</v>
      </c>
      <c r="E29" t="s">
        <v>481</v>
      </c>
      <c r="F29" t="s">
        <v>412</v>
      </c>
      <c r="G29" t="s">
        <v>413</v>
      </c>
      <c r="H29" t="s">
        <v>414</v>
      </c>
      <c r="I29">
        <v>1674759654.5</v>
      </c>
      <c r="J29">
        <f t="shared" si="0"/>
        <v>5.8314424176378055E-3</v>
      </c>
      <c r="K29">
        <f t="shared" si="1"/>
        <v>5.8314424176378052</v>
      </c>
      <c r="L29">
        <f t="shared" si="2"/>
        <v>58.233934968926953</v>
      </c>
      <c r="M29">
        <f t="shared" si="3"/>
        <v>1122.2</v>
      </c>
      <c r="N29">
        <f t="shared" si="4"/>
        <v>901.80950091083275</v>
      </c>
      <c r="O29">
        <f t="shared" si="5"/>
        <v>89.450525427677803</v>
      </c>
      <c r="P29">
        <f t="shared" si="6"/>
        <v>111.31106906010001</v>
      </c>
      <c r="Q29">
        <f t="shared" si="7"/>
        <v>0.50368686019139608</v>
      </c>
      <c r="R29">
        <f t="shared" si="8"/>
        <v>2.912007652128068</v>
      </c>
      <c r="S29">
        <f t="shared" si="9"/>
        <v>0.45981672772279286</v>
      </c>
      <c r="T29">
        <f t="shared" si="10"/>
        <v>0.291007927576929</v>
      </c>
      <c r="U29">
        <f t="shared" si="11"/>
        <v>344.35040126375088</v>
      </c>
      <c r="V29">
        <f t="shared" si="12"/>
        <v>28.515764195198425</v>
      </c>
      <c r="W29">
        <f t="shared" si="13"/>
        <v>27.525600000000001</v>
      </c>
      <c r="X29">
        <f t="shared" si="14"/>
        <v>3.6911475884810234</v>
      </c>
      <c r="Y29">
        <f t="shared" si="15"/>
        <v>65.152205948856988</v>
      </c>
      <c r="Z29">
        <f t="shared" si="16"/>
        <v>2.4722920460784001</v>
      </c>
      <c r="AA29">
        <f t="shared" si="17"/>
        <v>3.7946405805800247</v>
      </c>
      <c r="AB29">
        <f t="shared" si="18"/>
        <v>1.2188555424026233</v>
      </c>
      <c r="AC29">
        <f t="shared" si="19"/>
        <v>-257.16661061782725</v>
      </c>
      <c r="AD29">
        <f t="shared" si="20"/>
        <v>74.335786122413353</v>
      </c>
      <c r="AE29">
        <f t="shared" si="21"/>
        <v>5.551205594535519</v>
      </c>
      <c r="AF29">
        <f t="shared" si="22"/>
        <v>167.07078236287254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52178.292636027531</v>
      </c>
      <c r="AL29" t="s">
        <v>415</v>
      </c>
      <c r="AM29">
        <v>10214.9</v>
      </c>
      <c r="AN29">
        <v>729.4384</v>
      </c>
      <c r="AO29">
        <v>3170.19</v>
      </c>
      <c r="AP29">
        <f t="shared" si="26"/>
        <v>0.76990704027203416</v>
      </c>
      <c r="AQ29">
        <v>-0.45549566560547827</v>
      </c>
      <c r="AR29" t="s">
        <v>482</v>
      </c>
      <c r="AS29">
        <v>10104</v>
      </c>
      <c r="AT29">
        <v>730.72423076923087</v>
      </c>
      <c r="AU29">
        <v>1142.7528274423071</v>
      </c>
      <c r="AV29">
        <f t="shared" si="27"/>
        <v>0.36055793237044331</v>
      </c>
      <c r="AW29">
        <v>0.5</v>
      </c>
      <c r="AX29">
        <f t="shared" si="28"/>
        <v>1513.1007006318755</v>
      </c>
      <c r="AY29">
        <f t="shared" si="29"/>
        <v>58.233934968926953</v>
      </c>
      <c r="AZ29">
        <f t="shared" si="30"/>
        <v>272.78023004404906</v>
      </c>
      <c r="BA29">
        <f t="shared" si="31"/>
        <v>3.8787524591075491E-2</v>
      </c>
      <c r="BB29">
        <f t="shared" si="32"/>
        <v>1.7741694650587509</v>
      </c>
      <c r="BC29">
        <f t="shared" si="33"/>
        <v>517.98467438589626</v>
      </c>
      <c r="BD29" t="s">
        <v>483</v>
      </c>
      <c r="BE29">
        <v>568.47</v>
      </c>
      <c r="BF29">
        <f t="shared" si="34"/>
        <v>568.47</v>
      </c>
      <c r="BG29">
        <f t="shared" si="35"/>
        <v>0.50254334415225954</v>
      </c>
      <c r="BH29">
        <f t="shared" si="36"/>
        <v>0.71746633711499752</v>
      </c>
      <c r="BI29">
        <f t="shared" si="37"/>
        <v>0.77926801214492447</v>
      </c>
      <c r="BJ29">
        <f t="shared" si="38"/>
        <v>0.99688897680831534</v>
      </c>
      <c r="BK29">
        <f t="shared" si="39"/>
        <v>0.83066100317528946</v>
      </c>
      <c r="BL29">
        <f t="shared" si="40"/>
        <v>0.5581559656649292</v>
      </c>
      <c r="BM29">
        <f t="shared" si="41"/>
        <v>0.4418440343350708</v>
      </c>
      <c r="BN29">
        <v>9306</v>
      </c>
      <c r="BO29">
        <v>290.00000000000011</v>
      </c>
      <c r="BP29">
        <v>1029.06</v>
      </c>
      <c r="BQ29">
        <v>205</v>
      </c>
      <c r="BR29">
        <v>10104</v>
      </c>
      <c r="BS29">
        <v>1029.5899999999999</v>
      </c>
      <c r="BT29">
        <v>-0.53</v>
      </c>
      <c r="BU29">
        <v>300.00000000000011</v>
      </c>
      <c r="BV29">
        <v>24.2</v>
      </c>
      <c r="BW29">
        <v>1142.7528274423071</v>
      </c>
      <c r="BX29">
        <v>2.224949107290203</v>
      </c>
      <c r="BY29">
        <v>-114.34310305383281</v>
      </c>
      <c r="BZ29">
        <v>2.0002158177999529</v>
      </c>
      <c r="CA29">
        <v>0.99150454764360829</v>
      </c>
      <c r="CB29">
        <v>-6.9016809788654057E-3</v>
      </c>
      <c r="CC29">
        <v>289.99999999999989</v>
      </c>
      <c r="CD29">
        <v>1025.44</v>
      </c>
      <c r="CE29">
        <v>645</v>
      </c>
      <c r="CF29">
        <v>10078.200000000001</v>
      </c>
      <c r="CG29">
        <v>1029.3</v>
      </c>
      <c r="CH29">
        <v>-3.86</v>
      </c>
      <c r="CV29">
        <f t="shared" si="42"/>
        <v>1799.9</v>
      </c>
      <c r="CW29">
        <f t="shared" si="43"/>
        <v>1513.1007006318755</v>
      </c>
      <c r="CX29">
        <f t="shared" si="44"/>
        <v>0.84065820358457433</v>
      </c>
      <c r="CY29">
        <f t="shared" si="45"/>
        <v>0.19131640716914877</v>
      </c>
      <c r="CZ29">
        <v>6</v>
      </c>
      <c r="DA29">
        <v>0.5</v>
      </c>
      <c r="DB29" t="s">
        <v>418</v>
      </c>
      <c r="DC29">
        <v>2</v>
      </c>
      <c r="DD29">
        <v>1674759654.5</v>
      </c>
      <c r="DE29">
        <v>1122.2</v>
      </c>
      <c r="DF29">
        <v>1199.93</v>
      </c>
      <c r="DG29">
        <v>24.924800000000001</v>
      </c>
      <c r="DH29">
        <v>18.101800000000001</v>
      </c>
      <c r="DI29">
        <v>1119.6600000000001</v>
      </c>
      <c r="DJ29">
        <v>24.820699999999999</v>
      </c>
      <c r="DK29">
        <v>500.02300000000002</v>
      </c>
      <c r="DL29">
        <v>99.090100000000007</v>
      </c>
      <c r="DM29">
        <v>9.9945500000000007E-2</v>
      </c>
      <c r="DN29">
        <v>27.999099999999999</v>
      </c>
      <c r="DO29">
        <v>27.525600000000001</v>
      </c>
      <c r="DP29">
        <v>999.9</v>
      </c>
      <c r="DQ29">
        <v>0</v>
      </c>
      <c r="DR29">
        <v>0</v>
      </c>
      <c r="DS29">
        <v>9991.25</v>
      </c>
      <c r="DT29">
        <v>0</v>
      </c>
      <c r="DU29">
        <v>301.22699999999998</v>
      </c>
      <c r="DV29">
        <v>-77.731700000000004</v>
      </c>
      <c r="DW29">
        <v>1150.8800000000001</v>
      </c>
      <c r="DX29">
        <v>1222.05</v>
      </c>
      <c r="DY29">
        <v>6.82301</v>
      </c>
      <c r="DZ29">
        <v>1199.93</v>
      </c>
      <c r="EA29">
        <v>18.101800000000001</v>
      </c>
      <c r="EB29">
        <v>2.4698000000000002</v>
      </c>
      <c r="EC29">
        <v>1.7937099999999999</v>
      </c>
      <c r="ED29">
        <v>20.828800000000001</v>
      </c>
      <c r="EE29">
        <v>15.732100000000001</v>
      </c>
      <c r="EF29">
        <v>1799.9</v>
      </c>
      <c r="EG29">
        <v>0.97799999999999998</v>
      </c>
      <c r="EH29">
        <v>2.19998E-2</v>
      </c>
      <c r="EI29">
        <v>0</v>
      </c>
      <c r="EJ29">
        <v>730.75800000000004</v>
      </c>
      <c r="EK29">
        <v>4.9990399999999999</v>
      </c>
      <c r="EL29">
        <v>13850</v>
      </c>
      <c r="EM29">
        <v>14819.8</v>
      </c>
      <c r="EN29">
        <v>49</v>
      </c>
      <c r="EO29">
        <v>50.5</v>
      </c>
      <c r="EP29">
        <v>50</v>
      </c>
      <c r="EQ29">
        <v>48.875</v>
      </c>
      <c r="ER29">
        <v>49.811999999999998</v>
      </c>
      <c r="ES29">
        <v>1755.41</v>
      </c>
      <c r="ET29">
        <v>39.49</v>
      </c>
      <c r="EU29">
        <v>0</v>
      </c>
      <c r="EV29">
        <v>108.7999999523163</v>
      </c>
      <c r="EW29">
        <v>0</v>
      </c>
      <c r="EX29">
        <v>730.72423076923087</v>
      </c>
      <c r="EY29">
        <v>0.95958973764413669</v>
      </c>
      <c r="EZ29">
        <v>-3.7401709276217998</v>
      </c>
      <c r="FA29">
        <v>13851.346153846151</v>
      </c>
      <c r="FB29">
        <v>15</v>
      </c>
      <c r="FC29">
        <v>1674759619.0999999</v>
      </c>
      <c r="FD29" t="s">
        <v>484</v>
      </c>
      <c r="FE29">
        <v>1674759619.0999999</v>
      </c>
      <c r="FF29">
        <v>1674759614.0999999</v>
      </c>
      <c r="FG29">
        <v>17</v>
      </c>
      <c r="FH29">
        <v>-3.2000000000000001E-2</v>
      </c>
      <c r="FI29">
        <v>6.0000000000000001E-3</v>
      </c>
      <c r="FJ29">
        <v>2.6139999999999999</v>
      </c>
      <c r="FK29">
        <v>5.3999999999999999E-2</v>
      </c>
      <c r="FL29">
        <v>1201</v>
      </c>
      <c r="FM29">
        <v>18</v>
      </c>
      <c r="FN29">
        <v>0.04</v>
      </c>
      <c r="FO29">
        <v>0.01</v>
      </c>
      <c r="FP29">
        <v>58.352077189450419</v>
      </c>
      <c r="FQ29">
        <v>-0.51128634516394733</v>
      </c>
      <c r="FR29">
        <v>0.12102897946251449</v>
      </c>
      <c r="FS29">
        <v>1</v>
      </c>
      <c r="FT29">
        <v>0.50710257991649699</v>
      </c>
      <c r="FU29">
        <v>2.19597574359667E-2</v>
      </c>
      <c r="FV29">
        <v>3.777809958968769E-3</v>
      </c>
      <c r="FW29">
        <v>1</v>
      </c>
      <c r="FX29">
        <v>2</v>
      </c>
      <c r="FY29">
        <v>2</v>
      </c>
      <c r="FZ29" t="s">
        <v>420</v>
      </c>
      <c r="GA29">
        <v>2.9331100000000001</v>
      </c>
      <c r="GB29">
        <v>2.8333300000000001</v>
      </c>
      <c r="GC29">
        <v>0.18304899999999999</v>
      </c>
      <c r="GD29">
        <v>0.18768899999999999</v>
      </c>
      <c r="GE29">
        <v>0.12184</v>
      </c>
      <c r="GF29">
        <v>9.4061099999999995E-2</v>
      </c>
      <c r="GG29">
        <v>21200.5</v>
      </c>
      <c r="GH29">
        <v>26456.3</v>
      </c>
      <c r="GI29">
        <v>23349</v>
      </c>
      <c r="GJ29">
        <v>29840.7</v>
      </c>
      <c r="GK29">
        <v>27910.7</v>
      </c>
      <c r="GL29">
        <v>38450</v>
      </c>
      <c r="GM29">
        <v>32971.1</v>
      </c>
      <c r="GN29">
        <v>44276.7</v>
      </c>
      <c r="GO29">
        <v>1.9879199999999999</v>
      </c>
      <c r="GP29">
        <v>1.8288199999999999</v>
      </c>
      <c r="GQ29">
        <v>6.1541800000000001E-2</v>
      </c>
      <c r="GR29">
        <v>0</v>
      </c>
      <c r="GS29">
        <v>26.519200000000001</v>
      </c>
      <c r="GT29">
        <v>999.9</v>
      </c>
      <c r="GU29">
        <v>42.1</v>
      </c>
      <c r="GV29">
        <v>36.700000000000003</v>
      </c>
      <c r="GW29">
        <v>26.3507</v>
      </c>
      <c r="GX29">
        <v>60.890900000000002</v>
      </c>
      <c r="GY29">
        <v>36.798900000000003</v>
      </c>
      <c r="GZ29">
        <v>1</v>
      </c>
      <c r="HA29">
        <v>0.34603899999999999</v>
      </c>
      <c r="HB29">
        <v>2.1637400000000002</v>
      </c>
      <c r="HC29">
        <v>20.263300000000001</v>
      </c>
      <c r="HD29">
        <v>5.2078600000000002</v>
      </c>
      <c r="HE29">
        <v>11.872199999999999</v>
      </c>
      <c r="HF29">
        <v>4.9844999999999997</v>
      </c>
      <c r="HG29">
        <v>3.2837800000000001</v>
      </c>
      <c r="HH29">
        <v>9999</v>
      </c>
      <c r="HI29">
        <v>9999</v>
      </c>
      <c r="HJ29">
        <v>9999</v>
      </c>
      <c r="HK29">
        <v>999.9</v>
      </c>
      <c r="HL29">
        <v>1.85497</v>
      </c>
      <c r="HM29">
        <v>1.8609599999999999</v>
      </c>
      <c r="HN29">
        <v>1.8583700000000001</v>
      </c>
      <c r="HO29">
        <v>1.8595900000000001</v>
      </c>
      <c r="HP29">
        <v>1.8589599999999999</v>
      </c>
      <c r="HQ29">
        <v>1.85945</v>
      </c>
      <c r="HR29">
        <v>1.85785</v>
      </c>
      <c r="HS29">
        <v>1.86113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2.54</v>
      </c>
      <c r="IH29">
        <v>0.1041</v>
      </c>
      <c r="II29">
        <v>0.8833988919586182</v>
      </c>
      <c r="IJ29">
        <v>1.6187016317407189E-3</v>
      </c>
      <c r="IK29">
        <v>1.4341569744255341E-7</v>
      </c>
      <c r="IL29">
        <v>-2.4096625942085749E-10</v>
      </c>
      <c r="IM29">
        <v>0.10410425109161681</v>
      </c>
      <c r="IN29">
        <v>0</v>
      </c>
      <c r="IO29">
        <v>0</v>
      </c>
      <c r="IP29">
        <v>0</v>
      </c>
      <c r="IQ29">
        <v>4</v>
      </c>
      <c r="IR29">
        <v>2205</v>
      </c>
      <c r="IS29">
        <v>1</v>
      </c>
      <c r="IT29">
        <v>21</v>
      </c>
      <c r="IU29">
        <v>0.6</v>
      </c>
      <c r="IV29">
        <v>0.7</v>
      </c>
      <c r="IW29">
        <v>2.4401899999999999</v>
      </c>
      <c r="IX29">
        <v>2.4426299999999999</v>
      </c>
      <c r="IY29">
        <v>1.49414</v>
      </c>
      <c r="IZ29">
        <v>2.3046899999999999</v>
      </c>
      <c r="JA29">
        <v>1.69434</v>
      </c>
      <c r="JB29">
        <v>2.3596200000000001</v>
      </c>
      <c r="JC29">
        <v>41.4041</v>
      </c>
      <c r="JD29">
        <v>23.544599999999999</v>
      </c>
      <c r="JE29">
        <v>18</v>
      </c>
      <c r="JF29">
        <v>524.20299999999997</v>
      </c>
      <c r="JG29">
        <v>443.04500000000002</v>
      </c>
      <c r="JH29">
        <v>24.659099999999999</v>
      </c>
      <c r="JI29">
        <v>31.676300000000001</v>
      </c>
      <c r="JJ29">
        <v>30.0001</v>
      </c>
      <c r="JK29">
        <v>31.6248</v>
      </c>
      <c r="JL29">
        <v>31.597799999999999</v>
      </c>
      <c r="JM29">
        <v>48.9</v>
      </c>
      <c r="JN29">
        <v>35.157499999999999</v>
      </c>
      <c r="JO29">
        <v>0</v>
      </c>
      <c r="JP29">
        <v>24.658200000000001</v>
      </c>
      <c r="JQ29">
        <v>1200</v>
      </c>
      <c r="JR29">
        <v>18.197399999999998</v>
      </c>
      <c r="JS29">
        <v>99.304299999999998</v>
      </c>
      <c r="JT29">
        <v>99.430300000000003</v>
      </c>
    </row>
    <row r="30" spans="1:280" x14ac:dyDescent="0.25">
      <c r="A30">
        <v>14</v>
      </c>
      <c r="B30">
        <v>1674759763.5</v>
      </c>
      <c r="C30">
        <v>1706.400000095367</v>
      </c>
      <c r="D30" t="s">
        <v>485</v>
      </c>
      <c r="E30" t="s">
        <v>486</v>
      </c>
      <c r="F30" t="s">
        <v>412</v>
      </c>
      <c r="G30" t="s">
        <v>413</v>
      </c>
      <c r="H30" t="s">
        <v>414</v>
      </c>
      <c r="I30">
        <v>1674759763.5</v>
      </c>
      <c r="J30">
        <f t="shared" si="0"/>
        <v>5.5381608109346175E-3</v>
      </c>
      <c r="K30">
        <f t="shared" si="1"/>
        <v>5.5381608109346177</v>
      </c>
      <c r="L30">
        <f t="shared" si="2"/>
        <v>57.604509030823998</v>
      </c>
      <c r="M30">
        <f t="shared" si="3"/>
        <v>1421.54</v>
      </c>
      <c r="N30">
        <f t="shared" si="4"/>
        <v>1185.4517214479686</v>
      </c>
      <c r="O30">
        <f t="shared" si="5"/>
        <v>117.58163058416466</v>
      </c>
      <c r="P30">
        <f t="shared" si="6"/>
        <v>140.998564611684</v>
      </c>
      <c r="Q30">
        <f t="shared" si="7"/>
        <v>0.47301281291908359</v>
      </c>
      <c r="R30">
        <f t="shared" si="8"/>
        <v>2.9165498514264336</v>
      </c>
      <c r="S30">
        <f t="shared" si="9"/>
        <v>0.43415765872157852</v>
      </c>
      <c r="T30">
        <f t="shared" si="10"/>
        <v>0.27457305005345517</v>
      </c>
      <c r="U30">
        <f t="shared" si="11"/>
        <v>344.40740126354024</v>
      </c>
      <c r="V30">
        <f t="shared" si="12"/>
        <v>28.600585316114767</v>
      </c>
      <c r="W30">
        <f t="shared" si="13"/>
        <v>27.566500000000001</v>
      </c>
      <c r="X30">
        <f t="shared" si="14"/>
        <v>3.6999888550450044</v>
      </c>
      <c r="Y30">
        <f t="shared" si="15"/>
        <v>65.167460598930006</v>
      </c>
      <c r="Z30">
        <f t="shared" si="16"/>
        <v>2.4741253821023999</v>
      </c>
      <c r="AA30">
        <f t="shared" si="17"/>
        <v>3.7965655855907676</v>
      </c>
      <c r="AB30">
        <f t="shared" si="18"/>
        <v>1.2258634729426046</v>
      </c>
      <c r="AC30">
        <f t="shared" si="19"/>
        <v>-244.23289176221664</v>
      </c>
      <c r="AD30">
        <f t="shared" si="20"/>
        <v>69.388703805911689</v>
      </c>
      <c r="AE30">
        <f t="shared" si="21"/>
        <v>5.1749796757383262</v>
      </c>
      <c r="AF30">
        <f t="shared" si="22"/>
        <v>174.7381929829736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52306.818775576299</v>
      </c>
      <c r="AL30" t="s">
        <v>415</v>
      </c>
      <c r="AM30">
        <v>10214.9</v>
      </c>
      <c r="AN30">
        <v>729.4384</v>
      </c>
      <c r="AO30">
        <v>3170.19</v>
      </c>
      <c r="AP30">
        <f t="shared" si="26"/>
        <v>0.76990704027203416</v>
      </c>
      <c r="AQ30">
        <v>-0.45549566560547827</v>
      </c>
      <c r="AR30" t="s">
        <v>487</v>
      </c>
      <c r="AS30">
        <v>10095.299999999999</v>
      </c>
      <c r="AT30">
        <v>732.29384000000005</v>
      </c>
      <c r="AU30">
        <v>1139.3627111669839</v>
      </c>
      <c r="AV30">
        <f t="shared" si="27"/>
        <v>0.35727768442592489</v>
      </c>
      <c r="AW30">
        <v>0.5</v>
      </c>
      <c r="AX30">
        <f t="shared" si="28"/>
        <v>1513.3527006317699</v>
      </c>
      <c r="AY30">
        <f t="shared" si="29"/>
        <v>57.604509030823998</v>
      </c>
      <c r="AZ30">
        <f t="shared" si="30"/>
        <v>270.34357430071935</v>
      </c>
      <c r="BA30">
        <f t="shared" si="31"/>
        <v>3.8365150881345456E-2</v>
      </c>
      <c r="BB30">
        <f t="shared" si="32"/>
        <v>1.7824238663673275</v>
      </c>
      <c r="BC30">
        <f t="shared" si="33"/>
        <v>517.28700644344974</v>
      </c>
      <c r="BD30" t="s">
        <v>488</v>
      </c>
      <c r="BE30">
        <v>567.77</v>
      </c>
      <c r="BF30">
        <f t="shared" si="34"/>
        <v>567.77</v>
      </c>
      <c r="BG30">
        <f t="shared" si="35"/>
        <v>0.50167756550636478</v>
      </c>
      <c r="BH30">
        <f t="shared" si="36"/>
        <v>0.71216595875741251</v>
      </c>
      <c r="BI30">
        <f t="shared" si="37"/>
        <v>0.7803610826972649</v>
      </c>
      <c r="BJ30">
        <f t="shared" si="38"/>
        <v>0.99303422626515836</v>
      </c>
      <c r="BK30">
        <f t="shared" si="39"/>
        <v>0.8320499672449323</v>
      </c>
      <c r="BL30">
        <f t="shared" si="40"/>
        <v>0.55216423287637661</v>
      </c>
      <c r="BM30">
        <f t="shared" si="41"/>
        <v>0.44783576712362339</v>
      </c>
      <c r="BN30">
        <v>9308</v>
      </c>
      <c r="BO30">
        <v>290.00000000000011</v>
      </c>
      <c r="BP30">
        <v>1031.78</v>
      </c>
      <c r="BQ30">
        <v>275</v>
      </c>
      <c r="BR30">
        <v>10095.299999999999</v>
      </c>
      <c r="BS30">
        <v>1031.81</v>
      </c>
      <c r="BT30">
        <v>-0.03</v>
      </c>
      <c r="BU30">
        <v>300.00000000000011</v>
      </c>
      <c r="BV30">
        <v>24.2</v>
      </c>
      <c r="BW30">
        <v>1139.3627111669839</v>
      </c>
      <c r="BX30">
        <v>2.0186667647141259</v>
      </c>
      <c r="BY30">
        <v>-108.5805638453035</v>
      </c>
      <c r="BZ30">
        <v>1.814776463156011</v>
      </c>
      <c r="CA30">
        <v>0.99223902248675999</v>
      </c>
      <c r="CB30">
        <v>-6.9017882091212436E-3</v>
      </c>
      <c r="CC30">
        <v>289.99999999999989</v>
      </c>
      <c r="CD30">
        <v>1028.97</v>
      </c>
      <c r="CE30">
        <v>635</v>
      </c>
      <c r="CF30">
        <v>10078.799999999999</v>
      </c>
      <c r="CG30">
        <v>1031.6300000000001</v>
      </c>
      <c r="CH30">
        <v>-2.66</v>
      </c>
      <c r="CV30">
        <f t="shared" si="42"/>
        <v>1800.2</v>
      </c>
      <c r="CW30">
        <f t="shared" si="43"/>
        <v>1513.3527006317699</v>
      </c>
      <c r="CX30">
        <f t="shared" si="44"/>
        <v>0.84065809389610591</v>
      </c>
      <c r="CY30">
        <f t="shared" si="45"/>
        <v>0.1913161877922121</v>
      </c>
      <c r="CZ30">
        <v>6</v>
      </c>
      <c r="DA30">
        <v>0.5</v>
      </c>
      <c r="DB30" t="s">
        <v>418</v>
      </c>
      <c r="DC30">
        <v>2</v>
      </c>
      <c r="DD30">
        <v>1674759763.5</v>
      </c>
      <c r="DE30">
        <v>1421.54</v>
      </c>
      <c r="DF30">
        <v>1500.11</v>
      </c>
      <c r="DG30">
        <v>24.943999999999999</v>
      </c>
      <c r="DH30">
        <v>18.464200000000002</v>
      </c>
      <c r="DI30">
        <v>1418.79</v>
      </c>
      <c r="DJ30">
        <v>24.837399999999999</v>
      </c>
      <c r="DK30">
        <v>500.017</v>
      </c>
      <c r="DL30">
        <v>99.087400000000002</v>
      </c>
      <c r="DM30">
        <v>9.9794599999999997E-2</v>
      </c>
      <c r="DN30">
        <v>28.0078</v>
      </c>
      <c r="DO30">
        <v>27.566500000000001</v>
      </c>
      <c r="DP30">
        <v>999.9</v>
      </c>
      <c r="DQ30">
        <v>0</v>
      </c>
      <c r="DR30">
        <v>0</v>
      </c>
      <c r="DS30">
        <v>10017.5</v>
      </c>
      <c r="DT30">
        <v>0</v>
      </c>
      <c r="DU30">
        <v>277.18099999999998</v>
      </c>
      <c r="DV30">
        <v>-78.573899999999995</v>
      </c>
      <c r="DW30">
        <v>1457.91</v>
      </c>
      <c r="DX30">
        <v>1528.33</v>
      </c>
      <c r="DY30">
        <v>6.4798</v>
      </c>
      <c r="DZ30">
        <v>1500.11</v>
      </c>
      <c r="EA30">
        <v>18.464200000000002</v>
      </c>
      <c r="EB30">
        <v>2.4716399999999998</v>
      </c>
      <c r="EC30">
        <v>1.8295699999999999</v>
      </c>
      <c r="ED30">
        <v>20.840900000000001</v>
      </c>
      <c r="EE30">
        <v>16.041799999999999</v>
      </c>
      <c r="EF30">
        <v>1800.2</v>
      </c>
      <c r="EG30">
        <v>0.97800399999999998</v>
      </c>
      <c r="EH30">
        <v>2.1996100000000001E-2</v>
      </c>
      <c r="EI30">
        <v>0</v>
      </c>
      <c r="EJ30">
        <v>732.702</v>
      </c>
      <c r="EK30">
        <v>4.9990399999999999</v>
      </c>
      <c r="EL30">
        <v>13826.3</v>
      </c>
      <c r="EM30">
        <v>14822.4</v>
      </c>
      <c r="EN30">
        <v>49</v>
      </c>
      <c r="EO30">
        <v>50.5</v>
      </c>
      <c r="EP30">
        <v>50</v>
      </c>
      <c r="EQ30">
        <v>48.875</v>
      </c>
      <c r="ER30">
        <v>49.811999999999998</v>
      </c>
      <c r="ES30">
        <v>1755.71</v>
      </c>
      <c r="ET30">
        <v>39.49</v>
      </c>
      <c r="EU30">
        <v>0</v>
      </c>
      <c r="EV30">
        <v>106.7999999523163</v>
      </c>
      <c r="EW30">
        <v>0</v>
      </c>
      <c r="EX30">
        <v>732.29384000000005</v>
      </c>
      <c r="EY30">
        <v>1.912076916229634</v>
      </c>
      <c r="EZ30">
        <v>-9.4538462426421024</v>
      </c>
      <c r="FA30">
        <v>13826.132</v>
      </c>
      <c r="FB30">
        <v>15</v>
      </c>
      <c r="FC30">
        <v>1674759726</v>
      </c>
      <c r="FD30" t="s">
        <v>489</v>
      </c>
      <c r="FE30">
        <v>1674759716</v>
      </c>
      <c r="FF30">
        <v>1674759726</v>
      </c>
      <c r="FG30">
        <v>18</v>
      </c>
      <c r="FH30">
        <v>-3.6999999999999998E-2</v>
      </c>
      <c r="FI30">
        <v>3.0000000000000001E-3</v>
      </c>
      <c r="FJ30">
        <v>2.7839999999999998</v>
      </c>
      <c r="FK30">
        <v>6.3E-2</v>
      </c>
      <c r="FL30">
        <v>1500</v>
      </c>
      <c r="FM30">
        <v>18</v>
      </c>
      <c r="FN30">
        <v>0.06</v>
      </c>
      <c r="FO30">
        <v>0.03</v>
      </c>
      <c r="FP30">
        <v>57.586514050146768</v>
      </c>
      <c r="FQ30">
        <v>-0.60092322680013432</v>
      </c>
      <c r="FR30">
        <v>0.16622358362513021</v>
      </c>
      <c r="FS30">
        <v>1</v>
      </c>
      <c r="FT30">
        <v>0.48106211718915548</v>
      </c>
      <c r="FU30">
        <v>-3.1819822871584823E-2</v>
      </c>
      <c r="FV30">
        <v>3.5687835383000359E-3</v>
      </c>
      <c r="FW30">
        <v>1</v>
      </c>
      <c r="FX30">
        <v>2</v>
      </c>
      <c r="FY30">
        <v>2</v>
      </c>
      <c r="FZ30" t="s">
        <v>420</v>
      </c>
      <c r="GA30">
        <v>2.9331100000000001</v>
      </c>
      <c r="GB30">
        <v>2.8334000000000001</v>
      </c>
      <c r="GC30">
        <v>0.211504</v>
      </c>
      <c r="GD30">
        <v>0.21492</v>
      </c>
      <c r="GE30">
        <v>0.121896</v>
      </c>
      <c r="GF30">
        <v>9.5392099999999994E-2</v>
      </c>
      <c r="GG30">
        <v>20461.7</v>
      </c>
      <c r="GH30">
        <v>25568.5</v>
      </c>
      <c r="GI30">
        <v>23349.4</v>
      </c>
      <c r="GJ30">
        <v>29840.7</v>
      </c>
      <c r="GK30">
        <v>27909.9</v>
      </c>
      <c r="GL30">
        <v>38393.199999999997</v>
      </c>
      <c r="GM30">
        <v>32971.699999999997</v>
      </c>
      <c r="GN30">
        <v>44276.4</v>
      </c>
      <c r="GO30">
        <v>1.98813</v>
      </c>
      <c r="GP30">
        <v>1.8302499999999999</v>
      </c>
      <c r="GQ30">
        <v>6.3758300000000004E-2</v>
      </c>
      <c r="GR30">
        <v>0</v>
      </c>
      <c r="GS30">
        <v>26.523900000000001</v>
      </c>
      <c r="GT30">
        <v>999.9</v>
      </c>
      <c r="GU30">
        <v>42</v>
      </c>
      <c r="GV30">
        <v>36.700000000000003</v>
      </c>
      <c r="GW30">
        <v>26.289000000000001</v>
      </c>
      <c r="GX30">
        <v>61.180999999999997</v>
      </c>
      <c r="GY30">
        <v>36.806899999999999</v>
      </c>
      <c r="GZ30">
        <v>1</v>
      </c>
      <c r="HA30">
        <v>0.34478700000000001</v>
      </c>
      <c r="HB30">
        <v>2.1895199999999999</v>
      </c>
      <c r="HC30">
        <v>20.262799999999999</v>
      </c>
      <c r="HD30">
        <v>5.2078600000000002</v>
      </c>
      <c r="HE30">
        <v>11.872199999999999</v>
      </c>
      <c r="HF30">
        <v>4.9843000000000002</v>
      </c>
      <c r="HG30">
        <v>3.2833299999999999</v>
      </c>
      <c r="HH30">
        <v>9999</v>
      </c>
      <c r="HI30">
        <v>9999</v>
      </c>
      <c r="HJ30">
        <v>9999</v>
      </c>
      <c r="HK30">
        <v>999.9</v>
      </c>
      <c r="HL30">
        <v>1.85501</v>
      </c>
      <c r="HM30">
        <v>1.86103</v>
      </c>
      <c r="HN30">
        <v>1.8584000000000001</v>
      </c>
      <c r="HO30">
        <v>1.85961</v>
      </c>
      <c r="HP30">
        <v>1.8589800000000001</v>
      </c>
      <c r="HQ30">
        <v>1.8594999999999999</v>
      </c>
      <c r="HR30">
        <v>1.85791</v>
      </c>
      <c r="HS30">
        <v>1.8611899999999999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2.75</v>
      </c>
      <c r="IH30">
        <v>0.1066</v>
      </c>
      <c r="II30">
        <v>0.84805156479227417</v>
      </c>
      <c r="IJ30">
        <v>1.6187016317407189E-3</v>
      </c>
      <c r="IK30">
        <v>1.4341569744255341E-7</v>
      </c>
      <c r="IL30">
        <v>-2.4096625942085749E-10</v>
      </c>
      <c r="IM30">
        <v>0.10664699568097161</v>
      </c>
      <c r="IN30">
        <v>0</v>
      </c>
      <c r="IO30">
        <v>0</v>
      </c>
      <c r="IP30">
        <v>0</v>
      </c>
      <c r="IQ30">
        <v>4</v>
      </c>
      <c r="IR30">
        <v>2205</v>
      </c>
      <c r="IS30">
        <v>1</v>
      </c>
      <c r="IT30">
        <v>21</v>
      </c>
      <c r="IU30">
        <v>0.8</v>
      </c>
      <c r="IV30">
        <v>0.6</v>
      </c>
      <c r="IW30">
        <v>2.9321299999999999</v>
      </c>
      <c r="IX30">
        <v>2.4389599999999998</v>
      </c>
      <c r="IY30">
        <v>1.49414</v>
      </c>
      <c r="IZ30">
        <v>2.3046899999999999</v>
      </c>
      <c r="JA30">
        <v>1.69434</v>
      </c>
      <c r="JB30">
        <v>2.36328</v>
      </c>
      <c r="JC30">
        <v>41.430100000000003</v>
      </c>
      <c r="JD30">
        <v>23.527100000000001</v>
      </c>
      <c r="JE30">
        <v>18</v>
      </c>
      <c r="JF30">
        <v>524.24</v>
      </c>
      <c r="JG30">
        <v>443.94</v>
      </c>
      <c r="JH30">
        <v>24.637599999999999</v>
      </c>
      <c r="JI30">
        <v>31.662700000000001</v>
      </c>
      <c r="JJ30">
        <v>30.0001</v>
      </c>
      <c r="JK30">
        <v>31.613700000000001</v>
      </c>
      <c r="JL30">
        <v>31.586600000000001</v>
      </c>
      <c r="JM30">
        <v>58.740400000000001</v>
      </c>
      <c r="JN30">
        <v>33.8765</v>
      </c>
      <c r="JO30">
        <v>0</v>
      </c>
      <c r="JP30">
        <v>24.638100000000001</v>
      </c>
      <c r="JQ30">
        <v>1500</v>
      </c>
      <c r="JR30">
        <v>18.433399999999999</v>
      </c>
      <c r="JS30">
        <v>99.306200000000004</v>
      </c>
      <c r="JT30">
        <v>99.429900000000004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2023-01-26T19:21:19Z</dcterms:created>
  <dcterms:modified xsi:type="dcterms:W3CDTF">2023-01-27T01:00:26Z</dcterms:modified>
</cp:coreProperties>
</file>