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28" i="1" l="1"/>
  <c r="CX128" i="1"/>
  <c r="CV128" i="1"/>
  <c r="CW128" i="1"/>
  <c r="BF128" i="1"/>
  <c r="BH128" i="1"/>
  <c r="BL128" i="1"/>
  <c r="BM128" i="1"/>
  <c r="BK128" i="1"/>
  <c r="BJ128" i="1"/>
  <c r="BI128" i="1"/>
  <c r="BG128" i="1"/>
  <c r="AP128" i="1"/>
  <c r="BC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BF127" i="1"/>
  <c r="BH127" i="1"/>
  <c r="BL127" i="1"/>
  <c r="BM127" i="1"/>
  <c r="BK127" i="1"/>
  <c r="BJ127" i="1"/>
  <c r="BI127" i="1"/>
  <c r="BG127" i="1"/>
  <c r="AP127" i="1"/>
  <c r="BC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BF126" i="1"/>
  <c r="BH126" i="1"/>
  <c r="BL126" i="1"/>
  <c r="BM126" i="1"/>
  <c r="BK126" i="1"/>
  <c r="BJ126" i="1"/>
  <c r="BI126" i="1"/>
  <c r="BG126" i="1"/>
  <c r="AP126" i="1"/>
  <c r="BC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BF125" i="1"/>
  <c r="BH125" i="1"/>
  <c r="BL125" i="1"/>
  <c r="BM125" i="1"/>
  <c r="BK125" i="1"/>
  <c r="BJ125" i="1"/>
  <c r="BI125" i="1"/>
  <c r="BG125" i="1"/>
  <c r="AP125" i="1"/>
  <c r="BC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BF124" i="1"/>
  <c r="BH124" i="1"/>
  <c r="BL124" i="1"/>
  <c r="BM124" i="1"/>
  <c r="BK124" i="1"/>
  <c r="BJ124" i="1"/>
  <c r="BI124" i="1"/>
  <c r="BG124" i="1"/>
  <c r="AP124" i="1"/>
  <c r="BC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BF123" i="1"/>
  <c r="BH123" i="1"/>
  <c r="BL123" i="1"/>
  <c r="BM123" i="1"/>
  <c r="BK123" i="1"/>
  <c r="BJ123" i="1"/>
  <c r="BI123" i="1"/>
  <c r="BG123" i="1"/>
  <c r="AP123" i="1"/>
  <c r="BC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BF122" i="1"/>
  <c r="BH122" i="1"/>
  <c r="BL122" i="1"/>
  <c r="BM122" i="1"/>
  <c r="BK122" i="1"/>
  <c r="BJ122" i="1"/>
  <c r="BI122" i="1"/>
  <c r="BG122" i="1"/>
  <c r="AP122" i="1"/>
  <c r="BC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BF121" i="1"/>
  <c r="BH121" i="1"/>
  <c r="BL121" i="1"/>
  <c r="BM121" i="1"/>
  <c r="BK121" i="1"/>
  <c r="BJ121" i="1"/>
  <c r="BI121" i="1"/>
  <c r="BG121" i="1"/>
  <c r="AP121" i="1"/>
  <c r="BC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BF120" i="1"/>
  <c r="BH120" i="1"/>
  <c r="BL120" i="1"/>
  <c r="BM120" i="1"/>
  <c r="BK120" i="1"/>
  <c r="BJ120" i="1"/>
  <c r="BI120" i="1"/>
  <c r="BG120" i="1"/>
  <c r="AP120" i="1"/>
  <c r="BC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BF119" i="1"/>
  <c r="BH119" i="1"/>
  <c r="BL119" i="1"/>
  <c r="BM119" i="1"/>
  <c r="BK119" i="1"/>
  <c r="BJ119" i="1"/>
  <c r="BI119" i="1"/>
  <c r="BG119" i="1"/>
  <c r="AP119" i="1"/>
  <c r="BC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BF118" i="1"/>
  <c r="BH118" i="1"/>
  <c r="BL118" i="1"/>
  <c r="BM118" i="1"/>
  <c r="BK118" i="1"/>
  <c r="BJ118" i="1"/>
  <c r="BI118" i="1"/>
  <c r="BG118" i="1"/>
  <c r="AP118" i="1"/>
  <c r="BC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BF117" i="1"/>
  <c r="BH117" i="1"/>
  <c r="BL117" i="1"/>
  <c r="BM117" i="1"/>
  <c r="BK117" i="1"/>
  <c r="BJ117" i="1"/>
  <c r="BI117" i="1"/>
  <c r="BG117" i="1"/>
  <c r="AP117" i="1"/>
  <c r="BC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BF116" i="1"/>
  <c r="BH116" i="1"/>
  <c r="BL116" i="1"/>
  <c r="BM116" i="1"/>
  <c r="BK116" i="1"/>
  <c r="BJ116" i="1"/>
  <c r="BI116" i="1"/>
  <c r="BG116" i="1"/>
  <c r="AP116" i="1"/>
  <c r="BC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BF115" i="1"/>
  <c r="BH115" i="1"/>
  <c r="BL115" i="1"/>
  <c r="BM115" i="1"/>
  <c r="BK115" i="1"/>
  <c r="BJ115" i="1"/>
  <c r="BI115" i="1"/>
  <c r="BG115" i="1"/>
  <c r="AP115" i="1"/>
  <c r="BC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BF114" i="1"/>
  <c r="BH114" i="1"/>
  <c r="BL114" i="1"/>
  <c r="BM114" i="1"/>
  <c r="BK114" i="1"/>
  <c r="BJ114" i="1"/>
  <c r="BI114" i="1"/>
  <c r="BG114" i="1"/>
  <c r="AP114" i="1"/>
  <c r="BC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BF113" i="1"/>
  <c r="BH113" i="1"/>
  <c r="BL113" i="1"/>
  <c r="BM113" i="1"/>
  <c r="BK113" i="1"/>
  <c r="BJ113" i="1"/>
  <c r="BI113" i="1"/>
  <c r="BG113" i="1"/>
  <c r="AP113" i="1"/>
  <c r="BC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BF112" i="1"/>
  <c r="BH112" i="1"/>
  <c r="BL112" i="1"/>
  <c r="BM112" i="1"/>
  <c r="BK112" i="1"/>
  <c r="BJ112" i="1"/>
  <c r="BI112" i="1"/>
  <c r="BG112" i="1"/>
  <c r="AP112" i="1"/>
  <c r="BC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BF111" i="1"/>
  <c r="BH111" i="1"/>
  <c r="BL111" i="1"/>
  <c r="BM111" i="1"/>
  <c r="BK111" i="1"/>
  <c r="BJ111" i="1"/>
  <c r="BI111" i="1"/>
  <c r="BG111" i="1"/>
  <c r="AP111" i="1"/>
  <c r="BC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BF110" i="1"/>
  <c r="BH110" i="1"/>
  <c r="BL110" i="1"/>
  <c r="BM110" i="1"/>
  <c r="BK110" i="1"/>
  <c r="BJ110" i="1"/>
  <c r="BI110" i="1"/>
  <c r="BG110" i="1"/>
  <c r="AP110" i="1"/>
  <c r="BC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BF109" i="1"/>
  <c r="BH109" i="1"/>
  <c r="BL109" i="1"/>
  <c r="BM109" i="1"/>
  <c r="BK109" i="1"/>
  <c r="BJ109" i="1"/>
  <c r="BI109" i="1"/>
  <c r="BG109" i="1"/>
  <c r="AP109" i="1"/>
  <c r="BC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BF108" i="1"/>
  <c r="BH108" i="1"/>
  <c r="BL108" i="1"/>
  <c r="BM108" i="1"/>
  <c r="BK108" i="1"/>
  <c r="BJ108" i="1"/>
  <c r="BI108" i="1"/>
  <c r="BG108" i="1"/>
  <c r="AP108" i="1"/>
  <c r="BC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BF107" i="1"/>
  <c r="BH107" i="1"/>
  <c r="BL107" i="1"/>
  <c r="BM107" i="1"/>
  <c r="BK107" i="1"/>
  <c r="BJ107" i="1"/>
  <c r="BI107" i="1"/>
  <c r="BG107" i="1"/>
  <c r="AP107" i="1"/>
  <c r="BC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BF106" i="1"/>
  <c r="BH106" i="1"/>
  <c r="BL106" i="1"/>
  <c r="BM106" i="1"/>
  <c r="BK106" i="1"/>
  <c r="BJ106" i="1"/>
  <c r="BI106" i="1"/>
  <c r="BG106" i="1"/>
  <c r="AP106" i="1"/>
  <c r="BC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BF105" i="1"/>
  <c r="BH105" i="1"/>
  <c r="BL105" i="1"/>
  <c r="BM105" i="1"/>
  <c r="BK105" i="1"/>
  <c r="BJ105" i="1"/>
  <c r="BI105" i="1"/>
  <c r="BG105" i="1"/>
  <c r="AP105" i="1"/>
  <c r="BC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BF104" i="1"/>
  <c r="BH104" i="1"/>
  <c r="BL104" i="1"/>
  <c r="BM104" i="1"/>
  <c r="BK104" i="1"/>
  <c r="BJ104" i="1"/>
  <c r="BI104" i="1"/>
  <c r="BG104" i="1"/>
  <c r="AP104" i="1"/>
  <c r="BC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BF103" i="1"/>
  <c r="BH103" i="1"/>
  <c r="BL103" i="1"/>
  <c r="BM103" i="1"/>
  <c r="BK103" i="1"/>
  <c r="BJ103" i="1"/>
  <c r="BI103" i="1"/>
  <c r="BG103" i="1"/>
  <c r="AP103" i="1"/>
  <c r="BC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BF102" i="1"/>
  <c r="BH102" i="1"/>
  <c r="BL102" i="1"/>
  <c r="BM102" i="1"/>
  <c r="BK102" i="1"/>
  <c r="BJ102" i="1"/>
  <c r="BI102" i="1"/>
  <c r="BG102" i="1"/>
  <c r="AP102" i="1"/>
  <c r="BC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BF101" i="1"/>
  <c r="BH101" i="1"/>
  <c r="BL101" i="1"/>
  <c r="BM101" i="1"/>
  <c r="BK101" i="1"/>
  <c r="BJ101" i="1"/>
  <c r="BI101" i="1"/>
  <c r="BG101" i="1"/>
  <c r="AP101" i="1"/>
  <c r="BC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BF100" i="1"/>
  <c r="BH100" i="1"/>
  <c r="BL100" i="1"/>
  <c r="BM100" i="1"/>
  <c r="BK100" i="1"/>
  <c r="BJ100" i="1"/>
  <c r="BI100" i="1"/>
  <c r="BG100" i="1"/>
  <c r="AP100" i="1"/>
  <c r="BC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BF99" i="1"/>
  <c r="BH99" i="1"/>
  <c r="BL99" i="1"/>
  <c r="BM99" i="1"/>
  <c r="BK99" i="1"/>
  <c r="BJ99" i="1"/>
  <c r="BI99" i="1"/>
  <c r="BG99" i="1"/>
  <c r="AP99" i="1"/>
  <c r="BC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BF98" i="1"/>
  <c r="BH98" i="1"/>
  <c r="BL98" i="1"/>
  <c r="BM98" i="1"/>
  <c r="BK98" i="1"/>
  <c r="BJ98" i="1"/>
  <c r="BI98" i="1"/>
  <c r="BG98" i="1"/>
  <c r="AP98" i="1"/>
  <c r="BC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BF97" i="1"/>
  <c r="BH97" i="1"/>
  <c r="BL97" i="1"/>
  <c r="BM97" i="1"/>
  <c r="BK97" i="1"/>
  <c r="BJ97" i="1"/>
  <c r="BI97" i="1"/>
  <c r="BG97" i="1"/>
  <c r="AP97" i="1"/>
  <c r="BC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BF96" i="1"/>
  <c r="BH96" i="1"/>
  <c r="BL96" i="1"/>
  <c r="BM96" i="1"/>
  <c r="BK96" i="1"/>
  <c r="BJ96" i="1"/>
  <c r="BI96" i="1"/>
  <c r="BG96" i="1"/>
  <c r="AP96" i="1"/>
  <c r="BC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BF95" i="1"/>
  <c r="BH95" i="1"/>
  <c r="BL95" i="1"/>
  <c r="BM95" i="1"/>
  <c r="BK95" i="1"/>
  <c r="BJ95" i="1"/>
  <c r="BI95" i="1"/>
  <c r="BG95" i="1"/>
  <c r="AP95" i="1"/>
  <c r="BC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BF94" i="1"/>
  <c r="BH94" i="1"/>
  <c r="BL94" i="1"/>
  <c r="BM94" i="1"/>
  <c r="BK94" i="1"/>
  <c r="BJ94" i="1"/>
  <c r="BI94" i="1"/>
  <c r="BG94" i="1"/>
  <c r="AP94" i="1"/>
  <c r="BC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BF93" i="1"/>
  <c r="BH93" i="1"/>
  <c r="BL93" i="1"/>
  <c r="BM93" i="1"/>
  <c r="BK93" i="1"/>
  <c r="BJ93" i="1"/>
  <c r="BI93" i="1"/>
  <c r="BG93" i="1"/>
  <c r="AP93" i="1"/>
  <c r="BC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BF92" i="1"/>
  <c r="BH92" i="1"/>
  <c r="BL92" i="1"/>
  <c r="BM92" i="1"/>
  <c r="BK92" i="1"/>
  <c r="BJ92" i="1"/>
  <c r="BI92" i="1"/>
  <c r="BG92" i="1"/>
  <c r="AP92" i="1"/>
  <c r="BC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BF91" i="1"/>
  <c r="BH91" i="1"/>
  <c r="BL91" i="1"/>
  <c r="BM91" i="1"/>
  <c r="BK91" i="1"/>
  <c r="BJ91" i="1"/>
  <c r="BI91" i="1"/>
  <c r="BG91" i="1"/>
  <c r="AP91" i="1"/>
  <c r="BC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BF90" i="1"/>
  <c r="BH90" i="1"/>
  <c r="BL90" i="1"/>
  <c r="BM90" i="1"/>
  <c r="BK90" i="1"/>
  <c r="BJ90" i="1"/>
  <c r="BI90" i="1"/>
  <c r="BG90" i="1"/>
  <c r="AP90" i="1"/>
  <c r="BC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BF89" i="1"/>
  <c r="BH89" i="1"/>
  <c r="BL89" i="1"/>
  <c r="BM89" i="1"/>
  <c r="BK89" i="1"/>
  <c r="BJ89" i="1"/>
  <c r="BI89" i="1"/>
  <c r="BG89" i="1"/>
  <c r="AP89" i="1"/>
  <c r="BC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BF88" i="1"/>
  <c r="BH88" i="1"/>
  <c r="BL88" i="1"/>
  <c r="BM88" i="1"/>
  <c r="BK88" i="1"/>
  <c r="BJ88" i="1"/>
  <c r="BI88" i="1"/>
  <c r="BG88" i="1"/>
  <c r="AP88" i="1"/>
  <c r="BC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BF87" i="1"/>
  <c r="BH87" i="1"/>
  <c r="BL87" i="1"/>
  <c r="BM87" i="1"/>
  <c r="BK87" i="1"/>
  <c r="BJ87" i="1"/>
  <c r="BI87" i="1"/>
  <c r="BG87" i="1"/>
  <c r="AP87" i="1"/>
  <c r="BC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BF86" i="1"/>
  <c r="BH86" i="1"/>
  <c r="BL86" i="1"/>
  <c r="BM86" i="1"/>
  <c r="BK86" i="1"/>
  <c r="BJ86" i="1"/>
  <c r="BI86" i="1"/>
  <c r="BG86" i="1"/>
  <c r="AP86" i="1"/>
  <c r="BC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BF85" i="1"/>
  <c r="BH85" i="1"/>
  <c r="BL85" i="1"/>
  <c r="BM85" i="1"/>
  <c r="BK85" i="1"/>
  <c r="BJ85" i="1"/>
  <c r="BI85" i="1"/>
  <c r="BG85" i="1"/>
  <c r="AP85" i="1"/>
  <c r="BC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BF84" i="1"/>
  <c r="BH84" i="1"/>
  <c r="BL84" i="1"/>
  <c r="BM84" i="1"/>
  <c r="BK84" i="1"/>
  <c r="BJ84" i="1"/>
  <c r="BI84" i="1"/>
  <c r="BG84" i="1"/>
  <c r="AP84" i="1"/>
  <c r="BC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BF83" i="1"/>
  <c r="BH83" i="1"/>
  <c r="BL83" i="1"/>
  <c r="BM83" i="1"/>
  <c r="BK83" i="1"/>
  <c r="BJ83" i="1"/>
  <c r="BI83" i="1"/>
  <c r="BG83" i="1"/>
  <c r="AP83" i="1"/>
  <c r="BC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BF82" i="1"/>
  <c r="BH82" i="1"/>
  <c r="BL82" i="1"/>
  <c r="BM82" i="1"/>
  <c r="BK82" i="1"/>
  <c r="BJ82" i="1"/>
  <c r="BI82" i="1"/>
  <c r="BG82" i="1"/>
  <c r="AP82" i="1"/>
  <c r="BC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BF81" i="1"/>
  <c r="BH81" i="1"/>
  <c r="BL81" i="1"/>
  <c r="BM81" i="1"/>
  <c r="BK81" i="1"/>
  <c r="BJ81" i="1"/>
  <c r="BI81" i="1"/>
  <c r="BG81" i="1"/>
  <c r="AP81" i="1"/>
  <c r="BC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BF80" i="1"/>
  <c r="BH80" i="1"/>
  <c r="BL80" i="1"/>
  <c r="BM80" i="1"/>
  <c r="BK80" i="1"/>
  <c r="BJ80" i="1"/>
  <c r="BI80" i="1"/>
  <c r="BG80" i="1"/>
  <c r="AP80" i="1"/>
  <c r="BC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BF79" i="1"/>
  <c r="BH79" i="1"/>
  <c r="BL79" i="1"/>
  <c r="BM79" i="1"/>
  <c r="BK79" i="1"/>
  <c r="BJ79" i="1"/>
  <c r="BI79" i="1"/>
  <c r="BG79" i="1"/>
  <c r="AP79" i="1"/>
  <c r="BC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BF78" i="1"/>
  <c r="BH78" i="1"/>
  <c r="BL78" i="1"/>
  <c r="BM78" i="1"/>
  <c r="BK78" i="1"/>
  <c r="BJ78" i="1"/>
  <c r="BI78" i="1"/>
  <c r="BG78" i="1"/>
  <c r="AP78" i="1"/>
  <c r="BC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BF77" i="1"/>
  <c r="BH77" i="1"/>
  <c r="BL77" i="1"/>
  <c r="BM77" i="1"/>
  <c r="BK77" i="1"/>
  <c r="BJ77" i="1"/>
  <c r="BI77" i="1"/>
  <c r="BG77" i="1"/>
  <c r="AP77" i="1"/>
  <c r="BC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BF76" i="1"/>
  <c r="BH76" i="1"/>
  <c r="BL76" i="1"/>
  <c r="BM76" i="1"/>
  <c r="BK76" i="1"/>
  <c r="BJ76" i="1"/>
  <c r="BI76" i="1"/>
  <c r="BG76" i="1"/>
  <c r="AP76" i="1"/>
  <c r="BC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BF75" i="1"/>
  <c r="BH75" i="1"/>
  <c r="BL75" i="1"/>
  <c r="BM75" i="1"/>
  <c r="BK75" i="1"/>
  <c r="BJ75" i="1"/>
  <c r="BI75" i="1"/>
  <c r="BG75" i="1"/>
  <c r="AP75" i="1"/>
  <c r="BC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BF74" i="1"/>
  <c r="BH74" i="1"/>
  <c r="BL74" i="1"/>
  <c r="BM74" i="1"/>
  <c r="BK74" i="1"/>
  <c r="BJ74" i="1"/>
  <c r="BI74" i="1"/>
  <c r="BG74" i="1"/>
  <c r="AP74" i="1"/>
  <c r="BC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BF73" i="1"/>
  <c r="BH73" i="1"/>
  <c r="BL73" i="1"/>
  <c r="BM73" i="1"/>
  <c r="BK73" i="1"/>
  <c r="BJ73" i="1"/>
  <c r="BI73" i="1"/>
  <c r="BG73" i="1"/>
  <c r="AP73" i="1"/>
  <c r="BC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BF72" i="1"/>
  <c r="BH72" i="1"/>
  <c r="BL72" i="1"/>
  <c r="BM72" i="1"/>
  <c r="BK72" i="1"/>
  <c r="BJ72" i="1"/>
  <c r="BI72" i="1"/>
  <c r="BG72" i="1"/>
  <c r="AP72" i="1"/>
  <c r="BC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BF71" i="1"/>
  <c r="BH71" i="1"/>
  <c r="BL71" i="1"/>
  <c r="BM71" i="1"/>
  <c r="BK71" i="1"/>
  <c r="BJ71" i="1"/>
  <c r="BI71" i="1"/>
  <c r="BG71" i="1"/>
  <c r="AP71" i="1"/>
  <c r="BC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BF70" i="1"/>
  <c r="BH70" i="1"/>
  <c r="BL70" i="1"/>
  <c r="BM70" i="1"/>
  <c r="BK70" i="1"/>
  <c r="BJ70" i="1"/>
  <c r="BI70" i="1"/>
  <c r="BG70" i="1"/>
  <c r="AP70" i="1"/>
  <c r="BC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BF69" i="1"/>
  <c r="BH69" i="1"/>
  <c r="BL69" i="1"/>
  <c r="BM69" i="1"/>
  <c r="BK69" i="1"/>
  <c r="BJ69" i="1"/>
  <c r="BI69" i="1"/>
  <c r="BG69" i="1"/>
  <c r="AP69" i="1"/>
  <c r="BC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BF68" i="1"/>
  <c r="BH68" i="1"/>
  <c r="BL68" i="1"/>
  <c r="BM68" i="1"/>
  <c r="BK68" i="1"/>
  <c r="BJ68" i="1"/>
  <c r="BI68" i="1"/>
  <c r="BG68" i="1"/>
  <c r="AP68" i="1"/>
  <c r="BC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BF67" i="1"/>
  <c r="BH67" i="1"/>
  <c r="BL67" i="1"/>
  <c r="BM67" i="1"/>
  <c r="BK67" i="1"/>
  <c r="BJ67" i="1"/>
  <c r="BI67" i="1"/>
  <c r="BG67" i="1"/>
  <c r="AP67" i="1"/>
  <c r="BC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BF66" i="1"/>
  <c r="BH66" i="1"/>
  <c r="BL66" i="1"/>
  <c r="BM66" i="1"/>
  <c r="BK66" i="1"/>
  <c r="BJ66" i="1"/>
  <c r="BI66" i="1"/>
  <c r="BG66" i="1"/>
  <c r="AP66" i="1"/>
  <c r="BC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BF65" i="1"/>
  <c r="BH65" i="1"/>
  <c r="BL65" i="1"/>
  <c r="BM65" i="1"/>
  <c r="BK65" i="1"/>
  <c r="BJ65" i="1"/>
  <c r="BI65" i="1"/>
  <c r="BG65" i="1"/>
  <c r="AP65" i="1"/>
  <c r="BC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BF64" i="1"/>
  <c r="BH64" i="1"/>
  <c r="BL64" i="1"/>
  <c r="BM64" i="1"/>
  <c r="BK64" i="1"/>
  <c r="BJ64" i="1"/>
  <c r="BI64" i="1"/>
  <c r="BG64" i="1"/>
  <c r="AP64" i="1"/>
  <c r="BC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BF63" i="1"/>
  <c r="BH63" i="1"/>
  <c r="BL63" i="1"/>
  <c r="BM63" i="1"/>
  <c r="BK63" i="1"/>
  <c r="BJ63" i="1"/>
  <c r="BI63" i="1"/>
  <c r="BG63" i="1"/>
  <c r="AP63" i="1"/>
  <c r="BC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BF62" i="1"/>
  <c r="BH62" i="1"/>
  <c r="BL62" i="1"/>
  <c r="BM62" i="1"/>
  <c r="BK62" i="1"/>
  <c r="BJ62" i="1"/>
  <c r="BI62" i="1"/>
  <c r="BG62" i="1"/>
  <c r="AP62" i="1"/>
  <c r="BC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BF61" i="1"/>
  <c r="BH61" i="1"/>
  <c r="BL61" i="1"/>
  <c r="BM61" i="1"/>
  <c r="BK61" i="1"/>
  <c r="BJ61" i="1"/>
  <c r="BI61" i="1"/>
  <c r="BG61" i="1"/>
  <c r="AP61" i="1"/>
  <c r="BC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BF60" i="1"/>
  <c r="BH60" i="1"/>
  <c r="BL60" i="1"/>
  <c r="BM60" i="1"/>
  <c r="BK60" i="1"/>
  <c r="BJ60" i="1"/>
  <c r="BI60" i="1"/>
  <c r="BG60" i="1"/>
  <c r="AP60" i="1"/>
  <c r="BC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BF59" i="1"/>
  <c r="BH59" i="1"/>
  <c r="BL59" i="1"/>
  <c r="BM59" i="1"/>
  <c r="BK59" i="1"/>
  <c r="BJ59" i="1"/>
  <c r="BI59" i="1"/>
  <c r="BG59" i="1"/>
  <c r="AP59" i="1"/>
  <c r="BC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BF58" i="1"/>
  <c r="BH58" i="1"/>
  <c r="BL58" i="1"/>
  <c r="BM58" i="1"/>
  <c r="BK58" i="1"/>
  <c r="BJ58" i="1"/>
  <c r="BI58" i="1"/>
  <c r="BG58" i="1"/>
  <c r="AP58" i="1"/>
  <c r="BC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BF57" i="1"/>
  <c r="BH57" i="1"/>
  <c r="BL57" i="1"/>
  <c r="BM57" i="1"/>
  <c r="BK57" i="1"/>
  <c r="BJ57" i="1"/>
  <c r="BI57" i="1"/>
  <c r="BG57" i="1"/>
  <c r="AP57" i="1"/>
  <c r="BC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BF56" i="1"/>
  <c r="BH56" i="1"/>
  <c r="BL56" i="1"/>
  <c r="BM56" i="1"/>
  <c r="BK56" i="1"/>
  <c r="BJ56" i="1"/>
  <c r="BI56" i="1"/>
  <c r="BG56" i="1"/>
  <c r="AP56" i="1"/>
  <c r="BC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BF55" i="1"/>
  <c r="BH55" i="1"/>
  <c r="BL55" i="1"/>
  <c r="BM55" i="1"/>
  <c r="BK55" i="1"/>
  <c r="BJ55" i="1"/>
  <c r="BI55" i="1"/>
  <c r="BG55" i="1"/>
  <c r="AP55" i="1"/>
  <c r="BC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BF54" i="1"/>
  <c r="BH54" i="1"/>
  <c r="BL54" i="1"/>
  <c r="BM54" i="1"/>
  <c r="BK54" i="1"/>
  <c r="BJ54" i="1"/>
  <c r="BI54" i="1"/>
  <c r="BG54" i="1"/>
  <c r="AP54" i="1"/>
  <c r="BC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BF53" i="1"/>
  <c r="BH53" i="1"/>
  <c r="BL53" i="1"/>
  <c r="BM53" i="1"/>
  <c r="BK53" i="1"/>
  <c r="BJ53" i="1"/>
  <c r="BI53" i="1"/>
  <c r="BG53" i="1"/>
  <c r="AP53" i="1"/>
  <c r="BC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BF52" i="1"/>
  <c r="BH52" i="1"/>
  <c r="BL52" i="1"/>
  <c r="BM52" i="1"/>
  <c r="BK52" i="1"/>
  <c r="BJ52" i="1"/>
  <c r="BI52" i="1"/>
  <c r="BG52" i="1"/>
  <c r="AP52" i="1"/>
  <c r="BC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BF51" i="1"/>
  <c r="BH51" i="1"/>
  <c r="BL51" i="1"/>
  <c r="BM51" i="1"/>
  <c r="BK51" i="1"/>
  <c r="BJ51" i="1"/>
  <c r="BI51" i="1"/>
  <c r="BG51" i="1"/>
  <c r="AP51" i="1"/>
  <c r="BC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BF50" i="1"/>
  <c r="BH50" i="1"/>
  <c r="BL50" i="1"/>
  <c r="BM50" i="1"/>
  <c r="BK50" i="1"/>
  <c r="BJ50" i="1"/>
  <c r="BI50" i="1"/>
  <c r="BG50" i="1"/>
  <c r="AP50" i="1"/>
  <c r="BC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BF49" i="1"/>
  <c r="BH49" i="1"/>
  <c r="BL49" i="1"/>
  <c r="BM49" i="1"/>
  <c r="BK49" i="1"/>
  <c r="BJ49" i="1"/>
  <c r="BI49" i="1"/>
  <c r="BG49" i="1"/>
  <c r="AP49" i="1"/>
  <c r="BC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BF48" i="1"/>
  <c r="BH48" i="1"/>
  <c r="BL48" i="1"/>
  <c r="BM48" i="1"/>
  <c r="BK48" i="1"/>
  <c r="BJ48" i="1"/>
  <c r="BI48" i="1"/>
  <c r="BG48" i="1"/>
  <c r="AP48" i="1"/>
  <c r="BC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BF47" i="1"/>
  <c r="BH47" i="1"/>
  <c r="BL47" i="1"/>
  <c r="BM47" i="1"/>
  <c r="BK47" i="1"/>
  <c r="BJ47" i="1"/>
  <c r="BI47" i="1"/>
  <c r="BG47" i="1"/>
  <c r="AP47" i="1"/>
  <c r="BC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BF46" i="1"/>
  <c r="BH46" i="1"/>
  <c r="BL46" i="1"/>
  <c r="BM46" i="1"/>
  <c r="BK46" i="1"/>
  <c r="BJ46" i="1"/>
  <c r="BI46" i="1"/>
  <c r="BG46" i="1"/>
  <c r="AP46" i="1"/>
  <c r="BC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BF45" i="1"/>
  <c r="BH45" i="1"/>
  <c r="BL45" i="1"/>
  <c r="BM45" i="1"/>
  <c r="BK45" i="1"/>
  <c r="BJ45" i="1"/>
  <c r="BI45" i="1"/>
  <c r="BG45" i="1"/>
  <c r="AP45" i="1"/>
  <c r="BC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BF44" i="1"/>
  <c r="BH44" i="1"/>
  <c r="BL44" i="1"/>
  <c r="BM44" i="1"/>
  <c r="BK44" i="1"/>
  <c r="BJ44" i="1"/>
  <c r="BI44" i="1"/>
  <c r="BG44" i="1"/>
  <c r="AP44" i="1"/>
  <c r="BC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BF43" i="1"/>
  <c r="BH43" i="1"/>
  <c r="BL43" i="1"/>
  <c r="BM43" i="1"/>
  <c r="BK43" i="1"/>
  <c r="BJ43" i="1"/>
  <c r="BI43" i="1"/>
  <c r="BG43" i="1"/>
  <c r="AP43" i="1"/>
  <c r="BC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BF42" i="1"/>
  <c r="BH42" i="1"/>
  <c r="BL42" i="1"/>
  <c r="BM42" i="1"/>
  <c r="BK42" i="1"/>
  <c r="BJ42" i="1"/>
  <c r="BI42" i="1"/>
  <c r="BG42" i="1"/>
  <c r="AP42" i="1"/>
  <c r="BC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BF41" i="1"/>
  <c r="BH41" i="1"/>
  <c r="BL41" i="1"/>
  <c r="BM41" i="1"/>
  <c r="BK41" i="1"/>
  <c r="BJ41" i="1"/>
  <c r="BI41" i="1"/>
  <c r="BG41" i="1"/>
  <c r="AP41" i="1"/>
  <c r="BC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BF40" i="1"/>
  <c r="BH40" i="1"/>
  <c r="BL40" i="1"/>
  <c r="BM40" i="1"/>
  <c r="BK40" i="1"/>
  <c r="BJ40" i="1"/>
  <c r="BI40" i="1"/>
  <c r="BG40" i="1"/>
  <c r="AP40" i="1"/>
  <c r="BC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BF39" i="1"/>
  <c r="BH39" i="1"/>
  <c r="BL39" i="1"/>
  <c r="BM39" i="1"/>
  <c r="BK39" i="1"/>
  <c r="BJ39" i="1"/>
  <c r="BI39" i="1"/>
  <c r="BG39" i="1"/>
  <c r="AP39" i="1"/>
  <c r="BC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BF38" i="1"/>
  <c r="BH38" i="1"/>
  <c r="BL38" i="1"/>
  <c r="BM38" i="1"/>
  <c r="BK38" i="1"/>
  <c r="BJ38" i="1"/>
  <c r="BI38" i="1"/>
  <c r="BG38" i="1"/>
  <c r="AP38" i="1"/>
  <c r="BC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BF37" i="1"/>
  <c r="BH37" i="1"/>
  <c r="BL37" i="1"/>
  <c r="BM37" i="1"/>
  <c r="BK37" i="1"/>
  <c r="BJ37" i="1"/>
  <c r="BI37" i="1"/>
  <c r="BG37" i="1"/>
  <c r="AP37" i="1"/>
  <c r="BC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BF36" i="1"/>
  <c r="BH36" i="1"/>
  <c r="BL36" i="1"/>
  <c r="BM36" i="1"/>
  <c r="BK36" i="1"/>
  <c r="BJ36" i="1"/>
  <c r="BI36" i="1"/>
  <c r="BG36" i="1"/>
  <c r="AP36" i="1"/>
  <c r="BC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BF35" i="1"/>
  <c r="BH35" i="1"/>
  <c r="BL35" i="1"/>
  <c r="BM35" i="1"/>
  <c r="BK35" i="1"/>
  <c r="BJ35" i="1"/>
  <c r="BI35" i="1"/>
  <c r="BG35" i="1"/>
  <c r="AP35" i="1"/>
  <c r="BC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BF34" i="1"/>
  <c r="BH34" i="1"/>
  <c r="BL34" i="1"/>
  <c r="BM34" i="1"/>
  <c r="BK34" i="1"/>
  <c r="BJ34" i="1"/>
  <c r="BI34" i="1"/>
  <c r="BG34" i="1"/>
  <c r="AP34" i="1"/>
  <c r="BC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BF33" i="1"/>
  <c r="BH33" i="1"/>
  <c r="BL33" i="1"/>
  <c r="BM33" i="1"/>
  <c r="BK33" i="1"/>
  <c r="BJ33" i="1"/>
  <c r="BI33" i="1"/>
  <c r="BG33" i="1"/>
  <c r="AP33" i="1"/>
  <c r="BC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BF32" i="1"/>
  <c r="BH32" i="1"/>
  <c r="BL32" i="1"/>
  <c r="BM32" i="1"/>
  <c r="BK32" i="1"/>
  <c r="BJ32" i="1"/>
  <c r="BI32" i="1"/>
  <c r="BG32" i="1"/>
  <c r="AP32" i="1"/>
  <c r="BC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BF31" i="1"/>
  <c r="BH31" i="1"/>
  <c r="BL31" i="1"/>
  <c r="BM31" i="1"/>
  <c r="BK31" i="1"/>
  <c r="BJ31" i="1"/>
  <c r="BI31" i="1"/>
  <c r="BG31" i="1"/>
  <c r="AP31" i="1"/>
  <c r="BC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<sst xmlns="http://schemas.openxmlformats.org/spreadsheetml/2006/main" count="2742" uniqueCount="991">
  <si>
    <t>File opened</t>
  </si>
  <si>
    <t>2023-01-24 09:20:07</t>
  </si>
  <si>
    <t>Console s/n</t>
  </si>
  <si>
    <t>68C-812063</t>
  </si>
  <si>
    <t>Console ver</t>
  </si>
  <si>
    <t>Bluestem v.2.1.08</t>
  </si>
  <si>
    <t>Scripts ver</t>
  </si>
  <si>
    <t>2022.05  2.1.08, Aug 2022</t>
  </si>
  <si>
    <t>Head s/n</t>
  </si>
  <si>
    <t>68H-712053</t>
  </si>
  <si>
    <t>Head ver</t>
  </si>
  <si>
    <t>1.4.22</t>
  </si>
  <si>
    <t>Head cal</t>
  </si>
  <si>
    <t>{"oxygen": "21", "co2azero": "0.895415", "co2aspan1": "1.00043", "co2aspan2": "-0.0261169", "co2aspan2a": "0.316484", "co2aspan2b": "0.314005", "co2aspanconc1": "2505", "co2aspanconc2": "293", "co2bzero": "0.939459", "co2bspan1": "1.0008", "co2bspan2": "-0.0278542", "co2bspan2a": "0.313438", "co2bspan2b": "0.310951", "co2bspanconc1": "2505", "co2bspanconc2": "293", "h2oazero": "1.03803", "h2oaspan1": "1.0099", "h2oaspan2": "0", "h2oaspan2a": "0.0743833", "h2oaspan2b": "0.0751196", "h2oaspanconc1": "12.4", "h2oaspanconc2": "0", "h2obzero": "1.04859", "h2obspan1": "1.00019", "h2obspan2": "0", "h2obspan2a": "0.0740936", "h2obspan2b": "0.0741077", "h2obspanconc1": "12.4", "h2obspanconc2": "0", "tazero": "-0.144848", "tbzero": "-0.0641956", "flowmeterzero": "1.00385", "flowazero": "0.29255", "flowbzero": "0.29926", "chamberpressurezero": "2.65789", "ssa_ref": "32138.3", "ssb_ref": "32442.4"}</t>
  </si>
  <si>
    <t>CO2 rangematch</t>
  </si>
  <si>
    <t>Tue Aug  9 14:51</t>
  </si>
  <si>
    <t>H2O rangematch</t>
  </si>
  <si>
    <t>Tue Aug  9 14:58</t>
  </si>
  <si>
    <t>Chamber type</t>
  </si>
  <si>
    <t>6800-01A</t>
  </si>
  <si>
    <t>Chamber s/n</t>
  </si>
  <si>
    <t>MPF-281812</t>
  </si>
  <si>
    <t>Chamber rev</t>
  </si>
  <si>
    <t>0</t>
  </si>
  <si>
    <t>Chamber cal</t>
  </si>
  <si>
    <t>Fluorometer</t>
  </si>
  <si>
    <t>Flr. Version</t>
  </si>
  <si>
    <t>09:20:07</t>
  </si>
  <si>
    <t>Stability Definition:	A (GasEx): Slp&lt;0.7 Std&lt;0.2 Per=20	gsw (GasEx): Slp&lt;0.05 Std&lt;0.05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</si>
  <si>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</si>
  <si>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</si>
  <si>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</si>
  <si>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</si>
  <si>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</si>
  <si>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</si>
  <si>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</si>
  <si>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</si>
  <si>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</si>
  <si>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</si>
  <si>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</si>
  <si>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</si>
  <si>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</si>
  <si>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</si>
  <si>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</si>
  <si>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</si>
  <si>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</si>
  <si>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</si>
  <si>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</si>
  <si>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</si>
  <si>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</si>
  <si>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</si>
  <si>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</si>
  <si>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</si>
  <si>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</si>
  <si>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</si>
  <si>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</si>
  <si>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</si>
  <si>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</si>
  <si>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</si>
  <si>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</si>
  <si>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</si>
  <si>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</si>
  <si>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</si>
  <si>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</si>
  <si>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</si>
  <si>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</si>
  <si>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</si>
  <si>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</si>
  <si>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</si>
  <si>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</si>
  <si>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</si>
  <si>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</si>
  <si>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</si>
  <si>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</si>
  <si>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</si>
  <si>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</si>
  <si>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</si>
  <si>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</si>
  <si>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</si>
  <si>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</si>
  <si>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</si>
  <si>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5.82079 81.7076 379.058 625.282 860.746 1053.2 1224.8 1358.75</t>
  </si>
  <si>
    <t>Fs_true</t>
  </si>
  <si>
    <t>0.490453 101.675 401.066 600.642 799.989 1000.63 1200.95 1401.92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</si>
  <si>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</si>
  <si>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</si>
  <si>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</si>
  <si>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</si>
  <si>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</si>
  <si>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</si>
  <si>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</si>
  <si>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</si>
  <si>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</si>
  <si>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</si>
  <si>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</si>
  <si>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</si>
  <si>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</si>
  <si>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</si>
  <si>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</si>
  <si>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</si>
  <si>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</si>
  <si>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</si>
  <si>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</si>
  <si>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</si>
  <si>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</si>
  <si>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</si>
  <si>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</si>
  <si>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</si>
  <si>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</si>
  <si>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</si>
  <si>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</si>
  <si>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</si>
  <si>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</si>
  <si>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</si>
  <si>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</si>
  <si>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</si>
  <si>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</si>
  <si>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</si>
  <si>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</si>
  <si>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</si>
  <si>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</si>
  <si>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</si>
  <si>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</si>
  <si>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</si>
  <si>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</si>
  <si>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</si>
  <si>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</si>
  <si>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</si>
  <si>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</si>
  <si>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</si>
  <si>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</si>
  <si>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</si>
  <si>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</si>
  <si>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</si>
  <si>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</si>
  <si>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</si>
  <si>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</si>
  <si>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</si>
  <si>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</si>
  <si>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</si>
  <si>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</si>
  <si>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</si>
  <si>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</si>
  <si>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</si>
  <si>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</si>
  <si>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</si>
  <si>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</si>
  <si>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</si>
  <si>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</si>
  <si>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</si>
  <si>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</si>
  <si>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</si>
  <si>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</si>
  <si>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</si>
  <si>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</si>
  <si>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</si>
  <si>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</si>
  <si>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</si>
  <si>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</si>
  <si>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</si>
  <si>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</si>
  <si>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</si>
  <si>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</si>
  <si>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</si>
  <si>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</si>
  <si>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</si>
  <si>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</si>
  <si>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</si>
  <si>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</si>
  <si>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</si>
  <si>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</si>
  <si>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</si>
  <si>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</si>
  <si>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</si>
  <si>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</si>
  <si>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</si>
  <si>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</si>
  <si>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</si>
  <si>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</si>
  <si>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</si>
  <si>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</si>
  <si>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</si>
  <si>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</si>
  <si>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</si>
  <si>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</si>
  <si>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</si>
  <si>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</si>
  <si>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</si>
  <si>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</si>
  <si>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</si>
  <si>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</si>
  <si>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</si>
  <si>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</si>
  <si>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</si>
  <si>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</si>
  <si>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</si>
  <si>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</si>
  <si>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</si>
  <si>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</si>
  <si>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</si>
  <si>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</si>
  <si>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</si>
  <si>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</si>
  <si>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</si>
  <si>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</si>
  <si>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</si>
  <si>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</si>
  <si>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</si>
  <si>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</si>
  <si>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</si>
  <si>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</si>
  <si>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</si>
  <si>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</si>
  <si>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</si>
  <si>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</si>
  <si>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</si>
  <si>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</si>
  <si>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</si>
  <si>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</si>
  <si>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</si>
  <si>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</si>
  <si>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</si>
  <si>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</si>
  <si>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</si>
  <si>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</si>
  <si>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</si>
  <si>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</si>
  <si>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</si>
  <si>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</si>
  <si>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</si>
  <si>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</si>
  <si>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</si>
  <si>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</si>
  <si>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</si>
  <si>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</si>
  <si>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</si>
  <si>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</si>
  <si>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</si>
  <si>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</si>
  <si>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</si>
  <si>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</si>
  <si>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</si>
  <si>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</si>
  <si>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</si>
  <si>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</si>
  <si>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</si>
  <si>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</si>
  <si>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</si>
  <si>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</si>
  <si>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</si>
  <si>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</si>
  <si>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</si>
  <si>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</si>
  <si>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</si>
  <si>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</si>
  <si>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</si>
  <si>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</si>
  <si>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</si>
  <si>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</si>
  <si>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</si>
  <si>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</si>
  <si>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</si>
  <si>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</si>
  <si>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</si>
  <si>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</si>
  <si>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</si>
  <si>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</si>
  <si>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</si>
  <si>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</si>
  <si>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</si>
  <si>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</si>
  <si>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</si>
  <si>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</si>
  <si>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</si>
  <si>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</si>
  <si>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</si>
  <si>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</si>
  <si>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</si>
  <si>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</si>
  <si>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</si>
  <si>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</si>
  <si>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</si>
  <si>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</si>
  <si>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</si>
  <si>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</si>
  <si>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</si>
  <si>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</si>
  <si>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</si>
  <si>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</si>
  <si>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</si>
  <si>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</si>
  <si>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</si>
  <si>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</si>
  <si>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</si>
  <si>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</si>
  <si>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</si>
  <si>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</si>
  <si>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</si>
  <si>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</si>
  <si>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</si>
  <si>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</si>
  <si>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</si>
  <si>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</si>
  <si>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</si>
  <si>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</si>
  <si>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</si>
  <si>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</si>
  <si>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</si>
  <si>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</si>
  <si>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</si>
  <si>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</si>
  <si>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</si>
  <si>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</si>
  <si>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</si>
  <si>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</si>
  <si>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</si>
  <si>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</si>
  <si>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</si>
  <si>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</si>
  <si>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</si>
  <si>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</si>
  <si>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</si>
  <si>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</si>
  <si>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</si>
  <si>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</si>
  <si>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</si>
  <si>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</si>
  <si>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</si>
  <si>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</si>
  <si>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</si>
  <si>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</si>
  <si>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</si>
  <si>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</si>
  <si>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</si>
  <si>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</si>
  <si>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</si>
  <si>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</si>
  <si>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</si>
  <si>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</si>
  <si>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</si>
  <si>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</si>
  <si>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</si>
  <si>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</si>
  <si>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</si>
  <si>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</si>
  <si>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</si>
  <si>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</si>
  <si>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</si>
  <si>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</si>
  <si>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</si>
  <si>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</si>
  <si>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</si>
  <si>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</si>
  <si>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</si>
  <si>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</si>
  <si>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</si>
  <si>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</si>
  <si>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</si>
  <si>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</si>
  <si>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</si>
  <si>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</si>
  <si>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</si>
  <si>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</si>
  <si>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</si>
  <si>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</si>
  <si>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</si>
  <si>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</si>
  <si>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</si>
  <si>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</si>
  <si>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</si>
  <si>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</si>
  <si>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</si>
  <si>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</si>
  <si>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</si>
  <si>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</si>
  <si>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</si>
  <si>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</si>
  <si>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</si>
  <si>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</si>
  <si>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</si>
  <si>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</si>
  <si>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</si>
  <si>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</si>
  <si>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</si>
  <si>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</si>
  <si>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</si>
  <si>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</si>
  <si>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</si>
  <si>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</si>
  <si>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</si>
  <si>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</si>
  <si>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</si>
  <si>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</si>
  <si>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</si>
  <si>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</si>
  <si>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</si>
  <si>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</si>
  <si>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</si>
  <si>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</si>
  <si>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</si>
  <si>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</si>
  <si>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</si>
  <si>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</si>
  <si>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</si>
  <si>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</si>
  <si>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</si>
  <si>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</si>
  <si>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</si>
  <si>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</si>
  <si>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</si>
  <si>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20230124 09:28:54</t>
  </si>
  <si>
    <t>09:28:54</t>
  </si>
  <si>
    <t>none</t>
  </si>
  <si>
    <t>1</t>
  </si>
  <si>
    <t>zg12a</t>
  </si>
  <si>
    <t>RECT-19644-20220902-13_33_18</t>
  </si>
  <si>
    <t>MPF-20165-20230124-09_28_55</t>
  </si>
  <si>
    <t>DARK-20166-20230124-09_29_02</t>
  </si>
  <si>
    <t>0: Broadleaf</t>
  </si>
  <si>
    <t>09:28:21</t>
  </si>
  <si>
    <t>2/2</t>
  </si>
  <si>
    <t>10111111</t>
  </si>
  <si>
    <t>oioooooo</t>
  </si>
  <si>
    <t>off</t>
  </si>
  <si>
    <t>on</t>
  </si>
  <si>
    <t>20230124 09:30:45</t>
  </si>
  <si>
    <t>09:30:45</t>
  </si>
  <si>
    <t>MPF-20167-20230124-09_30_45</t>
  </si>
  <si>
    <t>DARK-20168-20230124-09_30_52</t>
  </si>
  <si>
    <t>09:30:11</t>
  </si>
  <si>
    <t>20230124 09:33:11</t>
  </si>
  <si>
    <t>09:33:11</t>
  </si>
  <si>
    <t>MPF-20169-20230124-09_33_12</t>
  </si>
  <si>
    <t>DARK-20170-20230124-09_33_19</t>
  </si>
  <si>
    <t>09:32:37</t>
  </si>
  <si>
    <t>20230124 09:34:51</t>
  </si>
  <si>
    <t>09:34:51</t>
  </si>
  <si>
    <t>MPF-20171-20230124-09_34_51</t>
  </si>
  <si>
    <t>DARK-20172-20230124-09_34_58</t>
  </si>
  <si>
    <t>09:35:25</t>
  </si>
  <si>
    <t>20230124 09:36:56</t>
  </si>
  <si>
    <t>09:36:56</t>
  </si>
  <si>
    <t>MPF-20173-20230124-09_36_56</t>
  </si>
  <si>
    <t>DARK-20174-20230124-09_37_03</t>
  </si>
  <si>
    <t>09:37:27</t>
  </si>
  <si>
    <t>20230124 09:38:58</t>
  </si>
  <si>
    <t>09:38:58</t>
  </si>
  <si>
    <t>MPF-20175-20230124-09_38_58</t>
  </si>
  <si>
    <t>DARK-20176-20230124-09_39_05</t>
  </si>
  <si>
    <t>09:39:28</t>
  </si>
  <si>
    <t>20230124 09:40:59</t>
  </si>
  <si>
    <t>09:40:59</t>
  </si>
  <si>
    <t>MPF-20177-20230124-09_41_00</t>
  </si>
  <si>
    <t>DARK-20178-20230124-09_41_07</t>
  </si>
  <si>
    <t>09:41:40</t>
  </si>
  <si>
    <t>20230124 09:44:41</t>
  </si>
  <si>
    <t>09:44:41</t>
  </si>
  <si>
    <t>MPF-20179-20230124-09_44_41</t>
  </si>
  <si>
    <t>DARK-20180-20230124-09_44_48</t>
  </si>
  <si>
    <t>09:43:23</t>
  </si>
  <si>
    <t>0/2</t>
  </si>
  <si>
    <t>20230124 09:47:16</t>
  </si>
  <si>
    <t>09:47:16</t>
  </si>
  <si>
    <t>MPF-20181-20230124-09_47_17</t>
  </si>
  <si>
    <t>DARK-20182-20230124-09_47_24</t>
  </si>
  <si>
    <t>09:45:55</t>
  </si>
  <si>
    <t>20230124 09:49:04</t>
  </si>
  <si>
    <t>09:49:04</t>
  </si>
  <si>
    <t>MPF-20183-20230124-09_49_04</t>
  </si>
  <si>
    <t>DARK-20184-20230124-09_49_11</t>
  </si>
  <si>
    <t>09:48:31</t>
  </si>
  <si>
    <t>20230124 09:51:07</t>
  </si>
  <si>
    <t>09:51:07</t>
  </si>
  <si>
    <t>MPF-20185-20230124-09_51_07</t>
  </si>
  <si>
    <t>DARK-20186-20230124-09_51_14</t>
  </si>
  <si>
    <t>09:50:19</t>
  </si>
  <si>
    <t>20230124 09:52:56</t>
  </si>
  <si>
    <t>09:52:56</t>
  </si>
  <si>
    <t>MPF-20187-20230124-09_52_56</t>
  </si>
  <si>
    <t>DARK-20188-20230124-09_53_03</t>
  </si>
  <si>
    <t>09:52:22</t>
  </si>
  <si>
    <t>20230124 09:54:42</t>
  </si>
  <si>
    <t>09:54:42</t>
  </si>
  <si>
    <t>MPF-20189-20230124-09_54_42</t>
  </si>
  <si>
    <t>DARK-20190-20230124-09_54_49</t>
  </si>
  <si>
    <t>09:54:07</t>
  </si>
  <si>
    <t>20230124 09:56:30</t>
  </si>
  <si>
    <t>09:56:30</t>
  </si>
  <si>
    <t>MPF-20191-20230124-09_56_30</t>
  </si>
  <si>
    <t>DARK-20192-20230124-09_56_37</t>
  </si>
  <si>
    <t>09:55:56</t>
  </si>
  <si>
    <t>20230124 10:16:31</t>
  </si>
  <si>
    <t>10:16:31</t>
  </si>
  <si>
    <t>2</t>
  </si>
  <si>
    <t>zg5b</t>
  </si>
  <si>
    <t>MPF-20193-20230124-10_16_31</t>
  </si>
  <si>
    <t>DARK-20194-20230124-10_16_38</t>
  </si>
  <si>
    <t>10:15:58</t>
  </si>
  <si>
    <t>20230124 10:18:30</t>
  </si>
  <si>
    <t>10:18:30</t>
  </si>
  <si>
    <t>MPF-20195-20230124-10_18_31</t>
  </si>
  <si>
    <t>DARK-20196-20230124-10_18_38</t>
  </si>
  <si>
    <t>10:17:57</t>
  </si>
  <si>
    <t>20230124 10:20:17</t>
  </si>
  <si>
    <t>10:20:17</t>
  </si>
  <si>
    <t>MPF-20197-20230124-10_20_18</t>
  </si>
  <si>
    <t>DARK-20198-20230124-10_20_25</t>
  </si>
  <si>
    <t>10:19:45</t>
  </si>
  <si>
    <t>20230124 10:22:00</t>
  </si>
  <si>
    <t>10:22:00</t>
  </si>
  <si>
    <t>MPF-20199-20230124-10_22_01</t>
  </si>
  <si>
    <t>DARK-20200-20230124-10_22_08</t>
  </si>
  <si>
    <t>10:21:28</t>
  </si>
  <si>
    <t>20230124 10:24:03</t>
  </si>
  <si>
    <t>10:24:03</t>
  </si>
  <si>
    <t>MPF-20201-20230124-10_24_04</t>
  </si>
  <si>
    <t>DARK-20202-20230124-10_24_11</t>
  </si>
  <si>
    <t>10:23:30</t>
  </si>
  <si>
    <t>20230124 10:25:56</t>
  </si>
  <si>
    <t>10:25:56</t>
  </si>
  <si>
    <t>MPF-20203-20230124-10_25_56</t>
  </si>
  <si>
    <t>DARK-20204-20230124-10_26_03</t>
  </si>
  <si>
    <t>10:25:23</t>
  </si>
  <si>
    <t>20230124 10:27:41</t>
  </si>
  <si>
    <t>10:27:41</t>
  </si>
  <si>
    <t>MPF-20205-20230124-10_27_42</t>
  </si>
  <si>
    <t>DARK-20206-20230124-10_27_49</t>
  </si>
  <si>
    <t>10:27:09</t>
  </si>
  <si>
    <t>20230124 10:30:51</t>
  </si>
  <si>
    <t>10:30:51</t>
  </si>
  <si>
    <t>MPF-20207-20230124-10_30_51</t>
  </si>
  <si>
    <t>DARK-20208-20230124-10_30_59</t>
  </si>
  <si>
    <t>10:29:09</t>
  </si>
  <si>
    <t>20230124 10:32:30</t>
  </si>
  <si>
    <t>10:32:30</t>
  </si>
  <si>
    <t>MPF-20209-20230124-10_32_31</t>
  </si>
  <si>
    <t>DARK-20210-20230124-10_32_38</t>
  </si>
  <si>
    <t>10:33:01</t>
  </si>
  <si>
    <t>20230124 10:34:40</t>
  </si>
  <si>
    <t>10:34:40</t>
  </si>
  <si>
    <t>MPF-20211-20230124-10_34_40</t>
  </si>
  <si>
    <t>DARK-20212-20230124-10_34_48</t>
  </si>
  <si>
    <t>10:34:09</t>
  </si>
  <si>
    <t>20230124 10:36:38</t>
  </si>
  <si>
    <t>10:36:38</t>
  </si>
  <si>
    <t>MPF-20213-20230124-10_36_38</t>
  </si>
  <si>
    <t>DARK-20214-20230124-10_36_45</t>
  </si>
  <si>
    <t>10:36:05</t>
  </si>
  <si>
    <t>20230124 10:38:26</t>
  </si>
  <si>
    <t>10:38:26</t>
  </si>
  <si>
    <t>MPF-20215-20230124-10_38_26</t>
  </si>
  <si>
    <t>DARK-20216-20230124-10_38_33</t>
  </si>
  <si>
    <t>10:37:54</t>
  </si>
  <si>
    <t>20230124 10:40:20</t>
  </si>
  <si>
    <t>10:40:20</t>
  </si>
  <si>
    <t>MPF-20217-20230124-10_40_20</t>
  </si>
  <si>
    <t>DARK-20218-20230124-10_40_27</t>
  </si>
  <si>
    <t>10:39:46</t>
  </si>
  <si>
    <t>20230124 10:42:10</t>
  </si>
  <si>
    <t>10:42:10</t>
  </si>
  <si>
    <t>MPF-20219-20230124-10_42_11</t>
  </si>
  <si>
    <t>DARK-20220-20230124-10_42_18</t>
  </si>
  <si>
    <t>10:41:37</t>
  </si>
  <si>
    <t>20230124 11:04:38</t>
  </si>
  <si>
    <t>11:04:38</t>
  </si>
  <si>
    <t>3</t>
  </si>
  <si>
    <t>hn1a</t>
  </si>
  <si>
    <t>MPF-20221-20230124-11_04_39</t>
  </si>
  <si>
    <t>DARK-20222-20230124-11_04_46</t>
  </si>
  <si>
    <t>11:04:06</t>
  </si>
  <si>
    <t>20230124 11:06:27</t>
  </si>
  <si>
    <t>11:06:27</t>
  </si>
  <si>
    <t>MPF-20223-20230124-11_06_28</t>
  </si>
  <si>
    <t>DARK-20224-20230124-11_06_35</t>
  </si>
  <si>
    <t>11:05:55</t>
  </si>
  <si>
    <t>20230124 11:08:14</t>
  </si>
  <si>
    <t>11:08:14</t>
  </si>
  <si>
    <t>MPF-20225-20230124-11_08_15</t>
  </si>
  <si>
    <t>DARK-20226-20230124-11_08_22</t>
  </si>
  <si>
    <t>11:07:42</t>
  </si>
  <si>
    <t>20230124 11:10:08</t>
  </si>
  <si>
    <t>11:10:08</t>
  </si>
  <si>
    <t>MPF-20227-20230124-11_10_08</t>
  </si>
  <si>
    <t>DARK-20228-20230124-11_10_16</t>
  </si>
  <si>
    <t>11:09:35</t>
  </si>
  <si>
    <t>20230124 11:12:09</t>
  </si>
  <si>
    <t>11:12:09</t>
  </si>
  <si>
    <t>MPF-20229-20230124-11_12_10</t>
  </si>
  <si>
    <t>DARK-20230-20230124-11_12_17</t>
  </si>
  <si>
    <t>11:11:37</t>
  </si>
  <si>
    <t>20230124 11:14:18</t>
  </si>
  <si>
    <t>11:14:18</t>
  </si>
  <si>
    <t>MPF-20231-20230124-11_14_18</t>
  </si>
  <si>
    <t>DARK-20232-20230124-11_14_26</t>
  </si>
  <si>
    <t>11:13:45</t>
  </si>
  <si>
    <t>20230124 11:16:05</t>
  </si>
  <si>
    <t>11:16:05</t>
  </si>
  <si>
    <t>MPF-20233-20230124-11_16_06</t>
  </si>
  <si>
    <t>DARK-20234-20230124-11_16_13</t>
  </si>
  <si>
    <t>11:15:31</t>
  </si>
  <si>
    <t>20230124 11:19:15</t>
  </si>
  <si>
    <t>11:19:15</t>
  </si>
  <si>
    <t>MPF-20235-20230124-11_19_15</t>
  </si>
  <si>
    <t>DARK-20236-20230124-11_19_23</t>
  </si>
  <si>
    <t>11:17:39</t>
  </si>
  <si>
    <t>20230124 11:20:58</t>
  </si>
  <si>
    <t>11:20:58</t>
  </si>
  <si>
    <t>MPF-20237-20230124-11_20_59</t>
  </si>
  <si>
    <t>DARK-20238-20230124-11_21_06</t>
  </si>
  <si>
    <t>11:20:26</t>
  </si>
  <si>
    <t>20230124 11:22:44</t>
  </si>
  <si>
    <t>11:22:44</t>
  </si>
  <si>
    <t>MPF-20239-20230124-11_22_44</t>
  </si>
  <si>
    <t>DARK-20240-20230124-11_22_52</t>
  </si>
  <si>
    <t>11:22:12</t>
  </si>
  <si>
    <t>20230124 11:24:28</t>
  </si>
  <si>
    <t>11:24:28</t>
  </si>
  <si>
    <t>MPF-20241-20230124-11_24_29</t>
  </si>
  <si>
    <t>DARK-20242-20230124-11_24_36</t>
  </si>
  <si>
    <t>11:23:55</t>
  </si>
  <si>
    <t>20230124 11:26:26</t>
  </si>
  <si>
    <t>11:26:26</t>
  </si>
  <si>
    <t>MPF-20243-20230124-11_26_27</t>
  </si>
  <si>
    <t>DARK-20244-20230124-11_26_34</t>
  </si>
  <si>
    <t>11:25:43</t>
  </si>
  <si>
    <t>20230124 11:28:34</t>
  </si>
  <si>
    <t>11:28:34</t>
  </si>
  <si>
    <t>MPF-20245-20230124-11_28_35</t>
  </si>
  <si>
    <t>DARK-20246-20230124-11_28_42</t>
  </si>
  <si>
    <t>11:28:00</t>
  </si>
  <si>
    <t>20230124 11:30:26</t>
  </si>
  <si>
    <t>11:30:26</t>
  </si>
  <si>
    <t>MPF-20247-20230124-11_30_26</t>
  </si>
  <si>
    <t>DARK-20248-20230124-11_30_34</t>
  </si>
  <si>
    <t>11:29:52</t>
  </si>
  <si>
    <t>20230124 12:24:11</t>
  </si>
  <si>
    <t>12:24:11</t>
  </si>
  <si>
    <t>WT</t>
  </si>
  <si>
    <t>MPF-20249-20230124-12_24_11</t>
  </si>
  <si>
    <t>DARK-20250-20230124-12_24_19</t>
  </si>
  <si>
    <t>12:23:37</t>
  </si>
  <si>
    <t>20230124 12:25:55</t>
  </si>
  <si>
    <t>12:25:55</t>
  </si>
  <si>
    <t>MPF-20251-20230124-12_25_55</t>
  </si>
  <si>
    <t>DARK-20252-20230124-12_26_03</t>
  </si>
  <si>
    <t>12:25:21</t>
  </si>
  <si>
    <t>20230124 12:27:51</t>
  </si>
  <si>
    <t>12:27:51</t>
  </si>
  <si>
    <t>MPF-20253-20230124-12_27_51</t>
  </si>
  <si>
    <t>DARK-20254-20230124-12_27_59</t>
  </si>
  <si>
    <t>12:27:18</t>
  </si>
  <si>
    <t>20230124 12:29:40</t>
  </si>
  <si>
    <t>12:29:40</t>
  </si>
  <si>
    <t>MPF-20255-20230124-12_29_40</t>
  </si>
  <si>
    <t>DARK-20256-20230124-12_29_48</t>
  </si>
  <si>
    <t>12:29:07</t>
  </si>
  <si>
    <t>20230124 12:31:24</t>
  </si>
  <si>
    <t>12:31:24</t>
  </si>
  <si>
    <t>MPF-20257-20230124-12_31_25</t>
  </si>
  <si>
    <t>DARK-20258-20230124-12_31_32</t>
  </si>
  <si>
    <t>12:30:52</t>
  </si>
  <si>
    <t>20230124 12:33:06</t>
  </si>
  <si>
    <t>12:33:06</t>
  </si>
  <si>
    <t>MPF-20259-20230124-12_33_07</t>
  </si>
  <si>
    <t>DARK-20260-20230124-12_33_14</t>
  </si>
  <si>
    <t>12:32:35</t>
  </si>
  <si>
    <t>20230124 12:34:59</t>
  </si>
  <si>
    <t>12:34:59</t>
  </si>
  <si>
    <t>MPF-20261-20230124-12_34_59</t>
  </si>
  <si>
    <t>DARK-20262-20230124-12_35_07</t>
  </si>
  <si>
    <t>12:34:26</t>
  </si>
  <si>
    <t>20230124 12:38:08</t>
  </si>
  <si>
    <t>12:38:08</t>
  </si>
  <si>
    <t>MPF-20263-20230124-12_38_09</t>
  </si>
  <si>
    <t>DARK-20264-20230124-12_38_16</t>
  </si>
  <si>
    <t>12:36:33</t>
  </si>
  <si>
    <t>1/2</t>
  </si>
  <si>
    <t>20230124 12:41:08</t>
  </si>
  <si>
    <t>12:41:08</t>
  </si>
  <si>
    <t>MPF-20265-20230124-12_41_09</t>
  </si>
  <si>
    <t>DARK-20266-20230124-12_41_16</t>
  </si>
  <si>
    <t>12:39:19</t>
  </si>
  <si>
    <t>20230124 12:42:55</t>
  </si>
  <si>
    <t>12:42:55</t>
  </si>
  <si>
    <t>MPF-20267-20230124-12_42_55</t>
  </si>
  <si>
    <t>DARK-20268-20230124-12_43_03</t>
  </si>
  <si>
    <t>12:42:22</t>
  </si>
  <si>
    <t>20230124 12:44:41</t>
  </si>
  <si>
    <t>12:44:41</t>
  </si>
  <si>
    <t>MPF-20269-20230124-12_44_41</t>
  </si>
  <si>
    <t>DARK-20270-20230124-12_44_49</t>
  </si>
  <si>
    <t>12:44:08</t>
  </si>
  <si>
    <t>20230124 12:46:25</t>
  </si>
  <si>
    <t>12:46:25</t>
  </si>
  <si>
    <t>MPF-20271-20230124-12_46_26</t>
  </si>
  <si>
    <t>DARK-20272-20230124-12_46_33</t>
  </si>
  <si>
    <t>12:45:52</t>
  </si>
  <si>
    <t>20230124 12:48:30</t>
  </si>
  <si>
    <t>12:48:30</t>
  </si>
  <si>
    <t>MPF-20273-20230124-12_48_30</t>
  </si>
  <si>
    <t>DARK-20274-20230124-12_48_38</t>
  </si>
  <si>
    <t>12:47:45</t>
  </si>
  <si>
    <t>20230124 12:50:24</t>
  </si>
  <si>
    <t>12:50:24</t>
  </si>
  <si>
    <t>MPF-20275-20230124-12_50_24</t>
  </si>
  <si>
    <t>DARK-20276-20230124-12_50_32</t>
  </si>
  <si>
    <t>12:49:51</t>
  </si>
  <si>
    <t>20230124 13:45:52</t>
  </si>
  <si>
    <t>13:45:52</t>
  </si>
  <si>
    <t>5</t>
  </si>
  <si>
    <t>MPF-20277-20230124-13_45_53</t>
  </si>
  <si>
    <t>DARK-20278-20230124-13_46_00</t>
  </si>
  <si>
    <t>13:45:18</t>
  </si>
  <si>
    <t>20230124 13:48:01</t>
  </si>
  <si>
    <t>13:48:01</t>
  </si>
  <si>
    <t>MPF-20279-20230124-13_48_02</t>
  </si>
  <si>
    <t>DARK-20280-20230124-13_48_09</t>
  </si>
  <si>
    <t>13:47:29</t>
  </si>
  <si>
    <t>20230124 13:49:58</t>
  </si>
  <si>
    <t>13:49:58</t>
  </si>
  <si>
    <t>MPF-20281-20230124-13_49_59</t>
  </si>
  <si>
    <t>DARK-20282-20230124-13_50_06</t>
  </si>
  <si>
    <t>13:49:26</t>
  </si>
  <si>
    <t>20230124 13:51:55</t>
  </si>
  <si>
    <t>13:51:55</t>
  </si>
  <si>
    <t>MPF-20283-20230124-13_51_56</t>
  </si>
  <si>
    <t>DARK-20284-20230124-13_52_03</t>
  </si>
  <si>
    <t>13:51:23</t>
  </si>
  <si>
    <t>20230124 13:53:47</t>
  </si>
  <si>
    <t>13:53:47</t>
  </si>
  <si>
    <t>MPF-20285-20230124-13_53_48</t>
  </si>
  <si>
    <t>DARK-20286-20230124-13_53_55</t>
  </si>
  <si>
    <t>13:53:15</t>
  </si>
  <si>
    <t>20230124 13:55:53</t>
  </si>
  <si>
    <t>13:55:53</t>
  </si>
  <si>
    <t>MPF-20287-20230124-13_55_54</t>
  </si>
  <si>
    <t>DARK-20288-20230124-13_56_01</t>
  </si>
  <si>
    <t>13:55:20</t>
  </si>
  <si>
    <t>20230124 13:57:46</t>
  </si>
  <si>
    <t>13:57:46</t>
  </si>
  <si>
    <t>MPF-20289-20230124-13_57_47</t>
  </si>
  <si>
    <t>DARK-20290-20230124-13_57_54</t>
  </si>
  <si>
    <t>13:57:13</t>
  </si>
  <si>
    <t>20230124 14:00:55</t>
  </si>
  <si>
    <t>14:00:55</t>
  </si>
  <si>
    <t>MPF-20291-20230124-14_00_56</t>
  </si>
  <si>
    <t>DARK-20292-20230124-14_01_03</t>
  </si>
  <si>
    <t>13:59:14</t>
  </si>
  <si>
    <t>20230124 14:04:00</t>
  </si>
  <si>
    <t>14:04:00</t>
  </si>
  <si>
    <t>MPF-20293-20230124-14_04_01</t>
  </si>
  <si>
    <t>DARK-20294-20230124-14_04_08</t>
  </si>
  <si>
    <t>14:02:14</t>
  </si>
  <si>
    <t>20230124 14:05:57</t>
  </si>
  <si>
    <t>14:05:57</t>
  </si>
  <si>
    <t>MPF-20295-20230124-14_05_58</t>
  </si>
  <si>
    <t>DARK-20296-20230124-14_06_05</t>
  </si>
  <si>
    <t>14:05:23</t>
  </si>
  <si>
    <t>20230124 14:07:44</t>
  </si>
  <si>
    <t>14:07:44</t>
  </si>
  <si>
    <t>MPF-20297-20230124-14_07_45</t>
  </si>
  <si>
    <t>DARK-20298-20230124-14_07_53</t>
  </si>
  <si>
    <t>14:07:12</t>
  </si>
  <si>
    <t>20230124 14:09:33</t>
  </si>
  <si>
    <t>14:09:33</t>
  </si>
  <si>
    <t>MPF-20299-20230124-14_09_34</t>
  </si>
  <si>
    <t>DARK-20300-20230124-14_09_41</t>
  </si>
  <si>
    <t>14:09:01</t>
  </si>
  <si>
    <t>20230124 14:11:36</t>
  </si>
  <si>
    <t>14:11:36</t>
  </si>
  <si>
    <t>MPF-20301-20230124-14_11_37</t>
  </si>
  <si>
    <t>DARK-20302-20230124-14_11_44</t>
  </si>
  <si>
    <t>14:10:51</t>
  </si>
  <si>
    <t>20230124 14:13:31</t>
  </si>
  <si>
    <t>14:13:31</t>
  </si>
  <si>
    <t>MPF-20303-20230124-14_13_32</t>
  </si>
  <si>
    <t>DARK-20304-20230124-14_13_39</t>
  </si>
  <si>
    <t>14:12:58</t>
  </si>
  <si>
    <t>20230124 14:38:14</t>
  </si>
  <si>
    <t>14:38:14</t>
  </si>
  <si>
    <t>6</t>
  </si>
  <si>
    <t>MPF-20305-20230124-14_38_15</t>
  </si>
  <si>
    <t>DARK-20306-20230124-14_38_22</t>
  </si>
  <si>
    <t>14:37:39</t>
  </si>
  <si>
    <t>20230124 14:40:00</t>
  </si>
  <si>
    <t>14:40:00</t>
  </si>
  <si>
    <t>MPF-20307-20230124-14_40_01</t>
  </si>
  <si>
    <t>DARK-20308-20230124-14_40_09</t>
  </si>
  <si>
    <t>14:39:27</t>
  </si>
  <si>
    <t>20230124 14:41:54</t>
  </si>
  <si>
    <t>14:41:54</t>
  </si>
  <si>
    <t>MPF-20309-20230124-14_41_55</t>
  </si>
  <si>
    <t>DARK-20310-20230124-14_42_03</t>
  </si>
  <si>
    <t>14:41:22</t>
  </si>
  <si>
    <t>20230124 14:43:51</t>
  </si>
  <si>
    <t>14:43:51</t>
  </si>
  <si>
    <t>MPF-20311-20230124-14_43_52</t>
  </si>
  <si>
    <t>DARK-20312-20230124-14_43_59</t>
  </si>
  <si>
    <t>14:43:18</t>
  </si>
  <si>
    <t>20230124 14:45:44</t>
  </si>
  <si>
    <t>14:45:44</t>
  </si>
  <si>
    <t>MPF-20313-20230124-14_45_45</t>
  </si>
  <si>
    <t>DARK-20314-20230124-14_45_52</t>
  </si>
  <si>
    <t>14:45:11</t>
  </si>
  <si>
    <t>20230124 14:47:38</t>
  </si>
  <si>
    <t>14:47:38</t>
  </si>
  <si>
    <t>MPF-20315-20230124-14_47_39</t>
  </si>
  <si>
    <t>DARK-20316-20230124-14_47_46</t>
  </si>
  <si>
    <t>14:47:04</t>
  </si>
  <si>
    <t>20230124 14:49:31</t>
  </si>
  <si>
    <t>14:49:31</t>
  </si>
  <si>
    <t>MPF-20317-20230124-14_49_32</t>
  </si>
  <si>
    <t>DARK-20318-20230124-14_49_39</t>
  </si>
  <si>
    <t>14:48:57</t>
  </si>
  <si>
    <t>20230124 14:52:41</t>
  </si>
  <si>
    <t>14:52:41</t>
  </si>
  <si>
    <t>MPF-20319-20230124-14_52_42</t>
  </si>
  <si>
    <t>DARK-20320-20230124-14_52_49</t>
  </si>
  <si>
    <t>14:51:06</t>
  </si>
  <si>
    <t>20230124 14:55:50</t>
  </si>
  <si>
    <t>14:55:50</t>
  </si>
  <si>
    <t>MPF-20321-20230124-14_55_51</t>
  </si>
  <si>
    <t>DARK-20322-20230124-14_55_58</t>
  </si>
  <si>
    <t>14:54:32</t>
  </si>
  <si>
    <t>20230124 14:57:41</t>
  </si>
  <si>
    <t>14:57:41</t>
  </si>
  <si>
    <t>MPF-20323-20230124-14_57_42</t>
  </si>
  <si>
    <t>DARK-20324-20230124-14_57_49</t>
  </si>
  <si>
    <t>14:57:07</t>
  </si>
  <si>
    <t>20230124 14:59:32</t>
  </si>
  <si>
    <t>14:59:32</t>
  </si>
  <si>
    <t>MPF-20325-20230124-14_59_33</t>
  </si>
  <si>
    <t>DARK-20326-20230124-14_59_41</t>
  </si>
  <si>
    <t>14:58:53</t>
  </si>
  <si>
    <t>20230124 15:01:17</t>
  </si>
  <si>
    <t>15:01:17</t>
  </si>
  <si>
    <t>MPF-20327-20230124-15_01_18</t>
  </si>
  <si>
    <t>DARK-20328-20230124-15_01_26</t>
  </si>
  <si>
    <t>15:00:45</t>
  </si>
  <si>
    <t>20230124 15:03:23</t>
  </si>
  <si>
    <t>15:03:23</t>
  </si>
  <si>
    <t>MPF-20329-20230124-15_03_24</t>
  </si>
  <si>
    <t>DARK-20330-20230124-15_03_31</t>
  </si>
  <si>
    <t>15:02:48</t>
  </si>
  <si>
    <t>20230124 15:05:22</t>
  </si>
  <si>
    <t>15:05:22</t>
  </si>
  <si>
    <t>MPF-20331-20230124-15_05_23</t>
  </si>
  <si>
    <t>DARK-20332-20230124-15_05_30</t>
  </si>
  <si>
    <t>15:04:47</t>
  </si>
  <si>
    <t>20230124 15:34:09</t>
  </si>
  <si>
    <t>15:34:09</t>
  </si>
  <si>
    <t>7</t>
  </si>
  <si>
    <t>MPF-20333-20230124-15_34_10</t>
  </si>
  <si>
    <t>DARK-20334-20230124-15_34_17</t>
  </si>
  <si>
    <t>15:33:35</t>
  </si>
  <si>
    <t>20230124 15:36:00</t>
  </si>
  <si>
    <t>15:36:00</t>
  </si>
  <si>
    <t>MPF-20335-20230124-15_36_01</t>
  </si>
  <si>
    <t>DARK-20336-20230124-15_36_08</t>
  </si>
  <si>
    <t>15:35:27</t>
  </si>
  <si>
    <t>20230124 15:38:41</t>
  </si>
  <si>
    <t>15:38:41</t>
  </si>
  <si>
    <t>MPF-20337-20230124-15_38_42</t>
  </si>
  <si>
    <t>DARK-20338-20230124-15_38_49</t>
  </si>
  <si>
    <t>15:37:16</t>
  </si>
  <si>
    <t>20230124 15:40:32</t>
  </si>
  <si>
    <t>15:40:32</t>
  </si>
  <si>
    <t>MPF-20339-20230124-15_40_33</t>
  </si>
  <si>
    <t>DARK-20340-20230124-15_40_41</t>
  </si>
  <si>
    <t>15:39:58</t>
  </si>
  <si>
    <t>20230124 15:42:12</t>
  </si>
  <si>
    <t>15:42:12</t>
  </si>
  <si>
    <t>MPF-20341-20230124-15_42_13</t>
  </si>
  <si>
    <t>DARK-20342-20230124-15_42_20</t>
  </si>
  <si>
    <t>15:42:46</t>
  </si>
  <si>
    <t>20230124 15:44:47</t>
  </si>
  <si>
    <t>15:44:47</t>
  </si>
  <si>
    <t>MPF-20343-20230124-15_44_48</t>
  </si>
  <si>
    <t>DARK-20344-20230124-15_44_56</t>
  </si>
  <si>
    <t>15:44:15</t>
  </si>
  <si>
    <t>20230124 15:47:10</t>
  </si>
  <si>
    <t>15:47:10</t>
  </si>
  <si>
    <t>MPF-20345-20230124-15_47_11</t>
  </si>
  <si>
    <t>DARK-20346-20230124-15_47_18</t>
  </si>
  <si>
    <t>15:46:36</t>
  </si>
  <si>
    <t>20230124 15:50:19</t>
  </si>
  <si>
    <t>15:50:19</t>
  </si>
  <si>
    <t>MPF-20347-20230124-15_50_20</t>
  </si>
  <si>
    <t>DARK-20348-20230124-15_50_28</t>
  </si>
  <si>
    <t>15:48:39</t>
  </si>
  <si>
    <t>20230124 15:53:29</t>
  </si>
  <si>
    <t>15:53:29</t>
  </si>
  <si>
    <t>MPF-20349-20230124-15_53_30</t>
  </si>
  <si>
    <t>DARK-20350-20230124-15_53_37</t>
  </si>
  <si>
    <t>15:51:30</t>
  </si>
  <si>
    <t>20230124 15:55:23</t>
  </si>
  <si>
    <t>15:55:23</t>
  </si>
  <si>
    <t>MPF-20351-20230124-15_55_24</t>
  </si>
  <si>
    <t>DARK-20352-20230124-15_55_32</t>
  </si>
  <si>
    <t>15:54:50</t>
  </si>
  <si>
    <t>20230124 15:57:17</t>
  </si>
  <si>
    <t>15:57:17</t>
  </si>
  <si>
    <t>MPF-20353-20230124-15_57_18</t>
  </si>
  <si>
    <t>DARK-20354-20230124-15_57_25</t>
  </si>
  <si>
    <t>15:56:43</t>
  </si>
  <si>
    <t>20230124 15:59:03</t>
  </si>
  <si>
    <t>15:59:03</t>
  </si>
  <si>
    <t>MPF-20355-20230124-15_59_04</t>
  </si>
  <si>
    <t>DARK-20356-20230124-15_59_12</t>
  </si>
  <si>
    <t>15:58:29</t>
  </si>
  <si>
    <t>20230124 16:01:09</t>
  </si>
  <si>
    <t>16:01:09</t>
  </si>
  <si>
    <t>MPF-20357-20230124-16_01_10</t>
  </si>
  <si>
    <t>DARK-20358-20230124-16_01_18</t>
  </si>
  <si>
    <t>16:00:24</t>
  </si>
  <si>
    <t>20230124 16:03:08</t>
  </si>
  <si>
    <t>16:03:08</t>
  </si>
  <si>
    <t>MPF-20359-20230124-16_03_09</t>
  </si>
  <si>
    <t>DARK-20360-20230124-16_03_17</t>
  </si>
  <si>
    <t>16:02:35</t>
  </si>
  <si>
    <t>20230124 16:24:38</t>
  </si>
  <si>
    <t>16:24:38</t>
  </si>
  <si>
    <t>8</t>
  </si>
  <si>
    <t>MPF-20361-20230124-16_24_39</t>
  </si>
  <si>
    <t>DARK-20362-20230124-16_24_46</t>
  </si>
  <si>
    <t>16:24:04</t>
  </si>
  <si>
    <t>20230124 16:26:32</t>
  </si>
  <si>
    <t>16:26:32</t>
  </si>
  <si>
    <t>MPF-20363-20230124-16_26_33</t>
  </si>
  <si>
    <t>DARK-20364-20230124-16_26_41</t>
  </si>
  <si>
    <t>16:25:59</t>
  </si>
  <si>
    <t>20230124 16:28:26</t>
  </si>
  <si>
    <t>16:28:26</t>
  </si>
  <si>
    <t>MPF-20365-20230124-16_28_27</t>
  </si>
  <si>
    <t>DARK-20366-20230124-16_28_34</t>
  </si>
  <si>
    <t>16:27:52</t>
  </si>
  <si>
    <t>20230124 16:30:28</t>
  </si>
  <si>
    <t>16:30:28</t>
  </si>
  <si>
    <t>MPF-20367-20230124-16_30_29</t>
  </si>
  <si>
    <t>DARK-20368-20230124-16_30_36</t>
  </si>
  <si>
    <t>16:29:55</t>
  </si>
  <si>
    <t>20230124 16:33:00</t>
  </si>
  <si>
    <t>16:33:00</t>
  </si>
  <si>
    <t>MPF-20369-20230124-16_33_01</t>
  </si>
  <si>
    <t>DARK-20370-20230124-16_33_09</t>
  </si>
  <si>
    <t>16:32:26</t>
  </si>
  <si>
    <t>20230124 16:35:02</t>
  </si>
  <si>
    <t>16:35:02</t>
  </si>
  <si>
    <t>MPF-20371-20230124-16_35_03</t>
  </si>
  <si>
    <t>DARK-20372-20230124-16_35_10</t>
  </si>
  <si>
    <t>16:34:27</t>
  </si>
  <si>
    <t>20230124 16:37:20</t>
  </si>
  <si>
    <t>16:37:20</t>
  </si>
  <si>
    <t>MPF-20373-20230124-16_37_21</t>
  </si>
  <si>
    <t>DARK-20374-20230124-16_37_28</t>
  </si>
  <si>
    <t>16:36:46</t>
  </si>
  <si>
    <t>20230124 16:40:29</t>
  </si>
  <si>
    <t>16:40:29</t>
  </si>
  <si>
    <t>MPF-20375-20230124-16_40_30</t>
  </si>
  <si>
    <t>DARK-20376-20230124-16_40_38</t>
  </si>
  <si>
    <t>16:38:52</t>
  </si>
  <si>
    <t>20230124 16:42:12</t>
  </si>
  <si>
    <t>16:42:12</t>
  </si>
  <si>
    <t>MPF-20377-20230124-16_42_13</t>
  </si>
  <si>
    <t>DARK-20378-20230124-16_42_20</t>
  </si>
  <si>
    <t>16:41:40</t>
  </si>
  <si>
    <t>20230124 16:44:11</t>
  </si>
  <si>
    <t>16:44:11</t>
  </si>
  <si>
    <t>MPF-20379-20230124-16_44_12</t>
  </si>
  <si>
    <t>DARK-20380-20230124-16_44_19</t>
  </si>
  <si>
    <t>16:43:38</t>
  </si>
  <si>
    <t>20230124 16:46:21</t>
  </si>
  <si>
    <t>16:46:21</t>
  </si>
  <si>
    <t>MPF-20381-20230124-16_46_22</t>
  </si>
  <si>
    <t>DARK-20382-20230124-16_46_30</t>
  </si>
  <si>
    <t>16:45:36</t>
  </si>
  <si>
    <t>20230124 16:48:24</t>
  </si>
  <si>
    <t>16:48:24</t>
  </si>
  <si>
    <t>MPF-20383-20230124-16_48_25</t>
  </si>
  <si>
    <t>DARK-20384-20230124-16_48_33</t>
  </si>
  <si>
    <t>16:47:37</t>
  </si>
  <si>
    <t>20230124 16:50:18</t>
  </si>
  <si>
    <t>16:50:18</t>
  </si>
  <si>
    <t>MPF-20385-20230124-16_50_19</t>
  </si>
  <si>
    <t>DARK-20386-20230124-16_50_26</t>
  </si>
  <si>
    <t>16:49:44</t>
  </si>
  <si>
    <t>20230124 16:52:07</t>
  </si>
  <si>
    <t>16:52:07</t>
  </si>
  <si>
    <t>MPF-20387-20230124-16_52_08</t>
  </si>
  <si>
    <t>DARK-20388-20230124-16_52_15</t>
  </si>
  <si>
    <t>16:51:33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</si>
</sst>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28"/>
  <sheetViews>
    <sheetView tabSelected="1" topLeftCell="A9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1674574134.5999999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1674574134.5999999</v>
      </c>
      <c r="J17">
        <f t="shared" ref="J17:J48" si="0">(K17)/1000</f>
        <v>6.0711487291188948E-3</v>
      </c>
      <c r="K17">
        <f t="shared" ref="K17:K48" si="1">1000*DK17*AI17*(DG17-DH17)/(100*CZ17*(1000-AI17*DG17))</f>
        <v>6.071148729118895</v>
      </c>
      <c r="L17">
        <f t="shared" ref="L17:L48" si="2">DK17*AI17*(DF17-DE17*(1000-AI17*DH17)/(1000-AI17*DG17))/(100*CZ17)</f>
        <v>50.858806011184377</v>
      </c>
      <c r="M17">
        <f t="shared" ref="M17:M48" si="3">DE17 - IF(AI17&gt;1, L17*CZ17*100/(AK17*DS17), 0)</f>
        <v>336.53899999999999</v>
      </c>
      <c r="N17">
        <f t="shared" ref="N17:N48" si="4">((T17-J17/2)*M17-L17)/(T17+J17/2)</f>
        <v>154.41502963834657</v>
      </c>
      <c r="O17">
        <f t="shared" ref="O17:O48" si="5">N17*(DL17+DM17)/1000</f>
        <v>15.421284153242368</v>
      </c>
      <c r="P17">
        <f t="shared" ref="P17:P48" si="6">(DE17 - IF(AI17&gt;1, L17*CZ17*100/(AK17*DS17), 0))*(DL17+DM17)/1000</f>
        <v>33.609834222764107</v>
      </c>
      <c r="Q17">
        <f t="shared" ref="Q17:Q48" si="7">2/((1/S17-1/R17)+SIGN(S17)*SQRT((1/S17-1/R17)*(1/S17-1/R17) + 4*DA17/((DA17+1)*(DA17+1))*(2*1/S17*1/R17-1/R17*1/R17)))</f>
        <v>0.49683226632754518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2.9250717958743868</v>
      </c>
      <c r="S17">
        <f t="shared" ref="S17:S48" si="9">J17*(1000-(1000*0.61365*EXP(17.502*W17/(240.97+W17))/(DL17+DM17)+DG17)/2)/(1000*0.61365*EXP(17.502*W17/(240.97+W17))/(DL17+DM17)-DG17)</f>
        <v>0.45426722706920969</v>
      </c>
      <c r="T17">
        <f t="shared" ref="T17:T48" si="10">1/((DA17+1)/(Q17/1.6)+1/(R17/1.37)) + DA17/((DA17+1)/(Q17/1.6) + DA17/(R17/1.37))</f>
        <v>0.28743681226463047</v>
      </c>
      <c r="U17">
        <f t="shared" ref="U17:U48" si="11">(CV17*CY17)</f>
        <v>344.36429860431093</v>
      </c>
      <c r="V17">
        <f t="shared" ref="V17:V48" si="12">(DN17+(U17+2*0.95*0.0000000567*(((DN17+$B$7)+273)^4-(DN17+273)^4)-44100*J17)/(1.84*29.3*R17+8*0.95*0.0000000567*(DN17+273)^3))</f>
        <v>28.452213176032171</v>
      </c>
      <c r="W17">
        <f t="shared" ref="W17:W48" si="13">($C$7*DO17+$D$7*DP17+$E$7*V17)</f>
        <v>27.920200000000001</v>
      </c>
      <c r="X17">
        <f t="shared" ref="X17:X48" si="14">0.61365*EXP(17.502*W17/(240.97+W17))</f>
        <v>3.7772216200005189</v>
      </c>
      <c r="Y17">
        <f t="shared" ref="Y17:Y48" si="15">(Z17/AA17*100)</f>
        <v>65.466343604028935</v>
      </c>
      <c r="Z17">
        <f t="shared" ref="Z17:Z48" si="16">DG17*(DL17+DM17)/1000</f>
        <v>2.4843427838244003</v>
      </c>
      <c r="AA17">
        <f t="shared" ref="AA17:AA48" si="17">0.61365*EXP(17.502*DN17/(240.97+DN17))</f>
        <v>3.7948396795319246</v>
      </c>
      <c r="AB17">
        <f t="shared" ref="AB17:AB48" si="18">(X17-DG17*(DL17+DM17)/1000)</f>
        <v>1.2928788361761185</v>
      </c>
      <c r="AC17">
        <f t="shared" ref="AC17:AC48" si="19">(-J17*44100)</f>
        <v>-267.73765895414328</v>
      </c>
      <c r="AD17">
        <f t="shared" ref="AD17:AD48" si="20">2*29.3*R17*0.92*(DN17-W17)</f>
        <v>12.584178358602365</v>
      </c>
      <c r="AE17">
        <f t="shared" ref="AE17:AE48" si="21">2*0.95*0.0000000567*(((DN17+$B$7)+273)^4-(W17+273)^4)</f>
        <v>0.93740295383732608</v>
      </c>
      <c r="AF17">
        <f t="shared" ref="AF17:AF48" si="22">U17+AE17+AC17+AD17</f>
        <v>90.148220962607326</v>
      </c>
      <c r="AG17">
        <v>17</v>
      </c>
      <c r="AH17">
        <v>3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52567.625345716588</v>
      </c>
      <c r="AL17" t="s">
        <v>415</v>
      </c>
      <c r="AM17">
        <v>10424.1</v>
      </c>
      <c r="AN17">
        <v>628.54280000000006</v>
      </c>
      <c r="AO17">
        <v>2663.98</v>
      </c>
      <c r="AP17">
        <f t="shared" ref="AP17:AP48" si="26">1-AN17/AO17</f>
        <v>0.76405873917972356</v>
      </c>
      <c r="AQ17">
        <v>-3.1675626227050531</v>
      </c>
      <c r="AR17" t="s">
        <v>416</v>
      </c>
      <c r="AS17">
        <v>10181</v>
      </c>
      <c r="AT17">
        <v>775.32576000000006</v>
      </c>
      <c r="AU17">
        <v>1158.8991834915701</v>
      </c>
      <c r="AV17">
        <f t="shared" ref="AV17:AV48" si="27">1-AT17/AU17</f>
        <v>0.33098083850221316</v>
      </c>
      <c r="AW17">
        <v>0.5</v>
      </c>
      <c r="AX17">
        <f t="shared" ref="AX17:AX48" si="28">CW17</f>
        <v>1513.1597993021553</v>
      </c>
      <c r="AY17">
        <f t="shared" ref="AY17:AY48" si="29">L17</f>
        <v>50.858806011184377</v>
      </c>
      <c r="AZ17">
        <f t="shared" ref="AZ17:AZ48" si="30">AV17*AW17*AX17</f>
        <v>250.41344958043396</v>
      </c>
      <c r="BA17">
        <f t="shared" ref="BA17:BA48" si="31">(AY17-AQ17)/AX17</f>
        <v>3.570433780940091E-2</v>
      </c>
      <c r="BB17">
        <f t="shared" ref="BB17:BB48" si="32">(AO17-AU17)/AU17</f>
        <v>1.2987159176123262</v>
      </c>
      <c r="BC17">
        <f t="shared" ref="BC17:BC48" si="33">AN17/(AP17+AN17/AU17)</f>
        <v>481.11822931842948</v>
      </c>
      <c r="BD17" t="s">
        <v>417</v>
      </c>
      <c r="BE17">
        <v>578.53</v>
      </c>
      <c r="BF17">
        <f t="shared" ref="BF17:BF48" si="34">IF(BE17&lt;&gt;0, BE17, BC17)</f>
        <v>578.53</v>
      </c>
      <c r="BG17">
        <f t="shared" ref="BG17:BG48" si="35">1-BF17/AU17</f>
        <v>0.50079350452471161</v>
      </c>
      <c r="BH17">
        <f t="shared" ref="BH17:BH48" si="36">(AU17-AT17)/(AU17-BF17)</f>
        <v>0.66091280240612815</v>
      </c>
      <c r="BI17">
        <f t="shared" ref="BI17:BI48" si="37">(AO17-AU17)/(AO17-BF17)</f>
        <v>0.72170553909632462</v>
      </c>
      <c r="BJ17">
        <f t="shared" ref="BJ17:BJ48" si="38">(AU17-AT17)/(AU17-AN17)</f>
        <v>0.72323712022911268</v>
      </c>
      <c r="BK17">
        <f t="shared" ref="BK17:BK48" si="39">(AO17-AU17)/(AO17-AN17)</f>
        <v>0.73943859162465442</v>
      </c>
      <c r="BL17">
        <f t="shared" ref="BL17:BL48" si="40">(BH17*BF17/AT17)</f>
        <v>0.49315771937722958</v>
      </c>
      <c r="BM17">
        <f t="shared" ref="BM17:BM48" si="41">(1-BL17)</f>
        <v>0.50684228062277037</v>
      </c>
      <c r="BN17">
        <v>20165</v>
      </c>
      <c r="BO17">
        <v>290.00000000000011</v>
      </c>
      <c r="BP17">
        <v>1073.07</v>
      </c>
      <c r="BQ17">
        <v>285</v>
      </c>
      <c r="BR17">
        <v>10181</v>
      </c>
      <c r="BS17">
        <v>1072.28</v>
      </c>
      <c r="BT17">
        <v>0.79</v>
      </c>
      <c r="BU17">
        <v>300.00000000000011</v>
      </c>
      <c r="BV17">
        <v>24.2</v>
      </c>
      <c r="BW17">
        <v>1158.8991834915701</v>
      </c>
      <c r="BX17">
        <v>2.1901642452173551</v>
      </c>
      <c r="BY17">
        <v>-88.184212023880761</v>
      </c>
      <c r="BZ17">
        <v>1.986505104105462</v>
      </c>
      <c r="CA17">
        <v>0.98599031489772104</v>
      </c>
      <c r="CB17">
        <v>-6.9378391546162316E-3</v>
      </c>
      <c r="CC17">
        <v>289.99999999999989</v>
      </c>
      <c r="CD17">
        <v>1074.0999999999999</v>
      </c>
      <c r="CE17">
        <v>685</v>
      </c>
      <c r="CF17">
        <v>10160.5</v>
      </c>
      <c r="CG17">
        <v>1072.1099999999999</v>
      </c>
      <c r="CH17">
        <v>1.99</v>
      </c>
      <c r="CV17">
        <f t="shared" ref="CV17:CV48" si="42">$B$11*DT17+$C$11*DU17+$F$11*EF17*(1-EI17)</f>
        <v>1799.97</v>
      </c>
      <c r="CW17">
        <f t="shared" ref="CW17:CW48" si="43">CV17*CX17</f>
        <v>1513.1597993021553</v>
      </c>
      <c r="CX17">
        <f t="shared" ref="CX17:CX48" si="44">($B$11*$D$9+$C$11*$D$9+$F$11*((ES17+EK17)/MAX(ES17+EK17+ET17, 0.1)*$I$9+ET17/MAX(ES17+EK17+ET17, 0.1)*$J$9))/($B$11+$C$11+$F$11)</f>
        <v>0.84065834391804051</v>
      </c>
      <c r="CY17">
        <f t="shared" ref="CY17:CY48" si="45">($B$11*$K$9+$C$11*$K$9+$F$11*((ES17+EK17)/MAX(ES17+EK17+ET17, 0.1)*$P$9+ET17/MAX(ES17+EK17+ET17, 0.1)*$Q$9))/($B$11+$C$11+$F$11)</f>
        <v>0.19131668783608111</v>
      </c>
      <c r="CZ17">
        <v>6</v>
      </c>
      <c r="DA17">
        <v>0.5</v>
      </c>
      <c r="DB17" t="s">
        <v>418</v>
      </c>
      <c r="DC17">
        <v>2</v>
      </c>
      <c r="DD17">
        <v>1674574134.5999999</v>
      </c>
      <c r="DE17">
        <v>336.53899999999999</v>
      </c>
      <c r="DF17">
        <v>400.029</v>
      </c>
      <c r="DG17">
        <v>24.876000000000001</v>
      </c>
      <c r="DH17">
        <v>17.771000000000001</v>
      </c>
      <c r="DI17">
        <v>340.36099999999999</v>
      </c>
      <c r="DJ17">
        <v>24.558299999999999</v>
      </c>
      <c r="DK17">
        <v>499.94</v>
      </c>
      <c r="DL17">
        <v>99.769900000000007</v>
      </c>
      <c r="DM17">
        <v>9.9161899999999997E-2</v>
      </c>
      <c r="DN17">
        <v>28</v>
      </c>
      <c r="DO17">
        <v>27.920200000000001</v>
      </c>
      <c r="DP17">
        <v>999.9</v>
      </c>
      <c r="DQ17">
        <v>0</v>
      </c>
      <c r="DR17">
        <v>0</v>
      </c>
      <c r="DS17">
        <v>9997.5</v>
      </c>
      <c r="DT17">
        <v>0</v>
      </c>
      <c r="DU17">
        <v>352.75099999999998</v>
      </c>
      <c r="DV17">
        <v>-63.490400000000001</v>
      </c>
      <c r="DW17">
        <v>345.12400000000002</v>
      </c>
      <c r="DX17">
        <v>407.267</v>
      </c>
      <c r="DY17">
        <v>7.1049899999999999</v>
      </c>
      <c r="DZ17">
        <v>400.029</v>
      </c>
      <c r="EA17">
        <v>17.771000000000001</v>
      </c>
      <c r="EB17">
        <v>2.4818799999999999</v>
      </c>
      <c r="EC17">
        <v>1.77302</v>
      </c>
      <c r="ED17">
        <v>20.908200000000001</v>
      </c>
      <c r="EE17">
        <v>15.5509</v>
      </c>
      <c r="EF17">
        <v>1799.97</v>
      </c>
      <c r="EG17">
        <v>0.97799700000000001</v>
      </c>
      <c r="EH17">
        <v>2.2003499999999999E-2</v>
      </c>
      <c r="EI17">
        <v>0</v>
      </c>
      <c r="EJ17">
        <v>775.06399999999996</v>
      </c>
      <c r="EK17">
        <v>5.0010599999999998</v>
      </c>
      <c r="EL17">
        <v>14367.5</v>
      </c>
      <c r="EM17">
        <v>16710.7</v>
      </c>
      <c r="EN17">
        <v>47.186999999999998</v>
      </c>
      <c r="EO17">
        <v>47.936999999999998</v>
      </c>
      <c r="EP17">
        <v>48.061999999999998</v>
      </c>
      <c r="EQ17">
        <v>46.75</v>
      </c>
      <c r="ER17">
        <v>48.125</v>
      </c>
      <c r="ES17">
        <v>1755.47</v>
      </c>
      <c r="ET17">
        <v>39.5</v>
      </c>
      <c r="EU17">
        <v>0</v>
      </c>
      <c r="EV17">
        <v>1674574134.3</v>
      </c>
      <c r="EW17">
        <v>0</v>
      </c>
      <c r="EX17">
        <v>775.32576000000006</v>
      </c>
      <c r="EY17">
        <v>1.1892307711040111</v>
      </c>
      <c r="EZ17">
        <v>16.930769236054989</v>
      </c>
      <c r="FA17">
        <v>14367.407999999999</v>
      </c>
      <c r="FB17">
        <v>15</v>
      </c>
      <c r="FC17">
        <v>1674574101.5999999</v>
      </c>
      <c r="FD17" t="s">
        <v>419</v>
      </c>
      <c r="FE17">
        <v>1674574094.0999999</v>
      </c>
      <c r="FF17">
        <v>1674574101.5999999</v>
      </c>
      <c r="FG17">
        <v>2</v>
      </c>
      <c r="FH17">
        <v>0.37</v>
      </c>
      <c r="FI17">
        <v>5.8000000000000003E-2</v>
      </c>
      <c r="FJ17">
        <v>-3.9209999999999998</v>
      </c>
      <c r="FK17">
        <v>-2E-3</v>
      </c>
      <c r="FL17">
        <v>400</v>
      </c>
      <c r="FM17">
        <v>18</v>
      </c>
      <c r="FN17">
        <v>0.05</v>
      </c>
      <c r="FO17">
        <v>0.02</v>
      </c>
      <c r="FP17">
        <v>50.81349468576412</v>
      </c>
      <c r="FQ17">
        <v>-0.58361044792751426</v>
      </c>
      <c r="FR17">
        <v>0.1075699782373546</v>
      </c>
      <c r="FS17">
        <v>1</v>
      </c>
      <c r="FT17">
        <v>0.50634244055604172</v>
      </c>
      <c r="FU17">
        <v>-3.529331799043614E-2</v>
      </c>
      <c r="FV17">
        <v>5.1543631522430961E-3</v>
      </c>
      <c r="FW17">
        <v>1</v>
      </c>
      <c r="FX17">
        <v>2</v>
      </c>
      <c r="FY17">
        <v>2</v>
      </c>
      <c r="FZ17" t="s">
        <v>420</v>
      </c>
      <c r="GA17">
        <v>2.9777100000000001</v>
      </c>
      <c r="GB17">
        <v>2.8054600000000001</v>
      </c>
      <c r="GC17">
        <v>8.5951299999999994E-2</v>
      </c>
      <c r="GD17">
        <v>9.6433599999999994E-2</v>
      </c>
      <c r="GE17">
        <v>0.122229</v>
      </c>
      <c r="GF17">
        <v>9.6454600000000001E-2</v>
      </c>
      <c r="GG17">
        <v>27058.9</v>
      </c>
      <c r="GH17">
        <v>24800.5</v>
      </c>
      <c r="GI17">
        <v>26611.200000000001</v>
      </c>
      <c r="GJ17">
        <v>25921.200000000001</v>
      </c>
      <c r="GK17">
        <v>31798.5</v>
      </c>
      <c r="GL17">
        <v>33052.800000000003</v>
      </c>
      <c r="GM17">
        <v>37721.599999999999</v>
      </c>
      <c r="GN17">
        <v>38452.9</v>
      </c>
      <c r="GO17">
        <v>1.9363300000000001</v>
      </c>
      <c r="GP17">
        <v>1.9574199999999999</v>
      </c>
      <c r="GQ17">
        <v>5.4515899999999999E-2</v>
      </c>
      <c r="GR17">
        <v>0</v>
      </c>
      <c r="GS17">
        <v>27.029399999999999</v>
      </c>
      <c r="GT17">
        <v>999.9</v>
      </c>
      <c r="GU17">
        <v>58</v>
      </c>
      <c r="GV17">
        <v>30</v>
      </c>
      <c r="GW17">
        <v>24.7683</v>
      </c>
      <c r="GX17">
        <v>62.0974</v>
      </c>
      <c r="GY17">
        <v>11.8269</v>
      </c>
      <c r="GZ17">
        <v>1</v>
      </c>
      <c r="HA17">
        <v>0.38673800000000003</v>
      </c>
      <c r="HB17">
        <v>2.4770099999999999</v>
      </c>
      <c r="HC17">
        <v>20.288399999999999</v>
      </c>
      <c r="HD17">
        <v>5.2045599999999999</v>
      </c>
      <c r="HE17">
        <v>11.936999999999999</v>
      </c>
      <c r="HF17">
        <v>4.9849500000000004</v>
      </c>
      <c r="HG17">
        <v>3.2900800000000001</v>
      </c>
      <c r="HH17">
        <v>9999</v>
      </c>
      <c r="HI17">
        <v>9999</v>
      </c>
      <c r="HJ17">
        <v>9999</v>
      </c>
      <c r="HK17">
        <v>999.9</v>
      </c>
      <c r="HL17">
        <v>1.8697900000000001</v>
      </c>
      <c r="HM17">
        <v>1.8760699999999999</v>
      </c>
      <c r="HN17">
        <v>1.87378</v>
      </c>
      <c r="HO17">
        <v>1.8721000000000001</v>
      </c>
      <c r="HP17">
        <v>1.87256</v>
      </c>
      <c r="HQ17">
        <v>1.86995</v>
      </c>
      <c r="HR17">
        <v>1.87592</v>
      </c>
      <c r="HS17">
        <v>1.8749800000000001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424</v>
      </c>
      <c r="IB17" t="s">
        <v>424</v>
      </c>
      <c r="IC17" t="s">
        <v>423</v>
      </c>
      <c r="ID17">
        <v>0</v>
      </c>
      <c r="IE17">
        <v>100</v>
      </c>
      <c r="IF17">
        <v>100</v>
      </c>
      <c r="IG17">
        <v>-3.8220000000000001</v>
      </c>
      <c r="IH17">
        <v>0.31769999999999998</v>
      </c>
      <c r="II17">
        <v>-3.1239976498853141</v>
      </c>
      <c r="IJ17">
        <v>-2.536945948238235E-3</v>
      </c>
      <c r="IK17">
        <v>1.581473279927893E-6</v>
      </c>
      <c r="IL17">
        <v>-4.6698293441882044E-10</v>
      </c>
      <c r="IM17">
        <v>-0.19612111556197159</v>
      </c>
      <c r="IN17">
        <v>-1.5895243091576399E-2</v>
      </c>
      <c r="IO17">
        <v>1.559614309849521E-3</v>
      </c>
      <c r="IP17">
        <v>-2.4566050869858518E-6</v>
      </c>
      <c r="IQ17">
        <v>2</v>
      </c>
      <c r="IR17">
        <v>2224</v>
      </c>
      <c r="IS17">
        <v>2</v>
      </c>
      <c r="IT17">
        <v>25</v>
      </c>
      <c r="IU17">
        <v>0.7</v>
      </c>
      <c r="IV17">
        <v>0.6</v>
      </c>
      <c r="IW17">
        <v>0.93261700000000003</v>
      </c>
      <c r="IX17">
        <v>2.4511699999999998</v>
      </c>
      <c r="IY17">
        <v>1.65039</v>
      </c>
      <c r="IZ17">
        <v>2.2985799999999998</v>
      </c>
      <c r="JA17">
        <v>1.50024</v>
      </c>
      <c r="JB17">
        <v>2.2924799999999999</v>
      </c>
      <c r="JC17">
        <v>34.5321</v>
      </c>
      <c r="JD17">
        <v>15.4892</v>
      </c>
      <c r="JE17">
        <v>18</v>
      </c>
      <c r="JF17">
        <v>479.75900000000001</v>
      </c>
      <c r="JG17">
        <v>487.041</v>
      </c>
      <c r="JH17">
        <v>24.830200000000001</v>
      </c>
      <c r="JI17">
        <v>32.122300000000003</v>
      </c>
      <c r="JJ17">
        <v>30.0001</v>
      </c>
      <c r="JK17">
        <v>32.070399999999999</v>
      </c>
      <c r="JL17">
        <v>32.031700000000001</v>
      </c>
      <c r="JM17">
        <v>18.706600000000002</v>
      </c>
      <c r="JN17">
        <v>42.556100000000001</v>
      </c>
      <c r="JO17">
        <v>65.883399999999995</v>
      </c>
      <c r="JP17">
        <v>24.829499999999999</v>
      </c>
      <c r="JQ17">
        <v>400</v>
      </c>
      <c r="JR17">
        <v>17.726299999999998</v>
      </c>
      <c r="JS17">
        <v>100.087</v>
      </c>
      <c r="JT17">
        <v>99.212900000000005</v>
      </c>
    </row>
    <row r="18" spans="1:280" x14ac:dyDescent="0.25">
      <c r="A18">
        <v>2</v>
      </c>
      <c r="B18">
        <v>1674574245.0999999</v>
      </c>
      <c r="C18">
        <v>110.5</v>
      </c>
      <c r="D18" t="s">
        <v>425</v>
      </c>
      <c r="E18" t="s">
        <v>426</v>
      </c>
      <c r="F18" t="s">
        <v>412</v>
      </c>
      <c r="G18" t="s">
        <v>413</v>
      </c>
      <c r="H18" t="s">
        <v>414</v>
      </c>
      <c r="I18">
        <v>1674574245.0999999</v>
      </c>
      <c r="J18">
        <f t="shared" si="0"/>
        <v>6.2374619432779312E-3</v>
      </c>
      <c r="K18">
        <f t="shared" si="1"/>
        <v>6.237461943277931</v>
      </c>
      <c r="L18">
        <f t="shared" si="2"/>
        <v>45.257074619073933</v>
      </c>
      <c r="M18">
        <f t="shared" si="3"/>
        <v>243.86600000000001</v>
      </c>
      <c r="N18">
        <f t="shared" si="4"/>
        <v>87.196967343243415</v>
      </c>
      <c r="O18">
        <f t="shared" si="5"/>
        <v>8.7080116169655177</v>
      </c>
      <c r="P18">
        <f t="shared" si="6"/>
        <v>24.353919931912202</v>
      </c>
      <c r="Q18">
        <f t="shared" si="7"/>
        <v>0.51182552797207426</v>
      </c>
      <c r="R18">
        <f t="shared" si="8"/>
        <v>2.9262162264879281</v>
      </c>
      <c r="S18">
        <f t="shared" si="9"/>
        <v>0.46679327572548202</v>
      </c>
      <c r="T18">
        <f t="shared" si="10"/>
        <v>0.29546088441297136</v>
      </c>
      <c r="U18">
        <f t="shared" si="11"/>
        <v>344.36559860467202</v>
      </c>
      <c r="V18">
        <f t="shared" si="12"/>
        <v>28.425483146553294</v>
      </c>
      <c r="W18">
        <f t="shared" si="13"/>
        <v>27.938500000000001</v>
      </c>
      <c r="X18">
        <f t="shared" si="14"/>
        <v>3.7812555328410689</v>
      </c>
      <c r="Y18">
        <f t="shared" si="15"/>
        <v>65.517363522485965</v>
      </c>
      <c r="Z18">
        <f t="shared" si="16"/>
        <v>2.4887004595606799</v>
      </c>
      <c r="AA18">
        <f t="shared" si="17"/>
        <v>3.7985357251235272</v>
      </c>
      <c r="AB18">
        <f t="shared" si="18"/>
        <v>1.292555073280389</v>
      </c>
      <c r="AC18">
        <f t="shared" si="19"/>
        <v>-275.07207169855678</v>
      </c>
      <c r="AD18">
        <f t="shared" si="20"/>
        <v>12.336688831628859</v>
      </c>
      <c r="AE18">
        <f t="shared" si="21"/>
        <v>0.91876815937051182</v>
      </c>
      <c r="AF18">
        <f t="shared" si="22"/>
        <v>82.548983897114624</v>
      </c>
      <c r="AG18">
        <v>17</v>
      </c>
      <c r="AH18">
        <v>3</v>
      </c>
      <c r="AI18">
        <f t="shared" si="23"/>
        <v>1</v>
      </c>
      <c r="AJ18">
        <f t="shared" si="24"/>
        <v>0</v>
      </c>
      <c r="AK18">
        <f t="shared" si="25"/>
        <v>52597.552883567405</v>
      </c>
      <c r="AL18" t="s">
        <v>415</v>
      </c>
      <c r="AM18">
        <v>10424.1</v>
      </c>
      <c r="AN18">
        <v>628.54280000000006</v>
      </c>
      <c r="AO18">
        <v>2663.98</v>
      </c>
      <c r="AP18">
        <f t="shared" si="26"/>
        <v>0.76405873917972356</v>
      </c>
      <c r="AQ18">
        <v>-3.1675626227050531</v>
      </c>
      <c r="AR18" t="s">
        <v>427</v>
      </c>
      <c r="AS18">
        <v>10205.299999999999</v>
      </c>
      <c r="AT18">
        <v>764.64664000000005</v>
      </c>
      <c r="AU18">
        <v>1107.6942404719589</v>
      </c>
      <c r="AV18">
        <f t="shared" si="27"/>
        <v>0.30969521004803224</v>
      </c>
      <c r="AW18">
        <v>0.5</v>
      </c>
      <c r="AX18">
        <f t="shared" si="28"/>
        <v>1513.1678993023361</v>
      </c>
      <c r="AY18">
        <f t="shared" si="29"/>
        <v>45.257074619073933</v>
      </c>
      <c r="AZ18">
        <f t="shared" si="30"/>
        <v>234.31042520618834</v>
      </c>
      <c r="BA18">
        <f t="shared" si="31"/>
        <v>3.2002157370709314E-2</v>
      </c>
      <c r="BB18">
        <f t="shared" si="32"/>
        <v>1.4049777480696743</v>
      </c>
      <c r="BC18">
        <f t="shared" si="33"/>
        <v>472.05893503789241</v>
      </c>
      <c r="BD18" t="s">
        <v>428</v>
      </c>
      <c r="BE18">
        <v>574.61</v>
      </c>
      <c r="BF18">
        <f t="shared" si="34"/>
        <v>574.61</v>
      </c>
      <c r="BG18">
        <f t="shared" si="35"/>
        <v>0.48125576625263122</v>
      </c>
      <c r="BH18">
        <f t="shared" si="36"/>
        <v>0.64351480390462545</v>
      </c>
      <c r="BI18">
        <f t="shared" si="37"/>
        <v>0.74485886153627223</v>
      </c>
      <c r="BJ18">
        <f t="shared" si="38"/>
        <v>0.71594817733212024</v>
      </c>
      <c r="BK18">
        <f t="shared" si="39"/>
        <v>0.76459532110744621</v>
      </c>
      <c r="BL18">
        <f t="shared" si="40"/>
        <v>0.48358290238695983</v>
      </c>
      <c r="BM18">
        <f t="shared" si="41"/>
        <v>0.51641709761304022</v>
      </c>
      <c r="BN18">
        <v>20167</v>
      </c>
      <c r="BO18">
        <v>290.00000000000011</v>
      </c>
      <c r="BP18">
        <v>1025.0899999999999</v>
      </c>
      <c r="BQ18">
        <v>135</v>
      </c>
      <c r="BR18">
        <v>10205.299999999999</v>
      </c>
      <c r="BS18">
        <v>1024.99</v>
      </c>
      <c r="BT18">
        <v>0.1</v>
      </c>
      <c r="BU18">
        <v>300.00000000000011</v>
      </c>
      <c r="BV18">
        <v>24.2</v>
      </c>
      <c r="BW18">
        <v>1107.6942404719589</v>
      </c>
      <c r="BX18">
        <v>1.954685127029349</v>
      </c>
      <c r="BY18">
        <v>-84.403232869906248</v>
      </c>
      <c r="BZ18">
        <v>1.7725607763286531</v>
      </c>
      <c r="CA18">
        <v>0.9878013504858556</v>
      </c>
      <c r="CB18">
        <v>-6.9366654060066778E-3</v>
      </c>
      <c r="CC18">
        <v>289.99999999999989</v>
      </c>
      <c r="CD18">
        <v>1025.18</v>
      </c>
      <c r="CE18">
        <v>655</v>
      </c>
      <c r="CF18">
        <v>10160.6</v>
      </c>
      <c r="CG18">
        <v>1024.6300000000001</v>
      </c>
      <c r="CH18">
        <v>0.55000000000000004</v>
      </c>
      <c r="CV18">
        <f t="shared" si="42"/>
        <v>1799.98</v>
      </c>
      <c r="CW18">
        <f t="shared" si="43"/>
        <v>1513.1678993023361</v>
      </c>
      <c r="CX18">
        <f t="shared" si="44"/>
        <v>0.84065817359211548</v>
      </c>
      <c r="CY18">
        <f t="shared" si="45"/>
        <v>0.19131634718423093</v>
      </c>
      <c r="CZ18">
        <v>6</v>
      </c>
      <c r="DA18">
        <v>0.5</v>
      </c>
      <c r="DB18" t="s">
        <v>418</v>
      </c>
      <c r="DC18">
        <v>2</v>
      </c>
      <c r="DD18">
        <v>1674574245.0999999</v>
      </c>
      <c r="DE18">
        <v>243.86600000000001</v>
      </c>
      <c r="DF18">
        <v>299.98500000000001</v>
      </c>
      <c r="DG18">
        <v>24.920400000000001</v>
      </c>
      <c r="DH18">
        <v>17.623899999999999</v>
      </c>
      <c r="DI18">
        <v>247.26400000000001</v>
      </c>
      <c r="DJ18">
        <v>24.601299999999998</v>
      </c>
      <c r="DK18">
        <v>500.13200000000001</v>
      </c>
      <c r="DL18">
        <v>99.766199999999998</v>
      </c>
      <c r="DM18">
        <v>9.9791699999999997E-2</v>
      </c>
      <c r="DN18">
        <v>28.0167</v>
      </c>
      <c r="DO18">
        <v>27.938500000000001</v>
      </c>
      <c r="DP18">
        <v>999.9</v>
      </c>
      <c r="DQ18">
        <v>0</v>
      </c>
      <c r="DR18">
        <v>0</v>
      </c>
      <c r="DS18">
        <v>10004.4</v>
      </c>
      <c r="DT18">
        <v>0</v>
      </c>
      <c r="DU18">
        <v>358.97199999999998</v>
      </c>
      <c r="DV18">
        <v>-56.118499999999997</v>
      </c>
      <c r="DW18">
        <v>250.09899999999999</v>
      </c>
      <c r="DX18">
        <v>305.36599999999999</v>
      </c>
      <c r="DY18">
        <v>7.29643</v>
      </c>
      <c r="DZ18">
        <v>299.98500000000001</v>
      </c>
      <c r="EA18">
        <v>17.623899999999999</v>
      </c>
      <c r="EB18">
        <v>2.4862099999999998</v>
      </c>
      <c r="EC18">
        <v>1.75827</v>
      </c>
      <c r="ED18">
        <v>20.936499999999999</v>
      </c>
      <c r="EE18">
        <v>15.4207</v>
      </c>
      <c r="EF18">
        <v>1799.98</v>
      </c>
      <c r="EG18">
        <v>0.97799999999999998</v>
      </c>
      <c r="EH18">
        <v>2.1999999999999999E-2</v>
      </c>
      <c r="EI18">
        <v>0</v>
      </c>
      <c r="EJ18">
        <v>764.21799999999996</v>
      </c>
      <c r="EK18">
        <v>5.0010599999999998</v>
      </c>
      <c r="EL18">
        <v>14174.1</v>
      </c>
      <c r="EM18">
        <v>16710.900000000001</v>
      </c>
      <c r="EN18">
        <v>47.375</v>
      </c>
      <c r="EO18">
        <v>48.125</v>
      </c>
      <c r="EP18">
        <v>48.25</v>
      </c>
      <c r="EQ18">
        <v>46.936999999999998</v>
      </c>
      <c r="ER18">
        <v>48.375</v>
      </c>
      <c r="ES18">
        <v>1755.49</v>
      </c>
      <c r="ET18">
        <v>39.49</v>
      </c>
      <c r="EU18">
        <v>0</v>
      </c>
      <c r="EV18">
        <v>108.7999999523163</v>
      </c>
      <c r="EW18">
        <v>0</v>
      </c>
      <c r="EX18">
        <v>764.64664000000005</v>
      </c>
      <c r="EY18">
        <v>-1.4380769397498161</v>
      </c>
      <c r="EZ18">
        <v>-43.830769277884833</v>
      </c>
      <c r="FA18">
        <v>14179.212</v>
      </c>
      <c r="FB18">
        <v>15</v>
      </c>
      <c r="FC18">
        <v>1674574211.0999999</v>
      </c>
      <c r="FD18" t="s">
        <v>429</v>
      </c>
      <c r="FE18">
        <v>1674574210.0999999</v>
      </c>
      <c r="FF18">
        <v>1674574211.0999999</v>
      </c>
      <c r="FG18">
        <v>3</v>
      </c>
      <c r="FH18">
        <v>0.26400000000000001</v>
      </c>
      <c r="FI18">
        <v>-1E-3</v>
      </c>
      <c r="FJ18">
        <v>-3.4969999999999999</v>
      </c>
      <c r="FK18">
        <v>-6.0000000000000001E-3</v>
      </c>
      <c r="FL18">
        <v>300</v>
      </c>
      <c r="FM18">
        <v>18</v>
      </c>
      <c r="FN18">
        <v>0.02</v>
      </c>
      <c r="FO18">
        <v>0.02</v>
      </c>
      <c r="FP18">
        <v>45.17816285736302</v>
      </c>
      <c r="FQ18">
        <v>-0.24045155860454359</v>
      </c>
      <c r="FR18">
        <v>0.11901508620693051</v>
      </c>
      <c r="FS18">
        <v>1</v>
      </c>
      <c r="FT18">
        <v>0.52201319039316274</v>
      </c>
      <c r="FU18">
        <v>-4.4852857194849022E-2</v>
      </c>
      <c r="FV18">
        <v>6.747907714463452E-3</v>
      </c>
      <c r="FW18">
        <v>1</v>
      </c>
      <c r="FX18">
        <v>2</v>
      </c>
      <c r="FY18">
        <v>2</v>
      </c>
      <c r="FZ18" t="s">
        <v>420</v>
      </c>
      <c r="GA18">
        <v>2.9781499999999999</v>
      </c>
      <c r="GB18">
        <v>2.8061600000000002</v>
      </c>
      <c r="GC18">
        <v>6.5945599999999993E-2</v>
      </c>
      <c r="GD18">
        <v>7.6657400000000001E-2</v>
      </c>
      <c r="GE18">
        <v>0.12235500000000001</v>
      </c>
      <c r="GF18">
        <v>9.5872700000000005E-2</v>
      </c>
      <c r="GG18">
        <v>27647.599999999999</v>
      </c>
      <c r="GH18">
        <v>25341</v>
      </c>
      <c r="GI18">
        <v>26607.8</v>
      </c>
      <c r="GJ18">
        <v>25918.799999999999</v>
      </c>
      <c r="GK18">
        <v>31789.599999999999</v>
      </c>
      <c r="GL18">
        <v>33070.800000000003</v>
      </c>
      <c r="GM18">
        <v>37716.300000000003</v>
      </c>
      <c r="GN18">
        <v>38449.300000000003</v>
      </c>
      <c r="GO18">
        <v>1.93665</v>
      </c>
      <c r="GP18">
        <v>1.9540500000000001</v>
      </c>
      <c r="GQ18">
        <v>5.0492599999999999E-2</v>
      </c>
      <c r="GR18">
        <v>0</v>
      </c>
      <c r="GS18">
        <v>27.113399999999999</v>
      </c>
      <c r="GT18">
        <v>999.9</v>
      </c>
      <c r="GU18">
        <v>57</v>
      </c>
      <c r="GV18">
        <v>30.1</v>
      </c>
      <c r="GW18">
        <v>24.482900000000001</v>
      </c>
      <c r="GX18">
        <v>62.007399999999997</v>
      </c>
      <c r="GY18">
        <v>11.246</v>
      </c>
      <c r="GZ18">
        <v>1</v>
      </c>
      <c r="HA18">
        <v>0.39268500000000001</v>
      </c>
      <c r="HB18">
        <v>2.6887400000000001</v>
      </c>
      <c r="HC18">
        <v>20.285599999999999</v>
      </c>
      <c r="HD18">
        <v>5.2056100000000001</v>
      </c>
      <c r="HE18">
        <v>11.936299999999999</v>
      </c>
      <c r="HF18">
        <v>4.9866000000000001</v>
      </c>
      <c r="HG18">
        <v>3.2899699999999998</v>
      </c>
      <c r="HH18">
        <v>9999</v>
      </c>
      <c r="HI18">
        <v>9999</v>
      </c>
      <c r="HJ18">
        <v>9999</v>
      </c>
      <c r="HK18">
        <v>999.9</v>
      </c>
      <c r="HL18">
        <v>1.86981</v>
      </c>
      <c r="HM18">
        <v>1.87608</v>
      </c>
      <c r="HN18">
        <v>1.87378</v>
      </c>
      <c r="HO18">
        <v>1.87208</v>
      </c>
      <c r="HP18">
        <v>1.87256</v>
      </c>
      <c r="HQ18">
        <v>1.8699600000000001</v>
      </c>
      <c r="HR18">
        <v>1.87592</v>
      </c>
      <c r="HS18">
        <v>1.875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424</v>
      </c>
      <c r="IB18" t="s">
        <v>424</v>
      </c>
      <c r="IC18" t="s">
        <v>423</v>
      </c>
      <c r="ID18">
        <v>0</v>
      </c>
      <c r="IE18">
        <v>100</v>
      </c>
      <c r="IF18">
        <v>100</v>
      </c>
      <c r="IG18">
        <v>-3.3980000000000001</v>
      </c>
      <c r="IH18">
        <v>0.31909999999999999</v>
      </c>
      <c r="II18">
        <v>-2.8601052228749761</v>
      </c>
      <c r="IJ18">
        <v>-2.536945948238235E-3</v>
      </c>
      <c r="IK18">
        <v>1.581473279927893E-6</v>
      </c>
      <c r="IL18">
        <v>-4.6698293441882044E-10</v>
      </c>
      <c r="IM18">
        <v>-0.19724342764489031</v>
      </c>
      <c r="IN18">
        <v>-1.5895243091576399E-2</v>
      </c>
      <c r="IO18">
        <v>1.559614309849521E-3</v>
      </c>
      <c r="IP18">
        <v>-2.4566050869858518E-6</v>
      </c>
      <c r="IQ18">
        <v>2</v>
      </c>
      <c r="IR18">
        <v>2224</v>
      </c>
      <c r="IS18">
        <v>2</v>
      </c>
      <c r="IT18">
        <v>25</v>
      </c>
      <c r="IU18">
        <v>0.6</v>
      </c>
      <c r="IV18">
        <v>0.6</v>
      </c>
      <c r="IW18">
        <v>0.74707000000000001</v>
      </c>
      <c r="IX18">
        <v>2.4475099999999999</v>
      </c>
      <c r="IY18">
        <v>1.65039</v>
      </c>
      <c r="IZ18">
        <v>2.2985799999999998</v>
      </c>
      <c r="JA18">
        <v>1.50024</v>
      </c>
      <c r="JB18">
        <v>2.3986800000000001</v>
      </c>
      <c r="JC18">
        <v>34.646299999999997</v>
      </c>
      <c r="JD18">
        <v>15.480399999999999</v>
      </c>
      <c r="JE18">
        <v>18</v>
      </c>
      <c r="JF18">
        <v>480.459</v>
      </c>
      <c r="JG18">
        <v>485.27499999999998</v>
      </c>
      <c r="JH18">
        <v>24.7332</v>
      </c>
      <c r="JI18">
        <v>32.187199999999997</v>
      </c>
      <c r="JJ18">
        <v>30.000399999999999</v>
      </c>
      <c r="JK18">
        <v>32.134599999999999</v>
      </c>
      <c r="JL18">
        <v>32.096600000000002</v>
      </c>
      <c r="JM18">
        <v>14.979200000000001</v>
      </c>
      <c r="JN18">
        <v>42.410899999999998</v>
      </c>
      <c r="JO18">
        <v>63.918799999999997</v>
      </c>
      <c r="JP18">
        <v>24.729900000000001</v>
      </c>
      <c r="JQ18">
        <v>300</v>
      </c>
      <c r="JR18">
        <v>17.575399999999998</v>
      </c>
      <c r="JS18">
        <v>100.074</v>
      </c>
      <c r="JT18">
        <v>99.203699999999998</v>
      </c>
    </row>
    <row r="19" spans="1:280" x14ac:dyDescent="0.25">
      <c r="A19">
        <v>3</v>
      </c>
      <c r="B19">
        <v>1674574391.5999999</v>
      </c>
      <c r="C19">
        <v>257</v>
      </c>
      <c r="D19" t="s">
        <v>430</v>
      </c>
      <c r="E19" t="s">
        <v>431</v>
      </c>
      <c r="F19" t="s">
        <v>412</v>
      </c>
      <c r="G19" t="s">
        <v>413</v>
      </c>
      <c r="H19" t="s">
        <v>414</v>
      </c>
      <c r="I19">
        <v>1674574391.5999999</v>
      </c>
      <c r="J19">
        <f t="shared" si="0"/>
        <v>6.6905491944587742E-3</v>
      </c>
      <c r="K19">
        <f t="shared" si="1"/>
        <v>6.6905491944587743</v>
      </c>
      <c r="L19">
        <f t="shared" si="2"/>
        <v>33.775368404370468</v>
      </c>
      <c r="M19">
        <f t="shared" si="3"/>
        <v>158.24199999999999</v>
      </c>
      <c r="N19">
        <f t="shared" si="4"/>
        <v>50.35998321162549</v>
      </c>
      <c r="O19">
        <f t="shared" si="5"/>
        <v>5.0283365734607264</v>
      </c>
      <c r="P19">
        <f t="shared" si="6"/>
        <v>15.8001251254168</v>
      </c>
      <c r="Q19">
        <f t="shared" si="7"/>
        <v>0.55728069479167053</v>
      </c>
      <c r="R19">
        <f t="shared" si="8"/>
        <v>2.9260067908816918</v>
      </c>
      <c r="S19">
        <f t="shared" si="9"/>
        <v>0.50433367462379985</v>
      </c>
      <c r="T19">
        <f t="shared" si="10"/>
        <v>0.31954537323272275</v>
      </c>
      <c r="U19">
        <f t="shared" si="11"/>
        <v>344.36879860504081</v>
      </c>
      <c r="V19">
        <f t="shared" si="12"/>
        <v>28.283851449340581</v>
      </c>
      <c r="W19">
        <f t="shared" si="13"/>
        <v>27.887</v>
      </c>
      <c r="X19">
        <f t="shared" si="14"/>
        <v>3.7699128486601152</v>
      </c>
      <c r="Y19">
        <f t="shared" si="15"/>
        <v>65.558773369344834</v>
      </c>
      <c r="Z19">
        <f t="shared" si="16"/>
        <v>2.4868207959084399</v>
      </c>
      <c r="AA19">
        <f t="shared" si="17"/>
        <v>3.7932692576448854</v>
      </c>
      <c r="AB19">
        <f t="shared" si="18"/>
        <v>1.2830920527516754</v>
      </c>
      <c r="AC19">
        <f t="shared" si="19"/>
        <v>-295.05321947563192</v>
      </c>
      <c r="AD19">
        <f t="shared" si="20"/>
        <v>16.705394391850195</v>
      </c>
      <c r="AE19">
        <f t="shared" si="21"/>
        <v>1.2437473206250689</v>
      </c>
      <c r="AF19">
        <f t="shared" si="22"/>
        <v>67.264720841884142</v>
      </c>
      <c r="AG19">
        <v>17</v>
      </c>
      <c r="AH19">
        <v>3</v>
      </c>
      <c r="AI19">
        <f t="shared" si="23"/>
        <v>1</v>
      </c>
      <c r="AJ19">
        <f t="shared" si="24"/>
        <v>0</v>
      </c>
      <c r="AK19">
        <f t="shared" si="25"/>
        <v>52595.298955443788</v>
      </c>
      <c r="AL19" t="s">
        <v>415</v>
      </c>
      <c r="AM19">
        <v>10424.1</v>
      </c>
      <c r="AN19">
        <v>628.54280000000006</v>
      </c>
      <c r="AO19">
        <v>2663.98</v>
      </c>
      <c r="AP19">
        <f t="shared" si="26"/>
        <v>0.76405873917972356</v>
      </c>
      <c r="AQ19">
        <v>-3.1675626227050531</v>
      </c>
      <c r="AR19" t="s">
        <v>432</v>
      </c>
      <c r="AS19">
        <v>10176.6</v>
      </c>
      <c r="AT19">
        <v>757.22838461538458</v>
      </c>
      <c r="AU19">
        <v>1015.338063696894</v>
      </c>
      <c r="AV19">
        <f t="shared" si="27"/>
        <v>0.25421058099774163</v>
      </c>
      <c r="AW19">
        <v>0.5</v>
      </c>
      <c r="AX19">
        <f t="shared" si="28"/>
        <v>1513.1843993025204</v>
      </c>
      <c r="AY19">
        <f t="shared" si="29"/>
        <v>33.775368404370468</v>
      </c>
      <c r="AZ19">
        <f t="shared" si="30"/>
        <v>192.33374265170619</v>
      </c>
      <c r="BA19">
        <f t="shared" si="31"/>
        <v>2.441403112806596E-2</v>
      </c>
      <c r="BB19">
        <f t="shared" si="32"/>
        <v>1.6237369554533616</v>
      </c>
      <c r="BC19">
        <f t="shared" si="33"/>
        <v>454.44279220196438</v>
      </c>
      <c r="BD19" t="s">
        <v>433</v>
      </c>
      <c r="BE19">
        <v>561.28</v>
      </c>
      <c r="BF19">
        <f t="shared" si="34"/>
        <v>561.28</v>
      </c>
      <c r="BG19">
        <f t="shared" si="35"/>
        <v>0.44719889850642169</v>
      </c>
      <c r="BH19">
        <f t="shared" si="36"/>
        <v>0.56845082098092692</v>
      </c>
      <c r="BI19">
        <f t="shared" si="37"/>
        <v>0.78405951220007897</v>
      </c>
      <c r="BJ19">
        <f t="shared" si="38"/>
        <v>0.66730310142518456</v>
      </c>
      <c r="BK19">
        <f t="shared" si="39"/>
        <v>0.80996944356873601</v>
      </c>
      <c r="BL19">
        <f t="shared" si="40"/>
        <v>0.42135250511275185</v>
      </c>
      <c r="BM19">
        <f t="shared" si="41"/>
        <v>0.5786474948872482</v>
      </c>
      <c r="BN19">
        <v>20169</v>
      </c>
      <c r="BO19">
        <v>290.00000000000011</v>
      </c>
      <c r="BP19">
        <v>949.76</v>
      </c>
      <c r="BQ19">
        <v>295</v>
      </c>
      <c r="BR19">
        <v>10176.6</v>
      </c>
      <c r="BS19">
        <v>948.85</v>
      </c>
      <c r="BT19">
        <v>0.91</v>
      </c>
      <c r="BU19">
        <v>300.00000000000011</v>
      </c>
      <c r="BV19">
        <v>24.2</v>
      </c>
      <c r="BW19">
        <v>1015.338063696894</v>
      </c>
      <c r="BX19">
        <v>1.9790240026109021</v>
      </c>
      <c r="BY19">
        <v>-67.65831938015593</v>
      </c>
      <c r="BZ19">
        <v>1.794193417057047</v>
      </c>
      <c r="CA19">
        <v>0.98068984255910641</v>
      </c>
      <c r="CB19">
        <v>-6.9352309232480489E-3</v>
      </c>
      <c r="CC19">
        <v>289.99999999999989</v>
      </c>
      <c r="CD19">
        <v>948.42</v>
      </c>
      <c r="CE19">
        <v>695</v>
      </c>
      <c r="CF19">
        <v>10155.1</v>
      </c>
      <c r="CG19">
        <v>948.71</v>
      </c>
      <c r="CH19">
        <v>-0.28999999999999998</v>
      </c>
      <c r="CV19">
        <f t="shared" si="42"/>
        <v>1800</v>
      </c>
      <c r="CW19">
        <f t="shared" si="43"/>
        <v>1513.1843993025204</v>
      </c>
      <c r="CX19">
        <f t="shared" si="44"/>
        <v>0.84065799961251131</v>
      </c>
      <c r="CY19">
        <f t="shared" si="45"/>
        <v>0.19131599922502268</v>
      </c>
      <c r="CZ19">
        <v>6</v>
      </c>
      <c r="DA19">
        <v>0.5</v>
      </c>
      <c r="DB19" t="s">
        <v>418</v>
      </c>
      <c r="DC19">
        <v>2</v>
      </c>
      <c r="DD19">
        <v>1674574391.5999999</v>
      </c>
      <c r="DE19">
        <v>158.24199999999999</v>
      </c>
      <c r="DF19">
        <v>200.04400000000001</v>
      </c>
      <c r="DG19">
        <v>24.906099999999999</v>
      </c>
      <c r="DH19">
        <v>17.077200000000001</v>
      </c>
      <c r="DI19">
        <v>161.05500000000001</v>
      </c>
      <c r="DJ19">
        <v>24.584</v>
      </c>
      <c r="DK19">
        <v>499.98700000000002</v>
      </c>
      <c r="DL19">
        <v>99.7483</v>
      </c>
      <c r="DM19">
        <v>9.9560399999999993E-2</v>
      </c>
      <c r="DN19">
        <v>27.992899999999999</v>
      </c>
      <c r="DO19">
        <v>27.887</v>
      </c>
      <c r="DP19">
        <v>999.9</v>
      </c>
      <c r="DQ19">
        <v>0</v>
      </c>
      <c r="DR19">
        <v>0</v>
      </c>
      <c r="DS19">
        <v>10005</v>
      </c>
      <c r="DT19">
        <v>0</v>
      </c>
      <c r="DU19">
        <v>358.678</v>
      </c>
      <c r="DV19">
        <v>-41.802</v>
      </c>
      <c r="DW19">
        <v>162.28299999999999</v>
      </c>
      <c r="DX19">
        <v>203.51900000000001</v>
      </c>
      <c r="DY19">
        <v>7.8288399999999996</v>
      </c>
      <c r="DZ19">
        <v>200.04400000000001</v>
      </c>
      <c r="EA19">
        <v>17.077200000000001</v>
      </c>
      <c r="EB19">
        <v>2.48434</v>
      </c>
      <c r="EC19">
        <v>1.7034199999999999</v>
      </c>
      <c r="ED19">
        <v>20.924299999999999</v>
      </c>
      <c r="EE19">
        <v>14.9277</v>
      </c>
      <c r="EF19">
        <v>1800</v>
      </c>
      <c r="EG19">
        <v>0.97800399999999998</v>
      </c>
      <c r="EH19">
        <v>2.1996499999999999E-2</v>
      </c>
      <c r="EI19">
        <v>0</v>
      </c>
      <c r="EJ19">
        <v>756.49800000000005</v>
      </c>
      <c r="EK19">
        <v>5.0010599999999998</v>
      </c>
      <c r="EL19">
        <v>14034.8</v>
      </c>
      <c r="EM19">
        <v>16711.099999999999</v>
      </c>
      <c r="EN19">
        <v>47.625</v>
      </c>
      <c r="EO19">
        <v>48.375</v>
      </c>
      <c r="EP19">
        <v>48.5</v>
      </c>
      <c r="EQ19">
        <v>47.186999999999998</v>
      </c>
      <c r="ER19">
        <v>48.561999999999998</v>
      </c>
      <c r="ES19">
        <v>1755.52</v>
      </c>
      <c r="ET19">
        <v>39.479999999999997</v>
      </c>
      <c r="EU19">
        <v>0</v>
      </c>
      <c r="EV19">
        <v>144.60000014305109</v>
      </c>
      <c r="EW19">
        <v>0</v>
      </c>
      <c r="EX19">
        <v>757.22838461538458</v>
      </c>
      <c r="EY19">
        <v>-3.465435908884734</v>
      </c>
      <c r="EZ19">
        <v>-47.470085459378552</v>
      </c>
      <c r="FA19">
        <v>14039.81923076923</v>
      </c>
      <c r="FB19">
        <v>15</v>
      </c>
      <c r="FC19">
        <v>1674574357.5999999</v>
      </c>
      <c r="FD19" t="s">
        <v>434</v>
      </c>
      <c r="FE19">
        <v>1674574345.0999999</v>
      </c>
      <c r="FF19">
        <v>1674574357.5999999</v>
      </c>
      <c r="FG19">
        <v>4</v>
      </c>
      <c r="FH19">
        <v>0.41699999999999998</v>
      </c>
      <c r="FI19">
        <v>4.0000000000000001E-3</v>
      </c>
      <c r="FJ19">
        <v>-2.8969999999999998</v>
      </c>
      <c r="FK19">
        <v>-1.4999999999999999E-2</v>
      </c>
      <c r="FL19">
        <v>200</v>
      </c>
      <c r="FM19">
        <v>17</v>
      </c>
      <c r="FN19">
        <v>0.04</v>
      </c>
      <c r="FO19">
        <v>0.01</v>
      </c>
      <c r="FP19">
        <v>33.695329379377988</v>
      </c>
      <c r="FQ19">
        <v>-0.28153738574834902</v>
      </c>
      <c r="FR19">
        <v>6.4082796636434999E-2</v>
      </c>
      <c r="FS19">
        <v>1</v>
      </c>
      <c r="FT19">
        <v>0.56885268435823533</v>
      </c>
      <c r="FU19">
        <v>-4.8857509906188618E-2</v>
      </c>
      <c r="FV19">
        <v>5.8024112808110788E-3</v>
      </c>
      <c r="FW19">
        <v>1</v>
      </c>
      <c r="FX19">
        <v>2</v>
      </c>
      <c r="FY19">
        <v>2</v>
      </c>
      <c r="FZ19" t="s">
        <v>420</v>
      </c>
      <c r="GA19">
        <v>2.9776699999999998</v>
      </c>
      <c r="GB19">
        <v>2.80593</v>
      </c>
      <c r="GC19">
        <v>4.4991900000000001E-2</v>
      </c>
      <c r="GD19">
        <v>5.4116699999999997E-2</v>
      </c>
      <c r="GE19">
        <v>0.12224500000000001</v>
      </c>
      <c r="GF19">
        <v>9.3722E-2</v>
      </c>
      <c r="GG19">
        <v>28262.400000000001</v>
      </c>
      <c r="GH19">
        <v>25954.799999999999</v>
      </c>
      <c r="GI19">
        <v>26603.200000000001</v>
      </c>
      <c r="GJ19">
        <v>25914.400000000001</v>
      </c>
      <c r="GK19">
        <v>31788.5</v>
      </c>
      <c r="GL19">
        <v>33144.199999999997</v>
      </c>
      <c r="GM19">
        <v>37709.9</v>
      </c>
      <c r="GN19">
        <v>38443.4</v>
      </c>
      <c r="GO19">
        <v>1.9358</v>
      </c>
      <c r="GP19">
        <v>1.9491499999999999</v>
      </c>
      <c r="GQ19">
        <v>4.5172900000000002E-2</v>
      </c>
      <c r="GR19">
        <v>0</v>
      </c>
      <c r="GS19">
        <v>27.148900000000001</v>
      </c>
      <c r="GT19">
        <v>999.9</v>
      </c>
      <c r="GU19">
        <v>55.9</v>
      </c>
      <c r="GV19">
        <v>30.3</v>
      </c>
      <c r="GW19">
        <v>24.290900000000001</v>
      </c>
      <c r="GX19">
        <v>61.837400000000002</v>
      </c>
      <c r="GY19">
        <v>11.6707</v>
      </c>
      <c r="GZ19">
        <v>1</v>
      </c>
      <c r="HA19">
        <v>0.40093499999999999</v>
      </c>
      <c r="HB19">
        <v>2.5365899999999999</v>
      </c>
      <c r="HC19">
        <v>20.2879</v>
      </c>
      <c r="HD19">
        <v>5.2050099999999997</v>
      </c>
      <c r="HE19">
        <v>11.9376</v>
      </c>
      <c r="HF19">
        <v>4.9856999999999996</v>
      </c>
      <c r="HG19">
        <v>3.2898000000000001</v>
      </c>
      <c r="HH19">
        <v>9999</v>
      </c>
      <c r="HI19">
        <v>9999</v>
      </c>
      <c r="HJ19">
        <v>9999</v>
      </c>
      <c r="HK19">
        <v>999.9</v>
      </c>
      <c r="HL19">
        <v>1.86981</v>
      </c>
      <c r="HM19">
        <v>1.87609</v>
      </c>
      <c r="HN19">
        <v>1.87378</v>
      </c>
      <c r="HO19">
        <v>1.8721000000000001</v>
      </c>
      <c r="HP19">
        <v>1.87256</v>
      </c>
      <c r="HQ19">
        <v>1.86995</v>
      </c>
      <c r="HR19">
        <v>1.87592</v>
      </c>
      <c r="HS19">
        <v>1.875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424</v>
      </c>
      <c r="IB19" t="s">
        <v>424</v>
      </c>
      <c r="IC19" t="s">
        <v>423</v>
      </c>
      <c r="ID19">
        <v>0</v>
      </c>
      <c r="IE19">
        <v>100</v>
      </c>
      <c r="IF19">
        <v>100</v>
      </c>
      <c r="IG19">
        <v>-2.8130000000000002</v>
      </c>
      <c r="IH19">
        <v>0.3221</v>
      </c>
      <c r="II19">
        <v>-2.4435438381092518</v>
      </c>
      <c r="IJ19">
        <v>-2.536945948238235E-3</v>
      </c>
      <c r="IK19">
        <v>1.581473279927893E-6</v>
      </c>
      <c r="IL19">
        <v>-4.6698293441882044E-10</v>
      </c>
      <c r="IM19">
        <v>-0.19331031598722209</v>
      </c>
      <c r="IN19">
        <v>-1.5895243091576399E-2</v>
      </c>
      <c r="IO19">
        <v>1.559614309849521E-3</v>
      </c>
      <c r="IP19">
        <v>-2.4566050869858518E-6</v>
      </c>
      <c r="IQ19">
        <v>2</v>
      </c>
      <c r="IR19">
        <v>2224</v>
      </c>
      <c r="IS19">
        <v>2</v>
      </c>
      <c r="IT19">
        <v>25</v>
      </c>
      <c r="IU19">
        <v>0.8</v>
      </c>
      <c r="IV19">
        <v>0.6</v>
      </c>
      <c r="IW19">
        <v>0.55175799999999997</v>
      </c>
      <c r="IX19">
        <v>2.4706999999999999</v>
      </c>
      <c r="IY19">
        <v>1.65039</v>
      </c>
      <c r="IZ19">
        <v>2.2985799999999998</v>
      </c>
      <c r="JA19">
        <v>1.50024</v>
      </c>
      <c r="JB19">
        <v>2.2570800000000002</v>
      </c>
      <c r="JC19">
        <v>34.829599999999999</v>
      </c>
      <c r="JD19">
        <v>15.4367</v>
      </c>
      <c r="JE19">
        <v>18</v>
      </c>
      <c r="JF19">
        <v>480.72199999999998</v>
      </c>
      <c r="JG19">
        <v>482.77499999999998</v>
      </c>
      <c r="JH19">
        <v>24.8123</v>
      </c>
      <c r="JI19">
        <v>32.300800000000002</v>
      </c>
      <c r="JJ19">
        <v>30.000299999999999</v>
      </c>
      <c r="JK19">
        <v>32.238199999999999</v>
      </c>
      <c r="JL19">
        <v>32.198</v>
      </c>
      <c r="JM19">
        <v>11.0883</v>
      </c>
      <c r="JN19">
        <v>43.327199999999998</v>
      </c>
      <c r="JO19">
        <v>60.872700000000002</v>
      </c>
      <c r="JP19">
        <v>24.816299999999998</v>
      </c>
      <c r="JQ19">
        <v>200</v>
      </c>
      <c r="JR19">
        <v>17.061299999999999</v>
      </c>
      <c r="JS19">
        <v>100.057</v>
      </c>
      <c r="JT19">
        <v>99.187899999999999</v>
      </c>
    </row>
    <row r="20" spans="1:280" x14ac:dyDescent="0.25">
      <c r="A20">
        <v>4</v>
      </c>
      <c r="B20">
        <v>1674574491.0999999</v>
      </c>
      <c r="C20">
        <v>356.5</v>
      </c>
      <c r="D20" t="s">
        <v>435</v>
      </c>
      <c r="E20" t="s">
        <v>436</v>
      </c>
      <c r="F20" t="s">
        <v>412</v>
      </c>
      <c r="G20" t="s">
        <v>413</v>
      </c>
      <c r="H20" t="s">
        <v>414</v>
      </c>
      <c r="I20">
        <v>1674574491.0999999</v>
      </c>
      <c r="J20">
        <f t="shared" si="0"/>
        <v>6.6533164538355406E-3</v>
      </c>
      <c r="K20">
        <f t="shared" si="1"/>
        <v>6.6533164538355409</v>
      </c>
      <c r="L20">
        <f t="shared" si="2"/>
        <v>21.66688263761657</v>
      </c>
      <c r="M20">
        <f t="shared" si="3"/>
        <v>93.266000000000005</v>
      </c>
      <c r="N20">
        <f t="shared" si="4"/>
        <v>21.6228244969227</v>
      </c>
      <c r="O20">
        <f t="shared" si="5"/>
        <v>2.1585522767777636</v>
      </c>
      <c r="P20">
        <f t="shared" si="6"/>
        <v>9.3105105984006009</v>
      </c>
      <c r="Q20">
        <f t="shared" si="7"/>
        <v>0.53497718500040159</v>
      </c>
      <c r="R20">
        <f t="shared" si="8"/>
        <v>2.9254326974030178</v>
      </c>
      <c r="S20">
        <f t="shared" si="9"/>
        <v>0.48597557966663285</v>
      </c>
      <c r="T20">
        <f t="shared" si="10"/>
        <v>0.30776243984136475</v>
      </c>
      <c r="U20">
        <f t="shared" si="11"/>
        <v>344.41059860521131</v>
      </c>
      <c r="V20">
        <f t="shared" si="12"/>
        <v>28.300738815785898</v>
      </c>
      <c r="W20">
        <f t="shared" si="13"/>
        <v>27.859200000000001</v>
      </c>
      <c r="X20">
        <f t="shared" si="14"/>
        <v>3.7638023483226317</v>
      </c>
      <c r="Y20">
        <f t="shared" si="15"/>
        <v>64.287107308284746</v>
      </c>
      <c r="Z20">
        <f t="shared" si="16"/>
        <v>2.4395642131279796</v>
      </c>
      <c r="AA20">
        <f t="shared" si="17"/>
        <v>3.7947954345327819</v>
      </c>
      <c r="AB20">
        <f t="shared" si="18"/>
        <v>1.3242381351946522</v>
      </c>
      <c r="AC20">
        <f t="shared" si="19"/>
        <v>-293.41125561414736</v>
      </c>
      <c r="AD20">
        <f t="shared" si="20"/>
        <v>22.174859418084115</v>
      </c>
      <c r="AE20">
        <f t="shared" si="21"/>
        <v>1.6511110586592896</v>
      </c>
      <c r="AF20">
        <f t="shared" si="22"/>
        <v>74.825313467807348</v>
      </c>
      <c r="AG20">
        <v>16</v>
      </c>
      <c r="AH20">
        <v>3</v>
      </c>
      <c r="AI20">
        <f t="shared" si="23"/>
        <v>1</v>
      </c>
      <c r="AJ20">
        <f t="shared" si="24"/>
        <v>0</v>
      </c>
      <c r="AK20">
        <f t="shared" si="25"/>
        <v>52577.130434977204</v>
      </c>
      <c r="AL20" t="s">
        <v>415</v>
      </c>
      <c r="AM20">
        <v>10424.1</v>
      </c>
      <c r="AN20">
        <v>628.54280000000006</v>
      </c>
      <c r="AO20">
        <v>2663.98</v>
      </c>
      <c r="AP20">
        <f t="shared" si="26"/>
        <v>0.76405873917972356</v>
      </c>
      <c r="AQ20">
        <v>-3.1675626227050531</v>
      </c>
      <c r="AR20" t="s">
        <v>437</v>
      </c>
      <c r="AS20">
        <v>10204.299999999999</v>
      </c>
      <c r="AT20">
        <v>778.6368846153847</v>
      </c>
      <c r="AU20">
        <v>959.79697700574002</v>
      </c>
      <c r="AV20">
        <f t="shared" si="27"/>
        <v>0.18874834650502537</v>
      </c>
      <c r="AW20">
        <v>0.5</v>
      </c>
      <c r="AX20">
        <f t="shared" si="28"/>
        <v>1513.3691993026055</v>
      </c>
      <c r="AY20">
        <f t="shared" si="29"/>
        <v>21.66688263761657</v>
      </c>
      <c r="AZ20">
        <f t="shared" si="30"/>
        <v>142.8229670100005</v>
      </c>
      <c r="BA20">
        <f t="shared" si="31"/>
        <v>1.6410037465917699E-2</v>
      </c>
      <c r="BB20">
        <f t="shared" si="32"/>
        <v>1.7755661497400905</v>
      </c>
      <c r="BC20">
        <f t="shared" si="33"/>
        <v>442.96977509379423</v>
      </c>
      <c r="BD20" t="s">
        <v>438</v>
      </c>
      <c r="BE20">
        <v>553.95000000000005</v>
      </c>
      <c r="BF20">
        <f t="shared" si="34"/>
        <v>553.95000000000005</v>
      </c>
      <c r="BG20">
        <f t="shared" si="35"/>
        <v>0.42284669229929528</v>
      </c>
      <c r="BH20">
        <f t="shared" si="36"/>
        <v>0.44637536474195083</v>
      </c>
      <c r="BI20">
        <f t="shared" si="37"/>
        <v>0.80765819585231502</v>
      </c>
      <c r="BJ20">
        <f t="shared" si="38"/>
        <v>0.54689149591377428</v>
      </c>
      <c r="BK20">
        <f t="shared" si="39"/>
        <v>0.83725649850275907</v>
      </c>
      <c r="BL20">
        <f t="shared" si="40"/>
        <v>0.31756732590563691</v>
      </c>
      <c r="BM20">
        <f t="shared" si="41"/>
        <v>0.68243267409436315</v>
      </c>
      <c r="BN20">
        <v>20171</v>
      </c>
      <c r="BO20">
        <v>290.00000000000011</v>
      </c>
      <c r="BP20">
        <v>913.95</v>
      </c>
      <c r="BQ20">
        <v>125</v>
      </c>
      <c r="BR20">
        <v>10204.299999999999</v>
      </c>
      <c r="BS20">
        <v>914.36</v>
      </c>
      <c r="BT20">
        <v>-0.41</v>
      </c>
      <c r="BU20">
        <v>300.00000000000011</v>
      </c>
      <c r="BV20">
        <v>24.2</v>
      </c>
      <c r="BW20">
        <v>959.79697700574002</v>
      </c>
      <c r="BX20">
        <v>1.3195980344323011</v>
      </c>
      <c r="BY20">
        <v>-46.366818172475227</v>
      </c>
      <c r="BZ20">
        <v>1.1962259971295339</v>
      </c>
      <c r="CA20">
        <v>0.98170423471517065</v>
      </c>
      <c r="CB20">
        <v>-6.9346002224694196E-3</v>
      </c>
      <c r="CC20">
        <v>289.99999999999989</v>
      </c>
      <c r="CD20">
        <v>914.16</v>
      </c>
      <c r="CE20">
        <v>665</v>
      </c>
      <c r="CF20">
        <v>10156.1</v>
      </c>
      <c r="CG20">
        <v>914.14</v>
      </c>
      <c r="CH20">
        <v>0.02</v>
      </c>
      <c r="CV20">
        <f t="shared" si="42"/>
        <v>1800.22</v>
      </c>
      <c r="CW20">
        <f t="shared" si="43"/>
        <v>1513.3691993026055</v>
      </c>
      <c r="CX20">
        <f t="shared" si="44"/>
        <v>0.84065791920021193</v>
      </c>
      <c r="CY20">
        <f t="shared" si="45"/>
        <v>0.19131583840042402</v>
      </c>
      <c r="CZ20">
        <v>6</v>
      </c>
      <c r="DA20">
        <v>0.5</v>
      </c>
      <c r="DB20" t="s">
        <v>418</v>
      </c>
      <c r="DC20">
        <v>2</v>
      </c>
      <c r="DD20">
        <v>1674574491.0999999</v>
      </c>
      <c r="DE20">
        <v>93.266000000000005</v>
      </c>
      <c r="DF20">
        <v>120.011</v>
      </c>
      <c r="DG20">
        <v>24.437799999999999</v>
      </c>
      <c r="DH20">
        <v>16.648900000000001</v>
      </c>
      <c r="DI20">
        <v>95.849000000000004</v>
      </c>
      <c r="DJ20">
        <v>24.468800000000002</v>
      </c>
      <c r="DK20">
        <v>499.99799999999999</v>
      </c>
      <c r="DL20">
        <v>99.727599999999995</v>
      </c>
      <c r="DM20">
        <v>9.9889099999999995E-2</v>
      </c>
      <c r="DN20">
        <v>27.9998</v>
      </c>
      <c r="DO20">
        <v>27.859200000000001</v>
      </c>
      <c r="DP20">
        <v>999.9</v>
      </c>
      <c r="DQ20">
        <v>0</v>
      </c>
      <c r="DR20">
        <v>0</v>
      </c>
      <c r="DS20">
        <v>10003.799999999999</v>
      </c>
      <c r="DT20">
        <v>0</v>
      </c>
      <c r="DU20">
        <v>368.48</v>
      </c>
      <c r="DV20">
        <v>-26.834299999999999</v>
      </c>
      <c r="DW20">
        <v>95.544399999999996</v>
      </c>
      <c r="DX20">
        <v>122.04300000000001</v>
      </c>
      <c r="DY20">
        <v>8.1353899999999992</v>
      </c>
      <c r="DZ20">
        <v>120.011</v>
      </c>
      <c r="EA20">
        <v>16.648900000000001</v>
      </c>
      <c r="EB20">
        <v>2.4716800000000001</v>
      </c>
      <c r="EC20">
        <v>1.6603600000000001</v>
      </c>
      <c r="ED20">
        <v>20.841200000000001</v>
      </c>
      <c r="EE20">
        <v>14.5307</v>
      </c>
      <c r="EF20">
        <v>1800.22</v>
      </c>
      <c r="EG20">
        <v>0.97800699999999996</v>
      </c>
      <c r="EH20">
        <v>2.1992999999999999E-2</v>
      </c>
      <c r="EI20">
        <v>0</v>
      </c>
      <c r="EJ20">
        <v>777.76</v>
      </c>
      <c r="EK20">
        <v>5.0010599999999998</v>
      </c>
      <c r="EL20">
        <v>14437.8</v>
      </c>
      <c r="EM20">
        <v>16713.099999999999</v>
      </c>
      <c r="EN20">
        <v>47.75</v>
      </c>
      <c r="EO20">
        <v>48.436999999999998</v>
      </c>
      <c r="EP20">
        <v>48.686999999999998</v>
      </c>
      <c r="EQ20">
        <v>47.311999999999998</v>
      </c>
      <c r="ER20">
        <v>48.686999999999998</v>
      </c>
      <c r="ES20">
        <v>1755.74</v>
      </c>
      <c r="ET20">
        <v>39.479999999999997</v>
      </c>
      <c r="EU20">
        <v>0</v>
      </c>
      <c r="EV20">
        <v>97.400000095367432</v>
      </c>
      <c r="EW20">
        <v>0</v>
      </c>
      <c r="EX20">
        <v>778.6368846153847</v>
      </c>
      <c r="EY20">
        <v>-5.074017106088097</v>
      </c>
      <c r="EZ20">
        <v>-86.588034114046707</v>
      </c>
      <c r="FA20">
        <v>14444.542307692311</v>
      </c>
      <c r="FB20">
        <v>15</v>
      </c>
      <c r="FC20">
        <v>1674574525.0999999</v>
      </c>
      <c r="FD20" t="s">
        <v>439</v>
      </c>
      <c r="FE20">
        <v>1674574510.0999999</v>
      </c>
      <c r="FF20">
        <v>1674574525.0999999</v>
      </c>
      <c r="FG20">
        <v>5</v>
      </c>
      <c r="FH20">
        <v>0.14799999999999999</v>
      </c>
      <c r="FI20">
        <v>6.0000000000000001E-3</v>
      </c>
      <c r="FJ20">
        <v>-2.5830000000000002</v>
      </c>
      <c r="FK20">
        <v>-3.1E-2</v>
      </c>
      <c r="FL20">
        <v>120</v>
      </c>
      <c r="FM20">
        <v>17</v>
      </c>
      <c r="FN20">
        <v>0.04</v>
      </c>
      <c r="FO20">
        <v>0.01</v>
      </c>
      <c r="FP20">
        <v>21.623517794868601</v>
      </c>
      <c r="FQ20">
        <v>0.61258027389362402</v>
      </c>
      <c r="FR20">
        <v>6.1850784660245878E-2</v>
      </c>
      <c r="FS20">
        <v>1</v>
      </c>
      <c r="FT20">
        <v>0.57312485730130791</v>
      </c>
      <c r="FU20">
        <v>1.441777584226305E-2</v>
      </c>
      <c r="FV20">
        <v>1.5055903077087721E-3</v>
      </c>
      <c r="FW20">
        <v>1</v>
      </c>
      <c r="FX20">
        <v>2</v>
      </c>
      <c r="FY20">
        <v>2</v>
      </c>
      <c r="FZ20" t="s">
        <v>420</v>
      </c>
      <c r="GA20">
        <v>2.9776500000000001</v>
      </c>
      <c r="GB20">
        <v>2.8062399999999998</v>
      </c>
      <c r="GC20">
        <v>2.7489300000000001E-2</v>
      </c>
      <c r="GD20">
        <v>3.3707899999999999E-2</v>
      </c>
      <c r="GE20">
        <v>0.121804</v>
      </c>
      <c r="GF20">
        <v>9.2016500000000001E-2</v>
      </c>
      <c r="GG20">
        <v>28776.400000000001</v>
      </c>
      <c r="GH20">
        <v>26513.7</v>
      </c>
      <c r="GI20">
        <v>26599.9</v>
      </c>
      <c r="GJ20">
        <v>25913.8</v>
      </c>
      <c r="GK20">
        <v>31800.400000000001</v>
      </c>
      <c r="GL20">
        <v>33205.699999999997</v>
      </c>
      <c r="GM20">
        <v>37704.800000000003</v>
      </c>
      <c r="GN20">
        <v>38442.5</v>
      </c>
      <c r="GO20">
        <v>1.9358500000000001</v>
      </c>
      <c r="GP20">
        <v>1.9457800000000001</v>
      </c>
      <c r="GQ20">
        <v>4.6856700000000001E-2</v>
      </c>
      <c r="GR20">
        <v>0</v>
      </c>
      <c r="GS20">
        <v>27.093499999999999</v>
      </c>
      <c r="GT20">
        <v>999.9</v>
      </c>
      <c r="GU20">
        <v>54.9</v>
      </c>
      <c r="GV20">
        <v>30.4</v>
      </c>
      <c r="GW20">
        <v>23.996400000000001</v>
      </c>
      <c r="GX20">
        <v>61.947400000000002</v>
      </c>
      <c r="GY20">
        <v>11.943099999999999</v>
      </c>
      <c r="GZ20">
        <v>1</v>
      </c>
      <c r="HA20">
        <v>0.405777</v>
      </c>
      <c r="HB20">
        <v>2.5322399999999998</v>
      </c>
      <c r="HC20">
        <v>20.2883</v>
      </c>
      <c r="HD20">
        <v>5.2103999999999999</v>
      </c>
      <c r="HE20">
        <v>11.9376</v>
      </c>
      <c r="HF20">
        <v>4.9875999999999996</v>
      </c>
      <c r="HG20">
        <v>3.29088</v>
      </c>
      <c r="HH20">
        <v>9999</v>
      </c>
      <c r="HI20">
        <v>9999</v>
      </c>
      <c r="HJ20">
        <v>9999</v>
      </c>
      <c r="HK20">
        <v>999.9</v>
      </c>
      <c r="HL20">
        <v>1.86981</v>
      </c>
      <c r="HM20">
        <v>1.8761000000000001</v>
      </c>
      <c r="HN20">
        <v>1.87381</v>
      </c>
      <c r="HO20">
        <v>1.8721099999999999</v>
      </c>
      <c r="HP20">
        <v>1.8725700000000001</v>
      </c>
      <c r="HQ20">
        <v>1.8699600000000001</v>
      </c>
      <c r="HR20">
        <v>1.87592</v>
      </c>
      <c r="HS20">
        <v>1.875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424</v>
      </c>
      <c r="IB20" t="s">
        <v>424</v>
      </c>
      <c r="IC20" t="s">
        <v>423</v>
      </c>
      <c r="ID20">
        <v>0</v>
      </c>
      <c r="IE20">
        <v>100</v>
      </c>
      <c r="IF20">
        <v>100</v>
      </c>
      <c r="IG20">
        <v>-2.5830000000000002</v>
      </c>
      <c r="IH20">
        <v>-3.1E-2</v>
      </c>
      <c r="II20">
        <v>-2.4435438381092518</v>
      </c>
      <c r="IJ20">
        <v>-2.536945948238235E-3</v>
      </c>
      <c r="IK20">
        <v>1.581473279927893E-6</v>
      </c>
      <c r="IL20">
        <v>-4.6698293441882044E-10</v>
      </c>
      <c r="IM20">
        <v>-0.19331031598722209</v>
      </c>
      <c r="IN20">
        <v>-1.5895243091576399E-2</v>
      </c>
      <c r="IO20">
        <v>1.559614309849521E-3</v>
      </c>
      <c r="IP20">
        <v>-2.4566050869858518E-6</v>
      </c>
      <c r="IQ20">
        <v>2</v>
      </c>
      <c r="IR20">
        <v>2224</v>
      </c>
      <c r="IS20">
        <v>2</v>
      </c>
      <c r="IT20">
        <v>25</v>
      </c>
      <c r="IU20">
        <v>2.4</v>
      </c>
      <c r="IV20">
        <v>2.2000000000000002</v>
      </c>
      <c r="IW20">
        <v>0.39184600000000003</v>
      </c>
      <c r="IX20">
        <v>2.48169</v>
      </c>
      <c r="IY20">
        <v>1.65039</v>
      </c>
      <c r="IZ20">
        <v>2.2973599999999998</v>
      </c>
      <c r="JA20">
        <v>1.50024</v>
      </c>
      <c r="JB20">
        <v>2.36084</v>
      </c>
      <c r="JC20">
        <v>34.944400000000002</v>
      </c>
      <c r="JD20">
        <v>15.4192</v>
      </c>
      <c r="JE20">
        <v>18</v>
      </c>
      <c r="JF20">
        <v>481.21499999999997</v>
      </c>
      <c r="JG20">
        <v>481.00200000000001</v>
      </c>
      <c r="JH20">
        <v>24.834399999999999</v>
      </c>
      <c r="JI20">
        <v>32.362299999999998</v>
      </c>
      <c r="JJ20">
        <v>30.0002</v>
      </c>
      <c r="JK20">
        <v>32.298099999999998</v>
      </c>
      <c r="JL20">
        <v>32.261099999999999</v>
      </c>
      <c r="JM20">
        <v>7.8875200000000003</v>
      </c>
      <c r="JN20">
        <v>43.9206</v>
      </c>
      <c r="JO20">
        <v>57.862699999999997</v>
      </c>
      <c r="JP20">
        <v>24.837499999999999</v>
      </c>
      <c r="JQ20">
        <v>120</v>
      </c>
      <c r="JR20">
        <v>16.579699999999999</v>
      </c>
      <c r="JS20">
        <v>100.044</v>
      </c>
      <c r="JT20">
        <v>99.185500000000005</v>
      </c>
    </row>
    <row r="21" spans="1:280" x14ac:dyDescent="0.25">
      <c r="A21">
        <v>5</v>
      </c>
      <c r="B21">
        <v>1674574616.0999999</v>
      </c>
      <c r="C21">
        <v>481.5</v>
      </c>
      <c r="D21" t="s">
        <v>440</v>
      </c>
      <c r="E21" t="s">
        <v>441</v>
      </c>
      <c r="F21" t="s">
        <v>412</v>
      </c>
      <c r="G21" t="s">
        <v>413</v>
      </c>
      <c r="H21" t="s">
        <v>414</v>
      </c>
      <c r="I21">
        <v>1674574616.0999999</v>
      </c>
      <c r="J21">
        <f t="shared" si="0"/>
        <v>7.0259862229636256E-3</v>
      </c>
      <c r="K21">
        <f t="shared" si="1"/>
        <v>7.0259862229636258</v>
      </c>
      <c r="L21">
        <f t="shared" si="2"/>
        <v>13.286180722507609</v>
      </c>
      <c r="M21">
        <f t="shared" si="3"/>
        <v>53.623600000000003</v>
      </c>
      <c r="N21">
        <f t="shared" si="4"/>
        <v>12.378650316256907</v>
      </c>
      <c r="O21">
        <f t="shared" si="5"/>
        <v>1.2356421602524494</v>
      </c>
      <c r="P21">
        <f t="shared" si="6"/>
        <v>5.3527306492772002</v>
      </c>
      <c r="Q21">
        <f t="shared" si="7"/>
        <v>0.57295265126096595</v>
      </c>
      <c r="R21">
        <f t="shared" si="8"/>
        <v>2.9233236314695286</v>
      </c>
      <c r="S21">
        <f t="shared" si="9"/>
        <v>0.51709928899014357</v>
      </c>
      <c r="T21">
        <f t="shared" si="10"/>
        <v>0.32775033735922149</v>
      </c>
      <c r="U21">
        <f t="shared" si="11"/>
        <v>344.35169860497109</v>
      </c>
      <c r="V21">
        <f t="shared" si="12"/>
        <v>28.189651215433138</v>
      </c>
      <c r="W21">
        <f t="shared" si="13"/>
        <v>27.811299999999999</v>
      </c>
      <c r="X21">
        <f t="shared" si="14"/>
        <v>3.7532940952252978</v>
      </c>
      <c r="Y21">
        <f t="shared" si="15"/>
        <v>64.326248630747187</v>
      </c>
      <c r="Z21">
        <f t="shared" si="16"/>
        <v>2.4390722055741998</v>
      </c>
      <c r="AA21">
        <f t="shared" si="17"/>
        <v>3.7917215094808938</v>
      </c>
      <c r="AB21">
        <f t="shared" si="18"/>
        <v>1.314221889651098</v>
      </c>
      <c r="AC21">
        <f t="shared" si="19"/>
        <v>-309.84599243269588</v>
      </c>
      <c r="AD21">
        <f t="shared" si="20"/>
        <v>27.517348244014762</v>
      </c>
      <c r="AE21">
        <f t="shared" si="21"/>
        <v>2.0497525169606035</v>
      </c>
      <c r="AF21">
        <f t="shared" si="22"/>
        <v>64.072806933250575</v>
      </c>
      <c r="AG21">
        <v>16</v>
      </c>
      <c r="AH21">
        <v>3</v>
      </c>
      <c r="AI21">
        <f t="shared" si="23"/>
        <v>1</v>
      </c>
      <c r="AJ21">
        <f t="shared" si="24"/>
        <v>0</v>
      </c>
      <c r="AK21">
        <f t="shared" si="25"/>
        <v>52518.745138921498</v>
      </c>
      <c r="AL21" t="s">
        <v>415</v>
      </c>
      <c r="AM21">
        <v>10424.1</v>
      </c>
      <c r="AN21">
        <v>628.54280000000006</v>
      </c>
      <c r="AO21">
        <v>2663.98</v>
      </c>
      <c r="AP21">
        <f t="shared" si="26"/>
        <v>0.76405873917972356</v>
      </c>
      <c r="AQ21">
        <v>-3.1675626227050531</v>
      </c>
      <c r="AR21" t="s">
        <v>442</v>
      </c>
      <c r="AS21">
        <v>10177.700000000001</v>
      </c>
      <c r="AT21">
        <v>798.47016000000008</v>
      </c>
      <c r="AU21">
        <v>926.29452127481898</v>
      </c>
      <c r="AV21">
        <f t="shared" si="27"/>
        <v>0.1379953765665155</v>
      </c>
      <c r="AW21">
        <v>0.5</v>
      </c>
      <c r="AX21">
        <f t="shared" si="28"/>
        <v>1513.1087993024855</v>
      </c>
      <c r="AY21">
        <f t="shared" si="29"/>
        <v>13.286180722507609</v>
      </c>
      <c r="AZ21">
        <f t="shared" si="30"/>
        <v>104.40100927292731</v>
      </c>
      <c r="BA21">
        <f t="shared" si="31"/>
        <v>1.0874131029307029E-2</v>
      </c>
      <c r="BB21">
        <f t="shared" si="32"/>
        <v>1.875953531856887</v>
      </c>
      <c r="BC21">
        <f t="shared" si="33"/>
        <v>435.69689004874414</v>
      </c>
      <c r="BD21" t="s">
        <v>443</v>
      </c>
      <c r="BE21">
        <v>561.51</v>
      </c>
      <c r="BF21">
        <f t="shared" si="34"/>
        <v>561.51</v>
      </c>
      <c r="BG21">
        <f t="shared" si="35"/>
        <v>0.39381051371520781</v>
      </c>
      <c r="BH21">
        <f t="shared" si="36"/>
        <v>0.35041059535121943</v>
      </c>
      <c r="BI21">
        <f t="shared" si="37"/>
        <v>0.82649715749817154</v>
      </c>
      <c r="BJ21">
        <f t="shared" si="38"/>
        <v>0.42929847971169094</v>
      </c>
      <c r="BK21">
        <f t="shared" si="39"/>
        <v>0.85371608552952705</v>
      </c>
      <c r="BL21">
        <f t="shared" si="40"/>
        <v>0.24642004579815882</v>
      </c>
      <c r="BM21">
        <f t="shared" si="41"/>
        <v>0.75357995420184121</v>
      </c>
      <c r="BN21">
        <v>20173</v>
      </c>
      <c r="BO21">
        <v>290.00000000000011</v>
      </c>
      <c r="BP21">
        <v>893.65</v>
      </c>
      <c r="BQ21">
        <v>265</v>
      </c>
      <c r="BR21">
        <v>10177.700000000001</v>
      </c>
      <c r="BS21">
        <v>894.68</v>
      </c>
      <c r="BT21">
        <v>-1.03</v>
      </c>
      <c r="BU21">
        <v>300.00000000000011</v>
      </c>
      <c r="BV21">
        <v>24.2</v>
      </c>
      <c r="BW21">
        <v>926.29452127481898</v>
      </c>
      <c r="BX21">
        <v>2.1357146874942581</v>
      </c>
      <c r="BY21">
        <v>-32.176861856853819</v>
      </c>
      <c r="BZ21">
        <v>1.935906757784996</v>
      </c>
      <c r="CA21">
        <v>0.90797353857477514</v>
      </c>
      <c r="CB21">
        <v>-6.9342031145717617E-3</v>
      </c>
      <c r="CC21">
        <v>289.99999999999989</v>
      </c>
      <c r="CD21">
        <v>892.6</v>
      </c>
      <c r="CE21">
        <v>715</v>
      </c>
      <c r="CF21">
        <v>10151.700000000001</v>
      </c>
      <c r="CG21">
        <v>894.6</v>
      </c>
      <c r="CH21">
        <v>-2</v>
      </c>
      <c r="CV21">
        <f t="shared" si="42"/>
        <v>1799.91</v>
      </c>
      <c r="CW21">
        <f t="shared" si="43"/>
        <v>1513.1087993024855</v>
      </c>
      <c r="CX21">
        <f t="shared" si="44"/>
        <v>0.84065803251411764</v>
      </c>
      <c r="CY21">
        <f t="shared" si="45"/>
        <v>0.19131606502823534</v>
      </c>
      <c r="CZ21">
        <v>6</v>
      </c>
      <c r="DA21">
        <v>0.5</v>
      </c>
      <c r="DB21" t="s">
        <v>418</v>
      </c>
      <c r="DC21">
        <v>2</v>
      </c>
      <c r="DD21">
        <v>1674574616.0999999</v>
      </c>
      <c r="DE21">
        <v>53.623600000000003</v>
      </c>
      <c r="DF21">
        <v>70.014799999999994</v>
      </c>
      <c r="DG21">
        <v>24.4346</v>
      </c>
      <c r="DH21">
        <v>16.211600000000001</v>
      </c>
      <c r="DI21">
        <v>56.095599999999997</v>
      </c>
      <c r="DJ21">
        <v>24.4756</v>
      </c>
      <c r="DK21">
        <v>500.13200000000001</v>
      </c>
      <c r="DL21">
        <v>99.720299999999995</v>
      </c>
      <c r="DM21">
        <v>0.10012699999999999</v>
      </c>
      <c r="DN21">
        <v>27.985900000000001</v>
      </c>
      <c r="DO21">
        <v>27.811299999999999</v>
      </c>
      <c r="DP21">
        <v>999.9</v>
      </c>
      <c r="DQ21">
        <v>0</v>
      </c>
      <c r="DR21">
        <v>0</v>
      </c>
      <c r="DS21">
        <v>9992.5</v>
      </c>
      <c r="DT21">
        <v>0</v>
      </c>
      <c r="DU21">
        <v>375.09500000000003</v>
      </c>
      <c r="DV21">
        <v>-16.351700000000001</v>
      </c>
      <c r="DW21">
        <v>55.027700000000003</v>
      </c>
      <c r="DX21">
        <v>71.168599999999998</v>
      </c>
      <c r="DY21">
        <v>8.5855499999999996</v>
      </c>
      <c r="DZ21">
        <v>70.014799999999994</v>
      </c>
      <c r="EA21">
        <v>16.211600000000001</v>
      </c>
      <c r="EB21">
        <v>2.4727700000000001</v>
      </c>
      <c r="EC21">
        <v>1.6166199999999999</v>
      </c>
      <c r="ED21">
        <v>20.848400000000002</v>
      </c>
      <c r="EE21">
        <v>14.1182</v>
      </c>
      <c r="EF21">
        <v>1799.91</v>
      </c>
      <c r="EG21">
        <v>0.97800399999999998</v>
      </c>
      <c r="EH21">
        <v>2.1996499999999999E-2</v>
      </c>
      <c r="EI21">
        <v>0</v>
      </c>
      <c r="EJ21">
        <v>798.35</v>
      </c>
      <c r="EK21">
        <v>5.0010599999999998</v>
      </c>
      <c r="EL21">
        <v>14799.4</v>
      </c>
      <c r="EM21">
        <v>16710.3</v>
      </c>
      <c r="EN21">
        <v>47.875</v>
      </c>
      <c r="EO21">
        <v>48.561999999999998</v>
      </c>
      <c r="EP21">
        <v>48.811999999999998</v>
      </c>
      <c r="EQ21">
        <v>47.375</v>
      </c>
      <c r="ER21">
        <v>48.811999999999998</v>
      </c>
      <c r="ES21">
        <v>1755.43</v>
      </c>
      <c r="ET21">
        <v>39.479999999999997</v>
      </c>
      <c r="EU21">
        <v>0</v>
      </c>
      <c r="EV21">
        <v>123.2000000476837</v>
      </c>
      <c r="EW21">
        <v>0</v>
      </c>
      <c r="EX21">
        <v>798.47016000000008</v>
      </c>
      <c r="EY21">
        <v>-2.0902307628004939</v>
      </c>
      <c r="EZ21">
        <v>-24.107692226714121</v>
      </c>
      <c r="FA21">
        <v>14803.804</v>
      </c>
      <c r="FB21">
        <v>15</v>
      </c>
      <c r="FC21">
        <v>1674574647.0999999</v>
      </c>
      <c r="FD21" t="s">
        <v>444</v>
      </c>
      <c r="FE21">
        <v>1674574635.5999999</v>
      </c>
      <c r="FF21">
        <v>1674574647.0999999</v>
      </c>
      <c r="FG21">
        <v>6</v>
      </c>
      <c r="FH21">
        <v>-2E-3</v>
      </c>
      <c r="FI21">
        <v>4.0000000000000001E-3</v>
      </c>
      <c r="FJ21">
        <v>-2.472</v>
      </c>
      <c r="FK21">
        <v>-4.1000000000000002E-2</v>
      </c>
      <c r="FL21">
        <v>70</v>
      </c>
      <c r="FM21">
        <v>16</v>
      </c>
      <c r="FN21">
        <v>0.08</v>
      </c>
      <c r="FO21">
        <v>0.01</v>
      </c>
      <c r="FP21">
        <v>13.19464977093971</v>
      </c>
      <c r="FQ21">
        <v>0.1145905308893974</v>
      </c>
      <c r="FR21">
        <v>2.4877397185368931E-2</v>
      </c>
      <c r="FS21">
        <v>1</v>
      </c>
      <c r="FT21">
        <v>0.61573882641332445</v>
      </c>
      <c r="FU21">
        <v>1.3214336590898341E-2</v>
      </c>
      <c r="FV21">
        <v>1.5655235374612969E-3</v>
      </c>
      <c r="FW21">
        <v>1</v>
      </c>
      <c r="FX21">
        <v>2</v>
      </c>
      <c r="FY21">
        <v>2</v>
      </c>
      <c r="FZ21" t="s">
        <v>420</v>
      </c>
      <c r="GA21">
        <v>2.9779599999999999</v>
      </c>
      <c r="GB21">
        <v>2.8063899999999999</v>
      </c>
      <c r="GC21">
        <v>1.6233399999999999E-2</v>
      </c>
      <c r="GD21">
        <v>1.99528E-2</v>
      </c>
      <c r="GE21">
        <v>0.12180199999999999</v>
      </c>
      <c r="GF21">
        <v>9.0270799999999998E-2</v>
      </c>
      <c r="GG21">
        <v>29106.6</v>
      </c>
      <c r="GH21">
        <v>26888.799999999999</v>
      </c>
      <c r="GI21">
        <v>26597.8</v>
      </c>
      <c r="GJ21">
        <v>25912</v>
      </c>
      <c r="GK21">
        <v>31797.8</v>
      </c>
      <c r="GL21">
        <v>33267.599999999999</v>
      </c>
      <c r="GM21">
        <v>37701.5</v>
      </c>
      <c r="GN21">
        <v>38440.400000000001</v>
      </c>
      <c r="GO21">
        <v>1.9359999999999999</v>
      </c>
      <c r="GP21">
        <v>1.94275</v>
      </c>
      <c r="GQ21">
        <v>4.5925399999999998E-2</v>
      </c>
      <c r="GR21">
        <v>0</v>
      </c>
      <c r="GS21">
        <v>27.0608</v>
      </c>
      <c r="GT21">
        <v>999.9</v>
      </c>
      <c r="GU21">
        <v>53.8</v>
      </c>
      <c r="GV21">
        <v>30.5</v>
      </c>
      <c r="GW21">
        <v>23.654199999999999</v>
      </c>
      <c r="GX21">
        <v>62.017499999999998</v>
      </c>
      <c r="GY21">
        <v>11.4343</v>
      </c>
      <c r="GZ21">
        <v>1</v>
      </c>
      <c r="HA21">
        <v>0.40928599999999998</v>
      </c>
      <c r="HB21">
        <v>2.4322300000000001</v>
      </c>
      <c r="HC21">
        <v>20.2897</v>
      </c>
      <c r="HD21">
        <v>5.2110000000000003</v>
      </c>
      <c r="HE21">
        <v>11.937799999999999</v>
      </c>
      <c r="HF21">
        <v>4.9878</v>
      </c>
      <c r="HG21">
        <v>3.2909799999999998</v>
      </c>
      <c r="HH21">
        <v>9999</v>
      </c>
      <c r="HI21">
        <v>9999</v>
      </c>
      <c r="HJ21">
        <v>9999</v>
      </c>
      <c r="HK21">
        <v>999.9</v>
      </c>
      <c r="HL21">
        <v>1.86981</v>
      </c>
      <c r="HM21">
        <v>1.87616</v>
      </c>
      <c r="HN21">
        <v>1.8737999999999999</v>
      </c>
      <c r="HO21">
        <v>1.8721000000000001</v>
      </c>
      <c r="HP21">
        <v>1.8725700000000001</v>
      </c>
      <c r="HQ21">
        <v>1.8699600000000001</v>
      </c>
      <c r="HR21">
        <v>1.87592</v>
      </c>
      <c r="HS21">
        <v>1.875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424</v>
      </c>
      <c r="IB21" t="s">
        <v>424</v>
      </c>
      <c r="IC21" t="s">
        <v>423</v>
      </c>
      <c r="ID21">
        <v>0</v>
      </c>
      <c r="IE21">
        <v>100</v>
      </c>
      <c r="IF21">
        <v>100</v>
      </c>
      <c r="IG21">
        <v>-2.472</v>
      </c>
      <c r="IH21">
        <v>-4.1000000000000002E-2</v>
      </c>
      <c r="II21">
        <v>-2.295070127952362</v>
      </c>
      <c r="IJ21">
        <v>-2.536945948238235E-3</v>
      </c>
      <c r="IK21">
        <v>1.581473279927893E-6</v>
      </c>
      <c r="IL21">
        <v>-4.6698293441882044E-10</v>
      </c>
      <c r="IM21">
        <v>-0.18771515344839521</v>
      </c>
      <c r="IN21">
        <v>-1.5895243091576399E-2</v>
      </c>
      <c r="IO21">
        <v>1.559614309849521E-3</v>
      </c>
      <c r="IP21">
        <v>-2.4566050869858518E-6</v>
      </c>
      <c r="IQ21">
        <v>2</v>
      </c>
      <c r="IR21">
        <v>2224</v>
      </c>
      <c r="IS21">
        <v>2</v>
      </c>
      <c r="IT21">
        <v>25</v>
      </c>
      <c r="IU21">
        <v>1.8</v>
      </c>
      <c r="IV21">
        <v>1.5</v>
      </c>
      <c r="IW21">
        <v>0.29174800000000001</v>
      </c>
      <c r="IX21">
        <v>2.49268</v>
      </c>
      <c r="IY21">
        <v>1.65039</v>
      </c>
      <c r="IZ21">
        <v>2.2973599999999998</v>
      </c>
      <c r="JA21">
        <v>1.50024</v>
      </c>
      <c r="JB21">
        <v>2.3974600000000001</v>
      </c>
      <c r="JC21">
        <v>35.059399999999997</v>
      </c>
      <c r="JD21">
        <v>15.4016</v>
      </c>
      <c r="JE21">
        <v>18</v>
      </c>
      <c r="JF21">
        <v>481.79199999999997</v>
      </c>
      <c r="JG21">
        <v>479.46699999999998</v>
      </c>
      <c r="JH21">
        <v>24.860900000000001</v>
      </c>
      <c r="JI21">
        <v>32.413899999999998</v>
      </c>
      <c r="JJ21">
        <v>30.0002</v>
      </c>
      <c r="JK21">
        <v>32.360599999999998</v>
      </c>
      <c r="JL21">
        <v>32.323900000000002</v>
      </c>
      <c r="JM21">
        <v>5.8926299999999996</v>
      </c>
      <c r="JN21">
        <v>44.3645</v>
      </c>
      <c r="JO21">
        <v>55.238599999999998</v>
      </c>
      <c r="JP21">
        <v>24.8691</v>
      </c>
      <c r="JQ21">
        <v>70</v>
      </c>
      <c r="JR21">
        <v>16.209199999999999</v>
      </c>
      <c r="JS21">
        <v>100.035</v>
      </c>
      <c r="JT21">
        <v>99.179400000000001</v>
      </c>
    </row>
    <row r="22" spans="1:280" x14ac:dyDescent="0.25">
      <c r="A22">
        <v>6</v>
      </c>
      <c r="B22">
        <v>1674574738.0999999</v>
      </c>
      <c r="C22">
        <v>603.5</v>
      </c>
      <c r="D22" t="s">
        <v>445</v>
      </c>
      <c r="E22" t="s">
        <v>446</v>
      </c>
      <c r="F22" t="s">
        <v>412</v>
      </c>
      <c r="G22" t="s">
        <v>413</v>
      </c>
      <c r="H22" t="s">
        <v>414</v>
      </c>
      <c r="I22">
        <v>1674574738.0999999</v>
      </c>
      <c r="J22">
        <f t="shared" si="0"/>
        <v>7.2604866083288777E-3</v>
      </c>
      <c r="K22">
        <f t="shared" si="1"/>
        <v>7.2604866083288782</v>
      </c>
      <c r="L22">
        <f t="shared" si="2"/>
        <v>6.088150603181071</v>
      </c>
      <c r="M22">
        <f t="shared" si="3"/>
        <v>22.485199999999999</v>
      </c>
      <c r="N22">
        <f t="shared" si="4"/>
        <v>4.1880261066195139</v>
      </c>
      <c r="O22">
        <f t="shared" si="5"/>
        <v>0.41807367173521331</v>
      </c>
      <c r="P22">
        <f t="shared" si="6"/>
        <v>2.2446063812358803</v>
      </c>
      <c r="Q22">
        <f t="shared" si="7"/>
        <v>0.59264696697880703</v>
      </c>
      <c r="R22">
        <f t="shared" si="8"/>
        <v>2.922438087224533</v>
      </c>
      <c r="S22">
        <f t="shared" si="9"/>
        <v>0.53308498932958681</v>
      </c>
      <c r="T22">
        <f t="shared" si="10"/>
        <v>0.33802930112025009</v>
      </c>
      <c r="U22">
        <f t="shared" si="11"/>
        <v>344.36689860503304</v>
      </c>
      <c r="V22">
        <f t="shared" si="12"/>
        <v>28.142914956971424</v>
      </c>
      <c r="W22">
        <f t="shared" si="13"/>
        <v>27.7879</v>
      </c>
      <c r="X22">
        <f t="shared" si="14"/>
        <v>3.748169940985727</v>
      </c>
      <c r="Y22">
        <f t="shared" si="15"/>
        <v>64.050870428784165</v>
      </c>
      <c r="Z22">
        <f t="shared" si="16"/>
        <v>2.4306420158787199</v>
      </c>
      <c r="AA22">
        <f t="shared" si="17"/>
        <v>3.7948618022002716</v>
      </c>
      <c r="AB22">
        <f t="shared" si="18"/>
        <v>1.3175279251070071</v>
      </c>
      <c r="AC22">
        <f t="shared" si="19"/>
        <v>-320.18745942730351</v>
      </c>
      <c r="AD22">
        <f t="shared" si="20"/>
        <v>33.433061114022777</v>
      </c>
      <c r="AE22">
        <f t="shared" si="21"/>
        <v>2.4910512805238514</v>
      </c>
      <c r="AF22">
        <f t="shared" si="22"/>
        <v>60.103551572276146</v>
      </c>
      <c r="AG22">
        <v>12</v>
      </c>
      <c r="AH22">
        <v>2</v>
      </c>
      <c r="AI22">
        <f t="shared" si="23"/>
        <v>1</v>
      </c>
      <c r="AJ22">
        <f t="shared" si="24"/>
        <v>0</v>
      </c>
      <c r="AK22">
        <f t="shared" si="25"/>
        <v>52490.930988091714</v>
      </c>
      <c r="AL22" t="s">
        <v>415</v>
      </c>
      <c r="AM22">
        <v>10424.1</v>
      </c>
      <c r="AN22">
        <v>628.54280000000006</v>
      </c>
      <c r="AO22">
        <v>2663.98</v>
      </c>
      <c r="AP22">
        <f t="shared" si="26"/>
        <v>0.76405873917972356</v>
      </c>
      <c r="AQ22">
        <v>-3.1675626227050531</v>
      </c>
      <c r="AR22" t="s">
        <v>447</v>
      </c>
      <c r="AS22">
        <v>10182.4</v>
      </c>
      <c r="AT22">
        <v>815.07424000000015</v>
      </c>
      <c r="AU22">
        <v>897.54762081115484</v>
      </c>
      <c r="AV22">
        <f t="shared" si="27"/>
        <v>9.1887470813659666E-2</v>
      </c>
      <c r="AW22">
        <v>0.5</v>
      </c>
      <c r="AX22">
        <f t="shared" si="28"/>
        <v>1513.1759993025164</v>
      </c>
      <c r="AY22">
        <f t="shared" si="29"/>
        <v>6.088150603181071</v>
      </c>
      <c r="AZ22">
        <f t="shared" si="30"/>
        <v>69.520957735920135</v>
      </c>
      <c r="BA22">
        <f t="shared" si="31"/>
        <v>6.1167459899922113E-3</v>
      </c>
      <c r="BB22">
        <f t="shared" si="32"/>
        <v>1.9680653574597404</v>
      </c>
      <c r="BC22">
        <f t="shared" si="33"/>
        <v>429.23053569378123</v>
      </c>
      <c r="BD22" t="s">
        <v>448</v>
      </c>
      <c r="BE22">
        <v>577.84</v>
      </c>
      <c r="BF22">
        <f t="shared" si="34"/>
        <v>577.84</v>
      </c>
      <c r="BG22">
        <f t="shared" si="35"/>
        <v>0.35620129049221971</v>
      </c>
      <c r="BH22">
        <f t="shared" si="36"/>
        <v>0.25796501378949033</v>
      </c>
      <c r="BI22">
        <f t="shared" si="37"/>
        <v>0.84674680471533315</v>
      </c>
      <c r="BJ22">
        <f t="shared" si="38"/>
        <v>0.30658699930531053</v>
      </c>
      <c r="BK22">
        <f t="shared" si="39"/>
        <v>0.86783929230970391</v>
      </c>
      <c r="BL22">
        <f t="shared" si="40"/>
        <v>0.18288211828178874</v>
      </c>
      <c r="BM22">
        <f t="shared" si="41"/>
        <v>0.8171178817182112</v>
      </c>
      <c r="BN22">
        <v>20175</v>
      </c>
      <c r="BO22">
        <v>290.00000000000011</v>
      </c>
      <c r="BP22">
        <v>875.42</v>
      </c>
      <c r="BQ22">
        <v>235</v>
      </c>
      <c r="BR22">
        <v>10182.4</v>
      </c>
      <c r="BS22">
        <v>874.03</v>
      </c>
      <c r="BT22">
        <v>1.39</v>
      </c>
      <c r="BU22">
        <v>300.00000000000011</v>
      </c>
      <c r="BV22">
        <v>24.2</v>
      </c>
      <c r="BW22">
        <v>897.54762081115484</v>
      </c>
      <c r="BX22">
        <v>2.0603624431690211</v>
      </c>
      <c r="BY22">
        <v>-23.95157831722906</v>
      </c>
      <c r="BZ22">
        <v>1.86760275566871</v>
      </c>
      <c r="CA22">
        <v>0.85452638067467057</v>
      </c>
      <c r="CB22">
        <v>-6.9342220244716368E-3</v>
      </c>
      <c r="CC22">
        <v>289.99999999999989</v>
      </c>
      <c r="CD22">
        <v>872.1</v>
      </c>
      <c r="CE22">
        <v>715</v>
      </c>
      <c r="CF22">
        <v>10151.6</v>
      </c>
      <c r="CG22">
        <v>873.95</v>
      </c>
      <c r="CH22">
        <v>-1.85</v>
      </c>
      <c r="CV22">
        <f t="shared" si="42"/>
        <v>1799.99</v>
      </c>
      <c r="CW22">
        <f t="shared" si="43"/>
        <v>1513.1759993025164</v>
      </c>
      <c r="CX22">
        <f t="shared" si="44"/>
        <v>0.84065800326808282</v>
      </c>
      <c r="CY22">
        <f t="shared" si="45"/>
        <v>0.19131600653616579</v>
      </c>
      <c r="CZ22">
        <v>6</v>
      </c>
      <c r="DA22">
        <v>0.5</v>
      </c>
      <c r="DB22" t="s">
        <v>418</v>
      </c>
      <c r="DC22">
        <v>2</v>
      </c>
      <c r="DD22">
        <v>1674574738.0999999</v>
      </c>
      <c r="DE22">
        <v>22.485199999999999</v>
      </c>
      <c r="DF22">
        <v>29.987200000000001</v>
      </c>
      <c r="DG22">
        <v>24.348800000000001</v>
      </c>
      <c r="DH22">
        <v>15.848000000000001</v>
      </c>
      <c r="DI22">
        <v>25.030200000000001</v>
      </c>
      <c r="DJ22">
        <v>24.393799999999999</v>
      </c>
      <c r="DK22">
        <v>499.97899999999998</v>
      </c>
      <c r="DL22">
        <v>99.725999999999999</v>
      </c>
      <c r="DM22">
        <v>9.9946900000000005E-2</v>
      </c>
      <c r="DN22">
        <v>28.0001</v>
      </c>
      <c r="DO22">
        <v>27.7879</v>
      </c>
      <c r="DP22">
        <v>999.9</v>
      </c>
      <c r="DQ22">
        <v>0</v>
      </c>
      <c r="DR22">
        <v>0</v>
      </c>
      <c r="DS22">
        <v>9986.8799999999992</v>
      </c>
      <c r="DT22">
        <v>0</v>
      </c>
      <c r="DU22">
        <v>398.79199999999997</v>
      </c>
      <c r="DV22">
        <v>-7.3161800000000001</v>
      </c>
      <c r="DW22">
        <v>23.2456</v>
      </c>
      <c r="DX22">
        <v>30.470099999999999</v>
      </c>
      <c r="DY22">
        <v>8.8670899999999993</v>
      </c>
      <c r="DZ22">
        <v>29.987200000000001</v>
      </c>
      <c r="EA22">
        <v>15.848000000000001</v>
      </c>
      <c r="EB22">
        <v>2.4647399999999999</v>
      </c>
      <c r="EC22">
        <v>1.58046</v>
      </c>
      <c r="ED22">
        <v>20.795500000000001</v>
      </c>
      <c r="EE22">
        <v>13.769600000000001</v>
      </c>
      <c r="EF22">
        <v>1799.99</v>
      </c>
      <c r="EG22">
        <v>0.97800399999999998</v>
      </c>
      <c r="EH22">
        <v>2.1996499999999999E-2</v>
      </c>
      <c r="EI22">
        <v>0</v>
      </c>
      <c r="EJ22">
        <v>815.07299999999998</v>
      </c>
      <c r="EK22">
        <v>5.0010599999999998</v>
      </c>
      <c r="EL22">
        <v>15131.1</v>
      </c>
      <c r="EM22">
        <v>16710.900000000001</v>
      </c>
      <c r="EN22">
        <v>47.936999999999998</v>
      </c>
      <c r="EO22">
        <v>48.625</v>
      </c>
      <c r="EP22">
        <v>48.875</v>
      </c>
      <c r="EQ22">
        <v>47.436999999999998</v>
      </c>
      <c r="ER22">
        <v>48.875</v>
      </c>
      <c r="ES22">
        <v>1755.51</v>
      </c>
      <c r="ET22">
        <v>39.479999999999997</v>
      </c>
      <c r="EU22">
        <v>0</v>
      </c>
      <c r="EV22">
        <v>120</v>
      </c>
      <c r="EW22">
        <v>0</v>
      </c>
      <c r="EX22">
        <v>815.07424000000015</v>
      </c>
      <c r="EY22">
        <v>-1.7636153949158391</v>
      </c>
      <c r="EZ22">
        <v>-24.20769233829574</v>
      </c>
      <c r="FA22">
        <v>15139.396000000001</v>
      </c>
      <c r="FB22">
        <v>15</v>
      </c>
      <c r="FC22">
        <v>1674574768.5999999</v>
      </c>
      <c r="FD22" t="s">
        <v>449</v>
      </c>
      <c r="FE22">
        <v>1674574765.0999999</v>
      </c>
      <c r="FF22">
        <v>1674574768.5999999</v>
      </c>
      <c r="FG22">
        <v>7</v>
      </c>
      <c r="FH22">
        <v>-0.16800000000000001</v>
      </c>
      <c r="FI22">
        <v>4.0000000000000001E-3</v>
      </c>
      <c r="FJ22">
        <v>-2.5449999999999999</v>
      </c>
      <c r="FK22">
        <v>-4.4999999999999998E-2</v>
      </c>
      <c r="FL22">
        <v>30</v>
      </c>
      <c r="FM22">
        <v>16</v>
      </c>
      <c r="FN22">
        <v>0.25</v>
      </c>
      <c r="FO22">
        <v>0.01</v>
      </c>
      <c r="FP22">
        <v>5.9046105780837861</v>
      </c>
      <c r="FQ22">
        <v>0.1210180468335631</v>
      </c>
      <c r="FR22">
        <v>1.9527629330006908E-2</v>
      </c>
      <c r="FS22">
        <v>1</v>
      </c>
      <c r="FT22">
        <v>0.64303357528787086</v>
      </c>
      <c r="FU22">
        <v>5.091824156565769E-3</v>
      </c>
      <c r="FV22">
        <v>8.1873343856916317E-4</v>
      </c>
      <c r="FW22">
        <v>1</v>
      </c>
      <c r="FX22">
        <v>2</v>
      </c>
      <c r="FY22">
        <v>2</v>
      </c>
      <c r="FZ22" t="s">
        <v>420</v>
      </c>
      <c r="GA22">
        <v>2.9775399999999999</v>
      </c>
      <c r="GB22">
        <v>2.8061600000000002</v>
      </c>
      <c r="GC22">
        <v>7.2586899999999999E-3</v>
      </c>
      <c r="GD22">
        <v>8.5797100000000008E-3</v>
      </c>
      <c r="GE22">
        <v>0.121517</v>
      </c>
      <c r="GF22">
        <v>8.8819800000000004E-2</v>
      </c>
      <c r="GG22">
        <v>29371.9</v>
      </c>
      <c r="GH22">
        <v>27201.200000000001</v>
      </c>
      <c r="GI22">
        <v>26597.8</v>
      </c>
      <c r="GJ22">
        <v>25912.6</v>
      </c>
      <c r="GK22">
        <v>31807.9</v>
      </c>
      <c r="GL22">
        <v>33322.199999999997</v>
      </c>
      <c r="GM22">
        <v>37701.199999999997</v>
      </c>
      <c r="GN22">
        <v>38442.300000000003</v>
      </c>
      <c r="GO22">
        <v>1.94197</v>
      </c>
      <c r="GP22">
        <v>1.94075</v>
      </c>
      <c r="GQ22">
        <v>4.8793900000000001E-2</v>
      </c>
      <c r="GR22">
        <v>0</v>
      </c>
      <c r="GS22">
        <v>26.990500000000001</v>
      </c>
      <c r="GT22">
        <v>999.9</v>
      </c>
      <c r="GU22">
        <v>52.7</v>
      </c>
      <c r="GV22">
        <v>30.7</v>
      </c>
      <c r="GW22">
        <v>23.435600000000001</v>
      </c>
      <c r="GX22">
        <v>62.147500000000001</v>
      </c>
      <c r="GY22">
        <v>12.0032</v>
      </c>
      <c r="GZ22">
        <v>1</v>
      </c>
      <c r="HA22">
        <v>0.40948200000000001</v>
      </c>
      <c r="HB22">
        <v>2.3669099999999998</v>
      </c>
      <c r="HC22">
        <v>20.29</v>
      </c>
      <c r="HD22">
        <v>5.2036600000000002</v>
      </c>
      <c r="HE22">
        <v>11.9376</v>
      </c>
      <c r="HF22">
        <v>4.9863</v>
      </c>
      <c r="HG22">
        <v>3.2899699999999998</v>
      </c>
      <c r="HH22">
        <v>9999</v>
      </c>
      <c r="HI22">
        <v>9999</v>
      </c>
      <c r="HJ22">
        <v>9999</v>
      </c>
      <c r="HK22">
        <v>999.9</v>
      </c>
      <c r="HL22">
        <v>1.86981</v>
      </c>
      <c r="HM22">
        <v>1.8761699999999999</v>
      </c>
      <c r="HN22">
        <v>1.87384</v>
      </c>
      <c r="HO22">
        <v>1.8721099999999999</v>
      </c>
      <c r="HP22">
        <v>1.8725700000000001</v>
      </c>
      <c r="HQ22">
        <v>1.8699600000000001</v>
      </c>
      <c r="HR22">
        <v>1.87592</v>
      </c>
      <c r="HS22">
        <v>1.875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424</v>
      </c>
      <c r="IB22" t="s">
        <v>424</v>
      </c>
      <c r="IC22" t="s">
        <v>423</v>
      </c>
      <c r="ID22">
        <v>0</v>
      </c>
      <c r="IE22">
        <v>100</v>
      </c>
      <c r="IF22">
        <v>100</v>
      </c>
      <c r="IG22">
        <v>-2.5449999999999999</v>
      </c>
      <c r="IH22">
        <v>-4.4999999999999998E-2</v>
      </c>
      <c r="II22">
        <v>-2.296617066709024</v>
      </c>
      <c r="IJ22">
        <v>-2.536945948238235E-3</v>
      </c>
      <c r="IK22">
        <v>1.581473279927893E-6</v>
      </c>
      <c r="IL22">
        <v>-4.6698293441882044E-10</v>
      </c>
      <c r="IM22">
        <v>-0.1834096372047507</v>
      </c>
      <c r="IN22">
        <v>-1.5895243091576399E-2</v>
      </c>
      <c r="IO22">
        <v>1.559614309849521E-3</v>
      </c>
      <c r="IP22">
        <v>-2.4566050869858518E-6</v>
      </c>
      <c r="IQ22">
        <v>2</v>
      </c>
      <c r="IR22">
        <v>2224</v>
      </c>
      <c r="IS22">
        <v>2</v>
      </c>
      <c r="IT22">
        <v>25</v>
      </c>
      <c r="IU22">
        <v>1.7</v>
      </c>
      <c r="IV22">
        <v>1.5</v>
      </c>
      <c r="IW22">
        <v>0.21362300000000001</v>
      </c>
      <c r="IX22">
        <v>2.51709</v>
      </c>
      <c r="IY22">
        <v>1.65039</v>
      </c>
      <c r="IZ22">
        <v>2.2973599999999998</v>
      </c>
      <c r="JA22">
        <v>1.50024</v>
      </c>
      <c r="JB22">
        <v>2.3718300000000001</v>
      </c>
      <c r="JC22">
        <v>35.174700000000001</v>
      </c>
      <c r="JD22">
        <v>15.375400000000001</v>
      </c>
      <c r="JE22">
        <v>18</v>
      </c>
      <c r="JF22">
        <v>485.80599999999998</v>
      </c>
      <c r="JG22">
        <v>478.39600000000002</v>
      </c>
      <c r="JH22">
        <v>24.9162</v>
      </c>
      <c r="JI22">
        <v>32.422499999999999</v>
      </c>
      <c r="JJ22">
        <v>30.0002</v>
      </c>
      <c r="JK22">
        <v>32.389899999999997</v>
      </c>
      <c r="JL22">
        <v>32.358400000000003</v>
      </c>
      <c r="JM22">
        <v>4.3294899999999998</v>
      </c>
      <c r="JN22">
        <v>44.410200000000003</v>
      </c>
      <c r="JO22">
        <v>52.546199999999999</v>
      </c>
      <c r="JP22">
        <v>24.9086</v>
      </c>
      <c r="JQ22">
        <v>30</v>
      </c>
      <c r="JR22">
        <v>15.924099999999999</v>
      </c>
      <c r="JS22">
        <v>100.035</v>
      </c>
      <c r="JT22">
        <v>99.183400000000006</v>
      </c>
    </row>
    <row r="23" spans="1:280" x14ac:dyDescent="0.25">
      <c r="A23">
        <v>7</v>
      </c>
      <c r="B23">
        <v>1674574859.5999999</v>
      </c>
      <c r="C23">
        <v>725</v>
      </c>
      <c r="D23" t="s">
        <v>450</v>
      </c>
      <c r="E23" t="s">
        <v>451</v>
      </c>
      <c r="F23" t="s">
        <v>412</v>
      </c>
      <c r="G23" t="s">
        <v>413</v>
      </c>
      <c r="H23" t="s">
        <v>414</v>
      </c>
      <c r="I23">
        <v>1674574859.5999999</v>
      </c>
      <c r="J23">
        <f t="shared" si="0"/>
        <v>7.4101860249057927E-3</v>
      </c>
      <c r="K23">
        <f t="shared" si="1"/>
        <v>7.4101860249057925</v>
      </c>
      <c r="L23">
        <f t="shared" si="2"/>
        <v>2.2766342141765961</v>
      </c>
      <c r="M23">
        <f t="shared" si="3"/>
        <v>7.2083899999999996</v>
      </c>
      <c r="N23">
        <f t="shared" si="4"/>
        <v>0.54775350632224129</v>
      </c>
      <c r="O23">
        <f t="shared" si="5"/>
        <v>5.4681464804834885E-2</v>
      </c>
      <c r="P23">
        <f t="shared" si="6"/>
        <v>0.71960347042057593</v>
      </c>
      <c r="Q23">
        <f t="shared" si="7"/>
        <v>0.60813448841290563</v>
      </c>
      <c r="R23">
        <f t="shared" si="8"/>
        <v>2.9263297679494471</v>
      </c>
      <c r="S23">
        <f t="shared" si="9"/>
        <v>0.54566831366056279</v>
      </c>
      <c r="T23">
        <f t="shared" si="10"/>
        <v>0.34611879052005007</v>
      </c>
      <c r="U23">
        <f t="shared" si="11"/>
        <v>344.37829860507952</v>
      </c>
      <c r="V23">
        <f t="shared" si="12"/>
        <v>28.106760543171642</v>
      </c>
      <c r="W23">
        <f t="shared" si="13"/>
        <v>27.769100000000002</v>
      </c>
      <c r="X23">
        <f t="shared" si="14"/>
        <v>3.7440575222997796</v>
      </c>
      <c r="Y23">
        <f t="shared" si="15"/>
        <v>64.031223285605364</v>
      </c>
      <c r="Z23">
        <f t="shared" si="16"/>
        <v>2.43030726232832</v>
      </c>
      <c r="AA23">
        <f t="shared" si="17"/>
        <v>3.795503408529552</v>
      </c>
      <c r="AB23">
        <f t="shared" si="18"/>
        <v>1.3137502599714597</v>
      </c>
      <c r="AC23">
        <f t="shared" si="19"/>
        <v>-326.78920369834543</v>
      </c>
      <c r="AD23">
        <f t="shared" si="20"/>
        <v>36.901067536182389</v>
      </c>
      <c r="AE23">
        <f t="shared" si="21"/>
        <v>2.7455736461677653</v>
      </c>
      <c r="AF23">
        <f t="shared" si="22"/>
        <v>57.235736089084249</v>
      </c>
      <c r="AG23">
        <v>12</v>
      </c>
      <c r="AH23">
        <v>2</v>
      </c>
      <c r="AI23">
        <f t="shared" si="23"/>
        <v>1</v>
      </c>
      <c r="AJ23">
        <f t="shared" si="24"/>
        <v>0</v>
      </c>
      <c r="AK23">
        <f t="shared" si="25"/>
        <v>52602.404418102764</v>
      </c>
      <c r="AL23" t="s">
        <v>415</v>
      </c>
      <c r="AM23">
        <v>10424.1</v>
      </c>
      <c r="AN23">
        <v>628.54280000000006</v>
      </c>
      <c r="AO23">
        <v>2663.98</v>
      </c>
      <c r="AP23">
        <f t="shared" si="26"/>
        <v>0.76405873917972356</v>
      </c>
      <c r="AQ23">
        <v>-3.1675626227050531</v>
      </c>
      <c r="AR23" t="s">
        <v>452</v>
      </c>
      <c r="AS23">
        <v>10197.4</v>
      </c>
      <c r="AT23">
        <v>821.90372000000002</v>
      </c>
      <c r="AU23">
        <v>892.06239474609265</v>
      </c>
      <c r="AV23">
        <f t="shared" si="27"/>
        <v>7.8647721459059849E-2</v>
      </c>
      <c r="AW23">
        <v>0.5</v>
      </c>
      <c r="AX23">
        <f t="shared" si="28"/>
        <v>1513.2263993025397</v>
      </c>
      <c r="AY23">
        <f t="shared" si="29"/>
        <v>2.2766342141765961</v>
      </c>
      <c r="AZ23">
        <f t="shared" si="30"/>
        <v>59.505904178421112</v>
      </c>
      <c r="BA23">
        <f t="shared" si="31"/>
        <v>3.5977411175161437E-3</v>
      </c>
      <c r="BB23">
        <f t="shared" si="32"/>
        <v>1.9863157730780117</v>
      </c>
      <c r="BC23">
        <f t="shared" si="33"/>
        <v>427.97205134770684</v>
      </c>
      <c r="BD23" t="s">
        <v>453</v>
      </c>
      <c r="BE23">
        <v>588.64</v>
      </c>
      <c r="BF23">
        <f t="shared" si="34"/>
        <v>588.64</v>
      </c>
      <c r="BG23">
        <f t="shared" si="35"/>
        <v>0.34013584311269573</v>
      </c>
      <c r="BH23">
        <f t="shared" si="36"/>
        <v>0.23122444473751588</v>
      </c>
      <c r="BI23">
        <f t="shared" si="37"/>
        <v>0.85379629615094743</v>
      </c>
      <c r="BJ23">
        <f t="shared" si="38"/>
        <v>0.26623703187496239</v>
      </c>
      <c r="BK23">
        <f t="shared" si="39"/>
        <v>0.87053415612818097</v>
      </c>
      <c r="BL23">
        <f t="shared" si="40"/>
        <v>0.16560085304187619</v>
      </c>
      <c r="BM23">
        <f t="shared" si="41"/>
        <v>0.83439914695812378</v>
      </c>
      <c r="BN23">
        <v>20177</v>
      </c>
      <c r="BO23">
        <v>290.00000000000011</v>
      </c>
      <c r="BP23">
        <v>867.09</v>
      </c>
      <c r="BQ23">
        <v>155</v>
      </c>
      <c r="BR23">
        <v>10197.4</v>
      </c>
      <c r="BS23">
        <v>866.1</v>
      </c>
      <c r="BT23">
        <v>0.99</v>
      </c>
      <c r="BU23">
        <v>300.00000000000011</v>
      </c>
      <c r="BV23">
        <v>24.2</v>
      </c>
      <c r="BW23">
        <v>892.06239474609265</v>
      </c>
      <c r="BX23">
        <v>1.390575285985308</v>
      </c>
      <c r="BY23">
        <v>-26.476247021515789</v>
      </c>
      <c r="BZ23">
        <v>1.260490792216201</v>
      </c>
      <c r="CA23">
        <v>0.94032369594354814</v>
      </c>
      <c r="CB23">
        <v>-6.9343626251390442E-3</v>
      </c>
      <c r="CC23">
        <v>289.99999999999989</v>
      </c>
      <c r="CD23">
        <v>863.14</v>
      </c>
      <c r="CE23">
        <v>655</v>
      </c>
      <c r="CF23">
        <v>10156.200000000001</v>
      </c>
      <c r="CG23">
        <v>865.99</v>
      </c>
      <c r="CH23">
        <v>-2.85</v>
      </c>
      <c r="CV23">
        <f t="shared" si="42"/>
        <v>1800.05</v>
      </c>
      <c r="CW23">
        <f t="shared" si="43"/>
        <v>1513.2263993025397</v>
      </c>
      <c r="CX23">
        <f t="shared" si="44"/>
        <v>0.84065798133526271</v>
      </c>
      <c r="CY23">
        <f t="shared" si="45"/>
        <v>0.19131596267052556</v>
      </c>
      <c r="CZ23">
        <v>6</v>
      </c>
      <c r="DA23">
        <v>0.5</v>
      </c>
      <c r="DB23" t="s">
        <v>418</v>
      </c>
      <c r="DC23">
        <v>2</v>
      </c>
      <c r="DD23">
        <v>1674574859.5999999</v>
      </c>
      <c r="DE23">
        <v>7.2083899999999996</v>
      </c>
      <c r="DF23">
        <v>10.0045</v>
      </c>
      <c r="DG23">
        <v>24.344799999999999</v>
      </c>
      <c r="DH23">
        <v>15.668900000000001</v>
      </c>
      <c r="DI23">
        <v>9.7953899999999994</v>
      </c>
      <c r="DJ23">
        <v>24.389800000000001</v>
      </c>
      <c r="DK23">
        <v>499.99099999999999</v>
      </c>
      <c r="DL23">
        <v>99.728800000000007</v>
      </c>
      <c r="DM23">
        <v>9.9798399999999995E-2</v>
      </c>
      <c r="DN23">
        <v>28.003</v>
      </c>
      <c r="DO23">
        <v>27.769100000000002</v>
      </c>
      <c r="DP23">
        <v>999.9</v>
      </c>
      <c r="DQ23">
        <v>0</v>
      </c>
      <c r="DR23">
        <v>0</v>
      </c>
      <c r="DS23">
        <v>10008.799999999999</v>
      </c>
      <c r="DT23">
        <v>0</v>
      </c>
      <c r="DU23">
        <v>403.41</v>
      </c>
      <c r="DV23">
        <v>-2.6981199999999999</v>
      </c>
      <c r="DW23">
        <v>7.4915700000000003</v>
      </c>
      <c r="DX23">
        <v>10.1638</v>
      </c>
      <c r="DY23">
        <v>9.0463400000000007</v>
      </c>
      <c r="DZ23">
        <v>10.0045</v>
      </c>
      <c r="EA23">
        <v>15.668900000000001</v>
      </c>
      <c r="EB23">
        <v>2.46482</v>
      </c>
      <c r="EC23">
        <v>1.56264</v>
      </c>
      <c r="ED23">
        <v>20.795999999999999</v>
      </c>
      <c r="EE23">
        <v>13.5952</v>
      </c>
      <c r="EF23">
        <v>1800.05</v>
      </c>
      <c r="EG23">
        <v>0.97800399999999998</v>
      </c>
      <c r="EH23">
        <v>2.1996499999999999E-2</v>
      </c>
      <c r="EI23">
        <v>0</v>
      </c>
      <c r="EJ23">
        <v>821.89200000000005</v>
      </c>
      <c r="EK23">
        <v>5.0010599999999998</v>
      </c>
      <c r="EL23">
        <v>15264</v>
      </c>
      <c r="EM23">
        <v>16711.5</v>
      </c>
      <c r="EN23">
        <v>48</v>
      </c>
      <c r="EO23">
        <v>48.686999999999998</v>
      </c>
      <c r="EP23">
        <v>48.936999999999998</v>
      </c>
      <c r="EQ23">
        <v>47.436999999999998</v>
      </c>
      <c r="ER23">
        <v>48.875</v>
      </c>
      <c r="ES23">
        <v>1755.57</v>
      </c>
      <c r="ET23">
        <v>39.479999999999997</v>
      </c>
      <c r="EU23">
        <v>0</v>
      </c>
      <c r="EV23">
        <v>119.6000001430511</v>
      </c>
      <c r="EW23">
        <v>0</v>
      </c>
      <c r="EX23">
        <v>821.90372000000002</v>
      </c>
      <c r="EY23">
        <v>-1.0789999861413231</v>
      </c>
      <c r="EZ23">
        <v>-20.684615293816051</v>
      </c>
      <c r="FA23">
        <v>15265.688</v>
      </c>
      <c r="FB23">
        <v>15</v>
      </c>
      <c r="FC23">
        <v>1674574900.0999999</v>
      </c>
      <c r="FD23" t="s">
        <v>454</v>
      </c>
      <c r="FE23">
        <v>1674574878.5999999</v>
      </c>
      <c r="FF23">
        <v>1674574768.5999999</v>
      </c>
      <c r="FG23">
        <v>8</v>
      </c>
      <c r="FH23">
        <v>-9.0999999999999998E-2</v>
      </c>
      <c r="FI23">
        <v>4.0000000000000001E-3</v>
      </c>
      <c r="FJ23">
        <v>-2.5870000000000002</v>
      </c>
      <c r="FK23">
        <v>-4.4999999999999998E-2</v>
      </c>
      <c r="FL23">
        <v>10</v>
      </c>
      <c r="FM23">
        <v>16</v>
      </c>
      <c r="FN23">
        <v>0.44</v>
      </c>
      <c r="FO23">
        <v>0.01</v>
      </c>
      <c r="FP23">
        <v>2.2044459685517421</v>
      </c>
      <c r="FQ23">
        <v>-4.4176587604386038E-2</v>
      </c>
      <c r="FR23">
        <v>2.9809332164242471E-2</v>
      </c>
      <c r="FS23">
        <v>1</v>
      </c>
      <c r="FT23">
        <v>0.65678108714096073</v>
      </c>
      <c r="FU23">
        <v>6.4247033867665827E-3</v>
      </c>
      <c r="FV23">
        <v>1.067695457307118E-3</v>
      </c>
      <c r="FW23">
        <v>1</v>
      </c>
      <c r="FX23">
        <v>2</v>
      </c>
      <c r="FY23">
        <v>2</v>
      </c>
      <c r="FZ23" t="s">
        <v>420</v>
      </c>
      <c r="GA23">
        <v>2.9775900000000002</v>
      </c>
      <c r="GB23">
        <v>2.8062</v>
      </c>
      <c r="GC23">
        <v>2.8383700000000002E-3</v>
      </c>
      <c r="GD23">
        <v>2.8591300000000001E-3</v>
      </c>
      <c r="GE23">
        <v>0.121506</v>
      </c>
      <c r="GF23">
        <v>8.8101899999999997E-2</v>
      </c>
      <c r="GG23">
        <v>29502.6</v>
      </c>
      <c r="GH23">
        <v>27360.9</v>
      </c>
      <c r="GI23">
        <v>26597.8</v>
      </c>
      <c r="GJ23">
        <v>25915.200000000001</v>
      </c>
      <c r="GK23">
        <v>31808</v>
      </c>
      <c r="GL23">
        <v>33351.9</v>
      </c>
      <c r="GM23">
        <v>37700.9</v>
      </c>
      <c r="GN23">
        <v>38446.400000000001</v>
      </c>
      <c r="GO23">
        <v>1.94258</v>
      </c>
      <c r="GP23">
        <v>1.93913</v>
      </c>
      <c r="GQ23">
        <v>4.9043400000000001E-2</v>
      </c>
      <c r="GR23">
        <v>0</v>
      </c>
      <c r="GS23">
        <v>26.967600000000001</v>
      </c>
      <c r="GT23">
        <v>999.9</v>
      </c>
      <c r="GU23">
        <v>51.6</v>
      </c>
      <c r="GV23">
        <v>30.8</v>
      </c>
      <c r="GW23">
        <v>23.075700000000001</v>
      </c>
      <c r="GX23">
        <v>61.897500000000001</v>
      </c>
      <c r="GY23">
        <v>11.9231</v>
      </c>
      <c r="GZ23">
        <v>1</v>
      </c>
      <c r="HA23">
        <v>0.40914899999999998</v>
      </c>
      <c r="HB23">
        <v>2.4058899999999999</v>
      </c>
      <c r="HC23">
        <v>20.241399999999999</v>
      </c>
      <c r="HD23">
        <v>5.2100999999999997</v>
      </c>
      <c r="HE23">
        <v>11.936999999999999</v>
      </c>
      <c r="HF23">
        <v>4.9875499999999997</v>
      </c>
      <c r="HG23">
        <v>3.29095</v>
      </c>
      <c r="HH23">
        <v>9999</v>
      </c>
      <c r="HI23">
        <v>9999</v>
      </c>
      <c r="HJ23">
        <v>9999</v>
      </c>
      <c r="HK23">
        <v>999.9</v>
      </c>
      <c r="HL23">
        <v>1.8702700000000001</v>
      </c>
      <c r="HM23">
        <v>1.8766400000000001</v>
      </c>
      <c r="HN23">
        <v>1.87432</v>
      </c>
      <c r="HO23">
        <v>1.8725700000000001</v>
      </c>
      <c r="HP23">
        <v>1.8730500000000001</v>
      </c>
      <c r="HQ23">
        <v>1.8704400000000001</v>
      </c>
      <c r="HR23">
        <v>1.8763700000000001</v>
      </c>
      <c r="HS23">
        <v>1.8754599999999999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424</v>
      </c>
      <c r="IB23" t="s">
        <v>424</v>
      </c>
      <c r="IC23" t="s">
        <v>423</v>
      </c>
      <c r="ID23">
        <v>0</v>
      </c>
      <c r="IE23">
        <v>100</v>
      </c>
      <c r="IF23">
        <v>100</v>
      </c>
      <c r="IG23">
        <v>-2.5870000000000002</v>
      </c>
      <c r="IH23">
        <v>-4.4999999999999998E-2</v>
      </c>
      <c r="II23">
        <v>-2.464280053851609</v>
      </c>
      <c r="IJ23">
        <v>-2.536945948238235E-3</v>
      </c>
      <c r="IK23">
        <v>1.581473279927893E-6</v>
      </c>
      <c r="IL23">
        <v>-4.6698293441882044E-10</v>
      </c>
      <c r="IM23">
        <v>-0.17903776582899469</v>
      </c>
      <c r="IN23">
        <v>-1.5895243091576399E-2</v>
      </c>
      <c r="IO23">
        <v>1.559614309849521E-3</v>
      </c>
      <c r="IP23">
        <v>-2.4566050869858518E-6</v>
      </c>
      <c r="IQ23">
        <v>2</v>
      </c>
      <c r="IR23">
        <v>2224</v>
      </c>
      <c r="IS23">
        <v>2</v>
      </c>
      <c r="IT23">
        <v>25</v>
      </c>
      <c r="IU23">
        <v>1.6</v>
      </c>
      <c r="IV23">
        <v>1.5</v>
      </c>
      <c r="IW23">
        <v>0.17578099999999999</v>
      </c>
      <c r="IX23">
        <v>2.5378400000000001</v>
      </c>
      <c r="IY23">
        <v>1.65039</v>
      </c>
      <c r="IZ23">
        <v>2.2973599999999998</v>
      </c>
      <c r="JA23">
        <v>1.50024</v>
      </c>
      <c r="JB23">
        <v>2.33643</v>
      </c>
      <c r="JC23">
        <v>35.521799999999999</v>
      </c>
      <c r="JD23">
        <v>23.605899999999998</v>
      </c>
      <c r="JE23">
        <v>18</v>
      </c>
      <c r="JF23">
        <v>486.21600000000001</v>
      </c>
      <c r="JG23">
        <v>477.37099999999998</v>
      </c>
      <c r="JH23">
        <v>24.8813</v>
      </c>
      <c r="JI23">
        <v>32.405299999999997</v>
      </c>
      <c r="JJ23">
        <v>30.0001</v>
      </c>
      <c r="JK23">
        <v>32.393500000000003</v>
      </c>
      <c r="JL23">
        <v>32.366999999999997</v>
      </c>
      <c r="JM23">
        <v>3.5748500000000001</v>
      </c>
      <c r="JN23">
        <v>44.859699999999997</v>
      </c>
      <c r="JO23">
        <v>49.838700000000003</v>
      </c>
      <c r="JP23">
        <v>24.8796</v>
      </c>
      <c r="JQ23">
        <v>10</v>
      </c>
      <c r="JR23">
        <v>15.7799</v>
      </c>
      <c r="JS23">
        <v>100.03400000000001</v>
      </c>
      <c r="JT23">
        <v>99.193600000000004</v>
      </c>
    </row>
    <row r="24" spans="1:280" x14ac:dyDescent="0.25">
      <c r="A24">
        <v>8</v>
      </c>
      <c r="B24">
        <v>1674575081.0999999</v>
      </c>
      <c r="C24">
        <v>946.5</v>
      </c>
      <c r="D24" t="s">
        <v>455</v>
      </c>
      <c r="E24" t="s">
        <v>456</v>
      </c>
      <c r="F24" t="s">
        <v>412</v>
      </c>
      <c r="G24" t="s">
        <v>413</v>
      </c>
      <c r="H24" t="s">
        <v>414</v>
      </c>
      <c r="I24">
        <v>1674575081.0999999</v>
      </c>
      <c r="J24">
        <f t="shared" si="0"/>
        <v>6.924238916045552E-3</v>
      </c>
      <c r="K24">
        <f t="shared" si="1"/>
        <v>6.9242389160455522</v>
      </c>
      <c r="L24">
        <f t="shared" si="2"/>
        <v>44.44147780511426</v>
      </c>
      <c r="M24">
        <f t="shared" si="3"/>
        <v>343.77300000000002</v>
      </c>
      <c r="N24">
        <f t="shared" si="4"/>
        <v>204.44578912886092</v>
      </c>
      <c r="O24">
        <f t="shared" si="5"/>
        <v>20.406410396954573</v>
      </c>
      <c r="P24">
        <f t="shared" si="6"/>
        <v>34.313120124820202</v>
      </c>
      <c r="Q24">
        <f t="shared" si="7"/>
        <v>0.58209241159383351</v>
      </c>
      <c r="R24">
        <f t="shared" si="8"/>
        <v>2.9297714504971264</v>
      </c>
      <c r="S24">
        <f t="shared" si="9"/>
        <v>0.52465184324891667</v>
      </c>
      <c r="T24">
        <f t="shared" si="10"/>
        <v>0.33259459119632706</v>
      </c>
      <c r="U24">
        <f t="shared" si="11"/>
        <v>344.34659860459448</v>
      </c>
      <c r="V24">
        <f t="shared" si="12"/>
        <v>28.226343245648163</v>
      </c>
      <c r="W24">
        <f t="shared" si="13"/>
        <v>27.7272</v>
      </c>
      <c r="X24">
        <f t="shared" si="14"/>
        <v>3.7349062411631579</v>
      </c>
      <c r="Y24">
        <f t="shared" si="15"/>
        <v>64.797177191110222</v>
      </c>
      <c r="Z24">
        <f t="shared" si="16"/>
        <v>2.4584616492464404</v>
      </c>
      <c r="AA24">
        <f t="shared" si="17"/>
        <v>3.7940875757528003</v>
      </c>
      <c r="AB24">
        <f t="shared" si="18"/>
        <v>1.2764445919167176</v>
      </c>
      <c r="AC24">
        <f t="shared" si="19"/>
        <v>-305.35893619760884</v>
      </c>
      <c r="AD24">
        <f t="shared" si="20"/>
        <v>42.551686475520924</v>
      </c>
      <c r="AE24">
        <f t="shared" si="21"/>
        <v>3.1615198367139787</v>
      </c>
      <c r="AF24">
        <f t="shared" si="22"/>
        <v>84.700868719220537</v>
      </c>
      <c r="AG24">
        <v>12</v>
      </c>
      <c r="AH24">
        <v>2</v>
      </c>
      <c r="AI24">
        <f t="shared" si="23"/>
        <v>1</v>
      </c>
      <c r="AJ24">
        <f t="shared" si="24"/>
        <v>0</v>
      </c>
      <c r="AK24">
        <f t="shared" si="25"/>
        <v>52702.246954881288</v>
      </c>
      <c r="AL24" t="s">
        <v>415</v>
      </c>
      <c r="AM24">
        <v>10424.1</v>
      </c>
      <c r="AN24">
        <v>628.54280000000006</v>
      </c>
      <c r="AO24">
        <v>2663.98</v>
      </c>
      <c r="AP24">
        <f t="shared" si="26"/>
        <v>0.76405873917972356</v>
      </c>
      <c r="AQ24">
        <v>-3.1675626227050531</v>
      </c>
      <c r="AR24" t="s">
        <v>457</v>
      </c>
      <c r="AS24">
        <v>10177.1</v>
      </c>
      <c r="AT24">
        <v>747.04620000000011</v>
      </c>
      <c r="AU24">
        <v>1037.7625906595849</v>
      </c>
      <c r="AV24">
        <f t="shared" si="27"/>
        <v>0.28013766662643935</v>
      </c>
      <c r="AW24">
        <v>0.5</v>
      </c>
      <c r="AX24">
        <f t="shared" si="28"/>
        <v>1513.0838993022974</v>
      </c>
      <c r="AY24">
        <f t="shared" si="29"/>
        <v>44.44147780511426</v>
      </c>
      <c r="AZ24">
        <f t="shared" si="30"/>
        <v>211.93589648028995</v>
      </c>
      <c r="BA24">
        <f t="shared" si="31"/>
        <v>3.1464904523650319E-2</v>
      </c>
      <c r="BB24">
        <f t="shared" si="32"/>
        <v>1.5670418494338072</v>
      </c>
      <c r="BC24">
        <f t="shared" si="33"/>
        <v>458.88085837441849</v>
      </c>
      <c r="BD24" t="s">
        <v>458</v>
      </c>
      <c r="BE24">
        <v>575.97</v>
      </c>
      <c r="BF24">
        <f t="shared" si="34"/>
        <v>575.97</v>
      </c>
      <c r="BG24">
        <f t="shared" si="35"/>
        <v>0.44498866582392138</v>
      </c>
      <c r="BH24">
        <f t="shared" si="36"/>
        <v>0.62953888074373487</v>
      </c>
      <c r="BI24">
        <f t="shared" si="37"/>
        <v>0.77883602537364038</v>
      </c>
      <c r="BJ24">
        <f t="shared" si="38"/>
        <v>0.71041625379604689</v>
      </c>
      <c r="BK24">
        <f t="shared" si="39"/>
        <v>0.79895238690754755</v>
      </c>
      <c r="BL24">
        <f t="shared" si="40"/>
        <v>0.48537226900018893</v>
      </c>
      <c r="BM24">
        <f t="shared" si="41"/>
        <v>0.51462773099981107</v>
      </c>
      <c r="BN24">
        <v>20179</v>
      </c>
      <c r="BO24">
        <v>290.00000000000011</v>
      </c>
      <c r="BP24">
        <v>970.88</v>
      </c>
      <c r="BQ24">
        <v>295</v>
      </c>
      <c r="BR24">
        <v>10177.1</v>
      </c>
      <c r="BS24">
        <v>970.95</v>
      </c>
      <c r="BT24">
        <v>-7.0000000000000007E-2</v>
      </c>
      <c r="BU24">
        <v>300.00000000000011</v>
      </c>
      <c r="BV24">
        <v>24.2</v>
      </c>
      <c r="BW24">
        <v>1037.7625906595849</v>
      </c>
      <c r="BX24">
        <v>3.300931284623978</v>
      </c>
      <c r="BY24">
        <v>-67.994400436615635</v>
      </c>
      <c r="BZ24">
        <v>2.9927421967801289</v>
      </c>
      <c r="CA24">
        <v>0.9485471683970268</v>
      </c>
      <c r="CB24">
        <v>-6.9358460511679664E-3</v>
      </c>
      <c r="CC24">
        <v>289.99999999999989</v>
      </c>
      <c r="CD24">
        <v>970.67</v>
      </c>
      <c r="CE24">
        <v>655</v>
      </c>
      <c r="CF24">
        <v>10158.299999999999</v>
      </c>
      <c r="CG24">
        <v>970.83</v>
      </c>
      <c r="CH24">
        <v>-0.16</v>
      </c>
      <c r="CV24">
        <f t="shared" si="42"/>
        <v>1799.88</v>
      </c>
      <c r="CW24">
        <f t="shared" si="43"/>
        <v>1513.0838993022974</v>
      </c>
      <c r="CX24">
        <f t="shared" si="44"/>
        <v>0.8406582101597313</v>
      </c>
      <c r="CY24">
        <f t="shared" si="45"/>
        <v>0.19131642031946267</v>
      </c>
      <c r="CZ24">
        <v>6</v>
      </c>
      <c r="DA24">
        <v>0.5</v>
      </c>
      <c r="DB24" t="s">
        <v>418</v>
      </c>
      <c r="DC24">
        <v>2</v>
      </c>
      <c r="DD24">
        <v>1674575081.0999999</v>
      </c>
      <c r="DE24">
        <v>343.77300000000002</v>
      </c>
      <c r="DF24">
        <v>399.95</v>
      </c>
      <c r="DG24">
        <v>24.630600000000001</v>
      </c>
      <c r="DH24">
        <v>16.5275</v>
      </c>
      <c r="DI24">
        <v>347.392</v>
      </c>
      <c r="DJ24">
        <v>24.3065</v>
      </c>
      <c r="DK24">
        <v>500.08199999999999</v>
      </c>
      <c r="DL24">
        <v>99.713499999999996</v>
      </c>
      <c r="DM24">
        <v>9.9807400000000004E-2</v>
      </c>
      <c r="DN24">
        <v>27.996600000000001</v>
      </c>
      <c r="DO24">
        <v>27.7272</v>
      </c>
      <c r="DP24">
        <v>999.9</v>
      </c>
      <c r="DQ24">
        <v>0</v>
      </c>
      <c r="DR24">
        <v>0</v>
      </c>
      <c r="DS24">
        <v>10030</v>
      </c>
      <c r="DT24">
        <v>0</v>
      </c>
      <c r="DU24">
        <v>414.83800000000002</v>
      </c>
      <c r="DV24">
        <v>-56.177</v>
      </c>
      <c r="DW24">
        <v>352.45499999999998</v>
      </c>
      <c r="DX24">
        <v>406.67200000000003</v>
      </c>
      <c r="DY24">
        <v>8.1031200000000005</v>
      </c>
      <c r="DZ24">
        <v>399.95</v>
      </c>
      <c r="EA24">
        <v>16.5275</v>
      </c>
      <c r="EB24">
        <v>2.45601</v>
      </c>
      <c r="EC24">
        <v>1.64802</v>
      </c>
      <c r="ED24">
        <v>20.7379</v>
      </c>
      <c r="EE24">
        <v>14.4152</v>
      </c>
      <c r="EF24">
        <v>1799.88</v>
      </c>
      <c r="EG24">
        <v>0.97799999999999998</v>
      </c>
      <c r="EH24">
        <v>2.1999899999999999E-2</v>
      </c>
      <c r="EI24">
        <v>0</v>
      </c>
      <c r="EJ24">
        <v>746.91600000000005</v>
      </c>
      <c r="EK24">
        <v>5.0010599999999998</v>
      </c>
      <c r="EL24">
        <v>13939.1</v>
      </c>
      <c r="EM24">
        <v>16709.900000000001</v>
      </c>
      <c r="EN24">
        <v>47.936999999999998</v>
      </c>
      <c r="EO24">
        <v>48.686999999999998</v>
      </c>
      <c r="EP24">
        <v>48.936999999999998</v>
      </c>
      <c r="EQ24">
        <v>47.375</v>
      </c>
      <c r="ER24">
        <v>48.811999999999998</v>
      </c>
      <c r="ES24">
        <v>1755.39</v>
      </c>
      <c r="ET24">
        <v>39.49</v>
      </c>
      <c r="EU24">
        <v>0</v>
      </c>
      <c r="EV24">
        <v>219.79999995231631</v>
      </c>
      <c r="EW24">
        <v>0</v>
      </c>
      <c r="EX24">
        <v>747.04620000000011</v>
      </c>
      <c r="EY24">
        <v>-4.3116154036818726</v>
      </c>
      <c r="EZ24">
        <v>-38.030769092108862</v>
      </c>
      <c r="FA24">
        <v>13950.288</v>
      </c>
      <c r="FB24">
        <v>15</v>
      </c>
      <c r="FC24">
        <v>1674575003.0999999</v>
      </c>
      <c r="FD24" t="s">
        <v>459</v>
      </c>
      <c r="FE24">
        <v>1674574991.0999999</v>
      </c>
      <c r="FF24">
        <v>1674575003.0999999</v>
      </c>
      <c r="FG24">
        <v>9</v>
      </c>
      <c r="FH24">
        <v>-0.35299999999999998</v>
      </c>
      <c r="FI24">
        <v>3.0000000000000001E-3</v>
      </c>
      <c r="FJ24">
        <v>-3.706</v>
      </c>
      <c r="FK24">
        <v>-4.2999999999999997E-2</v>
      </c>
      <c r="FL24">
        <v>400</v>
      </c>
      <c r="FM24">
        <v>16</v>
      </c>
      <c r="FN24">
        <v>0.09</v>
      </c>
      <c r="FO24">
        <v>0.01</v>
      </c>
      <c r="FP24">
        <v>43.264462533441282</v>
      </c>
      <c r="FQ24">
        <v>5.5998465551194867</v>
      </c>
      <c r="FR24">
        <v>0.54116406524734417</v>
      </c>
      <c r="FS24">
        <v>0</v>
      </c>
      <c r="FT24">
        <v>0.59722353747798851</v>
      </c>
      <c r="FU24">
        <v>-5.1110685955414847E-2</v>
      </c>
      <c r="FV24">
        <v>5.0726044318532178E-3</v>
      </c>
      <c r="FW24">
        <v>0</v>
      </c>
      <c r="FX24">
        <v>0</v>
      </c>
      <c r="FY24">
        <v>2</v>
      </c>
      <c r="FZ24" t="s">
        <v>460</v>
      </c>
      <c r="GA24">
        <v>2.9779100000000001</v>
      </c>
      <c r="GB24">
        <v>2.8063899999999999</v>
      </c>
      <c r="GC24">
        <v>8.7253999999999998E-2</v>
      </c>
      <c r="GD24">
        <v>9.6284499999999995E-2</v>
      </c>
      <c r="GE24">
        <v>0.121213</v>
      </c>
      <c r="GF24">
        <v>9.1513800000000006E-2</v>
      </c>
      <c r="GG24">
        <v>27007.599999999999</v>
      </c>
      <c r="GH24">
        <v>24803.8</v>
      </c>
      <c r="GI24">
        <v>26599.3</v>
      </c>
      <c r="GJ24">
        <v>25921.200000000001</v>
      </c>
      <c r="GK24">
        <v>31821</v>
      </c>
      <c r="GL24">
        <v>33236.400000000001</v>
      </c>
      <c r="GM24">
        <v>37703.4</v>
      </c>
      <c r="GN24">
        <v>38456.199999999997</v>
      </c>
      <c r="GO24">
        <v>1.9428000000000001</v>
      </c>
      <c r="GP24">
        <v>1.9401999999999999</v>
      </c>
      <c r="GQ24">
        <v>5.3629299999999998E-2</v>
      </c>
      <c r="GR24">
        <v>0</v>
      </c>
      <c r="GS24">
        <v>26.8506</v>
      </c>
      <c r="GT24">
        <v>999.9</v>
      </c>
      <c r="GU24">
        <v>49.8</v>
      </c>
      <c r="GV24">
        <v>31.1</v>
      </c>
      <c r="GW24">
        <v>22.662400000000002</v>
      </c>
      <c r="GX24">
        <v>61.6875</v>
      </c>
      <c r="GY24">
        <v>11.426299999999999</v>
      </c>
      <c r="GZ24">
        <v>1</v>
      </c>
      <c r="HA24">
        <v>0.40001300000000001</v>
      </c>
      <c r="HB24">
        <v>2.1437400000000002</v>
      </c>
      <c r="HC24">
        <v>20.244499999999999</v>
      </c>
      <c r="HD24">
        <v>5.2078600000000002</v>
      </c>
      <c r="HE24">
        <v>11.9361</v>
      </c>
      <c r="HF24">
        <v>4.9875499999999997</v>
      </c>
      <c r="HG24">
        <v>3.2909799999999998</v>
      </c>
      <c r="HH24">
        <v>9999</v>
      </c>
      <c r="HI24">
        <v>9999</v>
      </c>
      <c r="HJ24">
        <v>9999</v>
      </c>
      <c r="HK24">
        <v>999.9</v>
      </c>
      <c r="HL24">
        <v>1.87052</v>
      </c>
      <c r="HM24">
        <v>1.87679</v>
      </c>
      <c r="HN24">
        <v>1.87453</v>
      </c>
      <c r="HO24">
        <v>1.8727499999999999</v>
      </c>
      <c r="HP24">
        <v>1.87327</v>
      </c>
      <c r="HQ24">
        <v>1.8706</v>
      </c>
      <c r="HR24">
        <v>1.8765499999999999</v>
      </c>
      <c r="HS24">
        <v>1.8756699999999999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424</v>
      </c>
      <c r="IB24" t="s">
        <v>424</v>
      </c>
      <c r="IC24" t="s">
        <v>423</v>
      </c>
      <c r="ID24">
        <v>0</v>
      </c>
      <c r="IE24">
        <v>100</v>
      </c>
      <c r="IF24">
        <v>100</v>
      </c>
      <c r="IG24">
        <v>-3.6190000000000002</v>
      </c>
      <c r="IH24">
        <v>0.3241</v>
      </c>
      <c r="II24">
        <v>-2.9085651784260258</v>
      </c>
      <c r="IJ24">
        <v>-2.536945948238235E-3</v>
      </c>
      <c r="IK24">
        <v>1.581473279927893E-6</v>
      </c>
      <c r="IL24">
        <v>-4.6698293441882044E-10</v>
      </c>
      <c r="IM24">
        <v>-0.1757211585206567</v>
      </c>
      <c r="IN24">
        <v>-1.5895243091576399E-2</v>
      </c>
      <c r="IO24">
        <v>1.559614309849521E-3</v>
      </c>
      <c r="IP24">
        <v>-2.4566050869858518E-6</v>
      </c>
      <c r="IQ24">
        <v>2</v>
      </c>
      <c r="IR24">
        <v>2224</v>
      </c>
      <c r="IS24">
        <v>2</v>
      </c>
      <c r="IT24">
        <v>25</v>
      </c>
      <c r="IU24">
        <v>1.5</v>
      </c>
      <c r="IV24">
        <v>1.3</v>
      </c>
      <c r="IW24">
        <v>0.93505899999999997</v>
      </c>
      <c r="IX24">
        <v>2.4706999999999999</v>
      </c>
      <c r="IY24">
        <v>1.65039</v>
      </c>
      <c r="IZ24">
        <v>2.2961399999999998</v>
      </c>
      <c r="JA24">
        <v>1.50024</v>
      </c>
      <c r="JB24">
        <v>2.36206</v>
      </c>
      <c r="JC24">
        <v>36.481400000000001</v>
      </c>
      <c r="JD24">
        <v>23.527100000000001</v>
      </c>
      <c r="JE24">
        <v>18</v>
      </c>
      <c r="JF24">
        <v>485.93099999999998</v>
      </c>
      <c r="JG24">
        <v>477.72500000000002</v>
      </c>
      <c r="JH24">
        <v>25.020099999999999</v>
      </c>
      <c r="JI24">
        <v>32.315600000000003</v>
      </c>
      <c r="JJ24">
        <v>29.9999</v>
      </c>
      <c r="JK24">
        <v>32.338500000000003</v>
      </c>
      <c r="JL24">
        <v>32.320900000000002</v>
      </c>
      <c r="JM24">
        <v>18.755299999999998</v>
      </c>
      <c r="JN24">
        <v>40.302799999999998</v>
      </c>
      <c r="JO24">
        <v>46.472200000000001</v>
      </c>
      <c r="JP24">
        <v>25.023199999999999</v>
      </c>
      <c r="JQ24">
        <v>400</v>
      </c>
      <c r="JR24">
        <v>16.480799999999999</v>
      </c>
      <c r="JS24">
        <v>100.041</v>
      </c>
      <c r="JT24">
        <v>99.218100000000007</v>
      </c>
    </row>
    <row r="25" spans="1:280" x14ac:dyDescent="0.25">
      <c r="A25">
        <v>9</v>
      </c>
      <c r="B25">
        <v>1674575236.5</v>
      </c>
      <c r="C25">
        <v>1101.900000095367</v>
      </c>
      <c r="D25" t="s">
        <v>461</v>
      </c>
      <c r="E25" t="s">
        <v>462</v>
      </c>
      <c r="F25" t="s">
        <v>412</v>
      </c>
      <c r="G25" t="s">
        <v>413</v>
      </c>
      <c r="H25" t="s">
        <v>414</v>
      </c>
      <c r="I25">
        <v>1674575236.5</v>
      </c>
      <c r="J25">
        <f t="shared" si="0"/>
        <v>6.4551230088041572E-3</v>
      </c>
      <c r="K25">
        <f t="shared" si="1"/>
        <v>6.4551230088041569</v>
      </c>
      <c r="L25">
        <f t="shared" si="2"/>
        <v>50.435576202762249</v>
      </c>
      <c r="M25">
        <f t="shared" si="3"/>
        <v>336.86399999999998</v>
      </c>
      <c r="N25">
        <f t="shared" si="4"/>
        <v>167.13370728878382</v>
      </c>
      <c r="O25">
        <f t="shared" si="5"/>
        <v>16.679891507436537</v>
      </c>
      <c r="P25">
        <f t="shared" si="6"/>
        <v>33.618921424703991</v>
      </c>
      <c r="Q25">
        <f t="shared" si="7"/>
        <v>0.53308776488388032</v>
      </c>
      <c r="R25">
        <f t="shared" si="8"/>
        <v>2.9222987422120319</v>
      </c>
      <c r="S25">
        <f t="shared" si="9"/>
        <v>0.48436773811702954</v>
      </c>
      <c r="T25">
        <f t="shared" si="10"/>
        <v>0.30673522663214048</v>
      </c>
      <c r="U25">
        <f t="shared" si="11"/>
        <v>344.33899860456341</v>
      </c>
      <c r="V25">
        <f t="shared" si="12"/>
        <v>28.350743333646349</v>
      </c>
      <c r="W25">
        <f t="shared" si="13"/>
        <v>27.8262</v>
      </c>
      <c r="X25">
        <f t="shared" si="14"/>
        <v>3.7565600956177385</v>
      </c>
      <c r="Y25">
        <f t="shared" si="15"/>
        <v>65.042560626203965</v>
      </c>
      <c r="Z25">
        <f t="shared" si="16"/>
        <v>2.4680162948742002</v>
      </c>
      <c r="AA25">
        <f t="shared" si="17"/>
        <v>3.7944636113847894</v>
      </c>
      <c r="AB25">
        <f t="shared" si="18"/>
        <v>1.2885438007435384</v>
      </c>
      <c r="AC25">
        <f t="shared" si="19"/>
        <v>-284.67092468826331</v>
      </c>
      <c r="AD25">
        <f t="shared" si="20"/>
        <v>27.113833500882304</v>
      </c>
      <c r="AE25">
        <f t="shared" si="21"/>
        <v>2.0206782231833267</v>
      </c>
      <c r="AF25">
        <f t="shared" si="22"/>
        <v>88.802585640365734</v>
      </c>
      <c r="AG25">
        <v>12</v>
      </c>
      <c r="AH25">
        <v>2</v>
      </c>
      <c r="AI25">
        <f t="shared" si="23"/>
        <v>1</v>
      </c>
      <c r="AJ25">
        <f t="shared" si="24"/>
        <v>0</v>
      </c>
      <c r="AK25">
        <f t="shared" si="25"/>
        <v>52486.671219944532</v>
      </c>
      <c r="AL25" t="s">
        <v>415</v>
      </c>
      <c r="AM25">
        <v>10424.1</v>
      </c>
      <c r="AN25">
        <v>628.54280000000006</v>
      </c>
      <c r="AO25">
        <v>2663.98</v>
      </c>
      <c r="AP25">
        <f t="shared" si="26"/>
        <v>0.76405873917972356</v>
      </c>
      <c r="AQ25">
        <v>-3.1675626227050531</v>
      </c>
      <c r="AR25" t="s">
        <v>463</v>
      </c>
      <c r="AS25">
        <v>10178.799999999999</v>
      </c>
      <c r="AT25">
        <v>754.74436000000003</v>
      </c>
      <c r="AU25">
        <v>1104.473275420341</v>
      </c>
      <c r="AV25">
        <f t="shared" si="27"/>
        <v>0.31664769370471268</v>
      </c>
      <c r="AW25">
        <v>0.5</v>
      </c>
      <c r="AX25">
        <f t="shared" si="28"/>
        <v>1513.0502993022817</v>
      </c>
      <c r="AY25">
        <f t="shared" si="29"/>
        <v>50.435576202762249</v>
      </c>
      <c r="AZ25">
        <f t="shared" si="30"/>
        <v>239.55194386664638</v>
      </c>
      <c r="BA25">
        <f t="shared" si="31"/>
        <v>3.5427202155926679E-2</v>
      </c>
      <c r="BB25">
        <f t="shared" si="32"/>
        <v>1.4119913621143447</v>
      </c>
      <c r="BC25">
        <f t="shared" si="33"/>
        <v>471.47298048322739</v>
      </c>
      <c r="BD25" t="s">
        <v>464</v>
      </c>
      <c r="BE25">
        <v>584.17999999999995</v>
      </c>
      <c r="BF25">
        <f t="shared" si="34"/>
        <v>584.17999999999995</v>
      </c>
      <c r="BG25">
        <f t="shared" si="35"/>
        <v>0.47107819356002756</v>
      </c>
      <c r="BH25">
        <f t="shared" si="36"/>
        <v>0.67217650494867076</v>
      </c>
      <c r="BI25">
        <f t="shared" si="37"/>
        <v>0.74983494786982352</v>
      </c>
      <c r="BJ25">
        <f t="shared" si="38"/>
        <v>0.73483194181137701</v>
      </c>
      <c r="BK25">
        <f t="shared" si="39"/>
        <v>0.76617776494389467</v>
      </c>
      <c r="BL25">
        <f t="shared" si="40"/>
        <v>0.52027161973216263</v>
      </c>
      <c r="BM25">
        <f t="shared" si="41"/>
        <v>0.47972838026783737</v>
      </c>
      <c r="BN25">
        <v>20181</v>
      </c>
      <c r="BO25">
        <v>290.00000000000011</v>
      </c>
      <c r="BP25">
        <v>1022.07</v>
      </c>
      <c r="BQ25">
        <v>275</v>
      </c>
      <c r="BR25">
        <v>10178.799999999999</v>
      </c>
      <c r="BS25">
        <v>1021.9</v>
      </c>
      <c r="BT25">
        <v>0.17</v>
      </c>
      <c r="BU25">
        <v>300.00000000000011</v>
      </c>
      <c r="BV25">
        <v>24.2</v>
      </c>
      <c r="BW25">
        <v>1104.473275420341</v>
      </c>
      <c r="BX25">
        <v>2.171387832348763</v>
      </c>
      <c r="BY25">
        <v>-84.048783520876526</v>
      </c>
      <c r="BZ25">
        <v>1.968708532491201</v>
      </c>
      <c r="CA25">
        <v>0.9848700687947024</v>
      </c>
      <c r="CB25">
        <v>-6.9362740823136924E-3</v>
      </c>
      <c r="CC25">
        <v>289.99999999999989</v>
      </c>
      <c r="CD25">
        <v>1021.57</v>
      </c>
      <c r="CE25">
        <v>755</v>
      </c>
      <c r="CF25">
        <v>10151.5</v>
      </c>
      <c r="CG25">
        <v>1021.68</v>
      </c>
      <c r="CH25">
        <v>-0.11</v>
      </c>
      <c r="CV25">
        <f t="shared" si="42"/>
        <v>1799.84</v>
      </c>
      <c r="CW25">
        <f t="shared" si="43"/>
        <v>1513.0502993022817</v>
      </c>
      <c r="CX25">
        <f t="shared" si="44"/>
        <v>0.84065822478791541</v>
      </c>
      <c r="CY25">
        <f t="shared" si="45"/>
        <v>0.19131644957583088</v>
      </c>
      <c r="CZ25">
        <v>6</v>
      </c>
      <c r="DA25">
        <v>0.5</v>
      </c>
      <c r="DB25" t="s">
        <v>418</v>
      </c>
      <c r="DC25">
        <v>2</v>
      </c>
      <c r="DD25">
        <v>1674575236.5</v>
      </c>
      <c r="DE25">
        <v>336.86399999999998</v>
      </c>
      <c r="DF25">
        <v>399.98700000000002</v>
      </c>
      <c r="DG25">
        <v>24.729700000000001</v>
      </c>
      <c r="DH25">
        <v>17.176200000000001</v>
      </c>
      <c r="DI25">
        <v>340.48500000000001</v>
      </c>
      <c r="DJ25">
        <v>24.401399999999999</v>
      </c>
      <c r="DK25">
        <v>500.072</v>
      </c>
      <c r="DL25">
        <v>99.699399999999997</v>
      </c>
      <c r="DM25">
        <v>0.100286</v>
      </c>
      <c r="DN25">
        <v>27.9983</v>
      </c>
      <c r="DO25">
        <v>27.8262</v>
      </c>
      <c r="DP25">
        <v>999.9</v>
      </c>
      <c r="DQ25">
        <v>0</v>
      </c>
      <c r="DR25">
        <v>0</v>
      </c>
      <c r="DS25">
        <v>9988.75</v>
      </c>
      <c r="DT25">
        <v>0</v>
      </c>
      <c r="DU25">
        <v>437.61900000000003</v>
      </c>
      <c r="DV25">
        <v>-63.122599999999998</v>
      </c>
      <c r="DW25">
        <v>345.40600000000001</v>
      </c>
      <c r="DX25">
        <v>406.97699999999998</v>
      </c>
      <c r="DY25">
        <v>7.5535300000000003</v>
      </c>
      <c r="DZ25">
        <v>399.98700000000002</v>
      </c>
      <c r="EA25">
        <v>17.176200000000001</v>
      </c>
      <c r="EB25">
        <v>2.4655300000000002</v>
      </c>
      <c r="EC25">
        <v>1.71245</v>
      </c>
      <c r="ED25">
        <v>20.800799999999999</v>
      </c>
      <c r="EE25">
        <v>15.0098</v>
      </c>
      <c r="EF25">
        <v>1799.84</v>
      </c>
      <c r="EG25">
        <v>0.97799999999999998</v>
      </c>
      <c r="EH25">
        <v>2.1999999999999999E-2</v>
      </c>
      <c r="EI25">
        <v>0</v>
      </c>
      <c r="EJ25">
        <v>755.62099999999998</v>
      </c>
      <c r="EK25">
        <v>5.0010599999999998</v>
      </c>
      <c r="EL25">
        <v>14137.5</v>
      </c>
      <c r="EM25">
        <v>16709.599999999999</v>
      </c>
      <c r="EN25">
        <v>47.936999999999998</v>
      </c>
      <c r="EO25">
        <v>48.686999999999998</v>
      </c>
      <c r="EP25">
        <v>48.936999999999998</v>
      </c>
      <c r="EQ25">
        <v>47.436999999999998</v>
      </c>
      <c r="ER25">
        <v>48.875</v>
      </c>
      <c r="ES25">
        <v>1755.35</v>
      </c>
      <c r="ET25">
        <v>39.49</v>
      </c>
      <c r="EU25">
        <v>0</v>
      </c>
      <c r="EV25">
        <v>153.60000014305109</v>
      </c>
      <c r="EW25">
        <v>0</v>
      </c>
      <c r="EX25">
        <v>754.74436000000003</v>
      </c>
      <c r="EY25">
        <v>6.3501538247884097</v>
      </c>
      <c r="EZ25">
        <v>133.82307660025481</v>
      </c>
      <c r="FA25">
        <v>14122.44</v>
      </c>
      <c r="FB25">
        <v>15</v>
      </c>
      <c r="FC25">
        <v>1674575155.5999999</v>
      </c>
      <c r="FD25" t="s">
        <v>465</v>
      </c>
      <c r="FE25">
        <v>1674575146.5999999</v>
      </c>
      <c r="FF25">
        <v>1674575155.5999999</v>
      </c>
      <c r="FG25">
        <v>10</v>
      </c>
      <c r="FH25">
        <v>-1.4E-2</v>
      </c>
      <c r="FI25">
        <v>-1E-3</v>
      </c>
      <c r="FJ25">
        <v>-3.72</v>
      </c>
      <c r="FK25">
        <v>-1.9E-2</v>
      </c>
      <c r="FL25">
        <v>400</v>
      </c>
      <c r="FM25">
        <v>17</v>
      </c>
      <c r="FN25">
        <v>0.03</v>
      </c>
      <c r="FO25">
        <v>0.02</v>
      </c>
      <c r="FP25">
        <v>50.300013660548842</v>
      </c>
      <c r="FQ25">
        <v>0.66359912342980265</v>
      </c>
      <c r="FR25">
        <v>7.7887953137448826E-2</v>
      </c>
      <c r="FS25">
        <v>1</v>
      </c>
      <c r="FT25">
        <v>0.53388727320151985</v>
      </c>
      <c r="FU25">
        <v>9.7062840588020283E-3</v>
      </c>
      <c r="FV25">
        <v>2.0130483890751791E-3</v>
      </c>
      <c r="FW25">
        <v>1</v>
      </c>
      <c r="FX25">
        <v>2</v>
      </c>
      <c r="FY25">
        <v>2</v>
      </c>
      <c r="FZ25" t="s">
        <v>420</v>
      </c>
      <c r="GA25">
        <v>2.9779200000000001</v>
      </c>
      <c r="GB25">
        <v>2.8065099999999998</v>
      </c>
      <c r="GC25">
        <v>8.5866300000000007E-2</v>
      </c>
      <c r="GD25">
        <v>9.6294900000000003E-2</v>
      </c>
      <c r="GE25">
        <v>0.12153899999999999</v>
      </c>
      <c r="GF25">
        <v>9.4044100000000005E-2</v>
      </c>
      <c r="GG25">
        <v>27050.400000000001</v>
      </c>
      <c r="GH25">
        <v>24806.5</v>
      </c>
      <c r="GI25">
        <v>26600.799999999999</v>
      </c>
      <c r="GJ25">
        <v>25924.2</v>
      </c>
      <c r="GK25">
        <v>31810.6</v>
      </c>
      <c r="GL25">
        <v>33147.599999999999</v>
      </c>
      <c r="GM25">
        <v>37705.300000000003</v>
      </c>
      <c r="GN25">
        <v>38460.699999999997</v>
      </c>
      <c r="GO25">
        <v>1.9434199999999999</v>
      </c>
      <c r="GP25">
        <v>1.9397</v>
      </c>
      <c r="GQ25">
        <v>5.34542E-2</v>
      </c>
      <c r="GR25">
        <v>0</v>
      </c>
      <c r="GS25">
        <v>26.9526</v>
      </c>
      <c r="GT25">
        <v>999.9</v>
      </c>
      <c r="GU25">
        <v>48.8</v>
      </c>
      <c r="GV25">
        <v>31.3</v>
      </c>
      <c r="GW25">
        <v>22.4633</v>
      </c>
      <c r="GX25">
        <v>62.207599999999999</v>
      </c>
      <c r="GY25">
        <v>11.9191</v>
      </c>
      <c r="GZ25">
        <v>1</v>
      </c>
      <c r="HA25">
        <v>0.39611800000000003</v>
      </c>
      <c r="HB25">
        <v>2.3750499999999999</v>
      </c>
      <c r="HC25">
        <v>20.241800000000001</v>
      </c>
      <c r="HD25">
        <v>5.2099500000000001</v>
      </c>
      <c r="HE25">
        <v>11.937200000000001</v>
      </c>
      <c r="HF25">
        <v>4.9877500000000001</v>
      </c>
      <c r="HG25">
        <v>3.2909999999999999</v>
      </c>
      <c r="HH25">
        <v>9999</v>
      </c>
      <c r="HI25">
        <v>9999</v>
      </c>
      <c r="HJ25">
        <v>9999</v>
      </c>
      <c r="HK25">
        <v>999.9</v>
      </c>
      <c r="HL25">
        <v>1.8705700000000001</v>
      </c>
      <c r="HM25">
        <v>1.87683</v>
      </c>
      <c r="HN25">
        <v>1.8745400000000001</v>
      </c>
      <c r="HO25">
        <v>1.8728499999999999</v>
      </c>
      <c r="HP25">
        <v>1.8733200000000001</v>
      </c>
      <c r="HQ25">
        <v>1.8707100000000001</v>
      </c>
      <c r="HR25">
        <v>1.8766400000000001</v>
      </c>
      <c r="HS25">
        <v>1.8757299999999999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424</v>
      </c>
      <c r="IB25" t="s">
        <v>424</v>
      </c>
      <c r="IC25" t="s">
        <v>423</v>
      </c>
      <c r="ID25">
        <v>0</v>
      </c>
      <c r="IE25">
        <v>100</v>
      </c>
      <c r="IF25">
        <v>100</v>
      </c>
      <c r="IG25">
        <v>-3.621</v>
      </c>
      <c r="IH25">
        <v>0.32829999999999998</v>
      </c>
      <c r="II25">
        <v>-2.9223101927424771</v>
      </c>
      <c r="IJ25">
        <v>-2.536945948238235E-3</v>
      </c>
      <c r="IK25">
        <v>1.581473279927893E-6</v>
      </c>
      <c r="IL25">
        <v>-4.6698293441882044E-10</v>
      </c>
      <c r="IM25">
        <v>-0.17684275677911221</v>
      </c>
      <c r="IN25">
        <v>-1.5895243091576399E-2</v>
      </c>
      <c r="IO25">
        <v>1.559614309849521E-3</v>
      </c>
      <c r="IP25">
        <v>-2.4566050869858518E-6</v>
      </c>
      <c r="IQ25">
        <v>2</v>
      </c>
      <c r="IR25">
        <v>2224</v>
      </c>
      <c r="IS25">
        <v>2</v>
      </c>
      <c r="IT25">
        <v>25</v>
      </c>
      <c r="IU25">
        <v>1.5</v>
      </c>
      <c r="IV25">
        <v>1.3</v>
      </c>
      <c r="IW25">
        <v>0.93627899999999997</v>
      </c>
      <c r="IX25">
        <v>2.47437</v>
      </c>
      <c r="IY25">
        <v>1.65039</v>
      </c>
      <c r="IZ25">
        <v>2.2961399999999998</v>
      </c>
      <c r="JA25">
        <v>1.50024</v>
      </c>
      <c r="JB25">
        <v>2.3132299999999999</v>
      </c>
      <c r="JC25">
        <v>36.931699999999999</v>
      </c>
      <c r="JD25">
        <v>23.4833</v>
      </c>
      <c r="JE25">
        <v>18</v>
      </c>
      <c r="JF25">
        <v>485.96600000000001</v>
      </c>
      <c r="JG25">
        <v>477.02300000000002</v>
      </c>
      <c r="JH25">
        <v>24.862500000000001</v>
      </c>
      <c r="JI25">
        <v>32.2624</v>
      </c>
      <c r="JJ25">
        <v>30.000299999999999</v>
      </c>
      <c r="JK25">
        <v>32.292000000000002</v>
      </c>
      <c r="JL25">
        <v>32.275300000000001</v>
      </c>
      <c r="JM25">
        <v>18.7773</v>
      </c>
      <c r="JN25">
        <v>36.782200000000003</v>
      </c>
      <c r="JO25">
        <v>45.282699999999998</v>
      </c>
      <c r="JP25">
        <v>24.8583</v>
      </c>
      <c r="JQ25">
        <v>400</v>
      </c>
      <c r="JR25">
        <v>17.193899999999999</v>
      </c>
      <c r="JS25">
        <v>100.04600000000001</v>
      </c>
      <c r="JT25">
        <v>99.229399999999998</v>
      </c>
    </row>
    <row r="26" spans="1:280" x14ac:dyDescent="0.25">
      <c r="A26">
        <v>10</v>
      </c>
      <c r="B26">
        <v>1674575344</v>
      </c>
      <c r="C26">
        <v>1209.400000095367</v>
      </c>
      <c r="D26" t="s">
        <v>466</v>
      </c>
      <c r="E26" t="s">
        <v>467</v>
      </c>
      <c r="F26" t="s">
        <v>412</v>
      </c>
      <c r="G26" t="s">
        <v>413</v>
      </c>
      <c r="H26" t="s">
        <v>414</v>
      </c>
      <c r="I26">
        <v>1674575344</v>
      </c>
      <c r="J26">
        <f t="shared" si="0"/>
        <v>6.3719064792713449E-3</v>
      </c>
      <c r="K26">
        <f t="shared" si="1"/>
        <v>6.3719064792713453</v>
      </c>
      <c r="L26">
        <f t="shared" si="2"/>
        <v>52.524089803873231</v>
      </c>
      <c r="M26">
        <f t="shared" si="3"/>
        <v>433.62799999999999</v>
      </c>
      <c r="N26">
        <f t="shared" si="4"/>
        <v>252.74535922321459</v>
      </c>
      <c r="O26">
        <f t="shared" si="5"/>
        <v>25.223110632865463</v>
      </c>
      <c r="P26">
        <f t="shared" si="6"/>
        <v>43.274571098449606</v>
      </c>
      <c r="Q26">
        <f t="shared" si="7"/>
        <v>0.52503289656517516</v>
      </c>
      <c r="R26">
        <f t="shared" si="8"/>
        <v>2.9229089114590368</v>
      </c>
      <c r="S26">
        <f t="shared" si="9"/>
        <v>0.4777130739278817</v>
      </c>
      <c r="T26">
        <f t="shared" si="10"/>
        <v>0.30246596907441703</v>
      </c>
      <c r="U26">
        <f t="shared" si="11"/>
        <v>344.37069860504857</v>
      </c>
      <c r="V26">
        <f t="shared" si="12"/>
        <v>28.405226211316688</v>
      </c>
      <c r="W26">
        <f t="shared" si="13"/>
        <v>27.890699999999999</v>
      </c>
      <c r="X26">
        <f t="shared" si="14"/>
        <v>3.7707267689894608</v>
      </c>
      <c r="Y26">
        <f t="shared" si="15"/>
        <v>65.2681447977631</v>
      </c>
      <c r="Z26">
        <f t="shared" si="16"/>
        <v>2.4813010828715205</v>
      </c>
      <c r="AA26">
        <f t="shared" si="17"/>
        <v>3.8017030981345754</v>
      </c>
      <c r="AB26">
        <f t="shared" si="18"/>
        <v>1.2894256861179403</v>
      </c>
      <c r="AC26">
        <f t="shared" si="19"/>
        <v>-281.00107573586632</v>
      </c>
      <c r="AD26">
        <f t="shared" si="20"/>
        <v>22.1084550924115</v>
      </c>
      <c r="AE26">
        <f t="shared" si="21"/>
        <v>1.648103038786964</v>
      </c>
      <c r="AF26">
        <f t="shared" si="22"/>
        <v>87.12618100038074</v>
      </c>
      <c r="AG26">
        <v>13</v>
      </c>
      <c r="AH26">
        <v>3</v>
      </c>
      <c r="AI26">
        <f t="shared" si="23"/>
        <v>1</v>
      </c>
      <c r="AJ26">
        <f t="shared" si="24"/>
        <v>0</v>
      </c>
      <c r="AK26">
        <f t="shared" si="25"/>
        <v>52498.449535378233</v>
      </c>
      <c r="AL26" t="s">
        <v>415</v>
      </c>
      <c r="AM26">
        <v>10424.1</v>
      </c>
      <c r="AN26">
        <v>628.54280000000006</v>
      </c>
      <c r="AO26">
        <v>2663.98</v>
      </c>
      <c r="AP26">
        <f t="shared" si="26"/>
        <v>0.76405873917972356</v>
      </c>
      <c r="AQ26">
        <v>-3.1675626227050531</v>
      </c>
      <c r="AR26" t="s">
        <v>468</v>
      </c>
      <c r="AS26">
        <v>10176.9</v>
      </c>
      <c r="AT26">
        <v>763.69130769230776</v>
      </c>
      <c r="AU26">
        <v>1136.497596172763</v>
      </c>
      <c r="AV26">
        <f t="shared" si="27"/>
        <v>0.3280308640650953</v>
      </c>
      <c r="AW26">
        <v>0.5</v>
      </c>
      <c r="AX26">
        <f t="shared" si="28"/>
        <v>1513.1927993025242</v>
      </c>
      <c r="AY26">
        <f t="shared" si="29"/>
        <v>52.524089803873231</v>
      </c>
      <c r="AZ26">
        <f t="shared" si="30"/>
        <v>248.18697072614367</v>
      </c>
      <c r="BA26">
        <f t="shared" si="31"/>
        <v>3.680406915248885E-2</v>
      </c>
      <c r="BB26">
        <f t="shared" si="32"/>
        <v>1.3440260753486355</v>
      </c>
      <c r="BC26">
        <f t="shared" si="33"/>
        <v>477.21315919130478</v>
      </c>
      <c r="BD26" t="s">
        <v>469</v>
      </c>
      <c r="BE26">
        <v>588.95000000000005</v>
      </c>
      <c r="BF26">
        <f t="shared" si="34"/>
        <v>588.95000000000005</v>
      </c>
      <c r="BG26">
        <f t="shared" si="35"/>
        <v>0.48178508957402877</v>
      </c>
      <c r="BH26">
        <f t="shared" si="36"/>
        <v>0.68086553769259339</v>
      </c>
      <c r="BI26">
        <f t="shared" si="37"/>
        <v>0.73612545545232466</v>
      </c>
      <c r="BJ26">
        <f t="shared" si="38"/>
        <v>0.73393595510742715</v>
      </c>
      <c r="BK26">
        <f t="shared" si="39"/>
        <v>0.75044437815484411</v>
      </c>
      <c r="BL26">
        <f t="shared" si="40"/>
        <v>0.5250757136882519</v>
      </c>
      <c r="BM26">
        <f t="shared" si="41"/>
        <v>0.4749242863117481</v>
      </c>
      <c r="BN26">
        <v>20183</v>
      </c>
      <c r="BO26">
        <v>290.00000000000011</v>
      </c>
      <c r="BP26">
        <v>1048.04</v>
      </c>
      <c r="BQ26">
        <v>285</v>
      </c>
      <c r="BR26">
        <v>10176.9</v>
      </c>
      <c r="BS26">
        <v>1048.79</v>
      </c>
      <c r="BT26">
        <v>-0.75</v>
      </c>
      <c r="BU26">
        <v>300.00000000000011</v>
      </c>
      <c r="BV26">
        <v>24.2</v>
      </c>
      <c r="BW26">
        <v>1136.497596172763</v>
      </c>
      <c r="BX26">
        <v>2.3577404799603729</v>
      </c>
      <c r="BY26">
        <v>-89.254239426820234</v>
      </c>
      <c r="BZ26">
        <v>2.1375484069744251</v>
      </c>
      <c r="CA26">
        <v>0.98419432319973066</v>
      </c>
      <c r="CB26">
        <v>-6.9360627363737517E-3</v>
      </c>
      <c r="CC26">
        <v>289.99999999999989</v>
      </c>
      <c r="CD26">
        <v>1047.82</v>
      </c>
      <c r="CE26">
        <v>705</v>
      </c>
      <c r="CF26">
        <v>10154.299999999999</v>
      </c>
      <c r="CG26">
        <v>1048.5999999999999</v>
      </c>
      <c r="CH26">
        <v>-0.78</v>
      </c>
      <c r="CV26">
        <f t="shared" si="42"/>
        <v>1800.01</v>
      </c>
      <c r="CW26">
        <f t="shared" si="43"/>
        <v>1513.1927993025242</v>
      </c>
      <c r="CX26">
        <f t="shared" si="44"/>
        <v>0.84065799595698032</v>
      </c>
      <c r="CY26">
        <f t="shared" si="45"/>
        <v>0.19131599191396079</v>
      </c>
      <c r="CZ26">
        <v>6</v>
      </c>
      <c r="DA26">
        <v>0.5</v>
      </c>
      <c r="DB26" t="s">
        <v>418</v>
      </c>
      <c r="DC26">
        <v>2</v>
      </c>
      <c r="DD26">
        <v>1674575344</v>
      </c>
      <c r="DE26">
        <v>433.62799999999999</v>
      </c>
      <c r="DF26">
        <v>499.96300000000002</v>
      </c>
      <c r="DG26">
        <v>24.863600000000002</v>
      </c>
      <c r="DH26">
        <v>17.4085</v>
      </c>
      <c r="DI26">
        <v>437.49400000000003</v>
      </c>
      <c r="DJ26">
        <v>24.534700000000001</v>
      </c>
      <c r="DK26">
        <v>500.072</v>
      </c>
      <c r="DL26">
        <v>99.696700000000007</v>
      </c>
      <c r="DM26">
        <v>9.9833199999999997E-2</v>
      </c>
      <c r="DN26">
        <v>28.030999999999999</v>
      </c>
      <c r="DO26">
        <v>27.890699999999999</v>
      </c>
      <c r="DP26">
        <v>999.9</v>
      </c>
      <c r="DQ26">
        <v>0</v>
      </c>
      <c r="DR26">
        <v>0</v>
      </c>
      <c r="DS26">
        <v>9992.5</v>
      </c>
      <c r="DT26">
        <v>0</v>
      </c>
      <c r="DU26">
        <v>434.67899999999997</v>
      </c>
      <c r="DV26">
        <v>-66.335099999999997</v>
      </c>
      <c r="DW26">
        <v>444.68400000000003</v>
      </c>
      <c r="DX26">
        <v>508.82100000000003</v>
      </c>
      <c r="DY26">
        <v>7.4550999999999998</v>
      </c>
      <c r="DZ26">
        <v>499.96300000000002</v>
      </c>
      <c r="EA26">
        <v>17.4085</v>
      </c>
      <c r="EB26">
        <v>2.4788100000000002</v>
      </c>
      <c r="EC26">
        <v>1.73556</v>
      </c>
      <c r="ED26">
        <v>20.888100000000001</v>
      </c>
      <c r="EE26">
        <v>15.2182</v>
      </c>
      <c r="EF26">
        <v>1800.01</v>
      </c>
      <c r="EG26">
        <v>0.97800399999999998</v>
      </c>
      <c r="EH26">
        <v>2.1996499999999999E-2</v>
      </c>
      <c r="EI26">
        <v>0</v>
      </c>
      <c r="EJ26">
        <v>764.12900000000002</v>
      </c>
      <c r="EK26">
        <v>5.0010599999999998</v>
      </c>
      <c r="EL26">
        <v>14307.6</v>
      </c>
      <c r="EM26">
        <v>16711.099999999999</v>
      </c>
      <c r="EN26">
        <v>48.061999999999998</v>
      </c>
      <c r="EO26">
        <v>48.811999999999998</v>
      </c>
      <c r="EP26">
        <v>49</v>
      </c>
      <c r="EQ26">
        <v>47.561999999999998</v>
      </c>
      <c r="ER26">
        <v>48.936999999999998</v>
      </c>
      <c r="ES26">
        <v>1755.53</v>
      </c>
      <c r="ET26">
        <v>39.479999999999997</v>
      </c>
      <c r="EU26">
        <v>0</v>
      </c>
      <c r="EV26">
        <v>105.7999999523163</v>
      </c>
      <c r="EW26">
        <v>0</v>
      </c>
      <c r="EX26">
        <v>763.69130769230776</v>
      </c>
      <c r="EY26">
        <v>3.8527863319361741</v>
      </c>
      <c r="EZ26">
        <v>70.454700888160687</v>
      </c>
      <c r="FA26">
        <v>14299.23076923077</v>
      </c>
      <c r="FB26">
        <v>15</v>
      </c>
      <c r="FC26">
        <v>1674575311</v>
      </c>
      <c r="FD26" t="s">
        <v>470</v>
      </c>
      <c r="FE26">
        <v>1674575302</v>
      </c>
      <c r="FF26">
        <v>1674575311</v>
      </c>
      <c r="FG26">
        <v>11</v>
      </c>
      <c r="FH26">
        <v>-9.7000000000000003E-2</v>
      </c>
      <c r="FI26">
        <v>-7.0000000000000001E-3</v>
      </c>
      <c r="FJ26">
        <v>-3.9569999999999999</v>
      </c>
      <c r="FK26">
        <v>-6.0000000000000001E-3</v>
      </c>
      <c r="FL26">
        <v>500</v>
      </c>
      <c r="FM26">
        <v>17</v>
      </c>
      <c r="FN26">
        <v>0.04</v>
      </c>
      <c r="FO26">
        <v>0.01</v>
      </c>
      <c r="FP26">
        <v>52.497731435900647</v>
      </c>
      <c r="FQ26">
        <v>-0.45703561553722999</v>
      </c>
      <c r="FR26">
        <v>0.13784773698592681</v>
      </c>
      <c r="FS26">
        <v>1</v>
      </c>
      <c r="FT26">
        <v>0.53605536732421466</v>
      </c>
      <c r="FU26">
        <v>-3.1119004758653691E-2</v>
      </c>
      <c r="FV26">
        <v>6.6364698072224962E-3</v>
      </c>
      <c r="FW26">
        <v>1</v>
      </c>
      <c r="FX26">
        <v>2</v>
      </c>
      <c r="FY26">
        <v>2</v>
      </c>
      <c r="FZ26" t="s">
        <v>420</v>
      </c>
      <c r="GA26">
        <v>2.9778899999999999</v>
      </c>
      <c r="GB26">
        <v>2.8060900000000002</v>
      </c>
      <c r="GC26">
        <v>0.104342</v>
      </c>
      <c r="GD26">
        <v>0.113881</v>
      </c>
      <c r="GE26">
        <v>0.121993</v>
      </c>
      <c r="GF26">
        <v>9.4936800000000002E-2</v>
      </c>
      <c r="GG26">
        <v>26500.5</v>
      </c>
      <c r="GH26">
        <v>24321.599999999999</v>
      </c>
      <c r="GI26">
        <v>26598.1</v>
      </c>
      <c r="GJ26">
        <v>25922.400000000001</v>
      </c>
      <c r="GK26">
        <v>31792</v>
      </c>
      <c r="GL26">
        <v>33112.699999999997</v>
      </c>
      <c r="GM26">
        <v>37702.6</v>
      </c>
      <c r="GN26">
        <v>38457.9</v>
      </c>
      <c r="GO26">
        <v>1.9425300000000001</v>
      </c>
      <c r="GP26">
        <v>1.9379999999999999</v>
      </c>
      <c r="GQ26">
        <v>4.9457000000000001E-2</v>
      </c>
      <c r="GR26">
        <v>0</v>
      </c>
      <c r="GS26">
        <v>27.0825</v>
      </c>
      <c r="GT26">
        <v>999.9</v>
      </c>
      <c r="GU26">
        <v>48.3</v>
      </c>
      <c r="GV26">
        <v>31.5</v>
      </c>
      <c r="GW26">
        <v>22.487500000000001</v>
      </c>
      <c r="GX26">
        <v>62.0276</v>
      </c>
      <c r="GY26">
        <v>11.4864</v>
      </c>
      <c r="GZ26">
        <v>1</v>
      </c>
      <c r="HA26">
        <v>0.40148099999999998</v>
      </c>
      <c r="HB26">
        <v>2.9024800000000002</v>
      </c>
      <c r="HC26">
        <v>20.232500000000002</v>
      </c>
      <c r="HD26">
        <v>5.2062099999999996</v>
      </c>
      <c r="HE26">
        <v>11.9367</v>
      </c>
      <c r="HF26">
        <v>4.9865500000000003</v>
      </c>
      <c r="HG26">
        <v>3.29</v>
      </c>
      <c r="HH26">
        <v>9999</v>
      </c>
      <c r="HI26">
        <v>9999</v>
      </c>
      <c r="HJ26">
        <v>9999</v>
      </c>
      <c r="HK26">
        <v>999.9</v>
      </c>
      <c r="HL26">
        <v>1.8705700000000001</v>
      </c>
      <c r="HM26">
        <v>1.87683</v>
      </c>
      <c r="HN26">
        <v>1.8745400000000001</v>
      </c>
      <c r="HO26">
        <v>1.87286</v>
      </c>
      <c r="HP26">
        <v>1.8733200000000001</v>
      </c>
      <c r="HQ26">
        <v>1.8707</v>
      </c>
      <c r="HR26">
        <v>1.8766499999999999</v>
      </c>
      <c r="HS26">
        <v>1.8757299999999999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424</v>
      </c>
      <c r="IB26" t="s">
        <v>424</v>
      </c>
      <c r="IC26" t="s">
        <v>423</v>
      </c>
      <c r="ID26">
        <v>0</v>
      </c>
      <c r="IE26">
        <v>100</v>
      </c>
      <c r="IF26">
        <v>100</v>
      </c>
      <c r="IG26">
        <v>-3.8660000000000001</v>
      </c>
      <c r="IH26">
        <v>0.32890000000000003</v>
      </c>
      <c r="II26">
        <v>-3.01978520341261</v>
      </c>
      <c r="IJ26">
        <v>-2.536945948238235E-3</v>
      </c>
      <c r="IK26">
        <v>1.581473279927893E-6</v>
      </c>
      <c r="IL26">
        <v>-4.6698293441882044E-10</v>
      </c>
      <c r="IM26">
        <v>-0.1836615197406383</v>
      </c>
      <c r="IN26">
        <v>-1.5895243091576399E-2</v>
      </c>
      <c r="IO26">
        <v>1.559614309849521E-3</v>
      </c>
      <c r="IP26">
        <v>-2.4566050869858518E-6</v>
      </c>
      <c r="IQ26">
        <v>2</v>
      </c>
      <c r="IR26">
        <v>2224</v>
      </c>
      <c r="IS26">
        <v>2</v>
      </c>
      <c r="IT26">
        <v>25</v>
      </c>
      <c r="IU26">
        <v>0.7</v>
      </c>
      <c r="IV26">
        <v>0.6</v>
      </c>
      <c r="IW26">
        <v>1.11694</v>
      </c>
      <c r="IX26">
        <v>2.4694799999999999</v>
      </c>
      <c r="IY26">
        <v>1.65039</v>
      </c>
      <c r="IZ26">
        <v>2.2961399999999998</v>
      </c>
      <c r="JA26">
        <v>1.50024</v>
      </c>
      <c r="JB26">
        <v>2.2778299999999998</v>
      </c>
      <c r="JC26">
        <v>37.2181</v>
      </c>
      <c r="JD26">
        <v>23.457100000000001</v>
      </c>
      <c r="JE26">
        <v>18</v>
      </c>
      <c r="JF26">
        <v>485.49099999999999</v>
      </c>
      <c r="JG26">
        <v>475.94</v>
      </c>
      <c r="JH26">
        <v>24.6006</v>
      </c>
      <c r="JI26">
        <v>32.293999999999997</v>
      </c>
      <c r="JJ26">
        <v>30.000499999999999</v>
      </c>
      <c r="JK26">
        <v>32.304499999999997</v>
      </c>
      <c r="JL26">
        <v>32.282499999999999</v>
      </c>
      <c r="JM26">
        <v>22.4011</v>
      </c>
      <c r="JN26">
        <v>35.775700000000001</v>
      </c>
      <c r="JO26">
        <v>44.686199999999999</v>
      </c>
      <c r="JP26">
        <v>24.582899999999999</v>
      </c>
      <c r="JQ26">
        <v>500</v>
      </c>
      <c r="JR26">
        <v>17.384499999999999</v>
      </c>
      <c r="JS26">
        <v>100.03700000000001</v>
      </c>
      <c r="JT26">
        <v>99.222499999999997</v>
      </c>
    </row>
    <row r="27" spans="1:280" x14ac:dyDescent="0.25">
      <c r="A27">
        <v>11</v>
      </c>
      <c r="B27">
        <v>1674575467</v>
      </c>
      <c r="C27">
        <v>1332.400000095367</v>
      </c>
      <c r="D27" t="s">
        <v>471</v>
      </c>
      <c r="E27" t="s">
        <v>472</v>
      </c>
      <c r="F27" t="s">
        <v>412</v>
      </c>
      <c r="G27" t="s">
        <v>413</v>
      </c>
      <c r="H27" t="s">
        <v>414</v>
      </c>
      <c r="I27">
        <v>1674575467</v>
      </c>
      <c r="J27">
        <f t="shared" si="0"/>
        <v>6.1636940226425692E-3</v>
      </c>
      <c r="K27">
        <f t="shared" si="1"/>
        <v>6.1636940226425692</v>
      </c>
      <c r="L27">
        <f t="shared" si="2"/>
        <v>53.386528775514428</v>
      </c>
      <c r="M27">
        <f t="shared" si="3"/>
        <v>532.077</v>
      </c>
      <c r="N27">
        <f t="shared" si="4"/>
        <v>338.07844882521556</v>
      </c>
      <c r="O27">
        <f t="shared" si="5"/>
        <v>33.741916880373047</v>
      </c>
      <c r="P27">
        <f t="shared" si="6"/>
        <v>53.103940728383996</v>
      </c>
      <c r="Q27">
        <f t="shared" si="7"/>
        <v>0.49980118500266241</v>
      </c>
      <c r="R27">
        <f t="shared" si="8"/>
        <v>2.9232721898850293</v>
      </c>
      <c r="S27">
        <f t="shared" si="9"/>
        <v>0.45672544136445575</v>
      </c>
      <c r="T27">
        <f t="shared" si="10"/>
        <v>0.28901357461348398</v>
      </c>
      <c r="U27">
        <f t="shared" si="11"/>
        <v>344.34599860494785</v>
      </c>
      <c r="V27">
        <f t="shared" si="12"/>
        <v>28.411069944581005</v>
      </c>
      <c r="W27">
        <f t="shared" si="13"/>
        <v>27.905200000000001</v>
      </c>
      <c r="X27">
        <f t="shared" si="14"/>
        <v>3.7739179347159295</v>
      </c>
      <c r="Y27">
        <f t="shared" si="15"/>
        <v>65.130888087589526</v>
      </c>
      <c r="Z27">
        <f t="shared" si="16"/>
        <v>2.4691355800831998</v>
      </c>
      <c r="AA27">
        <f t="shared" si="17"/>
        <v>3.791036254200387</v>
      </c>
      <c r="AB27">
        <f t="shared" si="18"/>
        <v>1.3047823546327297</v>
      </c>
      <c r="AC27">
        <f t="shared" si="19"/>
        <v>-271.81890639853731</v>
      </c>
      <c r="AD27">
        <f t="shared" si="20"/>
        <v>12.229717343363992</v>
      </c>
      <c r="AE27">
        <f t="shared" si="21"/>
        <v>0.91141347865464994</v>
      </c>
      <c r="AF27">
        <f t="shared" si="22"/>
        <v>85.668223028429182</v>
      </c>
      <c r="AG27">
        <v>13</v>
      </c>
      <c r="AH27">
        <v>3</v>
      </c>
      <c r="AI27">
        <f t="shared" si="23"/>
        <v>1</v>
      </c>
      <c r="AJ27">
        <f t="shared" si="24"/>
        <v>0</v>
      </c>
      <c r="AK27">
        <f t="shared" si="25"/>
        <v>52517.47681466052</v>
      </c>
      <c r="AL27" t="s">
        <v>415</v>
      </c>
      <c r="AM27">
        <v>10424.1</v>
      </c>
      <c r="AN27">
        <v>628.54280000000006</v>
      </c>
      <c r="AO27">
        <v>2663.98</v>
      </c>
      <c r="AP27">
        <f t="shared" si="26"/>
        <v>0.76405873917972356</v>
      </c>
      <c r="AQ27">
        <v>-3.1675626227050531</v>
      </c>
      <c r="AR27" t="s">
        <v>473</v>
      </c>
      <c r="AS27">
        <v>10177.4</v>
      </c>
      <c r="AT27">
        <v>767.51003846153844</v>
      </c>
      <c r="AU27">
        <v>1150.9394439357709</v>
      </c>
      <c r="AV27">
        <f t="shared" si="27"/>
        <v>0.33314472581029209</v>
      </c>
      <c r="AW27">
        <v>0.5</v>
      </c>
      <c r="AX27">
        <f t="shared" si="28"/>
        <v>1513.0835993024741</v>
      </c>
      <c r="AY27">
        <f t="shared" si="29"/>
        <v>53.386528775514428</v>
      </c>
      <c r="AZ27">
        <f t="shared" si="30"/>
        <v>252.0379104088363</v>
      </c>
      <c r="BA27">
        <f t="shared" si="31"/>
        <v>3.7376712974941176E-2</v>
      </c>
      <c r="BB27">
        <f t="shared" si="32"/>
        <v>1.3146135220548281</v>
      </c>
      <c r="BC27">
        <f t="shared" si="33"/>
        <v>479.74083203140208</v>
      </c>
      <c r="BD27" t="s">
        <v>474</v>
      </c>
      <c r="BE27">
        <v>590.86</v>
      </c>
      <c r="BF27">
        <f t="shared" si="34"/>
        <v>590.86</v>
      </c>
      <c r="BG27">
        <f t="shared" si="35"/>
        <v>0.48662807316822354</v>
      </c>
      <c r="BH27">
        <f t="shared" si="36"/>
        <v>0.68459824695548654</v>
      </c>
      <c r="BI27">
        <f t="shared" si="37"/>
        <v>0.72983742188789325</v>
      </c>
      <c r="BJ27">
        <f t="shared" si="38"/>
        <v>0.73398137205754233</v>
      </c>
      <c r="BK27">
        <f t="shared" si="39"/>
        <v>0.7433491714036814</v>
      </c>
      <c r="BL27">
        <f t="shared" si="40"/>
        <v>0.52703117865003568</v>
      </c>
      <c r="BM27">
        <f t="shared" si="41"/>
        <v>0.47296882134996432</v>
      </c>
      <c r="BN27">
        <v>20185</v>
      </c>
      <c r="BO27">
        <v>290.00000000000011</v>
      </c>
      <c r="BP27">
        <v>1058.92</v>
      </c>
      <c r="BQ27">
        <v>275</v>
      </c>
      <c r="BR27">
        <v>10177.4</v>
      </c>
      <c r="BS27">
        <v>1059.5999999999999</v>
      </c>
      <c r="BT27">
        <v>-0.68</v>
      </c>
      <c r="BU27">
        <v>300.00000000000011</v>
      </c>
      <c r="BV27">
        <v>24.2</v>
      </c>
      <c r="BW27">
        <v>1150.9394439357709</v>
      </c>
      <c r="BX27">
        <v>1.8815888139875989</v>
      </c>
      <c r="BY27">
        <v>-92.957323466795813</v>
      </c>
      <c r="BZ27">
        <v>1.705717457414361</v>
      </c>
      <c r="CA27">
        <v>0.99066036749806441</v>
      </c>
      <c r="CB27">
        <v>-6.9356803114571774E-3</v>
      </c>
      <c r="CC27">
        <v>289.99999999999989</v>
      </c>
      <c r="CD27">
        <v>1058.74</v>
      </c>
      <c r="CE27">
        <v>645</v>
      </c>
      <c r="CF27">
        <v>10157.9</v>
      </c>
      <c r="CG27">
        <v>1059.43</v>
      </c>
      <c r="CH27">
        <v>-0.69</v>
      </c>
      <c r="CV27">
        <f t="shared" si="42"/>
        <v>1799.88</v>
      </c>
      <c r="CW27">
        <f t="shared" si="43"/>
        <v>1513.0835993024741</v>
      </c>
      <c r="CX27">
        <f t="shared" si="44"/>
        <v>0.84065804348205098</v>
      </c>
      <c r="CY27">
        <f t="shared" si="45"/>
        <v>0.19131608696410196</v>
      </c>
      <c r="CZ27">
        <v>6</v>
      </c>
      <c r="DA27">
        <v>0.5</v>
      </c>
      <c r="DB27" t="s">
        <v>418</v>
      </c>
      <c r="DC27">
        <v>2</v>
      </c>
      <c r="DD27">
        <v>1674575467</v>
      </c>
      <c r="DE27">
        <v>532.077</v>
      </c>
      <c r="DF27">
        <v>600.05700000000002</v>
      </c>
      <c r="DG27">
        <v>24.739599999999999</v>
      </c>
      <c r="DH27">
        <v>17.528199999999998</v>
      </c>
      <c r="DI27">
        <v>536.10799999999995</v>
      </c>
      <c r="DJ27">
        <v>24.419899999999998</v>
      </c>
      <c r="DK27">
        <v>500.142</v>
      </c>
      <c r="DL27">
        <v>99.704899999999995</v>
      </c>
      <c r="DM27">
        <v>0.100092</v>
      </c>
      <c r="DN27">
        <v>27.982800000000001</v>
      </c>
      <c r="DO27">
        <v>27.905200000000001</v>
      </c>
      <c r="DP27">
        <v>999.9</v>
      </c>
      <c r="DQ27">
        <v>0</v>
      </c>
      <c r="DR27">
        <v>0</v>
      </c>
      <c r="DS27">
        <v>9993.75</v>
      </c>
      <c r="DT27">
        <v>0</v>
      </c>
      <c r="DU27">
        <v>425.44799999999998</v>
      </c>
      <c r="DV27">
        <v>-67.980199999999996</v>
      </c>
      <c r="DW27">
        <v>545.57399999999996</v>
      </c>
      <c r="DX27">
        <v>610.76300000000003</v>
      </c>
      <c r="DY27">
        <v>7.21136</v>
      </c>
      <c r="DZ27">
        <v>600.05700000000002</v>
      </c>
      <c r="EA27">
        <v>17.528199999999998</v>
      </c>
      <c r="EB27">
        <v>2.4666600000000001</v>
      </c>
      <c r="EC27">
        <v>1.7476499999999999</v>
      </c>
      <c r="ED27">
        <v>20.808199999999999</v>
      </c>
      <c r="EE27">
        <v>15.3263</v>
      </c>
      <c r="EF27">
        <v>1799.88</v>
      </c>
      <c r="EG27">
        <v>0.97800399999999998</v>
      </c>
      <c r="EH27">
        <v>2.1996499999999999E-2</v>
      </c>
      <c r="EI27">
        <v>0</v>
      </c>
      <c r="EJ27">
        <v>767.38800000000003</v>
      </c>
      <c r="EK27">
        <v>5.0010599999999998</v>
      </c>
      <c r="EL27">
        <v>14357.6</v>
      </c>
      <c r="EM27">
        <v>16709.900000000001</v>
      </c>
      <c r="EN27">
        <v>48.186999999999998</v>
      </c>
      <c r="EO27">
        <v>48.936999999999998</v>
      </c>
      <c r="EP27">
        <v>49.125</v>
      </c>
      <c r="EQ27">
        <v>47.75</v>
      </c>
      <c r="ER27">
        <v>49.125</v>
      </c>
      <c r="ES27">
        <v>1755.4</v>
      </c>
      <c r="ET27">
        <v>39.479999999999997</v>
      </c>
      <c r="EU27">
        <v>0</v>
      </c>
      <c r="EV27">
        <v>121.2000000476837</v>
      </c>
      <c r="EW27">
        <v>0</v>
      </c>
      <c r="EX27">
        <v>767.51003846153844</v>
      </c>
      <c r="EY27">
        <v>2.3434871819938659</v>
      </c>
      <c r="EZ27">
        <v>9.9350426749848424</v>
      </c>
      <c r="FA27">
        <v>14360.47692307692</v>
      </c>
      <c r="FB27">
        <v>15</v>
      </c>
      <c r="FC27">
        <v>1674575419.5</v>
      </c>
      <c r="FD27" t="s">
        <v>475</v>
      </c>
      <c r="FE27">
        <v>1674575416</v>
      </c>
      <c r="FF27">
        <v>1674575419.5</v>
      </c>
      <c r="FG27">
        <v>12</v>
      </c>
      <c r="FH27">
        <v>-3.3000000000000002E-2</v>
      </c>
      <c r="FI27">
        <v>-3.0000000000000001E-3</v>
      </c>
      <c r="FJ27">
        <v>-4.1120000000000001</v>
      </c>
      <c r="FK27">
        <v>-4.0000000000000001E-3</v>
      </c>
      <c r="FL27">
        <v>600</v>
      </c>
      <c r="FM27">
        <v>17</v>
      </c>
      <c r="FN27">
        <v>0.04</v>
      </c>
      <c r="FO27">
        <v>0.01</v>
      </c>
      <c r="FP27">
        <v>53.270802801204077</v>
      </c>
      <c r="FQ27">
        <v>0.53561575664267835</v>
      </c>
      <c r="FR27">
        <v>6.3054200381750899E-2</v>
      </c>
      <c r="FS27">
        <v>1</v>
      </c>
      <c r="FT27">
        <v>0.50651473093058264</v>
      </c>
      <c r="FU27">
        <v>-4.8335179876674288E-2</v>
      </c>
      <c r="FV27">
        <v>4.9866312747156296E-3</v>
      </c>
      <c r="FW27">
        <v>1</v>
      </c>
      <c r="FX27">
        <v>2</v>
      </c>
      <c r="FY27">
        <v>2</v>
      </c>
      <c r="FZ27" t="s">
        <v>420</v>
      </c>
      <c r="GA27">
        <v>2.9779800000000001</v>
      </c>
      <c r="GB27">
        <v>2.8063600000000002</v>
      </c>
      <c r="GC27">
        <v>0.121243</v>
      </c>
      <c r="GD27">
        <v>0.12985099999999999</v>
      </c>
      <c r="GE27">
        <v>0.121586</v>
      </c>
      <c r="GF27">
        <v>9.5392199999999996E-2</v>
      </c>
      <c r="GG27">
        <v>25995.5</v>
      </c>
      <c r="GH27">
        <v>23875.599999999999</v>
      </c>
      <c r="GI27">
        <v>26593.9</v>
      </c>
      <c r="GJ27">
        <v>25915.1</v>
      </c>
      <c r="GK27">
        <v>31802</v>
      </c>
      <c r="GL27">
        <v>33087.300000000003</v>
      </c>
      <c r="GM27">
        <v>37696.1</v>
      </c>
      <c r="GN27">
        <v>38447.599999999999</v>
      </c>
      <c r="GO27">
        <v>1.94167</v>
      </c>
      <c r="GP27">
        <v>1.9349799999999999</v>
      </c>
      <c r="GQ27">
        <v>4.2058499999999999E-2</v>
      </c>
      <c r="GR27">
        <v>0</v>
      </c>
      <c r="GS27">
        <v>27.218</v>
      </c>
      <c r="GT27">
        <v>999.9</v>
      </c>
      <c r="GU27">
        <v>47.8</v>
      </c>
      <c r="GV27">
        <v>31.6</v>
      </c>
      <c r="GW27">
        <v>22.377500000000001</v>
      </c>
      <c r="GX27">
        <v>61.937600000000003</v>
      </c>
      <c r="GY27">
        <v>11.5425</v>
      </c>
      <c r="GZ27">
        <v>1</v>
      </c>
      <c r="HA27">
        <v>0.41019099999999997</v>
      </c>
      <c r="HB27">
        <v>2.7031499999999999</v>
      </c>
      <c r="HC27">
        <v>20.236499999999999</v>
      </c>
      <c r="HD27">
        <v>5.2099500000000001</v>
      </c>
      <c r="HE27">
        <v>11.9381</v>
      </c>
      <c r="HF27">
        <v>4.9875999999999996</v>
      </c>
      <c r="HG27">
        <v>3.29095</v>
      </c>
      <c r="HH27">
        <v>9999</v>
      </c>
      <c r="HI27">
        <v>9999</v>
      </c>
      <c r="HJ27">
        <v>9999</v>
      </c>
      <c r="HK27">
        <v>999.9</v>
      </c>
      <c r="HL27">
        <v>1.87063</v>
      </c>
      <c r="HM27">
        <v>1.87686</v>
      </c>
      <c r="HN27">
        <v>1.8745499999999999</v>
      </c>
      <c r="HO27">
        <v>1.87286</v>
      </c>
      <c r="HP27">
        <v>1.8733200000000001</v>
      </c>
      <c r="HQ27">
        <v>1.87073</v>
      </c>
      <c r="HR27">
        <v>1.8766799999999999</v>
      </c>
      <c r="HS27">
        <v>1.8757600000000001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424</v>
      </c>
      <c r="IB27" t="s">
        <v>424</v>
      </c>
      <c r="IC27" t="s">
        <v>423</v>
      </c>
      <c r="ID27">
        <v>0</v>
      </c>
      <c r="IE27">
        <v>100</v>
      </c>
      <c r="IF27">
        <v>100</v>
      </c>
      <c r="IG27">
        <v>-4.0309999999999997</v>
      </c>
      <c r="IH27">
        <v>0.31969999999999998</v>
      </c>
      <c r="II27">
        <v>-3.0530872423446151</v>
      </c>
      <c r="IJ27">
        <v>-2.536945948238235E-3</v>
      </c>
      <c r="IK27">
        <v>1.581473279927893E-6</v>
      </c>
      <c r="IL27">
        <v>-4.6698293441882044E-10</v>
      </c>
      <c r="IM27">
        <v>-0.1864685625275718</v>
      </c>
      <c r="IN27">
        <v>-1.5895243091576399E-2</v>
      </c>
      <c r="IO27">
        <v>1.559614309849521E-3</v>
      </c>
      <c r="IP27">
        <v>-2.4566050869858518E-6</v>
      </c>
      <c r="IQ27">
        <v>2</v>
      </c>
      <c r="IR27">
        <v>2224</v>
      </c>
      <c r="IS27">
        <v>2</v>
      </c>
      <c r="IT27">
        <v>25</v>
      </c>
      <c r="IU27">
        <v>0.8</v>
      </c>
      <c r="IV27">
        <v>0.8</v>
      </c>
      <c r="IW27">
        <v>1.2927200000000001</v>
      </c>
      <c r="IX27">
        <v>2.4719199999999999</v>
      </c>
      <c r="IY27">
        <v>1.65039</v>
      </c>
      <c r="IZ27">
        <v>2.2961399999999998</v>
      </c>
      <c r="JA27">
        <v>1.50024</v>
      </c>
      <c r="JB27">
        <v>2.2680699999999998</v>
      </c>
      <c r="JC27">
        <v>37.505899999999997</v>
      </c>
      <c r="JD27">
        <v>23.474599999999999</v>
      </c>
      <c r="JE27">
        <v>18</v>
      </c>
      <c r="JF27">
        <v>485.49799999999999</v>
      </c>
      <c r="JG27">
        <v>474.42099999999999</v>
      </c>
      <c r="JH27">
        <v>24.6189</v>
      </c>
      <c r="JI27">
        <v>32.406100000000002</v>
      </c>
      <c r="JJ27">
        <v>30.000399999999999</v>
      </c>
      <c r="JK27">
        <v>32.374899999999997</v>
      </c>
      <c r="JL27">
        <v>32.3461</v>
      </c>
      <c r="JM27">
        <v>25.8996</v>
      </c>
      <c r="JN27">
        <v>35.3523</v>
      </c>
      <c r="JO27">
        <v>44.131399999999999</v>
      </c>
      <c r="JP27">
        <v>24.634599999999999</v>
      </c>
      <c r="JQ27">
        <v>600</v>
      </c>
      <c r="JR27">
        <v>17.557400000000001</v>
      </c>
      <c r="JS27">
        <v>100.021</v>
      </c>
      <c r="JT27">
        <v>99.195400000000006</v>
      </c>
    </row>
    <row r="28" spans="1:280" x14ac:dyDescent="0.25">
      <c r="A28">
        <v>12</v>
      </c>
      <c r="B28">
        <v>1674575576</v>
      </c>
      <c r="C28">
        <v>1441.400000095367</v>
      </c>
      <c r="D28" t="s">
        <v>476</v>
      </c>
      <c r="E28" t="s">
        <v>477</v>
      </c>
      <c r="F28" t="s">
        <v>412</v>
      </c>
      <c r="G28" t="s">
        <v>413</v>
      </c>
      <c r="H28" t="s">
        <v>414</v>
      </c>
      <c r="I28">
        <v>1674575576</v>
      </c>
      <c r="J28">
        <f t="shared" si="0"/>
        <v>5.8704315310798942E-3</v>
      </c>
      <c r="K28">
        <f t="shared" si="1"/>
        <v>5.8704315310798938</v>
      </c>
      <c r="L28">
        <f t="shared" si="2"/>
        <v>53.584067776889384</v>
      </c>
      <c r="M28">
        <f t="shared" si="3"/>
        <v>730.56100000000004</v>
      </c>
      <c r="N28">
        <f t="shared" si="4"/>
        <v>520.37274963962375</v>
      </c>
      <c r="O28">
        <f t="shared" si="5"/>
        <v>51.936358348102914</v>
      </c>
      <c r="P28">
        <f t="shared" si="6"/>
        <v>72.914421282484597</v>
      </c>
      <c r="Q28">
        <f t="shared" si="7"/>
        <v>0.46886169306317665</v>
      </c>
      <c r="R28">
        <f t="shared" si="8"/>
        <v>2.9272335208997085</v>
      </c>
      <c r="S28">
        <f t="shared" si="9"/>
        <v>0.43078335569967052</v>
      </c>
      <c r="T28">
        <f t="shared" si="10"/>
        <v>0.27240261119406139</v>
      </c>
      <c r="U28">
        <f t="shared" si="11"/>
        <v>344.37259860505628</v>
      </c>
      <c r="V28">
        <f t="shared" si="12"/>
        <v>28.516749032063331</v>
      </c>
      <c r="W28">
        <f t="shared" si="13"/>
        <v>27.976800000000001</v>
      </c>
      <c r="X28">
        <f t="shared" si="14"/>
        <v>3.7897102605906432</v>
      </c>
      <c r="Y28">
        <f t="shared" si="15"/>
        <v>65.100797929008138</v>
      </c>
      <c r="Z28">
        <f t="shared" si="16"/>
        <v>2.4722861446837401</v>
      </c>
      <c r="AA28">
        <f t="shared" si="17"/>
        <v>3.7976280219786971</v>
      </c>
      <c r="AB28">
        <f t="shared" si="18"/>
        <v>1.3174241159069031</v>
      </c>
      <c r="AC28">
        <f t="shared" si="19"/>
        <v>-258.88603052062331</v>
      </c>
      <c r="AD28">
        <f t="shared" si="20"/>
        <v>5.6497058861188032</v>
      </c>
      <c r="AE28">
        <f t="shared" si="21"/>
        <v>0.42068422290462198</v>
      </c>
      <c r="AF28">
        <f t="shared" si="22"/>
        <v>91.556958193456424</v>
      </c>
      <c r="AG28">
        <v>13</v>
      </c>
      <c r="AH28">
        <v>3</v>
      </c>
      <c r="AI28">
        <f t="shared" si="23"/>
        <v>1</v>
      </c>
      <c r="AJ28">
        <f t="shared" si="24"/>
        <v>0</v>
      </c>
      <c r="AK28">
        <f t="shared" si="25"/>
        <v>52626.245104163027</v>
      </c>
      <c r="AL28" t="s">
        <v>415</v>
      </c>
      <c r="AM28">
        <v>10424.1</v>
      </c>
      <c r="AN28">
        <v>628.54280000000006</v>
      </c>
      <c r="AO28">
        <v>2663.98</v>
      </c>
      <c r="AP28">
        <f t="shared" si="26"/>
        <v>0.76405873917972356</v>
      </c>
      <c r="AQ28">
        <v>-3.1675626227050531</v>
      </c>
      <c r="AR28" t="s">
        <v>478</v>
      </c>
      <c r="AS28">
        <v>10179.6</v>
      </c>
      <c r="AT28">
        <v>768.1976538461538</v>
      </c>
      <c r="AU28">
        <v>1163.9535884518009</v>
      </c>
      <c r="AV28">
        <f t="shared" si="27"/>
        <v>0.34001006443225146</v>
      </c>
      <c r="AW28">
        <v>0.5</v>
      </c>
      <c r="AX28">
        <f t="shared" si="28"/>
        <v>1513.201199302528</v>
      </c>
      <c r="AY28">
        <f t="shared" si="29"/>
        <v>53.584067776889384</v>
      </c>
      <c r="AZ28">
        <f t="shared" si="30"/>
        <v>257.25181863690636</v>
      </c>
      <c r="BA28">
        <f t="shared" si="31"/>
        <v>3.7504351982903972E-2</v>
      </c>
      <c r="BB28">
        <f t="shared" si="32"/>
        <v>1.2887338691428545</v>
      </c>
      <c r="BC28">
        <f t="shared" si="33"/>
        <v>481.98714168674474</v>
      </c>
      <c r="BD28" t="s">
        <v>479</v>
      </c>
      <c r="BE28">
        <v>590.44000000000005</v>
      </c>
      <c r="BF28">
        <f t="shared" si="34"/>
        <v>590.44000000000005</v>
      </c>
      <c r="BG28">
        <f t="shared" si="35"/>
        <v>0.49272891474534075</v>
      </c>
      <c r="BH28">
        <f t="shared" si="36"/>
        <v>0.69005502672393471</v>
      </c>
      <c r="BI28">
        <f t="shared" si="37"/>
        <v>0.7234132987780314</v>
      </c>
      <c r="BJ28">
        <f t="shared" si="38"/>
        <v>0.73916316806020832</v>
      </c>
      <c r="BK28">
        <f t="shared" si="39"/>
        <v>0.73695538803565108</v>
      </c>
      <c r="BL28">
        <f t="shared" si="40"/>
        <v>0.53037924281460624</v>
      </c>
      <c r="BM28">
        <f t="shared" si="41"/>
        <v>0.46962075718539376</v>
      </c>
      <c r="BN28">
        <v>20187</v>
      </c>
      <c r="BO28">
        <v>290.00000000000011</v>
      </c>
      <c r="BP28">
        <v>1064.77</v>
      </c>
      <c r="BQ28">
        <v>255</v>
      </c>
      <c r="BR28">
        <v>10179.6</v>
      </c>
      <c r="BS28">
        <v>1065.4000000000001</v>
      </c>
      <c r="BT28">
        <v>-0.63</v>
      </c>
      <c r="BU28">
        <v>300.00000000000011</v>
      </c>
      <c r="BV28">
        <v>24.2</v>
      </c>
      <c r="BW28">
        <v>1163.9535884518009</v>
      </c>
      <c r="BX28">
        <v>1.696708409071767</v>
      </c>
      <c r="BY28">
        <v>-100.32502849095761</v>
      </c>
      <c r="BZ28">
        <v>1.537981612271067</v>
      </c>
      <c r="CA28">
        <v>0.99346277649414005</v>
      </c>
      <c r="CB28">
        <v>-6.9351777530589588E-3</v>
      </c>
      <c r="CC28">
        <v>289.99999999999989</v>
      </c>
      <c r="CD28">
        <v>1063.75</v>
      </c>
      <c r="CE28">
        <v>685</v>
      </c>
      <c r="CF28">
        <v>10153.799999999999</v>
      </c>
      <c r="CG28">
        <v>1065.1500000000001</v>
      </c>
      <c r="CH28">
        <v>-1.4</v>
      </c>
      <c r="CV28">
        <f t="shared" si="42"/>
        <v>1800.02</v>
      </c>
      <c r="CW28">
        <f t="shared" si="43"/>
        <v>1513.201199302528</v>
      </c>
      <c r="CX28">
        <f t="shared" si="44"/>
        <v>0.84065799230149008</v>
      </c>
      <c r="CY28">
        <f t="shared" si="45"/>
        <v>0.19131598460298013</v>
      </c>
      <c r="CZ28">
        <v>6</v>
      </c>
      <c r="DA28">
        <v>0.5</v>
      </c>
      <c r="DB28" t="s">
        <v>418</v>
      </c>
      <c r="DC28">
        <v>2</v>
      </c>
      <c r="DD28">
        <v>1674575576</v>
      </c>
      <c r="DE28">
        <v>730.56100000000004</v>
      </c>
      <c r="DF28">
        <v>799.995</v>
      </c>
      <c r="DG28">
        <v>24.770900000000001</v>
      </c>
      <c r="DH28">
        <v>17.902200000000001</v>
      </c>
      <c r="DI28">
        <v>734.96699999999998</v>
      </c>
      <c r="DJ28">
        <v>24.457699999999999</v>
      </c>
      <c r="DK28">
        <v>500.096</v>
      </c>
      <c r="DL28">
        <v>99.706500000000005</v>
      </c>
      <c r="DM28">
        <v>9.9568599999999993E-2</v>
      </c>
      <c r="DN28">
        <v>28.012599999999999</v>
      </c>
      <c r="DO28">
        <v>27.976800000000001</v>
      </c>
      <c r="DP28">
        <v>999.9</v>
      </c>
      <c r="DQ28">
        <v>0</v>
      </c>
      <c r="DR28">
        <v>0</v>
      </c>
      <c r="DS28">
        <v>10016.200000000001</v>
      </c>
      <c r="DT28">
        <v>0</v>
      </c>
      <c r="DU28">
        <v>427.71199999999999</v>
      </c>
      <c r="DV28">
        <v>-69.434100000000001</v>
      </c>
      <c r="DW28">
        <v>749.11800000000005</v>
      </c>
      <c r="DX28">
        <v>814.57799999999997</v>
      </c>
      <c r="DY28">
        <v>6.8687100000000001</v>
      </c>
      <c r="DZ28">
        <v>799.995</v>
      </c>
      <c r="EA28">
        <v>17.902200000000001</v>
      </c>
      <c r="EB28">
        <v>2.4698199999999999</v>
      </c>
      <c r="EC28">
        <v>1.7849600000000001</v>
      </c>
      <c r="ED28">
        <v>20.829000000000001</v>
      </c>
      <c r="EE28">
        <v>15.6557</v>
      </c>
      <c r="EF28">
        <v>1800.02</v>
      </c>
      <c r="EG28">
        <v>0.97800699999999996</v>
      </c>
      <c r="EH28">
        <v>2.1992999999999999E-2</v>
      </c>
      <c r="EI28">
        <v>0</v>
      </c>
      <c r="EJ28">
        <v>768.74699999999996</v>
      </c>
      <c r="EK28">
        <v>5.0010599999999998</v>
      </c>
      <c r="EL28">
        <v>14381.9</v>
      </c>
      <c r="EM28">
        <v>16711.3</v>
      </c>
      <c r="EN28">
        <v>48.311999999999998</v>
      </c>
      <c r="EO28">
        <v>49.061999999999998</v>
      </c>
      <c r="EP28">
        <v>49.25</v>
      </c>
      <c r="EQ28">
        <v>47.811999999999998</v>
      </c>
      <c r="ER28">
        <v>49.186999999999998</v>
      </c>
      <c r="ES28">
        <v>1755.54</v>
      </c>
      <c r="ET28">
        <v>39.479999999999997</v>
      </c>
      <c r="EU28">
        <v>0</v>
      </c>
      <c r="EV28">
        <v>106.7999999523163</v>
      </c>
      <c r="EW28">
        <v>0</v>
      </c>
      <c r="EX28">
        <v>768.1976538461538</v>
      </c>
      <c r="EY28">
        <v>1.6782564102975379</v>
      </c>
      <c r="EZ28">
        <v>33.740170899711359</v>
      </c>
      <c r="FA28">
        <v>14378.280769230771</v>
      </c>
      <c r="FB28">
        <v>15</v>
      </c>
      <c r="FC28">
        <v>1674575542.5</v>
      </c>
      <c r="FD28" t="s">
        <v>480</v>
      </c>
      <c r="FE28">
        <v>1674575539.5</v>
      </c>
      <c r="FF28">
        <v>1674575542.5</v>
      </c>
      <c r="FG28">
        <v>13</v>
      </c>
      <c r="FH28">
        <v>-0.157</v>
      </c>
      <c r="FI28">
        <v>-8.9999999999999993E-3</v>
      </c>
      <c r="FJ28">
        <v>-4.4710000000000001</v>
      </c>
      <c r="FK28">
        <v>-2E-3</v>
      </c>
      <c r="FL28">
        <v>800</v>
      </c>
      <c r="FM28">
        <v>18</v>
      </c>
      <c r="FN28">
        <v>0.02</v>
      </c>
      <c r="FO28">
        <v>0.01</v>
      </c>
      <c r="FP28">
        <v>53.553629410141284</v>
      </c>
      <c r="FQ28">
        <v>-0.58262416269241024</v>
      </c>
      <c r="FR28">
        <v>0.12651477651152929</v>
      </c>
      <c r="FS28">
        <v>1</v>
      </c>
      <c r="FT28">
        <v>0.48157727943393769</v>
      </c>
      <c r="FU28">
        <v>-4.9419624278231877E-2</v>
      </c>
      <c r="FV28">
        <v>5.7631520900863686E-3</v>
      </c>
      <c r="FW28">
        <v>1</v>
      </c>
      <c r="FX28">
        <v>2</v>
      </c>
      <c r="FY28">
        <v>2</v>
      </c>
      <c r="FZ28" t="s">
        <v>420</v>
      </c>
      <c r="GA28">
        <v>2.9777499999999999</v>
      </c>
      <c r="GB28">
        <v>2.8060399999999999</v>
      </c>
      <c r="GC28">
        <v>0.15118000000000001</v>
      </c>
      <c r="GD28">
        <v>0.15817899999999999</v>
      </c>
      <c r="GE28">
        <v>0.121697</v>
      </c>
      <c r="GF28">
        <v>9.6808199999999997E-2</v>
      </c>
      <c r="GG28">
        <v>25104.7</v>
      </c>
      <c r="GH28">
        <v>23091.9</v>
      </c>
      <c r="GI28">
        <v>26589.9</v>
      </c>
      <c r="GJ28">
        <v>25909.8</v>
      </c>
      <c r="GK28">
        <v>31792.9</v>
      </c>
      <c r="GL28">
        <v>33029.599999999999</v>
      </c>
      <c r="GM28">
        <v>37689.300000000003</v>
      </c>
      <c r="GN28">
        <v>38440.6</v>
      </c>
      <c r="GO28">
        <v>1.9398299999999999</v>
      </c>
      <c r="GP28">
        <v>1.9328799999999999</v>
      </c>
      <c r="GQ28">
        <v>4.4599199999999999E-2</v>
      </c>
      <c r="GR28">
        <v>0</v>
      </c>
      <c r="GS28">
        <v>27.248100000000001</v>
      </c>
      <c r="GT28">
        <v>999.9</v>
      </c>
      <c r="GU28">
        <v>47.5</v>
      </c>
      <c r="GV28">
        <v>31.8</v>
      </c>
      <c r="GW28">
        <v>22.492699999999999</v>
      </c>
      <c r="GX28">
        <v>61.807600000000001</v>
      </c>
      <c r="GY28">
        <v>11.710699999999999</v>
      </c>
      <c r="GZ28">
        <v>1</v>
      </c>
      <c r="HA28">
        <v>0.41950500000000002</v>
      </c>
      <c r="HB28">
        <v>2.9104800000000002</v>
      </c>
      <c r="HC28">
        <v>20.232099999999999</v>
      </c>
      <c r="HD28">
        <v>5.2063600000000001</v>
      </c>
      <c r="HE28">
        <v>11.937799999999999</v>
      </c>
      <c r="HF28">
        <v>4.9866999999999999</v>
      </c>
      <c r="HG28">
        <v>3.2899699999999998</v>
      </c>
      <c r="HH28">
        <v>9999</v>
      </c>
      <c r="HI28">
        <v>9999</v>
      </c>
      <c r="HJ28">
        <v>9999</v>
      </c>
      <c r="HK28">
        <v>999.9</v>
      </c>
      <c r="HL28">
        <v>1.8706100000000001</v>
      </c>
      <c r="HM28">
        <v>1.87683</v>
      </c>
      <c r="HN28">
        <v>1.8745700000000001</v>
      </c>
      <c r="HO28">
        <v>1.87286</v>
      </c>
      <c r="HP28">
        <v>1.8733299999999999</v>
      </c>
      <c r="HQ28">
        <v>1.87073</v>
      </c>
      <c r="HR28">
        <v>1.8766799999999999</v>
      </c>
      <c r="HS28">
        <v>1.8757600000000001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424</v>
      </c>
      <c r="IB28" t="s">
        <v>424</v>
      </c>
      <c r="IC28" t="s">
        <v>423</v>
      </c>
      <c r="ID28">
        <v>0</v>
      </c>
      <c r="IE28">
        <v>100</v>
      </c>
      <c r="IF28">
        <v>100</v>
      </c>
      <c r="IG28">
        <v>-4.4059999999999997</v>
      </c>
      <c r="IH28">
        <v>0.31319999999999998</v>
      </c>
      <c r="II28">
        <v>-3.210294459530695</v>
      </c>
      <c r="IJ28">
        <v>-2.536945948238235E-3</v>
      </c>
      <c r="IK28">
        <v>1.581473279927893E-6</v>
      </c>
      <c r="IL28">
        <v>-4.6698293441882044E-10</v>
      </c>
      <c r="IM28">
        <v>-0.19511048800701419</v>
      </c>
      <c r="IN28">
        <v>-1.5895243091576399E-2</v>
      </c>
      <c r="IO28">
        <v>1.559614309849521E-3</v>
      </c>
      <c r="IP28">
        <v>-2.4566050869858518E-6</v>
      </c>
      <c r="IQ28">
        <v>2</v>
      </c>
      <c r="IR28">
        <v>2224</v>
      </c>
      <c r="IS28">
        <v>2</v>
      </c>
      <c r="IT28">
        <v>25</v>
      </c>
      <c r="IU28">
        <v>0.6</v>
      </c>
      <c r="IV28">
        <v>0.6</v>
      </c>
      <c r="IW28">
        <v>1.63208</v>
      </c>
      <c r="IX28">
        <v>2.4670399999999999</v>
      </c>
      <c r="IY28">
        <v>1.65039</v>
      </c>
      <c r="IZ28">
        <v>2.2949199999999998</v>
      </c>
      <c r="JA28">
        <v>1.50024</v>
      </c>
      <c r="JB28">
        <v>2.32178</v>
      </c>
      <c r="JC28">
        <v>37.747</v>
      </c>
      <c r="JD28">
        <v>23.457100000000001</v>
      </c>
      <c r="JE28">
        <v>18</v>
      </c>
      <c r="JF28">
        <v>484.95499999999998</v>
      </c>
      <c r="JG28">
        <v>473.61500000000001</v>
      </c>
      <c r="JH28">
        <v>24.5487</v>
      </c>
      <c r="JI28">
        <v>32.508200000000002</v>
      </c>
      <c r="JJ28">
        <v>30.000499999999999</v>
      </c>
      <c r="JK28">
        <v>32.456299999999999</v>
      </c>
      <c r="JL28">
        <v>32.421500000000002</v>
      </c>
      <c r="JM28">
        <v>32.680300000000003</v>
      </c>
      <c r="JN28">
        <v>34.067</v>
      </c>
      <c r="JO28">
        <v>43.794499999999999</v>
      </c>
      <c r="JP28">
        <v>24.534800000000001</v>
      </c>
      <c r="JQ28">
        <v>800</v>
      </c>
      <c r="JR28">
        <v>17.945399999999999</v>
      </c>
      <c r="JS28">
        <v>100.004</v>
      </c>
      <c r="JT28">
        <v>99.176299999999998</v>
      </c>
    </row>
    <row r="29" spans="1:280" x14ac:dyDescent="0.25">
      <c r="A29">
        <v>13</v>
      </c>
      <c r="B29">
        <v>1674575682</v>
      </c>
      <c r="C29">
        <v>1547.400000095367</v>
      </c>
      <c r="D29" t="s">
        <v>481</v>
      </c>
      <c r="E29" t="s">
        <v>482</v>
      </c>
      <c r="F29" t="s">
        <v>412</v>
      </c>
      <c r="G29" t="s">
        <v>413</v>
      </c>
      <c r="H29" t="s">
        <v>414</v>
      </c>
      <c r="I29">
        <v>1674575682</v>
      </c>
      <c r="J29">
        <f t="shared" si="0"/>
        <v>5.5504706893899775E-3</v>
      </c>
      <c r="K29">
        <f t="shared" si="1"/>
        <v>5.5504706893899778</v>
      </c>
      <c r="L29">
        <f t="shared" si="2"/>
        <v>52.696493722230528</v>
      </c>
      <c r="M29">
        <f t="shared" si="3"/>
        <v>1129.3599999999999</v>
      </c>
      <c r="N29">
        <f t="shared" si="4"/>
        <v>902.00830526326183</v>
      </c>
      <c r="O29">
        <f t="shared" si="5"/>
        <v>90.020020435912912</v>
      </c>
      <c r="P29">
        <f t="shared" si="6"/>
        <v>112.70961662579199</v>
      </c>
      <c r="Q29">
        <f t="shared" si="7"/>
        <v>0.43974761243560045</v>
      </c>
      <c r="R29">
        <f t="shared" si="8"/>
        <v>2.9231790458948907</v>
      </c>
      <c r="S29">
        <f t="shared" si="9"/>
        <v>0.40602665943143229</v>
      </c>
      <c r="T29">
        <f t="shared" si="10"/>
        <v>0.25658053223943711</v>
      </c>
      <c r="U29">
        <f t="shared" si="11"/>
        <v>344.34979860496338</v>
      </c>
      <c r="V29">
        <f t="shared" si="12"/>
        <v>28.592689762685502</v>
      </c>
      <c r="W29">
        <f t="shared" si="13"/>
        <v>28.002800000000001</v>
      </c>
      <c r="X29">
        <f t="shared" si="14"/>
        <v>3.7954591567789628</v>
      </c>
      <c r="Y29">
        <f t="shared" si="15"/>
        <v>65.176745776329838</v>
      </c>
      <c r="Z29">
        <f t="shared" si="16"/>
        <v>2.474030775088</v>
      </c>
      <c r="AA29">
        <f t="shared" si="17"/>
        <v>3.7958795665838396</v>
      </c>
      <c r="AB29">
        <f t="shared" si="18"/>
        <v>1.3214283816909629</v>
      </c>
      <c r="AC29">
        <f t="shared" si="19"/>
        <v>-244.77575740209801</v>
      </c>
      <c r="AD29">
        <f t="shared" si="20"/>
        <v>0.29942941457220423</v>
      </c>
      <c r="AE29">
        <f t="shared" si="21"/>
        <v>2.2328830181159959E-2</v>
      </c>
      <c r="AF29">
        <f t="shared" si="22"/>
        <v>99.895799447618728</v>
      </c>
      <c r="AG29">
        <v>13</v>
      </c>
      <c r="AH29">
        <v>3</v>
      </c>
      <c r="AI29">
        <f t="shared" si="23"/>
        <v>1</v>
      </c>
      <c r="AJ29">
        <f t="shared" si="24"/>
        <v>0</v>
      </c>
      <c r="AK29">
        <f t="shared" si="25"/>
        <v>52510.864373951139</v>
      </c>
      <c r="AL29" t="s">
        <v>415</v>
      </c>
      <c r="AM29">
        <v>10424.1</v>
      </c>
      <c r="AN29">
        <v>628.54280000000006</v>
      </c>
      <c r="AO29">
        <v>2663.98</v>
      </c>
      <c r="AP29">
        <f t="shared" si="26"/>
        <v>0.76405873917972356</v>
      </c>
      <c r="AQ29">
        <v>-3.1675626227050531</v>
      </c>
      <c r="AR29" t="s">
        <v>483</v>
      </c>
      <c r="AS29">
        <v>10189.1</v>
      </c>
      <c r="AT29">
        <v>768.10860000000002</v>
      </c>
      <c r="AU29">
        <v>1167.052041709401</v>
      </c>
      <c r="AV29">
        <f t="shared" si="27"/>
        <v>0.34183860483638906</v>
      </c>
      <c r="AW29">
        <v>0.5</v>
      </c>
      <c r="AX29">
        <f t="shared" si="28"/>
        <v>1513.1003993024817</v>
      </c>
      <c r="AY29">
        <f t="shared" si="29"/>
        <v>52.696493722230528</v>
      </c>
      <c r="AZ29">
        <f t="shared" si="30"/>
        <v>258.6180647374718</v>
      </c>
      <c r="BA29">
        <f t="shared" si="31"/>
        <v>3.69202574863427E-2</v>
      </c>
      <c r="BB29">
        <f t="shared" si="32"/>
        <v>1.2826574178286199</v>
      </c>
      <c r="BC29">
        <f t="shared" si="33"/>
        <v>482.51762007093811</v>
      </c>
      <c r="BD29" t="s">
        <v>484</v>
      </c>
      <c r="BE29">
        <v>590.36</v>
      </c>
      <c r="BF29">
        <f t="shared" si="34"/>
        <v>590.36</v>
      </c>
      <c r="BG29">
        <f t="shared" si="35"/>
        <v>0.49414423787366868</v>
      </c>
      <c r="BH29">
        <f t="shared" si="36"/>
        <v>0.69177899616383343</v>
      </c>
      <c r="BI29">
        <f t="shared" si="37"/>
        <v>0.72189116534880982</v>
      </c>
      <c r="BJ29">
        <f t="shared" si="38"/>
        <v>0.74082933181058619</v>
      </c>
      <c r="BK29">
        <f t="shared" si="39"/>
        <v>0.73543313362387164</v>
      </c>
      <c r="BL29">
        <f t="shared" si="40"/>
        <v>0.5316938883060035</v>
      </c>
      <c r="BM29">
        <f t="shared" si="41"/>
        <v>0.4683061116939965</v>
      </c>
      <c r="BN29">
        <v>20189</v>
      </c>
      <c r="BO29">
        <v>290.00000000000011</v>
      </c>
      <c r="BP29">
        <v>1066.5899999999999</v>
      </c>
      <c r="BQ29">
        <v>195</v>
      </c>
      <c r="BR29">
        <v>10189.1</v>
      </c>
      <c r="BS29">
        <v>1067.43</v>
      </c>
      <c r="BT29">
        <v>-0.84</v>
      </c>
      <c r="BU29">
        <v>300.00000000000011</v>
      </c>
      <c r="BV29">
        <v>24.2</v>
      </c>
      <c r="BW29">
        <v>1167.052041709401</v>
      </c>
      <c r="BX29">
        <v>2.6480043340619588</v>
      </c>
      <c r="BY29">
        <v>-101.5044757547754</v>
      </c>
      <c r="BZ29">
        <v>2.400109573268137</v>
      </c>
      <c r="CA29">
        <v>0.9845864163210728</v>
      </c>
      <c r="CB29">
        <v>-6.9348282536151277E-3</v>
      </c>
      <c r="CC29">
        <v>289.99999999999989</v>
      </c>
      <c r="CD29">
        <v>1065.57</v>
      </c>
      <c r="CE29">
        <v>655</v>
      </c>
      <c r="CF29">
        <v>10155.4</v>
      </c>
      <c r="CG29">
        <v>1067.0999999999999</v>
      </c>
      <c r="CH29">
        <v>-1.53</v>
      </c>
      <c r="CV29">
        <f t="shared" si="42"/>
        <v>1799.9</v>
      </c>
      <c r="CW29">
        <f t="shared" si="43"/>
        <v>1513.1003993024817</v>
      </c>
      <c r="CX29">
        <f t="shared" si="44"/>
        <v>0.84065803617005475</v>
      </c>
      <c r="CY29">
        <f t="shared" si="45"/>
        <v>0.19131607234010964</v>
      </c>
      <c r="CZ29">
        <v>6</v>
      </c>
      <c r="DA29">
        <v>0.5</v>
      </c>
      <c r="DB29" t="s">
        <v>418</v>
      </c>
      <c r="DC29">
        <v>2</v>
      </c>
      <c r="DD29">
        <v>1674575682</v>
      </c>
      <c r="DE29">
        <v>1129.3599999999999</v>
      </c>
      <c r="DF29">
        <v>1200.0999999999999</v>
      </c>
      <c r="DG29">
        <v>24.79</v>
      </c>
      <c r="DH29">
        <v>18.296199999999999</v>
      </c>
      <c r="DI29">
        <v>1134.56</v>
      </c>
      <c r="DJ29">
        <v>24.480699999999999</v>
      </c>
      <c r="DK29">
        <v>500.12700000000001</v>
      </c>
      <c r="DL29">
        <v>99.699600000000004</v>
      </c>
      <c r="DM29">
        <v>9.99472E-2</v>
      </c>
      <c r="DN29">
        <v>28.0047</v>
      </c>
      <c r="DO29">
        <v>28.002800000000001</v>
      </c>
      <c r="DP29">
        <v>999.9</v>
      </c>
      <c r="DQ29">
        <v>0</v>
      </c>
      <c r="DR29">
        <v>0</v>
      </c>
      <c r="DS29">
        <v>9993.75</v>
      </c>
      <c r="DT29">
        <v>0</v>
      </c>
      <c r="DU29">
        <v>430.32900000000001</v>
      </c>
      <c r="DV29">
        <v>-70.740200000000002</v>
      </c>
      <c r="DW29">
        <v>1158.07</v>
      </c>
      <c r="DX29">
        <v>1222.47</v>
      </c>
      <c r="DY29">
        <v>6.4937300000000002</v>
      </c>
      <c r="DZ29">
        <v>1200.0999999999999</v>
      </c>
      <c r="EA29">
        <v>18.296199999999999</v>
      </c>
      <c r="EB29">
        <v>2.4715500000000001</v>
      </c>
      <c r="EC29">
        <v>1.82413</v>
      </c>
      <c r="ED29">
        <v>20.840299999999999</v>
      </c>
      <c r="EE29">
        <v>15.995100000000001</v>
      </c>
      <c r="EF29">
        <v>1799.9</v>
      </c>
      <c r="EG29">
        <v>0.97800699999999996</v>
      </c>
      <c r="EH29">
        <v>2.1992999999999999E-2</v>
      </c>
      <c r="EI29">
        <v>0</v>
      </c>
      <c r="EJ29">
        <v>768.00699999999995</v>
      </c>
      <c r="EK29">
        <v>5.0010599999999998</v>
      </c>
      <c r="EL29">
        <v>14380.5</v>
      </c>
      <c r="EM29">
        <v>16710.2</v>
      </c>
      <c r="EN29">
        <v>48.436999999999998</v>
      </c>
      <c r="EO29">
        <v>49.186999999999998</v>
      </c>
      <c r="EP29">
        <v>49.311999999999998</v>
      </c>
      <c r="EQ29">
        <v>47.936999999999998</v>
      </c>
      <c r="ER29">
        <v>49.311999999999998</v>
      </c>
      <c r="ES29">
        <v>1755.42</v>
      </c>
      <c r="ET29">
        <v>39.479999999999997</v>
      </c>
      <c r="EU29">
        <v>0</v>
      </c>
      <c r="EV29">
        <v>104.4000000953674</v>
      </c>
      <c r="EW29">
        <v>0</v>
      </c>
      <c r="EX29">
        <v>768.10860000000002</v>
      </c>
      <c r="EY29">
        <v>0.92215384978429282</v>
      </c>
      <c r="EZ29">
        <v>11.084615242789461</v>
      </c>
      <c r="FA29">
        <v>14377.824000000001</v>
      </c>
      <c r="FB29">
        <v>15</v>
      </c>
      <c r="FC29">
        <v>1674575647.5</v>
      </c>
      <c r="FD29" t="s">
        <v>485</v>
      </c>
      <c r="FE29">
        <v>1674575647.5</v>
      </c>
      <c r="FF29">
        <v>1674575646.5</v>
      </c>
      <c r="FG29">
        <v>14</v>
      </c>
      <c r="FH29">
        <v>-0.46899999999999997</v>
      </c>
      <c r="FI29">
        <v>-5.0000000000000001E-3</v>
      </c>
      <c r="FJ29">
        <v>-5.258</v>
      </c>
      <c r="FK29">
        <v>6.0000000000000001E-3</v>
      </c>
      <c r="FL29">
        <v>1200</v>
      </c>
      <c r="FM29">
        <v>18</v>
      </c>
      <c r="FN29">
        <v>0.06</v>
      </c>
      <c r="FO29">
        <v>0.01</v>
      </c>
      <c r="FP29">
        <v>52.561560305202562</v>
      </c>
      <c r="FQ29">
        <v>0.17417399553735191</v>
      </c>
      <c r="FR29">
        <v>0.1173784581573747</v>
      </c>
      <c r="FS29">
        <v>1</v>
      </c>
      <c r="FT29">
        <v>0.44887788536829137</v>
      </c>
      <c r="FU29">
        <v>-4.8697268080986879E-2</v>
      </c>
      <c r="FV29">
        <v>5.9171099794676583E-3</v>
      </c>
      <c r="FW29">
        <v>1</v>
      </c>
      <c r="FX29">
        <v>2</v>
      </c>
      <c r="FY29">
        <v>2</v>
      </c>
      <c r="FZ29" t="s">
        <v>420</v>
      </c>
      <c r="GA29">
        <v>2.9777499999999999</v>
      </c>
      <c r="GB29">
        <v>2.8062200000000002</v>
      </c>
      <c r="GC29">
        <v>0.200795</v>
      </c>
      <c r="GD29">
        <v>0.20560800000000001</v>
      </c>
      <c r="GE29">
        <v>0.12174699999999999</v>
      </c>
      <c r="GF29">
        <v>9.8279400000000003E-2</v>
      </c>
      <c r="GG29">
        <v>23631</v>
      </c>
      <c r="GH29">
        <v>21783.3</v>
      </c>
      <c r="GI29">
        <v>26586.799999999999</v>
      </c>
      <c r="GJ29">
        <v>25905</v>
      </c>
      <c r="GK29">
        <v>31788</v>
      </c>
      <c r="GL29">
        <v>32970.400000000001</v>
      </c>
      <c r="GM29">
        <v>37684.699999999997</v>
      </c>
      <c r="GN29">
        <v>38433.9</v>
      </c>
      <c r="GO29">
        <v>1.93838</v>
      </c>
      <c r="GP29">
        <v>1.9320999999999999</v>
      </c>
      <c r="GQ29">
        <v>4.6338900000000002E-2</v>
      </c>
      <c r="GR29">
        <v>0</v>
      </c>
      <c r="GS29">
        <v>27.245799999999999</v>
      </c>
      <c r="GT29">
        <v>999.9</v>
      </c>
      <c r="GU29">
        <v>47.2</v>
      </c>
      <c r="GV29">
        <v>32</v>
      </c>
      <c r="GW29">
        <v>22.6066</v>
      </c>
      <c r="GX29">
        <v>62.067599999999999</v>
      </c>
      <c r="GY29">
        <v>11.4503</v>
      </c>
      <c r="GZ29">
        <v>1</v>
      </c>
      <c r="HA29">
        <v>0.42650399999999999</v>
      </c>
      <c r="HB29">
        <v>2.8977200000000001</v>
      </c>
      <c r="HC29">
        <v>20.232199999999999</v>
      </c>
      <c r="HD29">
        <v>5.2038099999999998</v>
      </c>
      <c r="HE29">
        <v>11.9381</v>
      </c>
      <c r="HF29">
        <v>4.9862500000000001</v>
      </c>
      <c r="HG29">
        <v>3.2899500000000002</v>
      </c>
      <c r="HH29">
        <v>9999</v>
      </c>
      <c r="HI29">
        <v>9999</v>
      </c>
      <c r="HJ29">
        <v>9999</v>
      </c>
      <c r="HK29">
        <v>999.9</v>
      </c>
      <c r="HL29">
        <v>1.87059</v>
      </c>
      <c r="HM29">
        <v>1.87687</v>
      </c>
      <c r="HN29">
        <v>1.8745700000000001</v>
      </c>
      <c r="HO29">
        <v>1.87286</v>
      </c>
      <c r="HP29">
        <v>1.8733500000000001</v>
      </c>
      <c r="HQ29">
        <v>1.87073</v>
      </c>
      <c r="HR29">
        <v>1.8766799999999999</v>
      </c>
      <c r="HS29">
        <v>1.8757600000000001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424</v>
      </c>
      <c r="IB29" t="s">
        <v>424</v>
      </c>
      <c r="IC29" t="s">
        <v>423</v>
      </c>
      <c r="ID29">
        <v>0</v>
      </c>
      <c r="IE29">
        <v>100</v>
      </c>
      <c r="IF29">
        <v>100</v>
      </c>
      <c r="IG29">
        <v>-5.2</v>
      </c>
      <c r="IH29">
        <v>0.30930000000000002</v>
      </c>
      <c r="II29">
        <v>-3.6792719407003949</v>
      </c>
      <c r="IJ29">
        <v>-2.536945948238235E-3</v>
      </c>
      <c r="IK29">
        <v>1.581473279927893E-6</v>
      </c>
      <c r="IL29">
        <v>-4.6698293441882044E-10</v>
      </c>
      <c r="IM29">
        <v>-0.2002278418936887</v>
      </c>
      <c r="IN29">
        <v>-1.5895243091576399E-2</v>
      </c>
      <c r="IO29">
        <v>1.559614309849521E-3</v>
      </c>
      <c r="IP29">
        <v>-2.4566050869858518E-6</v>
      </c>
      <c r="IQ29">
        <v>2</v>
      </c>
      <c r="IR29">
        <v>2224</v>
      </c>
      <c r="IS29">
        <v>2</v>
      </c>
      <c r="IT29">
        <v>25</v>
      </c>
      <c r="IU29">
        <v>0.6</v>
      </c>
      <c r="IV29">
        <v>0.6</v>
      </c>
      <c r="IW29">
        <v>2.2753899999999998</v>
      </c>
      <c r="IX29">
        <v>2.4572799999999999</v>
      </c>
      <c r="IY29">
        <v>1.65039</v>
      </c>
      <c r="IZ29">
        <v>2.2949199999999998</v>
      </c>
      <c r="JA29">
        <v>1.50024</v>
      </c>
      <c r="JB29">
        <v>2.2729499999999998</v>
      </c>
      <c r="JC29">
        <v>37.9649</v>
      </c>
      <c r="JD29">
        <v>23.457100000000001</v>
      </c>
      <c r="JE29">
        <v>18</v>
      </c>
      <c r="JF29">
        <v>484.62900000000002</v>
      </c>
      <c r="JG29">
        <v>473.69099999999997</v>
      </c>
      <c r="JH29">
        <v>24.533200000000001</v>
      </c>
      <c r="JI29">
        <v>32.594700000000003</v>
      </c>
      <c r="JJ29">
        <v>30.000499999999999</v>
      </c>
      <c r="JK29">
        <v>32.533099999999997</v>
      </c>
      <c r="JL29">
        <v>32.496400000000001</v>
      </c>
      <c r="JM29">
        <v>45.562100000000001</v>
      </c>
      <c r="JN29">
        <v>32.966200000000001</v>
      </c>
      <c r="JO29">
        <v>43.680700000000002</v>
      </c>
      <c r="JP29">
        <v>24.527100000000001</v>
      </c>
      <c r="JQ29">
        <v>1200</v>
      </c>
      <c r="JR29">
        <v>18.2973</v>
      </c>
      <c r="JS29">
        <v>99.992000000000004</v>
      </c>
      <c r="JT29">
        <v>99.158699999999996</v>
      </c>
    </row>
    <row r="30" spans="1:280" x14ac:dyDescent="0.25">
      <c r="A30">
        <v>14</v>
      </c>
      <c r="B30">
        <v>1674575790</v>
      </c>
      <c r="C30">
        <v>1655.400000095367</v>
      </c>
      <c r="D30" t="s">
        <v>486</v>
      </c>
      <c r="E30" t="s">
        <v>487</v>
      </c>
      <c r="F30" t="s">
        <v>412</v>
      </c>
      <c r="G30" t="s">
        <v>413</v>
      </c>
      <c r="H30" t="s">
        <v>414</v>
      </c>
      <c r="I30">
        <v>1674575790</v>
      </c>
      <c r="J30">
        <f t="shared" si="0"/>
        <v>5.2287637517138266E-3</v>
      </c>
      <c r="K30">
        <f t="shared" si="1"/>
        <v>5.228763751713827</v>
      </c>
      <c r="L30">
        <f t="shared" si="2"/>
        <v>51.843553217667967</v>
      </c>
      <c r="M30">
        <f t="shared" si="3"/>
        <v>1428.84</v>
      </c>
      <c r="N30">
        <f t="shared" si="4"/>
        <v>1183.1706505215061</v>
      </c>
      <c r="O30">
        <f t="shared" si="5"/>
        <v>118.07558240703754</v>
      </c>
      <c r="P30">
        <f t="shared" si="6"/>
        <v>142.59237675656399</v>
      </c>
      <c r="Q30">
        <f t="shared" si="7"/>
        <v>0.40730808101920202</v>
      </c>
      <c r="R30">
        <f t="shared" si="8"/>
        <v>2.9248807204950928</v>
      </c>
      <c r="S30">
        <f t="shared" si="9"/>
        <v>0.37821794022302108</v>
      </c>
      <c r="T30">
        <f t="shared" si="10"/>
        <v>0.23882648220661684</v>
      </c>
      <c r="U30">
        <f t="shared" si="11"/>
        <v>344.38339860545614</v>
      </c>
      <c r="V30">
        <f t="shared" si="12"/>
        <v>28.676300927683958</v>
      </c>
      <c r="W30">
        <f t="shared" si="13"/>
        <v>28.049499999999998</v>
      </c>
      <c r="X30">
        <f t="shared" si="14"/>
        <v>3.8058041670558094</v>
      </c>
      <c r="Y30">
        <f t="shared" si="15"/>
        <v>65.058160852259888</v>
      </c>
      <c r="Z30">
        <f t="shared" si="16"/>
        <v>2.46952943418618</v>
      </c>
      <c r="AA30">
        <f t="shared" si="17"/>
        <v>3.7958795665838396</v>
      </c>
      <c r="AB30">
        <f t="shared" si="18"/>
        <v>1.3362747328696294</v>
      </c>
      <c r="AC30">
        <f t="shared" si="19"/>
        <v>-230.58848145057976</v>
      </c>
      <c r="AD30">
        <f t="shared" si="20"/>
        <v>-7.0643403892690317</v>
      </c>
      <c r="AE30">
        <f t="shared" si="21"/>
        <v>-0.52661284958206123</v>
      </c>
      <c r="AF30">
        <f t="shared" si="22"/>
        <v>106.20396391602526</v>
      </c>
      <c r="AG30">
        <v>14</v>
      </c>
      <c r="AH30">
        <v>3</v>
      </c>
      <c r="AI30">
        <f t="shared" si="23"/>
        <v>1</v>
      </c>
      <c r="AJ30">
        <f t="shared" si="24"/>
        <v>0</v>
      </c>
      <c r="AK30">
        <f t="shared" si="25"/>
        <v>52559.720498146802</v>
      </c>
      <c r="AL30" t="s">
        <v>415</v>
      </c>
      <c r="AM30">
        <v>10424.1</v>
      </c>
      <c r="AN30">
        <v>628.54280000000006</v>
      </c>
      <c r="AO30">
        <v>2663.98</v>
      </c>
      <c r="AP30">
        <f t="shared" si="26"/>
        <v>0.76405873917972356</v>
      </c>
      <c r="AQ30">
        <v>-3.1675626227050531</v>
      </c>
      <c r="AR30" t="s">
        <v>488</v>
      </c>
      <c r="AS30">
        <v>10178.200000000001</v>
      </c>
      <c r="AT30">
        <v>767.79860000000019</v>
      </c>
      <c r="AU30">
        <v>1170.0814812479059</v>
      </c>
      <c r="AV30">
        <f t="shared" si="27"/>
        <v>0.34380757895498548</v>
      </c>
      <c r="AW30">
        <v>0.5</v>
      </c>
      <c r="AX30">
        <f t="shared" si="28"/>
        <v>1513.2512993027281</v>
      </c>
      <c r="AY30">
        <f t="shared" si="29"/>
        <v>51.843553217667967</v>
      </c>
      <c r="AZ30">
        <f t="shared" si="30"/>
        <v>260.13363278187853</v>
      </c>
      <c r="BA30">
        <f t="shared" si="31"/>
        <v>3.6352928205461245E-2</v>
      </c>
      <c r="BB30">
        <f t="shared" si="32"/>
        <v>1.2767474254518014</v>
      </c>
      <c r="BC30">
        <f t="shared" si="33"/>
        <v>483.03468782813638</v>
      </c>
      <c r="BD30" t="s">
        <v>489</v>
      </c>
      <c r="BE30">
        <v>589.09</v>
      </c>
      <c r="BF30">
        <f t="shared" si="34"/>
        <v>589.09</v>
      </c>
      <c r="BG30">
        <f t="shared" si="35"/>
        <v>0.49653933555829932</v>
      </c>
      <c r="BH30">
        <f t="shared" si="36"/>
        <v>0.69240753820322165</v>
      </c>
      <c r="BI30">
        <f t="shared" si="37"/>
        <v>0.71998926147993103</v>
      </c>
      <c r="BJ30">
        <f t="shared" si="38"/>
        <v>0.74285161001038158</v>
      </c>
      <c r="BK30">
        <f t="shared" si="39"/>
        <v>0.73394478530317431</v>
      </c>
      <c r="BL30">
        <f t="shared" si="40"/>
        <v>0.53124654913428571</v>
      </c>
      <c r="BM30">
        <f t="shared" si="41"/>
        <v>0.46875345086571429</v>
      </c>
      <c r="BN30">
        <v>20191</v>
      </c>
      <c r="BO30">
        <v>290.00000000000011</v>
      </c>
      <c r="BP30">
        <v>1066.75</v>
      </c>
      <c r="BQ30">
        <v>255</v>
      </c>
      <c r="BR30">
        <v>10178.200000000001</v>
      </c>
      <c r="BS30">
        <v>1067.48</v>
      </c>
      <c r="BT30">
        <v>-0.73</v>
      </c>
      <c r="BU30">
        <v>300.00000000000011</v>
      </c>
      <c r="BV30">
        <v>24.2</v>
      </c>
      <c r="BW30">
        <v>1170.0814812479059</v>
      </c>
      <c r="BX30">
        <v>2.0249613589051561</v>
      </c>
      <c r="BY30">
        <v>-104.4260439797601</v>
      </c>
      <c r="BZ30">
        <v>1.835258091699784</v>
      </c>
      <c r="CA30">
        <v>0.99142577490942552</v>
      </c>
      <c r="CB30">
        <v>-6.9344567296996621E-3</v>
      </c>
      <c r="CC30">
        <v>289.99999999999989</v>
      </c>
      <c r="CD30">
        <v>1065.93</v>
      </c>
      <c r="CE30">
        <v>655</v>
      </c>
      <c r="CF30">
        <v>10154.6</v>
      </c>
      <c r="CG30">
        <v>1067.25</v>
      </c>
      <c r="CH30">
        <v>-1.32</v>
      </c>
      <c r="CV30">
        <f t="shared" si="42"/>
        <v>1800.08</v>
      </c>
      <c r="CW30">
        <f t="shared" si="43"/>
        <v>1513.2512993027281</v>
      </c>
      <c r="CX30">
        <f t="shared" si="44"/>
        <v>0.84065780371023957</v>
      </c>
      <c r="CY30">
        <f t="shared" si="45"/>
        <v>0.19131560742047918</v>
      </c>
      <c r="CZ30">
        <v>6</v>
      </c>
      <c r="DA30">
        <v>0.5</v>
      </c>
      <c r="DB30" t="s">
        <v>418</v>
      </c>
      <c r="DC30">
        <v>2</v>
      </c>
      <c r="DD30">
        <v>1674575790</v>
      </c>
      <c r="DE30">
        <v>1428.84</v>
      </c>
      <c r="DF30">
        <v>1500.01</v>
      </c>
      <c r="DG30">
        <v>24.745799999999999</v>
      </c>
      <c r="DH30">
        <v>18.627199999999998</v>
      </c>
      <c r="DI30">
        <v>1434.26</v>
      </c>
      <c r="DJ30">
        <v>24.439</v>
      </c>
      <c r="DK30">
        <v>500.053</v>
      </c>
      <c r="DL30">
        <v>99.696200000000005</v>
      </c>
      <c r="DM30">
        <v>9.9702100000000002E-2</v>
      </c>
      <c r="DN30">
        <v>28.0047</v>
      </c>
      <c r="DO30">
        <v>28.049499999999998</v>
      </c>
      <c r="DP30">
        <v>999.9</v>
      </c>
      <c r="DQ30">
        <v>0</v>
      </c>
      <c r="DR30">
        <v>0</v>
      </c>
      <c r="DS30">
        <v>10003.799999999999</v>
      </c>
      <c r="DT30">
        <v>0</v>
      </c>
      <c r="DU30">
        <v>425.24700000000001</v>
      </c>
      <c r="DV30">
        <v>-71.175899999999999</v>
      </c>
      <c r="DW30">
        <v>1465.09</v>
      </c>
      <c r="DX30">
        <v>1528.48</v>
      </c>
      <c r="DY30">
        <v>6.1186699999999998</v>
      </c>
      <c r="DZ30">
        <v>1500.01</v>
      </c>
      <c r="EA30">
        <v>18.627199999999998</v>
      </c>
      <c r="EB30">
        <v>2.46706</v>
      </c>
      <c r="EC30">
        <v>1.8570599999999999</v>
      </c>
      <c r="ED30">
        <v>20.8108</v>
      </c>
      <c r="EE30">
        <v>16.275500000000001</v>
      </c>
      <c r="EF30">
        <v>1800.08</v>
      </c>
      <c r="EG30">
        <v>0.97801000000000005</v>
      </c>
      <c r="EH30">
        <v>2.1989499999999999E-2</v>
      </c>
      <c r="EI30">
        <v>0</v>
      </c>
      <c r="EJ30">
        <v>768.45500000000004</v>
      </c>
      <c r="EK30">
        <v>5.0010599999999998</v>
      </c>
      <c r="EL30">
        <v>14376.3</v>
      </c>
      <c r="EM30">
        <v>16711.900000000001</v>
      </c>
      <c r="EN30">
        <v>48.436999999999998</v>
      </c>
      <c r="EO30">
        <v>49.25</v>
      </c>
      <c r="EP30">
        <v>49.436999999999998</v>
      </c>
      <c r="EQ30">
        <v>48</v>
      </c>
      <c r="ER30">
        <v>49.311999999999998</v>
      </c>
      <c r="ES30">
        <v>1755.61</v>
      </c>
      <c r="ET30">
        <v>39.47</v>
      </c>
      <c r="EU30">
        <v>0</v>
      </c>
      <c r="EV30">
        <v>106.2000000476837</v>
      </c>
      <c r="EW30">
        <v>0</v>
      </c>
      <c r="EX30">
        <v>767.79860000000019</v>
      </c>
      <c r="EY30">
        <v>2.4181538425985099</v>
      </c>
      <c r="EZ30">
        <v>-19.707692377095771</v>
      </c>
      <c r="FA30">
        <v>14376.584000000001</v>
      </c>
      <c r="FB30">
        <v>15</v>
      </c>
      <c r="FC30">
        <v>1674575756</v>
      </c>
      <c r="FD30" t="s">
        <v>490</v>
      </c>
      <c r="FE30">
        <v>1674575753.5</v>
      </c>
      <c r="FF30">
        <v>1674575756</v>
      </c>
      <c r="FG30">
        <v>15</v>
      </c>
      <c r="FH30">
        <v>2.1999999999999999E-2</v>
      </c>
      <c r="FI30">
        <v>0</v>
      </c>
      <c r="FJ30">
        <v>-5.4859999999999998</v>
      </c>
      <c r="FK30">
        <v>1.7999999999999999E-2</v>
      </c>
      <c r="FL30">
        <v>1500</v>
      </c>
      <c r="FM30">
        <v>18</v>
      </c>
      <c r="FN30">
        <v>0.06</v>
      </c>
      <c r="FO30">
        <v>0.02</v>
      </c>
      <c r="FP30">
        <v>51.661029398732254</v>
      </c>
      <c r="FQ30">
        <v>0.1337628278984839</v>
      </c>
      <c r="FR30">
        <v>0.16020594461431331</v>
      </c>
      <c r="FS30">
        <v>1</v>
      </c>
      <c r="FT30">
        <v>0.41575103374793998</v>
      </c>
      <c r="FU30">
        <v>-2.671348452247153E-2</v>
      </c>
      <c r="FV30">
        <v>3.2246461256435648E-3</v>
      </c>
      <c r="FW30">
        <v>1</v>
      </c>
      <c r="FX30">
        <v>2</v>
      </c>
      <c r="FY30">
        <v>2</v>
      </c>
      <c r="FZ30" t="s">
        <v>420</v>
      </c>
      <c r="GA30">
        <v>2.97749</v>
      </c>
      <c r="GB30">
        <v>2.80606</v>
      </c>
      <c r="GC30">
        <v>0.23216400000000001</v>
      </c>
      <c r="GD30">
        <v>0.23586099999999999</v>
      </c>
      <c r="GE30">
        <v>0.12157800000000001</v>
      </c>
      <c r="GF30">
        <v>9.9504599999999999E-2</v>
      </c>
      <c r="GG30">
        <v>22696.6</v>
      </c>
      <c r="GH30">
        <v>20947.8</v>
      </c>
      <c r="GI30">
        <v>26582.5</v>
      </c>
      <c r="GJ30">
        <v>25901.5</v>
      </c>
      <c r="GK30">
        <v>31789.4</v>
      </c>
      <c r="GL30">
        <v>32921.9</v>
      </c>
      <c r="GM30">
        <v>37678.400000000001</v>
      </c>
      <c r="GN30">
        <v>38429.4</v>
      </c>
      <c r="GO30">
        <v>1.9370799999999999</v>
      </c>
      <c r="GP30">
        <v>1.93102</v>
      </c>
      <c r="GQ30">
        <v>4.9341500000000003E-2</v>
      </c>
      <c r="GR30">
        <v>0</v>
      </c>
      <c r="GS30">
        <v>27.243500000000001</v>
      </c>
      <c r="GT30">
        <v>999.9</v>
      </c>
      <c r="GU30">
        <v>47</v>
      </c>
      <c r="GV30">
        <v>32.1</v>
      </c>
      <c r="GW30">
        <v>22.640499999999999</v>
      </c>
      <c r="GX30">
        <v>62.0976</v>
      </c>
      <c r="GY30">
        <v>11.678699999999999</v>
      </c>
      <c r="GZ30">
        <v>1</v>
      </c>
      <c r="HA30">
        <v>0.43221300000000001</v>
      </c>
      <c r="HB30">
        <v>2.8848099999999999</v>
      </c>
      <c r="HC30">
        <v>20.232199999999999</v>
      </c>
      <c r="HD30">
        <v>5.2054600000000004</v>
      </c>
      <c r="HE30">
        <v>11.9381</v>
      </c>
      <c r="HF30">
        <v>4.9862000000000002</v>
      </c>
      <c r="HG30">
        <v>3.2899500000000002</v>
      </c>
      <c r="HH30">
        <v>9999</v>
      </c>
      <c r="HI30">
        <v>9999</v>
      </c>
      <c r="HJ30">
        <v>9999</v>
      </c>
      <c r="HK30">
        <v>999.9</v>
      </c>
      <c r="HL30">
        <v>1.8707</v>
      </c>
      <c r="HM30">
        <v>1.8769199999999999</v>
      </c>
      <c r="HN30">
        <v>1.8746</v>
      </c>
      <c r="HO30">
        <v>1.8728800000000001</v>
      </c>
      <c r="HP30">
        <v>1.8733599999999999</v>
      </c>
      <c r="HQ30">
        <v>1.8707400000000001</v>
      </c>
      <c r="HR30">
        <v>1.8766799999999999</v>
      </c>
      <c r="HS30">
        <v>1.8757699999999999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424</v>
      </c>
      <c r="IB30" t="s">
        <v>424</v>
      </c>
      <c r="IC30" t="s">
        <v>423</v>
      </c>
      <c r="ID30">
        <v>0</v>
      </c>
      <c r="IE30">
        <v>100</v>
      </c>
      <c r="IF30">
        <v>100</v>
      </c>
      <c r="IG30">
        <v>-5.42</v>
      </c>
      <c r="IH30">
        <v>0.30680000000000002</v>
      </c>
      <c r="II30">
        <v>-3.6569407910219018</v>
      </c>
      <c r="IJ30">
        <v>-2.536945948238235E-3</v>
      </c>
      <c r="IK30">
        <v>1.581473279927893E-6</v>
      </c>
      <c r="IL30">
        <v>-4.6698293441882044E-10</v>
      </c>
      <c r="IM30">
        <v>-0.2003643805556273</v>
      </c>
      <c r="IN30">
        <v>-1.5895243091576399E-2</v>
      </c>
      <c r="IO30">
        <v>1.559614309849521E-3</v>
      </c>
      <c r="IP30">
        <v>-2.4566050869858518E-6</v>
      </c>
      <c r="IQ30">
        <v>2</v>
      </c>
      <c r="IR30">
        <v>2224</v>
      </c>
      <c r="IS30">
        <v>2</v>
      </c>
      <c r="IT30">
        <v>25</v>
      </c>
      <c r="IU30">
        <v>0.6</v>
      </c>
      <c r="IV30">
        <v>0.6</v>
      </c>
      <c r="IW30">
        <v>2.7343799999999998</v>
      </c>
      <c r="IX30">
        <v>2.4487299999999999</v>
      </c>
      <c r="IY30">
        <v>1.64917</v>
      </c>
      <c r="IZ30">
        <v>2.2949199999999998</v>
      </c>
      <c r="JA30">
        <v>1.50024</v>
      </c>
      <c r="JB30">
        <v>2.4060100000000002</v>
      </c>
      <c r="JC30">
        <v>38.159300000000002</v>
      </c>
      <c r="JD30">
        <v>23.439599999999999</v>
      </c>
      <c r="JE30">
        <v>18</v>
      </c>
      <c r="JF30">
        <v>484.37099999999998</v>
      </c>
      <c r="JG30">
        <v>473.54500000000002</v>
      </c>
      <c r="JH30">
        <v>24.556100000000001</v>
      </c>
      <c r="JI30">
        <v>32.668500000000002</v>
      </c>
      <c r="JJ30">
        <v>30.000499999999999</v>
      </c>
      <c r="JK30">
        <v>32.6066</v>
      </c>
      <c r="JL30">
        <v>32.568800000000003</v>
      </c>
      <c r="JM30">
        <v>54.743600000000001</v>
      </c>
      <c r="JN30">
        <v>31.7425</v>
      </c>
      <c r="JO30">
        <v>43.8598</v>
      </c>
      <c r="JP30">
        <v>24.550699999999999</v>
      </c>
      <c r="JQ30">
        <v>1500</v>
      </c>
      <c r="JR30">
        <v>18.669</v>
      </c>
      <c r="JS30">
        <v>99.975499999999997</v>
      </c>
      <c r="JT30">
        <v>99.1464</v>
      </c>
    </row>
    <row r="31" spans="1:280" x14ac:dyDescent="0.25">
      <c r="A31">
        <v>15</v>
      </c>
      <c r="B31">
        <v>1674576991.0999999</v>
      </c>
      <c r="C31">
        <v>2856.5</v>
      </c>
      <c r="D31" t="s">
        <v>491</v>
      </c>
      <c r="E31" t="s">
        <v>492</v>
      </c>
      <c r="F31" t="s">
        <v>412</v>
      </c>
      <c r="G31" t="s">
        <v>493</v>
      </c>
      <c r="H31" t="s">
        <v>494</v>
      </c>
      <c r="I31">
        <v>1674576991.0999999</v>
      </c>
      <c r="J31">
        <f t="shared" si="0"/>
        <v>5.4927331811914096E-3</v>
      </c>
      <c r="K31">
        <f t="shared" si="1"/>
        <v>5.4927331811914097</v>
      </c>
      <c r="L31">
        <f t="shared" si="2"/>
        <v>46.359745262315336</v>
      </c>
      <c r="M31">
        <f t="shared" si="3"/>
        <v>342.10599999999999</v>
      </c>
      <c r="N31">
        <f t="shared" si="4"/>
        <v>158.61203601058887</v>
      </c>
      <c r="O31">
        <f t="shared" si="5"/>
        <v>15.828221655678808</v>
      </c>
      <c r="P31">
        <f t="shared" si="6"/>
        <v>34.139462136253997</v>
      </c>
      <c r="Q31">
        <f t="shared" si="7"/>
        <v>0.44627157329904371</v>
      </c>
      <c r="R31">
        <f t="shared" si="8"/>
        <v>2.9252361282357202</v>
      </c>
      <c r="S31">
        <f t="shared" si="9"/>
        <v>0.41160728112207057</v>
      </c>
      <c r="T31">
        <f t="shared" si="10"/>
        <v>0.2601442549384248</v>
      </c>
      <c r="U31">
        <f t="shared" si="11"/>
        <v>344.34599860494785</v>
      </c>
      <c r="V31">
        <f t="shared" si="12"/>
        <v>28.587716434200441</v>
      </c>
      <c r="W31">
        <f t="shared" si="13"/>
        <v>27.909700000000001</v>
      </c>
      <c r="X31">
        <f t="shared" si="14"/>
        <v>3.774908775484052</v>
      </c>
      <c r="Y31">
        <f t="shared" si="15"/>
        <v>65.54035726995572</v>
      </c>
      <c r="Z31">
        <f t="shared" si="16"/>
        <v>2.4849919156003004</v>
      </c>
      <c r="AA31">
        <f t="shared" si="17"/>
        <v>3.7915446590637414</v>
      </c>
      <c r="AB31">
        <f t="shared" si="18"/>
        <v>1.2899168598837516</v>
      </c>
      <c r="AC31">
        <f t="shared" si="19"/>
        <v>-242.22953329054116</v>
      </c>
      <c r="AD31">
        <f t="shared" si="20"/>
        <v>11.890981892966231</v>
      </c>
      <c r="AE31">
        <f t="shared" si="21"/>
        <v>0.885604451333035</v>
      </c>
      <c r="AF31">
        <f t="shared" si="22"/>
        <v>114.89305165870599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52573.285314965455</v>
      </c>
      <c r="AL31" t="s">
        <v>415</v>
      </c>
      <c r="AM31">
        <v>10424.1</v>
      </c>
      <c r="AN31">
        <v>628.54280000000006</v>
      </c>
      <c r="AO31">
        <v>2663.98</v>
      </c>
      <c r="AP31">
        <f t="shared" si="26"/>
        <v>0.76405873917972356</v>
      </c>
      <c r="AQ31">
        <v>-3.1675626227050531</v>
      </c>
      <c r="AR31" t="s">
        <v>495</v>
      </c>
      <c r="AS31">
        <v>10215.4</v>
      </c>
      <c r="AT31">
        <v>831.04540000000009</v>
      </c>
      <c r="AU31">
        <v>1216.6956081346709</v>
      </c>
      <c r="AV31">
        <f t="shared" si="27"/>
        <v>0.31696523399629539</v>
      </c>
      <c r="AW31">
        <v>0.5</v>
      </c>
      <c r="AX31">
        <f t="shared" si="28"/>
        <v>1513.0835993024741</v>
      </c>
      <c r="AY31">
        <f t="shared" si="29"/>
        <v>46.359745262315336</v>
      </c>
      <c r="AZ31">
        <f t="shared" si="30"/>
        <v>239.79744855443278</v>
      </c>
      <c r="BA31">
        <f t="shared" si="31"/>
        <v>3.2732697590438689E-2</v>
      </c>
      <c r="BB31">
        <f t="shared" si="32"/>
        <v>1.1895205195029646</v>
      </c>
      <c r="BC31">
        <f t="shared" si="33"/>
        <v>490.79715658671671</v>
      </c>
      <c r="BD31" t="s">
        <v>496</v>
      </c>
      <c r="BE31">
        <v>576.71</v>
      </c>
      <c r="BF31">
        <f t="shared" si="34"/>
        <v>576.71</v>
      </c>
      <c r="BG31">
        <f t="shared" si="35"/>
        <v>0.52600305602799025</v>
      </c>
      <c r="BH31">
        <f t="shared" si="36"/>
        <v>0.60259200087124343</v>
      </c>
      <c r="BI31">
        <f t="shared" si="37"/>
        <v>0.69338628537052183</v>
      </c>
      <c r="BJ31">
        <f t="shared" si="38"/>
        <v>0.65569729975065849</v>
      </c>
      <c r="BK31">
        <f t="shared" si="39"/>
        <v>0.71104350056357879</v>
      </c>
      <c r="BL31">
        <f t="shared" si="40"/>
        <v>0.41817310200195412</v>
      </c>
      <c r="BM31">
        <f t="shared" si="41"/>
        <v>0.58182689799804588</v>
      </c>
      <c r="BN31">
        <v>20193</v>
      </c>
      <c r="BO31">
        <v>290.00000000000011</v>
      </c>
      <c r="BP31">
        <v>1119.8399999999999</v>
      </c>
      <c r="BQ31">
        <v>115</v>
      </c>
      <c r="BR31">
        <v>10215.4</v>
      </c>
      <c r="BS31">
        <v>1118.1199999999999</v>
      </c>
      <c r="BT31">
        <v>1.72</v>
      </c>
      <c r="BU31">
        <v>300.00000000000011</v>
      </c>
      <c r="BV31">
        <v>24.2</v>
      </c>
      <c r="BW31">
        <v>1216.6956081346709</v>
      </c>
      <c r="BX31">
        <v>2.22260988900159</v>
      </c>
      <c r="BY31">
        <v>-100.694721480548</v>
      </c>
      <c r="BZ31">
        <v>2.0165226914142051</v>
      </c>
      <c r="CA31">
        <v>0.98889544335378798</v>
      </c>
      <c r="CB31">
        <v>-6.9404800889877726E-3</v>
      </c>
      <c r="CC31">
        <v>289.99999999999989</v>
      </c>
      <c r="CD31">
        <v>1115.58</v>
      </c>
      <c r="CE31">
        <v>635</v>
      </c>
      <c r="CF31">
        <v>10167.299999999999</v>
      </c>
      <c r="CG31">
        <v>1117.6600000000001</v>
      </c>
      <c r="CH31">
        <v>-2.08</v>
      </c>
      <c r="CV31">
        <f t="shared" si="42"/>
        <v>1799.88</v>
      </c>
      <c r="CW31">
        <f t="shared" si="43"/>
        <v>1513.0835993024741</v>
      </c>
      <c r="CX31">
        <f t="shared" si="44"/>
        <v>0.84065804348205098</v>
      </c>
      <c r="CY31">
        <f t="shared" si="45"/>
        <v>0.19131608696410196</v>
      </c>
      <c r="CZ31">
        <v>6</v>
      </c>
      <c r="DA31">
        <v>0.5</v>
      </c>
      <c r="DB31" t="s">
        <v>418</v>
      </c>
      <c r="DC31">
        <v>2</v>
      </c>
      <c r="DD31">
        <v>1674576991.0999999</v>
      </c>
      <c r="DE31">
        <v>342.10599999999999</v>
      </c>
      <c r="DF31">
        <v>399.99400000000003</v>
      </c>
      <c r="DG31">
        <v>24.901700000000002</v>
      </c>
      <c r="DH31">
        <v>18.474399999999999</v>
      </c>
      <c r="DI31">
        <v>345.75200000000001</v>
      </c>
      <c r="DJ31">
        <v>24.5764</v>
      </c>
      <c r="DK31">
        <v>499.988</v>
      </c>
      <c r="DL31">
        <v>99.692499999999995</v>
      </c>
      <c r="DM31">
        <v>9.9558999999999995E-2</v>
      </c>
      <c r="DN31">
        <v>27.985099999999999</v>
      </c>
      <c r="DO31">
        <v>27.909700000000001</v>
      </c>
      <c r="DP31">
        <v>999.9</v>
      </c>
      <c r="DQ31">
        <v>0</v>
      </c>
      <c r="DR31">
        <v>0</v>
      </c>
      <c r="DS31">
        <v>10006.200000000001</v>
      </c>
      <c r="DT31">
        <v>0</v>
      </c>
      <c r="DU31">
        <v>447.54199999999997</v>
      </c>
      <c r="DV31">
        <v>-57.888199999999998</v>
      </c>
      <c r="DW31">
        <v>350.84300000000002</v>
      </c>
      <c r="DX31">
        <v>407.52300000000002</v>
      </c>
      <c r="DY31">
        <v>6.4272600000000004</v>
      </c>
      <c r="DZ31">
        <v>399.99400000000003</v>
      </c>
      <c r="EA31">
        <v>18.474399999999999</v>
      </c>
      <c r="EB31">
        <v>2.48251</v>
      </c>
      <c r="EC31">
        <v>1.8417600000000001</v>
      </c>
      <c r="ED31">
        <v>20.912299999999998</v>
      </c>
      <c r="EE31">
        <v>16.145800000000001</v>
      </c>
      <c r="EF31">
        <v>1799.88</v>
      </c>
      <c r="EG31">
        <v>0.97800399999999998</v>
      </c>
      <c r="EH31">
        <v>2.19963E-2</v>
      </c>
      <c r="EI31">
        <v>0</v>
      </c>
      <c r="EJ31">
        <v>831.39700000000005</v>
      </c>
      <c r="EK31">
        <v>5.0010599999999998</v>
      </c>
      <c r="EL31">
        <v>15535.2</v>
      </c>
      <c r="EM31">
        <v>16709.900000000001</v>
      </c>
      <c r="EN31">
        <v>48</v>
      </c>
      <c r="EO31">
        <v>48.875</v>
      </c>
      <c r="EP31">
        <v>49</v>
      </c>
      <c r="EQ31">
        <v>47.5</v>
      </c>
      <c r="ER31">
        <v>48.936999999999998</v>
      </c>
      <c r="ES31">
        <v>1755.4</v>
      </c>
      <c r="ET31">
        <v>39.479999999999997</v>
      </c>
      <c r="EU31">
        <v>0</v>
      </c>
      <c r="EV31">
        <v>1199.400000095367</v>
      </c>
      <c r="EW31">
        <v>0</v>
      </c>
      <c r="EX31">
        <v>831.04540000000009</v>
      </c>
      <c r="EY31">
        <v>0.36230770003994461</v>
      </c>
      <c r="EZ31">
        <v>-82.392307584065719</v>
      </c>
      <c r="FA31">
        <v>15543.448</v>
      </c>
      <c r="FB31">
        <v>15</v>
      </c>
      <c r="FC31">
        <v>1674576958.0999999</v>
      </c>
      <c r="FD31" t="s">
        <v>497</v>
      </c>
      <c r="FE31">
        <v>1674576953.0999999</v>
      </c>
      <c r="FF31">
        <v>1674576958.0999999</v>
      </c>
      <c r="FG31">
        <v>18</v>
      </c>
      <c r="FH31">
        <v>5.7000000000000002E-2</v>
      </c>
      <c r="FI31">
        <v>3.5999999999999997E-2</v>
      </c>
      <c r="FJ31">
        <v>-3.7360000000000002</v>
      </c>
      <c r="FK31">
        <v>3.4000000000000002E-2</v>
      </c>
      <c r="FL31">
        <v>400</v>
      </c>
      <c r="FM31">
        <v>19</v>
      </c>
      <c r="FN31">
        <v>0.04</v>
      </c>
      <c r="FO31">
        <v>0.01</v>
      </c>
      <c r="FP31">
        <v>46.373689083137847</v>
      </c>
      <c r="FQ31">
        <v>-0.67098775622561424</v>
      </c>
      <c r="FR31">
        <v>0.1145330104640082</v>
      </c>
      <c r="FS31">
        <v>1</v>
      </c>
      <c r="FT31">
        <v>0.44857103115482999</v>
      </c>
      <c r="FU31">
        <v>-1.1083892011683E-2</v>
      </c>
      <c r="FV31">
        <v>3.329866868551439E-3</v>
      </c>
      <c r="FW31">
        <v>1</v>
      </c>
      <c r="FX31">
        <v>2</v>
      </c>
      <c r="FY31">
        <v>2</v>
      </c>
      <c r="FZ31" t="s">
        <v>420</v>
      </c>
      <c r="GA31">
        <v>2.9777900000000002</v>
      </c>
      <c r="GB31">
        <v>2.8059400000000001</v>
      </c>
      <c r="GC31">
        <v>8.6930599999999997E-2</v>
      </c>
      <c r="GD31">
        <v>9.6309900000000004E-2</v>
      </c>
      <c r="GE31">
        <v>0.12214899999999999</v>
      </c>
      <c r="GF31">
        <v>9.9002000000000007E-2</v>
      </c>
      <c r="GG31">
        <v>27014</v>
      </c>
      <c r="GH31">
        <v>24810.7</v>
      </c>
      <c r="GI31">
        <v>26595.7</v>
      </c>
      <c r="GJ31">
        <v>25928.400000000001</v>
      </c>
      <c r="GK31">
        <v>31780.7</v>
      </c>
      <c r="GL31">
        <v>32972.199999999997</v>
      </c>
      <c r="GM31">
        <v>37696.800000000003</v>
      </c>
      <c r="GN31">
        <v>38467.699999999997</v>
      </c>
      <c r="GO31">
        <v>1.9736499999999999</v>
      </c>
      <c r="GP31">
        <v>1.9247000000000001</v>
      </c>
      <c r="GQ31">
        <v>7.64653E-2</v>
      </c>
      <c r="GR31">
        <v>0</v>
      </c>
      <c r="GS31">
        <v>26.659800000000001</v>
      </c>
      <c r="GT31">
        <v>999.9</v>
      </c>
      <c r="GU31">
        <v>45.8</v>
      </c>
      <c r="GV31">
        <v>33.5</v>
      </c>
      <c r="GW31">
        <v>23.869</v>
      </c>
      <c r="GX31">
        <v>61.891399999999997</v>
      </c>
      <c r="GY31">
        <v>12.572100000000001</v>
      </c>
      <c r="GZ31">
        <v>1</v>
      </c>
      <c r="HA31">
        <v>0.385907</v>
      </c>
      <c r="HB31">
        <v>1.9049</v>
      </c>
      <c r="HC31">
        <v>20.245999999999999</v>
      </c>
      <c r="HD31">
        <v>5.2059100000000003</v>
      </c>
      <c r="HE31">
        <v>11.937200000000001</v>
      </c>
      <c r="HF31">
        <v>4.9865500000000003</v>
      </c>
      <c r="HG31">
        <v>3.2900800000000001</v>
      </c>
      <c r="HH31">
        <v>9999</v>
      </c>
      <c r="HI31">
        <v>9999</v>
      </c>
      <c r="HJ31">
        <v>9999</v>
      </c>
      <c r="HK31">
        <v>999.9</v>
      </c>
      <c r="HL31">
        <v>1.87073</v>
      </c>
      <c r="HM31">
        <v>1.87697</v>
      </c>
      <c r="HN31">
        <v>1.8746799999999999</v>
      </c>
      <c r="HO31">
        <v>1.8730199999999999</v>
      </c>
      <c r="HP31">
        <v>1.8734599999999999</v>
      </c>
      <c r="HQ31">
        <v>1.8708199999999999</v>
      </c>
      <c r="HR31">
        <v>1.8767199999999999</v>
      </c>
      <c r="HS31">
        <v>1.8758900000000001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424</v>
      </c>
      <c r="IB31" t="s">
        <v>424</v>
      </c>
      <c r="IC31" t="s">
        <v>423</v>
      </c>
      <c r="ID31">
        <v>0</v>
      </c>
      <c r="IE31">
        <v>100</v>
      </c>
      <c r="IF31">
        <v>100</v>
      </c>
      <c r="IG31">
        <v>-3.6459999999999999</v>
      </c>
      <c r="IH31">
        <v>0.32529999999999998</v>
      </c>
      <c r="II31">
        <v>-2.9389231406840781</v>
      </c>
      <c r="IJ31">
        <v>-2.536945948238235E-3</v>
      </c>
      <c r="IK31">
        <v>1.581473279927893E-6</v>
      </c>
      <c r="IL31">
        <v>-4.6698293441882044E-10</v>
      </c>
      <c r="IM31">
        <v>-0.18967959923488489</v>
      </c>
      <c r="IN31">
        <v>-1.5895243091576399E-2</v>
      </c>
      <c r="IO31">
        <v>1.559614309849521E-3</v>
      </c>
      <c r="IP31">
        <v>-2.4566050869858518E-6</v>
      </c>
      <c r="IQ31">
        <v>2</v>
      </c>
      <c r="IR31">
        <v>2224</v>
      </c>
      <c r="IS31">
        <v>2</v>
      </c>
      <c r="IT31">
        <v>25</v>
      </c>
      <c r="IU31">
        <v>0.6</v>
      </c>
      <c r="IV31">
        <v>0.6</v>
      </c>
      <c r="IW31">
        <v>0.93872100000000003</v>
      </c>
      <c r="IX31">
        <v>2.47437</v>
      </c>
      <c r="IY31">
        <v>1.65039</v>
      </c>
      <c r="IZ31">
        <v>2.2949199999999998</v>
      </c>
      <c r="JA31">
        <v>1.50024</v>
      </c>
      <c r="JB31">
        <v>2.3877000000000002</v>
      </c>
      <c r="JC31">
        <v>39.242199999999997</v>
      </c>
      <c r="JD31">
        <v>23.4133</v>
      </c>
      <c r="JE31">
        <v>18</v>
      </c>
      <c r="JF31">
        <v>505.12</v>
      </c>
      <c r="JG31">
        <v>466.75599999999997</v>
      </c>
      <c r="JH31">
        <v>25.0534</v>
      </c>
      <c r="JI31">
        <v>32.152700000000003</v>
      </c>
      <c r="JJ31">
        <v>29.999700000000001</v>
      </c>
      <c r="JK31">
        <v>32.247999999999998</v>
      </c>
      <c r="JL31">
        <v>32.240200000000002</v>
      </c>
      <c r="JM31">
        <v>18.831299999999999</v>
      </c>
      <c r="JN31">
        <v>37.741900000000001</v>
      </c>
      <c r="JO31">
        <v>48.503700000000002</v>
      </c>
      <c r="JP31">
        <v>25.063400000000001</v>
      </c>
      <c r="JQ31">
        <v>400</v>
      </c>
      <c r="JR31">
        <v>18.380500000000001</v>
      </c>
      <c r="JS31">
        <v>100.02500000000001</v>
      </c>
      <c r="JT31">
        <v>99.246799999999993</v>
      </c>
    </row>
    <row r="32" spans="1:280" x14ac:dyDescent="0.25">
      <c r="A32">
        <v>16</v>
      </c>
      <c r="B32">
        <v>1674577110.5999999</v>
      </c>
      <c r="C32">
        <v>2976</v>
      </c>
      <c r="D32" t="s">
        <v>498</v>
      </c>
      <c r="E32" t="s">
        <v>499</v>
      </c>
      <c r="F32" t="s">
        <v>412</v>
      </c>
      <c r="G32" t="s">
        <v>493</v>
      </c>
      <c r="H32" t="s">
        <v>494</v>
      </c>
      <c r="I32">
        <v>1674577110.5999999</v>
      </c>
      <c r="J32">
        <f t="shared" si="0"/>
        <v>5.6350931212021662E-3</v>
      </c>
      <c r="K32">
        <f t="shared" si="1"/>
        <v>5.635093121202166</v>
      </c>
      <c r="L32">
        <f t="shared" si="2"/>
        <v>41.190240887347542</v>
      </c>
      <c r="M32">
        <f t="shared" si="3"/>
        <v>248.84399999999999</v>
      </c>
      <c r="N32">
        <f t="shared" si="4"/>
        <v>91.081751291113108</v>
      </c>
      <c r="O32">
        <f t="shared" si="5"/>
        <v>9.0898019542937138</v>
      </c>
      <c r="P32">
        <f t="shared" si="6"/>
        <v>24.834202740400801</v>
      </c>
      <c r="Q32">
        <f t="shared" si="7"/>
        <v>0.45921474418283392</v>
      </c>
      <c r="R32">
        <f t="shared" si="8"/>
        <v>2.9238206239112126</v>
      </c>
      <c r="S32">
        <f t="shared" si="9"/>
        <v>0.42258269140799198</v>
      </c>
      <c r="T32">
        <f t="shared" si="10"/>
        <v>0.26716149055742588</v>
      </c>
      <c r="U32">
        <f t="shared" si="11"/>
        <v>344.35169860497109</v>
      </c>
      <c r="V32">
        <f t="shared" si="12"/>
        <v>28.566650175628624</v>
      </c>
      <c r="W32">
        <f t="shared" si="13"/>
        <v>27.908100000000001</v>
      </c>
      <c r="X32">
        <f t="shared" si="14"/>
        <v>3.7745564505434408</v>
      </c>
      <c r="Y32">
        <f t="shared" si="15"/>
        <v>65.493680219779321</v>
      </c>
      <c r="Z32">
        <f t="shared" si="16"/>
        <v>2.4854960782266398</v>
      </c>
      <c r="AA32">
        <f t="shared" si="17"/>
        <v>3.795016664029228</v>
      </c>
      <c r="AB32">
        <f t="shared" si="18"/>
        <v>1.289060372316801</v>
      </c>
      <c r="AC32">
        <f t="shared" si="19"/>
        <v>-248.50760664501553</v>
      </c>
      <c r="AD32">
        <f t="shared" si="20"/>
        <v>14.612209920053235</v>
      </c>
      <c r="AE32">
        <f t="shared" si="21"/>
        <v>1.0888766969189223</v>
      </c>
      <c r="AF32">
        <f t="shared" si="22"/>
        <v>111.54517857692773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52529.971261133302</v>
      </c>
      <c r="AL32" t="s">
        <v>415</v>
      </c>
      <c r="AM32">
        <v>10424.1</v>
      </c>
      <c r="AN32">
        <v>628.54280000000006</v>
      </c>
      <c r="AO32">
        <v>2663.98</v>
      </c>
      <c r="AP32">
        <f t="shared" si="26"/>
        <v>0.76405873917972356</v>
      </c>
      <c r="AQ32">
        <v>-3.1675626227050531</v>
      </c>
      <c r="AR32" t="s">
        <v>500</v>
      </c>
      <c r="AS32">
        <v>10206.4</v>
      </c>
      <c r="AT32">
        <v>820.65173076923077</v>
      </c>
      <c r="AU32">
        <v>1163.958476889642</v>
      </c>
      <c r="AV32">
        <f t="shared" si="27"/>
        <v>0.2949475887127897</v>
      </c>
      <c r="AW32">
        <v>0.5</v>
      </c>
      <c r="AX32">
        <f t="shared" si="28"/>
        <v>1513.1087993024855</v>
      </c>
      <c r="AY32">
        <f t="shared" si="29"/>
        <v>41.190240887347542</v>
      </c>
      <c r="AZ32">
        <f t="shared" si="30"/>
        <v>223.14389590718628</v>
      </c>
      <c r="BA32">
        <f t="shared" si="31"/>
        <v>2.9315673486599712E-2</v>
      </c>
      <c r="BB32">
        <f t="shared" si="32"/>
        <v>1.288724256829807</v>
      </c>
      <c r="BC32">
        <f t="shared" si="33"/>
        <v>481.98797992717931</v>
      </c>
      <c r="BD32" t="s">
        <v>501</v>
      </c>
      <c r="BE32">
        <v>572.01</v>
      </c>
      <c r="BF32">
        <f t="shared" si="34"/>
        <v>572.01</v>
      </c>
      <c r="BG32">
        <f t="shared" si="35"/>
        <v>0.50856494337449309</v>
      </c>
      <c r="BH32">
        <f t="shared" si="36"/>
        <v>0.57996051940921634</v>
      </c>
      <c r="BI32">
        <f t="shared" si="37"/>
        <v>0.7170377792752084</v>
      </c>
      <c r="BJ32">
        <f t="shared" si="38"/>
        <v>0.64119666445846801</v>
      </c>
      <c r="BK32">
        <f t="shared" si="39"/>
        <v>0.73695298637086815</v>
      </c>
      <c r="BL32">
        <f t="shared" si="40"/>
        <v>0.40424360818237626</v>
      </c>
      <c r="BM32">
        <f t="shared" si="41"/>
        <v>0.59575639181762374</v>
      </c>
      <c r="BN32">
        <v>20195</v>
      </c>
      <c r="BO32">
        <v>290.00000000000011</v>
      </c>
      <c r="BP32">
        <v>1078.1099999999999</v>
      </c>
      <c r="BQ32">
        <v>155</v>
      </c>
      <c r="BR32">
        <v>10206.4</v>
      </c>
      <c r="BS32">
        <v>1075.43</v>
      </c>
      <c r="BT32">
        <v>2.68</v>
      </c>
      <c r="BU32">
        <v>300.00000000000011</v>
      </c>
      <c r="BV32">
        <v>24.2</v>
      </c>
      <c r="BW32">
        <v>1163.958476889642</v>
      </c>
      <c r="BX32">
        <v>1.9889431513773761</v>
      </c>
      <c r="BY32">
        <v>-90.357244813675948</v>
      </c>
      <c r="BZ32">
        <v>1.8045027105959659</v>
      </c>
      <c r="CA32">
        <v>0.98895605731885949</v>
      </c>
      <c r="CB32">
        <v>-6.9402967741935516E-3</v>
      </c>
      <c r="CC32">
        <v>289.99999999999989</v>
      </c>
      <c r="CD32">
        <v>1075.27</v>
      </c>
      <c r="CE32">
        <v>705</v>
      </c>
      <c r="CF32">
        <v>10161.799999999999</v>
      </c>
      <c r="CG32">
        <v>1075.04</v>
      </c>
      <c r="CH32">
        <v>0.23</v>
      </c>
      <c r="CV32">
        <f t="shared" si="42"/>
        <v>1799.91</v>
      </c>
      <c r="CW32">
        <f t="shared" si="43"/>
        <v>1513.1087993024855</v>
      </c>
      <c r="CX32">
        <f t="shared" si="44"/>
        <v>0.84065803251411764</v>
      </c>
      <c r="CY32">
        <f t="shared" si="45"/>
        <v>0.19131606502823534</v>
      </c>
      <c r="CZ32">
        <v>6</v>
      </c>
      <c r="DA32">
        <v>0.5</v>
      </c>
      <c r="DB32" t="s">
        <v>418</v>
      </c>
      <c r="DC32">
        <v>2</v>
      </c>
      <c r="DD32">
        <v>1674577110.5999999</v>
      </c>
      <c r="DE32">
        <v>248.84399999999999</v>
      </c>
      <c r="DF32">
        <v>299.95499999999998</v>
      </c>
      <c r="DG32">
        <v>24.905200000000001</v>
      </c>
      <c r="DH32">
        <v>18.311499999999999</v>
      </c>
      <c r="DI32">
        <v>252.00899999999999</v>
      </c>
      <c r="DJ32">
        <v>24.577400000000001</v>
      </c>
      <c r="DK32">
        <v>500</v>
      </c>
      <c r="DL32">
        <v>99.698700000000002</v>
      </c>
      <c r="DM32">
        <v>9.9578200000000006E-2</v>
      </c>
      <c r="DN32">
        <v>28.000800000000002</v>
      </c>
      <c r="DO32">
        <v>27.908100000000001</v>
      </c>
      <c r="DP32">
        <v>999.9</v>
      </c>
      <c r="DQ32">
        <v>0</v>
      </c>
      <c r="DR32">
        <v>0</v>
      </c>
      <c r="DS32">
        <v>9997.5</v>
      </c>
      <c r="DT32">
        <v>0</v>
      </c>
      <c r="DU32">
        <v>457.1</v>
      </c>
      <c r="DV32">
        <v>-51.110999999999997</v>
      </c>
      <c r="DW32">
        <v>255.19900000000001</v>
      </c>
      <c r="DX32">
        <v>305.55</v>
      </c>
      <c r="DY32">
        <v>6.5937400000000004</v>
      </c>
      <c r="DZ32">
        <v>299.95499999999998</v>
      </c>
      <c r="EA32">
        <v>18.311499999999999</v>
      </c>
      <c r="EB32">
        <v>2.4830199999999998</v>
      </c>
      <c r="EC32">
        <v>1.8256300000000001</v>
      </c>
      <c r="ED32">
        <v>20.915600000000001</v>
      </c>
      <c r="EE32">
        <v>16.007999999999999</v>
      </c>
      <c r="EF32">
        <v>1799.91</v>
      </c>
      <c r="EG32">
        <v>0.97800399999999998</v>
      </c>
      <c r="EH32">
        <v>2.19963E-2</v>
      </c>
      <c r="EI32">
        <v>0</v>
      </c>
      <c r="EJ32">
        <v>820.26700000000005</v>
      </c>
      <c r="EK32">
        <v>5.0010599999999998</v>
      </c>
      <c r="EL32">
        <v>15353.8</v>
      </c>
      <c r="EM32">
        <v>16710.2</v>
      </c>
      <c r="EN32">
        <v>47.936999999999998</v>
      </c>
      <c r="EO32">
        <v>48.75</v>
      </c>
      <c r="EP32">
        <v>48.936999999999998</v>
      </c>
      <c r="EQ32">
        <v>47.375</v>
      </c>
      <c r="ER32">
        <v>48.875</v>
      </c>
      <c r="ES32">
        <v>1755.43</v>
      </c>
      <c r="ET32">
        <v>39.479999999999997</v>
      </c>
      <c r="EU32">
        <v>0</v>
      </c>
      <c r="EV32">
        <v>117.5999999046326</v>
      </c>
      <c r="EW32">
        <v>0</v>
      </c>
      <c r="EX32">
        <v>820.65173076923077</v>
      </c>
      <c r="EY32">
        <v>-1.899931630163209</v>
      </c>
      <c r="EZ32">
        <v>-14.1572649263522</v>
      </c>
      <c r="FA32">
        <v>15358.55</v>
      </c>
      <c r="FB32">
        <v>15</v>
      </c>
      <c r="FC32">
        <v>1674577077.5999999</v>
      </c>
      <c r="FD32" t="s">
        <v>502</v>
      </c>
      <c r="FE32">
        <v>1674577067.5999999</v>
      </c>
      <c r="FF32">
        <v>1674577077.5999999</v>
      </c>
      <c r="FG32">
        <v>19</v>
      </c>
      <c r="FH32">
        <v>0.32</v>
      </c>
      <c r="FI32">
        <v>3.0000000000000001E-3</v>
      </c>
      <c r="FJ32">
        <v>-3.2559999999999998</v>
      </c>
      <c r="FK32">
        <v>2.9000000000000001E-2</v>
      </c>
      <c r="FL32">
        <v>300</v>
      </c>
      <c r="FM32">
        <v>18</v>
      </c>
      <c r="FN32">
        <v>0.03</v>
      </c>
      <c r="FO32">
        <v>0.02</v>
      </c>
      <c r="FP32">
        <v>41.188320354996257</v>
      </c>
      <c r="FQ32">
        <v>-0.38081676481321602</v>
      </c>
      <c r="FR32">
        <v>6.4096060774261873E-2</v>
      </c>
      <c r="FS32">
        <v>1</v>
      </c>
      <c r="FT32">
        <v>0.4647809741887684</v>
      </c>
      <c r="FU32">
        <v>-1.520200508782032E-2</v>
      </c>
      <c r="FV32">
        <v>4.1787397189119108E-3</v>
      </c>
      <c r="FW32">
        <v>1</v>
      </c>
      <c r="FX32">
        <v>2</v>
      </c>
      <c r="FY32">
        <v>2</v>
      </c>
      <c r="FZ32" t="s">
        <v>420</v>
      </c>
      <c r="GA32">
        <v>2.9779100000000001</v>
      </c>
      <c r="GB32">
        <v>2.8058800000000002</v>
      </c>
      <c r="GC32">
        <v>6.6979800000000006E-2</v>
      </c>
      <c r="GD32">
        <v>7.6595700000000003E-2</v>
      </c>
      <c r="GE32">
        <v>0.122188</v>
      </c>
      <c r="GF32">
        <v>9.8416799999999999E-2</v>
      </c>
      <c r="GG32">
        <v>27607.7</v>
      </c>
      <c r="GH32">
        <v>25357.200000000001</v>
      </c>
      <c r="GI32">
        <v>26598.5</v>
      </c>
      <c r="GJ32">
        <v>25933.1</v>
      </c>
      <c r="GK32">
        <v>31781.599999999999</v>
      </c>
      <c r="GL32">
        <v>32998.800000000003</v>
      </c>
      <c r="GM32">
        <v>37700.400000000001</v>
      </c>
      <c r="GN32">
        <v>38473.800000000003</v>
      </c>
      <c r="GO32">
        <v>1.9752000000000001</v>
      </c>
      <c r="GP32">
        <v>1.925</v>
      </c>
      <c r="GQ32">
        <v>7.7813900000000005E-2</v>
      </c>
      <c r="GR32">
        <v>0</v>
      </c>
      <c r="GS32">
        <v>26.636199999999999</v>
      </c>
      <c r="GT32">
        <v>999.9</v>
      </c>
      <c r="GU32">
        <v>45.3</v>
      </c>
      <c r="GV32">
        <v>33.5</v>
      </c>
      <c r="GW32">
        <v>23.608699999999999</v>
      </c>
      <c r="GX32">
        <v>61.781399999999998</v>
      </c>
      <c r="GY32">
        <v>12.540100000000001</v>
      </c>
      <c r="GZ32">
        <v>1</v>
      </c>
      <c r="HA32">
        <v>0.37772899999999998</v>
      </c>
      <c r="HB32">
        <v>1.9429099999999999</v>
      </c>
      <c r="HC32">
        <v>20.245200000000001</v>
      </c>
      <c r="HD32">
        <v>5.2063600000000001</v>
      </c>
      <c r="HE32">
        <v>11.9367</v>
      </c>
      <c r="HF32">
        <v>4.9866999999999999</v>
      </c>
      <c r="HG32">
        <v>3.2901500000000001</v>
      </c>
      <c r="HH32">
        <v>9999</v>
      </c>
      <c r="HI32">
        <v>9999</v>
      </c>
      <c r="HJ32">
        <v>9999</v>
      </c>
      <c r="HK32">
        <v>999.9</v>
      </c>
      <c r="HL32">
        <v>1.87073</v>
      </c>
      <c r="HM32">
        <v>1.87696</v>
      </c>
      <c r="HN32">
        <v>1.87469</v>
      </c>
      <c r="HO32">
        <v>1.8730100000000001</v>
      </c>
      <c r="HP32">
        <v>1.87347</v>
      </c>
      <c r="HQ32">
        <v>1.87087</v>
      </c>
      <c r="HR32">
        <v>1.8767199999999999</v>
      </c>
      <c r="HS32">
        <v>1.8758600000000001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424</v>
      </c>
      <c r="IB32" t="s">
        <v>424</v>
      </c>
      <c r="IC32" t="s">
        <v>423</v>
      </c>
      <c r="ID32">
        <v>0</v>
      </c>
      <c r="IE32">
        <v>100</v>
      </c>
      <c r="IF32">
        <v>100</v>
      </c>
      <c r="IG32">
        <v>-3.165</v>
      </c>
      <c r="IH32">
        <v>0.32779999999999998</v>
      </c>
      <c r="II32">
        <v>-2.6188283103137309</v>
      </c>
      <c r="IJ32">
        <v>-2.536945948238235E-3</v>
      </c>
      <c r="IK32">
        <v>1.581473279927893E-6</v>
      </c>
      <c r="IL32">
        <v>-4.6698293441882044E-10</v>
      </c>
      <c r="IM32">
        <v>-0.18712597313120699</v>
      </c>
      <c r="IN32">
        <v>-1.5895243091576399E-2</v>
      </c>
      <c r="IO32">
        <v>1.559614309849521E-3</v>
      </c>
      <c r="IP32">
        <v>-2.4566050869858518E-6</v>
      </c>
      <c r="IQ32">
        <v>2</v>
      </c>
      <c r="IR32">
        <v>2224</v>
      </c>
      <c r="IS32">
        <v>2</v>
      </c>
      <c r="IT32">
        <v>25</v>
      </c>
      <c r="IU32">
        <v>0.7</v>
      </c>
      <c r="IV32">
        <v>0.6</v>
      </c>
      <c r="IW32">
        <v>0.75073199999999995</v>
      </c>
      <c r="IX32">
        <v>2.4731399999999999</v>
      </c>
      <c r="IY32">
        <v>1.65039</v>
      </c>
      <c r="IZ32">
        <v>2.2936999999999999</v>
      </c>
      <c r="JA32">
        <v>1.50024</v>
      </c>
      <c r="JB32">
        <v>2.3278799999999999</v>
      </c>
      <c r="JC32">
        <v>39.292000000000002</v>
      </c>
      <c r="JD32">
        <v>23.439599999999999</v>
      </c>
      <c r="JE32">
        <v>18</v>
      </c>
      <c r="JF32">
        <v>505.322</v>
      </c>
      <c r="JG32">
        <v>466.178</v>
      </c>
      <c r="JH32">
        <v>25.053999999999998</v>
      </c>
      <c r="JI32">
        <v>32.048999999999999</v>
      </c>
      <c r="JJ32">
        <v>29.999700000000001</v>
      </c>
      <c r="JK32">
        <v>32.148299999999999</v>
      </c>
      <c r="JL32">
        <v>32.140999999999998</v>
      </c>
      <c r="JM32">
        <v>15.07</v>
      </c>
      <c r="JN32">
        <v>36.850999999999999</v>
      </c>
      <c r="JO32">
        <v>47.892299999999999</v>
      </c>
      <c r="JP32">
        <v>25.053000000000001</v>
      </c>
      <c r="JQ32">
        <v>300</v>
      </c>
      <c r="JR32">
        <v>18.2056</v>
      </c>
      <c r="JS32">
        <v>100.035</v>
      </c>
      <c r="JT32">
        <v>99.263400000000004</v>
      </c>
    </row>
    <row r="33" spans="1:280" x14ac:dyDescent="0.25">
      <c r="A33">
        <v>17</v>
      </c>
      <c r="B33">
        <v>1674577217.5999999</v>
      </c>
      <c r="C33">
        <v>3083</v>
      </c>
      <c r="D33" t="s">
        <v>503</v>
      </c>
      <c r="E33" t="s">
        <v>504</v>
      </c>
      <c r="F33" t="s">
        <v>412</v>
      </c>
      <c r="G33" t="s">
        <v>493</v>
      </c>
      <c r="H33" t="s">
        <v>494</v>
      </c>
      <c r="I33">
        <v>1674577217.5999999</v>
      </c>
      <c r="J33">
        <f t="shared" si="0"/>
        <v>6.0109712639139466E-3</v>
      </c>
      <c r="K33">
        <f t="shared" si="1"/>
        <v>6.0109712639139463</v>
      </c>
      <c r="L33">
        <f t="shared" si="2"/>
        <v>30.523433442142601</v>
      </c>
      <c r="M33">
        <f t="shared" si="3"/>
        <v>162.24</v>
      </c>
      <c r="N33">
        <f t="shared" si="4"/>
        <v>53.865408700096609</v>
      </c>
      <c r="O33">
        <f t="shared" si="5"/>
        <v>5.3755381384861893</v>
      </c>
      <c r="P33">
        <f t="shared" si="6"/>
        <v>16.190860305984</v>
      </c>
      <c r="Q33">
        <f t="shared" si="7"/>
        <v>0.49725116799872981</v>
      </c>
      <c r="R33">
        <f t="shared" si="8"/>
        <v>2.9222407545124591</v>
      </c>
      <c r="S33">
        <f t="shared" si="9"/>
        <v>0.45458010704035584</v>
      </c>
      <c r="T33">
        <f t="shared" si="10"/>
        <v>0.28764062469877766</v>
      </c>
      <c r="U33">
        <f t="shared" si="11"/>
        <v>344.3611986050098</v>
      </c>
      <c r="V33">
        <f t="shared" si="12"/>
        <v>28.456781991854946</v>
      </c>
      <c r="W33">
        <f t="shared" si="13"/>
        <v>27.8964</v>
      </c>
      <c r="X33">
        <f t="shared" si="14"/>
        <v>3.7719809462860008</v>
      </c>
      <c r="Y33">
        <f t="shared" si="15"/>
        <v>65.759514802312879</v>
      </c>
      <c r="Z33">
        <f t="shared" si="16"/>
        <v>2.4937956618974</v>
      </c>
      <c r="AA33">
        <f t="shared" si="17"/>
        <v>3.7922963230405236</v>
      </c>
      <c r="AB33">
        <f t="shared" si="18"/>
        <v>1.2781852843886008</v>
      </c>
      <c r="AC33">
        <f t="shared" si="19"/>
        <v>-265.08383273860505</v>
      </c>
      <c r="AD33">
        <f t="shared" si="20"/>
        <v>14.509787991624858</v>
      </c>
      <c r="AE33">
        <f t="shared" si="21"/>
        <v>1.0816995483748331</v>
      </c>
      <c r="AF33">
        <f t="shared" si="22"/>
        <v>94.868853406404455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52486.642814615261</v>
      </c>
      <c r="AL33" t="s">
        <v>415</v>
      </c>
      <c r="AM33">
        <v>10424.1</v>
      </c>
      <c r="AN33">
        <v>628.54280000000006</v>
      </c>
      <c r="AO33">
        <v>2663.98</v>
      </c>
      <c r="AP33">
        <f t="shared" si="26"/>
        <v>0.76405873917972356</v>
      </c>
      <c r="AQ33">
        <v>-3.1675626227050531</v>
      </c>
      <c r="AR33" t="s">
        <v>505</v>
      </c>
      <c r="AS33">
        <v>10215</v>
      </c>
      <c r="AT33">
        <v>829.36226923076913</v>
      </c>
      <c r="AU33">
        <v>1102.708468150392</v>
      </c>
      <c r="AV33">
        <f t="shared" si="27"/>
        <v>0.24788618824893505</v>
      </c>
      <c r="AW33">
        <v>0.5</v>
      </c>
      <c r="AX33">
        <f t="shared" si="28"/>
        <v>1513.1507993025048</v>
      </c>
      <c r="AY33">
        <f t="shared" si="29"/>
        <v>30.523433442142601</v>
      </c>
      <c r="AZ33">
        <f t="shared" si="30"/>
        <v>187.54459194246363</v>
      </c>
      <c r="BA33">
        <f t="shared" si="31"/>
        <v>2.22654583273377E-2</v>
      </c>
      <c r="BB33">
        <f t="shared" si="32"/>
        <v>1.4158515844794213</v>
      </c>
      <c r="BC33">
        <f t="shared" si="33"/>
        <v>471.15109723272991</v>
      </c>
      <c r="BD33" t="s">
        <v>506</v>
      </c>
      <c r="BE33">
        <v>563.14</v>
      </c>
      <c r="BF33">
        <f t="shared" si="34"/>
        <v>563.14</v>
      </c>
      <c r="BG33">
        <f t="shared" si="35"/>
        <v>0.48931198384231822</v>
      </c>
      <c r="BH33">
        <f t="shared" si="36"/>
        <v>0.50660150667557924</v>
      </c>
      <c r="BI33">
        <f t="shared" si="37"/>
        <v>0.74316536806687228</v>
      </c>
      <c r="BJ33">
        <f t="shared" si="38"/>
        <v>0.57647825914069595</v>
      </c>
      <c r="BK33">
        <f t="shared" si="39"/>
        <v>0.76704480582825552</v>
      </c>
      <c r="BL33">
        <f t="shared" si="40"/>
        <v>0.34398426725378889</v>
      </c>
      <c r="BM33">
        <f t="shared" si="41"/>
        <v>0.65601573274621106</v>
      </c>
      <c r="BN33">
        <v>20197</v>
      </c>
      <c r="BO33">
        <v>290.00000000000011</v>
      </c>
      <c r="BP33">
        <v>1030.72</v>
      </c>
      <c r="BQ33">
        <v>115</v>
      </c>
      <c r="BR33">
        <v>10215</v>
      </c>
      <c r="BS33">
        <v>1027.94</v>
      </c>
      <c r="BT33">
        <v>2.78</v>
      </c>
      <c r="BU33">
        <v>300.00000000000011</v>
      </c>
      <c r="BV33">
        <v>24.2</v>
      </c>
      <c r="BW33">
        <v>1102.708468150392</v>
      </c>
      <c r="BX33">
        <v>2.0680398972240859</v>
      </c>
      <c r="BY33">
        <v>-76.377407284214584</v>
      </c>
      <c r="BZ33">
        <v>1.876236718388979</v>
      </c>
      <c r="CA33">
        <v>0.9833839953252328</v>
      </c>
      <c r="CB33">
        <v>-6.9399301446051139E-3</v>
      </c>
      <c r="CC33">
        <v>289.99999999999989</v>
      </c>
      <c r="CD33">
        <v>1026.22</v>
      </c>
      <c r="CE33">
        <v>675</v>
      </c>
      <c r="CF33">
        <v>10163.799999999999</v>
      </c>
      <c r="CG33">
        <v>1027.56</v>
      </c>
      <c r="CH33">
        <v>-1.34</v>
      </c>
      <c r="CV33">
        <f t="shared" si="42"/>
        <v>1799.96</v>
      </c>
      <c r="CW33">
        <f t="shared" si="43"/>
        <v>1513.1507993025048</v>
      </c>
      <c r="CX33">
        <f t="shared" si="44"/>
        <v>0.84065801423504116</v>
      </c>
      <c r="CY33">
        <f t="shared" si="45"/>
        <v>0.19131602847008256</v>
      </c>
      <c r="CZ33">
        <v>6</v>
      </c>
      <c r="DA33">
        <v>0.5</v>
      </c>
      <c r="DB33" t="s">
        <v>418</v>
      </c>
      <c r="DC33">
        <v>2</v>
      </c>
      <c r="DD33">
        <v>1674577217.5999999</v>
      </c>
      <c r="DE33">
        <v>162.24</v>
      </c>
      <c r="DF33">
        <v>200.03399999999999</v>
      </c>
      <c r="DG33">
        <v>24.989000000000001</v>
      </c>
      <c r="DH33">
        <v>17.956900000000001</v>
      </c>
      <c r="DI33">
        <v>164.98599999999999</v>
      </c>
      <c r="DJ33">
        <v>24.654800000000002</v>
      </c>
      <c r="DK33">
        <v>500.05799999999999</v>
      </c>
      <c r="DL33">
        <v>99.696100000000001</v>
      </c>
      <c r="DM33">
        <v>9.9636600000000006E-2</v>
      </c>
      <c r="DN33">
        <v>27.988499999999998</v>
      </c>
      <c r="DO33">
        <v>27.8964</v>
      </c>
      <c r="DP33">
        <v>999.9</v>
      </c>
      <c r="DQ33">
        <v>0</v>
      </c>
      <c r="DR33">
        <v>0</v>
      </c>
      <c r="DS33">
        <v>9988.75</v>
      </c>
      <c r="DT33">
        <v>0</v>
      </c>
      <c r="DU33">
        <v>451.24799999999999</v>
      </c>
      <c r="DV33">
        <v>-37.7941</v>
      </c>
      <c r="DW33">
        <v>166.398</v>
      </c>
      <c r="DX33">
        <v>203.69200000000001</v>
      </c>
      <c r="DY33">
        <v>7.0320799999999997</v>
      </c>
      <c r="DZ33">
        <v>200.03399999999999</v>
      </c>
      <c r="EA33">
        <v>17.956900000000001</v>
      </c>
      <c r="EB33">
        <v>2.4913099999999999</v>
      </c>
      <c r="EC33">
        <v>1.7902400000000001</v>
      </c>
      <c r="ED33">
        <v>20.969799999999999</v>
      </c>
      <c r="EE33">
        <v>15.7018</v>
      </c>
      <c r="EF33">
        <v>1799.96</v>
      </c>
      <c r="EG33">
        <v>0.97800399999999998</v>
      </c>
      <c r="EH33">
        <v>2.19963E-2</v>
      </c>
      <c r="EI33">
        <v>0</v>
      </c>
      <c r="EJ33">
        <v>828.60199999999998</v>
      </c>
      <c r="EK33">
        <v>5.0010599999999998</v>
      </c>
      <c r="EL33">
        <v>15481.6</v>
      </c>
      <c r="EM33">
        <v>16710.7</v>
      </c>
      <c r="EN33">
        <v>47.936999999999998</v>
      </c>
      <c r="EO33">
        <v>48.75</v>
      </c>
      <c r="EP33">
        <v>48.936999999999998</v>
      </c>
      <c r="EQ33">
        <v>47.311999999999998</v>
      </c>
      <c r="ER33">
        <v>48.811999999999998</v>
      </c>
      <c r="ES33">
        <v>1755.48</v>
      </c>
      <c r="ET33">
        <v>39.479999999999997</v>
      </c>
      <c r="EU33">
        <v>0</v>
      </c>
      <c r="EV33">
        <v>105.19999980926509</v>
      </c>
      <c r="EW33">
        <v>0</v>
      </c>
      <c r="EX33">
        <v>829.36226923076913</v>
      </c>
      <c r="EY33">
        <v>-5.4154871836216047</v>
      </c>
      <c r="EZ33">
        <v>-125.2273503110698</v>
      </c>
      <c r="FA33">
        <v>15509.45</v>
      </c>
      <c r="FB33">
        <v>15</v>
      </c>
      <c r="FC33">
        <v>1674577185.0999999</v>
      </c>
      <c r="FD33" t="s">
        <v>507</v>
      </c>
      <c r="FE33">
        <v>1674577177.0999999</v>
      </c>
      <c r="FF33">
        <v>1674577185.0999999</v>
      </c>
      <c r="FG33">
        <v>20</v>
      </c>
      <c r="FH33">
        <v>0.251</v>
      </c>
      <c r="FI33">
        <v>2E-3</v>
      </c>
      <c r="FJ33">
        <v>-2.8210000000000002</v>
      </c>
      <c r="FK33">
        <v>2.4E-2</v>
      </c>
      <c r="FL33">
        <v>200</v>
      </c>
      <c r="FM33">
        <v>18</v>
      </c>
      <c r="FN33">
        <v>0.04</v>
      </c>
      <c r="FO33">
        <v>0.01</v>
      </c>
      <c r="FP33">
        <v>30.408972357011141</v>
      </c>
      <c r="FQ33">
        <v>-0.17174593984250849</v>
      </c>
      <c r="FR33">
        <v>7.327224907556705E-2</v>
      </c>
      <c r="FS33">
        <v>1</v>
      </c>
      <c r="FT33">
        <v>0.49793025425087761</v>
      </c>
      <c r="FU33">
        <v>4.2106667507938698E-3</v>
      </c>
      <c r="FV33">
        <v>4.6046100327525466E-3</v>
      </c>
      <c r="FW33">
        <v>1</v>
      </c>
      <c r="FX33">
        <v>2</v>
      </c>
      <c r="FY33">
        <v>2</v>
      </c>
      <c r="FZ33" t="s">
        <v>420</v>
      </c>
      <c r="GA33">
        <v>2.9781399999999998</v>
      </c>
      <c r="GB33">
        <v>2.8058700000000001</v>
      </c>
      <c r="GC33">
        <v>4.6002300000000003E-2</v>
      </c>
      <c r="GD33">
        <v>5.4111600000000003E-2</v>
      </c>
      <c r="GE33">
        <v>0.122476</v>
      </c>
      <c r="GF33">
        <v>9.70887E-2</v>
      </c>
      <c r="GG33">
        <v>28231.4</v>
      </c>
      <c r="GH33">
        <v>25979.1</v>
      </c>
      <c r="GI33">
        <v>26601.1</v>
      </c>
      <c r="GJ33">
        <v>25937.1</v>
      </c>
      <c r="GK33">
        <v>31773.9</v>
      </c>
      <c r="GL33">
        <v>33051.699999999997</v>
      </c>
      <c r="GM33">
        <v>37704.300000000003</v>
      </c>
      <c r="GN33">
        <v>38479</v>
      </c>
      <c r="GO33">
        <v>1.9761500000000001</v>
      </c>
      <c r="GP33">
        <v>1.9244000000000001</v>
      </c>
      <c r="GQ33">
        <v>7.8007599999999996E-2</v>
      </c>
      <c r="GR33">
        <v>0</v>
      </c>
      <c r="GS33">
        <v>26.621200000000002</v>
      </c>
      <c r="GT33">
        <v>999.9</v>
      </c>
      <c r="GU33">
        <v>44.8</v>
      </c>
      <c r="GV33">
        <v>33.6</v>
      </c>
      <c r="GW33">
        <v>23.479600000000001</v>
      </c>
      <c r="GX33">
        <v>61.911499999999997</v>
      </c>
      <c r="GY33">
        <v>12.275600000000001</v>
      </c>
      <c r="GZ33">
        <v>1</v>
      </c>
      <c r="HA33">
        <v>0.370587</v>
      </c>
      <c r="HB33">
        <v>1.8334600000000001</v>
      </c>
      <c r="HC33">
        <v>20.246700000000001</v>
      </c>
      <c r="HD33">
        <v>5.2051600000000002</v>
      </c>
      <c r="HE33">
        <v>11.937200000000001</v>
      </c>
      <c r="HF33">
        <v>4.9861500000000003</v>
      </c>
      <c r="HG33">
        <v>3.2900499999999999</v>
      </c>
      <c r="HH33">
        <v>9999</v>
      </c>
      <c r="HI33">
        <v>9999</v>
      </c>
      <c r="HJ33">
        <v>9999</v>
      </c>
      <c r="HK33">
        <v>999.9</v>
      </c>
      <c r="HL33">
        <v>1.87073</v>
      </c>
      <c r="HM33">
        <v>1.87697</v>
      </c>
      <c r="HN33">
        <v>1.87469</v>
      </c>
      <c r="HO33">
        <v>1.8730100000000001</v>
      </c>
      <c r="HP33">
        <v>1.87347</v>
      </c>
      <c r="HQ33">
        <v>1.8708800000000001</v>
      </c>
      <c r="HR33">
        <v>1.8767799999999999</v>
      </c>
      <c r="HS33">
        <v>1.87591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424</v>
      </c>
      <c r="IB33" t="s">
        <v>424</v>
      </c>
      <c r="IC33" t="s">
        <v>423</v>
      </c>
      <c r="ID33">
        <v>0</v>
      </c>
      <c r="IE33">
        <v>100</v>
      </c>
      <c r="IF33">
        <v>100</v>
      </c>
      <c r="IG33">
        <v>-2.746</v>
      </c>
      <c r="IH33">
        <v>0.3342</v>
      </c>
      <c r="II33">
        <v>-2.3682785098487571</v>
      </c>
      <c r="IJ33">
        <v>-2.536945948238235E-3</v>
      </c>
      <c r="IK33">
        <v>1.581473279927893E-6</v>
      </c>
      <c r="IL33">
        <v>-4.6698293441882044E-10</v>
      </c>
      <c r="IM33">
        <v>-0.18508642951550339</v>
      </c>
      <c r="IN33">
        <v>-1.5895243091576399E-2</v>
      </c>
      <c r="IO33">
        <v>1.559614309849521E-3</v>
      </c>
      <c r="IP33">
        <v>-2.4566050869858518E-6</v>
      </c>
      <c r="IQ33">
        <v>2</v>
      </c>
      <c r="IR33">
        <v>2224</v>
      </c>
      <c r="IS33">
        <v>2</v>
      </c>
      <c r="IT33">
        <v>25</v>
      </c>
      <c r="IU33">
        <v>0.7</v>
      </c>
      <c r="IV33">
        <v>0.5</v>
      </c>
      <c r="IW33">
        <v>0.55542000000000002</v>
      </c>
      <c r="IX33">
        <v>2.4939</v>
      </c>
      <c r="IY33">
        <v>1.65039</v>
      </c>
      <c r="IZ33">
        <v>2.2936999999999999</v>
      </c>
      <c r="JA33">
        <v>1.50024</v>
      </c>
      <c r="JB33">
        <v>2.33643</v>
      </c>
      <c r="JC33">
        <v>39.366700000000002</v>
      </c>
      <c r="JD33">
        <v>23.404499999999999</v>
      </c>
      <c r="JE33">
        <v>18</v>
      </c>
      <c r="JF33">
        <v>505.25799999999998</v>
      </c>
      <c r="JG33">
        <v>465.11599999999999</v>
      </c>
      <c r="JH33">
        <v>25.098099999999999</v>
      </c>
      <c r="JI33">
        <v>31.965800000000002</v>
      </c>
      <c r="JJ33">
        <v>29.9998</v>
      </c>
      <c r="JK33">
        <v>32.0642</v>
      </c>
      <c r="JL33">
        <v>32.055900000000001</v>
      </c>
      <c r="JM33">
        <v>11.1425</v>
      </c>
      <c r="JN33">
        <v>37.982900000000001</v>
      </c>
      <c r="JO33">
        <v>46.742899999999999</v>
      </c>
      <c r="JP33">
        <v>25.105699999999999</v>
      </c>
      <c r="JQ33">
        <v>200</v>
      </c>
      <c r="JR33">
        <v>17.839700000000001</v>
      </c>
      <c r="JS33">
        <v>100.045</v>
      </c>
      <c r="JT33">
        <v>99.277600000000007</v>
      </c>
    </row>
    <row r="34" spans="1:280" x14ac:dyDescent="0.25">
      <c r="A34">
        <v>18</v>
      </c>
      <c r="B34">
        <v>1674577320.5999999</v>
      </c>
      <c r="C34">
        <v>3186</v>
      </c>
      <c r="D34" t="s">
        <v>508</v>
      </c>
      <c r="E34" t="s">
        <v>509</v>
      </c>
      <c r="F34" t="s">
        <v>412</v>
      </c>
      <c r="G34" t="s">
        <v>493</v>
      </c>
      <c r="H34" t="s">
        <v>494</v>
      </c>
      <c r="I34">
        <v>1674577320.5999999</v>
      </c>
      <c r="J34">
        <f t="shared" si="0"/>
        <v>6.4099312380353594E-3</v>
      </c>
      <c r="K34">
        <f t="shared" si="1"/>
        <v>6.4099312380353597</v>
      </c>
      <c r="L34">
        <f t="shared" si="2"/>
        <v>19.521817709523898</v>
      </c>
      <c r="M34">
        <f t="shared" si="3"/>
        <v>95.8673</v>
      </c>
      <c r="N34">
        <f t="shared" si="4"/>
        <v>31.211830793544912</v>
      </c>
      <c r="O34">
        <f t="shared" si="5"/>
        <v>3.114693849462487</v>
      </c>
      <c r="P34">
        <f t="shared" si="6"/>
        <v>9.5667982967641105</v>
      </c>
      <c r="Q34">
        <f t="shared" si="7"/>
        <v>0.53585203091543876</v>
      </c>
      <c r="R34">
        <f t="shared" si="8"/>
        <v>2.9265706427636946</v>
      </c>
      <c r="S34">
        <f t="shared" si="9"/>
        <v>0.48671514268504407</v>
      </c>
      <c r="T34">
        <f t="shared" si="10"/>
        <v>0.30823536197649576</v>
      </c>
      <c r="U34">
        <f t="shared" si="11"/>
        <v>344.37449860506399</v>
      </c>
      <c r="V34">
        <f t="shared" si="12"/>
        <v>28.358430766337449</v>
      </c>
      <c r="W34">
        <f t="shared" si="13"/>
        <v>27.8736</v>
      </c>
      <c r="X34">
        <f t="shared" si="14"/>
        <v>3.7669664198958981</v>
      </c>
      <c r="Y34">
        <f t="shared" si="15"/>
        <v>65.74069075973334</v>
      </c>
      <c r="Z34">
        <f t="shared" si="16"/>
        <v>2.4939540347290499</v>
      </c>
      <c r="AA34">
        <f t="shared" si="17"/>
        <v>3.7936231060362013</v>
      </c>
      <c r="AB34">
        <f t="shared" si="18"/>
        <v>1.2730123851668482</v>
      </c>
      <c r="AC34">
        <f t="shared" si="19"/>
        <v>-282.67796759735933</v>
      </c>
      <c r="AD34">
        <f t="shared" si="20"/>
        <v>19.075272727964393</v>
      </c>
      <c r="AE34">
        <f t="shared" si="21"/>
        <v>1.4198319979709886</v>
      </c>
      <c r="AF34">
        <f t="shared" si="22"/>
        <v>82.191635733640069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52610.036458093913</v>
      </c>
      <c r="AL34" t="s">
        <v>415</v>
      </c>
      <c r="AM34">
        <v>10424.1</v>
      </c>
      <c r="AN34">
        <v>628.54280000000006</v>
      </c>
      <c r="AO34">
        <v>2663.98</v>
      </c>
      <c r="AP34">
        <f t="shared" si="26"/>
        <v>0.76405873917972356</v>
      </c>
      <c r="AQ34">
        <v>-3.1675626227050531</v>
      </c>
      <c r="AR34" t="s">
        <v>510</v>
      </c>
      <c r="AS34">
        <v>10202.1</v>
      </c>
      <c r="AT34">
        <v>855.35047999999995</v>
      </c>
      <c r="AU34">
        <v>1039.548114463104</v>
      </c>
      <c r="AV34">
        <f t="shared" si="27"/>
        <v>0.17719010010252068</v>
      </c>
      <c r="AW34">
        <v>0.5</v>
      </c>
      <c r="AX34">
        <f t="shared" si="28"/>
        <v>1513.2095993025318</v>
      </c>
      <c r="AY34">
        <f t="shared" si="29"/>
        <v>19.521817709523898</v>
      </c>
      <c r="AZ34">
        <f t="shared" si="30"/>
        <v>134.06288018825541</v>
      </c>
      <c r="BA34">
        <f t="shared" si="31"/>
        <v>1.4994208563497702E-2</v>
      </c>
      <c r="BB34">
        <f t="shared" si="32"/>
        <v>1.5626327083242966</v>
      </c>
      <c r="BC34">
        <f t="shared" si="33"/>
        <v>459.22963943225454</v>
      </c>
      <c r="BD34" t="s">
        <v>511</v>
      </c>
      <c r="BE34">
        <v>559.92999999999995</v>
      </c>
      <c r="BF34">
        <f t="shared" si="34"/>
        <v>559.92999999999995</v>
      </c>
      <c r="BG34">
        <f t="shared" si="35"/>
        <v>0.46137173238086504</v>
      </c>
      <c r="BH34">
        <f t="shared" si="36"/>
        <v>0.38405062050106104</v>
      </c>
      <c r="BI34">
        <f t="shared" si="37"/>
        <v>0.7720500394652674</v>
      </c>
      <c r="BJ34">
        <f t="shared" si="38"/>
        <v>0.44816363190758574</v>
      </c>
      <c r="BK34">
        <f t="shared" si="39"/>
        <v>0.79807516809503931</v>
      </c>
      <c r="BL34">
        <f t="shared" si="40"/>
        <v>0.25140742767474578</v>
      </c>
      <c r="BM34">
        <f t="shared" si="41"/>
        <v>0.74859257232525422</v>
      </c>
      <c r="BN34">
        <v>20199</v>
      </c>
      <c r="BO34">
        <v>290.00000000000011</v>
      </c>
      <c r="BP34">
        <v>997.07</v>
      </c>
      <c r="BQ34">
        <v>175</v>
      </c>
      <c r="BR34">
        <v>10202.1</v>
      </c>
      <c r="BS34">
        <v>996.16</v>
      </c>
      <c r="BT34">
        <v>0.91</v>
      </c>
      <c r="BU34">
        <v>300.00000000000011</v>
      </c>
      <c r="BV34">
        <v>24.2</v>
      </c>
      <c r="BW34">
        <v>1039.548114463104</v>
      </c>
      <c r="BX34">
        <v>1.654793674926011</v>
      </c>
      <c r="BY34">
        <v>-44.264407790696211</v>
      </c>
      <c r="BZ34">
        <v>1.5013245795654211</v>
      </c>
      <c r="CA34">
        <v>0.96879460972839782</v>
      </c>
      <c r="CB34">
        <v>-6.9396925472747549E-3</v>
      </c>
      <c r="CC34">
        <v>289.99999999999989</v>
      </c>
      <c r="CD34">
        <v>995.57</v>
      </c>
      <c r="CE34">
        <v>665</v>
      </c>
      <c r="CF34">
        <v>10164.6</v>
      </c>
      <c r="CG34">
        <v>996</v>
      </c>
      <c r="CH34">
        <v>-0.43</v>
      </c>
      <c r="CV34">
        <f t="shared" si="42"/>
        <v>1800.03</v>
      </c>
      <c r="CW34">
        <f t="shared" si="43"/>
        <v>1513.2095993025318</v>
      </c>
      <c r="CX34">
        <f t="shared" si="44"/>
        <v>0.84065798864604024</v>
      </c>
      <c r="CY34">
        <f t="shared" si="45"/>
        <v>0.19131597729208069</v>
      </c>
      <c r="CZ34">
        <v>6</v>
      </c>
      <c r="DA34">
        <v>0.5</v>
      </c>
      <c r="DB34" t="s">
        <v>418</v>
      </c>
      <c r="DC34">
        <v>2</v>
      </c>
      <c r="DD34">
        <v>1674577320.5999999</v>
      </c>
      <c r="DE34">
        <v>95.8673</v>
      </c>
      <c r="DF34">
        <v>120.029</v>
      </c>
      <c r="DG34">
        <v>24.991499999999998</v>
      </c>
      <c r="DH34">
        <v>17.4924</v>
      </c>
      <c r="DI34">
        <v>98.334800000000001</v>
      </c>
      <c r="DJ34">
        <v>24.657699999999998</v>
      </c>
      <c r="DK34">
        <v>500.03899999999999</v>
      </c>
      <c r="DL34">
        <v>99.692700000000002</v>
      </c>
      <c r="DM34">
        <v>9.9390699999999998E-2</v>
      </c>
      <c r="DN34">
        <v>27.994499999999999</v>
      </c>
      <c r="DO34">
        <v>27.8736</v>
      </c>
      <c r="DP34">
        <v>999.9</v>
      </c>
      <c r="DQ34">
        <v>0</v>
      </c>
      <c r="DR34">
        <v>0</v>
      </c>
      <c r="DS34">
        <v>10013.799999999999</v>
      </c>
      <c r="DT34">
        <v>0</v>
      </c>
      <c r="DU34">
        <v>450.03800000000001</v>
      </c>
      <c r="DV34">
        <v>-24.1614</v>
      </c>
      <c r="DW34">
        <v>98.324600000000004</v>
      </c>
      <c r="DX34">
        <v>122.166</v>
      </c>
      <c r="DY34">
        <v>7.4991599999999998</v>
      </c>
      <c r="DZ34">
        <v>120.029</v>
      </c>
      <c r="EA34">
        <v>17.4924</v>
      </c>
      <c r="EB34">
        <v>2.4914700000000001</v>
      </c>
      <c r="EC34">
        <v>1.74386</v>
      </c>
      <c r="ED34">
        <v>20.9709</v>
      </c>
      <c r="EE34">
        <v>15.2925</v>
      </c>
      <c r="EF34">
        <v>1800.03</v>
      </c>
      <c r="EG34">
        <v>0.97800399999999998</v>
      </c>
      <c r="EH34">
        <v>2.19963E-2</v>
      </c>
      <c r="EI34">
        <v>0</v>
      </c>
      <c r="EJ34">
        <v>854.64099999999996</v>
      </c>
      <c r="EK34">
        <v>5.0010599999999998</v>
      </c>
      <c r="EL34">
        <v>15955.5</v>
      </c>
      <c r="EM34">
        <v>16711.400000000001</v>
      </c>
      <c r="EN34">
        <v>47.875</v>
      </c>
      <c r="EO34">
        <v>48.686999999999998</v>
      </c>
      <c r="EP34">
        <v>48.875</v>
      </c>
      <c r="EQ34">
        <v>47.311999999999998</v>
      </c>
      <c r="ER34">
        <v>48.811999999999998</v>
      </c>
      <c r="ES34">
        <v>1755.55</v>
      </c>
      <c r="ET34">
        <v>39.479999999999997</v>
      </c>
      <c r="EU34">
        <v>0</v>
      </c>
      <c r="EV34">
        <v>100.7999999523163</v>
      </c>
      <c r="EW34">
        <v>0</v>
      </c>
      <c r="EX34">
        <v>855.35047999999995</v>
      </c>
      <c r="EY34">
        <v>-6.4996923081067379</v>
      </c>
      <c r="EZ34">
        <v>-86.438461539062416</v>
      </c>
      <c r="FA34">
        <v>15964.156000000001</v>
      </c>
      <c r="FB34">
        <v>15</v>
      </c>
      <c r="FC34">
        <v>1674577288.0999999</v>
      </c>
      <c r="FD34" t="s">
        <v>512</v>
      </c>
      <c r="FE34">
        <v>1674577283.5999999</v>
      </c>
      <c r="FF34">
        <v>1674577288.0999999</v>
      </c>
      <c r="FG34">
        <v>21</v>
      </c>
      <c r="FH34">
        <v>0.13500000000000001</v>
      </c>
      <c r="FI34">
        <v>-1E-3</v>
      </c>
      <c r="FJ34">
        <v>-2.5209999999999999</v>
      </c>
      <c r="FK34">
        <v>8.9999999999999993E-3</v>
      </c>
      <c r="FL34">
        <v>120</v>
      </c>
      <c r="FM34">
        <v>18</v>
      </c>
      <c r="FN34">
        <v>7.0000000000000007E-2</v>
      </c>
      <c r="FO34">
        <v>0.01</v>
      </c>
      <c r="FP34">
        <v>19.459457460557509</v>
      </c>
      <c r="FQ34">
        <v>-0.3360763467312689</v>
      </c>
      <c r="FR34">
        <v>7.0316239196817495E-2</v>
      </c>
      <c r="FS34">
        <v>1</v>
      </c>
      <c r="FT34">
        <v>0.53738034106466226</v>
      </c>
      <c r="FU34">
        <v>2.285367470925722E-2</v>
      </c>
      <c r="FV34">
        <v>4.672464861632873E-3</v>
      </c>
      <c r="FW34">
        <v>1</v>
      </c>
      <c r="FX34">
        <v>2</v>
      </c>
      <c r="FY34">
        <v>2</v>
      </c>
      <c r="FZ34" t="s">
        <v>420</v>
      </c>
      <c r="GA34">
        <v>2.9781599999999999</v>
      </c>
      <c r="GB34">
        <v>2.8058399999999999</v>
      </c>
      <c r="GC34">
        <v>2.8198600000000001E-2</v>
      </c>
      <c r="GD34">
        <v>3.3731799999999999E-2</v>
      </c>
      <c r="GE34">
        <v>0.122504</v>
      </c>
      <c r="GF34">
        <v>9.5324500000000006E-2</v>
      </c>
      <c r="GG34">
        <v>28760.5</v>
      </c>
      <c r="GH34">
        <v>26543.5</v>
      </c>
      <c r="GI34">
        <v>26603.1</v>
      </c>
      <c r="GJ34">
        <v>25941.5</v>
      </c>
      <c r="GK34">
        <v>31775.200000000001</v>
      </c>
      <c r="GL34">
        <v>33120.800000000003</v>
      </c>
      <c r="GM34">
        <v>37707.599999999999</v>
      </c>
      <c r="GN34">
        <v>38484.300000000003</v>
      </c>
      <c r="GO34">
        <v>1.9781200000000001</v>
      </c>
      <c r="GP34">
        <v>1.9237500000000001</v>
      </c>
      <c r="GQ34">
        <v>7.9326300000000002E-2</v>
      </c>
      <c r="GR34">
        <v>0</v>
      </c>
      <c r="GS34">
        <v>26.576799999999999</v>
      </c>
      <c r="GT34">
        <v>999.9</v>
      </c>
      <c r="GU34">
        <v>44.3</v>
      </c>
      <c r="GV34">
        <v>33.700000000000003</v>
      </c>
      <c r="GW34">
        <v>23.348199999999999</v>
      </c>
      <c r="GX34">
        <v>61.541499999999999</v>
      </c>
      <c r="GY34">
        <v>12.660299999999999</v>
      </c>
      <c r="GZ34">
        <v>1</v>
      </c>
      <c r="HA34">
        <v>0.36391499999999999</v>
      </c>
      <c r="HB34">
        <v>1.7651600000000001</v>
      </c>
      <c r="HC34">
        <v>20.247499999999999</v>
      </c>
      <c r="HD34">
        <v>5.20261</v>
      </c>
      <c r="HE34">
        <v>11.935499999999999</v>
      </c>
      <c r="HF34">
        <v>4.98665</v>
      </c>
      <c r="HG34">
        <v>3.2901500000000001</v>
      </c>
      <c r="HH34">
        <v>9999</v>
      </c>
      <c r="HI34">
        <v>9999</v>
      </c>
      <c r="HJ34">
        <v>9999</v>
      </c>
      <c r="HK34">
        <v>999.9</v>
      </c>
      <c r="HL34">
        <v>1.8707400000000001</v>
      </c>
      <c r="HM34">
        <v>1.8769800000000001</v>
      </c>
      <c r="HN34">
        <v>1.87469</v>
      </c>
      <c r="HO34">
        <v>1.8730199999999999</v>
      </c>
      <c r="HP34">
        <v>1.87347</v>
      </c>
      <c r="HQ34">
        <v>1.8708800000000001</v>
      </c>
      <c r="HR34">
        <v>1.8768</v>
      </c>
      <c r="HS34">
        <v>1.8758999999999999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424</v>
      </c>
      <c r="IB34" t="s">
        <v>424</v>
      </c>
      <c r="IC34" t="s">
        <v>423</v>
      </c>
      <c r="ID34">
        <v>0</v>
      </c>
      <c r="IE34">
        <v>100</v>
      </c>
      <c r="IF34">
        <v>100</v>
      </c>
      <c r="IG34">
        <v>-2.468</v>
      </c>
      <c r="IH34">
        <v>0.33379999999999999</v>
      </c>
      <c r="II34">
        <v>-2.232811598591268</v>
      </c>
      <c r="IJ34">
        <v>-2.536945948238235E-3</v>
      </c>
      <c r="IK34">
        <v>1.581473279927893E-6</v>
      </c>
      <c r="IL34">
        <v>-4.6698293441882044E-10</v>
      </c>
      <c r="IM34">
        <v>-0.18568109540319661</v>
      </c>
      <c r="IN34">
        <v>-1.5895243091576399E-2</v>
      </c>
      <c r="IO34">
        <v>1.559614309849521E-3</v>
      </c>
      <c r="IP34">
        <v>-2.4566050869858518E-6</v>
      </c>
      <c r="IQ34">
        <v>2</v>
      </c>
      <c r="IR34">
        <v>2224</v>
      </c>
      <c r="IS34">
        <v>2</v>
      </c>
      <c r="IT34">
        <v>25</v>
      </c>
      <c r="IU34">
        <v>0.6</v>
      </c>
      <c r="IV34">
        <v>0.5</v>
      </c>
      <c r="IW34">
        <v>0.39306600000000003</v>
      </c>
      <c r="IX34">
        <v>2.50244</v>
      </c>
      <c r="IY34">
        <v>1.65039</v>
      </c>
      <c r="IZ34">
        <v>2.2936999999999999</v>
      </c>
      <c r="JA34">
        <v>1.50024</v>
      </c>
      <c r="JB34">
        <v>2.3852500000000001</v>
      </c>
      <c r="JC34">
        <v>39.3917</v>
      </c>
      <c r="JD34">
        <v>23.395800000000001</v>
      </c>
      <c r="JE34">
        <v>18</v>
      </c>
      <c r="JF34">
        <v>505.88200000000001</v>
      </c>
      <c r="JG34">
        <v>464.05399999999997</v>
      </c>
      <c r="JH34">
        <v>25.1646</v>
      </c>
      <c r="JI34">
        <v>31.885899999999999</v>
      </c>
      <c r="JJ34">
        <v>29.999600000000001</v>
      </c>
      <c r="JK34">
        <v>31.982500000000002</v>
      </c>
      <c r="JL34">
        <v>31.974900000000002</v>
      </c>
      <c r="JM34">
        <v>7.9114100000000001</v>
      </c>
      <c r="JN34">
        <v>39.033700000000003</v>
      </c>
      <c r="JO34">
        <v>45.787599999999998</v>
      </c>
      <c r="JP34">
        <v>25.1707</v>
      </c>
      <c r="JQ34">
        <v>120</v>
      </c>
      <c r="JR34">
        <v>17.393999999999998</v>
      </c>
      <c r="JS34">
        <v>100.053</v>
      </c>
      <c r="JT34">
        <v>99.292599999999993</v>
      </c>
    </row>
    <row r="35" spans="1:280" x14ac:dyDescent="0.25">
      <c r="A35">
        <v>19</v>
      </c>
      <c r="B35">
        <v>1674577443.5999999</v>
      </c>
      <c r="C35">
        <v>3309</v>
      </c>
      <c r="D35" t="s">
        <v>513</v>
      </c>
      <c r="E35" t="s">
        <v>514</v>
      </c>
      <c r="F35" t="s">
        <v>412</v>
      </c>
      <c r="G35" t="s">
        <v>493</v>
      </c>
      <c r="H35" t="s">
        <v>494</v>
      </c>
      <c r="I35">
        <v>1674577443.5999999</v>
      </c>
      <c r="J35">
        <f t="shared" si="0"/>
        <v>6.8933548434365298E-3</v>
      </c>
      <c r="K35">
        <f t="shared" si="1"/>
        <v>6.8933548434365299</v>
      </c>
      <c r="L35">
        <f t="shared" si="2"/>
        <v>12.131483132352871</v>
      </c>
      <c r="M35">
        <f t="shared" si="3"/>
        <v>55.012</v>
      </c>
      <c r="N35">
        <f t="shared" si="4"/>
        <v>17.810094589432317</v>
      </c>
      <c r="O35">
        <f t="shared" si="5"/>
        <v>1.7772126192712119</v>
      </c>
      <c r="P35">
        <f t="shared" si="6"/>
        <v>5.4894722832836003</v>
      </c>
      <c r="Q35">
        <f t="shared" si="7"/>
        <v>0.58273749577775102</v>
      </c>
      <c r="R35">
        <f t="shared" si="8"/>
        <v>2.9208756989934672</v>
      </c>
      <c r="S35">
        <f t="shared" si="9"/>
        <v>0.52501951867773455</v>
      </c>
      <c r="T35">
        <f t="shared" si="10"/>
        <v>0.33284524717003061</v>
      </c>
      <c r="U35">
        <f t="shared" si="11"/>
        <v>344.39599860479603</v>
      </c>
      <c r="V35">
        <f t="shared" si="12"/>
        <v>28.238734273489115</v>
      </c>
      <c r="W35">
        <f t="shared" si="13"/>
        <v>27.866299999999999</v>
      </c>
      <c r="X35">
        <f t="shared" si="14"/>
        <v>3.7653621214683923</v>
      </c>
      <c r="Y35">
        <f t="shared" si="15"/>
        <v>65.781353585332397</v>
      </c>
      <c r="Z35">
        <f t="shared" si="16"/>
        <v>2.4962969075893904</v>
      </c>
      <c r="AA35">
        <f t="shared" si="17"/>
        <v>3.7948396795319246</v>
      </c>
      <c r="AB35">
        <f t="shared" si="18"/>
        <v>1.269065213879002</v>
      </c>
      <c r="AC35">
        <f t="shared" si="19"/>
        <v>-303.99694859555098</v>
      </c>
      <c r="AD35">
        <f t="shared" si="20"/>
        <v>21.053772516469124</v>
      </c>
      <c r="AE35">
        <f t="shared" si="21"/>
        <v>1.5701392610470273</v>
      </c>
      <c r="AF35">
        <f t="shared" si="22"/>
        <v>63.022961786761201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52445.214602904474</v>
      </c>
      <c r="AL35" t="s">
        <v>415</v>
      </c>
      <c r="AM35">
        <v>10424.1</v>
      </c>
      <c r="AN35">
        <v>628.54280000000006</v>
      </c>
      <c r="AO35">
        <v>2663.98</v>
      </c>
      <c r="AP35">
        <f t="shared" si="26"/>
        <v>0.76405873917972356</v>
      </c>
      <c r="AQ35">
        <v>-3.1675626227050531</v>
      </c>
      <c r="AR35" t="s">
        <v>515</v>
      </c>
      <c r="AS35">
        <v>10215.200000000001</v>
      </c>
      <c r="AT35">
        <v>872.39311538461538</v>
      </c>
      <c r="AU35">
        <v>994.23342526017836</v>
      </c>
      <c r="AV35">
        <f t="shared" si="27"/>
        <v>0.12254698623080285</v>
      </c>
      <c r="AW35">
        <v>0.5</v>
      </c>
      <c r="AX35">
        <f t="shared" si="28"/>
        <v>1513.3022993023981</v>
      </c>
      <c r="AY35">
        <f t="shared" si="29"/>
        <v>12.131483132352871</v>
      </c>
      <c r="AZ35">
        <f t="shared" si="30"/>
        <v>92.725318017826638</v>
      </c>
      <c r="BA35">
        <f t="shared" si="31"/>
        <v>1.0109708920755937E-2</v>
      </c>
      <c r="BB35">
        <f t="shared" si="32"/>
        <v>1.6794311399286037</v>
      </c>
      <c r="BC35">
        <f t="shared" si="33"/>
        <v>450.16587660084156</v>
      </c>
      <c r="BD35" t="s">
        <v>516</v>
      </c>
      <c r="BE35">
        <v>557.80999999999995</v>
      </c>
      <c r="BF35">
        <f t="shared" si="34"/>
        <v>557.80999999999995</v>
      </c>
      <c r="BG35">
        <f t="shared" si="35"/>
        <v>0.43895469028912593</v>
      </c>
      <c r="BH35">
        <f t="shared" si="36"/>
        <v>0.27917912472944501</v>
      </c>
      <c r="BI35">
        <f t="shared" si="37"/>
        <v>0.79278812951462685</v>
      </c>
      <c r="BJ35">
        <f t="shared" si="38"/>
        <v>0.3331786528267634</v>
      </c>
      <c r="BK35">
        <f t="shared" si="39"/>
        <v>0.8203380456738345</v>
      </c>
      <c r="BL35">
        <f t="shared" si="40"/>
        <v>0.17850772182753286</v>
      </c>
      <c r="BM35">
        <f t="shared" si="41"/>
        <v>0.82149227817246717</v>
      </c>
      <c r="BN35">
        <v>20201</v>
      </c>
      <c r="BO35">
        <v>290.00000000000011</v>
      </c>
      <c r="BP35">
        <v>963</v>
      </c>
      <c r="BQ35">
        <v>115</v>
      </c>
      <c r="BR35">
        <v>10215.200000000001</v>
      </c>
      <c r="BS35">
        <v>961.58</v>
      </c>
      <c r="BT35">
        <v>1.42</v>
      </c>
      <c r="BU35">
        <v>300.00000000000011</v>
      </c>
      <c r="BV35">
        <v>24.2</v>
      </c>
      <c r="BW35">
        <v>994.23342526017836</v>
      </c>
      <c r="BX35">
        <v>1.765100999460081</v>
      </c>
      <c r="BY35">
        <v>-33.354062924340987</v>
      </c>
      <c r="BZ35">
        <v>1.6014472152535739</v>
      </c>
      <c r="CA35">
        <v>0.93936542049194893</v>
      </c>
      <c r="CB35">
        <v>-6.9399174638487297E-3</v>
      </c>
      <c r="CC35">
        <v>289.99999999999989</v>
      </c>
      <c r="CD35">
        <v>958.61</v>
      </c>
      <c r="CE35">
        <v>625</v>
      </c>
      <c r="CF35">
        <v>10168.200000000001</v>
      </c>
      <c r="CG35">
        <v>961.43</v>
      </c>
      <c r="CH35">
        <v>-2.82</v>
      </c>
      <c r="CV35">
        <f t="shared" si="42"/>
        <v>1800.14</v>
      </c>
      <c r="CW35">
        <f t="shared" si="43"/>
        <v>1513.3022993023981</v>
      </c>
      <c r="CX35">
        <f t="shared" si="44"/>
        <v>0.84065811509238053</v>
      </c>
      <c r="CY35">
        <f t="shared" si="45"/>
        <v>0.19131623018476118</v>
      </c>
      <c r="CZ35">
        <v>6</v>
      </c>
      <c r="DA35">
        <v>0.5</v>
      </c>
      <c r="DB35" t="s">
        <v>418</v>
      </c>
      <c r="DC35">
        <v>2</v>
      </c>
      <c r="DD35">
        <v>1674577443.5999999</v>
      </c>
      <c r="DE35">
        <v>55.012</v>
      </c>
      <c r="DF35">
        <v>70.024299999999997</v>
      </c>
      <c r="DG35">
        <v>25.016300000000001</v>
      </c>
      <c r="DH35">
        <v>16.951499999999999</v>
      </c>
      <c r="DI35">
        <v>57.401899999999998</v>
      </c>
      <c r="DJ35">
        <v>24.669899999999998</v>
      </c>
      <c r="DK35">
        <v>500.01799999999997</v>
      </c>
      <c r="DL35">
        <v>99.686999999999998</v>
      </c>
      <c r="DM35">
        <v>9.9815299999999996E-2</v>
      </c>
      <c r="DN35">
        <v>28</v>
      </c>
      <c r="DO35">
        <v>27.866299999999999</v>
      </c>
      <c r="DP35">
        <v>999.9</v>
      </c>
      <c r="DQ35">
        <v>0</v>
      </c>
      <c r="DR35">
        <v>0</v>
      </c>
      <c r="DS35">
        <v>9981.8799999999992</v>
      </c>
      <c r="DT35">
        <v>0</v>
      </c>
      <c r="DU35">
        <v>459.536</v>
      </c>
      <c r="DV35">
        <v>-15.0122</v>
      </c>
      <c r="DW35">
        <v>56.423499999999997</v>
      </c>
      <c r="DX35">
        <v>71.231800000000007</v>
      </c>
      <c r="DY35">
        <v>8.0648700000000009</v>
      </c>
      <c r="DZ35">
        <v>70.024299999999997</v>
      </c>
      <c r="EA35">
        <v>16.951499999999999</v>
      </c>
      <c r="EB35">
        <v>2.4937999999999998</v>
      </c>
      <c r="EC35">
        <v>1.68984</v>
      </c>
      <c r="ED35">
        <v>20.9861</v>
      </c>
      <c r="EE35">
        <v>14.8034</v>
      </c>
      <c r="EF35">
        <v>1800.14</v>
      </c>
      <c r="EG35">
        <v>0.97800399999999998</v>
      </c>
      <c r="EH35">
        <v>2.19963E-2</v>
      </c>
      <c r="EI35">
        <v>0</v>
      </c>
      <c r="EJ35">
        <v>872.43600000000004</v>
      </c>
      <c r="EK35">
        <v>5.0010599999999998</v>
      </c>
      <c r="EL35">
        <v>16266.4</v>
      </c>
      <c r="EM35">
        <v>16712.3</v>
      </c>
      <c r="EN35">
        <v>47.875</v>
      </c>
      <c r="EO35">
        <v>48.686999999999998</v>
      </c>
      <c r="EP35">
        <v>48.811999999999998</v>
      </c>
      <c r="EQ35">
        <v>47.25</v>
      </c>
      <c r="ER35">
        <v>48.75</v>
      </c>
      <c r="ES35">
        <v>1755.65</v>
      </c>
      <c r="ET35">
        <v>39.49</v>
      </c>
      <c r="EU35">
        <v>0</v>
      </c>
      <c r="EV35">
        <v>121.19999980926509</v>
      </c>
      <c r="EW35">
        <v>0</v>
      </c>
      <c r="EX35">
        <v>872.39311538461538</v>
      </c>
      <c r="EY35">
        <v>-2.6269743656157019</v>
      </c>
      <c r="EZ35">
        <v>-71.189743669030278</v>
      </c>
      <c r="FA35">
        <v>16272.857692307691</v>
      </c>
      <c r="FB35">
        <v>15</v>
      </c>
      <c r="FC35">
        <v>1674577410.5999999</v>
      </c>
      <c r="FD35" t="s">
        <v>517</v>
      </c>
      <c r="FE35">
        <v>1674577389.0999999</v>
      </c>
      <c r="FF35">
        <v>1674577410.5999999</v>
      </c>
      <c r="FG35">
        <v>22</v>
      </c>
      <c r="FH35">
        <v>-1.7000000000000001E-2</v>
      </c>
      <c r="FI35">
        <v>1.2E-2</v>
      </c>
      <c r="FJ35">
        <v>-2.4249999999999998</v>
      </c>
      <c r="FK35">
        <v>0</v>
      </c>
      <c r="FL35">
        <v>70</v>
      </c>
      <c r="FM35">
        <v>17</v>
      </c>
      <c r="FN35">
        <v>0.05</v>
      </c>
      <c r="FO35">
        <v>0.02</v>
      </c>
      <c r="FP35">
        <v>12.12196165465665</v>
      </c>
      <c r="FQ35">
        <v>-0.42460759500645878</v>
      </c>
      <c r="FR35">
        <v>5.9139255641111922E-2</v>
      </c>
      <c r="FS35">
        <v>1</v>
      </c>
      <c r="FT35">
        <v>0.58911967765930195</v>
      </c>
      <c r="FU35">
        <v>1.4073188146838731E-2</v>
      </c>
      <c r="FV35">
        <v>5.0837172317373842E-3</v>
      </c>
      <c r="FW35">
        <v>1</v>
      </c>
      <c r="FX35">
        <v>2</v>
      </c>
      <c r="FY35">
        <v>2</v>
      </c>
      <c r="FZ35" t="s">
        <v>420</v>
      </c>
      <c r="GA35">
        <v>2.9781900000000001</v>
      </c>
      <c r="GB35">
        <v>2.8059799999999999</v>
      </c>
      <c r="GC35">
        <v>1.6628299999999999E-2</v>
      </c>
      <c r="GD35">
        <v>1.99778E-2</v>
      </c>
      <c r="GE35">
        <v>0.12256599999999999</v>
      </c>
      <c r="GF35">
        <v>9.3245300000000003E-2</v>
      </c>
      <c r="GG35">
        <v>29107.7</v>
      </c>
      <c r="GH35">
        <v>26925.9</v>
      </c>
      <c r="GI35">
        <v>26607.4</v>
      </c>
      <c r="GJ35">
        <v>25945.7</v>
      </c>
      <c r="GK35">
        <v>31777.4</v>
      </c>
      <c r="GL35">
        <v>33201.599999999999</v>
      </c>
      <c r="GM35">
        <v>37713.599999999999</v>
      </c>
      <c r="GN35">
        <v>38489.800000000003</v>
      </c>
      <c r="GO35">
        <v>1.9796499999999999</v>
      </c>
      <c r="GP35">
        <v>1.9229000000000001</v>
      </c>
      <c r="GQ35">
        <v>7.9929799999999995E-2</v>
      </c>
      <c r="GR35">
        <v>0</v>
      </c>
      <c r="GS35">
        <v>26.5596</v>
      </c>
      <c r="GT35">
        <v>999.9</v>
      </c>
      <c r="GU35">
        <v>43.7</v>
      </c>
      <c r="GV35">
        <v>33.799999999999997</v>
      </c>
      <c r="GW35">
        <v>23.162800000000001</v>
      </c>
      <c r="GX35">
        <v>61.871499999999997</v>
      </c>
      <c r="GY35">
        <v>12.6402</v>
      </c>
      <c r="GZ35">
        <v>1</v>
      </c>
      <c r="HA35">
        <v>0.35663400000000001</v>
      </c>
      <c r="HB35">
        <v>1.8143</v>
      </c>
      <c r="HC35">
        <v>20.2471</v>
      </c>
      <c r="HD35">
        <v>5.2062099999999996</v>
      </c>
      <c r="HE35">
        <v>11.9351</v>
      </c>
      <c r="HF35">
        <v>4.9867499999999998</v>
      </c>
      <c r="HG35">
        <v>3.2902</v>
      </c>
      <c r="HH35">
        <v>9999</v>
      </c>
      <c r="HI35">
        <v>9999</v>
      </c>
      <c r="HJ35">
        <v>9999</v>
      </c>
      <c r="HK35">
        <v>999.9</v>
      </c>
      <c r="HL35">
        <v>1.87073</v>
      </c>
      <c r="HM35">
        <v>1.8769800000000001</v>
      </c>
      <c r="HN35">
        <v>1.87469</v>
      </c>
      <c r="HO35">
        <v>1.8730100000000001</v>
      </c>
      <c r="HP35">
        <v>1.87347</v>
      </c>
      <c r="HQ35">
        <v>1.87087</v>
      </c>
      <c r="HR35">
        <v>1.8768</v>
      </c>
      <c r="HS35">
        <v>1.8758900000000001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424</v>
      </c>
      <c r="IB35" t="s">
        <v>424</v>
      </c>
      <c r="IC35" t="s">
        <v>423</v>
      </c>
      <c r="ID35">
        <v>0</v>
      </c>
      <c r="IE35">
        <v>100</v>
      </c>
      <c r="IF35">
        <v>100</v>
      </c>
      <c r="IG35">
        <v>-2.39</v>
      </c>
      <c r="IH35">
        <v>0.34639999999999999</v>
      </c>
      <c r="II35">
        <v>-2.249413941140475</v>
      </c>
      <c r="IJ35">
        <v>-2.536945948238235E-3</v>
      </c>
      <c r="IK35">
        <v>1.581473279927893E-6</v>
      </c>
      <c r="IL35">
        <v>-4.6698293441882044E-10</v>
      </c>
      <c r="IM35">
        <v>-0.17378401244174771</v>
      </c>
      <c r="IN35">
        <v>-1.5895243091576399E-2</v>
      </c>
      <c r="IO35">
        <v>1.559614309849521E-3</v>
      </c>
      <c r="IP35">
        <v>-2.4566050869858518E-6</v>
      </c>
      <c r="IQ35">
        <v>2</v>
      </c>
      <c r="IR35">
        <v>2224</v>
      </c>
      <c r="IS35">
        <v>2</v>
      </c>
      <c r="IT35">
        <v>25</v>
      </c>
      <c r="IU35">
        <v>0.9</v>
      </c>
      <c r="IV35">
        <v>0.6</v>
      </c>
      <c r="IW35">
        <v>0.29174800000000001</v>
      </c>
      <c r="IX35">
        <v>2.52563</v>
      </c>
      <c r="IY35">
        <v>1.65039</v>
      </c>
      <c r="IZ35">
        <v>2.2936999999999999</v>
      </c>
      <c r="JA35">
        <v>1.50024</v>
      </c>
      <c r="JB35">
        <v>2.2729499999999998</v>
      </c>
      <c r="JC35">
        <v>39.441600000000001</v>
      </c>
      <c r="JD35">
        <v>23.387</v>
      </c>
      <c r="JE35">
        <v>18</v>
      </c>
      <c r="JF35">
        <v>506.11599999999999</v>
      </c>
      <c r="JG35">
        <v>462.75400000000002</v>
      </c>
      <c r="JH35">
        <v>25.1495</v>
      </c>
      <c r="JI35">
        <v>31.794699999999999</v>
      </c>
      <c r="JJ35">
        <v>29.9998</v>
      </c>
      <c r="JK35">
        <v>31.889199999999999</v>
      </c>
      <c r="JL35">
        <v>31.879899999999999</v>
      </c>
      <c r="JM35">
        <v>5.8966399999999997</v>
      </c>
      <c r="JN35">
        <v>40.668599999999998</v>
      </c>
      <c r="JO35">
        <v>44.4651</v>
      </c>
      <c r="JP35">
        <v>25.1495</v>
      </c>
      <c r="JQ35">
        <v>70</v>
      </c>
      <c r="JR35">
        <v>16.810199999999998</v>
      </c>
      <c r="JS35">
        <v>100.069</v>
      </c>
      <c r="JT35">
        <v>99.307500000000005</v>
      </c>
    </row>
    <row r="36" spans="1:280" x14ac:dyDescent="0.25">
      <c r="A36">
        <v>20</v>
      </c>
      <c r="B36">
        <v>1674577556.0999999</v>
      </c>
      <c r="C36">
        <v>3421.5</v>
      </c>
      <c r="D36" t="s">
        <v>518</v>
      </c>
      <c r="E36" t="s">
        <v>519</v>
      </c>
      <c r="F36" t="s">
        <v>412</v>
      </c>
      <c r="G36" t="s">
        <v>493</v>
      </c>
      <c r="H36" t="s">
        <v>494</v>
      </c>
      <c r="I36">
        <v>1674577556.0999999</v>
      </c>
      <c r="J36">
        <f t="shared" si="0"/>
        <v>7.1644180859908079E-3</v>
      </c>
      <c r="K36">
        <f t="shared" si="1"/>
        <v>7.1644180859908078</v>
      </c>
      <c r="L36">
        <f t="shared" si="2"/>
        <v>5.5481997242207113</v>
      </c>
      <c r="M36">
        <f t="shared" si="3"/>
        <v>23.136099999999999</v>
      </c>
      <c r="N36">
        <f t="shared" si="4"/>
        <v>6.7825461905674906</v>
      </c>
      <c r="O36">
        <f t="shared" si="5"/>
        <v>0.67684382299718093</v>
      </c>
      <c r="P36">
        <f t="shared" si="6"/>
        <v>2.3087976009692102</v>
      </c>
      <c r="Q36">
        <f t="shared" si="7"/>
        <v>0.60757249317672957</v>
      </c>
      <c r="R36">
        <f t="shared" si="8"/>
        <v>2.9255671834541936</v>
      </c>
      <c r="S36">
        <f t="shared" si="9"/>
        <v>0.54520092417194521</v>
      </c>
      <c r="T36">
        <f t="shared" si="10"/>
        <v>0.34581930234006986</v>
      </c>
      <c r="U36">
        <f t="shared" si="11"/>
        <v>344.36939860468749</v>
      </c>
      <c r="V36">
        <f t="shared" si="12"/>
        <v>28.172985487880617</v>
      </c>
      <c r="W36">
        <f t="shared" si="13"/>
        <v>27.851400000000002</v>
      </c>
      <c r="X36">
        <f t="shared" si="14"/>
        <v>3.7620894446195092</v>
      </c>
      <c r="Y36">
        <f t="shared" si="15"/>
        <v>65.643256144735645</v>
      </c>
      <c r="Z36">
        <f t="shared" si="16"/>
        <v>2.4918261010162199</v>
      </c>
      <c r="AA36">
        <f t="shared" si="17"/>
        <v>3.7960123360151985</v>
      </c>
      <c r="AB36">
        <f t="shared" si="18"/>
        <v>1.2702633436032893</v>
      </c>
      <c r="AC36">
        <f t="shared" si="19"/>
        <v>-315.9508375921946</v>
      </c>
      <c r="AD36">
        <f t="shared" si="20"/>
        <v>24.273597093334928</v>
      </c>
      <c r="AE36">
        <f t="shared" si="21"/>
        <v>1.8072765397842161</v>
      </c>
      <c r="AF36">
        <f t="shared" si="22"/>
        <v>54.499434645612013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52579.276777447638</v>
      </c>
      <c r="AL36" t="s">
        <v>415</v>
      </c>
      <c r="AM36">
        <v>10424.1</v>
      </c>
      <c r="AN36">
        <v>628.54280000000006</v>
      </c>
      <c r="AO36">
        <v>2663.98</v>
      </c>
      <c r="AP36">
        <f t="shared" si="26"/>
        <v>0.76405873917972356</v>
      </c>
      <c r="AQ36">
        <v>-3.1675626227050531</v>
      </c>
      <c r="AR36" t="s">
        <v>520</v>
      </c>
      <c r="AS36">
        <v>10220.5</v>
      </c>
      <c r="AT36">
        <v>889.8671599999999</v>
      </c>
      <c r="AU36">
        <v>976.509756768388</v>
      </c>
      <c r="AV36">
        <f t="shared" si="27"/>
        <v>8.8726811143309714E-2</v>
      </c>
      <c r="AW36">
        <v>0.5</v>
      </c>
      <c r="AX36">
        <f t="shared" si="28"/>
        <v>1513.1846993023437</v>
      </c>
      <c r="AY36">
        <f t="shared" si="29"/>
        <v>5.5481997242207113</v>
      </c>
      <c r="AZ36">
        <f t="shared" si="30"/>
        <v>67.130026519972475</v>
      </c>
      <c r="BA36">
        <f t="shared" si="31"/>
        <v>5.7598800403838215E-3</v>
      </c>
      <c r="BB36">
        <f t="shared" si="32"/>
        <v>1.7280628601357151</v>
      </c>
      <c r="BC36">
        <f t="shared" si="33"/>
        <v>446.49660881482049</v>
      </c>
      <c r="BD36" t="s">
        <v>521</v>
      </c>
      <c r="BE36">
        <v>570.65</v>
      </c>
      <c r="BF36">
        <f t="shared" si="34"/>
        <v>570.65</v>
      </c>
      <c r="BG36">
        <f t="shared" si="35"/>
        <v>0.41562283833345381</v>
      </c>
      <c r="BH36">
        <f t="shared" si="36"/>
        <v>0.21347915215410831</v>
      </c>
      <c r="BI36">
        <f t="shared" si="37"/>
        <v>0.80611764185848012</v>
      </c>
      <c r="BJ36">
        <f t="shared" si="38"/>
        <v>0.2489966219006787</v>
      </c>
      <c r="BK36">
        <f t="shared" si="39"/>
        <v>0.82904559434779523</v>
      </c>
      <c r="BL36">
        <f t="shared" si="40"/>
        <v>0.13689894812697878</v>
      </c>
      <c r="BM36">
        <f t="shared" si="41"/>
        <v>0.86310105187302122</v>
      </c>
      <c r="BN36">
        <v>20203</v>
      </c>
      <c r="BO36">
        <v>290.00000000000011</v>
      </c>
      <c r="BP36">
        <v>948.02</v>
      </c>
      <c r="BQ36">
        <v>95</v>
      </c>
      <c r="BR36">
        <v>10220.5</v>
      </c>
      <c r="BS36">
        <v>945.5</v>
      </c>
      <c r="BT36">
        <v>2.52</v>
      </c>
      <c r="BU36">
        <v>300.00000000000011</v>
      </c>
      <c r="BV36">
        <v>24.2</v>
      </c>
      <c r="BW36">
        <v>976.509756768388</v>
      </c>
      <c r="BX36">
        <v>2.0688675808737211</v>
      </c>
      <c r="BY36">
        <v>-31.6925151535129</v>
      </c>
      <c r="BZ36">
        <v>1.877168440858785</v>
      </c>
      <c r="CA36">
        <v>0.91055477092448267</v>
      </c>
      <c r="CB36">
        <v>-6.9401846496106876E-3</v>
      </c>
      <c r="CC36">
        <v>289.99999999999989</v>
      </c>
      <c r="CD36">
        <v>942.02</v>
      </c>
      <c r="CE36">
        <v>675</v>
      </c>
      <c r="CF36">
        <v>10164.700000000001</v>
      </c>
      <c r="CG36">
        <v>945.33</v>
      </c>
      <c r="CH36">
        <v>-3.31</v>
      </c>
      <c r="CV36">
        <f t="shared" si="42"/>
        <v>1800</v>
      </c>
      <c r="CW36">
        <f t="shared" si="43"/>
        <v>1513.1846993023437</v>
      </c>
      <c r="CX36">
        <f t="shared" si="44"/>
        <v>0.84065816627907985</v>
      </c>
      <c r="CY36">
        <f t="shared" si="45"/>
        <v>0.19131633255815972</v>
      </c>
      <c r="CZ36">
        <v>6</v>
      </c>
      <c r="DA36">
        <v>0.5</v>
      </c>
      <c r="DB36" t="s">
        <v>418</v>
      </c>
      <c r="DC36">
        <v>2</v>
      </c>
      <c r="DD36">
        <v>1674577556.0999999</v>
      </c>
      <c r="DE36">
        <v>23.136099999999999</v>
      </c>
      <c r="DF36">
        <v>29.991599999999998</v>
      </c>
      <c r="DG36">
        <v>24.970199999999998</v>
      </c>
      <c r="DH36">
        <v>16.589099999999998</v>
      </c>
      <c r="DI36">
        <v>25.6143</v>
      </c>
      <c r="DJ36">
        <v>24.623100000000001</v>
      </c>
      <c r="DK36">
        <v>500.09100000000001</v>
      </c>
      <c r="DL36">
        <v>99.692400000000006</v>
      </c>
      <c r="DM36">
        <v>9.9596100000000007E-2</v>
      </c>
      <c r="DN36">
        <v>28.005299999999998</v>
      </c>
      <c r="DO36">
        <v>27.851400000000002</v>
      </c>
      <c r="DP36">
        <v>999.9</v>
      </c>
      <c r="DQ36">
        <v>0</v>
      </c>
      <c r="DR36">
        <v>0</v>
      </c>
      <c r="DS36">
        <v>10008.1</v>
      </c>
      <c r="DT36">
        <v>0</v>
      </c>
      <c r="DU36">
        <v>467.59699999999998</v>
      </c>
      <c r="DV36">
        <v>-6.85548</v>
      </c>
      <c r="DW36">
        <v>23.7286</v>
      </c>
      <c r="DX36">
        <v>30.497499999999999</v>
      </c>
      <c r="DY36">
        <v>8.3811099999999996</v>
      </c>
      <c r="DZ36">
        <v>29.991599999999998</v>
      </c>
      <c r="EA36">
        <v>16.589099999999998</v>
      </c>
      <c r="EB36">
        <v>2.4893399999999999</v>
      </c>
      <c r="EC36">
        <v>1.65381</v>
      </c>
      <c r="ED36">
        <v>20.957000000000001</v>
      </c>
      <c r="EE36">
        <v>14.4695</v>
      </c>
      <c r="EF36">
        <v>1800</v>
      </c>
      <c r="EG36">
        <v>0.97799999999999998</v>
      </c>
      <c r="EH36">
        <v>2.1999700000000001E-2</v>
      </c>
      <c r="EI36">
        <v>0</v>
      </c>
      <c r="EJ36">
        <v>889.75900000000001</v>
      </c>
      <c r="EK36">
        <v>5.0010599999999998</v>
      </c>
      <c r="EL36">
        <v>16588.7</v>
      </c>
      <c r="EM36">
        <v>16711.099999999999</v>
      </c>
      <c r="EN36">
        <v>47.811999999999998</v>
      </c>
      <c r="EO36">
        <v>48.625</v>
      </c>
      <c r="EP36">
        <v>48.75</v>
      </c>
      <c r="EQ36">
        <v>47.186999999999998</v>
      </c>
      <c r="ER36">
        <v>48.686999999999998</v>
      </c>
      <c r="ES36">
        <v>1755.51</v>
      </c>
      <c r="ET36">
        <v>39.49</v>
      </c>
      <c r="EU36">
        <v>0</v>
      </c>
      <c r="EV36">
        <v>110.3999998569489</v>
      </c>
      <c r="EW36">
        <v>0</v>
      </c>
      <c r="EX36">
        <v>889.8671599999999</v>
      </c>
      <c r="EY36">
        <v>-1.218615387022407</v>
      </c>
      <c r="EZ36">
        <v>-22.569230805814041</v>
      </c>
      <c r="FA36">
        <v>16591.240000000002</v>
      </c>
      <c r="FB36">
        <v>15</v>
      </c>
      <c r="FC36">
        <v>1674577523.5999999</v>
      </c>
      <c r="FD36" t="s">
        <v>522</v>
      </c>
      <c r="FE36">
        <v>1674577505.0999999</v>
      </c>
      <c r="FF36">
        <v>1674577523.5999999</v>
      </c>
      <c r="FG36">
        <v>23</v>
      </c>
      <c r="FH36">
        <v>-0.16500000000000001</v>
      </c>
      <c r="FI36">
        <v>3.0000000000000001E-3</v>
      </c>
      <c r="FJ36">
        <v>-2.4950000000000001</v>
      </c>
      <c r="FK36">
        <v>-1.2E-2</v>
      </c>
      <c r="FL36">
        <v>30</v>
      </c>
      <c r="FM36">
        <v>17</v>
      </c>
      <c r="FN36">
        <v>0.36</v>
      </c>
      <c r="FO36">
        <v>0.01</v>
      </c>
      <c r="FP36">
        <v>5.6227465602724598</v>
      </c>
      <c r="FQ36">
        <v>-0.69468220763557109</v>
      </c>
      <c r="FR36">
        <v>8.4037075593425895E-2</v>
      </c>
      <c r="FS36">
        <v>1</v>
      </c>
      <c r="FT36">
        <v>0.61146318476896444</v>
      </c>
      <c r="FU36">
        <v>3.9245587678769109E-2</v>
      </c>
      <c r="FV36">
        <v>7.5728484026330693E-3</v>
      </c>
      <c r="FW36">
        <v>1</v>
      </c>
      <c r="FX36">
        <v>2</v>
      </c>
      <c r="FY36">
        <v>2</v>
      </c>
      <c r="FZ36" t="s">
        <v>420</v>
      </c>
      <c r="GA36">
        <v>2.97845</v>
      </c>
      <c r="GB36">
        <v>2.80599</v>
      </c>
      <c r="GC36">
        <v>7.4398299999999997E-3</v>
      </c>
      <c r="GD36">
        <v>8.5938799999999999E-3</v>
      </c>
      <c r="GE36">
        <v>0.122432</v>
      </c>
      <c r="GF36">
        <v>9.18485E-2</v>
      </c>
      <c r="GG36">
        <v>29382.2</v>
      </c>
      <c r="GH36">
        <v>27243.4</v>
      </c>
      <c r="GI36">
        <v>26609.599999999999</v>
      </c>
      <c r="GJ36">
        <v>25950.1</v>
      </c>
      <c r="GK36">
        <v>31784.3</v>
      </c>
      <c r="GL36">
        <v>33258.5</v>
      </c>
      <c r="GM36">
        <v>37716.400000000001</v>
      </c>
      <c r="GN36">
        <v>38496.5</v>
      </c>
      <c r="GO36">
        <v>1.9811300000000001</v>
      </c>
      <c r="GP36">
        <v>1.9225699999999999</v>
      </c>
      <c r="GQ36">
        <v>8.1762699999999994E-2</v>
      </c>
      <c r="GR36">
        <v>0</v>
      </c>
      <c r="GS36">
        <v>26.514700000000001</v>
      </c>
      <c r="GT36">
        <v>999.9</v>
      </c>
      <c r="GU36">
        <v>43.1</v>
      </c>
      <c r="GV36">
        <v>33.9</v>
      </c>
      <c r="GW36">
        <v>22.970700000000001</v>
      </c>
      <c r="GX36">
        <v>61.791499999999999</v>
      </c>
      <c r="GY36">
        <v>12.484</v>
      </c>
      <c r="GZ36">
        <v>1</v>
      </c>
      <c r="HA36">
        <v>0.35017999999999999</v>
      </c>
      <c r="HB36">
        <v>1.75807</v>
      </c>
      <c r="HC36">
        <v>20.247699999999998</v>
      </c>
      <c r="HD36">
        <v>5.2059100000000003</v>
      </c>
      <c r="HE36">
        <v>11.933</v>
      </c>
      <c r="HF36">
        <v>4.9865000000000004</v>
      </c>
      <c r="HG36">
        <v>3.2901799999999999</v>
      </c>
      <c r="HH36">
        <v>9999</v>
      </c>
      <c r="HI36">
        <v>9999</v>
      </c>
      <c r="HJ36">
        <v>9999</v>
      </c>
      <c r="HK36">
        <v>999.9</v>
      </c>
      <c r="HL36">
        <v>1.8707400000000001</v>
      </c>
      <c r="HM36">
        <v>1.8769800000000001</v>
      </c>
      <c r="HN36">
        <v>1.87469</v>
      </c>
      <c r="HO36">
        <v>1.8730199999999999</v>
      </c>
      <c r="HP36">
        <v>1.87347</v>
      </c>
      <c r="HQ36">
        <v>1.8708800000000001</v>
      </c>
      <c r="HR36">
        <v>1.8768</v>
      </c>
      <c r="HS36">
        <v>1.8758999999999999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424</v>
      </c>
      <c r="IB36" t="s">
        <v>424</v>
      </c>
      <c r="IC36" t="s">
        <v>423</v>
      </c>
      <c r="ID36">
        <v>0</v>
      </c>
      <c r="IE36">
        <v>100</v>
      </c>
      <c r="IF36">
        <v>100</v>
      </c>
      <c r="IG36">
        <v>-2.4780000000000002</v>
      </c>
      <c r="IH36">
        <v>0.34710000000000002</v>
      </c>
      <c r="II36">
        <v>-2.414278472993046</v>
      </c>
      <c r="IJ36">
        <v>-2.536945948238235E-3</v>
      </c>
      <c r="IK36">
        <v>1.581473279927893E-6</v>
      </c>
      <c r="IL36">
        <v>-4.6698293441882044E-10</v>
      </c>
      <c r="IM36">
        <v>-0.17042539858955699</v>
      </c>
      <c r="IN36">
        <v>-1.5895243091576399E-2</v>
      </c>
      <c r="IO36">
        <v>1.559614309849521E-3</v>
      </c>
      <c r="IP36">
        <v>-2.4566050869858518E-6</v>
      </c>
      <c r="IQ36">
        <v>2</v>
      </c>
      <c r="IR36">
        <v>2224</v>
      </c>
      <c r="IS36">
        <v>2</v>
      </c>
      <c r="IT36">
        <v>25</v>
      </c>
      <c r="IU36">
        <v>0.8</v>
      </c>
      <c r="IV36">
        <v>0.5</v>
      </c>
      <c r="IW36">
        <v>0.21362300000000001</v>
      </c>
      <c r="IX36">
        <v>2.5463900000000002</v>
      </c>
      <c r="IY36">
        <v>1.65039</v>
      </c>
      <c r="IZ36">
        <v>2.2924799999999999</v>
      </c>
      <c r="JA36">
        <v>1.50024</v>
      </c>
      <c r="JB36">
        <v>2.2778299999999998</v>
      </c>
      <c r="JC36">
        <v>39.4666</v>
      </c>
      <c r="JD36">
        <v>23.360800000000001</v>
      </c>
      <c r="JE36">
        <v>18</v>
      </c>
      <c r="JF36">
        <v>506.43599999999998</v>
      </c>
      <c r="JG36">
        <v>461.91300000000001</v>
      </c>
      <c r="JH36">
        <v>25.196000000000002</v>
      </c>
      <c r="JI36">
        <v>31.717700000000001</v>
      </c>
      <c r="JJ36">
        <v>29.999700000000001</v>
      </c>
      <c r="JK36">
        <v>31.810700000000001</v>
      </c>
      <c r="JL36">
        <v>31.799499999999998</v>
      </c>
      <c r="JM36">
        <v>4.3196300000000001</v>
      </c>
      <c r="JN36">
        <v>40.949199999999998</v>
      </c>
      <c r="JO36">
        <v>42.6768</v>
      </c>
      <c r="JP36">
        <v>25.190899999999999</v>
      </c>
      <c r="JQ36">
        <v>30</v>
      </c>
      <c r="JR36">
        <v>16.517399999999999</v>
      </c>
      <c r="JS36">
        <v>100.077</v>
      </c>
      <c r="JT36">
        <v>99.324600000000004</v>
      </c>
    </row>
    <row r="37" spans="1:280" x14ac:dyDescent="0.25">
      <c r="A37">
        <v>21</v>
      </c>
      <c r="B37">
        <v>1674577661.5999999</v>
      </c>
      <c r="C37">
        <v>3527</v>
      </c>
      <c r="D37" t="s">
        <v>523</v>
      </c>
      <c r="E37" t="s">
        <v>524</v>
      </c>
      <c r="F37" t="s">
        <v>412</v>
      </c>
      <c r="G37" t="s">
        <v>493</v>
      </c>
      <c r="H37" t="s">
        <v>494</v>
      </c>
      <c r="I37">
        <v>1674577661.5999999</v>
      </c>
      <c r="J37">
        <f t="shared" si="0"/>
        <v>7.1464801547058065E-3</v>
      </c>
      <c r="K37">
        <f t="shared" si="1"/>
        <v>7.1464801547058068</v>
      </c>
      <c r="L37">
        <f t="shared" si="2"/>
        <v>2.0992149824603725</v>
      </c>
      <c r="M37">
        <f t="shared" si="3"/>
        <v>7.4388100000000001</v>
      </c>
      <c r="N37">
        <f t="shared" si="4"/>
        <v>1.2499550178243137</v>
      </c>
      <c r="O37">
        <f t="shared" si="5"/>
        <v>0.1247476358273923</v>
      </c>
      <c r="P37">
        <f t="shared" si="6"/>
        <v>0.74240588472088098</v>
      </c>
      <c r="Q37">
        <f t="shared" si="7"/>
        <v>0.6044466864528949</v>
      </c>
      <c r="R37">
        <f t="shared" si="8"/>
        <v>2.9267394707758263</v>
      </c>
      <c r="S37">
        <f t="shared" si="9"/>
        <v>0.54270243171800747</v>
      </c>
      <c r="T37">
        <f t="shared" si="10"/>
        <v>0.34420939446473708</v>
      </c>
      <c r="U37">
        <f t="shared" si="11"/>
        <v>344.34279860457895</v>
      </c>
      <c r="V37">
        <f t="shared" si="12"/>
        <v>28.166933305589726</v>
      </c>
      <c r="W37">
        <f t="shared" si="13"/>
        <v>27.826699999999999</v>
      </c>
      <c r="X37">
        <f t="shared" si="14"/>
        <v>3.7566697359347687</v>
      </c>
      <c r="Y37">
        <f t="shared" si="15"/>
        <v>65.464909434570544</v>
      </c>
      <c r="Z37">
        <f t="shared" si="16"/>
        <v>2.4835353664784696</v>
      </c>
      <c r="AA37">
        <f t="shared" si="17"/>
        <v>3.793689455815501</v>
      </c>
      <c r="AB37">
        <f t="shared" si="18"/>
        <v>1.2731343694562991</v>
      </c>
      <c r="AC37">
        <f t="shared" si="19"/>
        <v>-315.15977482252606</v>
      </c>
      <c r="AD37">
        <f t="shared" si="20"/>
        <v>26.5238902003776</v>
      </c>
      <c r="AE37">
        <f t="shared" si="21"/>
        <v>1.9736834885114432</v>
      </c>
      <c r="AF37">
        <f t="shared" si="22"/>
        <v>57.680597470941912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52615.050148609123</v>
      </c>
      <c r="AL37" t="s">
        <v>415</v>
      </c>
      <c r="AM37">
        <v>10424.1</v>
      </c>
      <c r="AN37">
        <v>628.54280000000006</v>
      </c>
      <c r="AO37">
        <v>2663.98</v>
      </c>
      <c r="AP37">
        <f t="shared" si="26"/>
        <v>0.76405873917972356</v>
      </c>
      <c r="AQ37">
        <v>-3.1675626227050531</v>
      </c>
      <c r="AR37" t="s">
        <v>525</v>
      </c>
      <c r="AS37">
        <v>10218.799999999999</v>
      </c>
      <c r="AT37">
        <v>897.67884615384617</v>
      </c>
      <c r="AU37">
        <v>964.35386805724124</v>
      </c>
      <c r="AV37">
        <f t="shared" si="27"/>
        <v>6.9139580512822096E-2</v>
      </c>
      <c r="AW37">
        <v>0.5</v>
      </c>
      <c r="AX37">
        <f t="shared" si="28"/>
        <v>1513.0670993022893</v>
      </c>
      <c r="AY37">
        <f t="shared" si="29"/>
        <v>2.0992149824603725</v>
      </c>
      <c r="AZ37">
        <f t="shared" si="30"/>
        <v>52.306412266756411</v>
      </c>
      <c r="BA37">
        <f t="shared" si="31"/>
        <v>3.4808618914482113E-3</v>
      </c>
      <c r="BB37">
        <f t="shared" si="32"/>
        <v>1.7624506814773038</v>
      </c>
      <c r="BC37">
        <f t="shared" si="33"/>
        <v>443.93793968983346</v>
      </c>
      <c r="BD37" t="s">
        <v>526</v>
      </c>
      <c r="BE37">
        <v>581</v>
      </c>
      <c r="BF37">
        <f t="shared" si="34"/>
        <v>581</v>
      </c>
      <c r="BG37">
        <f t="shared" si="35"/>
        <v>0.39752406326687384</v>
      </c>
      <c r="BH37">
        <f t="shared" si="36"/>
        <v>0.17392552275862094</v>
      </c>
      <c r="BI37">
        <f t="shared" si="37"/>
        <v>0.81595892996704666</v>
      </c>
      <c r="BJ37">
        <f t="shared" si="38"/>
        <v>0.19854920890228039</v>
      </c>
      <c r="BK37">
        <f t="shared" si="39"/>
        <v>0.83501772098041582</v>
      </c>
      <c r="BL37">
        <f t="shared" si="40"/>
        <v>0.11256890942202337</v>
      </c>
      <c r="BM37">
        <f t="shared" si="41"/>
        <v>0.88743109057797664</v>
      </c>
      <c r="BN37">
        <v>20205</v>
      </c>
      <c r="BO37">
        <v>290.00000000000011</v>
      </c>
      <c r="BP37">
        <v>943.45</v>
      </c>
      <c r="BQ37">
        <v>105</v>
      </c>
      <c r="BR37">
        <v>10218.799999999999</v>
      </c>
      <c r="BS37">
        <v>940.17</v>
      </c>
      <c r="BT37">
        <v>3.28</v>
      </c>
      <c r="BU37">
        <v>300.00000000000011</v>
      </c>
      <c r="BV37">
        <v>24.2</v>
      </c>
      <c r="BW37">
        <v>964.35386805724124</v>
      </c>
      <c r="BX37">
        <v>2.1126903220886049</v>
      </c>
      <c r="BY37">
        <v>-24.710276090119461</v>
      </c>
      <c r="BZ37">
        <v>1.9170804340413099</v>
      </c>
      <c r="CA37">
        <v>0.85577427452098576</v>
      </c>
      <c r="CB37">
        <v>-6.9406629588431587E-3</v>
      </c>
      <c r="CC37">
        <v>289.99999999999989</v>
      </c>
      <c r="CD37">
        <v>937.27</v>
      </c>
      <c r="CE37">
        <v>615</v>
      </c>
      <c r="CF37">
        <v>10170.6</v>
      </c>
      <c r="CG37">
        <v>940.06</v>
      </c>
      <c r="CH37">
        <v>-2.79</v>
      </c>
      <c r="CV37">
        <f t="shared" si="42"/>
        <v>1799.86</v>
      </c>
      <c r="CW37">
        <f t="shared" si="43"/>
        <v>1513.0670993022893</v>
      </c>
      <c r="CX37">
        <f t="shared" si="44"/>
        <v>0.84065821747374203</v>
      </c>
      <c r="CY37">
        <f t="shared" si="45"/>
        <v>0.19131643494748424</v>
      </c>
      <c r="CZ37">
        <v>6</v>
      </c>
      <c r="DA37">
        <v>0.5</v>
      </c>
      <c r="DB37" t="s">
        <v>418</v>
      </c>
      <c r="DC37">
        <v>2</v>
      </c>
      <c r="DD37">
        <v>1674577661.5999999</v>
      </c>
      <c r="DE37">
        <v>7.4388100000000001</v>
      </c>
      <c r="DF37">
        <v>10.0213</v>
      </c>
      <c r="DG37">
        <v>24.884699999999999</v>
      </c>
      <c r="DH37">
        <v>16.523499999999999</v>
      </c>
      <c r="DI37">
        <v>9.9554500000000008</v>
      </c>
      <c r="DJ37">
        <v>24.541899999999998</v>
      </c>
      <c r="DK37">
        <v>500.07</v>
      </c>
      <c r="DL37">
        <v>99.702299999999994</v>
      </c>
      <c r="DM37">
        <v>9.9400100000000005E-2</v>
      </c>
      <c r="DN37">
        <v>27.994800000000001</v>
      </c>
      <c r="DO37">
        <v>27.826699999999999</v>
      </c>
      <c r="DP37">
        <v>999.9</v>
      </c>
      <c r="DQ37">
        <v>0</v>
      </c>
      <c r="DR37">
        <v>0</v>
      </c>
      <c r="DS37">
        <v>10013.799999999999</v>
      </c>
      <c r="DT37">
        <v>0</v>
      </c>
      <c r="DU37">
        <v>465.20699999999999</v>
      </c>
      <c r="DV37">
        <v>-2.5825300000000002</v>
      </c>
      <c r="DW37">
        <v>7.6286399999999999</v>
      </c>
      <c r="DX37">
        <v>10.1897</v>
      </c>
      <c r="DY37">
        <v>8.3611599999999999</v>
      </c>
      <c r="DZ37">
        <v>10.0213</v>
      </c>
      <c r="EA37">
        <v>16.523499999999999</v>
      </c>
      <c r="EB37">
        <v>2.4810599999999998</v>
      </c>
      <c r="EC37">
        <v>1.64744</v>
      </c>
      <c r="ED37">
        <v>20.902799999999999</v>
      </c>
      <c r="EE37">
        <v>14.409800000000001</v>
      </c>
      <c r="EF37">
        <v>1799.86</v>
      </c>
      <c r="EG37">
        <v>0.97799700000000001</v>
      </c>
      <c r="EH37">
        <v>2.2003200000000001E-2</v>
      </c>
      <c r="EI37">
        <v>0</v>
      </c>
      <c r="EJ37">
        <v>897.59100000000001</v>
      </c>
      <c r="EK37">
        <v>5.0010599999999998</v>
      </c>
      <c r="EL37">
        <v>16719.8</v>
      </c>
      <c r="EM37">
        <v>16709.7</v>
      </c>
      <c r="EN37">
        <v>47.75</v>
      </c>
      <c r="EO37">
        <v>48.561999999999998</v>
      </c>
      <c r="EP37">
        <v>48.75</v>
      </c>
      <c r="EQ37">
        <v>47.125</v>
      </c>
      <c r="ER37">
        <v>48.625</v>
      </c>
      <c r="ES37">
        <v>1755.37</v>
      </c>
      <c r="ET37">
        <v>39.49</v>
      </c>
      <c r="EU37">
        <v>0</v>
      </c>
      <c r="EV37">
        <v>103.3999998569489</v>
      </c>
      <c r="EW37">
        <v>0</v>
      </c>
      <c r="EX37">
        <v>897.67884615384617</v>
      </c>
      <c r="EY37">
        <v>-0.67849570916179447</v>
      </c>
      <c r="EZ37">
        <v>-8.6700854234866362</v>
      </c>
      <c r="FA37">
        <v>16722.853846153848</v>
      </c>
      <c r="FB37">
        <v>15</v>
      </c>
      <c r="FC37">
        <v>1674577629.0999999</v>
      </c>
      <c r="FD37" t="s">
        <v>527</v>
      </c>
      <c r="FE37">
        <v>1674577612.0999999</v>
      </c>
      <c r="FF37">
        <v>1674577629.0999999</v>
      </c>
      <c r="FG37">
        <v>24</v>
      </c>
      <c r="FH37">
        <v>-7.6999999999999999E-2</v>
      </c>
      <c r="FI37">
        <v>0</v>
      </c>
      <c r="FJ37">
        <v>-2.5230000000000001</v>
      </c>
      <c r="FK37">
        <v>-0.02</v>
      </c>
      <c r="FL37">
        <v>10</v>
      </c>
      <c r="FM37">
        <v>16</v>
      </c>
      <c r="FN37">
        <v>0.23</v>
      </c>
      <c r="FO37">
        <v>0.01</v>
      </c>
      <c r="FP37">
        <v>2.0950566793719201</v>
      </c>
      <c r="FQ37">
        <v>-0.59294924370399205</v>
      </c>
      <c r="FR37">
        <v>6.9602697327115229E-2</v>
      </c>
      <c r="FS37">
        <v>1</v>
      </c>
      <c r="FT37">
        <v>0.61372907016353817</v>
      </c>
      <c r="FU37">
        <v>1.0506111774902349E-2</v>
      </c>
      <c r="FV37">
        <v>6.9685056059856278E-3</v>
      </c>
      <c r="FW37">
        <v>1</v>
      </c>
      <c r="FX37">
        <v>2</v>
      </c>
      <c r="FY37">
        <v>2</v>
      </c>
      <c r="FZ37" t="s">
        <v>420</v>
      </c>
      <c r="GA37">
        <v>2.9784600000000001</v>
      </c>
      <c r="GB37">
        <v>2.8058399999999999</v>
      </c>
      <c r="GC37">
        <v>2.8902400000000001E-3</v>
      </c>
      <c r="GD37">
        <v>2.8692000000000001E-3</v>
      </c>
      <c r="GE37">
        <v>0.122183</v>
      </c>
      <c r="GF37">
        <v>9.1614299999999996E-2</v>
      </c>
      <c r="GG37">
        <v>29519.599999999999</v>
      </c>
      <c r="GH37">
        <v>27404.400000000001</v>
      </c>
      <c r="GI37">
        <v>26611.9</v>
      </c>
      <c r="GJ37">
        <v>25953.5</v>
      </c>
      <c r="GK37">
        <v>31795.8</v>
      </c>
      <c r="GL37">
        <v>33271.199999999997</v>
      </c>
      <c r="GM37">
        <v>37719.699999999997</v>
      </c>
      <c r="GN37">
        <v>38501.199999999997</v>
      </c>
      <c r="GO37">
        <v>1.9818499999999999</v>
      </c>
      <c r="GP37">
        <v>1.92313</v>
      </c>
      <c r="GQ37">
        <v>8.3126099999999994E-2</v>
      </c>
      <c r="GR37">
        <v>0</v>
      </c>
      <c r="GS37">
        <v>26.467700000000001</v>
      </c>
      <c r="GT37">
        <v>999.9</v>
      </c>
      <c r="GU37">
        <v>42.5</v>
      </c>
      <c r="GV37">
        <v>34</v>
      </c>
      <c r="GW37">
        <v>22.7758</v>
      </c>
      <c r="GX37">
        <v>61.671500000000002</v>
      </c>
      <c r="GY37">
        <v>12.447900000000001</v>
      </c>
      <c r="GZ37">
        <v>1</v>
      </c>
      <c r="HA37">
        <v>0.34437499999999999</v>
      </c>
      <c r="HB37">
        <v>1.64385</v>
      </c>
      <c r="HC37">
        <v>20.248899999999999</v>
      </c>
      <c r="HD37">
        <v>5.2056100000000001</v>
      </c>
      <c r="HE37">
        <v>11.9351</v>
      </c>
      <c r="HF37">
        <v>4.9868499999999996</v>
      </c>
      <c r="HG37">
        <v>3.2902999999999998</v>
      </c>
      <c r="HH37">
        <v>9999</v>
      </c>
      <c r="HI37">
        <v>9999</v>
      </c>
      <c r="HJ37">
        <v>9999</v>
      </c>
      <c r="HK37">
        <v>999.9</v>
      </c>
      <c r="HL37">
        <v>1.87073</v>
      </c>
      <c r="HM37">
        <v>1.87696</v>
      </c>
      <c r="HN37">
        <v>1.87469</v>
      </c>
      <c r="HO37">
        <v>1.8730100000000001</v>
      </c>
      <c r="HP37">
        <v>1.8734599999999999</v>
      </c>
      <c r="HQ37">
        <v>1.87087</v>
      </c>
      <c r="HR37">
        <v>1.8767499999999999</v>
      </c>
      <c r="HS37">
        <v>1.8758699999999999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424</v>
      </c>
      <c r="IB37" t="s">
        <v>424</v>
      </c>
      <c r="IC37" t="s">
        <v>423</v>
      </c>
      <c r="ID37">
        <v>0</v>
      </c>
      <c r="IE37">
        <v>100</v>
      </c>
      <c r="IF37">
        <v>100</v>
      </c>
      <c r="IG37">
        <v>-2.5169999999999999</v>
      </c>
      <c r="IH37">
        <v>0.34279999999999999</v>
      </c>
      <c r="II37">
        <v>-2.491540460037557</v>
      </c>
      <c r="IJ37">
        <v>-2.536945948238235E-3</v>
      </c>
      <c r="IK37">
        <v>1.581473279927893E-6</v>
      </c>
      <c r="IL37">
        <v>-4.6698293441882044E-10</v>
      </c>
      <c r="IM37">
        <v>-0.17013389794454531</v>
      </c>
      <c r="IN37">
        <v>-1.5895243091576399E-2</v>
      </c>
      <c r="IO37">
        <v>1.559614309849521E-3</v>
      </c>
      <c r="IP37">
        <v>-2.4566050869858518E-6</v>
      </c>
      <c r="IQ37">
        <v>2</v>
      </c>
      <c r="IR37">
        <v>2224</v>
      </c>
      <c r="IS37">
        <v>2</v>
      </c>
      <c r="IT37">
        <v>25</v>
      </c>
      <c r="IU37">
        <v>0.8</v>
      </c>
      <c r="IV37">
        <v>0.5</v>
      </c>
      <c r="IW37">
        <v>0.17578099999999999</v>
      </c>
      <c r="IX37">
        <v>2.5622600000000002</v>
      </c>
      <c r="IY37">
        <v>1.65039</v>
      </c>
      <c r="IZ37">
        <v>2.2936999999999999</v>
      </c>
      <c r="JA37">
        <v>1.50024</v>
      </c>
      <c r="JB37">
        <v>2.3156699999999999</v>
      </c>
      <c r="JC37">
        <v>39.516599999999997</v>
      </c>
      <c r="JD37">
        <v>23.352</v>
      </c>
      <c r="JE37">
        <v>18</v>
      </c>
      <c r="JF37">
        <v>506.33699999999999</v>
      </c>
      <c r="JG37">
        <v>461.726</v>
      </c>
      <c r="JH37">
        <v>25.2593</v>
      </c>
      <c r="JI37">
        <v>31.649100000000001</v>
      </c>
      <c r="JJ37">
        <v>29.999700000000001</v>
      </c>
      <c r="JK37">
        <v>31.7409</v>
      </c>
      <c r="JL37">
        <v>31.729600000000001</v>
      </c>
      <c r="JM37">
        <v>3.5578599999999998</v>
      </c>
      <c r="JN37">
        <v>39.841799999999999</v>
      </c>
      <c r="JO37">
        <v>41.2973</v>
      </c>
      <c r="JP37">
        <v>25.270900000000001</v>
      </c>
      <c r="JQ37">
        <v>10</v>
      </c>
      <c r="JR37">
        <v>16.488299999999999</v>
      </c>
      <c r="JS37">
        <v>100.086</v>
      </c>
      <c r="JT37">
        <v>99.337100000000007</v>
      </c>
    </row>
    <row r="38" spans="1:280" x14ac:dyDescent="0.25">
      <c r="A38">
        <v>22</v>
      </c>
      <c r="B38">
        <v>1674577851.0999999</v>
      </c>
      <c r="C38">
        <v>3716.5</v>
      </c>
      <c r="D38" t="s">
        <v>528</v>
      </c>
      <c r="E38" t="s">
        <v>529</v>
      </c>
      <c r="F38" t="s">
        <v>412</v>
      </c>
      <c r="G38" t="s">
        <v>493</v>
      </c>
      <c r="H38" t="s">
        <v>494</v>
      </c>
      <c r="I38">
        <v>1674577851.0999999</v>
      </c>
      <c r="J38">
        <f t="shared" si="0"/>
        <v>5.1042898776193805E-3</v>
      </c>
      <c r="K38">
        <f t="shared" si="1"/>
        <v>5.1042898776193804</v>
      </c>
      <c r="L38">
        <f t="shared" si="2"/>
        <v>38.637044492481508</v>
      </c>
      <c r="M38">
        <f t="shared" si="3"/>
        <v>351.45699999999999</v>
      </c>
      <c r="N38">
        <f t="shared" si="4"/>
        <v>178.70303324904967</v>
      </c>
      <c r="O38">
        <f t="shared" si="5"/>
        <v>17.83517969047745</v>
      </c>
      <c r="P38">
        <f t="shared" si="6"/>
        <v>35.076622005292499</v>
      </c>
      <c r="Q38">
        <f t="shared" si="7"/>
        <v>0.39396274125501884</v>
      </c>
      <c r="R38">
        <f t="shared" si="8"/>
        <v>2.9286194028622727</v>
      </c>
      <c r="S38">
        <f t="shared" si="9"/>
        <v>0.36671144378495052</v>
      </c>
      <c r="T38">
        <f t="shared" si="10"/>
        <v>0.23148579734640026</v>
      </c>
      <c r="U38">
        <f t="shared" si="11"/>
        <v>344.36999860433417</v>
      </c>
      <c r="V38">
        <f t="shared" si="12"/>
        <v>28.706683037889793</v>
      </c>
      <c r="W38">
        <f t="shared" si="13"/>
        <v>27.9313</v>
      </c>
      <c r="X38">
        <f t="shared" si="14"/>
        <v>3.7796679713209769</v>
      </c>
      <c r="Y38">
        <f t="shared" si="15"/>
        <v>64.119347152914955</v>
      </c>
      <c r="Z38">
        <f t="shared" si="16"/>
        <v>2.4337371302482498</v>
      </c>
      <c r="AA38">
        <f t="shared" si="17"/>
        <v>3.7956361664820988</v>
      </c>
      <c r="AB38">
        <f t="shared" si="18"/>
        <v>1.3459308410727271</v>
      </c>
      <c r="AC38">
        <f t="shared" si="19"/>
        <v>-225.09918360301469</v>
      </c>
      <c r="AD38">
        <f t="shared" si="20"/>
        <v>11.415282824565876</v>
      </c>
      <c r="AE38">
        <f t="shared" si="21"/>
        <v>0.84936339580341647</v>
      </c>
      <c r="AF38">
        <f t="shared" si="22"/>
        <v>131.53546122168879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52667.641831674104</v>
      </c>
      <c r="AL38" t="s">
        <v>415</v>
      </c>
      <c r="AM38">
        <v>10424.1</v>
      </c>
      <c r="AN38">
        <v>628.54280000000006</v>
      </c>
      <c r="AO38">
        <v>2663.98</v>
      </c>
      <c r="AP38">
        <f t="shared" si="26"/>
        <v>0.76405873917972356</v>
      </c>
      <c r="AQ38">
        <v>-3.1675626227050531</v>
      </c>
      <c r="AR38" t="s">
        <v>530</v>
      </c>
      <c r="AS38">
        <v>10202</v>
      </c>
      <c r="AT38">
        <v>785.52965384615391</v>
      </c>
      <c r="AU38">
        <v>1048.7819108996671</v>
      </c>
      <c r="AV38">
        <f t="shared" si="27"/>
        <v>0.25100762543443367</v>
      </c>
      <c r="AW38">
        <v>0.5</v>
      </c>
      <c r="AX38">
        <f t="shared" si="28"/>
        <v>1513.1849993021669</v>
      </c>
      <c r="AY38">
        <f t="shared" si="29"/>
        <v>38.637044492481508</v>
      </c>
      <c r="AZ38">
        <f t="shared" si="30"/>
        <v>189.91048675892105</v>
      </c>
      <c r="BA38">
        <f t="shared" si="31"/>
        <v>2.7626897659219149E-2</v>
      </c>
      <c r="BB38">
        <f t="shared" si="32"/>
        <v>1.5400705068556935</v>
      </c>
      <c r="BC38">
        <f t="shared" si="33"/>
        <v>461.02273221907581</v>
      </c>
      <c r="BD38" t="s">
        <v>531</v>
      </c>
      <c r="BE38">
        <v>568.54</v>
      </c>
      <c r="BF38">
        <f t="shared" si="34"/>
        <v>568.54</v>
      </c>
      <c r="BG38">
        <f t="shared" si="35"/>
        <v>0.45790445650202483</v>
      </c>
      <c r="BH38">
        <f t="shared" si="36"/>
        <v>0.54816593695528637</v>
      </c>
      <c r="BI38">
        <f t="shared" si="37"/>
        <v>0.77081571846501584</v>
      </c>
      <c r="BJ38">
        <f t="shared" si="38"/>
        <v>0.62643445178134605</v>
      </c>
      <c r="BK38">
        <f t="shared" si="39"/>
        <v>0.79353865061537299</v>
      </c>
      <c r="BL38">
        <f t="shared" si="40"/>
        <v>0.39674410796666887</v>
      </c>
      <c r="BM38">
        <f t="shared" si="41"/>
        <v>0.60325589203333108</v>
      </c>
      <c r="BN38">
        <v>20207</v>
      </c>
      <c r="BO38">
        <v>290.00000000000011</v>
      </c>
      <c r="BP38">
        <v>987.15</v>
      </c>
      <c r="BQ38">
        <v>195</v>
      </c>
      <c r="BR38">
        <v>10202</v>
      </c>
      <c r="BS38">
        <v>986.95</v>
      </c>
      <c r="BT38">
        <v>0.2</v>
      </c>
      <c r="BU38">
        <v>300.00000000000011</v>
      </c>
      <c r="BV38">
        <v>24.2</v>
      </c>
      <c r="BW38">
        <v>1048.7819108996671</v>
      </c>
      <c r="BX38">
        <v>2.1938039839636341</v>
      </c>
      <c r="BY38">
        <v>-63.078169708826849</v>
      </c>
      <c r="BZ38">
        <v>1.9911100774026931</v>
      </c>
      <c r="CA38">
        <v>0.97285812074643552</v>
      </c>
      <c r="CB38">
        <v>-6.9423439377085663E-3</v>
      </c>
      <c r="CC38">
        <v>289.99999999999989</v>
      </c>
      <c r="CD38">
        <v>987.57</v>
      </c>
      <c r="CE38">
        <v>635</v>
      </c>
      <c r="CF38">
        <v>10171</v>
      </c>
      <c r="CG38">
        <v>986.76</v>
      </c>
      <c r="CH38">
        <v>0.81</v>
      </c>
      <c r="CV38">
        <f t="shared" si="42"/>
        <v>1800</v>
      </c>
      <c r="CW38">
        <f t="shared" si="43"/>
        <v>1513.1849993021669</v>
      </c>
      <c r="CX38">
        <f t="shared" si="44"/>
        <v>0.84065833294564829</v>
      </c>
      <c r="CY38">
        <f t="shared" si="45"/>
        <v>0.19131666589129676</v>
      </c>
      <c r="CZ38">
        <v>6</v>
      </c>
      <c r="DA38">
        <v>0.5</v>
      </c>
      <c r="DB38" t="s">
        <v>418</v>
      </c>
      <c r="DC38">
        <v>2</v>
      </c>
      <c r="DD38">
        <v>1674577851.0999999</v>
      </c>
      <c r="DE38">
        <v>351.45699999999999</v>
      </c>
      <c r="DF38">
        <v>399.96699999999998</v>
      </c>
      <c r="DG38">
        <v>24.385300000000001</v>
      </c>
      <c r="DH38">
        <v>18.410399999999999</v>
      </c>
      <c r="DI38">
        <v>354.96499999999997</v>
      </c>
      <c r="DJ38">
        <v>24.065799999999999</v>
      </c>
      <c r="DK38">
        <v>500.07400000000001</v>
      </c>
      <c r="DL38">
        <v>99.703699999999998</v>
      </c>
      <c r="DM38">
        <v>9.9752499999999994E-2</v>
      </c>
      <c r="DN38">
        <v>28.003599999999999</v>
      </c>
      <c r="DO38">
        <v>27.9313</v>
      </c>
      <c r="DP38">
        <v>999.9</v>
      </c>
      <c r="DQ38">
        <v>0</v>
      </c>
      <c r="DR38">
        <v>0</v>
      </c>
      <c r="DS38">
        <v>10024.4</v>
      </c>
      <c r="DT38">
        <v>0</v>
      </c>
      <c r="DU38">
        <v>462.40899999999999</v>
      </c>
      <c r="DV38">
        <v>-48.510399999999997</v>
      </c>
      <c r="DW38">
        <v>360.24099999999999</v>
      </c>
      <c r="DX38">
        <v>407.46899999999999</v>
      </c>
      <c r="DY38">
        <v>5.9749499999999998</v>
      </c>
      <c r="DZ38">
        <v>399.96699999999998</v>
      </c>
      <c r="EA38">
        <v>18.410399999999999</v>
      </c>
      <c r="EB38">
        <v>2.4313099999999999</v>
      </c>
      <c r="EC38">
        <v>1.83558</v>
      </c>
      <c r="ED38">
        <v>20.573799999999999</v>
      </c>
      <c r="EE38">
        <v>16.0931</v>
      </c>
      <c r="EF38">
        <v>1800</v>
      </c>
      <c r="EG38">
        <v>0.97799700000000001</v>
      </c>
      <c r="EH38">
        <v>2.2003200000000001E-2</v>
      </c>
      <c r="EI38">
        <v>0</v>
      </c>
      <c r="EJ38">
        <v>785.02099999999996</v>
      </c>
      <c r="EK38">
        <v>5.0010599999999998</v>
      </c>
      <c r="EL38">
        <v>14687.1</v>
      </c>
      <c r="EM38">
        <v>16711</v>
      </c>
      <c r="EN38">
        <v>47.625</v>
      </c>
      <c r="EO38">
        <v>48.436999999999998</v>
      </c>
      <c r="EP38">
        <v>48.625</v>
      </c>
      <c r="EQ38">
        <v>47.061999999999998</v>
      </c>
      <c r="ER38">
        <v>48.561999999999998</v>
      </c>
      <c r="ES38">
        <v>1755.5</v>
      </c>
      <c r="ET38">
        <v>39.5</v>
      </c>
      <c r="EU38">
        <v>0</v>
      </c>
      <c r="EV38">
        <v>187.39999985694891</v>
      </c>
      <c r="EW38">
        <v>0</v>
      </c>
      <c r="EX38">
        <v>785.52965384615391</v>
      </c>
      <c r="EY38">
        <v>-5.0334701018043004</v>
      </c>
      <c r="EZ38">
        <v>-135.00512828134239</v>
      </c>
      <c r="FA38">
        <v>14702.026923076921</v>
      </c>
      <c r="FB38">
        <v>15</v>
      </c>
      <c r="FC38">
        <v>1674577749.5999999</v>
      </c>
      <c r="FD38" t="s">
        <v>532</v>
      </c>
      <c r="FE38">
        <v>1674577734.0999999</v>
      </c>
      <c r="FF38">
        <v>1674577749.5999999</v>
      </c>
      <c r="FG38">
        <v>25</v>
      </c>
      <c r="FH38">
        <v>-0.29499999999999998</v>
      </c>
      <c r="FI38">
        <v>3.0000000000000001E-3</v>
      </c>
      <c r="FJ38">
        <v>-3.5840000000000001</v>
      </c>
      <c r="FK38">
        <v>-1.7000000000000001E-2</v>
      </c>
      <c r="FL38">
        <v>400</v>
      </c>
      <c r="FM38">
        <v>16</v>
      </c>
      <c r="FN38">
        <v>0.04</v>
      </c>
      <c r="FO38">
        <v>0.02</v>
      </c>
      <c r="FP38">
        <v>38.130731490379731</v>
      </c>
      <c r="FQ38">
        <v>3.1653040041331821</v>
      </c>
      <c r="FR38">
        <v>0.30663761085959579</v>
      </c>
      <c r="FS38">
        <v>0</v>
      </c>
      <c r="FT38">
        <v>0.41016967321323111</v>
      </c>
      <c r="FU38">
        <v>-0.1038744343454535</v>
      </c>
      <c r="FV38">
        <v>1.0009535981795331E-2</v>
      </c>
      <c r="FW38">
        <v>0</v>
      </c>
      <c r="FX38">
        <v>0</v>
      </c>
      <c r="FY38">
        <v>2</v>
      </c>
      <c r="FZ38" t="s">
        <v>460</v>
      </c>
      <c r="GA38">
        <v>2.9785400000000002</v>
      </c>
      <c r="GB38">
        <v>2.8062900000000002</v>
      </c>
      <c r="GC38">
        <v>8.8917300000000005E-2</v>
      </c>
      <c r="GD38">
        <v>9.6467200000000003E-2</v>
      </c>
      <c r="GE38">
        <v>0.120562</v>
      </c>
      <c r="GF38">
        <v>9.8914199999999994E-2</v>
      </c>
      <c r="GG38">
        <v>26977.1</v>
      </c>
      <c r="GH38">
        <v>24837.200000000001</v>
      </c>
      <c r="GI38">
        <v>26615.3</v>
      </c>
      <c r="GJ38">
        <v>25957.9</v>
      </c>
      <c r="GK38">
        <v>31859.5</v>
      </c>
      <c r="GL38">
        <v>33010.400000000001</v>
      </c>
      <c r="GM38">
        <v>37724.699999999997</v>
      </c>
      <c r="GN38">
        <v>38508.199999999997</v>
      </c>
      <c r="GO38">
        <v>1.98228</v>
      </c>
      <c r="GP38">
        <v>1.9288000000000001</v>
      </c>
      <c r="GQ38">
        <v>8.9727299999999996E-2</v>
      </c>
      <c r="GR38">
        <v>0</v>
      </c>
      <c r="GS38">
        <v>26.464400000000001</v>
      </c>
      <c r="GT38">
        <v>999.9</v>
      </c>
      <c r="GU38">
        <v>41.6</v>
      </c>
      <c r="GV38">
        <v>34.1</v>
      </c>
      <c r="GW38">
        <v>22.416899999999998</v>
      </c>
      <c r="GX38">
        <v>61.5715</v>
      </c>
      <c r="GY38">
        <v>12.8566</v>
      </c>
      <c r="GZ38">
        <v>1</v>
      </c>
      <c r="HA38">
        <v>0.33533499999999999</v>
      </c>
      <c r="HB38">
        <v>1.6671899999999999</v>
      </c>
      <c r="HC38">
        <v>20.249500000000001</v>
      </c>
      <c r="HD38">
        <v>5.2093499999999997</v>
      </c>
      <c r="HE38">
        <v>11.9343</v>
      </c>
      <c r="HF38">
        <v>4.9876500000000004</v>
      </c>
      <c r="HG38">
        <v>3.2909799999999998</v>
      </c>
      <c r="HH38">
        <v>9999</v>
      </c>
      <c r="HI38">
        <v>9999</v>
      </c>
      <c r="HJ38">
        <v>9999</v>
      </c>
      <c r="HK38">
        <v>999.9</v>
      </c>
      <c r="HL38">
        <v>1.87073</v>
      </c>
      <c r="HM38">
        <v>1.8769800000000001</v>
      </c>
      <c r="HN38">
        <v>1.87469</v>
      </c>
      <c r="HO38">
        <v>1.8730199999999999</v>
      </c>
      <c r="HP38">
        <v>1.87347</v>
      </c>
      <c r="HQ38">
        <v>1.8708800000000001</v>
      </c>
      <c r="HR38">
        <v>1.87679</v>
      </c>
      <c r="HS38">
        <v>1.87591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424</v>
      </c>
      <c r="IB38" t="s">
        <v>424</v>
      </c>
      <c r="IC38" t="s">
        <v>423</v>
      </c>
      <c r="ID38">
        <v>0</v>
      </c>
      <c r="IE38">
        <v>100</v>
      </c>
      <c r="IF38">
        <v>100</v>
      </c>
      <c r="IG38">
        <v>-3.508</v>
      </c>
      <c r="IH38">
        <v>0.31950000000000001</v>
      </c>
      <c r="II38">
        <v>-2.7864011992851609</v>
      </c>
      <c r="IJ38">
        <v>-2.536945948238235E-3</v>
      </c>
      <c r="IK38">
        <v>1.581473279927893E-6</v>
      </c>
      <c r="IL38">
        <v>-4.6698293441882044E-10</v>
      </c>
      <c r="IM38">
        <v>-0.16699525967031811</v>
      </c>
      <c r="IN38">
        <v>-1.5895243091576399E-2</v>
      </c>
      <c r="IO38">
        <v>1.559614309849521E-3</v>
      </c>
      <c r="IP38">
        <v>-2.4566050869858518E-6</v>
      </c>
      <c r="IQ38">
        <v>2</v>
      </c>
      <c r="IR38">
        <v>2224</v>
      </c>
      <c r="IS38">
        <v>2</v>
      </c>
      <c r="IT38">
        <v>25</v>
      </c>
      <c r="IU38">
        <v>1.9</v>
      </c>
      <c r="IV38">
        <v>1.7</v>
      </c>
      <c r="IW38">
        <v>0.94116200000000005</v>
      </c>
      <c r="IX38">
        <v>2.4939</v>
      </c>
      <c r="IY38">
        <v>1.65039</v>
      </c>
      <c r="IZ38">
        <v>2.2924799999999999</v>
      </c>
      <c r="JA38">
        <v>1.50024</v>
      </c>
      <c r="JB38">
        <v>2.3986800000000001</v>
      </c>
      <c r="JC38">
        <v>39.516599999999997</v>
      </c>
      <c r="JD38">
        <v>23.387</v>
      </c>
      <c r="JE38">
        <v>18</v>
      </c>
      <c r="JF38">
        <v>505.61900000000003</v>
      </c>
      <c r="JG38">
        <v>464.54300000000001</v>
      </c>
      <c r="JH38">
        <v>25.229099999999999</v>
      </c>
      <c r="JI38">
        <v>31.538599999999999</v>
      </c>
      <c r="JJ38">
        <v>29.9999</v>
      </c>
      <c r="JK38">
        <v>31.620100000000001</v>
      </c>
      <c r="JL38">
        <v>31.615200000000002</v>
      </c>
      <c r="JM38">
        <v>18.875800000000002</v>
      </c>
      <c r="JN38">
        <v>29.635999999999999</v>
      </c>
      <c r="JO38">
        <v>40.293199999999999</v>
      </c>
      <c r="JP38">
        <v>25.2226</v>
      </c>
      <c r="JQ38">
        <v>400</v>
      </c>
      <c r="JR38">
        <v>18.5837</v>
      </c>
      <c r="JS38">
        <v>100.099</v>
      </c>
      <c r="JT38">
        <v>99.354799999999997</v>
      </c>
    </row>
    <row r="39" spans="1:280" x14ac:dyDescent="0.25">
      <c r="A39">
        <v>23</v>
      </c>
      <c r="B39">
        <v>1674577950.5999999</v>
      </c>
      <c r="C39">
        <v>3816</v>
      </c>
      <c r="D39" t="s">
        <v>533</v>
      </c>
      <c r="E39" t="s">
        <v>534</v>
      </c>
      <c r="F39" t="s">
        <v>412</v>
      </c>
      <c r="G39" t="s">
        <v>493</v>
      </c>
      <c r="H39" t="s">
        <v>494</v>
      </c>
      <c r="I39">
        <v>1674577950.5999999</v>
      </c>
      <c r="J39">
        <f t="shared" si="0"/>
        <v>4.0041703722266354E-3</v>
      </c>
      <c r="K39">
        <f t="shared" si="1"/>
        <v>4.0041703722266355</v>
      </c>
      <c r="L39">
        <f t="shared" si="2"/>
        <v>39.27991490345169</v>
      </c>
      <c r="M39">
        <f t="shared" si="3"/>
        <v>351.24200000000002</v>
      </c>
      <c r="N39">
        <f t="shared" si="4"/>
        <v>124.67303939329146</v>
      </c>
      <c r="O39">
        <f t="shared" si="5"/>
        <v>12.443013878596847</v>
      </c>
      <c r="P39">
        <f t="shared" si="6"/>
        <v>35.055767486015803</v>
      </c>
      <c r="Q39">
        <f t="shared" si="7"/>
        <v>0.29781765693903506</v>
      </c>
      <c r="R39">
        <f t="shared" si="8"/>
        <v>2.9272141756503545</v>
      </c>
      <c r="S39">
        <f t="shared" si="9"/>
        <v>0.28195000642592943</v>
      </c>
      <c r="T39">
        <f t="shared" si="10"/>
        <v>0.17757391500554143</v>
      </c>
      <c r="U39">
        <f t="shared" si="11"/>
        <v>344.37569860435741</v>
      </c>
      <c r="V39">
        <f t="shared" si="12"/>
        <v>28.993348446197189</v>
      </c>
      <c r="W39">
        <f t="shared" si="13"/>
        <v>28.028199999999998</v>
      </c>
      <c r="X39">
        <f t="shared" si="14"/>
        <v>3.8010827318597697</v>
      </c>
      <c r="Y39">
        <f t="shared" si="15"/>
        <v>63.965091812210595</v>
      </c>
      <c r="Z39">
        <f t="shared" si="16"/>
        <v>2.4279104655723498</v>
      </c>
      <c r="AA39">
        <f t="shared" si="17"/>
        <v>3.7956804200332197</v>
      </c>
      <c r="AB39">
        <f t="shared" si="18"/>
        <v>1.37317226628742</v>
      </c>
      <c r="AC39">
        <f t="shared" si="19"/>
        <v>-176.58391341519462</v>
      </c>
      <c r="AD39">
        <f t="shared" si="20"/>
        <v>-3.8506120835589472</v>
      </c>
      <c r="AE39">
        <f t="shared" si="21"/>
        <v>-0.28678419911489911</v>
      </c>
      <c r="AF39">
        <f t="shared" si="22"/>
        <v>163.65438890648895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52627.203049637355</v>
      </c>
      <c r="AL39" t="s">
        <v>415</v>
      </c>
      <c r="AM39">
        <v>10424.1</v>
      </c>
      <c r="AN39">
        <v>628.54280000000006</v>
      </c>
      <c r="AO39">
        <v>2663.98</v>
      </c>
      <c r="AP39">
        <f t="shared" si="26"/>
        <v>0.76405873917972356</v>
      </c>
      <c r="AQ39">
        <v>-3.1675626227050531</v>
      </c>
      <c r="AR39" t="s">
        <v>535</v>
      </c>
      <c r="AS39">
        <v>10208.200000000001</v>
      </c>
      <c r="AT39">
        <v>785.98403846153838</v>
      </c>
      <c r="AU39">
        <v>1069.401853162203</v>
      </c>
      <c r="AV39">
        <f t="shared" si="27"/>
        <v>0.26502461526750021</v>
      </c>
      <c r="AW39">
        <v>0.5</v>
      </c>
      <c r="AX39">
        <f t="shared" si="28"/>
        <v>1513.2101993021786</v>
      </c>
      <c r="AY39">
        <f t="shared" si="29"/>
        <v>39.27991490345169</v>
      </c>
      <c r="AZ39">
        <f t="shared" si="30"/>
        <v>200.51897544445859</v>
      </c>
      <c r="BA39">
        <f t="shared" si="31"/>
        <v>2.8051276382971464E-2</v>
      </c>
      <c r="BB39">
        <f t="shared" si="32"/>
        <v>1.4910934950436607</v>
      </c>
      <c r="BC39">
        <f t="shared" si="33"/>
        <v>464.96369843350215</v>
      </c>
      <c r="BD39" t="s">
        <v>536</v>
      </c>
      <c r="BE39">
        <v>569.72</v>
      </c>
      <c r="BF39">
        <f t="shared" si="34"/>
        <v>569.72</v>
      </c>
      <c r="BG39">
        <f t="shared" si="35"/>
        <v>0.46725358824155039</v>
      </c>
      <c r="BH39">
        <f t="shared" si="36"/>
        <v>0.56719653296807571</v>
      </c>
      <c r="BI39">
        <f t="shared" si="37"/>
        <v>0.76140409826754885</v>
      </c>
      <c r="BJ39">
        <f t="shared" si="38"/>
        <v>0.64287624960349443</v>
      </c>
      <c r="BK39">
        <f t="shared" si="39"/>
        <v>0.78340817728878942</v>
      </c>
      <c r="BL39">
        <f t="shared" si="40"/>
        <v>0.41113202425215012</v>
      </c>
      <c r="BM39">
        <f t="shared" si="41"/>
        <v>0.58886797574784988</v>
      </c>
      <c r="BN39">
        <v>20209</v>
      </c>
      <c r="BO39">
        <v>290.00000000000011</v>
      </c>
      <c r="BP39">
        <v>1001.19</v>
      </c>
      <c r="BQ39">
        <v>165</v>
      </c>
      <c r="BR39">
        <v>10208.200000000001</v>
      </c>
      <c r="BS39">
        <v>1001.48</v>
      </c>
      <c r="BT39">
        <v>-0.28999999999999998</v>
      </c>
      <c r="BU39">
        <v>300.00000000000011</v>
      </c>
      <c r="BV39">
        <v>24.2</v>
      </c>
      <c r="BW39">
        <v>1069.401853162203</v>
      </c>
      <c r="BX39">
        <v>2.3395868813892449</v>
      </c>
      <c r="BY39">
        <v>-69.33960175562683</v>
      </c>
      <c r="BZ39">
        <v>2.1235057517634419</v>
      </c>
      <c r="CA39">
        <v>0.97441151140980042</v>
      </c>
      <c r="CB39">
        <v>-6.9426596218020052E-3</v>
      </c>
      <c r="CC39">
        <v>289.99999999999989</v>
      </c>
      <c r="CD39">
        <v>1002.07</v>
      </c>
      <c r="CE39">
        <v>705</v>
      </c>
      <c r="CF39">
        <v>10166.1</v>
      </c>
      <c r="CG39">
        <v>1001.2</v>
      </c>
      <c r="CH39">
        <v>0.87</v>
      </c>
      <c r="CV39">
        <f t="shared" si="42"/>
        <v>1800.03</v>
      </c>
      <c r="CW39">
        <f t="shared" si="43"/>
        <v>1513.2101993021786</v>
      </c>
      <c r="CX39">
        <f t="shared" si="44"/>
        <v>0.84065832197362189</v>
      </c>
      <c r="CY39">
        <f t="shared" si="45"/>
        <v>0.1913166439472439</v>
      </c>
      <c r="CZ39">
        <v>6</v>
      </c>
      <c r="DA39">
        <v>0.5</v>
      </c>
      <c r="DB39" t="s">
        <v>418</v>
      </c>
      <c r="DC39">
        <v>2</v>
      </c>
      <c r="DD39">
        <v>1674577950.5999999</v>
      </c>
      <c r="DE39">
        <v>351.24200000000002</v>
      </c>
      <c r="DF39">
        <v>400.05399999999997</v>
      </c>
      <c r="DG39">
        <v>24.326499999999999</v>
      </c>
      <c r="DH39">
        <v>19.639500000000002</v>
      </c>
      <c r="DI39">
        <v>354.92099999999999</v>
      </c>
      <c r="DJ39">
        <v>24.243500000000001</v>
      </c>
      <c r="DK39">
        <v>500.11900000000003</v>
      </c>
      <c r="DL39">
        <v>99.705399999999997</v>
      </c>
      <c r="DM39">
        <v>9.9769899999999995E-2</v>
      </c>
      <c r="DN39">
        <v>28.003799999999998</v>
      </c>
      <c r="DO39">
        <v>28.028199999999998</v>
      </c>
      <c r="DP39">
        <v>999.9</v>
      </c>
      <c r="DQ39">
        <v>0</v>
      </c>
      <c r="DR39">
        <v>0</v>
      </c>
      <c r="DS39">
        <v>10016.200000000001</v>
      </c>
      <c r="DT39">
        <v>0</v>
      </c>
      <c r="DU39">
        <v>457.4</v>
      </c>
      <c r="DV39">
        <v>-48.641800000000003</v>
      </c>
      <c r="DW39">
        <v>360.26499999999999</v>
      </c>
      <c r="DX39">
        <v>408.06799999999998</v>
      </c>
      <c r="DY39">
        <v>4.9333</v>
      </c>
      <c r="DZ39">
        <v>400.05399999999997</v>
      </c>
      <c r="EA39">
        <v>19.639500000000002</v>
      </c>
      <c r="EB39">
        <v>2.45004</v>
      </c>
      <c r="EC39">
        <v>1.95817</v>
      </c>
      <c r="ED39">
        <v>20.698399999999999</v>
      </c>
      <c r="EE39">
        <v>17.110099999999999</v>
      </c>
      <c r="EF39">
        <v>1800.03</v>
      </c>
      <c r="EG39">
        <v>0.97799700000000001</v>
      </c>
      <c r="EH39">
        <v>2.2003200000000001E-2</v>
      </c>
      <c r="EI39">
        <v>0</v>
      </c>
      <c r="EJ39">
        <v>786.06399999999996</v>
      </c>
      <c r="EK39">
        <v>5.0010599999999998</v>
      </c>
      <c r="EL39">
        <v>14713.3</v>
      </c>
      <c r="EM39">
        <v>16711.3</v>
      </c>
      <c r="EN39">
        <v>47.561999999999998</v>
      </c>
      <c r="EO39">
        <v>48.436999999999998</v>
      </c>
      <c r="EP39">
        <v>48.561999999999998</v>
      </c>
      <c r="EQ39">
        <v>47</v>
      </c>
      <c r="ER39">
        <v>48.5</v>
      </c>
      <c r="ES39">
        <v>1755.53</v>
      </c>
      <c r="ET39">
        <v>39.5</v>
      </c>
      <c r="EU39">
        <v>0</v>
      </c>
      <c r="EV39">
        <v>97.399999856948853</v>
      </c>
      <c r="EW39">
        <v>0</v>
      </c>
      <c r="EX39">
        <v>785.98403846153838</v>
      </c>
      <c r="EY39">
        <v>3.1844444574844268</v>
      </c>
      <c r="EZ39">
        <v>88.379487328962711</v>
      </c>
      <c r="FA39">
        <v>14702.81923076923</v>
      </c>
      <c r="FB39">
        <v>15</v>
      </c>
      <c r="FC39">
        <v>1674577981.0999999</v>
      </c>
      <c r="FD39" t="s">
        <v>537</v>
      </c>
      <c r="FE39">
        <v>1674577972.0999999</v>
      </c>
      <c r="FF39">
        <v>1674577981.0999999</v>
      </c>
      <c r="FG39">
        <v>26</v>
      </c>
      <c r="FH39">
        <v>-9.6000000000000002E-2</v>
      </c>
      <c r="FI39">
        <v>-1.9E-2</v>
      </c>
      <c r="FJ39">
        <v>-3.6789999999999998</v>
      </c>
      <c r="FK39">
        <v>8.3000000000000004E-2</v>
      </c>
      <c r="FL39">
        <v>400</v>
      </c>
      <c r="FM39">
        <v>20</v>
      </c>
      <c r="FN39">
        <v>0.04</v>
      </c>
      <c r="FO39">
        <v>0.02</v>
      </c>
      <c r="FP39">
        <v>38.9606693115689</v>
      </c>
      <c r="FQ39">
        <v>0.1027577162969714</v>
      </c>
      <c r="FR39">
        <v>2.188163036700751E-2</v>
      </c>
      <c r="FS39">
        <v>1</v>
      </c>
      <c r="FT39">
        <v>0.32158515570471757</v>
      </c>
      <c r="FU39">
        <v>-9.1660404541736573E-3</v>
      </c>
      <c r="FV39">
        <v>1.2384020068771089E-3</v>
      </c>
      <c r="FW39">
        <v>1</v>
      </c>
      <c r="FX39">
        <v>2</v>
      </c>
      <c r="FY39">
        <v>2</v>
      </c>
      <c r="FZ39" t="s">
        <v>420</v>
      </c>
      <c r="GA39">
        <v>2.9786999999999999</v>
      </c>
      <c r="GB39">
        <v>2.8062399999999998</v>
      </c>
      <c r="GC39">
        <v>8.8925299999999999E-2</v>
      </c>
      <c r="GD39">
        <v>9.6511E-2</v>
      </c>
      <c r="GE39">
        <v>0.1212</v>
      </c>
      <c r="GF39">
        <v>0.103507</v>
      </c>
      <c r="GG39">
        <v>26978.400000000001</v>
      </c>
      <c r="GH39">
        <v>24838.2</v>
      </c>
      <c r="GI39">
        <v>26616.6</v>
      </c>
      <c r="GJ39">
        <v>25959.9</v>
      </c>
      <c r="GK39">
        <v>31837.3</v>
      </c>
      <c r="GL39">
        <v>32844.199999999997</v>
      </c>
      <c r="GM39">
        <v>37726.400000000001</v>
      </c>
      <c r="GN39">
        <v>38510.699999999997</v>
      </c>
      <c r="GO39">
        <v>1.98237</v>
      </c>
      <c r="GP39">
        <v>1.9313</v>
      </c>
      <c r="GQ39">
        <v>9.5549999999999996E-2</v>
      </c>
      <c r="GR39">
        <v>0</v>
      </c>
      <c r="GS39">
        <v>26.4663</v>
      </c>
      <c r="GT39">
        <v>999.9</v>
      </c>
      <c r="GU39">
        <v>41.8</v>
      </c>
      <c r="GV39">
        <v>34.200000000000003</v>
      </c>
      <c r="GW39">
        <v>22.650700000000001</v>
      </c>
      <c r="GX39">
        <v>61.811500000000002</v>
      </c>
      <c r="GY39">
        <v>12.504</v>
      </c>
      <c r="GZ39">
        <v>1</v>
      </c>
      <c r="HA39">
        <v>0.33048</v>
      </c>
      <c r="HB39">
        <v>1.6720299999999999</v>
      </c>
      <c r="HC39">
        <v>20.249199999999998</v>
      </c>
      <c r="HD39">
        <v>5.2093499999999997</v>
      </c>
      <c r="HE39">
        <v>11.9336</v>
      </c>
      <c r="HF39">
        <v>4.9875499999999997</v>
      </c>
      <c r="HG39">
        <v>3.2909999999999999</v>
      </c>
      <c r="HH39">
        <v>9999</v>
      </c>
      <c r="HI39">
        <v>9999</v>
      </c>
      <c r="HJ39">
        <v>9999</v>
      </c>
      <c r="HK39">
        <v>999.9</v>
      </c>
      <c r="HL39">
        <v>1.87076</v>
      </c>
      <c r="HM39">
        <v>1.8769800000000001</v>
      </c>
      <c r="HN39">
        <v>1.87469</v>
      </c>
      <c r="HO39">
        <v>1.8730199999999999</v>
      </c>
      <c r="HP39">
        <v>1.87347</v>
      </c>
      <c r="HQ39">
        <v>1.8708800000000001</v>
      </c>
      <c r="HR39">
        <v>1.8767499999999999</v>
      </c>
      <c r="HS39">
        <v>1.87591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424</v>
      </c>
      <c r="IB39" t="s">
        <v>424</v>
      </c>
      <c r="IC39" t="s">
        <v>423</v>
      </c>
      <c r="ID39">
        <v>0</v>
      </c>
      <c r="IE39">
        <v>100</v>
      </c>
      <c r="IF39">
        <v>100</v>
      </c>
      <c r="IG39">
        <v>-3.6789999999999998</v>
      </c>
      <c r="IH39">
        <v>8.3000000000000004E-2</v>
      </c>
      <c r="II39">
        <v>-2.7864011992851609</v>
      </c>
      <c r="IJ39">
        <v>-2.536945948238235E-3</v>
      </c>
      <c r="IK39">
        <v>1.581473279927893E-6</v>
      </c>
      <c r="IL39">
        <v>-4.6698293441882044E-10</v>
      </c>
      <c r="IM39">
        <v>-0.16699525967031811</v>
      </c>
      <c r="IN39">
        <v>-1.5895243091576399E-2</v>
      </c>
      <c r="IO39">
        <v>1.559614309849521E-3</v>
      </c>
      <c r="IP39">
        <v>-2.4566050869858518E-6</v>
      </c>
      <c r="IQ39">
        <v>2</v>
      </c>
      <c r="IR39">
        <v>2224</v>
      </c>
      <c r="IS39">
        <v>2</v>
      </c>
      <c r="IT39">
        <v>25</v>
      </c>
      <c r="IU39">
        <v>3.6</v>
      </c>
      <c r="IV39">
        <v>3.4</v>
      </c>
      <c r="IW39">
        <v>0.94238299999999997</v>
      </c>
      <c r="IX39">
        <v>2.49634</v>
      </c>
      <c r="IY39">
        <v>1.65039</v>
      </c>
      <c r="IZ39">
        <v>2.2936999999999999</v>
      </c>
      <c r="JA39">
        <v>1.50024</v>
      </c>
      <c r="JB39">
        <v>2.2644000000000002</v>
      </c>
      <c r="JC39">
        <v>39.541600000000003</v>
      </c>
      <c r="JD39">
        <v>23.387</v>
      </c>
      <c r="JE39">
        <v>18</v>
      </c>
      <c r="JF39">
        <v>505.185</v>
      </c>
      <c r="JG39">
        <v>465.70400000000001</v>
      </c>
      <c r="JH39">
        <v>25.198799999999999</v>
      </c>
      <c r="JI39">
        <v>31.479500000000002</v>
      </c>
      <c r="JJ39">
        <v>29.9999</v>
      </c>
      <c r="JK39">
        <v>31.5596</v>
      </c>
      <c r="JL39">
        <v>31.554400000000001</v>
      </c>
      <c r="JM39">
        <v>18.893000000000001</v>
      </c>
      <c r="JN39">
        <v>26.292000000000002</v>
      </c>
      <c r="JO39">
        <v>42.944800000000001</v>
      </c>
      <c r="JP39">
        <v>25.197500000000002</v>
      </c>
      <c r="JQ39">
        <v>400</v>
      </c>
      <c r="JR39">
        <v>19.675799999999999</v>
      </c>
      <c r="JS39">
        <v>100.10299999999999</v>
      </c>
      <c r="JT39">
        <v>99.361699999999999</v>
      </c>
    </row>
    <row r="40" spans="1:280" x14ac:dyDescent="0.25">
      <c r="A40">
        <v>24</v>
      </c>
      <c r="B40">
        <v>1674578080.0999999</v>
      </c>
      <c r="C40">
        <v>3945.5</v>
      </c>
      <c r="D40" t="s">
        <v>538</v>
      </c>
      <c r="E40" t="s">
        <v>539</v>
      </c>
      <c r="F40" t="s">
        <v>412</v>
      </c>
      <c r="G40" t="s">
        <v>493</v>
      </c>
      <c r="H40" t="s">
        <v>494</v>
      </c>
      <c r="I40">
        <v>1674578080.0999999</v>
      </c>
      <c r="J40">
        <f t="shared" si="0"/>
        <v>4.1325480868031833E-3</v>
      </c>
      <c r="K40">
        <f t="shared" si="1"/>
        <v>4.1325480868031832</v>
      </c>
      <c r="L40">
        <f t="shared" si="2"/>
        <v>44.185906981999295</v>
      </c>
      <c r="M40">
        <f t="shared" si="3"/>
        <v>444.83100000000002</v>
      </c>
      <c r="N40">
        <f t="shared" si="4"/>
        <v>203.25357276074953</v>
      </c>
      <c r="O40">
        <f t="shared" si="5"/>
        <v>20.288902934786023</v>
      </c>
      <c r="P40">
        <f t="shared" si="6"/>
        <v>44.403317780826008</v>
      </c>
      <c r="Q40">
        <f t="shared" si="7"/>
        <v>0.31700880095066264</v>
      </c>
      <c r="R40">
        <f t="shared" si="8"/>
        <v>2.9236585492276501</v>
      </c>
      <c r="S40">
        <f t="shared" si="9"/>
        <v>0.29907583148041872</v>
      </c>
      <c r="T40">
        <f t="shared" si="10"/>
        <v>0.18844901128753777</v>
      </c>
      <c r="U40">
        <f t="shared" si="11"/>
        <v>344.35991176840537</v>
      </c>
      <c r="V40">
        <f t="shared" si="12"/>
        <v>28.949156882227051</v>
      </c>
      <c r="W40">
        <f t="shared" si="13"/>
        <v>28.095500000000001</v>
      </c>
      <c r="X40">
        <f t="shared" si="14"/>
        <v>3.8160181534949942</v>
      </c>
      <c r="Y40">
        <f t="shared" si="15"/>
        <v>65.388286434497175</v>
      </c>
      <c r="Z40">
        <f t="shared" si="16"/>
        <v>2.4802236270328004</v>
      </c>
      <c r="AA40">
        <f t="shared" si="17"/>
        <v>3.7930702305792465</v>
      </c>
      <c r="AB40">
        <f t="shared" si="18"/>
        <v>1.3357945264621938</v>
      </c>
      <c r="AC40">
        <f t="shared" si="19"/>
        <v>-182.2453706280204</v>
      </c>
      <c r="AD40">
        <f t="shared" si="20"/>
        <v>-16.31369894956703</v>
      </c>
      <c r="AE40">
        <f t="shared" si="21"/>
        <v>-1.2168186554660565</v>
      </c>
      <c r="AF40">
        <f t="shared" si="22"/>
        <v>144.58402353535189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52527.317207788816</v>
      </c>
      <c r="AL40" t="s">
        <v>415</v>
      </c>
      <c r="AM40">
        <v>10424.1</v>
      </c>
      <c r="AN40">
        <v>628.54280000000006</v>
      </c>
      <c r="AO40">
        <v>2663.98</v>
      </c>
      <c r="AP40">
        <f t="shared" si="26"/>
        <v>0.76405873917972356</v>
      </c>
      <c r="AQ40">
        <v>-3.1675626227050531</v>
      </c>
      <c r="AR40" t="s">
        <v>540</v>
      </c>
      <c r="AS40">
        <v>10212.299999999999</v>
      </c>
      <c r="AT40">
        <v>788.06653846153847</v>
      </c>
      <c r="AU40">
        <v>1113.5231662061219</v>
      </c>
      <c r="AV40">
        <f t="shared" si="27"/>
        <v>0.29227647670182266</v>
      </c>
      <c r="AW40">
        <v>0.5</v>
      </c>
      <c r="AX40">
        <f t="shared" si="28"/>
        <v>1513.1427058842028</v>
      </c>
      <c r="AY40">
        <f t="shared" si="29"/>
        <v>44.185906981999295</v>
      </c>
      <c r="AZ40">
        <f t="shared" si="30"/>
        <v>221.12800941144855</v>
      </c>
      <c r="BA40">
        <f t="shared" si="31"/>
        <v>3.1294781001527161E-2</v>
      </c>
      <c r="BB40">
        <f t="shared" si="32"/>
        <v>1.3923884844501531</v>
      </c>
      <c r="BC40">
        <f t="shared" si="33"/>
        <v>473.11437061570831</v>
      </c>
      <c r="BD40" t="s">
        <v>541</v>
      </c>
      <c r="BE40">
        <v>574.04999999999995</v>
      </c>
      <c r="BF40">
        <f t="shared" si="34"/>
        <v>574.04999999999995</v>
      </c>
      <c r="BG40">
        <f t="shared" si="35"/>
        <v>0.48447412912311272</v>
      </c>
      <c r="BH40">
        <f t="shared" si="36"/>
        <v>0.60328603558426652</v>
      </c>
      <c r="BI40">
        <f t="shared" si="37"/>
        <v>0.74187022234901545</v>
      </c>
      <c r="BJ40">
        <f t="shared" si="38"/>
        <v>0.67107175964781407</v>
      </c>
      <c r="BK40">
        <f t="shared" si="39"/>
        <v>0.76173159938016177</v>
      </c>
      <c r="BL40">
        <f t="shared" si="40"/>
        <v>0.43945064512347665</v>
      </c>
      <c r="BM40">
        <f t="shared" si="41"/>
        <v>0.56054935487652335</v>
      </c>
      <c r="BN40">
        <v>20211</v>
      </c>
      <c r="BO40">
        <v>290.00000000000011</v>
      </c>
      <c r="BP40">
        <v>1036.77</v>
      </c>
      <c r="BQ40">
        <v>145</v>
      </c>
      <c r="BR40">
        <v>10212.299999999999</v>
      </c>
      <c r="BS40">
        <v>1036.52</v>
      </c>
      <c r="BT40">
        <v>0.25</v>
      </c>
      <c r="BU40">
        <v>300.00000000000011</v>
      </c>
      <c r="BV40">
        <v>24.2</v>
      </c>
      <c r="BW40">
        <v>1113.5231662061219</v>
      </c>
      <c r="BX40">
        <v>1.776857264752399</v>
      </c>
      <c r="BY40">
        <v>-78.633627452596855</v>
      </c>
      <c r="BZ40">
        <v>1.6127336234446721</v>
      </c>
      <c r="CA40">
        <v>0.98835923516250901</v>
      </c>
      <c r="CB40">
        <v>-6.942638264738607E-3</v>
      </c>
      <c r="CC40">
        <v>289.99999999999989</v>
      </c>
      <c r="CD40">
        <v>1036.6400000000001</v>
      </c>
      <c r="CE40">
        <v>665</v>
      </c>
      <c r="CF40">
        <v>10168.9</v>
      </c>
      <c r="CG40">
        <v>1036.2</v>
      </c>
      <c r="CH40">
        <v>0.44</v>
      </c>
      <c r="CV40">
        <f t="shared" si="42"/>
        <v>1799.95</v>
      </c>
      <c r="CW40">
        <f t="shared" si="43"/>
        <v>1513.1427058842028</v>
      </c>
      <c r="CX40">
        <f t="shared" si="44"/>
        <v>0.84065818821867422</v>
      </c>
      <c r="CY40">
        <f t="shared" si="45"/>
        <v>0.19131637643734845</v>
      </c>
      <c r="CZ40">
        <v>6</v>
      </c>
      <c r="DA40">
        <v>0.5</v>
      </c>
      <c r="DB40" t="s">
        <v>418</v>
      </c>
      <c r="DC40">
        <v>2</v>
      </c>
      <c r="DD40">
        <v>1674578080.0999999</v>
      </c>
      <c r="DE40">
        <v>444.83100000000002</v>
      </c>
      <c r="DF40">
        <v>500.04700000000003</v>
      </c>
      <c r="DG40">
        <v>24.846800000000002</v>
      </c>
      <c r="DH40">
        <v>20.0121</v>
      </c>
      <c r="DI40">
        <v>448.67099999999999</v>
      </c>
      <c r="DJ40">
        <v>24.527999999999999</v>
      </c>
      <c r="DK40">
        <v>500.11799999999999</v>
      </c>
      <c r="DL40">
        <v>99.720600000000005</v>
      </c>
      <c r="DM40">
        <v>0.100046</v>
      </c>
      <c r="DN40">
        <v>27.992000000000001</v>
      </c>
      <c r="DO40">
        <v>28.095500000000001</v>
      </c>
      <c r="DP40">
        <v>999.9</v>
      </c>
      <c r="DQ40">
        <v>0</v>
      </c>
      <c r="DR40">
        <v>0</v>
      </c>
      <c r="DS40">
        <v>9994.3799999999992</v>
      </c>
      <c r="DT40">
        <v>0</v>
      </c>
      <c r="DU40">
        <v>454.524</v>
      </c>
      <c r="DV40">
        <v>-55.216099999999997</v>
      </c>
      <c r="DW40">
        <v>456.16500000000002</v>
      </c>
      <c r="DX40">
        <v>510.25799999999998</v>
      </c>
      <c r="DY40">
        <v>4.8347199999999999</v>
      </c>
      <c r="DZ40">
        <v>500.04700000000003</v>
      </c>
      <c r="EA40">
        <v>20.0121</v>
      </c>
      <c r="EB40">
        <v>2.4777399999999998</v>
      </c>
      <c r="EC40">
        <v>1.9956100000000001</v>
      </c>
      <c r="ED40">
        <v>20.881</v>
      </c>
      <c r="EE40">
        <v>17.409600000000001</v>
      </c>
      <c r="EF40">
        <v>1799.95</v>
      </c>
      <c r="EG40">
        <v>0.97799700000000001</v>
      </c>
      <c r="EH40">
        <v>2.2003200000000001E-2</v>
      </c>
      <c r="EI40">
        <v>0</v>
      </c>
      <c r="EJ40">
        <v>788.44</v>
      </c>
      <c r="EK40">
        <v>5.0010599999999998</v>
      </c>
      <c r="EL40">
        <v>14741.3</v>
      </c>
      <c r="EM40">
        <v>16710.599999999999</v>
      </c>
      <c r="EN40">
        <v>47.686999999999998</v>
      </c>
      <c r="EO40">
        <v>48.436999999999998</v>
      </c>
      <c r="EP40">
        <v>48.625</v>
      </c>
      <c r="EQ40">
        <v>47.125</v>
      </c>
      <c r="ER40">
        <v>48.561999999999998</v>
      </c>
      <c r="ES40">
        <v>1755.45</v>
      </c>
      <c r="ET40">
        <v>39.49</v>
      </c>
      <c r="EU40">
        <v>0</v>
      </c>
      <c r="EV40">
        <v>127.3999998569489</v>
      </c>
      <c r="EW40">
        <v>0</v>
      </c>
      <c r="EX40">
        <v>788.06653846153847</v>
      </c>
      <c r="EY40">
        <v>2.5284102664496131</v>
      </c>
      <c r="EZ40">
        <v>58.376068453998563</v>
      </c>
      <c r="FA40">
        <v>14734.85</v>
      </c>
      <c r="FB40">
        <v>15</v>
      </c>
      <c r="FC40">
        <v>1674578049.0999999</v>
      </c>
      <c r="FD40" t="s">
        <v>542</v>
      </c>
      <c r="FE40">
        <v>1674578038.5999999</v>
      </c>
      <c r="FF40">
        <v>1674578049.0999999</v>
      </c>
      <c r="FG40">
        <v>27</v>
      </c>
      <c r="FH40">
        <v>-9.6000000000000002E-2</v>
      </c>
      <c r="FI40">
        <v>-7.0000000000000001E-3</v>
      </c>
      <c r="FJ40">
        <v>-3.915</v>
      </c>
      <c r="FK40">
        <v>8.7999999999999995E-2</v>
      </c>
      <c r="FL40">
        <v>500</v>
      </c>
      <c r="FM40">
        <v>20</v>
      </c>
      <c r="FN40">
        <v>0.04</v>
      </c>
      <c r="FO40">
        <v>0.01</v>
      </c>
      <c r="FP40">
        <v>44.118236570608289</v>
      </c>
      <c r="FQ40">
        <v>-0.5755795182514144</v>
      </c>
      <c r="FR40">
        <v>0.1492884603571428</v>
      </c>
      <c r="FS40">
        <v>1</v>
      </c>
      <c r="FT40">
        <v>0.31960992505511809</v>
      </c>
      <c r="FU40">
        <v>4.2519050019044692E-2</v>
      </c>
      <c r="FV40">
        <v>1.027655515973643E-2</v>
      </c>
      <c r="FW40">
        <v>1</v>
      </c>
      <c r="FX40">
        <v>2</v>
      </c>
      <c r="FY40">
        <v>2</v>
      </c>
      <c r="FZ40" t="s">
        <v>420</v>
      </c>
      <c r="GA40">
        <v>2.9786999999999999</v>
      </c>
      <c r="GB40">
        <v>2.8063199999999999</v>
      </c>
      <c r="GC40">
        <v>0.106575</v>
      </c>
      <c r="GD40">
        <v>0.114166</v>
      </c>
      <c r="GE40">
        <v>0.12221700000000001</v>
      </c>
      <c r="GF40">
        <v>0.104896</v>
      </c>
      <c r="GG40">
        <v>26455.7</v>
      </c>
      <c r="GH40">
        <v>24352.5</v>
      </c>
      <c r="GI40">
        <v>26616.7</v>
      </c>
      <c r="GJ40">
        <v>25959.8</v>
      </c>
      <c r="GK40">
        <v>31801.1</v>
      </c>
      <c r="GL40">
        <v>32792.9</v>
      </c>
      <c r="GM40">
        <v>37727.4</v>
      </c>
      <c r="GN40">
        <v>38510.1</v>
      </c>
      <c r="GO40">
        <v>1.9823</v>
      </c>
      <c r="GP40">
        <v>1.9316</v>
      </c>
      <c r="GQ40">
        <v>8.2340099999999999E-2</v>
      </c>
      <c r="GR40">
        <v>0</v>
      </c>
      <c r="GS40">
        <v>26.7499</v>
      </c>
      <c r="GT40">
        <v>999.9</v>
      </c>
      <c r="GU40">
        <v>42.4</v>
      </c>
      <c r="GV40">
        <v>34.200000000000003</v>
      </c>
      <c r="GW40">
        <v>22.971299999999999</v>
      </c>
      <c r="GX40">
        <v>61.771500000000003</v>
      </c>
      <c r="GY40">
        <v>12.379799999999999</v>
      </c>
      <c r="GZ40">
        <v>1</v>
      </c>
      <c r="HA40">
        <v>0.32999499999999998</v>
      </c>
      <c r="HB40">
        <v>1.4292199999999999</v>
      </c>
      <c r="HC40">
        <v>20.2516</v>
      </c>
      <c r="HD40">
        <v>5.2103999999999999</v>
      </c>
      <c r="HE40">
        <v>11.936400000000001</v>
      </c>
      <c r="HF40">
        <v>4.9875499999999997</v>
      </c>
      <c r="HG40">
        <v>3.29095</v>
      </c>
      <c r="HH40">
        <v>9999</v>
      </c>
      <c r="HI40">
        <v>9999</v>
      </c>
      <c r="HJ40">
        <v>9999</v>
      </c>
      <c r="HK40">
        <v>999.9</v>
      </c>
      <c r="HL40">
        <v>1.8707499999999999</v>
      </c>
      <c r="HM40">
        <v>1.8769800000000001</v>
      </c>
      <c r="HN40">
        <v>1.87469</v>
      </c>
      <c r="HO40">
        <v>1.8730199999999999</v>
      </c>
      <c r="HP40">
        <v>1.87347</v>
      </c>
      <c r="HQ40">
        <v>1.8708800000000001</v>
      </c>
      <c r="HR40">
        <v>1.8768</v>
      </c>
      <c r="HS40">
        <v>1.87591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424</v>
      </c>
      <c r="IB40" t="s">
        <v>424</v>
      </c>
      <c r="IC40" t="s">
        <v>423</v>
      </c>
      <c r="ID40">
        <v>0</v>
      </c>
      <c r="IE40">
        <v>100</v>
      </c>
      <c r="IF40">
        <v>100</v>
      </c>
      <c r="IG40">
        <v>-3.84</v>
      </c>
      <c r="IH40">
        <v>0.31879999999999997</v>
      </c>
      <c r="II40">
        <v>-2.9782190259359358</v>
      </c>
      <c r="IJ40">
        <v>-2.536945948238235E-3</v>
      </c>
      <c r="IK40">
        <v>1.581473279927893E-6</v>
      </c>
      <c r="IL40">
        <v>-4.6698293441882044E-10</v>
      </c>
      <c r="IM40">
        <v>-0.19342497589404409</v>
      </c>
      <c r="IN40">
        <v>-1.5895243091576399E-2</v>
      </c>
      <c r="IO40">
        <v>1.559614309849521E-3</v>
      </c>
      <c r="IP40">
        <v>-2.4566050869858518E-6</v>
      </c>
      <c r="IQ40">
        <v>2</v>
      </c>
      <c r="IR40">
        <v>2224</v>
      </c>
      <c r="IS40">
        <v>2</v>
      </c>
      <c r="IT40">
        <v>25</v>
      </c>
      <c r="IU40">
        <v>0.7</v>
      </c>
      <c r="IV40">
        <v>0.5</v>
      </c>
      <c r="IW40">
        <v>1.1242700000000001</v>
      </c>
      <c r="IX40">
        <v>2.49268</v>
      </c>
      <c r="IY40">
        <v>1.65039</v>
      </c>
      <c r="IZ40">
        <v>2.2924799999999999</v>
      </c>
      <c r="JA40">
        <v>1.50024</v>
      </c>
      <c r="JB40">
        <v>2.33887</v>
      </c>
      <c r="JC40">
        <v>39.566600000000001</v>
      </c>
      <c r="JD40">
        <v>23.369499999999999</v>
      </c>
      <c r="JE40">
        <v>18</v>
      </c>
      <c r="JF40">
        <v>504.839</v>
      </c>
      <c r="JG40">
        <v>465.56900000000002</v>
      </c>
      <c r="JH40">
        <v>24.837199999999999</v>
      </c>
      <c r="JI40">
        <v>31.467600000000001</v>
      </c>
      <c r="JJ40">
        <v>29.999199999999998</v>
      </c>
      <c r="JK40">
        <v>31.523399999999999</v>
      </c>
      <c r="JL40">
        <v>31.512499999999999</v>
      </c>
      <c r="JM40">
        <v>22.5366</v>
      </c>
      <c r="JN40">
        <v>27.369399999999999</v>
      </c>
      <c r="JO40">
        <v>45.6877</v>
      </c>
      <c r="JP40">
        <v>24.952100000000002</v>
      </c>
      <c r="JQ40">
        <v>500</v>
      </c>
      <c r="JR40">
        <v>19.942</v>
      </c>
      <c r="JS40">
        <v>100.105</v>
      </c>
      <c r="JT40">
        <v>99.360600000000005</v>
      </c>
    </row>
    <row r="41" spans="1:280" x14ac:dyDescent="0.25">
      <c r="A41">
        <v>25</v>
      </c>
      <c r="B41">
        <v>1674578198.0999999</v>
      </c>
      <c r="C41">
        <v>4063.5</v>
      </c>
      <c r="D41" t="s">
        <v>543</v>
      </c>
      <c r="E41" t="s">
        <v>544</v>
      </c>
      <c r="F41" t="s">
        <v>412</v>
      </c>
      <c r="G41" t="s">
        <v>493</v>
      </c>
      <c r="H41" t="s">
        <v>494</v>
      </c>
      <c r="I41">
        <v>1674578198.0999999</v>
      </c>
      <c r="J41">
        <f t="shared" si="0"/>
        <v>3.9520348464580426E-3</v>
      </c>
      <c r="K41">
        <f t="shared" si="1"/>
        <v>3.9520348464580426</v>
      </c>
      <c r="L41">
        <f t="shared" si="2"/>
        <v>46.73359407685939</v>
      </c>
      <c r="M41">
        <f t="shared" si="3"/>
        <v>541.37900000000002</v>
      </c>
      <c r="N41">
        <f t="shared" si="4"/>
        <v>267.12820186771984</v>
      </c>
      <c r="O41">
        <f t="shared" si="5"/>
        <v>26.667018972961788</v>
      </c>
      <c r="P41">
        <f t="shared" si="6"/>
        <v>54.045076347693801</v>
      </c>
      <c r="Q41">
        <f t="shared" si="7"/>
        <v>0.29545853394039584</v>
      </c>
      <c r="R41">
        <f t="shared" si="8"/>
        <v>2.9267501319888201</v>
      </c>
      <c r="S41">
        <f t="shared" si="9"/>
        <v>0.27983185669457727</v>
      </c>
      <c r="T41">
        <f t="shared" si="10"/>
        <v>0.17623000087403362</v>
      </c>
      <c r="U41">
        <f t="shared" si="11"/>
        <v>344.38459860474944</v>
      </c>
      <c r="V41">
        <f t="shared" si="12"/>
        <v>29.020499018721203</v>
      </c>
      <c r="W41">
        <f t="shared" si="13"/>
        <v>28.180199999999999</v>
      </c>
      <c r="X41">
        <f t="shared" si="14"/>
        <v>3.8348877811905804</v>
      </c>
      <c r="Y41">
        <f t="shared" si="15"/>
        <v>65.011012591389175</v>
      </c>
      <c r="Z41">
        <f t="shared" si="16"/>
        <v>2.46953851123516</v>
      </c>
      <c r="AA41">
        <f t="shared" si="17"/>
        <v>3.7986464335770935</v>
      </c>
      <c r="AB41">
        <f t="shared" si="18"/>
        <v>1.3653492699554204</v>
      </c>
      <c r="AC41">
        <f t="shared" si="19"/>
        <v>-174.28473672879969</v>
      </c>
      <c r="AD41">
        <f t="shared" si="20"/>
        <v>-25.719273357872389</v>
      </c>
      <c r="AE41">
        <f t="shared" si="21"/>
        <v>-1.9173920781562324</v>
      </c>
      <c r="AF41">
        <f t="shared" si="22"/>
        <v>142.46319643992112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52612.017249413715</v>
      </c>
      <c r="AL41" t="s">
        <v>415</v>
      </c>
      <c r="AM41">
        <v>10424.1</v>
      </c>
      <c r="AN41">
        <v>628.54280000000006</v>
      </c>
      <c r="AO41">
        <v>2663.98</v>
      </c>
      <c r="AP41">
        <f t="shared" si="26"/>
        <v>0.76405873917972356</v>
      </c>
      <c r="AQ41">
        <v>-3.1675626227050531</v>
      </c>
      <c r="AR41" t="s">
        <v>545</v>
      </c>
      <c r="AS41">
        <v>10196.5</v>
      </c>
      <c r="AT41">
        <v>790.48896153846158</v>
      </c>
      <c r="AU41">
        <v>1136.3991796886121</v>
      </c>
      <c r="AV41">
        <f t="shared" si="27"/>
        <v>0.3043914711773501</v>
      </c>
      <c r="AW41">
        <v>0.5</v>
      </c>
      <c r="AX41">
        <f t="shared" si="28"/>
        <v>1513.2518993023746</v>
      </c>
      <c r="AY41">
        <f t="shared" si="29"/>
        <v>46.73359407685939</v>
      </c>
      <c r="AZ41">
        <f t="shared" si="30"/>
        <v>230.31048594528451</v>
      </c>
      <c r="BA41">
        <f t="shared" si="31"/>
        <v>3.2976107099267092E-2</v>
      </c>
      <c r="BB41">
        <f t="shared" si="32"/>
        <v>1.3442290769076097</v>
      </c>
      <c r="BC41">
        <f t="shared" si="33"/>
        <v>477.19580607641478</v>
      </c>
      <c r="BD41" t="s">
        <v>546</v>
      </c>
      <c r="BE41">
        <v>574.89</v>
      </c>
      <c r="BF41">
        <f t="shared" si="34"/>
        <v>574.89</v>
      </c>
      <c r="BG41">
        <f t="shared" si="35"/>
        <v>0.49411262320910232</v>
      </c>
      <c r="BH41">
        <f t="shared" si="36"/>
        <v>0.61603662177344432</v>
      </c>
      <c r="BI41">
        <f t="shared" si="37"/>
        <v>0.73121829136676153</v>
      </c>
      <c r="BJ41">
        <f t="shared" si="38"/>
        <v>0.6811181900722455</v>
      </c>
      <c r="BK41">
        <f t="shared" si="39"/>
        <v>0.75049272967566283</v>
      </c>
      <c r="BL41">
        <f t="shared" si="40"/>
        <v>0.44801801255020296</v>
      </c>
      <c r="BM41">
        <f t="shared" si="41"/>
        <v>0.5519819874497971</v>
      </c>
      <c r="BN41">
        <v>20213</v>
      </c>
      <c r="BO41">
        <v>290.00000000000011</v>
      </c>
      <c r="BP41">
        <v>1056.92</v>
      </c>
      <c r="BQ41">
        <v>225</v>
      </c>
      <c r="BR41">
        <v>10196.5</v>
      </c>
      <c r="BS41">
        <v>1056.04</v>
      </c>
      <c r="BT41">
        <v>0.88</v>
      </c>
      <c r="BU41">
        <v>300.00000000000011</v>
      </c>
      <c r="BV41">
        <v>24.2</v>
      </c>
      <c r="BW41">
        <v>1136.3991796886121</v>
      </c>
      <c r="BX41">
        <v>1.851034666469964</v>
      </c>
      <c r="BY41">
        <v>-81.938855842105468</v>
      </c>
      <c r="BZ41">
        <v>1.6799413435401509</v>
      </c>
      <c r="CA41">
        <v>0.98836718569998239</v>
      </c>
      <c r="CB41">
        <v>-6.9422573971079041E-3</v>
      </c>
      <c r="CC41">
        <v>289.99999999999989</v>
      </c>
      <c r="CD41">
        <v>1056.72</v>
      </c>
      <c r="CE41">
        <v>645</v>
      </c>
      <c r="CF41">
        <v>10169.799999999999</v>
      </c>
      <c r="CG41">
        <v>1055.83</v>
      </c>
      <c r="CH41">
        <v>0.89</v>
      </c>
      <c r="CV41">
        <f t="shared" si="42"/>
        <v>1800.08</v>
      </c>
      <c r="CW41">
        <f t="shared" si="43"/>
        <v>1513.2518993023746</v>
      </c>
      <c r="CX41">
        <f t="shared" si="44"/>
        <v>0.8406581370285624</v>
      </c>
      <c r="CY41">
        <f t="shared" si="45"/>
        <v>0.19131627405712495</v>
      </c>
      <c r="CZ41">
        <v>6</v>
      </c>
      <c r="DA41">
        <v>0.5</v>
      </c>
      <c r="DB41" t="s">
        <v>418</v>
      </c>
      <c r="DC41">
        <v>2</v>
      </c>
      <c r="DD41">
        <v>1674578198.0999999</v>
      </c>
      <c r="DE41">
        <v>541.37900000000002</v>
      </c>
      <c r="DF41">
        <v>600.029</v>
      </c>
      <c r="DG41">
        <v>24.7378</v>
      </c>
      <c r="DH41">
        <v>20.112500000000001</v>
      </c>
      <c r="DI41">
        <v>545.41499999999996</v>
      </c>
      <c r="DJ41">
        <v>24.428999999999998</v>
      </c>
      <c r="DK41">
        <v>499.98099999999999</v>
      </c>
      <c r="DL41">
        <v>99.728800000000007</v>
      </c>
      <c r="DM41">
        <v>9.9742200000000003E-2</v>
      </c>
      <c r="DN41">
        <v>28.017199999999999</v>
      </c>
      <c r="DO41">
        <v>28.180199999999999</v>
      </c>
      <c r="DP41">
        <v>999.9</v>
      </c>
      <c r="DQ41">
        <v>0</v>
      </c>
      <c r="DR41">
        <v>0</v>
      </c>
      <c r="DS41">
        <v>10011.200000000001</v>
      </c>
      <c r="DT41">
        <v>0</v>
      </c>
      <c r="DU41">
        <v>454.87200000000001</v>
      </c>
      <c r="DV41">
        <v>-58.650100000000002</v>
      </c>
      <c r="DW41">
        <v>555.11099999999999</v>
      </c>
      <c r="DX41">
        <v>612.34500000000003</v>
      </c>
      <c r="DY41">
        <v>4.6252899999999997</v>
      </c>
      <c r="DZ41">
        <v>600.029</v>
      </c>
      <c r="EA41">
        <v>20.112500000000001</v>
      </c>
      <c r="EB41">
        <v>2.4670700000000001</v>
      </c>
      <c r="EC41">
        <v>2.0057999999999998</v>
      </c>
      <c r="ED41">
        <v>20.8109</v>
      </c>
      <c r="EE41">
        <v>17.490200000000002</v>
      </c>
      <c r="EF41">
        <v>1800.08</v>
      </c>
      <c r="EG41">
        <v>0.97799999999999998</v>
      </c>
      <c r="EH41">
        <v>2.1999700000000001E-2</v>
      </c>
      <c r="EI41">
        <v>0</v>
      </c>
      <c r="EJ41">
        <v>790.84699999999998</v>
      </c>
      <c r="EK41">
        <v>5.0010599999999998</v>
      </c>
      <c r="EL41">
        <v>14790.2</v>
      </c>
      <c r="EM41">
        <v>16711.7</v>
      </c>
      <c r="EN41">
        <v>47.75</v>
      </c>
      <c r="EO41">
        <v>48.561999999999998</v>
      </c>
      <c r="EP41">
        <v>48.686999999999998</v>
      </c>
      <c r="EQ41">
        <v>47.311999999999998</v>
      </c>
      <c r="ER41">
        <v>48.686999999999998</v>
      </c>
      <c r="ES41">
        <v>1755.59</v>
      </c>
      <c r="ET41">
        <v>39.49</v>
      </c>
      <c r="EU41">
        <v>0</v>
      </c>
      <c r="EV41">
        <v>116</v>
      </c>
      <c r="EW41">
        <v>0</v>
      </c>
      <c r="EX41">
        <v>790.48896153846158</v>
      </c>
      <c r="EY41">
        <v>2.1733675048885401</v>
      </c>
      <c r="EZ41">
        <v>37.470085411815333</v>
      </c>
      <c r="FA41">
        <v>14785.14615384615</v>
      </c>
      <c r="FB41">
        <v>15</v>
      </c>
      <c r="FC41">
        <v>1674578165.0999999</v>
      </c>
      <c r="FD41" t="s">
        <v>547</v>
      </c>
      <c r="FE41">
        <v>1674578165.0999999</v>
      </c>
      <c r="FF41">
        <v>1674578157.0999999</v>
      </c>
      <c r="FG41">
        <v>28</v>
      </c>
      <c r="FH41">
        <v>-6.9000000000000006E-2</v>
      </c>
      <c r="FI41">
        <v>-4.0000000000000001E-3</v>
      </c>
      <c r="FJ41">
        <v>-4.1059999999999999</v>
      </c>
      <c r="FK41">
        <v>8.5000000000000006E-2</v>
      </c>
      <c r="FL41">
        <v>600</v>
      </c>
      <c r="FM41">
        <v>20</v>
      </c>
      <c r="FN41">
        <v>0.05</v>
      </c>
      <c r="FO41">
        <v>0.05</v>
      </c>
      <c r="FP41">
        <v>46.730524238718409</v>
      </c>
      <c r="FQ41">
        <v>-0.28037112341240278</v>
      </c>
      <c r="FR41">
        <v>7.9999707549689048E-2</v>
      </c>
      <c r="FS41">
        <v>1</v>
      </c>
      <c r="FT41">
        <v>0.30400605690277072</v>
      </c>
      <c r="FU41">
        <v>-2.131029752361813E-2</v>
      </c>
      <c r="FV41">
        <v>4.3311843732964034E-3</v>
      </c>
      <c r="FW41">
        <v>1</v>
      </c>
      <c r="FX41">
        <v>2</v>
      </c>
      <c r="FY41">
        <v>2</v>
      </c>
      <c r="FZ41" t="s">
        <v>420</v>
      </c>
      <c r="GA41">
        <v>2.9782799999999998</v>
      </c>
      <c r="GB41">
        <v>2.8061600000000002</v>
      </c>
      <c r="GC41">
        <v>0.12302299999999999</v>
      </c>
      <c r="GD41">
        <v>0.130159</v>
      </c>
      <c r="GE41">
        <v>0.12187199999999999</v>
      </c>
      <c r="GF41">
        <v>0.105263</v>
      </c>
      <c r="GG41">
        <v>25963</v>
      </c>
      <c r="GH41">
        <v>23905.8</v>
      </c>
      <c r="GI41">
        <v>26611.599999999999</v>
      </c>
      <c r="GJ41">
        <v>25953.1</v>
      </c>
      <c r="GK41">
        <v>31807.4</v>
      </c>
      <c r="GL41">
        <v>32771.4</v>
      </c>
      <c r="GM41">
        <v>37719.4</v>
      </c>
      <c r="GN41">
        <v>38500.5</v>
      </c>
      <c r="GO41">
        <v>1.9811799999999999</v>
      </c>
      <c r="GP41">
        <v>1.93025</v>
      </c>
      <c r="GQ41">
        <v>7.4274800000000002E-2</v>
      </c>
      <c r="GR41">
        <v>0</v>
      </c>
      <c r="GS41">
        <v>26.966699999999999</v>
      </c>
      <c r="GT41">
        <v>999.9</v>
      </c>
      <c r="GU41">
        <v>43</v>
      </c>
      <c r="GV41">
        <v>34.299999999999997</v>
      </c>
      <c r="GW41">
        <v>23.427</v>
      </c>
      <c r="GX41">
        <v>61.641500000000001</v>
      </c>
      <c r="GY41">
        <v>13.145</v>
      </c>
      <c r="GZ41">
        <v>1</v>
      </c>
      <c r="HA41">
        <v>0.33991100000000002</v>
      </c>
      <c r="HB41">
        <v>2.5680700000000001</v>
      </c>
      <c r="HC41">
        <v>20.236799999999999</v>
      </c>
      <c r="HD41">
        <v>5.2066600000000003</v>
      </c>
      <c r="HE41">
        <v>11.9376</v>
      </c>
      <c r="HF41">
        <v>4.9866999999999999</v>
      </c>
      <c r="HG41">
        <v>3.2900999999999998</v>
      </c>
      <c r="HH41">
        <v>9999</v>
      </c>
      <c r="HI41">
        <v>9999</v>
      </c>
      <c r="HJ41">
        <v>9999</v>
      </c>
      <c r="HK41">
        <v>999.9</v>
      </c>
      <c r="HL41">
        <v>1.87073</v>
      </c>
      <c r="HM41">
        <v>1.8769800000000001</v>
      </c>
      <c r="HN41">
        <v>1.87469</v>
      </c>
      <c r="HO41">
        <v>1.8730100000000001</v>
      </c>
      <c r="HP41">
        <v>1.8734599999999999</v>
      </c>
      <c r="HQ41">
        <v>1.87086</v>
      </c>
      <c r="HR41">
        <v>1.87676</v>
      </c>
      <c r="HS41">
        <v>1.87588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424</v>
      </c>
      <c r="IB41" t="s">
        <v>424</v>
      </c>
      <c r="IC41" t="s">
        <v>423</v>
      </c>
      <c r="ID41">
        <v>0</v>
      </c>
      <c r="IE41">
        <v>100</v>
      </c>
      <c r="IF41">
        <v>100</v>
      </c>
      <c r="IG41">
        <v>-4.0359999999999996</v>
      </c>
      <c r="IH41">
        <v>0.30880000000000002</v>
      </c>
      <c r="II41">
        <v>-3.0471830392875749</v>
      </c>
      <c r="IJ41">
        <v>-2.536945948238235E-3</v>
      </c>
      <c r="IK41">
        <v>1.581473279927893E-6</v>
      </c>
      <c r="IL41">
        <v>-4.6698293441882044E-10</v>
      </c>
      <c r="IM41">
        <v>-0.19779070811148339</v>
      </c>
      <c r="IN41">
        <v>-1.5895243091576399E-2</v>
      </c>
      <c r="IO41">
        <v>1.559614309849521E-3</v>
      </c>
      <c r="IP41">
        <v>-2.4566050869858518E-6</v>
      </c>
      <c r="IQ41">
        <v>2</v>
      </c>
      <c r="IR41">
        <v>2224</v>
      </c>
      <c r="IS41">
        <v>2</v>
      </c>
      <c r="IT41">
        <v>25</v>
      </c>
      <c r="IU41">
        <v>0.6</v>
      </c>
      <c r="IV41">
        <v>0.7</v>
      </c>
      <c r="IW41">
        <v>1.3012699999999999</v>
      </c>
      <c r="IX41">
        <v>2.48169</v>
      </c>
      <c r="IY41">
        <v>1.65039</v>
      </c>
      <c r="IZ41">
        <v>2.2924799999999999</v>
      </c>
      <c r="JA41">
        <v>1.50024</v>
      </c>
      <c r="JB41">
        <v>2.33643</v>
      </c>
      <c r="JC41">
        <v>39.641800000000003</v>
      </c>
      <c r="JD41">
        <v>23.4483</v>
      </c>
      <c r="JE41">
        <v>18</v>
      </c>
      <c r="JF41">
        <v>504.42599999999999</v>
      </c>
      <c r="JG41">
        <v>464.92399999999998</v>
      </c>
      <c r="JH41">
        <v>24.617599999999999</v>
      </c>
      <c r="JI41">
        <v>31.551300000000001</v>
      </c>
      <c r="JJ41">
        <v>30.000499999999999</v>
      </c>
      <c r="JK41">
        <v>31.5624</v>
      </c>
      <c r="JL41">
        <v>31.543099999999999</v>
      </c>
      <c r="JM41">
        <v>26.052800000000001</v>
      </c>
      <c r="JN41">
        <v>28.739699999999999</v>
      </c>
      <c r="JO41">
        <v>47.960700000000003</v>
      </c>
      <c r="JP41">
        <v>24.605799999999999</v>
      </c>
      <c r="JQ41">
        <v>600</v>
      </c>
      <c r="JR41">
        <v>20.148299999999999</v>
      </c>
      <c r="JS41">
        <v>100.08499999999999</v>
      </c>
      <c r="JT41">
        <v>99.335499999999996</v>
      </c>
    </row>
    <row r="42" spans="1:280" x14ac:dyDescent="0.25">
      <c r="A42">
        <v>26</v>
      </c>
      <c r="B42">
        <v>1674578306.0999999</v>
      </c>
      <c r="C42">
        <v>4171.5</v>
      </c>
      <c r="D42" t="s">
        <v>548</v>
      </c>
      <c r="E42" t="s">
        <v>549</v>
      </c>
      <c r="F42" t="s">
        <v>412</v>
      </c>
      <c r="G42" t="s">
        <v>493</v>
      </c>
      <c r="H42" t="s">
        <v>494</v>
      </c>
      <c r="I42">
        <v>1674578306.0999999</v>
      </c>
      <c r="J42">
        <f t="shared" si="0"/>
        <v>3.4031462424769935E-3</v>
      </c>
      <c r="K42">
        <f t="shared" si="1"/>
        <v>3.4031462424769936</v>
      </c>
      <c r="L42">
        <f t="shared" si="2"/>
        <v>48.536025733030314</v>
      </c>
      <c r="M42">
        <f t="shared" si="3"/>
        <v>738.76599999999996</v>
      </c>
      <c r="N42">
        <f t="shared" si="4"/>
        <v>401.04308624656181</v>
      </c>
      <c r="O42">
        <f t="shared" si="5"/>
        <v>40.040386848391044</v>
      </c>
      <c r="P42">
        <f t="shared" si="6"/>
        <v>73.758848973779195</v>
      </c>
      <c r="Q42">
        <f t="shared" si="7"/>
        <v>0.2487840312665166</v>
      </c>
      <c r="R42">
        <f t="shared" si="8"/>
        <v>2.9232453684260085</v>
      </c>
      <c r="S42">
        <f t="shared" si="9"/>
        <v>0.23759146100642792</v>
      </c>
      <c r="T42">
        <f t="shared" si="10"/>
        <v>0.14945830496529944</v>
      </c>
      <c r="U42">
        <f t="shared" si="11"/>
        <v>344.36369860466425</v>
      </c>
      <c r="V42">
        <f t="shared" si="12"/>
        <v>29.160131748446751</v>
      </c>
      <c r="W42">
        <f t="shared" si="13"/>
        <v>28.2409</v>
      </c>
      <c r="X42">
        <f t="shared" si="14"/>
        <v>3.8484606634951009</v>
      </c>
      <c r="Y42">
        <f t="shared" si="15"/>
        <v>64.870859862336445</v>
      </c>
      <c r="Z42">
        <f t="shared" si="16"/>
        <v>2.4635970335433597</v>
      </c>
      <c r="AA42">
        <f t="shared" si="17"/>
        <v>3.7976944328646183</v>
      </c>
      <c r="AB42">
        <f t="shared" si="18"/>
        <v>1.3848636299517412</v>
      </c>
      <c r="AC42">
        <f t="shared" si="19"/>
        <v>-150.0787492932354</v>
      </c>
      <c r="AD42">
        <f t="shared" si="20"/>
        <v>-35.932344980989164</v>
      </c>
      <c r="AE42">
        <f t="shared" si="21"/>
        <v>-2.6827501027751435</v>
      </c>
      <c r="AF42">
        <f t="shared" si="22"/>
        <v>155.66985422766456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52512.223142778348</v>
      </c>
      <c r="AL42" t="s">
        <v>415</v>
      </c>
      <c r="AM42">
        <v>10424.1</v>
      </c>
      <c r="AN42">
        <v>628.54280000000006</v>
      </c>
      <c r="AO42">
        <v>2663.98</v>
      </c>
      <c r="AP42">
        <f t="shared" si="26"/>
        <v>0.76405873917972356</v>
      </c>
      <c r="AQ42">
        <v>-3.1675626227050531</v>
      </c>
      <c r="AR42" t="s">
        <v>550</v>
      </c>
      <c r="AS42">
        <v>10197.5</v>
      </c>
      <c r="AT42">
        <v>792.93050000000017</v>
      </c>
      <c r="AU42">
        <v>1161.0250557498409</v>
      </c>
      <c r="AV42">
        <f t="shared" si="27"/>
        <v>0.31704273213303669</v>
      </c>
      <c r="AW42">
        <v>0.5</v>
      </c>
      <c r="AX42">
        <f t="shared" si="28"/>
        <v>1513.1594993023321</v>
      </c>
      <c r="AY42">
        <f t="shared" si="29"/>
        <v>48.536025733030314</v>
      </c>
      <c r="AZ42">
        <f t="shared" si="30"/>
        <v>239.8681109059346</v>
      </c>
      <c r="BA42">
        <f t="shared" si="31"/>
        <v>3.4169291723426504E-2</v>
      </c>
      <c r="BB42">
        <f t="shared" si="32"/>
        <v>1.2945068987158808</v>
      </c>
      <c r="BC42">
        <f t="shared" si="33"/>
        <v>481.48423160333846</v>
      </c>
      <c r="BD42" t="s">
        <v>551</v>
      </c>
      <c r="BE42">
        <v>578.05999999999995</v>
      </c>
      <c r="BF42">
        <f t="shared" si="34"/>
        <v>578.05999999999995</v>
      </c>
      <c r="BG42">
        <f t="shared" si="35"/>
        <v>0.50211238152249571</v>
      </c>
      <c r="BH42">
        <f t="shared" si="36"/>
        <v>0.63141787336871802</v>
      </c>
      <c r="BI42">
        <f t="shared" si="37"/>
        <v>0.72052377092609454</v>
      </c>
      <c r="BJ42">
        <f t="shared" si="38"/>
        <v>0.69128041690608155</v>
      </c>
      <c r="BK42">
        <f t="shared" si="39"/>
        <v>0.73839416133799618</v>
      </c>
      <c r="BL42">
        <f t="shared" si="40"/>
        <v>0.46031451164953424</v>
      </c>
      <c r="BM42">
        <f t="shared" si="41"/>
        <v>0.53968548835046581</v>
      </c>
      <c r="BN42">
        <v>20215</v>
      </c>
      <c r="BO42">
        <v>290.00000000000011</v>
      </c>
      <c r="BP42">
        <v>1072.96</v>
      </c>
      <c r="BQ42">
        <v>215</v>
      </c>
      <c r="BR42">
        <v>10197.5</v>
      </c>
      <c r="BS42">
        <v>1072.1300000000001</v>
      </c>
      <c r="BT42">
        <v>0.83</v>
      </c>
      <c r="BU42">
        <v>300.00000000000011</v>
      </c>
      <c r="BV42">
        <v>24.2</v>
      </c>
      <c r="BW42">
        <v>1161.0250557498409</v>
      </c>
      <c r="BX42">
        <v>2.4511985850160651</v>
      </c>
      <c r="BY42">
        <v>-90.649693826591403</v>
      </c>
      <c r="BZ42">
        <v>2.2244659394733119</v>
      </c>
      <c r="CA42">
        <v>0.98341882187075369</v>
      </c>
      <c r="CB42">
        <v>-6.9420642936596291E-3</v>
      </c>
      <c r="CC42">
        <v>289.99999999999989</v>
      </c>
      <c r="CD42">
        <v>1072.57</v>
      </c>
      <c r="CE42">
        <v>685</v>
      </c>
      <c r="CF42">
        <v>10165.9</v>
      </c>
      <c r="CG42">
        <v>1071.8499999999999</v>
      </c>
      <c r="CH42">
        <v>0.72</v>
      </c>
      <c r="CV42">
        <f t="shared" si="42"/>
        <v>1799.97</v>
      </c>
      <c r="CW42">
        <f t="shared" si="43"/>
        <v>1513.1594993023321</v>
      </c>
      <c r="CX42">
        <f t="shared" si="44"/>
        <v>0.84065817724869418</v>
      </c>
      <c r="CY42">
        <f t="shared" si="45"/>
        <v>0.19131635449738843</v>
      </c>
      <c r="CZ42">
        <v>6</v>
      </c>
      <c r="DA42">
        <v>0.5</v>
      </c>
      <c r="DB42" t="s">
        <v>418</v>
      </c>
      <c r="DC42">
        <v>2</v>
      </c>
      <c r="DD42">
        <v>1674578306.0999999</v>
      </c>
      <c r="DE42">
        <v>738.76599999999996</v>
      </c>
      <c r="DF42">
        <v>800.02300000000002</v>
      </c>
      <c r="DG42">
        <v>24.6753</v>
      </c>
      <c r="DH42">
        <v>20.692499999999999</v>
      </c>
      <c r="DI42">
        <v>743.23699999999997</v>
      </c>
      <c r="DJ42">
        <v>24.378799999999998</v>
      </c>
      <c r="DK42">
        <v>500.02600000000001</v>
      </c>
      <c r="DL42">
        <v>99.740799999999993</v>
      </c>
      <c r="DM42">
        <v>9.9811200000000003E-2</v>
      </c>
      <c r="DN42">
        <v>28.012899999999998</v>
      </c>
      <c r="DO42">
        <v>28.2409</v>
      </c>
      <c r="DP42">
        <v>999.9</v>
      </c>
      <c r="DQ42">
        <v>0</v>
      </c>
      <c r="DR42">
        <v>0</v>
      </c>
      <c r="DS42">
        <v>9990</v>
      </c>
      <c r="DT42">
        <v>0</v>
      </c>
      <c r="DU42">
        <v>452.55900000000003</v>
      </c>
      <c r="DV42">
        <v>-61.257399999999997</v>
      </c>
      <c r="DW42">
        <v>757.45600000000002</v>
      </c>
      <c r="DX42">
        <v>816.92700000000002</v>
      </c>
      <c r="DY42">
        <v>3.9828000000000001</v>
      </c>
      <c r="DZ42">
        <v>800.02300000000002</v>
      </c>
      <c r="EA42">
        <v>20.692499999999999</v>
      </c>
      <c r="EB42">
        <v>2.4611299999999998</v>
      </c>
      <c r="EC42">
        <v>2.0638899999999998</v>
      </c>
      <c r="ED42">
        <v>20.771699999999999</v>
      </c>
      <c r="EE42">
        <v>17.943200000000001</v>
      </c>
      <c r="EF42">
        <v>1799.97</v>
      </c>
      <c r="EG42">
        <v>0.97799999999999998</v>
      </c>
      <c r="EH42">
        <v>2.1999700000000001E-2</v>
      </c>
      <c r="EI42">
        <v>0</v>
      </c>
      <c r="EJ42">
        <v>792.86500000000001</v>
      </c>
      <c r="EK42">
        <v>5.0010599999999998</v>
      </c>
      <c r="EL42">
        <v>14831.7</v>
      </c>
      <c r="EM42">
        <v>16710.7</v>
      </c>
      <c r="EN42">
        <v>47.875</v>
      </c>
      <c r="EO42">
        <v>48.686999999999998</v>
      </c>
      <c r="EP42">
        <v>48.811999999999998</v>
      </c>
      <c r="EQ42">
        <v>47.436999999999998</v>
      </c>
      <c r="ER42">
        <v>48.75</v>
      </c>
      <c r="ES42">
        <v>1755.48</v>
      </c>
      <c r="ET42">
        <v>39.49</v>
      </c>
      <c r="EU42">
        <v>0</v>
      </c>
      <c r="EV42">
        <v>105.7999999523163</v>
      </c>
      <c r="EW42">
        <v>0</v>
      </c>
      <c r="EX42">
        <v>792.93050000000017</v>
      </c>
      <c r="EY42">
        <v>-0.42403417716930708</v>
      </c>
      <c r="EZ42">
        <v>9.8222222559701162</v>
      </c>
      <c r="FA42">
        <v>14831.24230769231</v>
      </c>
      <c r="FB42">
        <v>15</v>
      </c>
      <c r="FC42">
        <v>1674578274.0999999</v>
      </c>
      <c r="FD42" t="s">
        <v>552</v>
      </c>
      <c r="FE42">
        <v>1674578274.0999999</v>
      </c>
      <c r="FF42">
        <v>1674578272.5999999</v>
      </c>
      <c r="FG42">
        <v>29</v>
      </c>
      <c r="FH42">
        <v>-0.221</v>
      </c>
      <c r="FI42">
        <v>-8.9999999999999993E-3</v>
      </c>
      <c r="FJ42">
        <v>-4.5289999999999999</v>
      </c>
      <c r="FK42">
        <v>9.4E-2</v>
      </c>
      <c r="FL42">
        <v>800</v>
      </c>
      <c r="FM42">
        <v>20</v>
      </c>
      <c r="FN42">
        <v>0.03</v>
      </c>
      <c r="FO42">
        <v>0.02</v>
      </c>
      <c r="FP42">
        <v>48.497613382405348</v>
      </c>
      <c r="FQ42">
        <v>-0.46631744694409688</v>
      </c>
      <c r="FR42">
        <v>0.14702580493241249</v>
      </c>
      <c r="FS42">
        <v>1</v>
      </c>
      <c r="FT42">
        <v>0.25718994273601242</v>
      </c>
      <c r="FU42">
        <v>-4.1315116743898317E-2</v>
      </c>
      <c r="FV42">
        <v>4.9927866901899719E-3</v>
      </c>
      <c r="FW42">
        <v>1</v>
      </c>
      <c r="FX42">
        <v>2</v>
      </c>
      <c r="FY42">
        <v>2</v>
      </c>
      <c r="FZ42" t="s">
        <v>420</v>
      </c>
      <c r="GA42">
        <v>2.9782799999999998</v>
      </c>
      <c r="GB42">
        <v>2.8060499999999999</v>
      </c>
      <c r="GC42">
        <v>0.15265599999999999</v>
      </c>
      <c r="GD42">
        <v>0.15857399999999999</v>
      </c>
      <c r="GE42">
        <v>0.12168900000000001</v>
      </c>
      <c r="GF42">
        <v>0.10735599999999999</v>
      </c>
      <c r="GG42">
        <v>25080</v>
      </c>
      <c r="GH42">
        <v>23116.7</v>
      </c>
      <c r="GI42">
        <v>26607.1</v>
      </c>
      <c r="GJ42">
        <v>25945.7</v>
      </c>
      <c r="GK42">
        <v>31808.9</v>
      </c>
      <c r="GL42">
        <v>32686.1</v>
      </c>
      <c r="GM42">
        <v>37712.300000000003</v>
      </c>
      <c r="GN42">
        <v>38490.199999999997</v>
      </c>
      <c r="GO42">
        <v>1.9794499999999999</v>
      </c>
      <c r="GP42">
        <v>1.92927</v>
      </c>
      <c r="GQ42">
        <v>7.1942800000000001E-2</v>
      </c>
      <c r="GR42">
        <v>0</v>
      </c>
      <c r="GS42">
        <v>27.0656</v>
      </c>
      <c r="GT42">
        <v>999.9</v>
      </c>
      <c r="GU42">
        <v>43.6</v>
      </c>
      <c r="GV42">
        <v>34.299999999999997</v>
      </c>
      <c r="GW42">
        <v>23.749600000000001</v>
      </c>
      <c r="GX42">
        <v>61.821599999999997</v>
      </c>
      <c r="GY42">
        <v>12.636200000000001</v>
      </c>
      <c r="GZ42">
        <v>1</v>
      </c>
      <c r="HA42">
        <v>0.350246</v>
      </c>
      <c r="HB42">
        <v>2.5346899999999999</v>
      </c>
      <c r="HC42">
        <v>20.239100000000001</v>
      </c>
      <c r="HD42">
        <v>5.2072599999999998</v>
      </c>
      <c r="HE42">
        <v>11.9366</v>
      </c>
      <c r="HF42">
        <v>4.9869000000000003</v>
      </c>
      <c r="HG42">
        <v>3.2902999999999998</v>
      </c>
      <c r="HH42">
        <v>9999</v>
      </c>
      <c r="HI42">
        <v>9999</v>
      </c>
      <c r="HJ42">
        <v>9999</v>
      </c>
      <c r="HK42">
        <v>999.9</v>
      </c>
      <c r="HL42">
        <v>1.87073</v>
      </c>
      <c r="HM42">
        <v>1.87696</v>
      </c>
      <c r="HN42">
        <v>1.87469</v>
      </c>
      <c r="HO42">
        <v>1.87296</v>
      </c>
      <c r="HP42">
        <v>1.8734200000000001</v>
      </c>
      <c r="HQ42">
        <v>1.87083</v>
      </c>
      <c r="HR42">
        <v>1.8766799999999999</v>
      </c>
      <c r="HS42">
        <v>1.8758600000000001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424</v>
      </c>
      <c r="IB42" t="s">
        <v>424</v>
      </c>
      <c r="IC42" t="s">
        <v>423</v>
      </c>
      <c r="ID42">
        <v>0</v>
      </c>
      <c r="IE42">
        <v>100</v>
      </c>
      <c r="IF42">
        <v>100</v>
      </c>
      <c r="IG42">
        <v>-4.4710000000000001</v>
      </c>
      <c r="IH42">
        <v>0.29649999999999999</v>
      </c>
      <c r="II42">
        <v>-3.2682204463536371</v>
      </c>
      <c r="IJ42">
        <v>-2.536945948238235E-3</v>
      </c>
      <c r="IK42">
        <v>1.581473279927893E-6</v>
      </c>
      <c r="IL42">
        <v>-4.6698293441882044E-10</v>
      </c>
      <c r="IM42">
        <v>-0.2072759805250412</v>
      </c>
      <c r="IN42">
        <v>-1.5895243091576399E-2</v>
      </c>
      <c r="IO42">
        <v>1.559614309849521E-3</v>
      </c>
      <c r="IP42">
        <v>-2.4566050869858518E-6</v>
      </c>
      <c r="IQ42">
        <v>2</v>
      </c>
      <c r="IR42">
        <v>2224</v>
      </c>
      <c r="IS42">
        <v>2</v>
      </c>
      <c r="IT42">
        <v>25</v>
      </c>
      <c r="IU42">
        <v>0.5</v>
      </c>
      <c r="IV42">
        <v>0.6</v>
      </c>
      <c r="IW42">
        <v>1.64185</v>
      </c>
      <c r="IX42">
        <v>2.48047</v>
      </c>
      <c r="IY42">
        <v>1.65039</v>
      </c>
      <c r="IZ42">
        <v>2.2936999999999999</v>
      </c>
      <c r="JA42">
        <v>1.50024</v>
      </c>
      <c r="JB42">
        <v>2.2729499999999998</v>
      </c>
      <c r="JC42">
        <v>39.692</v>
      </c>
      <c r="JD42">
        <v>23.4221</v>
      </c>
      <c r="JE42">
        <v>18</v>
      </c>
      <c r="JF42">
        <v>503.97899999999998</v>
      </c>
      <c r="JG42">
        <v>464.88200000000001</v>
      </c>
      <c r="JH42">
        <v>24.669799999999999</v>
      </c>
      <c r="JI42">
        <v>31.676100000000002</v>
      </c>
      <c r="JJ42">
        <v>30.000599999999999</v>
      </c>
      <c r="JK42">
        <v>31.6449</v>
      </c>
      <c r="JL42">
        <v>31.6188</v>
      </c>
      <c r="JM42">
        <v>32.876899999999999</v>
      </c>
      <c r="JN42">
        <v>28.762799999999999</v>
      </c>
      <c r="JO42">
        <v>50.636000000000003</v>
      </c>
      <c r="JP42">
        <v>24.6554</v>
      </c>
      <c r="JQ42">
        <v>800</v>
      </c>
      <c r="JR42">
        <v>20.630500000000001</v>
      </c>
      <c r="JS42">
        <v>100.066</v>
      </c>
      <c r="JT42">
        <v>99.308099999999996</v>
      </c>
    </row>
    <row r="43" spans="1:280" x14ac:dyDescent="0.25">
      <c r="A43">
        <v>27</v>
      </c>
      <c r="B43">
        <v>1674578420.0999999</v>
      </c>
      <c r="C43">
        <v>4285.5</v>
      </c>
      <c r="D43" t="s">
        <v>553</v>
      </c>
      <c r="E43" t="s">
        <v>554</v>
      </c>
      <c r="F43" t="s">
        <v>412</v>
      </c>
      <c r="G43" t="s">
        <v>493</v>
      </c>
      <c r="H43" t="s">
        <v>494</v>
      </c>
      <c r="I43">
        <v>1674578420.0999999</v>
      </c>
      <c r="J43">
        <f t="shared" si="0"/>
        <v>2.7599489579203497E-3</v>
      </c>
      <c r="K43">
        <f t="shared" si="1"/>
        <v>2.7599489579203498</v>
      </c>
      <c r="L43">
        <f t="shared" si="2"/>
        <v>48.288083793542896</v>
      </c>
      <c r="M43">
        <f t="shared" si="3"/>
        <v>1138.1500000000001</v>
      </c>
      <c r="N43">
        <f t="shared" si="4"/>
        <v>713.25605350526439</v>
      </c>
      <c r="O43">
        <f t="shared" si="5"/>
        <v>71.221790361333916</v>
      </c>
      <c r="P43">
        <f t="shared" si="6"/>
        <v>113.64934135698002</v>
      </c>
      <c r="Q43">
        <f t="shared" si="7"/>
        <v>0.19758813869265585</v>
      </c>
      <c r="R43">
        <f t="shared" si="8"/>
        <v>2.9275417238648487</v>
      </c>
      <c r="S43">
        <f t="shared" si="9"/>
        <v>0.190467175159938</v>
      </c>
      <c r="T43">
        <f t="shared" si="10"/>
        <v>0.11966039365120124</v>
      </c>
      <c r="U43">
        <f t="shared" si="11"/>
        <v>344.33709860455571</v>
      </c>
      <c r="V43">
        <f t="shared" si="12"/>
        <v>29.310485233446695</v>
      </c>
      <c r="W43">
        <f t="shared" si="13"/>
        <v>28.2941</v>
      </c>
      <c r="X43">
        <f t="shared" si="14"/>
        <v>3.8603909407970662</v>
      </c>
      <c r="Y43">
        <f t="shared" si="15"/>
        <v>64.813676061392499</v>
      </c>
      <c r="Z43">
        <f t="shared" si="16"/>
        <v>2.4592453312323599</v>
      </c>
      <c r="AA43">
        <f t="shared" si="17"/>
        <v>3.7943308892137599</v>
      </c>
      <c r="AB43">
        <f t="shared" si="18"/>
        <v>1.4011456095647064</v>
      </c>
      <c r="AC43">
        <f t="shared" si="19"/>
        <v>-121.71374904428743</v>
      </c>
      <c r="AD43">
        <f t="shared" si="20"/>
        <v>-46.780702159199627</v>
      </c>
      <c r="AE43">
        <f t="shared" si="21"/>
        <v>-3.4882356796091778</v>
      </c>
      <c r="AF43">
        <f t="shared" si="22"/>
        <v>172.35441172145946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52638.772816926285</v>
      </c>
      <c r="AL43" t="s">
        <v>415</v>
      </c>
      <c r="AM43">
        <v>10424.1</v>
      </c>
      <c r="AN43">
        <v>628.54280000000006</v>
      </c>
      <c r="AO43">
        <v>2663.98</v>
      </c>
      <c r="AP43">
        <f t="shared" si="26"/>
        <v>0.76405873917972356</v>
      </c>
      <c r="AQ43">
        <v>-3.1675626227050531</v>
      </c>
      <c r="AR43" t="s">
        <v>555</v>
      </c>
      <c r="AS43">
        <v>10214.6</v>
      </c>
      <c r="AT43">
        <v>794.78346153846155</v>
      </c>
      <c r="AU43">
        <v>1173.617663843047</v>
      </c>
      <c r="AV43">
        <f t="shared" si="27"/>
        <v>0.32279183755984142</v>
      </c>
      <c r="AW43">
        <v>0.5</v>
      </c>
      <c r="AX43">
        <f t="shared" si="28"/>
        <v>1513.0418993022777</v>
      </c>
      <c r="AY43">
        <f t="shared" si="29"/>
        <v>48.288083793542896</v>
      </c>
      <c r="AZ43">
        <f t="shared" si="30"/>
        <v>244.19878749040737</v>
      </c>
      <c r="BA43">
        <f t="shared" si="31"/>
        <v>3.4008077661283637E-2</v>
      </c>
      <c r="BB43">
        <f t="shared" si="32"/>
        <v>1.2698874446697708</v>
      </c>
      <c r="BC43">
        <f t="shared" si="33"/>
        <v>483.63626190649524</v>
      </c>
      <c r="BD43" t="s">
        <v>556</v>
      </c>
      <c r="BE43">
        <v>581.04999999999995</v>
      </c>
      <c r="BF43">
        <f t="shared" si="34"/>
        <v>581.04999999999995</v>
      </c>
      <c r="BG43">
        <f t="shared" si="35"/>
        <v>0.50490690631109458</v>
      </c>
      <c r="BH43">
        <f t="shared" si="36"/>
        <v>0.63930961039569478</v>
      </c>
      <c r="BI43">
        <f t="shared" si="37"/>
        <v>0.71551244456460505</v>
      </c>
      <c r="BJ43">
        <f t="shared" si="38"/>
        <v>0.69501315770391114</v>
      </c>
      <c r="BK43">
        <f t="shared" si="39"/>
        <v>0.73220747668213648</v>
      </c>
      <c r="BL43">
        <f t="shared" si="40"/>
        <v>0.46738623423462122</v>
      </c>
      <c r="BM43">
        <f t="shared" si="41"/>
        <v>0.53261376576537878</v>
      </c>
      <c r="BN43">
        <v>20217</v>
      </c>
      <c r="BO43">
        <v>290.00000000000011</v>
      </c>
      <c r="BP43">
        <v>1081.8</v>
      </c>
      <c r="BQ43">
        <v>125</v>
      </c>
      <c r="BR43">
        <v>10214.6</v>
      </c>
      <c r="BS43">
        <v>1080.8599999999999</v>
      </c>
      <c r="BT43">
        <v>0.94</v>
      </c>
      <c r="BU43">
        <v>300.00000000000011</v>
      </c>
      <c r="BV43">
        <v>24.2</v>
      </c>
      <c r="BW43">
        <v>1173.617663843047</v>
      </c>
      <c r="BX43">
        <v>1.9215150481114729</v>
      </c>
      <c r="BY43">
        <v>-94.74552464297048</v>
      </c>
      <c r="BZ43">
        <v>1.743608047022162</v>
      </c>
      <c r="CA43">
        <v>0.99060624107468465</v>
      </c>
      <c r="CB43">
        <v>-6.9416489432703064E-3</v>
      </c>
      <c r="CC43">
        <v>289.99999999999989</v>
      </c>
      <c r="CD43">
        <v>1080.3</v>
      </c>
      <c r="CE43">
        <v>645</v>
      </c>
      <c r="CF43">
        <v>10168</v>
      </c>
      <c r="CG43">
        <v>1080.44</v>
      </c>
      <c r="CH43">
        <v>-0.14000000000000001</v>
      </c>
      <c r="CV43">
        <f t="shared" si="42"/>
        <v>1799.83</v>
      </c>
      <c r="CW43">
        <f t="shared" si="43"/>
        <v>1513.0418993022777</v>
      </c>
      <c r="CX43">
        <f t="shared" si="44"/>
        <v>0.84065822844506299</v>
      </c>
      <c r="CY43">
        <f t="shared" si="45"/>
        <v>0.19131645689012614</v>
      </c>
      <c r="CZ43">
        <v>6</v>
      </c>
      <c r="DA43">
        <v>0.5</v>
      </c>
      <c r="DB43" t="s">
        <v>418</v>
      </c>
      <c r="DC43">
        <v>2</v>
      </c>
      <c r="DD43">
        <v>1674578420.0999999</v>
      </c>
      <c r="DE43">
        <v>1138.1500000000001</v>
      </c>
      <c r="DF43">
        <v>1199.8599999999999</v>
      </c>
      <c r="DG43">
        <v>24.628299999999999</v>
      </c>
      <c r="DH43">
        <v>21.398199999999999</v>
      </c>
      <c r="DI43">
        <v>1143.3900000000001</v>
      </c>
      <c r="DJ43">
        <v>24.337599999999998</v>
      </c>
      <c r="DK43">
        <v>500.04199999999997</v>
      </c>
      <c r="DL43">
        <v>99.754900000000006</v>
      </c>
      <c r="DM43">
        <v>9.9549200000000004E-2</v>
      </c>
      <c r="DN43">
        <v>27.997699999999998</v>
      </c>
      <c r="DO43">
        <v>28.2941</v>
      </c>
      <c r="DP43">
        <v>999.9</v>
      </c>
      <c r="DQ43">
        <v>0</v>
      </c>
      <c r="DR43">
        <v>0</v>
      </c>
      <c r="DS43">
        <v>10013.1</v>
      </c>
      <c r="DT43">
        <v>0</v>
      </c>
      <c r="DU43">
        <v>445.33199999999999</v>
      </c>
      <c r="DV43">
        <v>-61.712600000000002</v>
      </c>
      <c r="DW43">
        <v>1166.8900000000001</v>
      </c>
      <c r="DX43">
        <v>1226.0999999999999</v>
      </c>
      <c r="DY43">
        <v>3.2301099999999998</v>
      </c>
      <c r="DZ43">
        <v>1199.8599999999999</v>
      </c>
      <c r="EA43">
        <v>21.398199999999999</v>
      </c>
      <c r="EB43">
        <v>2.4567899999999998</v>
      </c>
      <c r="EC43">
        <v>2.1345700000000001</v>
      </c>
      <c r="ED43">
        <v>20.742999999999999</v>
      </c>
      <c r="EE43">
        <v>18.479500000000002</v>
      </c>
      <c r="EF43">
        <v>1799.83</v>
      </c>
      <c r="EG43">
        <v>0.97799999999999998</v>
      </c>
      <c r="EH43">
        <v>2.1999700000000001E-2</v>
      </c>
      <c r="EI43">
        <v>0</v>
      </c>
      <c r="EJ43">
        <v>794.98099999999999</v>
      </c>
      <c r="EK43">
        <v>5.0010599999999998</v>
      </c>
      <c r="EL43">
        <v>14865.6</v>
      </c>
      <c r="EM43">
        <v>16709.5</v>
      </c>
      <c r="EN43">
        <v>48</v>
      </c>
      <c r="EO43">
        <v>48.811999999999998</v>
      </c>
      <c r="EP43">
        <v>48.936999999999998</v>
      </c>
      <c r="EQ43">
        <v>47.561999999999998</v>
      </c>
      <c r="ER43">
        <v>48.875</v>
      </c>
      <c r="ES43">
        <v>1755.34</v>
      </c>
      <c r="ET43">
        <v>39.49</v>
      </c>
      <c r="EU43">
        <v>0</v>
      </c>
      <c r="EV43">
        <v>112.19999980926509</v>
      </c>
      <c r="EW43">
        <v>0</v>
      </c>
      <c r="EX43">
        <v>794.78346153846155</v>
      </c>
      <c r="EY43">
        <v>1.643213666859598</v>
      </c>
      <c r="EZ43">
        <v>19.74017093879656</v>
      </c>
      <c r="FA43">
        <v>14862.97692307692</v>
      </c>
      <c r="FB43">
        <v>15</v>
      </c>
      <c r="FC43">
        <v>1674578386.0999999</v>
      </c>
      <c r="FD43" t="s">
        <v>557</v>
      </c>
      <c r="FE43">
        <v>1674578386.0999999</v>
      </c>
      <c r="FF43">
        <v>1674578385.5999999</v>
      </c>
      <c r="FG43">
        <v>30</v>
      </c>
      <c r="FH43">
        <v>-0.435</v>
      </c>
      <c r="FI43">
        <v>-4.0000000000000001E-3</v>
      </c>
      <c r="FJ43">
        <v>-5.282</v>
      </c>
      <c r="FK43">
        <v>0.11600000000000001</v>
      </c>
      <c r="FL43">
        <v>1200</v>
      </c>
      <c r="FM43">
        <v>21</v>
      </c>
      <c r="FN43">
        <v>0.04</v>
      </c>
      <c r="FO43">
        <v>0.02</v>
      </c>
      <c r="FP43">
        <v>48.507403300472227</v>
      </c>
      <c r="FQ43">
        <v>-0.58800983119201355</v>
      </c>
      <c r="FR43">
        <v>8.1673457088262513E-2</v>
      </c>
      <c r="FS43">
        <v>1</v>
      </c>
      <c r="FT43">
        <v>0.2039075856859083</v>
      </c>
      <c r="FU43">
        <v>-1.8447172006565749E-2</v>
      </c>
      <c r="FV43">
        <v>2.7476099843820761E-3</v>
      </c>
      <c r="FW43">
        <v>1</v>
      </c>
      <c r="FX43">
        <v>2</v>
      </c>
      <c r="FY43">
        <v>2</v>
      </c>
      <c r="FZ43" t="s">
        <v>420</v>
      </c>
      <c r="GA43">
        <v>2.9782000000000002</v>
      </c>
      <c r="GB43">
        <v>2.80599</v>
      </c>
      <c r="GC43">
        <v>0.202209</v>
      </c>
      <c r="GD43">
        <v>0.206118</v>
      </c>
      <c r="GE43">
        <v>0.121532</v>
      </c>
      <c r="GF43">
        <v>0.10986600000000001</v>
      </c>
      <c r="GG43">
        <v>23605.3</v>
      </c>
      <c r="GH43">
        <v>21800.1</v>
      </c>
      <c r="GI43">
        <v>26601.8</v>
      </c>
      <c r="GJ43">
        <v>25937.200000000001</v>
      </c>
      <c r="GK43">
        <v>31809.1</v>
      </c>
      <c r="GL43">
        <v>32584.6</v>
      </c>
      <c r="GM43">
        <v>37704.400000000001</v>
      </c>
      <c r="GN43">
        <v>38478.5</v>
      </c>
      <c r="GO43">
        <v>1.9771000000000001</v>
      </c>
      <c r="GP43">
        <v>1.92967</v>
      </c>
      <c r="GQ43">
        <v>7.1238700000000002E-2</v>
      </c>
      <c r="GR43">
        <v>0</v>
      </c>
      <c r="GS43">
        <v>27.130500000000001</v>
      </c>
      <c r="GT43">
        <v>999.9</v>
      </c>
      <c r="GU43">
        <v>44.5</v>
      </c>
      <c r="GV43">
        <v>34.4</v>
      </c>
      <c r="GW43">
        <v>24.372199999999999</v>
      </c>
      <c r="GX43">
        <v>61.791600000000003</v>
      </c>
      <c r="GY43">
        <v>12.772399999999999</v>
      </c>
      <c r="GZ43">
        <v>1</v>
      </c>
      <c r="HA43">
        <v>0.36172799999999999</v>
      </c>
      <c r="HB43">
        <v>2.4483899999999998</v>
      </c>
      <c r="HC43">
        <v>20.239000000000001</v>
      </c>
      <c r="HD43">
        <v>5.2065099999999997</v>
      </c>
      <c r="HE43">
        <v>11.937900000000001</v>
      </c>
      <c r="HF43">
        <v>4.9867999999999997</v>
      </c>
      <c r="HG43">
        <v>3.2900299999999998</v>
      </c>
      <c r="HH43">
        <v>9999</v>
      </c>
      <c r="HI43">
        <v>9999</v>
      </c>
      <c r="HJ43">
        <v>9999</v>
      </c>
      <c r="HK43">
        <v>999.9</v>
      </c>
      <c r="HL43">
        <v>1.87073</v>
      </c>
      <c r="HM43">
        <v>1.8769199999999999</v>
      </c>
      <c r="HN43">
        <v>1.8746400000000001</v>
      </c>
      <c r="HO43">
        <v>1.8728899999999999</v>
      </c>
      <c r="HP43">
        <v>1.8733500000000001</v>
      </c>
      <c r="HQ43">
        <v>1.8707499999999999</v>
      </c>
      <c r="HR43">
        <v>1.8766799999999999</v>
      </c>
      <c r="HS43">
        <v>1.8757699999999999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424</v>
      </c>
      <c r="IB43" t="s">
        <v>424</v>
      </c>
      <c r="IC43" t="s">
        <v>423</v>
      </c>
      <c r="ID43">
        <v>0</v>
      </c>
      <c r="IE43">
        <v>100</v>
      </c>
      <c r="IF43">
        <v>100</v>
      </c>
      <c r="IG43">
        <v>-5.24</v>
      </c>
      <c r="IH43">
        <v>0.29070000000000001</v>
      </c>
      <c r="II43">
        <v>-3.7038999893133799</v>
      </c>
      <c r="IJ43">
        <v>-2.536945948238235E-3</v>
      </c>
      <c r="IK43">
        <v>1.581473279927893E-6</v>
      </c>
      <c r="IL43">
        <v>-4.6698293441882044E-10</v>
      </c>
      <c r="IM43">
        <v>-0.21080771287264491</v>
      </c>
      <c r="IN43">
        <v>-1.5895243091576399E-2</v>
      </c>
      <c r="IO43">
        <v>1.559614309849521E-3</v>
      </c>
      <c r="IP43">
        <v>-2.4566050869858518E-6</v>
      </c>
      <c r="IQ43">
        <v>2</v>
      </c>
      <c r="IR43">
        <v>2224</v>
      </c>
      <c r="IS43">
        <v>2</v>
      </c>
      <c r="IT43">
        <v>25</v>
      </c>
      <c r="IU43">
        <v>0.6</v>
      </c>
      <c r="IV43">
        <v>0.6</v>
      </c>
      <c r="IW43">
        <v>2.2900399999999999</v>
      </c>
      <c r="IX43">
        <v>2.47437</v>
      </c>
      <c r="IY43">
        <v>1.65039</v>
      </c>
      <c r="IZ43">
        <v>2.2936999999999999</v>
      </c>
      <c r="JA43">
        <v>1.50024</v>
      </c>
      <c r="JB43">
        <v>2.2863799999999999</v>
      </c>
      <c r="JC43">
        <v>39.717100000000002</v>
      </c>
      <c r="JD43">
        <v>23.465800000000002</v>
      </c>
      <c r="JE43">
        <v>18</v>
      </c>
      <c r="JF43">
        <v>503.36599999999999</v>
      </c>
      <c r="JG43">
        <v>465.98599999999999</v>
      </c>
      <c r="JH43">
        <v>24.628</v>
      </c>
      <c r="JI43">
        <v>31.8218</v>
      </c>
      <c r="JJ43">
        <v>30.000399999999999</v>
      </c>
      <c r="JK43">
        <v>31.757000000000001</v>
      </c>
      <c r="JL43">
        <v>31.7254</v>
      </c>
      <c r="JM43">
        <v>45.8598</v>
      </c>
      <c r="JN43">
        <v>28.326499999999999</v>
      </c>
      <c r="JO43">
        <v>54.3078</v>
      </c>
      <c r="JP43">
        <v>24.628799999999998</v>
      </c>
      <c r="JQ43">
        <v>1200</v>
      </c>
      <c r="JR43">
        <v>21.345199999999998</v>
      </c>
      <c r="JS43">
        <v>100.04600000000001</v>
      </c>
      <c r="JT43">
        <v>99.277100000000004</v>
      </c>
    </row>
    <row r="44" spans="1:280" x14ac:dyDescent="0.25">
      <c r="A44">
        <v>28</v>
      </c>
      <c r="B44">
        <v>1674578530.5999999</v>
      </c>
      <c r="C44">
        <v>4396</v>
      </c>
      <c r="D44" t="s">
        <v>558</v>
      </c>
      <c r="E44" t="s">
        <v>559</v>
      </c>
      <c r="F44" t="s">
        <v>412</v>
      </c>
      <c r="G44" t="s">
        <v>493</v>
      </c>
      <c r="H44" t="s">
        <v>494</v>
      </c>
      <c r="I44">
        <v>1674578530.5999999</v>
      </c>
      <c r="J44">
        <f t="shared" si="0"/>
        <v>2.3783431453454941E-3</v>
      </c>
      <c r="K44">
        <f t="shared" si="1"/>
        <v>2.378343145345494</v>
      </c>
      <c r="L44">
        <f t="shared" si="2"/>
        <v>47.901551403166344</v>
      </c>
      <c r="M44">
        <f t="shared" si="3"/>
        <v>1438.39</v>
      </c>
      <c r="N44">
        <f t="shared" si="4"/>
        <v>944.00763503495455</v>
      </c>
      <c r="O44">
        <f t="shared" si="5"/>
        <v>94.270348187910031</v>
      </c>
      <c r="P44">
        <f t="shared" si="6"/>
        <v>143.64028541462702</v>
      </c>
      <c r="Q44">
        <f t="shared" si="7"/>
        <v>0.1686951084433935</v>
      </c>
      <c r="R44">
        <f t="shared" si="8"/>
        <v>2.9220824982632596</v>
      </c>
      <c r="S44">
        <f t="shared" si="9"/>
        <v>0.16346542256839983</v>
      </c>
      <c r="T44">
        <f t="shared" si="10"/>
        <v>0.10262225059168481</v>
      </c>
      <c r="U44">
        <f t="shared" si="11"/>
        <v>344.36499860502533</v>
      </c>
      <c r="V44">
        <f t="shared" si="12"/>
        <v>29.41444056331077</v>
      </c>
      <c r="W44">
        <f t="shared" si="13"/>
        <v>28.3292</v>
      </c>
      <c r="X44">
        <f t="shared" si="14"/>
        <v>3.8682798856478664</v>
      </c>
      <c r="Y44">
        <f t="shared" si="15"/>
        <v>64.862122815969855</v>
      </c>
      <c r="Z44">
        <f t="shared" si="16"/>
        <v>2.4613848753614702</v>
      </c>
      <c r="AA44">
        <f t="shared" si="17"/>
        <v>3.7947954345327819</v>
      </c>
      <c r="AB44">
        <f t="shared" si="18"/>
        <v>1.4068950102863962</v>
      </c>
      <c r="AC44">
        <f t="shared" si="19"/>
        <v>-104.88493270973629</v>
      </c>
      <c r="AD44">
        <f t="shared" si="20"/>
        <v>-51.89213165631385</v>
      </c>
      <c r="AE44">
        <f t="shared" si="21"/>
        <v>-3.8773205694590258</v>
      </c>
      <c r="AF44">
        <f t="shared" si="22"/>
        <v>183.71061366951619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52481.528266667628</v>
      </c>
      <c r="AL44" t="s">
        <v>415</v>
      </c>
      <c r="AM44">
        <v>10424.1</v>
      </c>
      <c r="AN44">
        <v>628.54280000000006</v>
      </c>
      <c r="AO44">
        <v>2663.98</v>
      </c>
      <c r="AP44">
        <f t="shared" si="26"/>
        <v>0.76405873917972356</v>
      </c>
      <c r="AQ44">
        <v>-3.1675626227050531</v>
      </c>
      <c r="AR44" t="s">
        <v>560</v>
      </c>
      <c r="AS44">
        <v>10205.299999999999</v>
      </c>
      <c r="AT44">
        <v>795.50936000000002</v>
      </c>
      <c r="AU44">
        <v>1177.9592784024539</v>
      </c>
      <c r="AV44">
        <f t="shared" si="27"/>
        <v>0.3246715955420223</v>
      </c>
      <c r="AW44">
        <v>0.5</v>
      </c>
      <c r="AX44">
        <f t="shared" si="28"/>
        <v>1513.1675993025126</v>
      </c>
      <c r="AY44">
        <f t="shared" si="29"/>
        <v>47.901551403166344</v>
      </c>
      <c r="AZ44">
        <f t="shared" si="30"/>
        <v>245.6412693940191</v>
      </c>
      <c r="BA44">
        <f t="shared" si="31"/>
        <v>3.3749806729546326E-2</v>
      </c>
      <c r="BB44">
        <f t="shared" si="32"/>
        <v>1.2615213011547262</v>
      </c>
      <c r="BC44">
        <f t="shared" si="33"/>
        <v>484.37194739384955</v>
      </c>
      <c r="BD44" t="s">
        <v>561</v>
      </c>
      <c r="BE44">
        <v>581.23</v>
      </c>
      <c r="BF44">
        <f t="shared" si="34"/>
        <v>581.23</v>
      </c>
      <c r="BG44">
        <f t="shared" si="35"/>
        <v>0.50657886850871192</v>
      </c>
      <c r="BH44">
        <f t="shared" si="36"/>
        <v>0.64091026239962212</v>
      </c>
      <c r="BI44">
        <f t="shared" si="37"/>
        <v>0.7134897234893991</v>
      </c>
      <c r="BJ44">
        <f t="shared" si="38"/>
        <v>0.69610201629646962</v>
      </c>
      <c r="BK44">
        <f t="shared" si="39"/>
        <v>0.73007446341137239</v>
      </c>
      <c r="BL44">
        <f t="shared" si="40"/>
        <v>0.46827390166035554</v>
      </c>
      <c r="BM44">
        <f t="shared" si="41"/>
        <v>0.53172609833964446</v>
      </c>
      <c r="BN44">
        <v>20219</v>
      </c>
      <c r="BO44">
        <v>290.00000000000011</v>
      </c>
      <c r="BP44">
        <v>1084.3399999999999</v>
      </c>
      <c r="BQ44">
        <v>165</v>
      </c>
      <c r="BR44">
        <v>10205.299999999999</v>
      </c>
      <c r="BS44">
        <v>1082.8</v>
      </c>
      <c r="BT44">
        <v>1.54</v>
      </c>
      <c r="BU44">
        <v>300.00000000000011</v>
      </c>
      <c r="BV44">
        <v>24.2</v>
      </c>
      <c r="BW44">
        <v>1177.9592784024539</v>
      </c>
      <c r="BX44">
        <v>2.5175422995466721</v>
      </c>
      <c r="BY44">
        <v>-97.114596202978262</v>
      </c>
      <c r="BZ44">
        <v>2.2842621172406341</v>
      </c>
      <c r="CA44">
        <v>0.98474526077188362</v>
      </c>
      <c r="CB44">
        <v>-6.9412293659621843E-3</v>
      </c>
      <c r="CC44">
        <v>289.99999999999989</v>
      </c>
      <c r="CD44">
        <v>1081.33</v>
      </c>
      <c r="CE44">
        <v>705</v>
      </c>
      <c r="CF44">
        <v>10162.5</v>
      </c>
      <c r="CG44">
        <v>1082.4000000000001</v>
      </c>
      <c r="CH44">
        <v>-1.07</v>
      </c>
      <c r="CV44">
        <f t="shared" si="42"/>
        <v>1799.98</v>
      </c>
      <c r="CW44">
        <f t="shared" si="43"/>
        <v>1513.1675993025126</v>
      </c>
      <c r="CX44">
        <f t="shared" si="44"/>
        <v>0.84065800692369508</v>
      </c>
      <c r="CY44">
        <f t="shared" si="45"/>
        <v>0.19131601384739017</v>
      </c>
      <c r="CZ44">
        <v>6</v>
      </c>
      <c r="DA44">
        <v>0.5</v>
      </c>
      <c r="DB44" t="s">
        <v>418</v>
      </c>
      <c r="DC44">
        <v>2</v>
      </c>
      <c r="DD44">
        <v>1674578530.5999999</v>
      </c>
      <c r="DE44">
        <v>1438.39</v>
      </c>
      <c r="DF44">
        <v>1499.98</v>
      </c>
      <c r="DG44">
        <v>24.6479</v>
      </c>
      <c r="DH44">
        <v>21.864100000000001</v>
      </c>
      <c r="DI44">
        <v>1444.07</v>
      </c>
      <c r="DJ44">
        <v>24.365200000000002</v>
      </c>
      <c r="DK44">
        <v>499.976</v>
      </c>
      <c r="DL44">
        <v>99.762</v>
      </c>
      <c r="DM44">
        <v>9.9849300000000002E-2</v>
      </c>
      <c r="DN44">
        <v>27.9998</v>
      </c>
      <c r="DO44">
        <v>28.3292</v>
      </c>
      <c r="DP44">
        <v>999.9</v>
      </c>
      <c r="DQ44">
        <v>0</v>
      </c>
      <c r="DR44">
        <v>0</v>
      </c>
      <c r="DS44">
        <v>9981.25</v>
      </c>
      <c r="DT44">
        <v>0</v>
      </c>
      <c r="DU44">
        <v>450.93299999999999</v>
      </c>
      <c r="DV44">
        <v>-61.587800000000001</v>
      </c>
      <c r="DW44">
        <v>1474.74</v>
      </c>
      <c r="DX44">
        <v>1533.51</v>
      </c>
      <c r="DY44">
        <v>2.7838599999999998</v>
      </c>
      <c r="DZ44">
        <v>1499.98</v>
      </c>
      <c r="EA44">
        <v>21.864100000000001</v>
      </c>
      <c r="EB44">
        <v>2.45892</v>
      </c>
      <c r="EC44">
        <v>2.1812</v>
      </c>
      <c r="ED44">
        <v>20.757100000000001</v>
      </c>
      <c r="EE44">
        <v>18.8249</v>
      </c>
      <c r="EF44">
        <v>1799.98</v>
      </c>
      <c r="EG44">
        <v>0.97800399999999998</v>
      </c>
      <c r="EH44">
        <v>2.19963E-2</v>
      </c>
      <c r="EI44">
        <v>0</v>
      </c>
      <c r="EJ44">
        <v>795.68700000000001</v>
      </c>
      <c r="EK44">
        <v>5.0010599999999998</v>
      </c>
      <c r="EL44">
        <v>14883.6</v>
      </c>
      <c r="EM44">
        <v>16710.900000000001</v>
      </c>
      <c r="EN44">
        <v>48.125</v>
      </c>
      <c r="EO44">
        <v>48.936999999999998</v>
      </c>
      <c r="EP44">
        <v>49.061999999999998</v>
      </c>
      <c r="EQ44">
        <v>47.625</v>
      </c>
      <c r="ER44">
        <v>48.936999999999998</v>
      </c>
      <c r="ES44">
        <v>1755.5</v>
      </c>
      <c r="ET44">
        <v>39.479999999999997</v>
      </c>
      <c r="EU44">
        <v>0</v>
      </c>
      <c r="EV44">
        <v>108.5999999046326</v>
      </c>
      <c r="EW44">
        <v>0</v>
      </c>
      <c r="EX44">
        <v>795.50936000000002</v>
      </c>
      <c r="EY44">
        <v>1.323999994432244</v>
      </c>
      <c r="EZ44">
        <v>24.030769157224221</v>
      </c>
      <c r="FA44">
        <v>14881.348</v>
      </c>
      <c r="FB44">
        <v>15</v>
      </c>
      <c r="FC44">
        <v>1674578497.5999999</v>
      </c>
      <c r="FD44" t="s">
        <v>562</v>
      </c>
      <c r="FE44">
        <v>1674578497.5999999</v>
      </c>
      <c r="FF44">
        <v>1674578495.5999999</v>
      </c>
      <c r="FG44">
        <v>31</v>
      </c>
      <c r="FH44">
        <v>-0.20200000000000001</v>
      </c>
      <c r="FI44">
        <v>-0.01</v>
      </c>
      <c r="FJ44">
        <v>-5.7350000000000003</v>
      </c>
      <c r="FK44">
        <v>0.13700000000000001</v>
      </c>
      <c r="FL44">
        <v>1500</v>
      </c>
      <c r="FM44">
        <v>22</v>
      </c>
      <c r="FN44">
        <v>0.06</v>
      </c>
      <c r="FO44">
        <v>0.03</v>
      </c>
      <c r="FP44">
        <v>47.880708362741487</v>
      </c>
      <c r="FQ44">
        <v>-0.6376869903478759</v>
      </c>
      <c r="FR44">
        <v>0.1098210604869181</v>
      </c>
      <c r="FS44">
        <v>1</v>
      </c>
      <c r="FT44">
        <v>0.17256748403645061</v>
      </c>
      <c r="FU44">
        <v>-1.010282290912605E-2</v>
      </c>
      <c r="FV44">
        <v>2.0312238467872232E-3</v>
      </c>
      <c r="FW44">
        <v>1</v>
      </c>
      <c r="FX44">
        <v>2</v>
      </c>
      <c r="FY44">
        <v>2</v>
      </c>
      <c r="FZ44" t="s">
        <v>420</v>
      </c>
      <c r="GA44">
        <v>2.9779200000000001</v>
      </c>
      <c r="GB44">
        <v>2.8060100000000001</v>
      </c>
      <c r="GC44">
        <v>0.233622</v>
      </c>
      <c r="GD44">
        <v>0.236482</v>
      </c>
      <c r="GE44">
        <v>0.12160700000000001</v>
      </c>
      <c r="GF44">
        <v>0.111494</v>
      </c>
      <c r="GG44">
        <v>22668.5</v>
      </c>
      <c r="GH44">
        <v>20958.3</v>
      </c>
      <c r="GI44">
        <v>26596.6</v>
      </c>
      <c r="GJ44">
        <v>25930.9</v>
      </c>
      <c r="GK44">
        <v>31800.2</v>
      </c>
      <c r="GL44">
        <v>32517.5</v>
      </c>
      <c r="GM44">
        <v>37696.199999999997</v>
      </c>
      <c r="GN44">
        <v>38469.4</v>
      </c>
      <c r="GO44">
        <v>1.9748000000000001</v>
      </c>
      <c r="GP44">
        <v>1.92997</v>
      </c>
      <c r="GQ44">
        <v>7.4654799999999993E-2</v>
      </c>
      <c r="GR44">
        <v>0</v>
      </c>
      <c r="GS44">
        <v>27.1097</v>
      </c>
      <c r="GT44">
        <v>999.9</v>
      </c>
      <c r="GU44">
        <v>45.4</v>
      </c>
      <c r="GV44">
        <v>34.5</v>
      </c>
      <c r="GW44">
        <v>25.002600000000001</v>
      </c>
      <c r="GX44">
        <v>62.131599999999999</v>
      </c>
      <c r="GY44">
        <v>12.884600000000001</v>
      </c>
      <c r="GZ44">
        <v>1</v>
      </c>
      <c r="HA44">
        <v>0.37174000000000001</v>
      </c>
      <c r="HB44">
        <v>2.4795600000000002</v>
      </c>
      <c r="HC44">
        <v>20.2379</v>
      </c>
      <c r="HD44">
        <v>5.2023099999999998</v>
      </c>
      <c r="HE44">
        <v>11.937799999999999</v>
      </c>
      <c r="HF44">
        <v>4.9865000000000004</v>
      </c>
      <c r="HG44">
        <v>3.2898999999999998</v>
      </c>
      <c r="HH44">
        <v>9999</v>
      </c>
      <c r="HI44">
        <v>9999</v>
      </c>
      <c r="HJ44">
        <v>9999</v>
      </c>
      <c r="HK44">
        <v>999.9</v>
      </c>
      <c r="HL44">
        <v>1.8707</v>
      </c>
      <c r="HM44">
        <v>1.8768499999999999</v>
      </c>
      <c r="HN44">
        <v>1.8745700000000001</v>
      </c>
      <c r="HO44">
        <v>1.87286</v>
      </c>
      <c r="HP44">
        <v>1.8733299999999999</v>
      </c>
      <c r="HQ44">
        <v>1.8707400000000001</v>
      </c>
      <c r="HR44">
        <v>1.8766799999999999</v>
      </c>
      <c r="HS44">
        <v>1.8757699999999999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424</v>
      </c>
      <c r="IB44" t="s">
        <v>424</v>
      </c>
      <c r="IC44" t="s">
        <v>423</v>
      </c>
      <c r="ID44">
        <v>0</v>
      </c>
      <c r="IE44">
        <v>100</v>
      </c>
      <c r="IF44">
        <v>100</v>
      </c>
      <c r="IG44">
        <v>-5.68</v>
      </c>
      <c r="IH44">
        <v>0.28270000000000001</v>
      </c>
      <c r="II44">
        <v>-3.9061831346143272</v>
      </c>
      <c r="IJ44">
        <v>-2.536945948238235E-3</v>
      </c>
      <c r="IK44">
        <v>1.581473279927893E-6</v>
      </c>
      <c r="IL44">
        <v>-4.6698293441882044E-10</v>
      </c>
      <c r="IM44">
        <v>-0.22036010239705819</v>
      </c>
      <c r="IN44">
        <v>-1.5895243091576399E-2</v>
      </c>
      <c r="IO44">
        <v>1.559614309849521E-3</v>
      </c>
      <c r="IP44">
        <v>-2.4566050869858518E-6</v>
      </c>
      <c r="IQ44">
        <v>2</v>
      </c>
      <c r="IR44">
        <v>2224</v>
      </c>
      <c r="IS44">
        <v>2</v>
      </c>
      <c r="IT44">
        <v>25</v>
      </c>
      <c r="IU44">
        <v>0.6</v>
      </c>
      <c r="IV44">
        <v>0.6</v>
      </c>
      <c r="IW44">
        <v>2.7526899999999999</v>
      </c>
      <c r="IX44">
        <v>2.4670399999999999</v>
      </c>
      <c r="IY44">
        <v>1.65039</v>
      </c>
      <c r="IZ44">
        <v>2.2924799999999999</v>
      </c>
      <c r="JA44">
        <v>1.50024</v>
      </c>
      <c r="JB44">
        <v>2.4328599999999998</v>
      </c>
      <c r="JC44">
        <v>39.742199999999997</v>
      </c>
      <c r="JD44">
        <v>23.527100000000001</v>
      </c>
      <c r="JE44">
        <v>18</v>
      </c>
      <c r="JF44">
        <v>502.738</v>
      </c>
      <c r="JG44">
        <v>466.99700000000001</v>
      </c>
      <c r="JH44">
        <v>24.627099999999999</v>
      </c>
      <c r="JI44">
        <v>31.939800000000002</v>
      </c>
      <c r="JJ44">
        <v>30.000299999999999</v>
      </c>
      <c r="JK44">
        <v>31.863600000000002</v>
      </c>
      <c r="JL44">
        <v>31.828399999999998</v>
      </c>
      <c r="JM44">
        <v>55.106499999999997</v>
      </c>
      <c r="JN44">
        <v>29.058</v>
      </c>
      <c r="JO44">
        <v>58.4998</v>
      </c>
      <c r="JP44">
        <v>24.6357</v>
      </c>
      <c r="JQ44">
        <v>1500</v>
      </c>
      <c r="JR44">
        <v>21.8978</v>
      </c>
      <c r="JS44">
        <v>100.02500000000001</v>
      </c>
      <c r="JT44">
        <v>99.253299999999996</v>
      </c>
    </row>
    <row r="45" spans="1:280" x14ac:dyDescent="0.25">
      <c r="A45">
        <v>29</v>
      </c>
      <c r="B45">
        <v>1674579878.5</v>
      </c>
      <c r="C45">
        <v>5743.9000000953674</v>
      </c>
      <c r="D45" t="s">
        <v>563</v>
      </c>
      <c r="E45" t="s">
        <v>564</v>
      </c>
      <c r="F45" t="s">
        <v>412</v>
      </c>
      <c r="G45" t="s">
        <v>565</v>
      </c>
      <c r="H45" t="s">
        <v>566</v>
      </c>
      <c r="I45">
        <v>1674579878.5</v>
      </c>
      <c r="J45">
        <f t="shared" si="0"/>
        <v>5.9576445243671493E-3</v>
      </c>
      <c r="K45">
        <f t="shared" si="1"/>
        <v>5.957644524367149</v>
      </c>
      <c r="L45">
        <f t="shared" si="2"/>
        <v>54.547024328519264</v>
      </c>
      <c r="M45">
        <f t="shared" si="3"/>
        <v>332.16300000000001</v>
      </c>
      <c r="N45">
        <f t="shared" si="4"/>
        <v>141.04164237472312</v>
      </c>
      <c r="O45">
        <f t="shared" si="5"/>
        <v>14.084339057511849</v>
      </c>
      <c r="P45">
        <f t="shared" si="6"/>
        <v>33.169610305096199</v>
      </c>
      <c r="Q45">
        <f t="shared" si="7"/>
        <v>0.50686200046180874</v>
      </c>
      <c r="R45">
        <f t="shared" si="8"/>
        <v>2.9221526792129286</v>
      </c>
      <c r="S45">
        <f t="shared" si="9"/>
        <v>0.46260285158454723</v>
      </c>
      <c r="T45">
        <f t="shared" si="10"/>
        <v>0.29278055339846087</v>
      </c>
      <c r="U45">
        <f t="shared" si="11"/>
        <v>344.37449860506399</v>
      </c>
      <c r="V45">
        <f t="shared" si="12"/>
        <v>28.482761343293774</v>
      </c>
      <c r="W45">
        <f t="shared" si="13"/>
        <v>27.6996</v>
      </c>
      <c r="X45">
        <f t="shared" si="14"/>
        <v>3.7288888576988088</v>
      </c>
      <c r="Y45">
        <f t="shared" si="15"/>
        <v>65.424971172281658</v>
      </c>
      <c r="Z45">
        <f t="shared" si="16"/>
        <v>2.4828451358511598</v>
      </c>
      <c r="AA45">
        <f t="shared" si="17"/>
        <v>3.7949502939988413</v>
      </c>
      <c r="AB45">
        <f t="shared" si="18"/>
        <v>1.246043721847649</v>
      </c>
      <c r="AC45">
        <f t="shared" si="19"/>
        <v>-262.73212352459126</v>
      </c>
      <c r="AD45">
        <f t="shared" si="20"/>
        <v>47.403513758235562</v>
      </c>
      <c r="AE45">
        <f t="shared" si="21"/>
        <v>3.5307682414403967</v>
      </c>
      <c r="AF45">
        <f t="shared" si="22"/>
        <v>132.57665708014869</v>
      </c>
      <c r="AG45">
        <v>6</v>
      </c>
      <c r="AH45">
        <v>1</v>
      </c>
      <c r="AI45">
        <f t="shared" si="23"/>
        <v>1</v>
      </c>
      <c r="AJ45">
        <f t="shared" si="24"/>
        <v>0</v>
      </c>
      <c r="AK45">
        <f t="shared" si="25"/>
        <v>52483.374806551154</v>
      </c>
      <c r="AL45" t="s">
        <v>415</v>
      </c>
      <c r="AM45">
        <v>10424.1</v>
      </c>
      <c r="AN45">
        <v>628.54280000000006</v>
      </c>
      <c r="AO45">
        <v>2663.98</v>
      </c>
      <c r="AP45">
        <f t="shared" si="26"/>
        <v>0.76405873917972356</v>
      </c>
      <c r="AQ45">
        <v>-3.1675626227050531</v>
      </c>
      <c r="AR45" t="s">
        <v>567</v>
      </c>
      <c r="AS45">
        <v>10202.799999999999</v>
      </c>
      <c r="AT45">
        <v>755.31784000000005</v>
      </c>
      <c r="AU45">
        <v>1198.223755771071</v>
      </c>
      <c r="AV45">
        <f t="shared" si="27"/>
        <v>0.36963539876244211</v>
      </c>
      <c r="AW45">
        <v>0.5</v>
      </c>
      <c r="AX45">
        <f t="shared" si="28"/>
        <v>1513.2095993025318</v>
      </c>
      <c r="AY45">
        <f t="shared" si="29"/>
        <v>54.547024328519264</v>
      </c>
      <c r="AZ45">
        <f t="shared" si="30"/>
        <v>279.66791682467328</v>
      </c>
      <c r="BA45">
        <f t="shared" si="31"/>
        <v>3.8140510724902953E-2</v>
      </c>
      <c r="BB45">
        <f t="shared" si="32"/>
        <v>1.2232742316861327</v>
      </c>
      <c r="BC45">
        <f t="shared" si="33"/>
        <v>487.76394771323197</v>
      </c>
      <c r="BD45" t="s">
        <v>568</v>
      </c>
      <c r="BE45">
        <v>563.96</v>
      </c>
      <c r="BF45">
        <f t="shared" si="34"/>
        <v>563.96</v>
      </c>
      <c r="BG45">
        <f t="shared" si="35"/>
        <v>0.52933665579256917</v>
      </c>
      <c r="BH45">
        <f t="shared" si="36"/>
        <v>0.69829926704960876</v>
      </c>
      <c r="BI45">
        <f t="shared" si="37"/>
        <v>0.69797251656123704</v>
      </c>
      <c r="BJ45">
        <f t="shared" si="38"/>
        <v>0.77746308926825847</v>
      </c>
      <c r="BK45">
        <f t="shared" si="39"/>
        <v>0.72011862818903438</v>
      </c>
      <c r="BL45">
        <f t="shared" si="40"/>
        <v>0.5213869364522058</v>
      </c>
      <c r="BM45">
        <f t="shared" si="41"/>
        <v>0.4786130635477942</v>
      </c>
      <c r="BN45">
        <v>20221</v>
      </c>
      <c r="BO45">
        <v>290.00000000000011</v>
      </c>
      <c r="BP45">
        <v>1084.6400000000001</v>
      </c>
      <c r="BQ45">
        <v>225</v>
      </c>
      <c r="BR45">
        <v>10202.799999999999</v>
      </c>
      <c r="BS45">
        <v>1084.3</v>
      </c>
      <c r="BT45">
        <v>0.34</v>
      </c>
      <c r="BU45">
        <v>300.00000000000011</v>
      </c>
      <c r="BV45">
        <v>24.2</v>
      </c>
      <c r="BW45">
        <v>1198.223755771071</v>
      </c>
      <c r="BX45">
        <v>2.2866302590612708</v>
      </c>
      <c r="BY45">
        <v>-116.232978588731</v>
      </c>
      <c r="BZ45">
        <v>2.0764998363669611</v>
      </c>
      <c r="CA45">
        <v>0.9911427418145109</v>
      </c>
      <c r="CB45">
        <v>-6.9473902113459437E-3</v>
      </c>
      <c r="CC45">
        <v>289.99999999999989</v>
      </c>
      <c r="CD45">
        <v>1083.05</v>
      </c>
      <c r="CE45">
        <v>675</v>
      </c>
      <c r="CF45">
        <v>10173.299999999999</v>
      </c>
      <c r="CG45">
        <v>1083.97</v>
      </c>
      <c r="CH45">
        <v>-0.92</v>
      </c>
      <c r="CV45">
        <f t="shared" si="42"/>
        <v>1800.03</v>
      </c>
      <c r="CW45">
        <f t="shared" si="43"/>
        <v>1513.2095993025318</v>
      </c>
      <c r="CX45">
        <f t="shared" si="44"/>
        <v>0.84065798864604024</v>
      </c>
      <c r="CY45">
        <f t="shared" si="45"/>
        <v>0.19131597729208069</v>
      </c>
      <c r="CZ45">
        <v>6</v>
      </c>
      <c r="DA45">
        <v>0.5</v>
      </c>
      <c r="DB45" t="s">
        <v>418</v>
      </c>
      <c r="DC45">
        <v>2</v>
      </c>
      <c r="DD45">
        <v>1674579878.5</v>
      </c>
      <c r="DE45">
        <v>332.16300000000001</v>
      </c>
      <c r="DF45">
        <v>399.99099999999999</v>
      </c>
      <c r="DG45">
        <v>24.863399999999999</v>
      </c>
      <c r="DH45">
        <v>17.892299999999999</v>
      </c>
      <c r="DI45">
        <v>335.67599999999999</v>
      </c>
      <c r="DJ45">
        <v>24.530100000000001</v>
      </c>
      <c r="DK45">
        <v>500.02300000000002</v>
      </c>
      <c r="DL45">
        <v>99.759699999999995</v>
      </c>
      <c r="DM45">
        <v>9.9737400000000004E-2</v>
      </c>
      <c r="DN45">
        <v>28.000499999999999</v>
      </c>
      <c r="DO45">
        <v>27.6996</v>
      </c>
      <c r="DP45">
        <v>999.9</v>
      </c>
      <c r="DQ45">
        <v>0</v>
      </c>
      <c r="DR45">
        <v>0</v>
      </c>
      <c r="DS45">
        <v>9981.8799999999992</v>
      </c>
      <c r="DT45">
        <v>0</v>
      </c>
      <c r="DU45">
        <v>570.37</v>
      </c>
      <c r="DV45">
        <v>-67.828100000000006</v>
      </c>
      <c r="DW45">
        <v>340.63200000000001</v>
      </c>
      <c r="DX45">
        <v>407.27800000000002</v>
      </c>
      <c r="DY45">
        <v>6.9710900000000002</v>
      </c>
      <c r="DZ45">
        <v>399.99099999999999</v>
      </c>
      <c r="EA45">
        <v>17.892299999999999</v>
      </c>
      <c r="EB45">
        <v>2.4803600000000001</v>
      </c>
      <c r="EC45">
        <v>1.7849299999999999</v>
      </c>
      <c r="ED45">
        <v>20.898199999999999</v>
      </c>
      <c r="EE45">
        <v>15.6554</v>
      </c>
      <c r="EF45">
        <v>1800.03</v>
      </c>
      <c r="EG45">
        <v>0.97800399999999998</v>
      </c>
      <c r="EH45">
        <v>2.1996000000000002E-2</v>
      </c>
      <c r="EI45">
        <v>0</v>
      </c>
      <c r="EJ45">
        <v>755.73199999999997</v>
      </c>
      <c r="EK45">
        <v>5.0010599999999998</v>
      </c>
      <c r="EL45">
        <v>14187.8</v>
      </c>
      <c r="EM45">
        <v>16711.3</v>
      </c>
      <c r="EN45">
        <v>47.875</v>
      </c>
      <c r="EO45">
        <v>48.811999999999998</v>
      </c>
      <c r="EP45">
        <v>48.875</v>
      </c>
      <c r="EQ45">
        <v>47.436999999999998</v>
      </c>
      <c r="ER45">
        <v>48.811999999999998</v>
      </c>
      <c r="ES45">
        <v>1755.55</v>
      </c>
      <c r="ET45">
        <v>39.479999999999997</v>
      </c>
      <c r="EU45">
        <v>0</v>
      </c>
      <c r="EV45">
        <v>1346</v>
      </c>
      <c r="EW45">
        <v>0</v>
      </c>
      <c r="EX45">
        <v>755.31784000000005</v>
      </c>
      <c r="EY45">
        <v>1.9440769181145949</v>
      </c>
      <c r="EZ45">
        <v>84.869230716444449</v>
      </c>
      <c r="FA45">
        <v>14180.456</v>
      </c>
      <c r="FB45">
        <v>15</v>
      </c>
      <c r="FC45">
        <v>1674579846</v>
      </c>
      <c r="FD45" t="s">
        <v>569</v>
      </c>
      <c r="FE45">
        <v>1674579843</v>
      </c>
      <c r="FF45">
        <v>1674579846</v>
      </c>
      <c r="FG45">
        <v>33</v>
      </c>
      <c r="FH45">
        <v>0.35</v>
      </c>
      <c r="FI45">
        <v>4.2999999999999997E-2</v>
      </c>
      <c r="FJ45">
        <v>-3.62</v>
      </c>
      <c r="FK45">
        <v>2.5000000000000001E-2</v>
      </c>
      <c r="FL45">
        <v>400</v>
      </c>
      <c r="FM45">
        <v>18</v>
      </c>
      <c r="FN45">
        <v>0.02</v>
      </c>
      <c r="FO45">
        <v>0.01</v>
      </c>
      <c r="FP45">
        <v>54.592762074498047</v>
      </c>
      <c r="FQ45">
        <v>-0.55320642646002172</v>
      </c>
      <c r="FR45">
        <v>9.1020213560649738E-2</v>
      </c>
      <c r="FS45">
        <v>1</v>
      </c>
      <c r="FT45">
        <v>0.51597533314452715</v>
      </c>
      <c r="FU45">
        <v>-2.060497334230786E-3</v>
      </c>
      <c r="FV45">
        <v>4.1178950722512656E-3</v>
      </c>
      <c r="FW45">
        <v>1</v>
      </c>
      <c r="FX45">
        <v>2</v>
      </c>
      <c r="FY45">
        <v>2</v>
      </c>
      <c r="FZ45" t="s">
        <v>420</v>
      </c>
      <c r="GA45">
        <v>2.9780199999999999</v>
      </c>
      <c r="GB45">
        <v>2.8059099999999999</v>
      </c>
      <c r="GC45">
        <v>8.5005200000000003E-2</v>
      </c>
      <c r="GD45">
        <v>9.6424899999999994E-2</v>
      </c>
      <c r="GE45">
        <v>0.12213300000000001</v>
      </c>
      <c r="GF45">
        <v>9.6914500000000001E-2</v>
      </c>
      <c r="GG45">
        <v>27069.200000000001</v>
      </c>
      <c r="GH45">
        <v>24813.3</v>
      </c>
      <c r="GI45">
        <v>26593.3</v>
      </c>
      <c r="GJ45">
        <v>25933.7</v>
      </c>
      <c r="GK45">
        <v>31775.4</v>
      </c>
      <c r="GL45">
        <v>33055.300000000003</v>
      </c>
      <c r="GM45">
        <v>37690.9</v>
      </c>
      <c r="GN45">
        <v>38475.4</v>
      </c>
      <c r="GO45">
        <v>1.9581</v>
      </c>
      <c r="GP45">
        <v>1.9178500000000001</v>
      </c>
      <c r="GQ45">
        <v>5.9858000000000001E-2</v>
      </c>
      <c r="GR45">
        <v>0</v>
      </c>
      <c r="GS45">
        <v>26.721</v>
      </c>
      <c r="GT45">
        <v>999.9</v>
      </c>
      <c r="GU45">
        <v>41.5</v>
      </c>
      <c r="GV45">
        <v>34.9</v>
      </c>
      <c r="GW45">
        <v>23.367599999999999</v>
      </c>
      <c r="GX45">
        <v>62.181699999999999</v>
      </c>
      <c r="GY45">
        <v>12.756399999999999</v>
      </c>
      <c r="GZ45">
        <v>1</v>
      </c>
      <c r="HA45">
        <v>0.37168400000000001</v>
      </c>
      <c r="HB45">
        <v>2.02955</v>
      </c>
      <c r="HC45">
        <v>20.242699999999999</v>
      </c>
      <c r="HD45">
        <v>5.2068099999999999</v>
      </c>
      <c r="HE45">
        <v>11.937200000000001</v>
      </c>
      <c r="HF45">
        <v>4.9867999999999997</v>
      </c>
      <c r="HG45">
        <v>3.2901799999999999</v>
      </c>
      <c r="HH45">
        <v>9999</v>
      </c>
      <c r="HI45">
        <v>9999</v>
      </c>
      <c r="HJ45">
        <v>9999</v>
      </c>
      <c r="HK45">
        <v>999.9</v>
      </c>
      <c r="HL45">
        <v>1.87042</v>
      </c>
      <c r="HM45">
        <v>1.8766799999999999</v>
      </c>
      <c r="HN45">
        <v>1.87439</v>
      </c>
      <c r="HO45">
        <v>1.8727</v>
      </c>
      <c r="HP45">
        <v>1.87314</v>
      </c>
      <c r="HQ45">
        <v>1.8705499999999999</v>
      </c>
      <c r="HR45">
        <v>1.8764400000000001</v>
      </c>
      <c r="HS45">
        <v>1.8755900000000001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424</v>
      </c>
      <c r="IB45" t="s">
        <v>424</v>
      </c>
      <c r="IC45" t="s">
        <v>423</v>
      </c>
      <c r="ID45">
        <v>0</v>
      </c>
      <c r="IE45">
        <v>100</v>
      </c>
      <c r="IF45">
        <v>100</v>
      </c>
      <c r="IG45">
        <v>-3.5129999999999999</v>
      </c>
      <c r="IH45">
        <v>0.33329999999999999</v>
      </c>
      <c r="II45">
        <v>-2.822558582393639</v>
      </c>
      <c r="IJ45">
        <v>-2.536945948238235E-3</v>
      </c>
      <c r="IK45">
        <v>1.581473279927893E-6</v>
      </c>
      <c r="IL45">
        <v>-4.6698293441882044E-10</v>
      </c>
      <c r="IM45">
        <v>-0.1790031207007062</v>
      </c>
      <c r="IN45">
        <v>-1.5895243091576399E-2</v>
      </c>
      <c r="IO45">
        <v>1.559614309849521E-3</v>
      </c>
      <c r="IP45">
        <v>-2.4566050869858518E-6</v>
      </c>
      <c r="IQ45">
        <v>2</v>
      </c>
      <c r="IR45">
        <v>2224</v>
      </c>
      <c r="IS45">
        <v>2</v>
      </c>
      <c r="IT45">
        <v>25</v>
      </c>
      <c r="IU45">
        <v>0.6</v>
      </c>
      <c r="IV45">
        <v>0.5</v>
      </c>
      <c r="IW45">
        <v>0.94116200000000005</v>
      </c>
      <c r="IX45">
        <v>2.4841299999999999</v>
      </c>
      <c r="IY45">
        <v>1.65039</v>
      </c>
      <c r="IZ45">
        <v>2.2912599999999999</v>
      </c>
      <c r="JA45">
        <v>1.50024</v>
      </c>
      <c r="JB45">
        <v>2.3974600000000001</v>
      </c>
      <c r="JC45">
        <v>39.217300000000002</v>
      </c>
      <c r="JD45">
        <v>23.868600000000001</v>
      </c>
      <c r="JE45">
        <v>18</v>
      </c>
      <c r="JF45">
        <v>493.18599999999998</v>
      </c>
      <c r="JG45">
        <v>460.41399999999999</v>
      </c>
      <c r="JH45">
        <v>25.0473</v>
      </c>
      <c r="JI45">
        <v>31.971399999999999</v>
      </c>
      <c r="JJ45">
        <v>29.9999</v>
      </c>
      <c r="JK45">
        <v>32.018099999999997</v>
      </c>
      <c r="JL45">
        <v>32.003300000000003</v>
      </c>
      <c r="JM45">
        <v>18.868600000000001</v>
      </c>
      <c r="JN45">
        <v>36.138800000000003</v>
      </c>
      <c r="JO45">
        <v>44.224699999999999</v>
      </c>
      <c r="JP45">
        <v>25.048500000000001</v>
      </c>
      <c r="JQ45">
        <v>400</v>
      </c>
      <c r="JR45">
        <v>17.8904</v>
      </c>
      <c r="JS45">
        <v>100.012</v>
      </c>
      <c r="JT45">
        <v>99.266800000000003</v>
      </c>
    </row>
    <row r="46" spans="1:280" x14ac:dyDescent="0.25">
      <c r="A46">
        <v>30</v>
      </c>
      <c r="B46">
        <v>1674579987.5</v>
      </c>
      <c r="C46">
        <v>5852.9000000953674</v>
      </c>
      <c r="D46" t="s">
        <v>570</v>
      </c>
      <c r="E46" t="s">
        <v>571</v>
      </c>
      <c r="F46" t="s">
        <v>412</v>
      </c>
      <c r="G46" t="s">
        <v>565</v>
      </c>
      <c r="H46" t="s">
        <v>566</v>
      </c>
      <c r="I46">
        <v>1674579987.5</v>
      </c>
      <c r="J46">
        <f t="shared" si="0"/>
        <v>6.0790325208679883E-3</v>
      </c>
      <c r="K46">
        <f t="shared" si="1"/>
        <v>6.0790325208679885</v>
      </c>
      <c r="L46">
        <f t="shared" si="2"/>
        <v>46.542194387754598</v>
      </c>
      <c r="M46">
        <f t="shared" si="3"/>
        <v>242.375</v>
      </c>
      <c r="N46">
        <f t="shared" si="4"/>
        <v>84.145745922769038</v>
      </c>
      <c r="O46">
        <f t="shared" si="5"/>
        <v>8.4031364001818094</v>
      </c>
      <c r="P46">
        <f t="shared" si="6"/>
        <v>24.2045532148875</v>
      </c>
      <c r="Q46">
        <f t="shared" si="7"/>
        <v>0.52110883111812445</v>
      </c>
      <c r="R46">
        <f t="shared" si="8"/>
        <v>2.9274985483725526</v>
      </c>
      <c r="S46">
        <f t="shared" si="9"/>
        <v>0.47452622539295802</v>
      </c>
      <c r="T46">
        <f t="shared" si="10"/>
        <v>0.30041637863725523</v>
      </c>
      <c r="U46">
        <f t="shared" si="11"/>
        <v>344.3611986050098</v>
      </c>
      <c r="V46">
        <f t="shared" si="12"/>
        <v>28.444897305512445</v>
      </c>
      <c r="W46">
        <f t="shared" si="13"/>
        <v>27.689800000000002</v>
      </c>
      <c r="X46">
        <f t="shared" si="14"/>
        <v>3.7267542866130015</v>
      </c>
      <c r="Y46">
        <f t="shared" si="15"/>
        <v>65.561005067493326</v>
      </c>
      <c r="Z46">
        <f t="shared" si="16"/>
        <v>2.48722443661809</v>
      </c>
      <c r="AA46">
        <f t="shared" si="17"/>
        <v>3.7937558066072321</v>
      </c>
      <c r="AB46">
        <f t="shared" si="18"/>
        <v>1.2395298499949114</v>
      </c>
      <c r="AC46">
        <f t="shared" si="19"/>
        <v>-268.08533417027826</v>
      </c>
      <c r="AD46">
        <f t="shared" si="20"/>
        <v>48.184675221179432</v>
      </c>
      <c r="AE46">
        <f t="shared" si="21"/>
        <v>3.5821264935056232</v>
      </c>
      <c r="AF46">
        <f t="shared" si="22"/>
        <v>128.04266614941656</v>
      </c>
      <c r="AG46">
        <v>6</v>
      </c>
      <c r="AH46">
        <v>1</v>
      </c>
      <c r="AI46">
        <f t="shared" si="23"/>
        <v>1</v>
      </c>
      <c r="AJ46">
        <f t="shared" si="24"/>
        <v>0</v>
      </c>
      <c r="AK46">
        <f t="shared" si="25"/>
        <v>52638.191231161756</v>
      </c>
      <c r="AL46" t="s">
        <v>415</v>
      </c>
      <c r="AM46">
        <v>10424.1</v>
      </c>
      <c r="AN46">
        <v>628.54280000000006</v>
      </c>
      <c r="AO46">
        <v>2663.98</v>
      </c>
      <c r="AP46">
        <f t="shared" si="26"/>
        <v>0.76405873917972356</v>
      </c>
      <c r="AQ46">
        <v>-3.1675626227050531</v>
      </c>
      <c r="AR46" t="s">
        <v>572</v>
      </c>
      <c r="AS46">
        <v>10211.1</v>
      </c>
      <c r="AT46">
        <v>734.39464000000009</v>
      </c>
      <c r="AU46">
        <v>1114.991952669081</v>
      </c>
      <c r="AV46">
        <f t="shared" si="27"/>
        <v>0.34134534492199919</v>
      </c>
      <c r="AW46">
        <v>0.5</v>
      </c>
      <c r="AX46">
        <f t="shared" si="28"/>
        <v>1513.1507993025048</v>
      </c>
      <c r="AY46">
        <f t="shared" si="29"/>
        <v>46.542194387754598</v>
      </c>
      <c r="AZ46">
        <f t="shared" si="30"/>
        <v>258.25349075345611</v>
      </c>
      <c r="BA46">
        <f t="shared" si="31"/>
        <v>3.285181954989129E-2</v>
      </c>
      <c r="BB46">
        <f t="shared" si="32"/>
        <v>1.389236974870476</v>
      </c>
      <c r="BC46">
        <f t="shared" si="33"/>
        <v>473.37932010875221</v>
      </c>
      <c r="BD46" t="s">
        <v>573</v>
      </c>
      <c r="BE46">
        <v>556.13</v>
      </c>
      <c r="BF46">
        <f t="shared" si="34"/>
        <v>556.13</v>
      </c>
      <c r="BG46">
        <f t="shared" si="35"/>
        <v>0.50122509972495366</v>
      </c>
      <c r="BH46">
        <f t="shared" si="36"/>
        <v>0.68102204999173388</v>
      </c>
      <c r="BI46">
        <f t="shared" si="37"/>
        <v>0.73486635544792989</v>
      </c>
      <c r="BJ46">
        <f t="shared" si="38"/>
        <v>0.78239896314094648</v>
      </c>
      <c r="BK46">
        <f t="shared" si="39"/>
        <v>0.76100999202083908</v>
      </c>
      <c r="BL46">
        <f t="shared" si="40"/>
        <v>0.5157129042525459</v>
      </c>
      <c r="BM46">
        <f t="shared" si="41"/>
        <v>0.4842870957474541</v>
      </c>
      <c r="BN46">
        <v>20223</v>
      </c>
      <c r="BO46">
        <v>290.00000000000011</v>
      </c>
      <c r="BP46">
        <v>1011.75</v>
      </c>
      <c r="BQ46">
        <v>175</v>
      </c>
      <c r="BR46">
        <v>10211.1</v>
      </c>
      <c r="BS46">
        <v>1010.69</v>
      </c>
      <c r="BT46">
        <v>1.06</v>
      </c>
      <c r="BU46">
        <v>300.00000000000011</v>
      </c>
      <c r="BV46">
        <v>24.2</v>
      </c>
      <c r="BW46">
        <v>1114.991952669081</v>
      </c>
      <c r="BX46">
        <v>2.3431391709083278</v>
      </c>
      <c r="BY46">
        <v>-106.5076767660503</v>
      </c>
      <c r="BZ46">
        <v>2.1276368382242672</v>
      </c>
      <c r="CA46">
        <v>0.98894991778815267</v>
      </c>
      <c r="CB46">
        <v>-6.9467706340378133E-3</v>
      </c>
      <c r="CC46">
        <v>289.99999999999989</v>
      </c>
      <c r="CD46">
        <v>1007.82</v>
      </c>
      <c r="CE46">
        <v>655</v>
      </c>
      <c r="CF46">
        <v>10173.9</v>
      </c>
      <c r="CG46">
        <v>1010.3</v>
      </c>
      <c r="CH46">
        <v>-2.48</v>
      </c>
      <c r="CV46">
        <f t="shared" si="42"/>
        <v>1799.96</v>
      </c>
      <c r="CW46">
        <f t="shared" si="43"/>
        <v>1513.1507993025048</v>
      </c>
      <c r="CX46">
        <f t="shared" si="44"/>
        <v>0.84065801423504116</v>
      </c>
      <c r="CY46">
        <f t="shared" si="45"/>
        <v>0.19131602847008256</v>
      </c>
      <c r="CZ46">
        <v>6</v>
      </c>
      <c r="DA46">
        <v>0.5</v>
      </c>
      <c r="DB46" t="s">
        <v>418</v>
      </c>
      <c r="DC46">
        <v>2</v>
      </c>
      <c r="DD46">
        <v>1674579987.5</v>
      </c>
      <c r="DE46">
        <v>242.375</v>
      </c>
      <c r="DF46">
        <v>299.98599999999999</v>
      </c>
      <c r="DG46">
        <v>24.906099999999999</v>
      </c>
      <c r="DH46">
        <v>17.793900000000001</v>
      </c>
      <c r="DI46">
        <v>245.45599999999999</v>
      </c>
      <c r="DJ46">
        <v>24.567599999999999</v>
      </c>
      <c r="DK46">
        <v>500.06700000000001</v>
      </c>
      <c r="DL46">
        <v>99.764399999999995</v>
      </c>
      <c r="DM46">
        <v>9.9666900000000003E-2</v>
      </c>
      <c r="DN46">
        <v>27.995100000000001</v>
      </c>
      <c r="DO46">
        <v>27.689800000000002</v>
      </c>
      <c r="DP46">
        <v>999.9</v>
      </c>
      <c r="DQ46">
        <v>0</v>
      </c>
      <c r="DR46">
        <v>0</v>
      </c>
      <c r="DS46">
        <v>10011.9</v>
      </c>
      <c r="DT46">
        <v>0</v>
      </c>
      <c r="DU46">
        <v>564.702</v>
      </c>
      <c r="DV46">
        <v>-57.6111</v>
      </c>
      <c r="DW46">
        <v>248.566</v>
      </c>
      <c r="DX46">
        <v>305.42099999999999</v>
      </c>
      <c r="DY46">
        <v>7.1121299999999996</v>
      </c>
      <c r="DZ46">
        <v>299.98599999999999</v>
      </c>
      <c r="EA46">
        <v>17.793900000000001</v>
      </c>
      <c r="EB46">
        <v>2.4847399999999999</v>
      </c>
      <c r="EC46">
        <v>1.7751999999999999</v>
      </c>
      <c r="ED46">
        <v>20.9269</v>
      </c>
      <c r="EE46">
        <v>15.5701</v>
      </c>
      <c r="EF46">
        <v>1799.96</v>
      </c>
      <c r="EG46">
        <v>0.97800399999999998</v>
      </c>
      <c r="EH46">
        <v>2.1996000000000002E-2</v>
      </c>
      <c r="EI46">
        <v>0</v>
      </c>
      <c r="EJ46">
        <v>733.98299999999995</v>
      </c>
      <c r="EK46">
        <v>5.0010599999999998</v>
      </c>
      <c r="EL46">
        <v>13771.9</v>
      </c>
      <c r="EM46">
        <v>16710.7</v>
      </c>
      <c r="EN46">
        <v>47.875</v>
      </c>
      <c r="EO46">
        <v>48.811999999999998</v>
      </c>
      <c r="EP46">
        <v>48.875</v>
      </c>
      <c r="EQ46">
        <v>47.375</v>
      </c>
      <c r="ER46">
        <v>48.811999999999998</v>
      </c>
      <c r="ES46">
        <v>1755.48</v>
      </c>
      <c r="ET46">
        <v>39.479999999999997</v>
      </c>
      <c r="EU46">
        <v>0</v>
      </c>
      <c r="EV46">
        <v>107</v>
      </c>
      <c r="EW46">
        <v>0</v>
      </c>
      <c r="EX46">
        <v>734.39464000000009</v>
      </c>
      <c r="EY46">
        <v>-4.463230760477968</v>
      </c>
      <c r="EZ46">
        <v>-66.946153812059094</v>
      </c>
      <c r="FA46">
        <v>13779.7</v>
      </c>
      <c r="FB46">
        <v>15</v>
      </c>
      <c r="FC46">
        <v>1674579955.5</v>
      </c>
      <c r="FD46" t="s">
        <v>574</v>
      </c>
      <c r="FE46">
        <v>1674579944</v>
      </c>
      <c r="FF46">
        <v>1674579955.5</v>
      </c>
      <c r="FG46">
        <v>34</v>
      </c>
      <c r="FH46">
        <v>0.27600000000000002</v>
      </c>
      <c r="FI46">
        <v>3.0000000000000001E-3</v>
      </c>
      <c r="FJ46">
        <v>-3.1840000000000002</v>
      </c>
      <c r="FK46">
        <v>1.9E-2</v>
      </c>
      <c r="FL46">
        <v>300</v>
      </c>
      <c r="FM46">
        <v>18</v>
      </c>
      <c r="FN46">
        <v>0.04</v>
      </c>
      <c r="FO46">
        <v>0.02</v>
      </c>
      <c r="FP46">
        <v>46.559037571576461</v>
      </c>
      <c r="FQ46">
        <v>-0.48275561979595027</v>
      </c>
      <c r="FR46">
        <v>8.8713050830661916E-2</v>
      </c>
      <c r="FS46">
        <v>1</v>
      </c>
      <c r="FT46">
        <v>0.5227624297626926</v>
      </c>
      <c r="FU46">
        <v>1.517622344111551E-2</v>
      </c>
      <c r="FV46">
        <v>6.2961254662919118E-3</v>
      </c>
      <c r="FW46">
        <v>1</v>
      </c>
      <c r="FX46">
        <v>2</v>
      </c>
      <c r="FY46">
        <v>2</v>
      </c>
      <c r="FZ46" t="s">
        <v>420</v>
      </c>
      <c r="GA46">
        <v>2.97818</v>
      </c>
      <c r="GB46">
        <v>2.8060999999999998</v>
      </c>
      <c r="GC46">
        <v>6.5558599999999995E-2</v>
      </c>
      <c r="GD46">
        <v>7.6683899999999999E-2</v>
      </c>
      <c r="GE46">
        <v>0.122278</v>
      </c>
      <c r="GF46">
        <v>9.6550999999999998E-2</v>
      </c>
      <c r="GG46">
        <v>27646.9</v>
      </c>
      <c r="GH46">
        <v>25357.4</v>
      </c>
      <c r="GI46">
        <v>26595.3</v>
      </c>
      <c r="GJ46">
        <v>25935.200000000001</v>
      </c>
      <c r="GK46">
        <v>31772.3</v>
      </c>
      <c r="GL46">
        <v>33070.300000000003</v>
      </c>
      <c r="GM46">
        <v>37693.9</v>
      </c>
      <c r="GN46">
        <v>38477.5</v>
      </c>
      <c r="GO46">
        <v>1.9587000000000001</v>
      </c>
      <c r="GP46">
        <v>1.9178999999999999</v>
      </c>
      <c r="GQ46">
        <v>6.0260300000000003E-2</v>
      </c>
      <c r="GR46">
        <v>0</v>
      </c>
      <c r="GS46">
        <v>26.704599999999999</v>
      </c>
      <c r="GT46">
        <v>999.9</v>
      </c>
      <c r="GU46">
        <v>41.2</v>
      </c>
      <c r="GV46">
        <v>34.9</v>
      </c>
      <c r="GW46">
        <v>23.197700000000001</v>
      </c>
      <c r="GX46">
        <v>61.811799999999998</v>
      </c>
      <c r="GY46">
        <v>12.976800000000001</v>
      </c>
      <c r="GZ46">
        <v>1</v>
      </c>
      <c r="HA46">
        <v>0.36831000000000003</v>
      </c>
      <c r="HB46">
        <v>1.8761300000000001</v>
      </c>
      <c r="HC46">
        <v>20.245000000000001</v>
      </c>
      <c r="HD46">
        <v>5.2072599999999998</v>
      </c>
      <c r="HE46">
        <v>11.937200000000001</v>
      </c>
      <c r="HF46">
        <v>4.9867499999999998</v>
      </c>
      <c r="HG46">
        <v>3.2901500000000001</v>
      </c>
      <c r="HH46">
        <v>9999</v>
      </c>
      <c r="HI46">
        <v>9999</v>
      </c>
      <c r="HJ46">
        <v>9999</v>
      </c>
      <c r="HK46">
        <v>999.9</v>
      </c>
      <c r="HL46">
        <v>1.87043</v>
      </c>
      <c r="HM46">
        <v>1.8766799999999999</v>
      </c>
      <c r="HN46">
        <v>1.87439</v>
      </c>
      <c r="HO46">
        <v>1.8727</v>
      </c>
      <c r="HP46">
        <v>1.8731199999999999</v>
      </c>
      <c r="HQ46">
        <v>1.8705700000000001</v>
      </c>
      <c r="HR46">
        <v>1.8764400000000001</v>
      </c>
      <c r="HS46">
        <v>1.8755900000000001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424</v>
      </c>
      <c r="IB46" t="s">
        <v>424</v>
      </c>
      <c r="IC46" t="s">
        <v>423</v>
      </c>
      <c r="ID46">
        <v>0</v>
      </c>
      <c r="IE46">
        <v>100</v>
      </c>
      <c r="IF46">
        <v>100</v>
      </c>
      <c r="IG46">
        <v>-3.081</v>
      </c>
      <c r="IH46">
        <v>0.33850000000000002</v>
      </c>
      <c r="II46">
        <v>-2.546937632115597</v>
      </c>
      <c r="IJ46">
        <v>-2.536945948238235E-3</v>
      </c>
      <c r="IK46">
        <v>1.581473279927893E-6</v>
      </c>
      <c r="IL46">
        <v>-4.6698293441882044E-10</v>
      </c>
      <c r="IM46">
        <v>-0.17598401090328</v>
      </c>
      <c r="IN46">
        <v>-1.5895243091576399E-2</v>
      </c>
      <c r="IO46">
        <v>1.559614309849521E-3</v>
      </c>
      <c r="IP46">
        <v>-2.4566050869858518E-6</v>
      </c>
      <c r="IQ46">
        <v>2</v>
      </c>
      <c r="IR46">
        <v>2224</v>
      </c>
      <c r="IS46">
        <v>2</v>
      </c>
      <c r="IT46">
        <v>25</v>
      </c>
      <c r="IU46">
        <v>0.7</v>
      </c>
      <c r="IV46">
        <v>0.5</v>
      </c>
      <c r="IW46">
        <v>0.75195299999999998</v>
      </c>
      <c r="IX46">
        <v>2.49146</v>
      </c>
      <c r="IY46">
        <v>1.65039</v>
      </c>
      <c r="IZ46">
        <v>2.2912599999999999</v>
      </c>
      <c r="JA46">
        <v>1.50024</v>
      </c>
      <c r="JB46">
        <v>2.3779300000000001</v>
      </c>
      <c r="JC46">
        <v>39.1676</v>
      </c>
      <c r="JD46">
        <v>23.868600000000001</v>
      </c>
      <c r="JE46">
        <v>18</v>
      </c>
      <c r="JF46">
        <v>493.3</v>
      </c>
      <c r="JG46">
        <v>460.17399999999998</v>
      </c>
      <c r="JH46">
        <v>25.0976</v>
      </c>
      <c r="JI46">
        <v>31.931999999999999</v>
      </c>
      <c r="JJ46">
        <v>29.9999</v>
      </c>
      <c r="JK46">
        <v>31.984100000000002</v>
      </c>
      <c r="JL46">
        <v>31.968299999999999</v>
      </c>
      <c r="JM46">
        <v>15.0923</v>
      </c>
      <c r="JN46">
        <v>36.297699999999999</v>
      </c>
      <c r="JO46">
        <v>43.635800000000003</v>
      </c>
      <c r="JP46">
        <v>25.102399999999999</v>
      </c>
      <c r="JQ46">
        <v>300</v>
      </c>
      <c r="JR46">
        <v>17.730699999999999</v>
      </c>
      <c r="JS46">
        <v>100.02</v>
      </c>
      <c r="JT46">
        <v>99.272400000000005</v>
      </c>
    </row>
    <row r="47" spans="1:280" x14ac:dyDescent="0.25">
      <c r="A47">
        <v>31</v>
      </c>
      <c r="B47">
        <v>1674580094.5</v>
      </c>
      <c r="C47">
        <v>5959.9000000953674</v>
      </c>
      <c r="D47" t="s">
        <v>575</v>
      </c>
      <c r="E47" t="s">
        <v>576</v>
      </c>
      <c r="F47" t="s">
        <v>412</v>
      </c>
      <c r="G47" t="s">
        <v>565</v>
      </c>
      <c r="H47" t="s">
        <v>566</v>
      </c>
      <c r="I47">
        <v>1674580094.5</v>
      </c>
      <c r="J47">
        <f t="shared" si="0"/>
        <v>6.3355943148082289E-3</v>
      </c>
      <c r="K47">
        <f t="shared" si="1"/>
        <v>6.3355943148082288</v>
      </c>
      <c r="L47">
        <f t="shared" si="2"/>
        <v>33.248841391477754</v>
      </c>
      <c r="M47">
        <f t="shared" si="3"/>
        <v>158.90600000000001</v>
      </c>
      <c r="N47">
        <f t="shared" si="4"/>
        <v>50.890785956728926</v>
      </c>
      <c r="O47">
        <f t="shared" si="5"/>
        <v>5.0825061473590738</v>
      </c>
      <c r="P47">
        <f t="shared" si="6"/>
        <v>15.870077592021399</v>
      </c>
      <c r="Q47">
        <f t="shared" si="7"/>
        <v>0.54669296183957161</v>
      </c>
      <c r="R47">
        <f t="shared" si="8"/>
        <v>2.9266212625690842</v>
      </c>
      <c r="S47">
        <f t="shared" si="9"/>
        <v>0.49564982309950245</v>
      </c>
      <c r="T47">
        <f t="shared" si="10"/>
        <v>0.3139690584705801</v>
      </c>
      <c r="U47">
        <f t="shared" si="11"/>
        <v>344.41249860521907</v>
      </c>
      <c r="V47">
        <f t="shared" si="12"/>
        <v>28.384284614244905</v>
      </c>
      <c r="W47">
        <f t="shared" si="13"/>
        <v>27.6813</v>
      </c>
      <c r="X47">
        <f t="shared" si="14"/>
        <v>3.7249037364568278</v>
      </c>
      <c r="Y47">
        <f t="shared" si="15"/>
        <v>65.560255227759342</v>
      </c>
      <c r="Z47">
        <f t="shared" si="16"/>
        <v>2.4880226108735601</v>
      </c>
      <c r="AA47">
        <f t="shared" si="17"/>
        <v>3.795016664029228</v>
      </c>
      <c r="AB47">
        <f t="shared" si="18"/>
        <v>1.2368811255832677</v>
      </c>
      <c r="AC47">
        <f t="shared" si="19"/>
        <v>-279.39970928304291</v>
      </c>
      <c r="AD47">
        <f t="shared" si="20"/>
        <v>50.410711759686251</v>
      </c>
      <c r="AE47">
        <f t="shared" si="21"/>
        <v>3.7486847848584666</v>
      </c>
      <c r="AF47">
        <f t="shared" si="22"/>
        <v>119.17218586672089</v>
      </c>
      <c r="AG47">
        <v>6</v>
      </c>
      <c r="AH47">
        <v>1</v>
      </c>
      <c r="AI47">
        <f t="shared" si="23"/>
        <v>1</v>
      </c>
      <c r="AJ47">
        <f t="shared" si="24"/>
        <v>0</v>
      </c>
      <c r="AK47">
        <f t="shared" si="25"/>
        <v>52612.096492218232</v>
      </c>
      <c r="AL47" t="s">
        <v>415</v>
      </c>
      <c r="AM47">
        <v>10424.1</v>
      </c>
      <c r="AN47">
        <v>628.54280000000006</v>
      </c>
      <c r="AO47">
        <v>2663.98</v>
      </c>
      <c r="AP47">
        <f t="shared" si="26"/>
        <v>0.76405873917972356</v>
      </c>
      <c r="AQ47">
        <v>-3.1675626227050531</v>
      </c>
      <c r="AR47" t="s">
        <v>577</v>
      </c>
      <c r="AS47">
        <v>10204.700000000001</v>
      </c>
      <c r="AT47">
        <v>723.99223076923067</v>
      </c>
      <c r="AU47">
        <v>1003.979858348207</v>
      </c>
      <c r="AV47">
        <f t="shared" si="27"/>
        <v>0.2788777337023719</v>
      </c>
      <c r="AW47">
        <v>0.5</v>
      </c>
      <c r="AX47">
        <f t="shared" si="28"/>
        <v>1513.3775993026095</v>
      </c>
      <c r="AY47">
        <f t="shared" si="29"/>
        <v>33.248841391477754</v>
      </c>
      <c r="AZ47">
        <f t="shared" si="30"/>
        <v>211.023657564724</v>
      </c>
      <c r="BA47">
        <f t="shared" si="31"/>
        <v>2.4062999234932589E-2</v>
      </c>
      <c r="BB47">
        <f t="shared" si="32"/>
        <v>1.6534197651961864</v>
      </c>
      <c r="BC47">
        <f t="shared" si="33"/>
        <v>452.15330102721703</v>
      </c>
      <c r="BD47" t="s">
        <v>578</v>
      </c>
      <c r="BE47">
        <v>541.37</v>
      </c>
      <c r="BF47">
        <f t="shared" si="34"/>
        <v>541.37</v>
      </c>
      <c r="BG47">
        <f t="shared" si="35"/>
        <v>0.46077603499866382</v>
      </c>
      <c r="BH47">
        <f t="shared" si="36"/>
        <v>0.60523489183455603</v>
      </c>
      <c r="BI47">
        <f t="shared" si="37"/>
        <v>0.78205612036680916</v>
      </c>
      <c r="BJ47">
        <f t="shared" si="38"/>
        <v>0.74576449328370764</v>
      </c>
      <c r="BK47">
        <f t="shared" si="39"/>
        <v>0.81554967240050102</v>
      </c>
      <c r="BL47">
        <f t="shared" si="40"/>
        <v>0.452568410912841</v>
      </c>
      <c r="BM47">
        <f t="shared" si="41"/>
        <v>0.54743158908715905</v>
      </c>
      <c r="BN47">
        <v>20225</v>
      </c>
      <c r="BO47">
        <v>290.00000000000011</v>
      </c>
      <c r="BP47">
        <v>929.95</v>
      </c>
      <c r="BQ47">
        <v>205</v>
      </c>
      <c r="BR47">
        <v>10204.700000000001</v>
      </c>
      <c r="BS47">
        <v>928.18</v>
      </c>
      <c r="BT47">
        <v>1.77</v>
      </c>
      <c r="BU47">
        <v>300.00000000000011</v>
      </c>
      <c r="BV47">
        <v>24.2</v>
      </c>
      <c r="BW47">
        <v>1003.979858348207</v>
      </c>
      <c r="BX47">
        <v>2.192195270716697</v>
      </c>
      <c r="BY47">
        <v>-77.353872968477603</v>
      </c>
      <c r="BZ47">
        <v>1.990439731498465</v>
      </c>
      <c r="CA47">
        <v>0.98179820562812936</v>
      </c>
      <c r="CB47">
        <v>-6.9460952169076821E-3</v>
      </c>
      <c r="CC47">
        <v>289.99999999999989</v>
      </c>
      <c r="CD47">
        <v>926.89</v>
      </c>
      <c r="CE47">
        <v>725</v>
      </c>
      <c r="CF47">
        <v>10168.1</v>
      </c>
      <c r="CG47">
        <v>927.9</v>
      </c>
      <c r="CH47">
        <v>-1.01</v>
      </c>
      <c r="CV47">
        <f t="shared" si="42"/>
        <v>1800.23</v>
      </c>
      <c r="CW47">
        <f t="shared" si="43"/>
        <v>1513.3775993026095</v>
      </c>
      <c r="CX47">
        <f t="shared" si="44"/>
        <v>0.84065791554557445</v>
      </c>
      <c r="CY47">
        <f t="shared" si="45"/>
        <v>0.19131583109114894</v>
      </c>
      <c r="CZ47">
        <v>6</v>
      </c>
      <c r="DA47">
        <v>0.5</v>
      </c>
      <c r="DB47" t="s">
        <v>418</v>
      </c>
      <c r="DC47">
        <v>2</v>
      </c>
      <c r="DD47">
        <v>1674580094.5</v>
      </c>
      <c r="DE47">
        <v>158.90600000000001</v>
      </c>
      <c r="DF47">
        <v>200.011</v>
      </c>
      <c r="DG47">
        <v>24.912400000000002</v>
      </c>
      <c r="DH47">
        <v>17.499400000000001</v>
      </c>
      <c r="DI47">
        <v>161.589</v>
      </c>
      <c r="DJ47">
        <v>24.5749</v>
      </c>
      <c r="DK47">
        <v>500.02100000000002</v>
      </c>
      <c r="DL47">
        <v>99.771299999999997</v>
      </c>
      <c r="DM47">
        <v>9.9551899999999999E-2</v>
      </c>
      <c r="DN47">
        <v>28.000800000000002</v>
      </c>
      <c r="DO47">
        <v>27.6813</v>
      </c>
      <c r="DP47">
        <v>999.9</v>
      </c>
      <c r="DQ47">
        <v>0</v>
      </c>
      <c r="DR47">
        <v>0</v>
      </c>
      <c r="DS47">
        <v>10006.200000000001</v>
      </c>
      <c r="DT47">
        <v>0</v>
      </c>
      <c r="DU47">
        <v>561.43499999999995</v>
      </c>
      <c r="DV47">
        <v>-41.104900000000001</v>
      </c>
      <c r="DW47">
        <v>162.96600000000001</v>
      </c>
      <c r="DX47">
        <v>203.57300000000001</v>
      </c>
      <c r="DY47">
        <v>7.4130099999999999</v>
      </c>
      <c r="DZ47">
        <v>200.011</v>
      </c>
      <c r="EA47">
        <v>17.499400000000001</v>
      </c>
      <c r="EB47">
        <v>2.4855499999999999</v>
      </c>
      <c r="EC47">
        <v>1.74594</v>
      </c>
      <c r="ED47">
        <v>20.932200000000002</v>
      </c>
      <c r="EE47">
        <v>15.311</v>
      </c>
      <c r="EF47">
        <v>1800.23</v>
      </c>
      <c r="EG47">
        <v>0.97800699999999996</v>
      </c>
      <c r="EH47">
        <v>2.1992500000000002E-2</v>
      </c>
      <c r="EI47">
        <v>0</v>
      </c>
      <c r="EJ47">
        <v>722.83900000000006</v>
      </c>
      <c r="EK47">
        <v>5.0010599999999998</v>
      </c>
      <c r="EL47">
        <v>13564.2</v>
      </c>
      <c r="EM47">
        <v>16713.2</v>
      </c>
      <c r="EN47">
        <v>47.875</v>
      </c>
      <c r="EO47">
        <v>48.75</v>
      </c>
      <c r="EP47">
        <v>48.875</v>
      </c>
      <c r="EQ47">
        <v>47.375</v>
      </c>
      <c r="ER47">
        <v>48.811999999999998</v>
      </c>
      <c r="ES47">
        <v>1755.75</v>
      </c>
      <c r="ET47">
        <v>39.479999999999997</v>
      </c>
      <c r="EU47">
        <v>0</v>
      </c>
      <c r="EV47">
        <v>105.19999980926509</v>
      </c>
      <c r="EW47">
        <v>0</v>
      </c>
      <c r="EX47">
        <v>723.99223076923067</v>
      </c>
      <c r="EY47">
        <v>-7.9128205184270888</v>
      </c>
      <c r="EZ47">
        <v>-132.56410259109921</v>
      </c>
      <c r="FA47">
        <v>13579.51923076923</v>
      </c>
      <c r="FB47">
        <v>15</v>
      </c>
      <c r="FC47">
        <v>1674580062</v>
      </c>
      <c r="FD47" t="s">
        <v>579</v>
      </c>
      <c r="FE47">
        <v>1674580061</v>
      </c>
      <c r="FF47">
        <v>1674580062</v>
      </c>
      <c r="FG47">
        <v>35</v>
      </c>
      <c r="FH47">
        <v>0.23499999999999999</v>
      </c>
      <c r="FI47">
        <v>-1E-3</v>
      </c>
      <c r="FJ47">
        <v>-2.7650000000000001</v>
      </c>
      <c r="FK47">
        <v>1.2E-2</v>
      </c>
      <c r="FL47">
        <v>200</v>
      </c>
      <c r="FM47">
        <v>18</v>
      </c>
      <c r="FN47">
        <v>0.02</v>
      </c>
      <c r="FO47">
        <v>0.01</v>
      </c>
      <c r="FP47">
        <v>33.207918237351329</v>
      </c>
      <c r="FQ47">
        <v>-0.115616827306657</v>
      </c>
      <c r="FR47">
        <v>7.945597211897662E-2</v>
      </c>
      <c r="FS47">
        <v>1</v>
      </c>
      <c r="FT47">
        <v>0.54966074688701083</v>
      </c>
      <c r="FU47">
        <v>2.0802166586100922E-2</v>
      </c>
      <c r="FV47">
        <v>5.7593547458958992E-3</v>
      </c>
      <c r="FW47">
        <v>1</v>
      </c>
      <c r="FX47">
        <v>2</v>
      </c>
      <c r="FY47">
        <v>2</v>
      </c>
      <c r="FZ47" t="s">
        <v>420</v>
      </c>
      <c r="GA47">
        <v>2.9780899999999999</v>
      </c>
      <c r="GB47">
        <v>2.80593</v>
      </c>
      <c r="GC47">
        <v>4.5178799999999998E-2</v>
      </c>
      <c r="GD47">
        <v>5.4163500000000003E-2</v>
      </c>
      <c r="GE47">
        <v>0.122322</v>
      </c>
      <c r="GF47">
        <v>9.5434599999999994E-2</v>
      </c>
      <c r="GG47">
        <v>28250.400000000001</v>
      </c>
      <c r="GH47">
        <v>25977.5</v>
      </c>
      <c r="GI47">
        <v>26595.8</v>
      </c>
      <c r="GJ47">
        <v>25936.6</v>
      </c>
      <c r="GK47">
        <v>31770.400000000001</v>
      </c>
      <c r="GL47">
        <v>33112.1</v>
      </c>
      <c r="GM47">
        <v>37693.9</v>
      </c>
      <c r="GN47">
        <v>38478.699999999997</v>
      </c>
      <c r="GO47">
        <v>1.9595199999999999</v>
      </c>
      <c r="GP47">
        <v>1.9177500000000001</v>
      </c>
      <c r="GQ47">
        <v>6.0200700000000003E-2</v>
      </c>
      <c r="GR47">
        <v>0</v>
      </c>
      <c r="GS47">
        <v>26.697099999999999</v>
      </c>
      <c r="GT47">
        <v>999.9</v>
      </c>
      <c r="GU47">
        <v>40.799999999999997</v>
      </c>
      <c r="GV47">
        <v>34.9</v>
      </c>
      <c r="GW47">
        <v>22.971499999999999</v>
      </c>
      <c r="GX47">
        <v>61.851799999999997</v>
      </c>
      <c r="GY47">
        <v>12.5921</v>
      </c>
      <c r="GZ47">
        <v>1</v>
      </c>
      <c r="HA47">
        <v>0.365313</v>
      </c>
      <c r="HB47">
        <v>1.9737800000000001</v>
      </c>
      <c r="HC47">
        <v>20.243600000000001</v>
      </c>
      <c r="HD47">
        <v>5.2069599999999996</v>
      </c>
      <c r="HE47">
        <v>11.9369</v>
      </c>
      <c r="HF47">
        <v>4.9867999999999997</v>
      </c>
      <c r="HG47">
        <v>3.2901500000000001</v>
      </c>
      <c r="HH47">
        <v>9999</v>
      </c>
      <c r="HI47">
        <v>9999</v>
      </c>
      <c r="HJ47">
        <v>9999</v>
      </c>
      <c r="HK47">
        <v>999.9</v>
      </c>
      <c r="HL47">
        <v>1.87043</v>
      </c>
      <c r="HM47">
        <v>1.87666</v>
      </c>
      <c r="HN47">
        <v>1.87439</v>
      </c>
      <c r="HO47">
        <v>1.8726700000000001</v>
      </c>
      <c r="HP47">
        <v>1.87313</v>
      </c>
      <c r="HQ47">
        <v>1.8705499999999999</v>
      </c>
      <c r="HR47">
        <v>1.87645</v>
      </c>
      <c r="HS47">
        <v>1.8755900000000001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424</v>
      </c>
      <c r="IB47" t="s">
        <v>424</v>
      </c>
      <c r="IC47" t="s">
        <v>423</v>
      </c>
      <c r="ID47">
        <v>0</v>
      </c>
      <c r="IE47">
        <v>100</v>
      </c>
      <c r="IF47">
        <v>100</v>
      </c>
      <c r="IG47">
        <v>-2.6829999999999998</v>
      </c>
      <c r="IH47">
        <v>0.33750000000000002</v>
      </c>
      <c r="II47">
        <v>-2.3122983309173231</v>
      </c>
      <c r="IJ47">
        <v>-2.536945948238235E-3</v>
      </c>
      <c r="IK47">
        <v>1.581473279927893E-6</v>
      </c>
      <c r="IL47">
        <v>-4.6698293441882044E-10</v>
      </c>
      <c r="IM47">
        <v>-0.17730360294025671</v>
      </c>
      <c r="IN47">
        <v>-1.5895243091576399E-2</v>
      </c>
      <c r="IO47">
        <v>1.559614309849521E-3</v>
      </c>
      <c r="IP47">
        <v>-2.4566050869858518E-6</v>
      </c>
      <c r="IQ47">
        <v>2</v>
      </c>
      <c r="IR47">
        <v>2224</v>
      </c>
      <c r="IS47">
        <v>2</v>
      </c>
      <c r="IT47">
        <v>25</v>
      </c>
      <c r="IU47">
        <v>0.6</v>
      </c>
      <c r="IV47">
        <v>0.5</v>
      </c>
      <c r="IW47">
        <v>0.55542000000000002</v>
      </c>
      <c r="IX47">
        <v>2.49146</v>
      </c>
      <c r="IY47">
        <v>1.65039</v>
      </c>
      <c r="IZ47">
        <v>2.2900399999999999</v>
      </c>
      <c r="JA47">
        <v>1.50024</v>
      </c>
      <c r="JB47">
        <v>2.3547400000000001</v>
      </c>
      <c r="JC47">
        <v>39.118000000000002</v>
      </c>
      <c r="JD47">
        <v>23.868600000000001</v>
      </c>
      <c r="JE47">
        <v>18</v>
      </c>
      <c r="JF47">
        <v>493.553</v>
      </c>
      <c r="JG47">
        <v>459.81400000000002</v>
      </c>
      <c r="JH47">
        <v>25.050799999999999</v>
      </c>
      <c r="JI47">
        <v>31.894600000000001</v>
      </c>
      <c r="JJ47">
        <v>30</v>
      </c>
      <c r="JK47">
        <v>31.949400000000001</v>
      </c>
      <c r="JL47">
        <v>31.9345</v>
      </c>
      <c r="JM47">
        <v>11.154400000000001</v>
      </c>
      <c r="JN47">
        <v>36.712200000000003</v>
      </c>
      <c r="JO47">
        <v>42.676299999999998</v>
      </c>
      <c r="JP47">
        <v>25.049800000000001</v>
      </c>
      <c r="JQ47">
        <v>200</v>
      </c>
      <c r="JR47">
        <v>17.444600000000001</v>
      </c>
      <c r="JS47">
        <v>100.02</v>
      </c>
      <c r="JT47">
        <v>99.276399999999995</v>
      </c>
    </row>
    <row r="48" spans="1:280" x14ac:dyDescent="0.25">
      <c r="A48">
        <v>32</v>
      </c>
      <c r="B48">
        <v>1674580208</v>
      </c>
      <c r="C48">
        <v>6073.4000000953674</v>
      </c>
      <c r="D48" t="s">
        <v>580</v>
      </c>
      <c r="E48" t="s">
        <v>581</v>
      </c>
      <c r="F48" t="s">
        <v>412</v>
      </c>
      <c r="G48" t="s">
        <v>565</v>
      </c>
      <c r="H48" t="s">
        <v>566</v>
      </c>
      <c r="I48">
        <v>1674580208</v>
      </c>
      <c r="J48">
        <f t="shared" si="0"/>
        <v>6.7113101552156874E-3</v>
      </c>
      <c r="K48">
        <f t="shared" si="1"/>
        <v>6.7113101552156875</v>
      </c>
      <c r="L48">
        <f t="shared" si="2"/>
        <v>20.993433395467854</v>
      </c>
      <c r="M48">
        <f t="shared" si="3"/>
        <v>94.039900000000003</v>
      </c>
      <c r="N48">
        <f t="shared" si="4"/>
        <v>30.239396686070684</v>
      </c>
      <c r="O48">
        <f t="shared" si="5"/>
        <v>3.0201119627506059</v>
      </c>
      <c r="P48">
        <f t="shared" si="6"/>
        <v>9.3920864200540102</v>
      </c>
      <c r="Q48">
        <f t="shared" si="7"/>
        <v>0.58788889093782248</v>
      </c>
      <c r="R48">
        <f t="shared" si="8"/>
        <v>2.9260150343525799</v>
      </c>
      <c r="S48">
        <f t="shared" si="9"/>
        <v>0.52929296209999721</v>
      </c>
      <c r="T48">
        <f t="shared" si="10"/>
        <v>0.33558468564243332</v>
      </c>
      <c r="U48">
        <f t="shared" si="11"/>
        <v>344.36689860503304</v>
      </c>
      <c r="V48">
        <f t="shared" si="12"/>
        <v>28.283836825577264</v>
      </c>
      <c r="W48">
        <f t="shared" si="13"/>
        <v>27.660399999999999</v>
      </c>
      <c r="X48">
        <f t="shared" si="14"/>
        <v>3.720356969468317</v>
      </c>
      <c r="Y48">
        <f t="shared" si="15"/>
        <v>65.710997193131632</v>
      </c>
      <c r="Z48">
        <f t="shared" si="16"/>
        <v>2.4933798771714599</v>
      </c>
      <c r="AA48">
        <f t="shared" si="17"/>
        <v>3.7944636113847894</v>
      </c>
      <c r="AB48">
        <f t="shared" si="18"/>
        <v>1.226977092296857</v>
      </c>
      <c r="AC48">
        <f t="shared" si="19"/>
        <v>-295.9687778450118</v>
      </c>
      <c r="AD48">
        <f t="shared" si="20"/>
        <v>53.302820283568494</v>
      </c>
      <c r="AE48">
        <f t="shared" si="21"/>
        <v>3.9641090754097905</v>
      </c>
      <c r="AF48">
        <f t="shared" si="22"/>
        <v>105.66505011899953</v>
      </c>
      <c r="AG48">
        <v>6</v>
      </c>
      <c r="AH48">
        <v>1</v>
      </c>
      <c r="AI48">
        <f t="shared" si="23"/>
        <v>1</v>
      </c>
      <c r="AJ48">
        <f t="shared" si="24"/>
        <v>0</v>
      </c>
      <c r="AK48">
        <f t="shared" si="25"/>
        <v>52595.141100142966</v>
      </c>
      <c r="AL48" t="s">
        <v>415</v>
      </c>
      <c r="AM48">
        <v>10424.1</v>
      </c>
      <c r="AN48">
        <v>628.54280000000006</v>
      </c>
      <c r="AO48">
        <v>2663.98</v>
      </c>
      <c r="AP48">
        <f t="shared" si="26"/>
        <v>0.76405873917972356</v>
      </c>
      <c r="AQ48">
        <v>-3.1675626227050531</v>
      </c>
      <c r="AR48" t="s">
        <v>582</v>
      </c>
      <c r="AS48">
        <v>10227.6</v>
      </c>
      <c r="AT48">
        <v>739.56057692307695</v>
      </c>
      <c r="AU48">
        <v>913.84769321254169</v>
      </c>
      <c r="AV48">
        <f t="shared" si="27"/>
        <v>0.1907179036331268</v>
      </c>
      <c r="AW48">
        <v>0.5</v>
      </c>
      <c r="AX48">
        <f t="shared" si="28"/>
        <v>1513.1759993025164</v>
      </c>
      <c r="AY48">
        <f t="shared" si="29"/>
        <v>20.993433395467854</v>
      </c>
      <c r="AZ48">
        <f t="shared" si="30"/>
        <v>144.29487720746883</v>
      </c>
      <c r="BA48">
        <f t="shared" si="31"/>
        <v>1.596707589157486E-2</v>
      </c>
      <c r="BB48">
        <f t="shared" si="32"/>
        <v>1.9151247191258318</v>
      </c>
      <c r="BC48">
        <f t="shared" si="33"/>
        <v>432.92337027936134</v>
      </c>
      <c r="BD48" t="s">
        <v>583</v>
      </c>
      <c r="BE48">
        <v>538.30999999999995</v>
      </c>
      <c r="BF48">
        <f t="shared" si="34"/>
        <v>538.30999999999995</v>
      </c>
      <c r="BG48">
        <f t="shared" si="35"/>
        <v>0.41094122795492971</v>
      </c>
      <c r="BH48">
        <f t="shared" si="36"/>
        <v>0.46410019404050629</v>
      </c>
      <c r="BI48">
        <f t="shared" si="37"/>
        <v>0.82333208202000219</v>
      </c>
      <c r="BJ48">
        <f t="shared" si="38"/>
        <v>0.6108802212502793</v>
      </c>
      <c r="BK48">
        <f t="shared" si="39"/>
        <v>0.85983114919362702</v>
      </c>
      <c r="BL48">
        <f t="shared" si="40"/>
        <v>0.33780840035221371</v>
      </c>
      <c r="BM48">
        <f t="shared" si="41"/>
        <v>0.66219159964778629</v>
      </c>
      <c r="BN48">
        <v>20227</v>
      </c>
      <c r="BO48">
        <v>290.00000000000011</v>
      </c>
      <c r="BP48">
        <v>874.84</v>
      </c>
      <c r="BQ48">
        <v>95</v>
      </c>
      <c r="BR48">
        <v>10227.6</v>
      </c>
      <c r="BS48">
        <v>875.59</v>
      </c>
      <c r="BT48">
        <v>-0.75</v>
      </c>
      <c r="BU48">
        <v>300.00000000000011</v>
      </c>
      <c r="BV48">
        <v>24.2</v>
      </c>
      <c r="BW48">
        <v>913.84769321254169</v>
      </c>
      <c r="BX48">
        <v>2.1941402496611579</v>
      </c>
      <c r="BY48">
        <v>-39.130385145627642</v>
      </c>
      <c r="BZ48">
        <v>1.9921439421096849</v>
      </c>
      <c r="CA48">
        <v>0.93233803324013131</v>
      </c>
      <c r="CB48">
        <v>-6.9457303670745346E-3</v>
      </c>
      <c r="CC48">
        <v>289.99999999999989</v>
      </c>
      <c r="CD48">
        <v>876.07</v>
      </c>
      <c r="CE48">
        <v>645</v>
      </c>
      <c r="CF48">
        <v>10173.700000000001</v>
      </c>
      <c r="CG48">
        <v>875.39</v>
      </c>
      <c r="CH48">
        <v>0.68</v>
      </c>
      <c r="CV48">
        <f t="shared" si="42"/>
        <v>1799.99</v>
      </c>
      <c r="CW48">
        <f t="shared" si="43"/>
        <v>1513.1759993025164</v>
      </c>
      <c r="CX48">
        <f t="shared" si="44"/>
        <v>0.84065800326808282</v>
      </c>
      <c r="CY48">
        <f t="shared" si="45"/>
        <v>0.19131600653616579</v>
      </c>
      <c r="CZ48">
        <v>6</v>
      </c>
      <c r="DA48">
        <v>0.5</v>
      </c>
      <c r="DB48" t="s">
        <v>418</v>
      </c>
      <c r="DC48">
        <v>2</v>
      </c>
      <c r="DD48">
        <v>1674580208</v>
      </c>
      <c r="DE48">
        <v>94.039900000000003</v>
      </c>
      <c r="DF48">
        <v>119.99</v>
      </c>
      <c r="DG48">
        <v>24.965399999999999</v>
      </c>
      <c r="DH48">
        <v>17.1127</v>
      </c>
      <c r="DI48">
        <v>96.423000000000002</v>
      </c>
      <c r="DJ48">
        <v>24.6205</v>
      </c>
      <c r="DK48">
        <v>499.988</v>
      </c>
      <c r="DL48">
        <v>99.773700000000005</v>
      </c>
      <c r="DM48">
        <v>9.97199E-2</v>
      </c>
      <c r="DN48">
        <v>27.9983</v>
      </c>
      <c r="DO48">
        <v>27.660399999999999</v>
      </c>
      <c r="DP48">
        <v>999.9</v>
      </c>
      <c r="DQ48">
        <v>0</v>
      </c>
      <c r="DR48">
        <v>0</v>
      </c>
      <c r="DS48">
        <v>10002.5</v>
      </c>
      <c r="DT48">
        <v>0</v>
      </c>
      <c r="DU48">
        <v>559.41099999999994</v>
      </c>
      <c r="DV48">
        <v>-25.9496</v>
      </c>
      <c r="DW48">
        <v>96.447800000000001</v>
      </c>
      <c r="DX48">
        <v>122.07899999999999</v>
      </c>
      <c r="DY48">
        <v>7.8527199999999997</v>
      </c>
      <c r="DZ48">
        <v>119.99</v>
      </c>
      <c r="EA48">
        <v>17.1127</v>
      </c>
      <c r="EB48">
        <v>2.4908999999999999</v>
      </c>
      <c r="EC48">
        <v>1.7074</v>
      </c>
      <c r="ED48">
        <v>20.967099999999999</v>
      </c>
      <c r="EE48">
        <v>14.963900000000001</v>
      </c>
      <c r="EF48">
        <v>1799.99</v>
      </c>
      <c r="EG48">
        <v>0.97800399999999998</v>
      </c>
      <c r="EH48">
        <v>2.1996000000000002E-2</v>
      </c>
      <c r="EI48">
        <v>0</v>
      </c>
      <c r="EJ48">
        <v>739.10699999999997</v>
      </c>
      <c r="EK48">
        <v>5.0010599999999998</v>
      </c>
      <c r="EL48">
        <v>13832</v>
      </c>
      <c r="EM48">
        <v>16710.900000000001</v>
      </c>
      <c r="EN48">
        <v>47.875</v>
      </c>
      <c r="EO48">
        <v>48.75</v>
      </c>
      <c r="EP48">
        <v>48.875</v>
      </c>
      <c r="EQ48">
        <v>47.375</v>
      </c>
      <c r="ER48">
        <v>48.811999999999998</v>
      </c>
      <c r="ES48">
        <v>1755.51</v>
      </c>
      <c r="ET48">
        <v>39.479999999999997</v>
      </c>
      <c r="EU48">
        <v>0</v>
      </c>
      <c r="EV48">
        <v>111.5999999046326</v>
      </c>
      <c r="EW48">
        <v>0</v>
      </c>
      <c r="EX48">
        <v>739.56057692307695</v>
      </c>
      <c r="EY48">
        <v>-3.758256414614491</v>
      </c>
      <c r="EZ48">
        <v>-88.194871646458182</v>
      </c>
      <c r="FA48">
        <v>13842.38846153846</v>
      </c>
      <c r="FB48">
        <v>15</v>
      </c>
      <c r="FC48">
        <v>1674580175</v>
      </c>
      <c r="FD48" t="s">
        <v>584</v>
      </c>
      <c r="FE48">
        <v>1674580167</v>
      </c>
      <c r="FF48">
        <v>1674580175</v>
      </c>
      <c r="FG48">
        <v>36</v>
      </c>
      <c r="FH48">
        <v>0.159</v>
      </c>
      <c r="FI48">
        <v>5.0000000000000001E-3</v>
      </c>
      <c r="FJ48">
        <v>-2.44</v>
      </c>
      <c r="FK48">
        <v>7.0000000000000001E-3</v>
      </c>
      <c r="FL48">
        <v>120</v>
      </c>
      <c r="FM48">
        <v>17</v>
      </c>
      <c r="FN48">
        <v>0.05</v>
      </c>
      <c r="FO48">
        <v>0.01</v>
      </c>
      <c r="FP48">
        <v>20.982901292899339</v>
      </c>
      <c r="FQ48">
        <v>-0.26284573413065038</v>
      </c>
      <c r="FR48">
        <v>6.1900740688436477E-2</v>
      </c>
      <c r="FS48">
        <v>1</v>
      </c>
      <c r="FT48">
        <v>0.59393377834696726</v>
      </c>
      <c r="FU48">
        <v>1.6403395169299999E-2</v>
      </c>
      <c r="FV48">
        <v>5.1094675653040227E-3</v>
      </c>
      <c r="FW48">
        <v>1</v>
      </c>
      <c r="FX48">
        <v>2</v>
      </c>
      <c r="FY48">
        <v>2</v>
      </c>
      <c r="FZ48" t="s">
        <v>420</v>
      </c>
      <c r="GA48">
        <v>2.9780500000000001</v>
      </c>
      <c r="GB48">
        <v>2.8060700000000001</v>
      </c>
      <c r="GC48">
        <v>2.7695500000000001E-2</v>
      </c>
      <c r="GD48">
        <v>3.37562E-2</v>
      </c>
      <c r="GE48">
        <v>0.12249400000000001</v>
      </c>
      <c r="GF48">
        <v>9.3949299999999999E-2</v>
      </c>
      <c r="GG48">
        <v>28768.799999999999</v>
      </c>
      <c r="GH48">
        <v>26540.400000000001</v>
      </c>
      <c r="GI48">
        <v>26596.9</v>
      </c>
      <c r="GJ48">
        <v>25939</v>
      </c>
      <c r="GK48">
        <v>31765.1</v>
      </c>
      <c r="GL48">
        <v>33168.9</v>
      </c>
      <c r="GM48">
        <v>37695.4</v>
      </c>
      <c r="GN48">
        <v>38481.699999999997</v>
      </c>
      <c r="GO48">
        <v>1.9604299999999999</v>
      </c>
      <c r="GP48">
        <v>1.9177500000000001</v>
      </c>
      <c r="GQ48">
        <v>5.9060799999999997E-2</v>
      </c>
      <c r="GR48">
        <v>0</v>
      </c>
      <c r="GS48">
        <v>26.694900000000001</v>
      </c>
      <c r="GT48">
        <v>999.9</v>
      </c>
      <c r="GU48">
        <v>40.4</v>
      </c>
      <c r="GV48">
        <v>34.9</v>
      </c>
      <c r="GW48">
        <v>22.744399999999999</v>
      </c>
      <c r="GX48">
        <v>62.031799999999997</v>
      </c>
      <c r="GY48">
        <v>13.197100000000001</v>
      </c>
      <c r="GZ48">
        <v>1</v>
      </c>
      <c r="HA48">
        <v>0.36233500000000002</v>
      </c>
      <c r="HB48">
        <v>1.9856400000000001</v>
      </c>
      <c r="HC48">
        <v>20.243300000000001</v>
      </c>
      <c r="HD48">
        <v>5.2074100000000003</v>
      </c>
      <c r="HE48">
        <v>11.937900000000001</v>
      </c>
      <c r="HF48">
        <v>4.9869500000000002</v>
      </c>
      <c r="HG48">
        <v>3.2900499999999999</v>
      </c>
      <c r="HH48">
        <v>9999</v>
      </c>
      <c r="HI48">
        <v>9999</v>
      </c>
      <c r="HJ48">
        <v>9999</v>
      </c>
      <c r="HK48">
        <v>999.9</v>
      </c>
      <c r="HL48">
        <v>1.87042</v>
      </c>
      <c r="HM48">
        <v>1.8766799999999999</v>
      </c>
      <c r="HN48">
        <v>1.87439</v>
      </c>
      <c r="HO48">
        <v>1.8726799999999999</v>
      </c>
      <c r="HP48">
        <v>1.8731100000000001</v>
      </c>
      <c r="HQ48">
        <v>1.8705400000000001</v>
      </c>
      <c r="HR48">
        <v>1.87642</v>
      </c>
      <c r="HS48">
        <v>1.8755500000000001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424</v>
      </c>
      <c r="IB48" t="s">
        <v>424</v>
      </c>
      <c r="IC48" t="s">
        <v>423</v>
      </c>
      <c r="ID48">
        <v>0</v>
      </c>
      <c r="IE48">
        <v>100</v>
      </c>
      <c r="IF48">
        <v>100</v>
      </c>
      <c r="IG48">
        <v>-2.383</v>
      </c>
      <c r="IH48">
        <v>0.34489999999999998</v>
      </c>
      <c r="II48">
        <v>-2.1527589783857022</v>
      </c>
      <c r="IJ48">
        <v>-2.536945948238235E-3</v>
      </c>
      <c r="IK48">
        <v>1.581473279927893E-6</v>
      </c>
      <c r="IL48">
        <v>-4.6698293441882044E-10</v>
      </c>
      <c r="IM48">
        <v>-0.1724275244720021</v>
      </c>
      <c r="IN48">
        <v>-1.5895243091576399E-2</v>
      </c>
      <c r="IO48">
        <v>1.559614309849521E-3</v>
      </c>
      <c r="IP48">
        <v>-2.4566050869858518E-6</v>
      </c>
      <c r="IQ48">
        <v>2</v>
      </c>
      <c r="IR48">
        <v>2224</v>
      </c>
      <c r="IS48">
        <v>2</v>
      </c>
      <c r="IT48">
        <v>25</v>
      </c>
      <c r="IU48">
        <v>0.7</v>
      </c>
      <c r="IV48">
        <v>0.6</v>
      </c>
      <c r="IW48">
        <v>0.39306600000000003</v>
      </c>
      <c r="IX48">
        <v>2.5122100000000001</v>
      </c>
      <c r="IY48">
        <v>1.65039</v>
      </c>
      <c r="IZ48">
        <v>2.2900399999999999</v>
      </c>
      <c r="JA48">
        <v>1.50024</v>
      </c>
      <c r="JB48">
        <v>2.3864700000000001</v>
      </c>
      <c r="JC48">
        <v>39.043599999999998</v>
      </c>
      <c r="JD48">
        <v>23.868600000000001</v>
      </c>
      <c r="JE48">
        <v>18</v>
      </c>
      <c r="JF48">
        <v>493.81200000000001</v>
      </c>
      <c r="JG48">
        <v>459.50799999999998</v>
      </c>
      <c r="JH48">
        <v>25.031099999999999</v>
      </c>
      <c r="JI48">
        <v>31.8553</v>
      </c>
      <c r="JJ48">
        <v>30</v>
      </c>
      <c r="JK48">
        <v>31.909400000000002</v>
      </c>
      <c r="JL48">
        <v>31.895</v>
      </c>
      <c r="JM48">
        <v>7.9165099999999997</v>
      </c>
      <c r="JN48">
        <v>37.764000000000003</v>
      </c>
      <c r="JO48">
        <v>41.592500000000001</v>
      </c>
      <c r="JP48">
        <v>25.031400000000001</v>
      </c>
      <c r="JQ48">
        <v>120</v>
      </c>
      <c r="JR48">
        <v>17.0213</v>
      </c>
      <c r="JS48">
        <v>100.024</v>
      </c>
      <c r="JT48">
        <v>99.284700000000001</v>
      </c>
    </row>
    <row r="49" spans="1:280" x14ac:dyDescent="0.25">
      <c r="A49">
        <v>33</v>
      </c>
      <c r="B49">
        <v>1674580329.5999999</v>
      </c>
      <c r="C49">
        <v>6195</v>
      </c>
      <c r="D49" t="s">
        <v>585</v>
      </c>
      <c r="E49" t="s">
        <v>586</v>
      </c>
      <c r="F49" t="s">
        <v>412</v>
      </c>
      <c r="G49" t="s">
        <v>565</v>
      </c>
      <c r="H49" t="s">
        <v>566</v>
      </c>
      <c r="I49">
        <v>1674580329.5999999</v>
      </c>
      <c r="J49">
        <f t="shared" ref="J49:J80" si="46">(K49)/1000</f>
        <v>7.1666868343224846E-3</v>
      </c>
      <c r="K49">
        <f t="shared" ref="K49:K80" si="47">1000*DK49*AI49*(DG49-DH49)/(100*CZ49*(1000-AI49*DG49))</f>
        <v>7.1666868343224843</v>
      </c>
      <c r="L49">
        <f t="shared" ref="L49:L80" si="48">DK49*AI49*(DF49-DE49*(1000-AI49*DH49)/(1000-AI49*DG49))/(100*CZ49)</f>
        <v>12.926103606689583</v>
      </c>
      <c r="M49">
        <f t="shared" ref="M49:M80" si="49">DE49 - IF(AI49&gt;1, L49*CZ49*100/(AK49*DS49), 0)</f>
        <v>54.0458</v>
      </c>
      <c r="N49">
        <f t="shared" ref="N49:N80" si="50">((T49-J49/2)*M49-L49)/(T49+J49/2)</f>
        <v>17.589370024051505</v>
      </c>
      <c r="O49">
        <f t="shared" ref="O49:O80" si="51">N49*(DL49+DM49)/1000</f>
        <v>1.7567017980306041</v>
      </c>
      <c r="P49">
        <f t="shared" ref="P49:P80" si="52">(DE49 - IF(AI49&gt;1, L49*CZ49*100/(AK49*DS49), 0))*(DL49+DM49)/1000</f>
        <v>5.3977120218734003</v>
      </c>
      <c r="Q49">
        <f t="shared" ref="Q49:Q80" si="53">2/((1/S49-1/R49)+SIGN(S49)*SQRT((1/S49-1/R49)*(1/S49-1/R49) + 4*DA49/((DA49+1)*(DA49+1))*(2*1/S49*1/R49-1/R49*1/R49)))</f>
        <v>0.63813898911101741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2.9255715609754676</v>
      </c>
      <c r="S49">
        <f t="shared" ref="S49:S80" si="55">J49*(1000-(1000*0.61365*EXP(17.502*W49/(240.97+W49))/(DL49+DM49)+DG49)/2)/(1000*0.61365*EXP(17.502*W49/(240.97+W49))/(DL49+DM49)-DG49)</f>
        <v>0.56971132814606684</v>
      </c>
      <c r="T49">
        <f t="shared" ref="T49:T80" si="56">1/((DA49+1)/(Q49/1.6)+1/(R49/1.37)) + DA49/((DA49+1)/(Q49/1.6) + DA49/(R49/1.37))</f>
        <v>0.36160416777862286</v>
      </c>
      <c r="U49">
        <f t="shared" ref="U49:U80" si="57">(CV49*CY49)</f>
        <v>344.37829860507952</v>
      </c>
      <c r="V49">
        <f t="shared" ref="V49:V80" si="58">(DN49+(U49+2*0.95*0.0000000567*(((DN49+$B$7)+273)^4-(DN49+273)^4)-44100*J49)/(1.84*29.3*R49+8*0.95*0.0000000567*(DN49+273)^3))</f>
        <v>28.156149291148171</v>
      </c>
      <c r="W49">
        <f t="shared" ref="W49:W80" si="59">($C$7*DO49+$D$7*DP49+$E$7*V49)</f>
        <v>27.634599999999999</v>
      </c>
      <c r="X49">
        <f t="shared" ref="X49:X80" si="60">0.61365*EXP(17.502*W49/(240.97+W49))</f>
        <v>3.714750893820197</v>
      </c>
      <c r="Y49">
        <f t="shared" ref="Y49:Y80" si="61">(Z49/AA49*100)</f>
        <v>65.854543901798309</v>
      </c>
      <c r="Z49">
        <f t="shared" ref="Z49:Z80" si="62">DG49*(DL49+DM49)/1000</f>
        <v>2.4974722489994998</v>
      </c>
      <c r="AA49">
        <f t="shared" ref="AA49:AA80" si="63">0.61365*EXP(17.502*DN49/(240.97+DN49))</f>
        <v>3.792406872825218</v>
      </c>
      <c r="AB49">
        <f t="shared" ref="AB49:AB80" si="64">(X49-DG49*(DL49+DM49)/1000)</f>
        <v>1.2172786448206971</v>
      </c>
      <c r="AC49">
        <f t="shared" ref="AC49:AC80" si="65">(-J49*44100)</f>
        <v>-316.05088939362156</v>
      </c>
      <c r="AD49">
        <f t="shared" ref="AD49:AD80" si="66">2*29.3*R49*0.92*(DN49-W49)</f>
        <v>55.897177919937945</v>
      </c>
      <c r="AE49">
        <f t="shared" ref="AE49:AE80" si="67">2*0.95*0.0000000567*(((DN49+$B$7)+273)^4-(W49+273)^4)</f>
        <v>4.1569530579801262</v>
      </c>
      <c r="AF49">
        <f t="shared" ref="AF49:AF80" si="68">U49+AE49+AC49+AD49</f>
        <v>88.381540189376011</v>
      </c>
      <c r="AG49">
        <v>6</v>
      </c>
      <c r="AH49">
        <v>1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52583.999816806841</v>
      </c>
      <c r="AL49" t="s">
        <v>415</v>
      </c>
      <c r="AM49">
        <v>10424.1</v>
      </c>
      <c r="AN49">
        <v>628.54280000000006</v>
      </c>
      <c r="AO49">
        <v>2663.98</v>
      </c>
      <c r="AP49">
        <f t="shared" ref="AP49:AP80" si="72">1-AN49/AO49</f>
        <v>0.76405873917972356</v>
      </c>
      <c r="AQ49">
        <v>-3.1675626227050531</v>
      </c>
      <c r="AR49" t="s">
        <v>587</v>
      </c>
      <c r="AS49">
        <v>10211.9</v>
      </c>
      <c r="AT49">
        <v>754.30427999999984</v>
      </c>
      <c r="AU49">
        <v>863.80583997610177</v>
      </c>
      <c r="AV49">
        <f t="shared" ref="AV49:AV80" si="73">1-AT49/AU49</f>
        <v>0.12676640387049409</v>
      </c>
      <c r="AW49">
        <v>0.5</v>
      </c>
      <c r="AX49">
        <f t="shared" ref="AX49:AX80" si="74">CW49</f>
        <v>1513.2263993025397</v>
      </c>
      <c r="AY49">
        <f t="shared" ref="AY49:AY80" si="75">L49</f>
        <v>12.926103606689583</v>
      </c>
      <c r="AZ49">
        <f t="shared" ref="AZ49:AZ80" si="76">AV49*AW49*AX49</f>
        <v>95.913134440739654</v>
      </c>
      <c r="BA49">
        <f t="shared" ref="BA49:BA80" si="77">(AY49-AQ49)/AX49</f>
        <v>1.063533271479559E-2</v>
      </c>
      <c r="BB49">
        <f t="shared" ref="BB49:BB80" si="78">(AO49-AU49)/AU49</f>
        <v>2.0840032293295243</v>
      </c>
      <c r="BC49">
        <f t="shared" ref="BC49:BC80" si="79">AN49/(AP49+AN49/AU49)</f>
        <v>421.35939533678408</v>
      </c>
      <c r="BD49" t="s">
        <v>588</v>
      </c>
      <c r="BE49">
        <v>549.45000000000005</v>
      </c>
      <c r="BF49">
        <f t="shared" ref="BF49:BF80" si="80">IF(BE49&lt;&gt;0, BE49, BC49)</f>
        <v>549.45000000000005</v>
      </c>
      <c r="BG49">
        <f t="shared" ref="BG49:BG80" si="81">1-BF49/AU49</f>
        <v>0.36391955857209624</v>
      </c>
      <c r="BH49">
        <f t="shared" ref="BH49:BH80" si="82">(AU49-AT49)/(AU49-BF49)</f>
        <v>0.34833633116033907</v>
      </c>
      <c r="BI49">
        <f t="shared" ref="BI49:BI80" si="83">(AO49-AU49)/(AO49-BF49)</f>
        <v>0.85133536058788406</v>
      </c>
      <c r="BJ49">
        <f t="shared" ref="BJ49:BJ80" si="84">(AU49-AT49)/(AU49-AN49)</f>
        <v>0.46544310567110425</v>
      </c>
      <c r="BK49">
        <f t="shared" ref="BK49:BK80" si="85">(AO49-AU49)/(AO49-AN49)</f>
        <v>0.88441645854949413</v>
      </c>
      <c r="BL49">
        <f t="shared" ref="BL49:BL80" si="86">(BH49*BF49/AT49)</f>
        <v>0.25373500088856493</v>
      </c>
      <c r="BM49">
        <f t="shared" ref="BM49:BM80" si="87">(1-BL49)</f>
        <v>0.74626499911143507</v>
      </c>
      <c r="BN49">
        <v>20229</v>
      </c>
      <c r="BO49">
        <v>290.00000000000011</v>
      </c>
      <c r="BP49">
        <v>836.51</v>
      </c>
      <c r="BQ49">
        <v>165</v>
      </c>
      <c r="BR49">
        <v>10211.9</v>
      </c>
      <c r="BS49">
        <v>834.9</v>
      </c>
      <c r="BT49">
        <v>1.61</v>
      </c>
      <c r="BU49">
        <v>300.00000000000011</v>
      </c>
      <c r="BV49">
        <v>24.2</v>
      </c>
      <c r="BW49">
        <v>863.80583997610177</v>
      </c>
      <c r="BX49">
        <v>1.7677118298610011</v>
      </c>
      <c r="BY49">
        <v>-29.518793730515629</v>
      </c>
      <c r="BZ49">
        <v>1.6049670954755999</v>
      </c>
      <c r="CA49">
        <v>0.92355390044182128</v>
      </c>
      <c r="CB49">
        <v>-6.9455793103448326E-3</v>
      </c>
      <c r="CC49">
        <v>289.99999999999989</v>
      </c>
      <c r="CD49">
        <v>832.38</v>
      </c>
      <c r="CE49">
        <v>675</v>
      </c>
      <c r="CF49">
        <v>10171.299999999999</v>
      </c>
      <c r="CG49">
        <v>834.78</v>
      </c>
      <c r="CH49">
        <v>-2.4</v>
      </c>
      <c r="CV49">
        <f t="shared" ref="CV49:CV80" si="88">$B$11*DT49+$C$11*DU49+$F$11*EF49*(1-EI49)</f>
        <v>1800.05</v>
      </c>
      <c r="CW49">
        <f t="shared" ref="CW49:CW80" si="89">CV49*CX49</f>
        <v>1513.2263993025397</v>
      </c>
      <c r="CX49">
        <f t="shared" ref="CX49:CX80" si="90">($B$11*$D$9+$C$11*$D$9+$F$11*((ES49+EK49)/MAX(ES49+EK49+ET49, 0.1)*$I$9+ET49/MAX(ES49+EK49+ET49, 0.1)*$J$9))/($B$11+$C$11+$F$11)</f>
        <v>0.84065798133526271</v>
      </c>
      <c r="CY49">
        <f t="shared" ref="CY49:CY80" si="91">($B$11*$K$9+$C$11*$K$9+$F$11*((ES49+EK49)/MAX(ES49+EK49+ET49, 0.1)*$P$9+ET49/MAX(ES49+EK49+ET49, 0.1)*$Q$9))/($B$11+$C$11+$F$11)</f>
        <v>0.19131596267052556</v>
      </c>
      <c r="CZ49">
        <v>6</v>
      </c>
      <c r="DA49">
        <v>0.5</v>
      </c>
      <c r="DB49" t="s">
        <v>418</v>
      </c>
      <c r="DC49">
        <v>2</v>
      </c>
      <c r="DD49">
        <v>1674580329.5999999</v>
      </c>
      <c r="DE49">
        <v>54.0458</v>
      </c>
      <c r="DF49">
        <v>70.021600000000007</v>
      </c>
      <c r="DG49">
        <v>25.006499999999999</v>
      </c>
      <c r="DH49">
        <v>16.621700000000001</v>
      </c>
      <c r="DI49">
        <v>56.380899999999997</v>
      </c>
      <c r="DJ49">
        <v>24.652699999999999</v>
      </c>
      <c r="DK49">
        <v>500.01</v>
      </c>
      <c r="DL49">
        <v>99.773399999999995</v>
      </c>
      <c r="DM49">
        <v>9.9523E-2</v>
      </c>
      <c r="DN49">
        <v>27.989000000000001</v>
      </c>
      <c r="DO49">
        <v>27.634599999999999</v>
      </c>
      <c r="DP49">
        <v>999.9</v>
      </c>
      <c r="DQ49">
        <v>0</v>
      </c>
      <c r="DR49">
        <v>0</v>
      </c>
      <c r="DS49">
        <v>10000</v>
      </c>
      <c r="DT49">
        <v>0</v>
      </c>
      <c r="DU49">
        <v>548.42899999999997</v>
      </c>
      <c r="DV49">
        <v>-15.975899999999999</v>
      </c>
      <c r="DW49">
        <v>55.431899999999999</v>
      </c>
      <c r="DX49">
        <v>71.205200000000005</v>
      </c>
      <c r="DY49">
        <v>8.3848299999999991</v>
      </c>
      <c r="DZ49">
        <v>70.021600000000007</v>
      </c>
      <c r="EA49">
        <v>16.621700000000001</v>
      </c>
      <c r="EB49">
        <v>2.49498</v>
      </c>
      <c r="EC49">
        <v>1.6584000000000001</v>
      </c>
      <c r="ED49">
        <v>20.9938</v>
      </c>
      <c r="EE49">
        <v>14.5124</v>
      </c>
      <c r="EF49">
        <v>1800.05</v>
      </c>
      <c r="EG49">
        <v>0.97800399999999998</v>
      </c>
      <c r="EH49">
        <v>2.1996000000000002E-2</v>
      </c>
      <c r="EI49">
        <v>0</v>
      </c>
      <c r="EJ49">
        <v>754.27800000000002</v>
      </c>
      <c r="EK49">
        <v>5.0010599999999998</v>
      </c>
      <c r="EL49">
        <v>14083.6</v>
      </c>
      <c r="EM49">
        <v>16711.5</v>
      </c>
      <c r="EN49">
        <v>47.811999999999998</v>
      </c>
      <c r="EO49">
        <v>48.75</v>
      </c>
      <c r="EP49">
        <v>48.811999999999998</v>
      </c>
      <c r="EQ49">
        <v>47.375</v>
      </c>
      <c r="ER49">
        <v>48.75</v>
      </c>
      <c r="ES49">
        <v>1755.57</v>
      </c>
      <c r="ET49">
        <v>39.479999999999997</v>
      </c>
      <c r="EU49">
        <v>0</v>
      </c>
      <c r="EV49">
        <v>119.5999999046326</v>
      </c>
      <c r="EW49">
        <v>0</v>
      </c>
      <c r="EX49">
        <v>754.30427999999984</v>
      </c>
      <c r="EY49">
        <v>-1.4006922951238301</v>
      </c>
      <c r="EZ49">
        <v>-44.799999991501828</v>
      </c>
      <c r="FA49">
        <v>14088.832</v>
      </c>
      <c r="FB49">
        <v>15</v>
      </c>
      <c r="FC49">
        <v>1674580297.5999999</v>
      </c>
      <c r="FD49" t="s">
        <v>589</v>
      </c>
      <c r="FE49">
        <v>1674580275.5</v>
      </c>
      <c r="FF49">
        <v>1674580297.5999999</v>
      </c>
      <c r="FG49">
        <v>37</v>
      </c>
      <c r="FH49">
        <v>-4.3999999999999997E-2</v>
      </c>
      <c r="FI49">
        <v>7.0000000000000001E-3</v>
      </c>
      <c r="FJ49">
        <v>-2.3719999999999999</v>
      </c>
      <c r="FK49">
        <v>-2E-3</v>
      </c>
      <c r="FL49">
        <v>70</v>
      </c>
      <c r="FM49">
        <v>17</v>
      </c>
      <c r="FN49">
        <v>0.05</v>
      </c>
      <c r="FO49">
        <v>0.02</v>
      </c>
      <c r="FP49">
        <v>12.93992775213451</v>
      </c>
      <c r="FQ49">
        <v>-0.65579637477990471</v>
      </c>
      <c r="FR49">
        <v>8.7089065743314112E-2</v>
      </c>
      <c r="FS49">
        <v>1</v>
      </c>
      <c r="FT49">
        <v>0.6430382082663525</v>
      </c>
      <c r="FU49">
        <v>2.1995069553481059E-2</v>
      </c>
      <c r="FV49">
        <v>7.6540482051129927E-3</v>
      </c>
      <c r="FW49">
        <v>1</v>
      </c>
      <c r="FX49">
        <v>2</v>
      </c>
      <c r="FY49">
        <v>2</v>
      </c>
      <c r="FZ49" t="s">
        <v>420</v>
      </c>
      <c r="GA49">
        <v>2.9781399999999998</v>
      </c>
      <c r="GB49">
        <v>2.80585</v>
      </c>
      <c r="GC49">
        <v>1.6349700000000002E-2</v>
      </c>
      <c r="GD49">
        <v>1.9995300000000001E-2</v>
      </c>
      <c r="GE49">
        <v>0.122615</v>
      </c>
      <c r="GF49">
        <v>9.2037599999999997E-2</v>
      </c>
      <c r="GG49">
        <v>29104.9</v>
      </c>
      <c r="GH49">
        <v>26920.1</v>
      </c>
      <c r="GI49">
        <v>26597.3</v>
      </c>
      <c r="GJ49">
        <v>25940.7</v>
      </c>
      <c r="GK49">
        <v>31761.1</v>
      </c>
      <c r="GL49">
        <v>33241</v>
      </c>
      <c r="GM49">
        <v>37696.199999999997</v>
      </c>
      <c r="GN49">
        <v>38484.199999999997</v>
      </c>
      <c r="GO49">
        <v>1.96122</v>
      </c>
      <c r="GP49">
        <v>1.9168000000000001</v>
      </c>
      <c r="GQ49">
        <v>5.83008E-2</v>
      </c>
      <c r="GR49">
        <v>0</v>
      </c>
      <c r="GS49">
        <v>26.6814</v>
      </c>
      <c r="GT49">
        <v>999.9</v>
      </c>
      <c r="GU49">
        <v>40</v>
      </c>
      <c r="GV49">
        <v>34.9</v>
      </c>
      <c r="GW49">
        <v>22.519400000000001</v>
      </c>
      <c r="GX49">
        <v>61.814500000000002</v>
      </c>
      <c r="GY49">
        <v>12.6402</v>
      </c>
      <c r="GZ49">
        <v>1</v>
      </c>
      <c r="HA49">
        <v>0.359151</v>
      </c>
      <c r="HB49">
        <v>1.8629899999999999</v>
      </c>
      <c r="HC49">
        <v>20.245000000000001</v>
      </c>
      <c r="HD49">
        <v>5.2072599999999998</v>
      </c>
      <c r="HE49">
        <v>11.9375</v>
      </c>
      <c r="HF49">
        <v>4.98665</v>
      </c>
      <c r="HG49">
        <v>3.2902300000000002</v>
      </c>
      <c r="HH49">
        <v>9999</v>
      </c>
      <c r="HI49">
        <v>9999</v>
      </c>
      <c r="HJ49">
        <v>9999</v>
      </c>
      <c r="HK49">
        <v>999.9</v>
      </c>
      <c r="HL49">
        <v>1.87042</v>
      </c>
      <c r="HM49">
        <v>1.87666</v>
      </c>
      <c r="HN49">
        <v>1.87439</v>
      </c>
      <c r="HO49">
        <v>1.8726499999999999</v>
      </c>
      <c r="HP49">
        <v>1.8731</v>
      </c>
      <c r="HQ49">
        <v>1.87056</v>
      </c>
      <c r="HR49">
        <v>1.87643</v>
      </c>
      <c r="HS49">
        <v>1.8755900000000001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424</v>
      </c>
      <c r="IB49" t="s">
        <v>424</v>
      </c>
      <c r="IC49" t="s">
        <v>423</v>
      </c>
      <c r="ID49">
        <v>0</v>
      </c>
      <c r="IE49">
        <v>100</v>
      </c>
      <c r="IF49">
        <v>100</v>
      </c>
      <c r="IG49">
        <v>-2.335</v>
      </c>
      <c r="IH49">
        <v>0.3538</v>
      </c>
      <c r="II49">
        <v>-2.197090113447191</v>
      </c>
      <c r="IJ49">
        <v>-2.536945948238235E-3</v>
      </c>
      <c r="IK49">
        <v>1.581473279927893E-6</v>
      </c>
      <c r="IL49">
        <v>-4.6698293441882044E-10</v>
      </c>
      <c r="IM49">
        <v>-0.16537409406969911</v>
      </c>
      <c r="IN49">
        <v>-1.5895243091576399E-2</v>
      </c>
      <c r="IO49">
        <v>1.559614309849521E-3</v>
      </c>
      <c r="IP49">
        <v>-2.4566050869858518E-6</v>
      </c>
      <c r="IQ49">
        <v>2</v>
      </c>
      <c r="IR49">
        <v>2224</v>
      </c>
      <c r="IS49">
        <v>2</v>
      </c>
      <c r="IT49">
        <v>25</v>
      </c>
      <c r="IU49">
        <v>0.9</v>
      </c>
      <c r="IV49">
        <v>0.5</v>
      </c>
      <c r="IW49">
        <v>0.29296899999999998</v>
      </c>
      <c r="IX49">
        <v>2.5280800000000001</v>
      </c>
      <c r="IY49">
        <v>1.65039</v>
      </c>
      <c r="IZ49">
        <v>2.2912599999999999</v>
      </c>
      <c r="JA49">
        <v>1.50024</v>
      </c>
      <c r="JB49">
        <v>2.33765</v>
      </c>
      <c r="JC49">
        <v>38.994</v>
      </c>
      <c r="JD49">
        <v>23.8598</v>
      </c>
      <c r="JE49">
        <v>18</v>
      </c>
      <c r="JF49">
        <v>494.01799999999997</v>
      </c>
      <c r="JG49">
        <v>458.58300000000003</v>
      </c>
      <c r="JH49">
        <v>25.087499999999999</v>
      </c>
      <c r="JI49">
        <v>31.817699999999999</v>
      </c>
      <c r="JJ49">
        <v>29.9999</v>
      </c>
      <c r="JK49">
        <v>31.870899999999999</v>
      </c>
      <c r="JL49">
        <v>31.8552</v>
      </c>
      <c r="JM49">
        <v>5.8965399999999999</v>
      </c>
      <c r="JN49">
        <v>39.078099999999999</v>
      </c>
      <c r="JO49">
        <v>40.0428</v>
      </c>
      <c r="JP49">
        <v>25.098099999999999</v>
      </c>
      <c r="JQ49">
        <v>70</v>
      </c>
      <c r="JR49">
        <v>16.488399999999999</v>
      </c>
      <c r="JS49">
        <v>100.026</v>
      </c>
      <c r="JT49">
        <v>99.2911</v>
      </c>
    </row>
    <row r="50" spans="1:280" x14ac:dyDescent="0.25">
      <c r="A50">
        <v>34</v>
      </c>
      <c r="B50">
        <v>1674580458.0999999</v>
      </c>
      <c r="C50">
        <v>6323.5</v>
      </c>
      <c r="D50" t="s">
        <v>590</v>
      </c>
      <c r="E50" t="s">
        <v>591</v>
      </c>
      <c r="F50" t="s">
        <v>412</v>
      </c>
      <c r="G50" t="s">
        <v>565</v>
      </c>
      <c r="H50" t="s">
        <v>566</v>
      </c>
      <c r="I50">
        <v>1674580458.0999999</v>
      </c>
      <c r="J50">
        <f t="shared" si="46"/>
        <v>7.493989350969745E-3</v>
      </c>
      <c r="K50">
        <f t="shared" si="47"/>
        <v>7.4939893509697448</v>
      </c>
      <c r="L50">
        <f t="shared" si="48"/>
        <v>5.9393077073941276</v>
      </c>
      <c r="M50">
        <f t="shared" si="49"/>
        <v>22.680700000000002</v>
      </c>
      <c r="N50">
        <f t="shared" si="50"/>
        <v>6.7349355174014871</v>
      </c>
      <c r="O50">
        <f t="shared" si="51"/>
        <v>0.67262009256494848</v>
      </c>
      <c r="P50">
        <f t="shared" si="52"/>
        <v>2.2651285218724402</v>
      </c>
      <c r="Q50">
        <f t="shared" si="53"/>
        <v>0.67287409836480971</v>
      </c>
      <c r="R50">
        <f t="shared" si="54"/>
        <v>2.9261936696616493</v>
      </c>
      <c r="S50">
        <f t="shared" si="55"/>
        <v>0.59727959509255391</v>
      </c>
      <c r="T50">
        <f t="shared" si="56"/>
        <v>0.37938149303883406</v>
      </c>
      <c r="U50">
        <f t="shared" si="57"/>
        <v>344.39789860480374</v>
      </c>
      <c r="V50">
        <f t="shared" si="58"/>
        <v>28.074478708994871</v>
      </c>
      <c r="W50">
        <f t="shared" si="59"/>
        <v>27.597000000000001</v>
      </c>
      <c r="X50">
        <f t="shared" si="60"/>
        <v>3.7065939991794732</v>
      </c>
      <c r="Y50">
        <f t="shared" si="61"/>
        <v>65.708386201377948</v>
      </c>
      <c r="Z50">
        <f t="shared" si="62"/>
        <v>2.4924233585807203</v>
      </c>
      <c r="AA50">
        <f t="shared" si="63"/>
        <v>3.7931586859280562</v>
      </c>
      <c r="AB50">
        <f t="shared" si="64"/>
        <v>1.2141706405987529</v>
      </c>
      <c r="AC50">
        <f t="shared" si="65"/>
        <v>-330.48493037776575</v>
      </c>
      <c r="AD50">
        <f t="shared" si="66"/>
        <v>62.377099263172859</v>
      </c>
      <c r="AE50">
        <f t="shared" si="67"/>
        <v>4.6370741746602979</v>
      </c>
      <c r="AF50">
        <f t="shared" si="68"/>
        <v>80.927141664871158</v>
      </c>
      <c r="AG50">
        <v>6</v>
      </c>
      <c r="AH50">
        <v>1</v>
      </c>
      <c r="AI50">
        <f t="shared" si="69"/>
        <v>1</v>
      </c>
      <c r="AJ50">
        <f t="shared" si="70"/>
        <v>0</v>
      </c>
      <c r="AK50">
        <f t="shared" si="71"/>
        <v>52601.251703926901</v>
      </c>
      <c r="AL50" t="s">
        <v>415</v>
      </c>
      <c r="AM50">
        <v>10424.1</v>
      </c>
      <c r="AN50">
        <v>628.54280000000006</v>
      </c>
      <c r="AO50">
        <v>2663.98</v>
      </c>
      <c r="AP50">
        <f t="shared" si="72"/>
        <v>0.76405873917972356</v>
      </c>
      <c r="AQ50">
        <v>-3.1675626227050531</v>
      </c>
      <c r="AR50" t="s">
        <v>592</v>
      </c>
      <c r="AS50">
        <v>10201.200000000001</v>
      </c>
      <c r="AT50">
        <v>773.45632000000012</v>
      </c>
      <c r="AU50">
        <v>850.6743177343443</v>
      </c>
      <c r="AV50">
        <f t="shared" si="73"/>
        <v>9.0772691880488199E-2</v>
      </c>
      <c r="AW50">
        <v>0.5</v>
      </c>
      <c r="AX50">
        <f t="shared" si="74"/>
        <v>1513.3106993024019</v>
      </c>
      <c r="AY50">
        <f t="shared" si="75"/>
        <v>5.9393077073941276</v>
      </c>
      <c r="AZ50">
        <f t="shared" si="76"/>
        <v>68.683642913611521</v>
      </c>
      <c r="BA50">
        <f t="shared" si="77"/>
        <v>6.0178457300917908E-3</v>
      </c>
      <c r="BB50">
        <f t="shared" si="78"/>
        <v>2.131609764704252</v>
      </c>
      <c r="BC50">
        <f t="shared" si="79"/>
        <v>418.21032004797058</v>
      </c>
      <c r="BD50" t="s">
        <v>593</v>
      </c>
      <c r="BE50">
        <v>572.34</v>
      </c>
      <c r="BF50">
        <f t="shared" si="80"/>
        <v>572.34</v>
      </c>
      <c r="BG50">
        <f t="shared" si="81"/>
        <v>0.32719257174196814</v>
      </c>
      <c r="BH50">
        <f t="shared" si="82"/>
        <v>0.27742895077726193</v>
      </c>
      <c r="BI50">
        <f t="shared" si="83"/>
        <v>0.86693010377773227</v>
      </c>
      <c r="BJ50">
        <f t="shared" si="84"/>
        <v>0.3476228791030555</v>
      </c>
      <c r="BK50">
        <f t="shared" si="85"/>
        <v>0.89086790900041324</v>
      </c>
      <c r="BL50">
        <f t="shared" si="86"/>
        <v>0.20529108313169914</v>
      </c>
      <c r="BM50">
        <f t="shared" si="87"/>
        <v>0.79470891686830081</v>
      </c>
      <c r="BN50">
        <v>20231</v>
      </c>
      <c r="BO50">
        <v>290.00000000000011</v>
      </c>
      <c r="BP50">
        <v>826.31</v>
      </c>
      <c r="BQ50">
        <v>225</v>
      </c>
      <c r="BR50">
        <v>10201.200000000001</v>
      </c>
      <c r="BS50">
        <v>824.89</v>
      </c>
      <c r="BT50">
        <v>1.42</v>
      </c>
      <c r="BU50">
        <v>300.00000000000011</v>
      </c>
      <c r="BV50">
        <v>24.2</v>
      </c>
      <c r="BW50">
        <v>850.6743177343443</v>
      </c>
      <c r="BX50">
        <v>2.2545282105109989</v>
      </c>
      <c r="BY50">
        <v>-26.29943156385152</v>
      </c>
      <c r="BZ50">
        <v>2.0470460852029508</v>
      </c>
      <c r="CA50">
        <v>0.85496612354379742</v>
      </c>
      <c r="CB50">
        <v>-6.9457995550611818E-3</v>
      </c>
      <c r="CC50">
        <v>289.99999999999989</v>
      </c>
      <c r="CD50">
        <v>821.92</v>
      </c>
      <c r="CE50">
        <v>695</v>
      </c>
      <c r="CF50">
        <v>10170.200000000001</v>
      </c>
      <c r="CG50">
        <v>824.82</v>
      </c>
      <c r="CH50">
        <v>-2.9</v>
      </c>
      <c r="CV50">
        <f t="shared" si="88"/>
        <v>1800.15</v>
      </c>
      <c r="CW50">
        <f t="shared" si="89"/>
        <v>1513.3106993024019</v>
      </c>
      <c r="CX50">
        <f t="shared" si="90"/>
        <v>0.84065811143649238</v>
      </c>
      <c r="CY50">
        <f t="shared" si="91"/>
        <v>0.19131622287298489</v>
      </c>
      <c r="CZ50">
        <v>6</v>
      </c>
      <c r="DA50">
        <v>0.5</v>
      </c>
      <c r="DB50" t="s">
        <v>418</v>
      </c>
      <c r="DC50">
        <v>2</v>
      </c>
      <c r="DD50">
        <v>1674580458.0999999</v>
      </c>
      <c r="DE50">
        <v>22.680700000000002</v>
      </c>
      <c r="DF50">
        <v>30.011700000000001</v>
      </c>
      <c r="DG50">
        <v>24.956600000000002</v>
      </c>
      <c r="DH50">
        <v>16.188400000000001</v>
      </c>
      <c r="DI50">
        <v>25.0992</v>
      </c>
      <c r="DJ50">
        <v>24.601800000000001</v>
      </c>
      <c r="DK50">
        <v>500.00900000000001</v>
      </c>
      <c r="DL50">
        <v>99.770899999999997</v>
      </c>
      <c r="DM50">
        <v>9.9409200000000003E-2</v>
      </c>
      <c r="DN50">
        <v>27.9924</v>
      </c>
      <c r="DO50">
        <v>27.597000000000001</v>
      </c>
      <c r="DP50">
        <v>999.9</v>
      </c>
      <c r="DQ50">
        <v>0</v>
      </c>
      <c r="DR50">
        <v>0</v>
      </c>
      <c r="DS50">
        <v>10003.799999999999</v>
      </c>
      <c r="DT50">
        <v>0</v>
      </c>
      <c r="DU50">
        <v>551.072</v>
      </c>
      <c r="DV50">
        <v>-7.3310199999999996</v>
      </c>
      <c r="DW50">
        <v>23.261199999999999</v>
      </c>
      <c r="DX50">
        <v>30.505600000000001</v>
      </c>
      <c r="DY50">
        <v>8.7682000000000002</v>
      </c>
      <c r="DZ50">
        <v>30.011700000000001</v>
      </c>
      <c r="EA50">
        <v>16.188400000000001</v>
      </c>
      <c r="EB50">
        <v>2.4899399999999998</v>
      </c>
      <c r="EC50">
        <v>1.61513</v>
      </c>
      <c r="ED50">
        <v>20.960899999999999</v>
      </c>
      <c r="EE50">
        <v>14.103899999999999</v>
      </c>
      <c r="EF50">
        <v>1800.15</v>
      </c>
      <c r="EG50">
        <v>0.97800399999999998</v>
      </c>
      <c r="EH50">
        <v>2.1996000000000002E-2</v>
      </c>
      <c r="EI50">
        <v>0</v>
      </c>
      <c r="EJ50">
        <v>773.38099999999997</v>
      </c>
      <c r="EK50">
        <v>5.0010599999999998</v>
      </c>
      <c r="EL50">
        <v>14424.6</v>
      </c>
      <c r="EM50">
        <v>16712.5</v>
      </c>
      <c r="EN50">
        <v>47.811999999999998</v>
      </c>
      <c r="EO50">
        <v>48.75</v>
      </c>
      <c r="EP50">
        <v>48.811999999999998</v>
      </c>
      <c r="EQ50">
        <v>47.375</v>
      </c>
      <c r="ER50">
        <v>48.75</v>
      </c>
      <c r="ES50">
        <v>1755.66</v>
      </c>
      <c r="ET50">
        <v>39.49</v>
      </c>
      <c r="EU50">
        <v>0</v>
      </c>
      <c r="EV50">
        <v>126.7999999523163</v>
      </c>
      <c r="EW50">
        <v>0</v>
      </c>
      <c r="EX50">
        <v>773.45632000000012</v>
      </c>
      <c r="EY50">
        <v>-1.0869230749632151</v>
      </c>
      <c r="EZ50">
        <v>8.3230769815208383</v>
      </c>
      <c r="FA50">
        <v>14422.124</v>
      </c>
      <c r="FB50">
        <v>15</v>
      </c>
      <c r="FC50">
        <v>1674580425.5999999</v>
      </c>
      <c r="FD50" t="s">
        <v>594</v>
      </c>
      <c r="FE50">
        <v>1674580405.0999999</v>
      </c>
      <c r="FF50">
        <v>1674580425.5999999</v>
      </c>
      <c r="FG50">
        <v>38</v>
      </c>
      <c r="FH50">
        <v>-0.159</v>
      </c>
      <c r="FI50">
        <v>4.0000000000000001E-3</v>
      </c>
      <c r="FJ50">
        <v>-2.4359999999999999</v>
      </c>
      <c r="FK50">
        <v>-2.1000000000000001E-2</v>
      </c>
      <c r="FL50">
        <v>30</v>
      </c>
      <c r="FM50">
        <v>16</v>
      </c>
      <c r="FN50">
        <v>0.23</v>
      </c>
      <c r="FO50">
        <v>0.02</v>
      </c>
      <c r="FP50">
        <v>5.9938134293116923</v>
      </c>
      <c r="FQ50">
        <v>-0.58367097925911671</v>
      </c>
      <c r="FR50">
        <v>6.8519316386583151E-2</v>
      </c>
      <c r="FS50">
        <v>1</v>
      </c>
      <c r="FT50">
        <v>0.67368395120148183</v>
      </c>
      <c r="FU50">
        <v>2.236617946368713E-2</v>
      </c>
      <c r="FV50">
        <v>7.802382783415311E-3</v>
      </c>
      <c r="FW50">
        <v>1</v>
      </c>
      <c r="FX50">
        <v>2</v>
      </c>
      <c r="FY50">
        <v>2</v>
      </c>
      <c r="FZ50" t="s">
        <v>420</v>
      </c>
      <c r="GA50">
        <v>2.97817</v>
      </c>
      <c r="GB50">
        <v>2.8057699999999999</v>
      </c>
      <c r="GC50">
        <v>7.2952299999999998E-3</v>
      </c>
      <c r="GD50">
        <v>8.6057900000000003E-3</v>
      </c>
      <c r="GE50">
        <v>0.122447</v>
      </c>
      <c r="GF50">
        <v>9.0330999999999995E-2</v>
      </c>
      <c r="GG50">
        <v>29375</v>
      </c>
      <c r="GH50">
        <v>27235.7</v>
      </c>
      <c r="GI50">
        <v>26599.4</v>
      </c>
      <c r="GJ50">
        <v>25943.4</v>
      </c>
      <c r="GK50">
        <v>31769.5</v>
      </c>
      <c r="GL50">
        <v>33306.5</v>
      </c>
      <c r="GM50">
        <v>37699.300000000003</v>
      </c>
      <c r="GN50">
        <v>38487.699999999997</v>
      </c>
      <c r="GO50">
        <v>1.9620299999999999</v>
      </c>
      <c r="GP50">
        <v>1.91672</v>
      </c>
      <c r="GQ50">
        <v>5.9176199999999998E-2</v>
      </c>
      <c r="GR50">
        <v>0</v>
      </c>
      <c r="GS50">
        <v>26.6294</v>
      </c>
      <c r="GT50">
        <v>999.9</v>
      </c>
      <c r="GU50">
        <v>39.299999999999997</v>
      </c>
      <c r="GV50">
        <v>34.9</v>
      </c>
      <c r="GW50">
        <v>22.1248</v>
      </c>
      <c r="GX50">
        <v>62.054499999999997</v>
      </c>
      <c r="GY50">
        <v>12.8085</v>
      </c>
      <c r="GZ50">
        <v>1</v>
      </c>
      <c r="HA50">
        <v>0.35527700000000001</v>
      </c>
      <c r="HB50">
        <v>1.77182</v>
      </c>
      <c r="HC50">
        <v>20.245999999999999</v>
      </c>
      <c r="HD50">
        <v>5.2030599999999998</v>
      </c>
      <c r="HE50">
        <v>11.9375</v>
      </c>
      <c r="HF50">
        <v>4.9866999999999999</v>
      </c>
      <c r="HG50">
        <v>3.2900299999999998</v>
      </c>
      <c r="HH50">
        <v>9999</v>
      </c>
      <c r="HI50">
        <v>9999</v>
      </c>
      <c r="HJ50">
        <v>9999</v>
      </c>
      <c r="HK50">
        <v>999.9</v>
      </c>
      <c r="HL50">
        <v>1.87042</v>
      </c>
      <c r="HM50">
        <v>1.8766700000000001</v>
      </c>
      <c r="HN50">
        <v>1.87435</v>
      </c>
      <c r="HO50">
        <v>1.8726400000000001</v>
      </c>
      <c r="HP50">
        <v>1.8730899999999999</v>
      </c>
      <c r="HQ50">
        <v>1.8704499999999999</v>
      </c>
      <c r="HR50">
        <v>1.8763799999999999</v>
      </c>
      <c r="HS50">
        <v>1.8754999999999999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424</v>
      </c>
      <c r="IB50" t="s">
        <v>424</v>
      </c>
      <c r="IC50" t="s">
        <v>423</v>
      </c>
      <c r="ID50">
        <v>0</v>
      </c>
      <c r="IE50">
        <v>100</v>
      </c>
      <c r="IF50">
        <v>100</v>
      </c>
      <c r="IG50">
        <v>-2.4180000000000001</v>
      </c>
      <c r="IH50">
        <v>0.3548</v>
      </c>
      <c r="II50">
        <v>-2.3557805115772119</v>
      </c>
      <c r="IJ50">
        <v>-2.536945948238235E-3</v>
      </c>
      <c r="IK50">
        <v>1.581473279927893E-6</v>
      </c>
      <c r="IL50">
        <v>-4.6698293441882044E-10</v>
      </c>
      <c r="IM50">
        <v>-0.16152508780857899</v>
      </c>
      <c r="IN50">
        <v>-1.5895243091576399E-2</v>
      </c>
      <c r="IO50">
        <v>1.559614309849521E-3</v>
      </c>
      <c r="IP50">
        <v>-2.4566050869858518E-6</v>
      </c>
      <c r="IQ50">
        <v>2</v>
      </c>
      <c r="IR50">
        <v>2224</v>
      </c>
      <c r="IS50">
        <v>2</v>
      </c>
      <c r="IT50">
        <v>25</v>
      </c>
      <c r="IU50">
        <v>0.9</v>
      </c>
      <c r="IV50">
        <v>0.5</v>
      </c>
      <c r="IW50">
        <v>0.21362300000000001</v>
      </c>
      <c r="IX50">
        <v>2.5524900000000001</v>
      </c>
      <c r="IY50">
        <v>1.65039</v>
      </c>
      <c r="IZ50">
        <v>2.2912599999999999</v>
      </c>
      <c r="JA50">
        <v>1.50024</v>
      </c>
      <c r="JB50">
        <v>2.2692899999999998</v>
      </c>
      <c r="JC50">
        <v>38.944499999999998</v>
      </c>
      <c r="JD50">
        <v>23.868600000000001</v>
      </c>
      <c r="JE50">
        <v>18</v>
      </c>
      <c r="JF50">
        <v>494.20800000000003</v>
      </c>
      <c r="JG50">
        <v>458.21100000000001</v>
      </c>
      <c r="JH50">
        <v>25.189800000000002</v>
      </c>
      <c r="JI50">
        <v>31.7761</v>
      </c>
      <c r="JJ50">
        <v>29.9999</v>
      </c>
      <c r="JK50">
        <v>31.830400000000001</v>
      </c>
      <c r="JL50">
        <v>31.813600000000001</v>
      </c>
      <c r="JM50">
        <v>4.3158799999999999</v>
      </c>
      <c r="JN50">
        <v>39.3444</v>
      </c>
      <c r="JO50">
        <v>38.527700000000003</v>
      </c>
      <c r="JP50">
        <v>25.193000000000001</v>
      </c>
      <c r="JQ50">
        <v>30</v>
      </c>
      <c r="JR50">
        <v>16.086400000000001</v>
      </c>
      <c r="JS50">
        <v>100.03400000000001</v>
      </c>
      <c r="JT50">
        <v>99.300700000000006</v>
      </c>
    </row>
    <row r="51" spans="1:280" x14ac:dyDescent="0.25">
      <c r="A51">
        <v>35</v>
      </c>
      <c r="B51">
        <v>1674580565.5999999</v>
      </c>
      <c r="C51">
        <v>6431</v>
      </c>
      <c r="D51" t="s">
        <v>595</v>
      </c>
      <c r="E51" t="s">
        <v>596</v>
      </c>
      <c r="F51" t="s">
        <v>412</v>
      </c>
      <c r="G51" t="s">
        <v>565</v>
      </c>
      <c r="H51" t="s">
        <v>566</v>
      </c>
      <c r="I51">
        <v>1674580565.5999999</v>
      </c>
      <c r="J51">
        <f t="shared" si="46"/>
        <v>7.5947606445194212E-3</v>
      </c>
      <c r="K51">
        <f t="shared" si="47"/>
        <v>7.5947606445194209</v>
      </c>
      <c r="L51">
        <f t="shared" si="48"/>
        <v>2.2015444307336058</v>
      </c>
      <c r="M51">
        <f t="shared" si="49"/>
        <v>7.2947300000000004</v>
      </c>
      <c r="N51">
        <f t="shared" si="50"/>
        <v>1.4784454360205446</v>
      </c>
      <c r="O51">
        <f t="shared" si="51"/>
        <v>0.14765322344842713</v>
      </c>
      <c r="P51">
        <f t="shared" si="52"/>
        <v>0.7285290159812009</v>
      </c>
      <c r="Q51">
        <f t="shared" si="53"/>
        <v>0.68224925811946069</v>
      </c>
      <c r="R51">
        <f t="shared" si="54"/>
        <v>2.9335139726885053</v>
      </c>
      <c r="S51">
        <f t="shared" si="55"/>
        <v>0.604833316008485</v>
      </c>
      <c r="T51">
        <f t="shared" si="56"/>
        <v>0.38424177667280601</v>
      </c>
      <c r="U51">
        <f t="shared" si="57"/>
        <v>344.36179860465649</v>
      </c>
      <c r="V51">
        <f t="shared" si="58"/>
        <v>28.061518766959693</v>
      </c>
      <c r="W51">
        <f t="shared" si="59"/>
        <v>27.586200000000002</v>
      </c>
      <c r="X51">
        <f t="shared" si="60"/>
        <v>3.7042539527501144</v>
      </c>
      <c r="Y51">
        <f t="shared" si="61"/>
        <v>65.568365070962159</v>
      </c>
      <c r="Z51">
        <f t="shared" si="62"/>
        <v>2.4890847938444698</v>
      </c>
      <c r="AA51">
        <f t="shared" si="63"/>
        <v>3.7961672388058294</v>
      </c>
      <c r="AB51">
        <f t="shared" si="64"/>
        <v>1.2151691589056446</v>
      </c>
      <c r="AC51">
        <f t="shared" si="65"/>
        <v>-334.92894442330646</v>
      </c>
      <c r="AD51">
        <f t="shared" si="66"/>
        <v>66.392043903085394</v>
      </c>
      <c r="AE51">
        <f t="shared" si="67"/>
        <v>4.9232954644420204</v>
      </c>
      <c r="AF51">
        <f t="shared" si="68"/>
        <v>80.74819354887741</v>
      </c>
      <c r="AG51">
        <v>5</v>
      </c>
      <c r="AH51">
        <v>1</v>
      </c>
      <c r="AI51">
        <f t="shared" si="69"/>
        <v>1</v>
      </c>
      <c r="AJ51">
        <f t="shared" si="70"/>
        <v>0</v>
      </c>
      <c r="AK51">
        <f t="shared" si="71"/>
        <v>52809.682047287271</v>
      </c>
      <c r="AL51" t="s">
        <v>415</v>
      </c>
      <c r="AM51">
        <v>10424.1</v>
      </c>
      <c r="AN51">
        <v>628.54280000000006</v>
      </c>
      <c r="AO51">
        <v>2663.98</v>
      </c>
      <c r="AP51">
        <f t="shared" si="72"/>
        <v>0.76405873917972356</v>
      </c>
      <c r="AQ51">
        <v>-3.1675626227050531</v>
      </c>
      <c r="AR51" t="s">
        <v>597</v>
      </c>
      <c r="AS51">
        <v>10228.4</v>
      </c>
      <c r="AT51">
        <v>784.08251999999993</v>
      </c>
      <c r="AU51">
        <v>848.03514703700625</v>
      </c>
      <c r="AV51">
        <f t="shared" si="73"/>
        <v>7.5412708141229357E-2</v>
      </c>
      <c r="AW51">
        <v>0.5</v>
      </c>
      <c r="AX51">
        <f t="shared" si="74"/>
        <v>1513.1510993023282</v>
      </c>
      <c r="AY51">
        <f t="shared" si="75"/>
        <v>2.2015444307336058</v>
      </c>
      <c r="AZ51">
        <f t="shared" si="76"/>
        <v>57.055411112633422</v>
      </c>
      <c r="BA51">
        <f t="shared" si="77"/>
        <v>3.5482953790366375E-3</v>
      </c>
      <c r="BB51">
        <f t="shared" si="78"/>
        <v>2.1413556493593657</v>
      </c>
      <c r="BC51">
        <f t="shared" si="79"/>
        <v>417.57144511970569</v>
      </c>
      <c r="BD51" t="s">
        <v>598</v>
      </c>
      <c r="BE51">
        <v>588.13</v>
      </c>
      <c r="BF51">
        <f t="shared" si="80"/>
        <v>588.13</v>
      </c>
      <c r="BG51">
        <f t="shared" si="81"/>
        <v>0.30647921603851236</v>
      </c>
      <c r="BH51">
        <f t="shared" si="82"/>
        <v>0.24606141034944765</v>
      </c>
      <c r="BI51">
        <f t="shared" si="83"/>
        <v>0.87479579592118595</v>
      </c>
      <c r="BJ51">
        <f t="shared" si="84"/>
        <v>0.29136609043696621</v>
      </c>
      <c r="BK51">
        <f t="shared" si="85"/>
        <v>0.89216452021363957</v>
      </c>
      <c r="BL51">
        <f t="shared" si="86"/>
        <v>0.18456743209735202</v>
      </c>
      <c r="BM51">
        <f t="shared" si="87"/>
        <v>0.81543256790264795</v>
      </c>
      <c r="BN51">
        <v>20233</v>
      </c>
      <c r="BO51">
        <v>290.00000000000011</v>
      </c>
      <c r="BP51">
        <v>826.94</v>
      </c>
      <c r="BQ51">
        <v>95</v>
      </c>
      <c r="BR51">
        <v>10228.4</v>
      </c>
      <c r="BS51">
        <v>824.38</v>
      </c>
      <c r="BT51">
        <v>2.56</v>
      </c>
      <c r="BU51">
        <v>300.00000000000011</v>
      </c>
      <c r="BV51">
        <v>24.2</v>
      </c>
      <c r="BW51">
        <v>848.03514703700625</v>
      </c>
      <c r="BX51">
        <v>2.012716130858176</v>
      </c>
      <c r="BY51">
        <v>-24.199453768071319</v>
      </c>
      <c r="BZ51">
        <v>1.827572720380874</v>
      </c>
      <c r="CA51">
        <v>0.86229434462186605</v>
      </c>
      <c r="CB51">
        <v>-6.9460718576195837E-3</v>
      </c>
      <c r="CC51">
        <v>289.99999999999989</v>
      </c>
      <c r="CD51">
        <v>822.31</v>
      </c>
      <c r="CE51">
        <v>665</v>
      </c>
      <c r="CF51">
        <v>10172.9</v>
      </c>
      <c r="CG51">
        <v>824.25</v>
      </c>
      <c r="CH51">
        <v>-1.94</v>
      </c>
      <c r="CV51">
        <f t="shared" si="88"/>
        <v>1799.96</v>
      </c>
      <c r="CW51">
        <f t="shared" si="89"/>
        <v>1513.1510993023282</v>
      </c>
      <c r="CX51">
        <f t="shared" si="90"/>
        <v>0.84065818090531363</v>
      </c>
      <c r="CY51">
        <f t="shared" si="91"/>
        <v>0.19131636181062717</v>
      </c>
      <c r="CZ51">
        <v>6</v>
      </c>
      <c r="DA51">
        <v>0.5</v>
      </c>
      <c r="DB51" t="s">
        <v>418</v>
      </c>
      <c r="DC51">
        <v>2</v>
      </c>
      <c r="DD51">
        <v>1674580565.5999999</v>
      </c>
      <c r="DE51">
        <v>7.2947300000000004</v>
      </c>
      <c r="DF51">
        <v>10.002800000000001</v>
      </c>
      <c r="DG51">
        <v>24.923100000000002</v>
      </c>
      <c r="DH51">
        <v>16.037400000000002</v>
      </c>
      <c r="DI51">
        <v>9.7551699999999997</v>
      </c>
      <c r="DJ51">
        <v>24.572099999999999</v>
      </c>
      <c r="DK51">
        <v>500.04899999999998</v>
      </c>
      <c r="DL51">
        <v>99.771199999999993</v>
      </c>
      <c r="DM51">
        <v>9.9393700000000001E-2</v>
      </c>
      <c r="DN51">
        <v>28.006</v>
      </c>
      <c r="DO51">
        <v>27.586200000000002</v>
      </c>
      <c r="DP51">
        <v>999.9</v>
      </c>
      <c r="DQ51">
        <v>0</v>
      </c>
      <c r="DR51">
        <v>0</v>
      </c>
      <c r="DS51">
        <v>10045.6</v>
      </c>
      <c r="DT51">
        <v>0</v>
      </c>
      <c r="DU51">
        <v>553.23900000000003</v>
      </c>
      <c r="DV51">
        <v>-2.7080500000000001</v>
      </c>
      <c r="DW51">
        <v>7.4811800000000002</v>
      </c>
      <c r="DX51">
        <v>10.165800000000001</v>
      </c>
      <c r="DY51">
        <v>8.8856599999999997</v>
      </c>
      <c r="DZ51">
        <v>10.002800000000001</v>
      </c>
      <c r="EA51">
        <v>16.037400000000002</v>
      </c>
      <c r="EB51">
        <v>2.4866000000000001</v>
      </c>
      <c r="EC51">
        <v>1.6000700000000001</v>
      </c>
      <c r="ED51">
        <v>20.9391</v>
      </c>
      <c r="EE51">
        <v>13.9595</v>
      </c>
      <c r="EF51">
        <v>1799.96</v>
      </c>
      <c r="EG51">
        <v>0.97800100000000001</v>
      </c>
      <c r="EH51">
        <v>2.1999500000000002E-2</v>
      </c>
      <c r="EI51">
        <v>0</v>
      </c>
      <c r="EJ51">
        <v>783.92100000000005</v>
      </c>
      <c r="EK51">
        <v>5.0010599999999998</v>
      </c>
      <c r="EL51">
        <v>14610.2</v>
      </c>
      <c r="EM51">
        <v>16710.7</v>
      </c>
      <c r="EN51">
        <v>47.811999999999998</v>
      </c>
      <c r="EO51">
        <v>48.686999999999998</v>
      </c>
      <c r="EP51">
        <v>48.75</v>
      </c>
      <c r="EQ51">
        <v>47.311999999999998</v>
      </c>
      <c r="ER51">
        <v>48.75</v>
      </c>
      <c r="ES51">
        <v>1755.47</v>
      </c>
      <c r="ET51">
        <v>39.49</v>
      </c>
      <c r="EU51">
        <v>0</v>
      </c>
      <c r="EV51">
        <v>105.5999999046326</v>
      </c>
      <c r="EW51">
        <v>0</v>
      </c>
      <c r="EX51">
        <v>784.08251999999993</v>
      </c>
      <c r="EY51">
        <v>1.211000009083643</v>
      </c>
      <c r="EZ51">
        <v>8.5230769528139998</v>
      </c>
      <c r="FA51">
        <v>14610.044</v>
      </c>
      <c r="FB51">
        <v>15</v>
      </c>
      <c r="FC51">
        <v>1674580531.5999999</v>
      </c>
      <c r="FD51" t="s">
        <v>599</v>
      </c>
      <c r="FE51">
        <v>1674580519.5999999</v>
      </c>
      <c r="FF51">
        <v>1674580531.5999999</v>
      </c>
      <c r="FG51">
        <v>39</v>
      </c>
      <c r="FH51">
        <v>-0.08</v>
      </c>
      <c r="FI51">
        <v>-2E-3</v>
      </c>
      <c r="FJ51">
        <v>-2.4670000000000001</v>
      </c>
      <c r="FK51">
        <v>-2.7E-2</v>
      </c>
      <c r="FL51">
        <v>10</v>
      </c>
      <c r="FM51">
        <v>16</v>
      </c>
      <c r="FN51">
        <v>0.24</v>
      </c>
      <c r="FO51">
        <v>0.02</v>
      </c>
      <c r="FP51">
        <v>2.2492223244242631</v>
      </c>
      <c r="FQ51">
        <v>-0.52631244517610776</v>
      </c>
      <c r="FR51">
        <v>7.2551375715893707E-2</v>
      </c>
      <c r="FS51">
        <v>1</v>
      </c>
      <c r="FT51">
        <v>0.69206739281685936</v>
      </c>
      <c r="FU51">
        <v>-3.3107095386136681E-2</v>
      </c>
      <c r="FV51">
        <v>4.5321410737955356E-3</v>
      </c>
      <c r="FW51">
        <v>1</v>
      </c>
      <c r="FX51">
        <v>2</v>
      </c>
      <c r="FY51">
        <v>2</v>
      </c>
      <c r="FZ51" t="s">
        <v>420</v>
      </c>
      <c r="GA51">
        <v>2.9783200000000001</v>
      </c>
      <c r="GB51">
        <v>2.8061199999999999</v>
      </c>
      <c r="GC51">
        <v>2.8334499999999999E-3</v>
      </c>
      <c r="GD51">
        <v>2.86535E-3</v>
      </c>
      <c r="GE51">
        <v>0.12235600000000001</v>
      </c>
      <c r="GF51">
        <v>8.9738100000000001E-2</v>
      </c>
      <c r="GG51">
        <v>29508.3</v>
      </c>
      <c r="GH51">
        <v>27395</v>
      </c>
      <c r="GI51">
        <v>26600.5</v>
      </c>
      <c r="GJ51">
        <v>25944.799999999999</v>
      </c>
      <c r="GK51">
        <v>31773.7</v>
      </c>
      <c r="GL51">
        <v>33329.699999999997</v>
      </c>
      <c r="GM51">
        <v>37700.6</v>
      </c>
      <c r="GN51">
        <v>38489.4</v>
      </c>
      <c r="GO51">
        <v>1.9629700000000001</v>
      </c>
      <c r="GP51">
        <v>1.9170499999999999</v>
      </c>
      <c r="GQ51">
        <v>5.9343899999999998E-2</v>
      </c>
      <c r="GR51">
        <v>0</v>
      </c>
      <c r="GS51">
        <v>26.6159</v>
      </c>
      <c r="GT51">
        <v>999.9</v>
      </c>
      <c r="GU51">
        <v>38.799999999999997</v>
      </c>
      <c r="GV51">
        <v>34.9</v>
      </c>
      <c r="GW51">
        <v>21.844799999999999</v>
      </c>
      <c r="GX51">
        <v>61.704599999999999</v>
      </c>
      <c r="GY51">
        <v>13.365399999999999</v>
      </c>
      <c r="GZ51">
        <v>1</v>
      </c>
      <c r="HA51">
        <v>0.35194399999999998</v>
      </c>
      <c r="HB51">
        <v>1.8616900000000001</v>
      </c>
      <c r="HC51">
        <v>20.245000000000001</v>
      </c>
      <c r="HD51">
        <v>5.2068099999999999</v>
      </c>
      <c r="HE51">
        <v>11.937799999999999</v>
      </c>
      <c r="HF51">
        <v>4.9869000000000003</v>
      </c>
      <c r="HG51">
        <v>3.2901500000000001</v>
      </c>
      <c r="HH51">
        <v>9999</v>
      </c>
      <c r="HI51">
        <v>9999</v>
      </c>
      <c r="HJ51">
        <v>9999</v>
      </c>
      <c r="HK51">
        <v>999.9</v>
      </c>
      <c r="HL51">
        <v>1.87042</v>
      </c>
      <c r="HM51">
        <v>1.8766700000000001</v>
      </c>
      <c r="HN51">
        <v>1.87439</v>
      </c>
      <c r="HO51">
        <v>1.87266</v>
      </c>
      <c r="HP51">
        <v>1.8731199999999999</v>
      </c>
      <c r="HQ51">
        <v>1.87053</v>
      </c>
      <c r="HR51">
        <v>1.8764000000000001</v>
      </c>
      <c r="HS51">
        <v>1.8755599999999999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424</v>
      </c>
      <c r="IB51" t="s">
        <v>424</v>
      </c>
      <c r="IC51" t="s">
        <v>423</v>
      </c>
      <c r="ID51">
        <v>0</v>
      </c>
      <c r="IE51">
        <v>100</v>
      </c>
      <c r="IF51">
        <v>100</v>
      </c>
      <c r="IG51">
        <v>-2.46</v>
      </c>
      <c r="IH51">
        <v>0.35099999999999998</v>
      </c>
      <c r="II51">
        <v>-2.4358384347835149</v>
      </c>
      <c r="IJ51">
        <v>-2.536945948238235E-3</v>
      </c>
      <c r="IK51">
        <v>1.581473279927893E-6</v>
      </c>
      <c r="IL51">
        <v>-4.6698293441882044E-10</v>
      </c>
      <c r="IM51">
        <v>-0.1636374409126595</v>
      </c>
      <c r="IN51">
        <v>-1.5895243091576399E-2</v>
      </c>
      <c r="IO51">
        <v>1.559614309849521E-3</v>
      </c>
      <c r="IP51">
        <v>-2.4566050869858518E-6</v>
      </c>
      <c r="IQ51">
        <v>2</v>
      </c>
      <c r="IR51">
        <v>2224</v>
      </c>
      <c r="IS51">
        <v>2</v>
      </c>
      <c r="IT51">
        <v>25</v>
      </c>
      <c r="IU51">
        <v>0.8</v>
      </c>
      <c r="IV51">
        <v>0.6</v>
      </c>
      <c r="IW51">
        <v>0.17456099999999999</v>
      </c>
      <c r="IX51">
        <v>2.5537100000000001</v>
      </c>
      <c r="IY51">
        <v>1.65039</v>
      </c>
      <c r="IZ51">
        <v>2.2900399999999999</v>
      </c>
      <c r="JA51">
        <v>1.50024</v>
      </c>
      <c r="JB51">
        <v>2.4035600000000001</v>
      </c>
      <c r="JC51">
        <v>38.895099999999999</v>
      </c>
      <c r="JD51">
        <v>23.868600000000001</v>
      </c>
      <c r="JE51">
        <v>18</v>
      </c>
      <c r="JF51">
        <v>494.51100000000002</v>
      </c>
      <c r="JG51">
        <v>458.137</v>
      </c>
      <c r="JH51">
        <v>25.162199999999999</v>
      </c>
      <c r="JI51">
        <v>31.735099999999999</v>
      </c>
      <c r="JJ51">
        <v>29.9999</v>
      </c>
      <c r="JK51">
        <v>31.792000000000002</v>
      </c>
      <c r="JL51">
        <v>31.776700000000002</v>
      </c>
      <c r="JM51">
        <v>3.5556299999999998</v>
      </c>
      <c r="JN51">
        <v>38.863399999999999</v>
      </c>
      <c r="JO51">
        <v>37.221400000000003</v>
      </c>
      <c r="JP51">
        <v>25.159099999999999</v>
      </c>
      <c r="JQ51">
        <v>10</v>
      </c>
      <c r="JR51">
        <v>15.937799999999999</v>
      </c>
      <c r="JS51">
        <v>100.038</v>
      </c>
      <c r="JT51">
        <v>99.305599999999998</v>
      </c>
    </row>
    <row r="52" spans="1:280" x14ac:dyDescent="0.25">
      <c r="A52">
        <v>36</v>
      </c>
      <c r="B52">
        <v>1674580755.0999999</v>
      </c>
      <c r="C52">
        <v>6620.5</v>
      </c>
      <c r="D52" t="s">
        <v>600</v>
      </c>
      <c r="E52" t="s">
        <v>601</v>
      </c>
      <c r="F52" t="s">
        <v>412</v>
      </c>
      <c r="G52" t="s">
        <v>565</v>
      </c>
      <c r="H52" t="s">
        <v>566</v>
      </c>
      <c r="I52">
        <v>1674580755.0999999</v>
      </c>
      <c r="J52">
        <f t="shared" si="46"/>
        <v>6.9594902132492928E-3</v>
      </c>
      <c r="K52">
        <f t="shared" si="47"/>
        <v>6.9594902132492926</v>
      </c>
      <c r="L52">
        <f t="shared" si="48"/>
        <v>45.708410151317949</v>
      </c>
      <c r="M52">
        <f t="shared" si="49"/>
        <v>342.33199999999999</v>
      </c>
      <c r="N52">
        <f t="shared" si="50"/>
        <v>203.46549373359727</v>
      </c>
      <c r="O52">
        <f t="shared" si="51"/>
        <v>20.322047855138834</v>
      </c>
      <c r="P52">
        <f t="shared" si="52"/>
        <v>34.191976038227999</v>
      </c>
      <c r="Q52">
        <f t="shared" si="53"/>
        <v>0.60181472494566657</v>
      </c>
      <c r="R52">
        <f t="shared" si="54"/>
        <v>2.9255700442276278</v>
      </c>
      <c r="S52">
        <f t="shared" si="55"/>
        <v>0.54055609569636154</v>
      </c>
      <c r="T52">
        <f t="shared" si="56"/>
        <v>0.34283030220415067</v>
      </c>
      <c r="U52">
        <f t="shared" si="57"/>
        <v>344.37509860471073</v>
      </c>
      <c r="V52">
        <f t="shared" si="58"/>
        <v>28.231643374537825</v>
      </c>
      <c r="W52">
        <f t="shared" si="59"/>
        <v>27.5669</v>
      </c>
      <c r="X52">
        <f t="shared" si="60"/>
        <v>3.7000754133710565</v>
      </c>
      <c r="Y52">
        <f t="shared" si="61"/>
        <v>64.620801507603787</v>
      </c>
      <c r="Z52">
        <f t="shared" si="62"/>
        <v>2.4537715811666998</v>
      </c>
      <c r="AA52">
        <f t="shared" si="63"/>
        <v>3.7971853086315712</v>
      </c>
      <c r="AB52">
        <f t="shared" si="64"/>
        <v>1.2463038322043567</v>
      </c>
      <c r="AC52">
        <f t="shared" si="65"/>
        <v>-306.91351840429382</v>
      </c>
      <c r="AD52">
        <f t="shared" si="66"/>
        <v>69.981842507966192</v>
      </c>
      <c r="AE52">
        <f t="shared" si="67"/>
        <v>5.2032067479194275</v>
      </c>
      <c r="AF52">
        <f t="shared" si="68"/>
        <v>112.64662945630251</v>
      </c>
      <c r="AG52">
        <v>5</v>
      </c>
      <c r="AH52">
        <v>1</v>
      </c>
      <c r="AI52">
        <f t="shared" si="69"/>
        <v>1</v>
      </c>
      <c r="AJ52">
        <f t="shared" si="70"/>
        <v>0</v>
      </c>
      <c r="AK52">
        <f t="shared" si="71"/>
        <v>52580.314208709911</v>
      </c>
      <c r="AL52" t="s">
        <v>415</v>
      </c>
      <c r="AM52">
        <v>10424.1</v>
      </c>
      <c r="AN52">
        <v>628.54280000000006</v>
      </c>
      <c r="AO52">
        <v>2663.98</v>
      </c>
      <c r="AP52">
        <f t="shared" si="72"/>
        <v>0.76405873917972356</v>
      </c>
      <c r="AQ52">
        <v>-3.1675626227050531</v>
      </c>
      <c r="AR52" t="s">
        <v>602</v>
      </c>
      <c r="AS52">
        <v>10194.6</v>
      </c>
      <c r="AT52">
        <v>710.51861538461537</v>
      </c>
      <c r="AU52">
        <v>1008.755592403029</v>
      </c>
      <c r="AV52">
        <f t="shared" si="73"/>
        <v>0.29564840013224802</v>
      </c>
      <c r="AW52">
        <v>0.5</v>
      </c>
      <c r="AX52">
        <f t="shared" si="74"/>
        <v>1513.2098993023553</v>
      </c>
      <c r="AY52">
        <f t="shared" si="75"/>
        <v>45.708410151317949</v>
      </c>
      <c r="AZ52">
        <f t="shared" si="76"/>
        <v>223.68904289651076</v>
      </c>
      <c r="BA52">
        <f t="shared" si="77"/>
        <v>3.2299532798824936E-2</v>
      </c>
      <c r="BB52">
        <f t="shared" si="78"/>
        <v>1.6408577261553934</v>
      </c>
      <c r="BC52">
        <f t="shared" si="79"/>
        <v>453.11941319934624</v>
      </c>
      <c r="BD52" t="s">
        <v>603</v>
      </c>
      <c r="BE52">
        <v>552.69000000000005</v>
      </c>
      <c r="BF52">
        <f t="shared" si="80"/>
        <v>552.69000000000005</v>
      </c>
      <c r="BG52">
        <f t="shared" si="81"/>
        <v>0.45210712667932018</v>
      </c>
      <c r="BH52">
        <f t="shared" si="82"/>
        <v>0.65393439449573554</v>
      </c>
      <c r="BI52">
        <f t="shared" si="83"/>
        <v>0.78398723415398697</v>
      </c>
      <c r="BJ52">
        <f t="shared" si="84"/>
        <v>0.78439490458353589</v>
      </c>
      <c r="BK52">
        <f t="shared" si="85"/>
        <v>0.81320337841765455</v>
      </c>
      <c r="BL52">
        <f t="shared" si="86"/>
        <v>0.50867492092125399</v>
      </c>
      <c r="BM52">
        <f t="shared" si="87"/>
        <v>0.49132507907874601</v>
      </c>
      <c r="BN52">
        <v>20235</v>
      </c>
      <c r="BO52">
        <v>290.00000000000011</v>
      </c>
      <c r="BP52">
        <v>939.2</v>
      </c>
      <c r="BQ52">
        <v>295</v>
      </c>
      <c r="BR52">
        <v>10194.6</v>
      </c>
      <c r="BS52">
        <v>940.54</v>
      </c>
      <c r="BT52">
        <v>-1.34</v>
      </c>
      <c r="BU52">
        <v>300.00000000000011</v>
      </c>
      <c r="BV52">
        <v>24.2</v>
      </c>
      <c r="BW52">
        <v>1008.755592403029</v>
      </c>
      <c r="BX52">
        <v>1.9934963372780961</v>
      </c>
      <c r="BY52">
        <v>-69.539224791374323</v>
      </c>
      <c r="BZ52">
        <v>1.8104883929410369</v>
      </c>
      <c r="CA52">
        <v>0.98137379879428888</v>
      </c>
      <c r="CB52">
        <v>-6.9476743047830912E-3</v>
      </c>
      <c r="CC52">
        <v>289.99999999999989</v>
      </c>
      <c r="CD52">
        <v>940.51</v>
      </c>
      <c r="CE52">
        <v>645</v>
      </c>
      <c r="CF52">
        <v>10176.6</v>
      </c>
      <c r="CG52">
        <v>940.42</v>
      </c>
      <c r="CH52">
        <v>0.09</v>
      </c>
      <c r="CV52">
        <f t="shared" si="88"/>
        <v>1800.03</v>
      </c>
      <c r="CW52">
        <f t="shared" si="89"/>
        <v>1513.2098993023553</v>
      </c>
      <c r="CX52">
        <f t="shared" si="90"/>
        <v>0.84065815530983112</v>
      </c>
      <c r="CY52">
        <f t="shared" si="91"/>
        <v>0.19131631061966231</v>
      </c>
      <c r="CZ52">
        <v>6</v>
      </c>
      <c r="DA52">
        <v>0.5</v>
      </c>
      <c r="DB52" t="s">
        <v>418</v>
      </c>
      <c r="DC52">
        <v>2</v>
      </c>
      <c r="DD52">
        <v>1674580755.0999999</v>
      </c>
      <c r="DE52">
        <v>342.33199999999999</v>
      </c>
      <c r="DF52">
        <v>400.03100000000001</v>
      </c>
      <c r="DG52">
        <v>24.567299999999999</v>
      </c>
      <c r="DH52">
        <v>16.422499999999999</v>
      </c>
      <c r="DI52">
        <v>345.70499999999998</v>
      </c>
      <c r="DJ52">
        <v>24.2318</v>
      </c>
      <c r="DK52">
        <v>500.08699999999999</v>
      </c>
      <c r="DL52">
        <v>99.779499999999999</v>
      </c>
      <c r="DM52">
        <v>0.100079</v>
      </c>
      <c r="DN52">
        <v>28.0106</v>
      </c>
      <c r="DO52">
        <v>27.5669</v>
      </c>
      <c r="DP52">
        <v>999.9</v>
      </c>
      <c r="DQ52">
        <v>0</v>
      </c>
      <c r="DR52">
        <v>0</v>
      </c>
      <c r="DS52">
        <v>9999.3799999999992</v>
      </c>
      <c r="DT52">
        <v>0</v>
      </c>
      <c r="DU52">
        <v>528.86699999999996</v>
      </c>
      <c r="DV52">
        <v>-57.699399999999997</v>
      </c>
      <c r="DW52">
        <v>350.95400000000001</v>
      </c>
      <c r="DX52">
        <v>406.71</v>
      </c>
      <c r="DY52">
        <v>8.1448</v>
      </c>
      <c r="DZ52">
        <v>400.03100000000001</v>
      </c>
      <c r="EA52">
        <v>16.422499999999999</v>
      </c>
      <c r="EB52">
        <v>2.4513099999999999</v>
      </c>
      <c r="EC52">
        <v>1.63862</v>
      </c>
      <c r="ED52">
        <v>20.706800000000001</v>
      </c>
      <c r="EE52">
        <v>14.3269</v>
      </c>
      <c r="EF52">
        <v>1800.03</v>
      </c>
      <c r="EG52">
        <v>0.97800100000000001</v>
      </c>
      <c r="EH52">
        <v>2.1999500000000002E-2</v>
      </c>
      <c r="EI52">
        <v>0</v>
      </c>
      <c r="EJ52">
        <v>710.46600000000001</v>
      </c>
      <c r="EK52">
        <v>5.0010599999999998</v>
      </c>
      <c r="EL52">
        <v>13282.3</v>
      </c>
      <c r="EM52">
        <v>16711.400000000001</v>
      </c>
      <c r="EN52">
        <v>47.75</v>
      </c>
      <c r="EO52">
        <v>48.625</v>
      </c>
      <c r="EP52">
        <v>48.75</v>
      </c>
      <c r="EQ52">
        <v>47.25</v>
      </c>
      <c r="ER52">
        <v>48.686999999999998</v>
      </c>
      <c r="ES52">
        <v>1755.54</v>
      </c>
      <c r="ET52">
        <v>39.49</v>
      </c>
      <c r="EU52">
        <v>0</v>
      </c>
      <c r="EV52">
        <v>187.4000000953674</v>
      </c>
      <c r="EW52">
        <v>0</v>
      </c>
      <c r="EX52">
        <v>710.51861538461537</v>
      </c>
      <c r="EY52">
        <v>-0.83781196827535254</v>
      </c>
      <c r="EZ52">
        <v>1.046153843300107</v>
      </c>
      <c r="FA52">
        <v>13280.66153846154</v>
      </c>
      <c r="FB52">
        <v>15</v>
      </c>
      <c r="FC52">
        <v>1674580659.0999999</v>
      </c>
      <c r="FD52" t="s">
        <v>604</v>
      </c>
      <c r="FE52">
        <v>1674580647.5999999</v>
      </c>
      <c r="FF52">
        <v>1674580659.0999999</v>
      </c>
      <c r="FG52">
        <v>40</v>
      </c>
      <c r="FH52">
        <v>-0.23</v>
      </c>
      <c r="FI52">
        <v>3.0000000000000001E-3</v>
      </c>
      <c r="FJ52">
        <v>-3.4630000000000001</v>
      </c>
      <c r="FK52">
        <v>-2.7E-2</v>
      </c>
      <c r="FL52">
        <v>400</v>
      </c>
      <c r="FM52">
        <v>16</v>
      </c>
      <c r="FN52">
        <v>0.06</v>
      </c>
      <c r="FO52">
        <v>0.01</v>
      </c>
      <c r="FP52">
        <v>44.664911539784853</v>
      </c>
      <c r="FQ52">
        <v>5.6554627889070508</v>
      </c>
      <c r="FR52">
        <v>0.55932277719638568</v>
      </c>
      <c r="FS52">
        <v>0</v>
      </c>
      <c r="FT52">
        <v>0.60926398796614034</v>
      </c>
      <c r="FU52">
        <v>-5.431345128042548E-2</v>
      </c>
      <c r="FV52">
        <v>5.4593011319620443E-3</v>
      </c>
      <c r="FW52">
        <v>0</v>
      </c>
      <c r="FX52">
        <v>0</v>
      </c>
      <c r="FY52">
        <v>2</v>
      </c>
      <c r="FZ52" t="s">
        <v>460</v>
      </c>
      <c r="GA52">
        <v>2.9784600000000001</v>
      </c>
      <c r="GB52">
        <v>2.8064</v>
      </c>
      <c r="GC52">
        <v>8.7111499999999994E-2</v>
      </c>
      <c r="GD52">
        <v>9.6508499999999997E-2</v>
      </c>
      <c r="GE52">
        <v>0.121202</v>
      </c>
      <c r="GF52">
        <v>9.1288099999999997E-2</v>
      </c>
      <c r="GG52">
        <v>27018.3</v>
      </c>
      <c r="GH52">
        <v>24826.9</v>
      </c>
      <c r="GI52">
        <v>26603.599999999999</v>
      </c>
      <c r="GJ52">
        <v>25949.1</v>
      </c>
      <c r="GK52">
        <v>31819.9</v>
      </c>
      <c r="GL52">
        <v>33279.9</v>
      </c>
      <c r="GM52">
        <v>37704.9</v>
      </c>
      <c r="GN52">
        <v>38496.6</v>
      </c>
      <c r="GO52">
        <v>1.96417</v>
      </c>
      <c r="GP52">
        <v>1.9205700000000001</v>
      </c>
      <c r="GQ52">
        <v>6.0841399999999997E-2</v>
      </c>
      <c r="GR52">
        <v>0</v>
      </c>
      <c r="GS52">
        <v>26.572099999999999</v>
      </c>
      <c r="GT52">
        <v>999.9</v>
      </c>
      <c r="GU52">
        <v>38</v>
      </c>
      <c r="GV52">
        <v>34.9</v>
      </c>
      <c r="GW52">
        <v>21.392199999999999</v>
      </c>
      <c r="GX52">
        <v>61.934600000000003</v>
      </c>
      <c r="GY52">
        <v>12.7845</v>
      </c>
      <c r="GZ52">
        <v>1</v>
      </c>
      <c r="HA52">
        <v>0.34656999999999999</v>
      </c>
      <c r="HB52">
        <v>1.7976799999999999</v>
      </c>
      <c r="HC52">
        <v>20.246600000000001</v>
      </c>
      <c r="HD52">
        <v>5.2098000000000004</v>
      </c>
      <c r="HE52">
        <v>11.9369</v>
      </c>
      <c r="HF52">
        <v>4.9875999999999996</v>
      </c>
      <c r="HG52">
        <v>3.29095</v>
      </c>
      <c r="HH52">
        <v>9999</v>
      </c>
      <c r="HI52">
        <v>9999</v>
      </c>
      <c r="HJ52">
        <v>9999</v>
      </c>
      <c r="HK52">
        <v>999.9</v>
      </c>
      <c r="HL52">
        <v>1.87042</v>
      </c>
      <c r="HM52">
        <v>1.87666</v>
      </c>
      <c r="HN52">
        <v>1.8743799999999999</v>
      </c>
      <c r="HO52">
        <v>1.8726400000000001</v>
      </c>
      <c r="HP52">
        <v>1.8730899999999999</v>
      </c>
      <c r="HQ52">
        <v>1.87052</v>
      </c>
      <c r="HR52">
        <v>1.87642</v>
      </c>
      <c r="HS52">
        <v>1.8755900000000001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424</v>
      </c>
      <c r="IB52" t="s">
        <v>424</v>
      </c>
      <c r="IC52" t="s">
        <v>423</v>
      </c>
      <c r="ID52">
        <v>0</v>
      </c>
      <c r="IE52">
        <v>100</v>
      </c>
      <c r="IF52">
        <v>100</v>
      </c>
      <c r="IG52">
        <v>-3.3730000000000002</v>
      </c>
      <c r="IH52">
        <v>0.33550000000000002</v>
      </c>
      <c r="II52">
        <v>-2.6657342672594022</v>
      </c>
      <c r="IJ52">
        <v>-2.536945948238235E-3</v>
      </c>
      <c r="IK52">
        <v>1.581473279927893E-6</v>
      </c>
      <c r="IL52">
        <v>-4.6698293441882044E-10</v>
      </c>
      <c r="IM52">
        <v>-0.16019763589761241</v>
      </c>
      <c r="IN52">
        <v>-1.5895243091576399E-2</v>
      </c>
      <c r="IO52">
        <v>1.559614309849521E-3</v>
      </c>
      <c r="IP52">
        <v>-2.4566050869858518E-6</v>
      </c>
      <c r="IQ52">
        <v>2</v>
      </c>
      <c r="IR52">
        <v>2224</v>
      </c>
      <c r="IS52">
        <v>2</v>
      </c>
      <c r="IT52">
        <v>25</v>
      </c>
      <c r="IU52">
        <v>1.8</v>
      </c>
      <c r="IV52">
        <v>1.6</v>
      </c>
      <c r="IW52">
        <v>0.94116200000000005</v>
      </c>
      <c r="IX52">
        <v>2.49878</v>
      </c>
      <c r="IY52">
        <v>1.65039</v>
      </c>
      <c r="IZ52">
        <v>2.2900399999999999</v>
      </c>
      <c r="JA52">
        <v>1.50024</v>
      </c>
      <c r="JB52">
        <v>2.4047900000000002</v>
      </c>
      <c r="JC52">
        <v>38.796399999999998</v>
      </c>
      <c r="JD52">
        <v>23.877400000000002</v>
      </c>
      <c r="JE52">
        <v>18</v>
      </c>
      <c r="JF52">
        <v>494.74</v>
      </c>
      <c r="JG52">
        <v>459.93799999999999</v>
      </c>
      <c r="JH52">
        <v>25.214099999999998</v>
      </c>
      <c r="JI52">
        <v>31.669499999999999</v>
      </c>
      <c r="JJ52">
        <v>30.0001</v>
      </c>
      <c r="JK52">
        <v>31.724499999999999</v>
      </c>
      <c r="JL52">
        <v>31.7135</v>
      </c>
      <c r="JM52">
        <v>18.864100000000001</v>
      </c>
      <c r="JN52">
        <v>33.910200000000003</v>
      </c>
      <c r="JO52">
        <v>35.478400000000001</v>
      </c>
      <c r="JP52">
        <v>25.209800000000001</v>
      </c>
      <c r="JQ52">
        <v>400</v>
      </c>
      <c r="JR52">
        <v>16.532699999999998</v>
      </c>
      <c r="JS52">
        <v>100.05</v>
      </c>
      <c r="JT52">
        <v>99.3232</v>
      </c>
    </row>
    <row r="53" spans="1:280" x14ac:dyDescent="0.25">
      <c r="A53">
        <v>37</v>
      </c>
      <c r="B53">
        <v>1674580858.5999999</v>
      </c>
      <c r="C53">
        <v>6724</v>
      </c>
      <c r="D53" t="s">
        <v>605</v>
      </c>
      <c r="E53" t="s">
        <v>606</v>
      </c>
      <c r="F53" t="s">
        <v>412</v>
      </c>
      <c r="G53" t="s">
        <v>565</v>
      </c>
      <c r="H53" t="s">
        <v>566</v>
      </c>
      <c r="I53">
        <v>1674580858.5999999</v>
      </c>
      <c r="J53">
        <f t="shared" si="46"/>
        <v>6.296428967608317E-3</v>
      </c>
      <c r="K53">
        <f t="shared" si="47"/>
        <v>6.2964289676083167</v>
      </c>
      <c r="L53">
        <f t="shared" si="48"/>
        <v>51.132330461819805</v>
      </c>
      <c r="M53">
        <f t="shared" si="49"/>
        <v>336.161</v>
      </c>
      <c r="N53">
        <f t="shared" si="50"/>
        <v>165.47678724712358</v>
      </c>
      <c r="O53">
        <f t="shared" si="51"/>
        <v>16.52850774247942</v>
      </c>
      <c r="P53">
        <f t="shared" si="52"/>
        <v>33.577154739667002</v>
      </c>
      <c r="Q53">
        <f t="shared" si="53"/>
        <v>0.53701330128628078</v>
      </c>
      <c r="R53">
        <f t="shared" si="54"/>
        <v>2.9235708573822028</v>
      </c>
      <c r="S53">
        <f t="shared" si="55"/>
        <v>0.48762804748803001</v>
      </c>
      <c r="T53">
        <f t="shared" si="56"/>
        <v>0.30882524493095714</v>
      </c>
      <c r="U53">
        <f t="shared" si="57"/>
        <v>344.37699860471849</v>
      </c>
      <c r="V53">
        <f t="shared" si="58"/>
        <v>28.40334291035256</v>
      </c>
      <c r="W53">
        <f t="shared" si="59"/>
        <v>27.659800000000001</v>
      </c>
      <c r="X53">
        <f t="shared" si="60"/>
        <v>3.7202265118162279</v>
      </c>
      <c r="Y53">
        <f t="shared" si="61"/>
        <v>65.064325228611253</v>
      </c>
      <c r="Z53">
        <f t="shared" si="62"/>
        <v>2.4704545845804002</v>
      </c>
      <c r="AA53">
        <f t="shared" si="63"/>
        <v>3.7969418354838291</v>
      </c>
      <c r="AB53">
        <f t="shared" si="64"/>
        <v>1.2497719272358276</v>
      </c>
      <c r="AC53">
        <f t="shared" si="65"/>
        <v>-277.67251747152676</v>
      </c>
      <c r="AD53">
        <f t="shared" si="66"/>
        <v>55.118158556497086</v>
      </c>
      <c r="AE53">
        <f t="shared" si="67"/>
        <v>4.1027589365515196</v>
      </c>
      <c r="AF53">
        <f t="shared" si="68"/>
        <v>125.92539862624037</v>
      </c>
      <c r="AG53">
        <v>6</v>
      </c>
      <c r="AH53">
        <v>1</v>
      </c>
      <c r="AI53">
        <f t="shared" si="69"/>
        <v>1</v>
      </c>
      <c r="AJ53">
        <f t="shared" si="70"/>
        <v>0</v>
      </c>
      <c r="AK53">
        <f t="shared" si="71"/>
        <v>52523.105375815387</v>
      </c>
      <c r="AL53" t="s">
        <v>415</v>
      </c>
      <c r="AM53">
        <v>10424.1</v>
      </c>
      <c r="AN53">
        <v>628.54280000000006</v>
      </c>
      <c r="AO53">
        <v>2663.98</v>
      </c>
      <c r="AP53">
        <f t="shared" si="72"/>
        <v>0.76405873917972356</v>
      </c>
      <c r="AQ53">
        <v>-3.1675626227050531</v>
      </c>
      <c r="AR53" t="s">
        <v>607</v>
      </c>
      <c r="AS53">
        <v>10196.4</v>
      </c>
      <c r="AT53">
        <v>717.41964000000007</v>
      </c>
      <c r="AU53">
        <v>1075.184025272245</v>
      </c>
      <c r="AV53">
        <f t="shared" si="73"/>
        <v>0.33274711757520414</v>
      </c>
      <c r="AW53">
        <v>0.5</v>
      </c>
      <c r="AX53">
        <f t="shared" si="74"/>
        <v>1513.2182993023591</v>
      </c>
      <c r="AY53">
        <f t="shared" si="75"/>
        <v>51.132330461819805</v>
      </c>
      <c r="AZ53">
        <f t="shared" si="76"/>
        <v>251.75951367745628</v>
      </c>
      <c r="BA53">
        <f t="shared" si="77"/>
        <v>3.5883714272791183E-2</v>
      </c>
      <c r="BB53">
        <f t="shared" si="78"/>
        <v>1.4776967824884297</v>
      </c>
      <c r="BC53">
        <f t="shared" si="79"/>
        <v>466.05343629624588</v>
      </c>
      <c r="BD53" t="s">
        <v>608</v>
      </c>
      <c r="BE53">
        <v>556.63</v>
      </c>
      <c r="BF53">
        <f t="shared" si="80"/>
        <v>556.63</v>
      </c>
      <c r="BG53">
        <f t="shared" si="81"/>
        <v>0.48229327546132683</v>
      </c>
      <c r="BH53">
        <f t="shared" si="82"/>
        <v>0.68992692725587423</v>
      </c>
      <c r="BI53">
        <f t="shared" si="83"/>
        <v>0.7539307541356467</v>
      </c>
      <c r="BJ53">
        <f t="shared" si="84"/>
        <v>0.80101066589671344</v>
      </c>
      <c r="BK53">
        <f t="shared" si="85"/>
        <v>0.78056742538053014</v>
      </c>
      <c r="BL53">
        <f t="shared" si="86"/>
        <v>0.535299013445516</v>
      </c>
      <c r="BM53">
        <f t="shared" si="87"/>
        <v>0.464700986554484</v>
      </c>
      <c r="BN53">
        <v>20237</v>
      </c>
      <c r="BO53">
        <v>290.00000000000011</v>
      </c>
      <c r="BP53">
        <v>987.63</v>
      </c>
      <c r="BQ53">
        <v>275</v>
      </c>
      <c r="BR53">
        <v>10196.4</v>
      </c>
      <c r="BS53">
        <v>987.92</v>
      </c>
      <c r="BT53">
        <v>-0.28999999999999998</v>
      </c>
      <c r="BU53">
        <v>300.00000000000011</v>
      </c>
      <c r="BV53">
        <v>24.2</v>
      </c>
      <c r="BW53">
        <v>1075.184025272245</v>
      </c>
      <c r="BX53">
        <v>1.9634963715094209</v>
      </c>
      <c r="BY53">
        <v>-88.979145482915769</v>
      </c>
      <c r="BZ53">
        <v>1.7833133264708001</v>
      </c>
      <c r="CA53">
        <v>0.98887808345998185</v>
      </c>
      <c r="CB53">
        <v>-6.9481052280311543E-3</v>
      </c>
      <c r="CC53">
        <v>289.99999999999989</v>
      </c>
      <c r="CD53">
        <v>988.07</v>
      </c>
      <c r="CE53">
        <v>665</v>
      </c>
      <c r="CF53">
        <v>10175.5</v>
      </c>
      <c r="CG53">
        <v>987.74</v>
      </c>
      <c r="CH53">
        <v>0.33</v>
      </c>
      <c r="CV53">
        <f t="shared" si="88"/>
        <v>1800.04</v>
      </c>
      <c r="CW53">
        <f t="shared" si="89"/>
        <v>1513.2182993023591</v>
      </c>
      <c r="CX53">
        <f t="shared" si="90"/>
        <v>0.84065815165349611</v>
      </c>
      <c r="CY53">
        <f t="shared" si="91"/>
        <v>0.19131630330699234</v>
      </c>
      <c r="CZ53">
        <v>6</v>
      </c>
      <c r="DA53">
        <v>0.5</v>
      </c>
      <c r="DB53" t="s">
        <v>418</v>
      </c>
      <c r="DC53">
        <v>2</v>
      </c>
      <c r="DD53">
        <v>1674580858.5999999</v>
      </c>
      <c r="DE53">
        <v>336.161</v>
      </c>
      <c r="DF53">
        <v>400.04899999999998</v>
      </c>
      <c r="DG53">
        <v>24.7332</v>
      </c>
      <c r="DH53">
        <v>17.365600000000001</v>
      </c>
      <c r="DI53">
        <v>339.66899999999998</v>
      </c>
      <c r="DJ53">
        <v>24.392700000000001</v>
      </c>
      <c r="DK53">
        <v>500.084</v>
      </c>
      <c r="DL53">
        <v>99.784300000000002</v>
      </c>
      <c r="DM53">
        <v>9.9847000000000005E-2</v>
      </c>
      <c r="DN53">
        <v>28.009499999999999</v>
      </c>
      <c r="DO53">
        <v>27.659800000000001</v>
      </c>
      <c r="DP53">
        <v>999.9</v>
      </c>
      <c r="DQ53">
        <v>0</v>
      </c>
      <c r="DR53">
        <v>0</v>
      </c>
      <c r="DS53">
        <v>9987.5</v>
      </c>
      <c r="DT53">
        <v>0</v>
      </c>
      <c r="DU53">
        <v>536.05600000000004</v>
      </c>
      <c r="DV53">
        <v>-63.888199999999998</v>
      </c>
      <c r="DW53">
        <v>344.68700000000001</v>
      </c>
      <c r="DX53">
        <v>407.11900000000003</v>
      </c>
      <c r="DY53">
        <v>7.36754</v>
      </c>
      <c r="DZ53">
        <v>400.04899999999998</v>
      </c>
      <c r="EA53">
        <v>17.365600000000001</v>
      </c>
      <c r="EB53">
        <v>2.4679799999999998</v>
      </c>
      <c r="EC53">
        <v>1.73282</v>
      </c>
      <c r="ED53">
        <v>20.8169</v>
      </c>
      <c r="EE53">
        <v>15.1936</v>
      </c>
      <c r="EF53">
        <v>1800.04</v>
      </c>
      <c r="EG53">
        <v>0.97800100000000001</v>
      </c>
      <c r="EH53">
        <v>2.1999500000000002E-2</v>
      </c>
      <c r="EI53">
        <v>0</v>
      </c>
      <c r="EJ53">
        <v>718.553</v>
      </c>
      <c r="EK53">
        <v>5.0010599999999998</v>
      </c>
      <c r="EL53">
        <v>13441.4</v>
      </c>
      <c r="EM53">
        <v>16711.5</v>
      </c>
      <c r="EN53">
        <v>47.686999999999998</v>
      </c>
      <c r="EO53">
        <v>48.625</v>
      </c>
      <c r="EP53">
        <v>48.686999999999998</v>
      </c>
      <c r="EQ53">
        <v>47.186999999999998</v>
      </c>
      <c r="ER53">
        <v>48.625</v>
      </c>
      <c r="ES53">
        <v>1755.55</v>
      </c>
      <c r="ET53">
        <v>39.49</v>
      </c>
      <c r="EU53">
        <v>0</v>
      </c>
      <c r="EV53">
        <v>101.5999999046326</v>
      </c>
      <c r="EW53">
        <v>0</v>
      </c>
      <c r="EX53">
        <v>717.41964000000007</v>
      </c>
      <c r="EY53">
        <v>10.253769255378421</v>
      </c>
      <c r="EZ53">
        <v>182.6461541599067</v>
      </c>
      <c r="FA53">
        <v>13420.075999999999</v>
      </c>
      <c r="FB53">
        <v>15</v>
      </c>
      <c r="FC53">
        <v>1674580826.5999999</v>
      </c>
      <c r="FD53" t="s">
        <v>609</v>
      </c>
      <c r="FE53">
        <v>1674580826.0999999</v>
      </c>
      <c r="FF53">
        <v>1674580826.5999999</v>
      </c>
      <c r="FG53">
        <v>41</v>
      </c>
      <c r="FH53">
        <v>-0.14399999999999999</v>
      </c>
      <c r="FI53">
        <v>-4.0000000000000001E-3</v>
      </c>
      <c r="FJ53">
        <v>-3.6070000000000002</v>
      </c>
      <c r="FK53">
        <v>-1E-3</v>
      </c>
      <c r="FL53">
        <v>400</v>
      </c>
      <c r="FM53">
        <v>17</v>
      </c>
      <c r="FN53">
        <v>0.04</v>
      </c>
      <c r="FO53">
        <v>0.01</v>
      </c>
      <c r="FP53">
        <v>50.818740598445032</v>
      </c>
      <c r="FQ53">
        <v>0.68398529297612998</v>
      </c>
      <c r="FR53">
        <v>0.1490448606093793</v>
      </c>
      <c r="FS53">
        <v>1</v>
      </c>
      <c r="FT53">
        <v>0.54328421627106782</v>
      </c>
      <c r="FU53">
        <v>2.7403584927657761E-2</v>
      </c>
      <c r="FV53">
        <v>9.4873688461089376E-3</v>
      </c>
      <c r="FW53">
        <v>1</v>
      </c>
      <c r="FX53">
        <v>2</v>
      </c>
      <c r="FY53">
        <v>2</v>
      </c>
      <c r="FZ53" t="s">
        <v>420</v>
      </c>
      <c r="GA53">
        <v>2.9784700000000002</v>
      </c>
      <c r="GB53">
        <v>2.8060700000000001</v>
      </c>
      <c r="GC53">
        <v>8.5908100000000001E-2</v>
      </c>
      <c r="GD53">
        <v>9.6533999999999995E-2</v>
      </c>
      <c r="GE53">
        <v>0.121778</v>
      </c>
      <c r="GF53">
        <v>9.4987500000000002E-2</v>
      </c>
      <c r="GG53">
        <v>27054.400000000001</v>
      </c>
      <c r="GH53">
        <v>24827.9</v>
      </c>
      <c r="GI53">
        <v>26603.9</v>
      </c>
      <c r="GJ53">
        <v>25950.6</v>
      </c>
      <c r="GK53">
        <v>31799</v>
      </c>
      <c r="GL53">
        <v>33146.300000000003</v>
      </c>
      <c r="GM53">
        <v>37705.199999999997</v>
      </c>
      <c r="GN53">
        <v>38498.9</v>
      </c>
      <c r="GO53">
        <v>1.96288</v>
      </c>
      <c r="GP53">
        <v>1.9229000000000001</v>
      </c>
      <c r="GQ53">
        <v>6.7815200000000006E-2</v>
      </c>
      <c r="GR53">
        <v>0</v>
      </c>
      <c r="GS53">
        <v>26.550899999999999</v>
      </c>
      <c r="GT53">
        <v>999.9</v>
      </c>
      <c r="GU53">
        <v>37.799999999999997</v>
      </c>
      <c r="GV53">
        <v>34.9</v>
      </c>
      <c r="GW53">
        <v>21.277899999999999</v>
      </c>
      <c r="GX53">
        <v>61.864600000000003</v>
      </c>
      <c r="GY53">
        <v>12.976800000000001</v>
      </c>
      <c r="GZ53">
        <v>1</v>
      </c>
      <c r="HA53">
        <v>0.34328500000000001</v>
      </c>
      <c r="HB53">
        <v>1.7609699999999999</v>
      </c>
      <c r="HC53">
        <v>20.246600000000001</v>
      </c>
      <c r="HD53">
        <v>5.2047100000000004</v>
      </c>
      <c r="HE53">
        <v>11.9369</v>
      </c>
      <c r="HF53">
        <v>4.9860499999999996</v>
      </c>
      <c r="HG53">
        <v>3.2905500000000001</v>
      </c>
      <c r="HH53">
        <v>9999</v>
      </c>
      <c r="HI53">
        <v>9999</v>
      </c>
      <c r="HJ53">
        <v>9999</v>
      </c>
      <c r="HK53">
        <v>999.9</v>
      </c>
      <c r="HL53">
        <v>1.87042</v>
      </c>
      <c r="HM53">
        <v>1.87663</v>
      </c>
      <c r="HN53">
        <v>1.8743700000000001</v>
      </c>
      <c r="HO53">
        <v>1.87259</v>
      </c>
      <c r="HP53">
        <v>1.8731100000000001</v>
      </c>
      <c r="HQ53">
        <v>1.8704499999999999</v>
      </c>
      <c r="HR53">
        <v>1.8764099999999999</v>
      </c>
      <c r="HS53">
        <v>1.87551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424</v>
      </c>
      <c r="IB53" t="s">
        <v>424</v>
      </c>
      <c r="IC53" t="s">
        <v>423</v>
      </c>
      <c r="ID53">
        <v>0</v>
      </c>
      <c r="IE53">
        <v>100</v>
      </c>
      <c r="IF53">
        <v>100</v>
      </c>
      <c r="IG53">
        <v>-3.508</v>
      </c>
      <c r="IH53">
        <v>0.34050000000000002</v>
      </c>
      <c r="II53">
        <v>-2.809861635356441</v>
      </c>
      <c r="IJ53">
        <v>-2.536945948238235E-3</v>
      </c>
      <c r="IK53">
        <v>1.581473279927893E-6</v>
      </c>
      <c r="IL53">
        <v>-4.6698293441882044E-10</v>
      </c>
      <c r="IM53">
        <v>-0.16414245535016361</v>
      </c>
      <c r="IN53">
        <v>-1.5895243091576399E-2</v>
      </c>
      <c r="IO53">
        <v>1.559614309849521E-3</v>
      </c>
      <c r="IP53">
        <v>-2.4566050869858518E-6</v>
      </c>
      <c r="IQ53">
        <v>2</v>
      </c>
      <c r="IR53">
        <v>2224</v>
      </c>
      <c r="IS53">
        <v>2</v>
      </c>
      <c r="IT53">
        <v>25</v>
      </c>
      <c r="IU53">
        <v>0.5</v>
      </c>
      <c r="IV53">
        <v>0.5</v>
      </c>
      <c r="IW53">
        <v>0.94116200000000005</v>
      </c>
      <c r="IX53">
        <v>2.5</v>
      </c>
      <c r="IY53">
        <v>1.65039</v>
      </c>
      <c r="IZ53">
        <v>2.2900399999999999</v>
      </c>
      <c r="JA53">
        <v>1.50024</v>
      </c>
      <c r="JB53">
        <v>2.2485400000000002</v>
      </c>
      <c r="JC53">
        <v>38.747100000000003</v>
      </c>
      <c r="JD53">
        <v>23.8598</v>
      </c>
      <c r="JE53">
        <v>18</v>
      </c>
      <c r="JF53">
        <v>493.62099999999998</v>
      </c>
      <c r="JG53">
        <v>461.16300000000001</v>
      </c>
      <c r="JH53">
        <v>25.2027</v>
      </c>
      <c r="JI53">
        <v>31.627600000000001</v>
      </c>
      <c r="JJ53">
        <v>29.9999</v>
      </c>
      <c r="JK53">
        <v>31.689</v>
      </c>
      <c r="JL53">
        <v>31.676200000000001</v>
      </c>
      <c r="JM53">
        <v>18.8794</v>
      </c>
      <c r="JN53">
        <v>29.923500000000001</v>
      </c>
      <c r="JO53">
        <v>35.4848</v>
      </c>
      <c r="JP53">
        <v>25.197399999999998</v>
      </c>
      <c r="JQ53">
        <v>400</v>
      </c>
      <c r="JR53">
        <v>17.349799999999998</v>
      </c>
      <c r="JS53">
        <v>100.051</v>
      </c>
      <c r="JT53">
        <v>99.3292</v>
      </c>
    </row>
    <row r="54" spans="1:280" x14ac:dyDescent="0.25">
      <c r="A54">
        <v>38</v>
      </c>
      <c r="B54">
        <v>1674580964.0999999</v>
      </c>
      <c r="C54">
        <v>6829.5</v>
      </c>
      <c r="D54" t="s">
        <v>610</v>
      </c>
      <c r="E54" t="s">
        <v>611</v>
      </c>
      <c r="F54" t="s">
        <v>412</v>
      </c>
      <c r="G54" t="s">
        <v>565</v>
      </c>
      <c r="H54" t="s">
        <v>566</v>
      </c>
      <c r="I54">
        <v>1674580964.0999999</v>
      </c>
      <c r="J54">
        <f t="shared" si="46"/>
        <v>6.0311123277063151E-3</v>
      </c>
      <c r="K54">
        <f t="shared" si="47"/>
        <v>6.0311123277063148</v>
      </c>
      <c r="L54">
        <f t="shared" si="48"/>
        <v>54.565827944008333</v>
      </c>
      <c r="M54">
        <f t="shared" si="49"/>
        <v>431.43400000000003</v>
      </c>
      <c r="N54">
        <f t="shared" si="50"/>
        <v>239.78557018795215</v>
      </c>
      <c r="O54">
        <f t="shared" si="51"/>
        <v>23.951566155550935</v>
      </c>
      <c r="P54">
        <f t="shared" si="52"/>
        <v>43.094836710375006</v>
      </c>
      <c r="Q54">
        <f t="shared" si="53"/>
        <v>0.51145411289130926</v>
      </c>
      <c r="R54">
        <f t="shared" si="54"/>
        <v>2.9284580401314844</v>
      </c>
      <c r="S54">
        <f t="shared" si="55"/>
        <v>0.46651531149111947</v>
      </c>
      <c r="T54">
        <f t="shared" si="56"/>
        <v>0.29527989512716579</v>
      </c>
      <c r="U54">
        <f t="shared" si="57"/>
        <v>344.3921986047805</v>
      </c>
      <c r="V54">
        <f t="shared" si="58"/>
        <v>28.44850390708244</v>
      </c>
      <c r="W54">
        <f t="shared" si="59"/>
        <v>27.689800000000002</v>
      </c>
      <c r="X54">
        <f t="shared" si="60"/>
        <v>3.7267542866130015</v>
      </c>
      <c r="Y54">
        <f t="shared" si="61"/>
        <v>65.285835749419661</v>
      </c>
      <c r="Z54">
        <f t="shared" si="62"/>
        <v>2.4755003748187501</v>
      </c>
      <c r="AA54">
        <f t="shared" si="63"/>
        <v>3.7917878302427264</v>
      </c>
      <c r="AB54">
        <f t="shared" si="64"/>
        <v>1.2512539117942514</v>
      </c>
      <c r="AC54">
        <f t="shared" si="65"/>
        <v>-265.97205365184851</v>
      </c>
      <c r="AD54">
        <f t="shared" si="66"/>
        <v>46.795344450375886</v>
      </c>
      <c r="AE54">
        <f t="shared" si="67"/>
        <v>3.4775472075016598</v>
      </c>
      <c r="AF54">
        <f t="shared" si="68"/>
        <v>128.69303661080957</v>
      </c>
      <c r="AG54">
        <v>6</v>
      </c>
      <c r="AH54">
        <v>1</v>
      </c>
      <c r="AI54">
        <f t="shared" si="69"/>
        <v>1</v>
      </c>
      <c r="AJ54">
        <f t="shared" si="70"/>
        <v>0</v>
      </c>
      <c r="AK54">
        <f t="shared" si="71"/>
        <v>52667.883879762318</v>
      </c>
      <c r="AL54" t="s">
        <v>415</v>
      </c>
      <c r="AM54">
        <v>10424.1</v>
      </c>
      <c r="AN54">
        <v>628.54280000000006</v>
      </c>
      <c r="AO54">
        <v>2663.98</v>
      </c>
      <c r="AP54">
        <f t="shared" si="72"/>
        <v>0.76405873917972356</v>
      </c>
      <c r="AQ54">
        <v>-3.1675626227050531</v>
      </c>
      <c r="AR54" t="s">
        <v>612</v>
      </c>
      <c r="AS54">
        <v>10195.6</v>
      </c>
      <c r="AT54">
        <v>733.42019230769233</v>
      </c>
      <c r="AU54">
        <v>1128.822817050107</v>
      </c>
      <c r="AV54">
        <f t="shared" si="73"/>
        <v>0.35027873176385593</v>
      </c>
      <c r="AW54">
        <v>0.5</v>
      </c>
      <c r="AX54">
        <f t="shared" si="74"/>
        <v>1513.2854993023902</v>
      </c>
      <c r="AY54">
        <f t="shared" si="75"/>
        <v>54.565827944008333</v>
      </c>
      <c r="AZ54">
        <f t="shared" si="76"/>
        <v>265.03586274613735</v>
      </c>
      <c r="BA54">
        <f t="shared" si="77"/>
        <v>3.8151023447543717E-2</v>
      </c>
      <c r="BB54">
        <f t="shared" si="78"/>
        <v>1.359962927540425</v>
      </c>
      <c r="BC54">
        <f t="shared" si="79"/>
        <v>475.85466331240383</v>
      </c>
      <c r="BD54" t="s">
        <v>613</v>
      </c>
      <c r="BE54">
        <v>567.04999999999995</v>
      </c>
      <c r="BF54">
        <f t="shared" si="80"/>
        <v>567.04999999999995</v>
      </c>
      <c r="BG54">
        <f t="shared" si="81"/>
        <v>0.49766252822401147</v>
      </c>
      <c r="BH54">
        <f t="shared" si="82"/>
        <v>0.70384791278917813</v>
      </c>
      <c r="BI54">
        <f t="shared" si="83"/>
        <v>0.73209748677823905</v>
      </c>
      <c r="BJ54">
        <f t="shared" si="84"/>
        <v>0.79036261946639375</v>
      </c>
      <c r="BK54">
        <f t="shared" si="85"/>
        <v>0.75421495831455432</v>
      </c>
      <c r="BL54">
        <f t="shared" si="86"/>
        <v>0.54418594297395839</v>
      </c>
      <c r="BM54">
        <f t="shared" si="87"/>
        <v>0.45581405702604161</v>
      </c>
      <c r="BN54">
        <v>20239</v>
      </c>
      <c r="BO54">
        <v>290.00000000000011</v>
      </c>
      <c r="BP54">
        <v>1032.69</v>
      </c>
      <c r="BQ54">
        <v>295</v>
      </c>
      <c r="BR54">
        <v>10195.6</v>
      </c>
      <c r="BS54">
        <v>1033.06</v>
      </c>
      <c r="BT54">
        <v>-0.37</v>
      </c>
      <c r="BU54">
        <v>300.00000000000011</v>
      </c>
      <c r="BV54">
        <v>24.2</v>
      </c>
      <c r="BW54">
        <v>1128.822817050107</v>
      </c>
      <c r="BX54">
        <v>1.9889142296761331</v>
      </c>
      <c r="BY54">
        <v>-97.632342401495805</v>
      </c>
      <c r="BZ54">
        <v>1.80651635400805</v>
      </c>
      <c r="CA54">
        <v>0.99050465109580077</v>
      </c>
      <c r="CB54">
        <v>-6.9484845383759736E-3</v>
      </c>
      <c r="CC54">
        <v>289.99999999999989</v>
      </c>
      <c r="CD54">
        <v>1032.99</v>
      </c>
      <c r="CE54">
        <v>645</v>
      </c>
      <c r="CF54">
        <v>10177.799999999999</v>
      </c>
      <c r="CG54">
        <v>1032.9000000000001</v>
      </c>
      <c r="CH54">
        <v>0.09</v>
      </c>
      <c r="CV54">
        <f t="shared" si="88"/>
        <v>1800.12</v>
      </c>
      <c r="CW54">
        <f t="shared" si="89"/>
        <v>1513.2854993023902</v>
      </c>
      <c r="CX54">
        <f t="shared" si="90"/>
        <v>0.84065812240427873</v>
      </c>
      <c r="CY54">
        <f t="shared" si="91"/>
        <v>0.1913162448085575</v>
      </c>
      <c r="CZ54">
        <v>6</v>
      </c>
      <c r="DA54">
        <v>0.5</v>
      </c>
      <c r="DB54" t="s">
        <v>418</v>
      </c>
      <c r="DC54">
        <v>2</v>
      </c>
      <c r="DD54">
        <v>1674580964.0999999</v>
      </c>
      <c r="DE54">
        <v>431.43400000000003</v>
      </c>
      <c r="DF54">
        <v>500.02499999999998</v>
      </c>
      <c r="DG54">
        <v>24.782900000000001</v>
      </c>
      <c r="DH54">
        <v>17.725999999999999</v>
      </c>
      <c r="DI54">
        <v>435.04700000000003</v>
      </c>
      <c r="DJ54">
        <v>24.4453</v>
      </c>
      <c r="DK54">
        <v>500.07600000000002</v>
      </c>
      <c r="DL54">
        <v>99.7881</v>
      </c>
      <c r="DM54">
        <v>9.9337499999999995E-2</v>
      </c>
      <c r="DN54">
        <v>27.9862</v>
      </c>
      <c r="DO54">
        <v>27.689800000000002</v>
      </c>
      <c r="DP54">
        <v>999.9</v>
      </c>
      <c r="DQ54">
        <v>0</v>
      </c>
      <c r="DR54">
        <v>0</v>
      </c>
      <c r="DS54">
        <v>10015</v>
      </c>
      <c r="DT54">
        <v>0</v>
      </c>
      <c r="DU54">
        <v>535.08399999999995</v>
      </c>
      <c r="DV54">
        <v>-68.590999999999994</v>
      </c>
      <c r="DW54">
        <v>442.39800000000002</v>
      </c>
      <c r="DX54">
        <v>509.048</v>
      </c>
      <c r="DY54">
        <v>7.0569199999999999</v>
      </c>
      <c r="DZ54">
        <v>500.02499999999998</v>
      </c>
      <c r="EA54">
        <v>17.725999999999999</v>
      </c>
      <c r="EB54">
        <v>2.4730400000000001</v>
      </c>
      <c r="EC54">
        <v>1.76884</v>
      </c>
      <c r="ED54">
        <v>20.850100000000001</v>
      </c>
      <c r="EE54">
        <v>15.514099999999999</v>
      </c>
      <c r="EF54">
        <v>1800.12</v>
      </c>
      <c r="EG54">
        <v>0.97800100000000001</v>
      </c>
      <c r="EH54">
        <v>2.1999500000000002E-2</v>
      </c>
      <c r="EI54">
        <v>0</v>
      </c>
      <c r="EJ54">
        <v>734.51700000000005</v>
      </c>
      <c r="EK54">
        <v>5.0010599999999998</v>
      </c>
      <c r="EL54">
        <v>13732.7</v>
      </c>
      <c r="EM54">
        <v>16712.099999999999</v>
      </c>
      <c r="EN54">
        <v>47.625</v>
      </c>
      <c r="EO54">
        <v>48.561999999999998</v>
      </c>
      <c r="EP54">
        <v>48.686999999999998</v>
      </c>
      <c r="EQ54">
        <v>47.125</v>
      </c>
      <c r="ER54">
        <v>48.625</v>
      </c>
      <c r="ES54">
        <v>1755.63</v>
      </c>
      <c r="ET54">
        <v>39.49</v>
      </c>
      <c r="EU54">
        <v>0</v>
      </c>
      <c r="EV54">
        <v>103.4000000953674</v>
      </c>
      <c r="EW54">
        <v>0</v>
      </c>
      <c r="EX54">
        <v>733.42019230769233</v>
      </c>
      <c r="EY54">
        <v>7.991897444165188</v>
      </c>
      <c r="EZ54">
        <v>136.4649572650294</v>
      </c>
      <c r="FA54">
        <v>13715.892307692309</v>
      </c>
      <c r="FB54">
        <v>15</v>
      </c>
      <c r="FC54">
        <v>1674580932.0999999</v>
      </c>
      <c r="FD54" t="s">
        <v>614</v>
      </c>
      <c r="FE54">
        <v>1674580927.0999999</v>
      </c>
      <c r="FF54">
        <v>1674580932.0999999</v>
      </c>
      <c r="FG54">
        <v>42</v>
      </c>
      <c r="FH54">
        <v>3.9E-2</v>
      </c>
      <c r="FI54">
        <v>-6.0000000000000001E-3</v>
      </c>
      <c r="FJ54">
        <v>-3.7069999999999999</v>
      </c>
      <c r="FK54">
        <v>1.4999999999999999E-2</v>
      </c>
      <c r="FL54">
        <v>500</v>
      </c>
      <c r="FM54">
        <v>17</v>
      </c>
      <c r="FN54">
        <v>0.02</v>
      </c>
      <c r="FO54">
        <v>0.02</v>
      </c>
      <c r="FP54">
        <v>54.419003692094343</v>
      </c>
      <c r="FQ54">
        <v>-0.41162104028872898</v>
      </c>
      <c r="FR54">
        <v>0.14816290239099311</v>
      </c>
      <c r="FS54">
        <v>1</v>
      </c>
      <c r="FT54">
        <v>0.51896402964237709</v>
      </c>
      <c r="FU54">
        <v>7.0408393407304466E-3</v>
      </c>
      <c r="FV54">
        <v>8.8824464548792146E-3</v>
      </c>
      <c r="FW54">
        <v>1</v>
      </c>
      <c r="FX54">
        <v>2</v>
      </c>
      <c r="FY54">
        <v>2</v>
      </c>
      <c r="FZ54" t="s">
        <v>420</v>
      </c>
      <c r="GA54">
        <v>2.9784899999999999</v>
      </c>
      <c r="GB54">
        <v>2.80579</v>
      </c>
      <c r="GC54">
        <v>0.10416300000000001</v>
      </c>
      <c r="GD54">
        <v>0.114176</v>
      </c>
      <c r="GE54">
        <v>0.121977</v>
      </c>
      <c r="GF54">
        <v>9.6388199999999993E-2</v>
      </c>
      <c r="GG54">
        <v>26515.9</v>
      </c>
      <c r="GH54">
        <v>24344.5</v>
      </c>
      <c r="GI54">
        <v>26605.9</v>
      </c>
      <c r="GJ54">
        <v>25952.3</v>
      </c>
      <c r="GK54">
        <v>31794.2</v>
      </c>
      <c r="GL54">
        <v>33096.9</v>
      </c>
      <c r="GM54">
        <v>37708.300000000003</v>
      </c>
      <c r="GN54">
        <v>38501</v>
      </c>
      <c r="GO54">
        <v>1.96343</v>
      </c>
      <c r="GP54">
        <v>1.925</v>
      </c>
      <c r="GQ54">
        <v>7.1152999999999994E-2</v>
      </c>
      <c r="GR54">
        <v>0</v>
      </c>
      <c r="GS54">
        <v>26.526399999999999</v>
      </c>
      <c r="GT54">
        <v>999.9</v>
      </c>
      <c r="GU54">
        <v>37.799999999999997</v>
      </c>
      <c r="GV54">
        <v>34.9</v>
      </c>
      <c r="GW54">
        <v>21.280899999999999</v>
      </c>
      <c r="GX54">
        <v>61.8247</v>
      </c>
      <c r="GY54">
        <v>12.9247</v>
      </c>
      <c r="GZ54">
        <v>1</v>
      </c>
      <c r="HA54">
        <v>0.33852900000000002</v>
      </c>
      <c r="HB54">
        <v>1.5809899999999999</v>
      </c>
      <c r="HC54">
        <v>20.2483</v>
      </c>
      <c r="HD54">
        <v>5.2065099999999997</v>
      </c>
      <c r="HE54">
        <v>11.9339</v>
      </c>
      <c r="HF54">
        <v>4.9868499999999996</v>
      </c>
      <c r="HG54">
        <v>3.2903500000000001</v>
      </c>
      <c r="HH54">
        <v>9999</v>
      </c>
      <c r="HI54">
        <v>9999</v>
      </c>
      <c r="HJ54">
        <v>9999</v>
      </c>
      <c r="HK54">
        <v>999.9</v>
      </c>
      <c r="HL54">
        <v>1.87042</v>
      </c>
      <c r="HM54">
        <v>1.87666</v>
      </c>
      <c r="HN54">
        <v>1.87436</v>
      </c>
      <c r="HO54">
        <v>1.87259</v>
      </c>
      <c r="HP54">
        <v>1.8730899999999999</v>
      </c>
      <c r="HQ54">
        <v>1.8705000000000001</v>
      </c>
      <c r="HR54">
        <v>1.8763700000000001</v>
      </c>
      <c r="HS54">
        <v>1.8755299999999999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424</v>
      </c>
      <c r="IB54" t="s">
        <v>424</v>
      </c>
      <c r="IC54" t="s">
        <v>423</v>
      </c>
      <c r="ID54">
        <v>0</v>
      </c>
      <c r="IE54">
        <v>100</v>
      </c>
      <c r="IF54">
        <v>100</v>
      </c>
      <c r="IG54">
        <v>-3.613</v>
      </c>
      <c r="IH54">
        <v>0.33760000000000001</v>
      </c>
      <c r="II54">
        <v>-2.77098826466186</v>
      </c>
      <c r="IJ54">
        <v>-2.536945948238235E-3</v>
      </c>
      <c r="IK54">
        <v>1.581473279927893E-6</v>
      </c>
      <c r="IL54">
        <v>-4.6698293441882044E-10</v>
      </c>
      <c r="IM54">
        <v>-0.16998109858184079</v>
      </c>
      <c r="IN54">
        <v>-1.5895243091576399E-2</v>
      </c>
      <c r="IO54">
        <v>1.559614309849521E-3</v>
      </c>
      <c r="IP54">
        <v>-2.4566050869858518E-6</v>
      </c>
      <c r="IQ54">
        <v>2</v>
      </c>
      <c r="IR54">
        <v>2224</v>
      </c>
      <c r="IS54">
        <v>2</v>
      </c>
      <c r="IT54">
        <v>25</v>
      </c>
      <c r="IU54">
        <v>0.6</v>
      </c>
      <c r="IV54">
        <v>0.5</v>
      </c>
      <c r="IW54">
        <v>1.1242700000000001</v>
      </c>
      <c r="IX54">
        <v>2.50122</v>
      </c>
      <c r="IY54">
        <v>1.65039</v>
      </c>
      <c r="IZ54">
        <v>2.2888199999999999</v>
      </c>
      <c r="JA54">
        <v>1.50024</v>
      </c>
      <c r="JB54">
        <v>2.2522000000000002</v>
      </c>
      <c r="JC54">
        <v>38.697899999999997</v>
      </c>
      <c r="JD54">
        <v>23.868600000000001</v>
      </c>
      <c r="JE54">
        <v>18</v>
      </c>
      <c r="JF54">
        <v>493.62400000000002</v>
      </c>
      <c r="JG54">
        <v>462.18599999999998</v>
      </c>
      <c r="JH54">
        <v>25.294899999999998</v>
      </c>
      <c r="JI54">
        <v>31.5794</v>
      </c>
      <c r="JJ54">
        <v>29.9998</v>
      </c>
      <c r="JK54">
        <v>31.645299999999999</v>
      </c>
      <c r="JL54">
        <v>31.631900000000002</v>
      </c>
      <c r="JM54">
        <v>22.529199999999999</v>
      </c>
      <c r="JN54">
        <v>28.413399999999999</v>
      </c>
      <c r="JO54">
        <v>35.888100000000001</v>
      </c>
      <c r="JP54">
        <v>25.297999999999998</v>
      </c>
      <c r="JQ54">
        <v>500</v>
      </c>
      <c r="JR54">
        <v>17.678000000000001</v>
      </c>
      <c r="JS54">
        <v>100.05800000000001</v>
      </c>
      <c r="JT54">
        <v>99.334900000000005</v>
      </c>
    </row>
    <row r="55" spans="1:280" x14ac:dyDescent="0.25">
      <c r="A55">
        <v>39</v>
      </c>
      <c r="B55">
        <v>1674581068.5999999</v>
      </c>
      <c r="C55">
        <v>6934</v>
      </c>
      <c r="D55" t="s">
        <v>615</v>
      </c>
      <c r="E55" t="s">
        <v>616</v>
      </c>
      <c r="F55" t="s">
        <v>412</v>
      </c>
      <c r="G55" t="s">
        <v>565</v>
      </c>
      <c r="H55" t="s">
        <v>566</v>
      </c>
      <c r="I55">
        <v>1674581068.5999999</v>
      </c>
      <c r="J55">
        <f t="shared" si="46"/>
        <v>5.7145202480191762E-3</v>
      </c>
      <c r="K55">
        <f t="shared" si="47"/>
        <v>5.7145202480191761</v>
      </c>
      <c r="L55">
        <f t="shared" si="48"/>
        <v>55.541948875966796</v>
      </c>
      <c r="M55">
        <f t="shared" si="49"/>
        <v>529.60900000000004</v>
      </c>
      <c r="N55">
        <f t="shared" si="50"/>
        <v>318.74002053761524</v>
      </c>
      <c r="O55">
        <f t="shared" si="51"/>
        <v>31.83756181404754</v>
      </c>
      <c r="P55">
        <f t="shared" si="52"/>
        <v>52.900351974426897</v>
      </c>
      <c r="Q55">
        <f t="shared" si="53"/>
        <v>0.47346046180454465</v>
      </c>
      <c r="R55">
        <f t="shared" si="54"/>
        <v>2.9279867968993414</v>
      </c>
      <c r="S55">
        <f t="shared" si="55"/>
        <v>0.43467368025284847</v>
      </c>
      <c r="T55">
        <f t="shared" si="56"/>
        <v>0.27489061146583493</v>
      </c>
      <c r="U55">
        <f t="shared" si="57"/>
        <v>344.40931176670568</v>
      </c>
      <c r="V55">
        <f t="shared" si="58"/>
        <v>28.55278552476598</v>
      </c>
      <c r="W55">
        <f t="shared" si="59"/>
        <v>27.765000000000001</v>
      </c>
      <c r="X55">
        <f t="shared" si="60"/>
        <v>3.7431611881465501</v>
      </c>
      <c r="Y55">
        <f t="shared" si="61"/>
        <v>65.080217695357689</v>
      </c>
      <c r="Z55">
        <f t="shared" si="62"/>
        <v>2.4708419545094698</v>
      </c>
      <c r="AA55">
        <f t="shared" si="63"/>
        <v>3.7966098485956974</v>
      </c>
      <c r="AB55">
        <f t="shared" si="64"/>
        <v>1.2723192336370803</v>
      </c>
      <c r="AC55">
        <f t="shared" si="65"/>
        <v>-252.01034293764567</v>
      </c>
      <c r="AD55">
        <f t="shared" si="66"/>
        <v>38.358430679248038</v>
      </c>
      <c r="AE55">
        <f t="shared" si="67"/>
        <v>2.8524044354941251</v>
      </c>
      <c r="AF55">
        <f t="shared" si="68"/>
        <v>133.60980394380218</v>
      </c>
      <c r="AG55">
        <v>6</v>
      </c>
      <c r="AH55">
        <v>1</v>
      </c>
      <c r="AI55">
        <f t="shared" si="69"/>
        <v>1</v>
      </c>
      <c r="AJ55">
        <f t="shared" si="70"/>
        <v>0</v>
      </c>
      <c r="AK55">
        <f t="shared" si="71"/>
        <v>52650.462305268353</v>
      </c>
      <c r="AL55" t="s">
        <v>415</v>
      </c>
      <c r="AM55">
        <v>10424.1</v>
      </c>
      <c r="AN55">
        <v>628.54280000000006</v>
      </c>
      <c r="AO55">
        <v>2663.98</v>
      </c>
      <c r="AP55">
        <f t="shared" si="72"/>
        <v>0.76405873917972356</v>
      </c>
      <c r="AQ55">
        <v>-3.1675626227050531</v>
      </c>
      <c r="AR55" t="s">
        <v>617</v>
      </c>
      <c r="AS55">
        <v>10197.799999999999</v>
      </c>
      <c r="AT55">
        <v>740.87124000000006</v>
      </c>
      <c r="AU55">
        <v>1151.4590034894591</v>
      </c>
      <c r="AV55">
        <f t="shared" si="73"/>
        <v>0.35658044467513483</v>
      </c>
      <c r="AW55">
        <v>0.5</v>
      </c>
      <c r="AX55">
        <f t="shared" si="74"/>
        <v>1513.3611058833528</v>
      </c>
      <c r="AY55">
        <f t="shared" si="75"/>
        <v>55.541948875966796</v>
      </c>
      <c r="AZ55">
        <f t="shared" si="76"/>
        <v>269.81748804496988</v>
      </c>
      <c r="BA55">
        <f t="shared" si="77"/>
        <v>3.879411944078142E-2</v>
      </c>
      <c r="BB55">
        <f t="shared" si="78"/>
        <v>1.3135691257151971</v>
      </c>
      <c r="BC55">
        <f t="shared" si="79"/>
        <v>479.83107833830263</v>
      </c>
      <c r="BD55" t="s">
        <v>618</v>
      </c>
      <c r="BE55">
        <v>572.19000000000005</v>
      </c>
      <c r="BF55">
        <f t="shared" si="80"/>
        <v>572.19000000000005</v>
      </c>
      <c r="BG55">
        <f t="shared" si="81"/>
        <v>0.50307392771605686</v>
      </c>
      <c r="BH55">
        <f t="shared" si="82"/>
        <v>0.70880326932067672</v>
      </c>
      <c r="BI55">
        <f t="shared" si="83"/>
        <v>0.72307497239710539</v>
      </c>
      <c r="BJ55">
        <f t="shared" si="84"/>
        <v>0.78518845036657137</v>
      </c>
      <c r="BK55">
        <f t="shared" si="85"/>
        <v>0.74309391442317207</v>
      </c>
      <c r="BL55">
        <f t="shared" si="86"/>
        <v>0.54742325086420951</v>
      </c>
      <c r="BM55">
        <f t="shared" si="87"/>
        <v>0.45257674913579049</v>
      </c>
      <c r="BN55">
        <v>20241</v>
      </c>
      <c r="BO55">
        <v>290.00000000000011</v>
      </c>
      <c r="BP55">
        <v>1051.4000000000001</v>
      </c>
      <c r="BQ55">
        <v>275</v>
      </c>
      <c r="BR55">
        <v>10197.799999999999</v>
      </c>
      <c r="BS55">
        <v>1052.1099999999999</v>
      </c>
      <c r="BT55">
        <v>-0.71</v>
      </c>
      <c r="BU55">
        <v>300.00000000000011</v>
      </c>
      <c r="BV55">
        <v>24.2</v>
      </c>
      <c r="BW55">
        <v>1151.4590034894591</v>
      </c>
      <c r="BX55">
        <v>1.9816651309315141</v>
      </c>
      <c r="BY55">
        <v>-101.30992325717401</v>
      </c>
      <c r="BZ55">
        <v>1.8000653751102731</v>
      </c>
      <c r="CA55">
        <v>0.99123789383026994</v>
      </c>
      <c r="CB55">
        <v>-6.9490500556173449E-3</v>
      </c>
      <c r="CC55">
        <v>289.99999999999989</v>
      </c>
      <c r="CD55">
        <v>1051.71</v>
      </c>
      <c r="CE55">
        <v>685</v>
      </c>
      <c r="CF55">
        <v>10175.4</v>
      </c>
      <c r="CG55">
        <v>1051.9000000000001</v>
      </c>
      <c r="CH55">
        <v>-0.19</v>
      </c>
      <c r="CV55">
        <f t="shared" si="88"/>
        <v>1800.21</v>
      </c>
      <c r="CW55">
        <f t="shared" si="89"/>
        <v>1513.3611058833528</v>
      </c>
      <c r="CX55">
        <f t="shared" si="90"/>
        <v>0.84065809315766094</v>
      </c>
      <c r="CY55">
        <f t="shared" si="91"/>
        <v>0.19131618631532191</v>
      </c>
      <c r="CZ55">
        <v>6</v>
      </c>
      <c r="DA55">
        <v>0.5</v>
      </c>
      <c r="DB55" t="s">
        <v>418</v>
      </c>
      <c r="DC55">
        <v>2</v>
      </c>
      <c r="DD55">
        <v>1674581068.5999999</v>
      </c>
      <c r="DE55">
        <v>529.60900000000004</v>
      </c>
      <c r="DF55">
        <v>599.88800000000003</v>
      </c>
      <c r="DG55">
        <v>24.736699999999999</v>
      </c>
      <c r="DH55">
        <v>18.049199999999999</v>
      </c>
      <c r="DI55">
        <v>533.33699999999999</v>
      </c>
      <c r="DJ55">
        <v>24.404800000000002</v>
      </c>
      <c r="DK55">
        <v>500.02199999999999</v>
      </c>
      <c r="DL55">
        <v>99.786199999999994</v>
      </c>
      <c r="DM55">
        <v>9.9474099999999996E-2</v>
      </c>
      <c r="DN55">
        <v>28.007999999999999</v>
      </c>
      <c r="DO55">
        <v>27.765000000000001</v>
      </c>
      <c r="DP55">
        <v>999.9</v>
      </c>
      <c r="DQ55">
        <v>0</v>
      </c>
      <c r="DR55">
        <v>0</v>
      </c>
      <c r="DS55">
        <v>10012.5</v>
      </c>
      <c r="DT55">
        <v>0</v>
      </c>
      <c r="DU55">
        <v>531.92399999999998</v>
      </c>
      <c r="DV55">
        <v>-70.279200000000003</v>
      </c>
      <c r="DW55">
        <v>543.04200000000003</v>
      </c>
      <c r="DX55">
        <v>610.91499999999996</v>
      </c>
      <c r="DY55">
        <v>6.6875400000000003</v>
      </c>
      <c r="DZ55">
        <v>599.88800000000003</v>
      </c>
      <c r="EA55">
        <v>18.049199999999999</v>
      </c>
      <c r="EB55">
        <v>2.4683799999999998</v>
      </c>
      <c r="EC55">
        <v>1.8010600000000001</v>
      </c>
      <c r="ED55">
        <v>20.819500000000001</v>
      </c>
      <c r="EE55">
        <v>15.795999999999999</v>
      </c>
      <c r="EF55">
        <v>1800.21</v>
      </c>
      <c r="EG55">
        <v>0.97799999999999998</v>
      </c>
      <c r="EH55">
        <v>2.1999600000000001E-2</v>
      </c>
      <c r="EI55">
        <v>0</v>
      </c>
      <c r="EJ55">
        <v>741.69500000000005</v>
      </c>
      <c r="EK55">
        <v>5.0010599999999998</v>
      </c>
      <c r="EL55">
        <v>13862.4</v>
      </c>
      <c r="EM55">
        <v>16713</v>
      </c>
      <c r="EN55">
        <v>47.625</v>
      </c>
      <c r="EO55">
        <v>48.5</v>
      </c>
      <c r="EP55">
        <v>48.625</v>
      </c>
      <c r="EQ55">
        <v>47.061999999999998</v>
      </c>
      <c r="ER55">
        <v>48.561999999999998</v>
      </c>
      <c r="ES55">
        <v>1755.71</v>
      </c>
      <c r="ET55">
        <v>39.49</v>
      </c>
      <c r="EU55">
        <v>0</v>
      </c>
      <c r="EV55">
        <v>102.7999999523163</v>
      </c>
      <c r="EW55">
        <v>0</v>
      </c>
      <c r="EX55">
        <v>740.87124000000006</v>
      </c>
      <c r="EY55">
        <v>4.9860769458972323</v>
      </c>
      <c r="EZ55">
        <v>75.369230896903318</v>
      </c>
      <c r="FA55">
        <v>13852.644</v>
      </c>
      <c r="FB55">
        <v>15</v>
      </c>
      <c r="FC55">
        <v>1674581035.0999999</v>
      </c>
      <c r="FD55" t="s">
        <v>619</v>
      </c>
      <c r="FE55">
        <v>1674581031.5999999</v>
      </c>
      <c r="FF55">
        <v>1674581035.0999999</v>
      </c>
      <c r="FG55">
        <v>43</v>
      </c>
      <c r="FH55">
        <v>1.7000000000000001E-2</v>
      </c>
      <c r="FI55">
        <v>-3.0000000000000001E-3</v>
      </c>
      <c r="FJ55">
        <v>-3.8119999999999998</v>
      </c>
      <c r="FK55">
        <v>1.9E-2</v>
      </c>
      <c r="FL55">
        <v>600</v>
      </c>
      <c r="FM55">
        <v>18</v>
      </c>
      <c r="FN55">
        <v>0.02</v>
      </c>
      <c r="FO55">
        <v>0.02</v>
      </c>
      <c r="FP55">
        <v>55.573786222721949</v>
      </c>
      <c r="FQ55">
        <v>0.14718802916058341</v>
      </c>
      <c r="FR55">
        <v>9.0176548993461003E-2</v>
      </c>
      <c r="FS55">
        <v>1</v>
      </c>
      <c r="FT55">
        <v>0.48491784977255481</v>
      </c>
      <c r="FU55">
        <v>-4.6042616161046837E-2</v>
      </c>
      <c r="FV55">
        <v>5.8520748636564273E-3</v>
      </c>
      <c r="FW55">
        <v>1</v>
      </c>
      <c r="FX55">
        <v>2</v>
      </c>
      <c r="FY55">
        <v>2</v>
      </c>
      <c r="FZ55" t="s">
        <v>420</v>
      </c>
      <c r="GA55">
        <v>2.9784000000000002</v>
      </c>
      <c r="GB55">
        <v>2.8059099999999999</v>
      </c>
      <c r="GC55">
        <v>0.12111</v>
      </c>
      <c r="GD55">
        <v>0.130167</v>
      </c>
      <c r="GE55">
        <v>0.121849</v>
      </c>
      <c r="GF55">
        <v>9.7632499999999997E-2</v>
      </c>
      <c r="GG55">
        <v>26015.7</v>
      </c>
      <c r="GH55">
        <v>23906.7</v>
      </c>
      <c r="GI55">
        <v>26607.4</v>
      </c>
      <c r="GJ55">
        <v>25954.3</v>
      </c>
      <c r="GK55">
        <v>31801</v>
      </c>
      <c r="GL55">
        <v>33053.699999999997</v>
      </c>
      <c r="GM55">
        <v>37710.9</v>
      </c>
      <c r="GN55">
        <v>38503.599999999999</v>
      </c>
      <c r="GO55">
        <v>1.9639500000000001</v>
      </c>
      <c r="GP55">
        <v>1.9270499999999999</v>
      </c>
      <c r="GQ55">
        <v>7.7702099999999996E-2</v>
      </c>
      <c r="GR55">
        <v>0</v>
      </c>
      <c r="GS55">
        <v>26.494499999999999</v>
      </c>
      <c r="GT55">
        <v>999.9</v>
      </c>
      <c r="GU55">
        <v>37.9</v>
      </c>
      <c r="GV55">
        <v>34.9</v>
      </c>
      <c r="GW55">
        <v>21.337</v>
      </c>
      <c r="GX55">
        <v>61.924700000000001</v>
      </c>
      <c r="GY55">
        <v>12.7524</v>
      </c>
      <c r="GZ55">
        <v>1</v>
      </c>
      <c r="HA55">
        <v>0.33435999999999999</v>
      </c>
      <c r="HB55">
        <v>1.7112099999999999</v>
      </c>
      <c r="HC55">
        <v>20.246600000000001</v>
      </c>
      <c r="HD55">
        <v>5.20486</v>
      </c>
      <c r="HE55">
        <v>11.934200000000001</v>
      </c>
      <c r="HF55">
        <v>4.9865500000000003</v>
      </c>
      <c r="HG55">
        <v>3.2900499999999999</v>
      </c>
      <c r="HH55">
        <v>9999</v>
      </c>
      <c r="HI55">
        <v>9999</v>
      </c>
      <c r="HJ55">
        <v>9999</v>
      </c>
      <c r="HK55">
        <v>999.9</v>
      </c>
      <c r="HL55">
        <v>1.87042</v>
      </c>
      <c r="HM55">
        <v>1.87659</v>
      </c>
      <c r="HN55">
        <v>1.8743700000000001</v>
      </c>
      <c r="HO55">
        <v>1.8725700000000001</v>
      </c>
      <c r="HP55">
        <v>1.87307</v>
      </c>
      <c r="HQ55">
        <v>1.8704799999999999</v>
      </c>
      <c r="HR55">
        <v>1.87639</v>
      </c>
      <c r="HS55">
        <v>1.8755299999999999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424</v>
      </c>
      <c r="IB55" t="s">
        <v>424</v>
      </c>
      <c r="IC55" t="s">
        <v>423</v>
      </c>
      <c r="ID55">
        <v>0</v>
      </c>
      <c r="IE55">
        <v>100</v>
      </c>
      <c r="IF55">
        <v>100</v>
      </c>
      <c r="IG55">
        <v>-3.7280000000000002</v>
      </c>
      <c r="IH55">
        <v>0.33189999999999997</v>
      </c>
      <c r="II55">
        <v>-2.753960855724102</v>
      </c>
      <c r="IJ55">
        <v>-2.536945948238235E-3</v>
      </c>
      <c r="IK55">
        <v>1.581473279927893E-6</v>
      </c>
      <c r="IL55">
        <v>-4.6698293441882044E-10</v>
      </c>
      <c r="IM55">
        <v>-0.17339735851291979</v>
      </c>
      <c r="IN55">
        <v>-1.5895243091576399E-2</v>
      </c>
      <c r="IO55">
        <v>1.559614309849521E-3</v>
      </c>
      <c r="IP55">
        <v>-2.4566050869858518E-6</v>
      </c>
      <c r="IQ55">
        <v>2</v>
      </c>
      <c r="IR55">
        <v>2224</v>
      </c>
      <c r="IS55">
        <v>2</v>
      </c>
      <c r="IT55">
        <v>25</v>
      </c>
      <c r="IU55">
        <v>0.6</v>
      </c>
      <c r="IV55">
        <v>0.6</v>
      </c>
      <c r="IW55">
        <v>1.3012699999999999</v>
      </c>
      <c r="IX55">
        <v>2.4890099999999999</v>
      </c>
      <c r="IY55">
        <v>1.65039</v>
      </c>
      <c r="IZ55">
        <v>2.2900399999999999</v>
      </c>
      <c r="JA55">
        <v>1.50024</v>
      </c>
      <c r="JB55">
        <v>2.4023400000000001</v>
      </c>
      <c r="JC55">
        <v>38.648699999999998</v>
      </c>
      <c r="JD55">
        <v>23.877400000000002</v>
      </c>
      <c r="JE55">
        <v>18</v>
      </c>
      <c r="JF55">
        <v>493.53800000000001</v>
      </c>
      <c r="JG55">
        <v>463.13200000000001</v>
      </c>
      <c r="JH55">
        <v>25.2439</v>
      </c>
      <c r="JI55">
        <v>31.521699999999999</v>
      </c>
      <c r="JJ55">
        <v>30.0001</v>
      </c>
      <c r="JK55">
        <v>31.592700000000001</v>
      </c>
      <c r="JL55">
        <v>31.581600000000002</v>
      </c>
      <c r="JM55">
        <v>26.057200000000002</v>
      </c>
      <c r="JN55">
        <v>27.291699999999999</v>
      </c>
      <c r="JO55">
        <v>36.470399999999998</v>
      </c>
      <c r="JP55">
        <v>25.2364</v>
      </c>
      <c r="JQ55">
        <v>600</v>
      </c>
      <c r="JR55">
        <v>18.076499999999999</v>
      </c>
      <c r="JS55">
        <v>100.065</v>
      </c>
      <c r="JT55">
        <v>99.341999999999999</v>
      </c>
    </row>
    <row r="56" spans="1:280" x14ac:dyDescent="0.25">
      <c r="A56">
        <v>40</v>
      </c>
      <c r="B56">
        <v>1674581186.5999999</v>
      </c>
      <c r="C56">
        <v>7052</v>
      </c>
      <c r="D56" t="s">
        <v>620</v>
      </c>
      <c r="E56" t="s">
        <v>621</v>
      </c>
      <c r="F56" t="s">
        <v>412</v>
      </c>
      <c r="G56" t="s">
        <v>565</v>
      </c>
      <c r="H56" t="s">
        <v>566</v>
      </c>
      <c r="I56">
        <v>1674581186.5999999</v>
      </c>
      <c r="J56">
        <f t="shared" si="46"/>
        <v>5.2180806381154432E-3</v>
      </c>
      <c r="K56">
        <f t="shared" si="47"/>
        <v>5.2180806381154436</v>
      </c>
      <c r="L56">
        <f t="shared" si="48"/>
        <v>56.483127270503594</v>
      </c>
      <c r="M56">
        <f t="shared" si="49"/>
        <v>727.71</v>
      </c>
      <c r="N56">
        <f t="shared" si="50"/>
        <v>485.75607508555493</v>
      </c>
      <c r="O56">
        <f t="shared" si="51"/>
        <v>48.519840962413809</v>
      </c>
      <c r="P56">
        <f t="shared" si="52"/>
        <v>72.68745627224402</v>
      </c>
      <c r="Q56">
        <f t="shared" si="53"/>
        <v>0.42132783896514225</v>
      </c>
      <c r="R56">
        <f t="shared" si="54"/>
        <v>2.925990982561625</v>
      </c>
      <c r="S56">
        <f t="shared" si="55"/>
        <v>0.39029327573578254</v>
      </c>
      <c r="T56">
        <f t="shared" si="56"/>
        <v>0.24653085998626584</v>
      </c>
      <c r="U56">
        <f t="shared" si="57"/>
        <v>344.35991176840537</v>
      </c>
      <c r="V56">
        <f t="shared" si="58"/>
        <v>28.666610358283695</v>
      </c>
      <c r="W56">
        <f t="shared" si="59"/>
        <v>27.831700000000001</v>
      </c>
      <c r="X56">
        <f t="shared" si="60"/>
        <v>3.7577662926800057</v>
      </c>
      <c r="Y56">
        <f t="shared" si="61"/>
        <v>64.956400340266356</v>
      </c>
      <c r="Z56">
        <f t="shared" si="62"/>
        <v>2.4639280707166402</v>
      </c>
      <c r="AA56">
        <f t="shared" si="63"/>
        <v>3.7932029142773409</v>
      </c>
      <c r="AB56">
        <f t="shared" si="64"/>
        <v>1.2938382219633655</v>
      </c>
      <c r="AC56">
        <f t="shared" si="65"/>
        <v>-230.11735614089105</v>
      </c>
      <c r="AD56">
        <f t="shared" si="66"/>
        <v>25.381335559564342</v>
      </c>
      <c r="AE56">
        <f t="shared" si="67"/>
        <v>1.8891737281861396</v>
      </c>
      <c r="AF56">
        <f t="shared" si="68"/>
        <v>141.51306491526483</v>
      </c>
      <c r="AG56">
        <v>6</v>
      </c>
      <c r="AH56">
        <v>1</v>
      </c>
      <c r="AI56">
        <f t="shared" si="69"/>
        <v>1</v>
      </c>
      <c r="AJ56">
        <f t="shared" si="70"/>
        <v>0</v>
      </c>
      <c r="AK56">
        <f t="shared" si="71"/>
        <v>52595.695235666572</v>
      </c>
      <c r="AL56" t="s">
        <v>415</v>
      </c>
      <c r="AM56">
        <v>10424.1</v>
      </c>
      <c r="AN56">
        <v>628.54280000000006</v>
      </c>
      <c r="AO56">
        <v>2663.98</v>
      </c>
      <c r="AP56">
        <f t="shared" si="72"/>
        <v>0.76405873917972356</v>
      </c>
      <c r="AQ56">
        <v>-3.1675626227050531</v>
      </c>
      <c r="AR56" t="s">
        <v>622</v>
      </c>
      <c r="AS56">
        <v>10202.5</v>
      </c>
      <c r="AT56">
        <v>745.19126923076931</v>
      </c>
      <c r="AU56">
        <v>1173.94729894133</v>
      </c>
      <c r="AV56">
        <f t="shared" si="73"/>
        <v>0.36522596039636057</v>
      </c>
      <c r="AW56">
        <v>0.5</v>
      </c>
      <c r="AX56">
        <f t="shared" si="74"/>
        <v>1513.1427058842028</v>
      </c>
      <c r="AY56">
        <f t="shared" si="75"/>
        <v>56.483127270503594</v>
      </c>
      <c r="AZ56">
        <f t="shared" si="76"/>
        <v>276.31949898665283</v>
      </c>
      <c r="BA56">
        <f t="shared" si="77"/>
        <v>3.9421721203983767E-2</v>
      </c>
      <c r="BB56">
        <f t="shared" si="78"/>
        <v>1.2692500782636384</v>
      </c>
      <c r="BC56">
        <f t="shared" si="79"/>
        <v>483.69223072983795</v>
      </c>
      <c r="BD56" t="s">
        <v>623</v>
      </c>
      <c r="BE56">
        <v>571.36</v>
      </c>
      <c r="BF56">
        <f t="shared" si="80"/>
        <v>571.36</v>
      </c>
      <c r="BG56">
        <f t="shared" si="81"/>
        <v>0.51330012811030401</v>
      </c>
      <c r="BH56">
        <f t="shared" si="82"/>
        <v>0.71152516899017126</v>
      </c>
      <c r="BI56">
        <f t="shared" si="83"/>
        <v>0.71204169942878792</v>
      </c>
      <c r="BJ56">
        <f t="shared" si="84"/>
        <v>0.78612484961676621</v>
      </c>
      <c r="BK56">
        <f t="shared" si="85"/>
        <v>0.7320455286258255</v>
      </c>
      <c r="BL56">
        <f t="shared" si="86"/>
        <v>0.54554721363533409</v>
      </c>
      <c r="BM56">
        <f t="shared" si="87"/>
        <v>0.45445278636466591</v>
      </c>
      <c r="BN56">
        <v>20243</v>
      </c>
      <c r="BO56">
        <v>290.00000000000011</v>
      </c>
      <c r="BP56">
        <v>1065.3</v>
      </c>
      <c r="BQ56">
        <v>245</v>
      </c>
      <c r="BR56">
        <v>10202.5</v>
      </c>
      <c r="BS56">
        <v>1065.6300000000001</v>
      </c>
      <c r="BT56">
        <v>-0.33</v>
      </c>
      <c r="BU56">
        <v>300.00000000000011</v>
      </c>
      <c r="BV56">
        <v>24.2</v>
      </c>
      <c r="BW56">
        <v>1173.94729894133</v>
      </c>
      <c r="BX56">
        <v>1.893397773654637</v>
      </c>
      <c r="BY56">
        <v>-110.5106364205482</v>
      </c>
      <c r="BZ56">
        <v>1.719928905293634</v>
      </c>
      <c r="CA56">
        <v>0.99326348421603683</v>
      </c>
      <c r="CB56">
        <v>-6.9491479421579516E-3</v>
      </c>
      <c r="CC56">
        <v>289.99999999999989</v>
      </c>
      <c r="CD56">
        <v>1064.31</v>
      </c>
      <c r="CE56">
        <v>635</v>
      </c>
      <c r="CF56">
        <v>10179.6</v>
      </c>
      <c r="CG56">
        <v>1065.3900000000001</v>
      </c>
      <c r="CH56">
        <v>-1.08</v>
      </c>
      <c r="CV56">
        <f t="shared" si="88"/>
        <v>1799.95</v>
      </c>
      <c r="CW56">
        <f t="shared" si="89"/>
        <v>1513.1427058842028</v>
      </c>
      <c r="CX56">
        <f t="shared" si="90"/>
        <v>0.84065818821867422</v>
      </c>
      <c r="CY56">
        <f t="shared" si="91"/>
        <v>0.19131637643734845</v>
      </c>
      <c r="CZ56">
        <v>6</v>
      </c>
      <c r="DA56">
        <v>0.5</v>
      </c>
      <c r="DB56" t="s">
        <v>418</v>
      </c>
      <c r="DC56">
        <v>2</v>
      </c>
      <c r="DD56">
        <v>1674581186.5999999</v>
      </c>
      <c r="DE56">
        <v>727.71</v>
      </c>
      <c r="DF56">
        <v>800.03300000000002</v>
      </c>
      <c r="DG56">
        <v>24.6676</v>
      </c>
      <c r="DH56">
        <v>18.561499999999999</v>
      </c>
      <c r="DI56">
        <v>731.86500000000001</v>
      </c>
      <c r="DJ56">
        <v>24.342199999999998</v>
      </c>
      <c r="DK56">
        <v>500.09300000000002</v>
      </c>
      <c r="DL56">
        <v>99.785300000000007</v>
      </c>
      <c r="DM56">
        <v>9.9896399999999996E-2</v>
      </c>
      <c r="DN56">
        <v>27.992599999999999</v>
      </c>
      <c r="DO56">
        <v>27.831700000000001</v>
      </c>
      <c r="DP56">
        <v>999.9</v>
      </c>
      <c r="DQ56">
        <v>0</v>
      </c>
      <c r="DR56">
        <v>0</v>
      </c>
      <c r="DS56">
        <v>10001.200000000001</v>
      </c>
      <c r="DT56">
        <v>0</v>
      </c>
      <c r="DU56">
        <v>544.63499999999999</v>
      </c>
      <c r="DV56">
        <v>-72.322900000000004</v>
      </c>
      <c r="DW56">
        <v>746.11500000000001</v>
      </c>
      <c r="DX56">
        <v>815.16399999999999</v>
      </c>
      <c r="DY56">
        <v>6.1061500000000004</v>
      </c>
      <c r="DZ56">
        <v>800.03300000000002</v>
      </c>
      <c r="EA56">
        <v>18.561499999999999</v>
      </c>
      <c r="EB56">
        <v>2.4614699999999998</v>
      </c>
      <c r="EC56">
        <v>1.85216</v>
      </c>
      <c r="ED56">
        <v>20.773900000000001</v>
      </c>
      <c r="EE56">
        <v>16.234100000000002</v>
      </c>
      <c r="EF56">
        <v>1799.95</v>
      </c>
      <c r="EG56">
        <v>0.97799700000000001</v>
      </c>
      <c r="EH56">
        <v>2.2003000000000002E-2</v>
      </c>
      <c r="EI56">
        <v>0</v>
      </c>
      <c r="EJ56">
        <v>745.26400000000001</v>
      </c>
      <c r="EK56">
        <v>5.0010599999999998</v>
      </c>
      <c r="EL56">
        <v>13946</v>
      </c>
      <c r="EM56">
        <v>16710.599999999999</v>
      </c>
      <c r="EN56">
        <v>47.561999999999998</v>
      </c>
      <c r="EO56">
        <v>48.436999999999998</v>
      </c>
      <c r="EP56">
        <v>48.561999999999998</v>
      </c>
      <c r="EQ56">
        <v>47.061999999999998</v>
      </c>
      <c r="ER56">
        <v>48.5</v>
      </c>
      <c r="ES56">
        <v>1755.45</v>
      </c>
      <c r="ET56">
        <v>39.49</v>
      </c>
      <c r="EU56">
        <v>0</v>
      </c>
      <c r="EV56">
        <v>115.7999999523163</v>
      </c>
      <c r="EW56">
        <v>0</v>
      </c>
      <c r="EX56">
        <v>745.19126923076931</v>
      </c>
      <c r="EY56">
        <v>0.88550427370983897</v>
      </c>
      <c r="EZ56">
        <v>44.834188059233121</v>
      </c>
      <c r="FA56">
        <v>13940.90769230769</v>
      </c>
      <c r="FB56">
        <v>15</v>
      </c>
      <c r="FC56">
        <v>1674581143.0999999</v>
      </c>
      <c r="FD56" t="s">
        <v>624</v>
      </c>
      <c r="FE56">
        <v>1674581143.0999999</v>
      </c>
      <c r="FF56">
        <v>1674581143.0999999</v>
      </c>
      <c r="FG56">
        <v>44</v>
      </c>
      <c r="FH56">
        <v>-0.20799999999999999</v>
      </c>
      <c r="FI56">
        <v>-3.0000000000000001E-3</v>
      </c>
      <c r="FJ56">
        <v>-4.2220000000000004</v>
      </c>
      <c r="FK56">
        <v>3.5000000000000003E-2</v>
      </c>
      <c r="FL56">
        <v>800</v>
      </c>
      <c r="FM56">
        <v>18</v>
      </c>
      <c r="FN56">
        <v>0.03</v>
      </c>
      <c r="FO56">
        <v>0.01</v>
      </c>
      <c r="FP56">
        <v>56.385754337268168</v>
      </c>
      <c r="FQ56">
        <v>0.62112628425153238</v>
      </c>
      <c r="FR56">
        <v>7.2478475811632262E-2</v>
      </c>
      <c r="FS56">
        <v>1</v>
      </c>
      <c r="FT56">
        <v>0.42665531480515101</v>
      </c>
      <c r="FU56">
        <v>-4.3396187821441383E-2</v>
      </c>
      <c r="FV56">
        <v>4.5868218947878476E-3</v>
      </c>
      <c r="FW56">
        <v>1</v>
      </c>
      <c r="FX56">
        <v>2</v>
      </c>
      <c r="FY56">
        <v>2</v>
      </c>
      <c r="FZ56" t="s">
        <v>420</v>
      </c>
      <c r="GA56">
        <v>2.97864</v>
      </c>
      <c r="GB56">
        <v>2.8062299999999998</v>
      </c>
      <c r="GC56">
        <v>0.15117</v>
      </c>
      <c r="GD56">
        <v>0.15863099999999999</v>
      </c>
      <c r="GE56">
        <v>0.121645</v>
      </c>
      <c r="GF56">
        <v>9.95833E-2</v>
      </c>
      <c r="GG56">
        <v>25127.1</v>
      </c>
      <c r="GH56">
        <v>23125.7</v>
      </c>
      <c r="GI56">
        <v>26609.5</v>
      </c>
      <c r="GJ56">
        <v>25956.7</v>
      </c>
      <c r="GK56">
        <v>31810</v>
      </c>
      <c r="GL56">
        <v>32985</v>
      </c>
      <c r="GM56">
        <v>37712.800000000003</v>
      </c>
      <c r="GN56">
        <v>38506.6</v>
      </c>
      <c r="GO56">
        <v>1.96448</v>
      </c>
      <c r="GP56">
        <v>1.9294800000000001</v>
      </c>
      <c r="GQ56">
        <v>8.0607799999999993E-2</v>
      </c>
      <c r="GR56">
        <v>0</v>
      </c>
      <c r="GS56">
        <v>26.5139</v>
      </c>
      <c r="GT56">
        <v>999.9</v>
      </c>
      <c r="GU56">
        <v>38.200000000000003</v>
      </c>
      <c r="GV56">
        <v>34.9</v>
      </c>
      <c r="GW56">
        <v>21.505500000000001</v>
      </c>
      <c r="GX56">
        <v>61.794699999999999</v>
      </c>
      <c r="GY56">
        <v>13.1691</v>
      </c>
      <c r="GZ56">
        <v>1</v>
      </c>
      <c r="HA56">
        <v>0.329764</v>
      </c>
      <c r="HB56">
        <v>1.62147</v>
      </c>
      <c r="HC56">
        <v>20.248699999999999</v>
      </c>
      <c r="HD56">
        <v>5.2102500000000003</v>
      </c>
      <c r="HE56">
        <v>11.932700000000001</v>
      </c>
      <c r="HF56">
        <v>4.9880500000000003</v>
      </c>
      <c r="HG56">
        <v>3.2909999999999999</v>
      </c>
      <c r="HH56">
        <v>9999</v>
      </c>
      <c r="HI56">
        <v>9999</v>
      </c>
      <c r="HJ56">
        <v>9999</v>
      </c>
      <c r="HK56">
        <v>999.9</v>
      </c>
      <c r="HL56">
        <v>1.8704000000000001</v>
      </c>
      <c r="HM56">
        <v>1.87656</v>
      </c>
      <c r="HN56">
        <v>1.87435</v>
      </c>
      <c r="HO56">
        <v>1.87256</v>
      </c>
      <c r="HP56">
        <v>1.8730599999999999</v>
      </c>
      <c r="HQ56">
        <v>1.8704400000000001</v>
      </c>
      <c r="HR56">
        <v>1.8763799999999999</v>
      </c>
      <c r="HS56">
        <v>1.87548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424</v>
      </c>
      <c r="IB56" t="s">
        <v>424</v>
      </c>
      <c r="IC56" t="s">
        <v>423</v>
      </c>
      <c r="ID56">
        <v>0</v>
      </c>
      <c r="IE56">
        <v>100</v>
      </c>
      <c r="IF56">
        <v>100</v>
      </c>
      <c r="IG56">
        <v>-4.1550000000000002</v>
      </c>
      <c r="IH56">
        <v>0.32540000000000002</v>
      </c>
      <c r="II56">
        <v>-2.9616511425175931</v>
      </c>
      <c r="IJ56">
        <v>-2.536945948238235E-3</v>
      </c>
      <c r="IK56">
        <v>1.581473279927893E-6</v>
      </c>
      <c r="IL56">
        <v>-4.6698293441882044E-10</v>
      </c>
      <c r="IM56">
        <v>-0.17631896514497561</v>
      </c>
      <c r="IN56">
        <v>-1.5895243091576399E-2</v>
      </c>
      <c r="IO56">
        <v>1.559614309849521E-3</v>
      </c>
      <c r="IP56">
        <v>-2.4566050869858518E-6</v>
      </c>
      <c r="IQ56">
        <v>2</v>
      </c>
      <c r="IR56">
        <v>2224</v>
      </c>
      <c r="IS56">
        <v>2</v>
      </c>
      <c r="IT56">
        <v>25</v>
      </c>
      <c r="IU56">
        <v>0.7</v>
      </c>
      <c r="IV56">
        <v>0.7</v>
      </c>
      <c r="IW56">
        <v>1.64185</v>
      </c>
      <c r="IX56">
        <v>2.48047</v>
      </c>
      <c r="IY56">
        <v>1.65039</v>
      </c>
      <c r="IZ56">
        <v>2.2900399999999999</v>
      </c>
      <c r="JA56">
        <v>1.50024</v>
      </c>
      <c r="JB56">
        <v>2.4047900000000002</v>
      </c>
      <c r="JC56">
        <v>38.599499999999999</v>
      </c>
      <c r="JD56">
        <v>23.886099999999999</v>
      </c>
      <c r="JE56">
        <v>18</v>
      </c>
      <c r="JF56">
        <v>493.42700000000002</v>
      </c>
      <c r="JG56">
        <v>464.28899999999999</v>
      </c>
      <c r="JH56">
        <v>25.2</v>
      </c>
      <c r="JI56">
        <v>31.469000000000001</v>
      </c>
      <c r="JJ56">
        <v>29.9998</v>
      </c>
      <c r="JK56">
        <v>31.536999999999999</v>
      </c>
      <c r="JL56">
        <v>31.526900000000001</v>
      </c>
      <c r="JM56">
        <v>32.880800000000001</v>
      </c>
      <c r="JN56">
        <v>26.444199999999999</v>
      </c>
      <c r="JO56">
        <v>38.469900000000003</v>
      </c>
      <c r="JP56">
        <v>25.203199999999999</v>
      </c>
      <c r="JQ56">
        <v>800</v>
      </c>
      <c r="JR56">
        <v>18.5716</v>
      </c>
      <c r="JS56">
        <v>100.071</v>
      </c>
      <c r="JT56">
        <v>99.350300000000004</v>
      </c>
    </row>
    <row r="57" spans="1:280" x14ac:dyDescent="0.25">
      <c r="A57">
        <v>41</v>
      </c>
      <c r="B57">
        <v>1674581314.5999999</v>
      </c>
      <c r="C57">
        <v>7180</v>
      </c>
      <c r="D57" t="s">
        <v>625</v>
      </c>
      <c r="E57" t="s">
        <v>626</v>
      </c>
      <c r="F57" t="s">
        <v>412</v>
      </c>
      <c r="G57" t="s">
        <v>565</v>
      </c>
      <c r="H57" t="s">
        <v>566</v>
      </c>
      <c r="I57">
        <v>1674581314.5999999</v>
      </c>
      <c r="J57">
        <f t="shared" si="46"/>
        <v>4.788633355070771E-3</v>
      </c>
      <c r="K57">
        <f t="shared" si="47"/>
        <v>4.7886333550707709</v>
      </c>
      <c r="L57">
        <f t="shared" si="48"/>
        <v>56.018090761515133</v>
      </c>
      <c r="M57">
        <f t="shared" si="49"/>
        <v>1126.3800000000001</v>
      </c>
      <c r="N57">
        <f t="shared" si="50"/>
        <v>851.72703506480423</v>
      </c>
      <c r="O57">
        <f t="shared" si="51"/>
        <v>85.076591220935569</v>
      </c>
      <c r="P57">
        <f t="shared" si="52"/>
        <v>112.51089477528002</v>
      </c>
      <c r="Q57">
        <f t="shared" si="53"/>
        <v>0.37543413271367254</v>
      </c>
      <c r="R57">
        <f t="shared" si="54"/>
        <v>2.9251582918354297</v>
      </c>
      <c r="S57">
        <f t="shared" si="55"/>
        <v>0.35057196142550362</v>
      </c>
      <c r="T57">
        <f t="shared" si="56"/>
        <v>0.22120389430296461</v>
      </c>
      <c r="U57">
        <f t="shared" si="57"/>
        <v>344.39979860481151</v>
      </c>
      <c r="V57">
        <f t="shared" si="58"/>
        <v>28.806073527305795</v>
      </c>
      <c r="W57">
        <f t="shared" si="59"/>
        <v>27.983799999999999</v>
      </c>
      <c r="X57">
        <f t="shared" si="60"/>
        <v>3.7912572924845702</v>
      </c>
      <c r="Y57">
        <f t="shared" si="61"/>
        <v>65.002664867523393</v>
      </c>
      <c r="Z57">
        <f t="shared" si="62"/>
        <v>2.4696100449439999</v>
      </c>
      <c r="AA57">
        <f t="shared" si="63"/>
        <v>3.7992443078712386</v>
      </c>
      <c r="AB57">
        <f t="shared" si="64"/>
        <v>1.3216472475405703</v>
      </c>
      <c r="AC57">
        <f t="shared" si="65"/>
        <v>-211.178730958621</v>
      </c>
      <c r="AD57">
        <f t="shared" si="66"/>
        <v>5.6930109312426618</v>
      </c>
      <c r="AE57">
        <f t="shared" si="67"/>
        <v>0.42423974117744029</v>
      </c>
      <c r="AF57">
        <f t="shared" si="68"/>
        <v>139.33831831861059</v>
      </c>
      <c r="AG57">
        <v>7</v>
      </c>
      <c r="AH57">
        <v>1</v>
      </c>
      <c r="AI57">
        <f t="shared" si="69"/>
        <v>1</v>
      </c>
      <c r="AJ57">
        <f t="shared" si="70"/>
        <v>0</v>
      </c>
      <c r="AK57">
        <f t="shared" si="71"/>
        <v>52567.012280498006</v>
      </c>
      <c r="AL57" t="s">
        <v>415</v>
      </c>
      <c r="AM57">
        <v>10424.1</v>
      </c>
      <c r="AN57">
        <v>628.54280000000006</v>
      </c>
      <c r="AO57">
        <v>2663.98</v>
      </c>
      <c r="AP57">
        <f t="shared" si="72"/>
        <v>0.76405873917972356</v>
      </c>
      <c r="AQ57">
        <v>-3.1675626227050531</v>
      </c>
      <c r="AR57" t="s">
        <v>627</v>
      </c>
      <c r="AS57">
        <v>10196.4</v>
      </c>
      <c r="AT57">
        <v>747.58407999999997</v>
      </c>
      <c r="AU57">
        <v>1189.816108500826</v>
      </c>
      <c r="AV57">
        <f t="shared" si="73"/>
        <v>0.37168098947495376</v>
      </c>
      <c r="AW57">
        <v>0.5</v>
      </c>
      <c r="AX57">
        <f t="shared" si="74"/>
        <v>1513.3190993024057</v>
      </c>
      <c r="AY57">
        <f t="shared" si="75"/>
        <v>56.018090761515133</v>
      </c>
      <c r="AZ57">
        <f t="shared" si="76"/>
        <v>281.23597011003199</v>
      </c>
      <c r="BA57">
        <f t="shared" si="77"/>
        <v>3.9109830445874225E-2</v>
      </c>
      <c r="BB57">
        <f t="shared" si="78"/>
        <v>1.2389846472633721</v>
      </c>
      <c r="BC57">
        <f t="shared" si="79"/>
        <v>486.36491249687606</v>
      </c>
      <c r="BD57" t="s">
        <v>628</v>
      </c>
      <c r="BE57">
        <v>570.53</v>
      </c>
      <c r="BF57">
        <f t="shared" si="80"/>
        <v>570.53</v>
      </c>
      <c r="BG57">
        <f t="shared" si="81"/>
        <v>0.52048892604179775</v>
      </c>
      <c r="BH57">
        <f t="shared" si="82"/>
        <v>0.71409970679204438</v>
      </c>
      <c r="BI57">
        <f t="shared" si="83"/>
        <v>0.70417917385138129</v>
      </c>
      <c r="BJ57">
        <f t="shared" si="84"/>
        <v>0.78790853190941512</v>
      </c>
      <c r="BK57">
        <f t="shared" si="85"/>
        <v>0.72424926276240509</v>
      </c>
      <c r="BL57">
        <f t="shared" si="86"/>
        <v>0.54497589851841821</v>
      </c>
      <c r="BM57">
        <f t="shared" si="87"/>
        <v>0.45502410148158179</v>
      </c>
      <c r="BN57">
        <v>20245</v>
      </c>
      <c r="BO57">
        <v>290.00000000000011</v>
      </c>
      <c r="BP57">
        <v>1075.54</v>
      </c>
      <c r="BQ57">
        <v>285</v>
      </c>
      <c r="BR57">
        <v>10196.4</v>
      </c>
      <c r="BS57">
        <v>1076.06</v>
      </c>
      <c r="BT57">
        <v>-0.52</v>
      </c>
      <c r="BU57">
        <v>300.00000000000011</v>
      </c>
      <c r="BV57">
        <v>24.2</v>
      </c>
      <c r="BW57">
        <v>1189.816108500826</v>
      </c>
      <c r="BX57">
        <v>2.3933507137796668</v>
      </c>
      <c r="BY57">
        <v>-115.9905330733872</v>
      </c>
      <c r="BZ57">
        <v>2.1740261611853429</v>
      </c>
      <c r="CA57">
        <v>0.99025927254363</v>
      </c>
      <c r="CB57">
        <v>-6.9490707452725198E-3</v>
      </c>
      <c r="CC57">
        <v>289.99999999999989</v>
      </c>
      <c r="CD57">
        <v>1072.99</v>
      </c>
      <c r="CE57">
        <v>695</v>
      </c>
      <c r="CF57">
        <v>10174.700000000001</v>
      </c>
      <c r="CG57">
        <v>1075.82</v>
      </c>
      <c r="CH57">
        <v>-2.83</v>
      </c>
      <c r="CV57">
        <f t="shared" si="88"/>
        <v>1800.16</v>
      </c>
      <c r="CW57">
        <f t="shared" si="89"/>
        <v>1513.3190993024057</v>
      </c>
      <c r="CX57">
        <f t="shared" si="90"/>
        <v>0.84065810778064487</v>
      </c>
      <c r="CY57">
        <f t="shared" si="91"/>
        <v>0.19131621556128983</v>
      </c>
      <c r="CZ57">
        <v>6</v>
      </c>
      <c r="DA57">
        <v>0.5</v>
      </c>
      <c r="DB57" t="s">
        <v>418</v>
      </c>
      <c r="DC57">
        <v>2</v>
      </c>
      <c r="DD57">
        <v>1674581314.5999999</v>
      </c>
      <c r="DE57">
        <v>1126.3800000000001</v>
      </c>
      <c r="DF57">
        <v>1200.06</v>
      </c>
      <c r="DG57">
        <v>24.724</v>
      </c>
      <c r="DH57">
        <v>19.120799999999999</v>
      </c>
      <c r="DI57">
        <v>1131.25</v>
      </c>
      <c r="DJ57">
        <v>24.4026</v>
      </c>
      <c r="DK57">
        <v>500.09699999999998</v>
      </c>
      <c r="DL57">
        <v>99.787300000000002</v>
      </c>
      <c r="DM57">
        <v>9.9856E-2</v>
      </c>
      <c r="DN57">
        <v>28.0199</v>
      </c>
      <c r="DO57">
        <v>27.983799999999999</v>
      </c>
      <c r="DP57">
        <v>999.9</v>
      </c>
      <c r="DQ57">
        <v>0</v>
      </c>
      <c r="DR57">
        <v>0</v>
      </c>
      <c r="DS57">
        <v>9996.25</v>
      </c>
      <c r="DT57">
        <v>0</v>
      </c>
      <c r="DU57">
        <v>545.13099999999997</v>
      </c>
      <c r="DV57">
        <v>-73.675899999999999</v>
      </c>
      <c r="DW57">
        <v>1154.93</v>
      </c>
      <c r="DX57">
        <v>1223.45</v>
      </c>
      <c r="DY57">
        <v>5.6031899999999997</v>
      </c>
      <c r="DZ57">
        <v>1200.06</v>
      </c>
      <c r="EA57">
        <v>19.120799999999999</v>
      </c>
      <c r="EB57">
        <v>2.4671400000000001</v>
      </c>
      <c r="EC57">
        <v>1.90801</v>
      </c>
      <c r="ED57">
        <v>20.811299999999999</v>
      </c>
      <c r="EE57">
        <v>16.700900000000001</v>
      </c>
      <c r="EF57">
        <v>1800.16</v>
      </c>
      <c r="EG57">
        <v>0.97800100000000001</v>
      </c>
      <c r="EH57">
        <v>2.1999500000000002E-2</v>
      </c>
      <c r="EI57">
        <v>0</v>
      </c>
      <c r="EJ57">
        <v>747.548</v>
      </c>
      <c r="EK57">
        <v>5.0010599999999998</v>
      </c>
      <c r="EL57">
        <v>13989.8</v>
      </c>
      <c r="EM57">
        <v>16712.5</v>
      </c>
      <c r="EN57">
        <v>47.561999999999998</v>
      </c>
      <c r="EO57">
        <v>48.436999999999998</v>
      </c>
      <c r="EP57">
        <v>48.561999999999998</v>
      </c>
      <c r="EQ57">
        <v>47.061999999999998</v>
      </c>
      <c r="ER57">
        <v>48.5</v>
      </c>
      <c r="ES57">
        <v>1755.67</v>
      </c>
      <c r="ET57">
        <v>39.49</v>
      </c>
      <c r="EU57">
        <v>0</v>
      </c>
      <c r="EV57">
        <v>126</v>
      </c>
      <c r="EW57">
        <v>0</v>
      </c>
      <c r="EX57">
        <v>747.58407999999997</v>
      </c>
      <c r="EY57">
        <v>2.985846151048285</v>
      </c>
      <c r="EZ57">
        <v>25.061538431328142</v>
      </c>
      <c r="FA57">
        <v>13985.272000000001</v>
      </c>
      <c r="FB57">
        <v>15</v>
      </c>
      <c r="FC57">
        <v>1674581280.0999999</v>
      </c>
      <c r="FD57" t="s">
        <v>629</v>
      </c>
      <c r="FE57">
        <v>1674581279.0999999</v>
      </c>
      <c r="FF57">
        <v>1674581280.0999999</v>
      </c>
      <c r="FG57">
        <v>45</v>
      </c>
      <c r="FH57">
        <v>-0.38500000000000001</v>
      </c>
      <c r="FI57">
        <v>-7.0000000000000001E-3</v>
      </c>
      <c r="FJ57">
        <v>-4.9249999999999998</v>
      </c>
      <c r="FK57">
        <v>5.3999999999999999E-2</v>
      </c>
      <c r="FL57">
        <v>1200</v>
      </c>
      <c r="FM57">
        <v>19</v>
      </c>
      <c r="FN57">
        <v>0.05</v>
      </c>
      <c r="FO57">
        <v>0.02</v>
      </c>
      <c r="FP57">
        <v>55.952122121699702</v>
      </c>
      <c r="FQ57">
        <v>0.50807299538505957</v>
      </c>
      <c r="FR57">
        <v>7.4775562213660787E-2</v>
      </c>
      <c r="FS57">
        <v>1</v>
      </c>
      <c r="FT57">
        <v>0.38517899036893388</v>
      </c>
      <c r="FU57">
        <v>-4.7859977524697721E-2</v>
      </c>
      <c r="FV57">
        <v>4.8940078207543496E-3</v>
      </c>
      <c r="FW57">
        <v>1</v>
      </c>
      <c r="FX57">
        <v>2</v>
      </c>
      <c r="FY57">
        <v>2</v>
      </c>
      <c r="FZ57" t="s">
        <v>420</v>
      </c>
      <c r="GA57">
        <v>2.9786700000000002</v>
      </c>
      <c r="GB57">
        <v>2.8061500000000001</v>
      </c>
      <c r="GC57">
        <v>0.20102500000000001</v>
      </c>
      <c r="GD57">
        <v>0.206234</v>
      </c>
      <c r="GE57">
        <v>0.12186900000000001</v>
      </c>
      <c r="GF57">
        <v>0.101687</v>
      </c>
      <c r="GG57">
        <v>23648.799999999999</v>
      </c>
      <c r="GH57">
        <v>21814.1</v>
      </c>
      <c r="GI57">
        <v>26609.5</v>
      </c>
      <c r="GJ57">
        <v>25955.8</v>
      </c>
      <c r="GK57">
        <v>31802.3</v>
      </c>
      <c r="GL57">
        <v>32907.4</v>
      </c>
      <c r="GM57">
        <v>37712.9</v>
      </c>
      <c r="GN57">
        <v>38505.5</v>
      </c>
      <c r="GO57">
        <v>1.9644999999999999</v>
      </c>
      <c r="GP57">
        <v>1.9321999999999999</v>
      </c>
      <c r="GQ57">
        <v>7.9840400000000006E-2</v>
      </c>
      <c r="GR57">
        <v>0</v>
      </c>
      <c r="GS57">
        <v>26.678799999999999</v>
      </c>
      <c r="GT57">
        <v>999.9</v>
      </c>
      <c r="GU57">
        <v>39.200000000000003</v>
      </c>
      <c r="GV57">
        <v>34.9</v>
      </c>
      <c r="GW57">
        <v>22.065999999999999</v>
      </c>
      <c r="GX57">
        <v>61.924700000000001</v>
      </c>
      <c r="GY57">
        <v>12.443899999999999</v>
      </c>
      <c r="GZ57">
        <v>1</v>
      </c>
      <c r="HA57">
        <v>0.32964199999999999</v>
      </c>
      <c r="HB57">
        <v>2.24099</v>
      </c>
      <c r="HC57">
        <v>20.240600000000001</v>
      </c>
      <c r="HD57">
        <v>5.2063600000000001</v>
      </c>
      <c r="HE57">
        <v>11.9369</v>
      </c>
      <c r="HF57">
        <v>4.9868499999999996</v>
      </c>
      <c r="HG57">
        <v>3.2900499999999999</v>
      </c>
      <c r="HH57">
        <v>9999</v>
      </c>
      <c r="HI57">
        <v>9999</v>
      </c>
      <c r="HJ57">
        <v>9999</v>
      </c>
      <c r="HK57">
        <v>999.9</v>
      </c>
      <c r="HL57">
        <v>1.8704000000000001</v>
      </c>
      <c r="HM57">
        <v>1.8766499999999999</v>
      </c>
      <c r="HN57">
        <v>1.8743300000000001</v>
      </c>
      <c r="HO57">
        <v>1.8725799999999999</v>
      </c>
      <c r="HP57">
        <v>1.8730599999999999</v>
      </c>
      <c r="HQ57">
        <v>1.87046</v>
      </c>
      <c r="HR57">
        <v>1.8763799999999999</v>
      </c>
      <c r="HS57">
        <v>1.87547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424</v>
      </c>
      <c r="IB57" t="s">
        <v>424</v>
      </c>
      <c r="IC57" t="s">
        <v>423</v>
      </c>
      <c r="ID57">
        <v>0</v>
      </c>
      <c r="IE57">
        <v>100</v>
      </c>
      <c r="IF57">
        <v>100</v>
      </c>
      <c r="IG57">
        <v>-4.87</v>
      </c>
      <c r="IH57">
        <v>0.32140000000000002</v>
      </c>
      <c r="II57">
        <v>-3.3467951092170951</v>
      </c>
      <c r="IJ57">
        <v>-2.536945948238235E-3</v>
      </c>
      <c r="IK57">
        <v>1.581473279927893E-6</v>
      </c>
      <c r="IL57">
        <v>-4.6698293441882044E-10</v>
      </c>
      <c r="IM57">
        <v>-0.1837923388956734</v>
      </c>
      <c r="IN57">
        <v>-1.5895243091576399E-2</v>
      </c>
      <c r="IO57">
        <v>1.559614309849521E-3</v>
      </c>
      <c r="IP57">
        <v>-2.4566050869858518E-6</v>
      </c>
      <c r="IQ57">
        <v>2</v>
      </c>
      <c r="IR57">
        <v>2224</v>
      </c>
      <c r="IS57">
        <v>2</v>
      </c>
      <c r="IT57">
        <v>25</v>
      </c>
      <c r="IU57">
        <v>0.6</v>
      </c>
      <c r="IV57">
        <v>0.6</v>
      </c>
      <c r="IW57">
        <v>2.2900399999999999</v>
      </c>
      <c r="IX57">
        <v>2.48169</v>
      </c>
      <c r="IY57">
        <v>1.65039</v>
      </c>
      <c r="IZ57">
        <v>2.2900399999999999</v>
      </c>
      <c r="JA57">
        <v>1.50024</v>
      </c>
      <c r="JB57">
        <v>2.3046899999999999</v>
      </c>
      <c r="JC57">
        <v>38.5259</v>
      </c>
      <c r="JD57">
        <v>23.868600000000001</v>
      </c>
      <c r="JE57">
        <v>18</v>
      </c>
      <c r="JF57">
        <v>493.13200000000001</v>
      </c>
      <c r="JG57">
        <v>465.76600000000002</v>
      </c>
      <c r="JH57">
        <v>24.871700000000001</v>
      </c>
      <c r="JI57">
        <v>31.443000000000001</v>
      </c>
      <c r="JJ57">
        <v>30.000299999999999</v>
      </c>
      <c r="JK57">
        <v>31.4984</v>
      </c>
      <c r="JL57">
        <v>31.4876</v>
      </c>
      <c r="JM57">
        <v>45.843899999999998</v>
      </c>
      <c r="JN57">
        <v>26.738399999999999</v>
      </c>
      <c r="JO57">
        <v>41.793300000000002</v>
      </c>
      <c r="JP57">
        <v>24.860399999999998</v>
      </c>
      <c r="JQ57">
        <v>1200</v>
      </c>
      <c r="JR57">
        <v>19.122499999999999</v>
      </c>
      <c r="JS57">
        <v>100.071</v>
      </c>
      <c r="JT57">
        <v>99.347200000000001</v>
      </c>
    </row>
    <row r="58" spans="1:280" x14ac:dyDescent="0.25">
      <c r="A58">
        <v>42</v>
      </c>
      <c r="B58">
        <v>1674581426.0999999</v>
      </c>
      <c r="C58">
        <v>7291.5</v>
      </c>
      <c r="D58" t="s">
        <v>630</v>
      </c>
      <c r="E58" t="s">
        <v>631</v>
      </c>
      <c r="F58" t="s">
        <v>412</v>
      </c>
      <c r="G58" t="s">
        <v>565</v>
      </c>
      <c r="H58" t="s">
        <v>566</v>
      </c>
      <c r="I58">
        <v>1674581426.0999999</v>
      </c>
      <c r="J58">
        <f t="shared" si="46"/>
        <v>4.5076519041449192E-3</v>
      </c>
      <c r="K58">
        <f t="shared" si="47"/>
        <v>4.507651904144919</v>
      </c>
      <c r="L58">
        <f t="shared" si="48"/>
        <v>55.511852171884819</v>
      </c>
      <c r="M58">
        <f t="shared" si="49"/>
        <v>1425.81</v>
      </c>
      <c r="N58">
        <f t="shared" si="50"/>
        <v>1127.4625875293395</v>
      </c>
      <c r="O58">
        <f t="shared" si="51"/>
        <v>112.62157830269203</v>
      </c>
      <c r="P58">
        <f t="shared" si="52"/>
        <v>142.42332680114998</v>
      </c>
      <c r="Q58">
        <f t="shared" si="53"/>
        <v>0.34705120095929093</v>
      </c>
      <c r="R58">
        <f t="shared" si="54"/>
        <v>2.9214663193074846</v>
      </c>
      <c r="S58">
        <f t="shared" si="55"/>
        <v>0.3256661936977221</v>
      </c>
      <c r="T58">
        <f t="shared" si="56"/>
        <v>0.20535282570415664</v>
      </c>
      <c r="U58">
        <f t="shared" si="57"/>
        <v>344.36559860467202</v>
      </c>
      <c r="V58">
        <f t="shared" si="58"/>
        <v>28.878007478009472</v>
      </c>
      <c r="W58">
        <f t="shared" si="59"/>
        <v>28.077100000000002</v>
      </c>
      <c r="X58">
        <f t="shared" si="60"/>
        <v>3.8119296927968187</v>
      </c>
      <c r="Y58">
        <f t="shared" si="61"/>
        <v>65.094805491899905</v>
      </c>
      <c r="Z58">
        <f t="shared" si="62"/>
        <v>2.4728224019740002</v>
      </c>
      <c r="AA58">
        <f t="shared" si="63"/>
        <v>3.7988014301413138</v>
      </c>
      <c r="AB58">
        <f t="shared" si="64"/>
        <v>1.3391072908228185</v>
      </c>
      <c r="AC58">
        <f t="shared" si="65"/>
        <v>-198.78744897279094</v>
      </c>
      <c r="AD58">
        <f t="shared" si="66"/>
        <v>-9.324123858625196</v>
      </c>
      <c r="AE58">
        <f t="shared" si="67"/>
        <v>-0.69602275339504438</v>
      </c>
      <c r="AF58">
        <f t="shared" si="68"/>
        <v>135.55800301986085</v>
      </c>
      <c r="AG58">
        <v>7</v>
      </c>
      <c r="AH58">
        <v>1</v>
      </c>
      <c r="AI58">
        <f t="shared" si="69"/>
        <v>1</v>
      </c>
      <c r="AJ58">
        <f t="shared" si="70"/>
        <v>0</v>
      </c>
      <c r="AK58">
        <f t="shared" si="71"/>
        <v>52461.242080710952</v>
      </c>
      <c r="AL58" t="s">
        <v>415</v>
      </c>
      <c r="AM58">
        <v>10424.1</v>
      </c>
      <c r="AN58">
        <v>628.54280000000006</v>
      </c>
      <c r="AO58">
        <v>2663.98</v>
      </c>
      <c r="AP58">
        <f t="shared" si="72"/>
        <v>0.76405873917972356</v>
      </c>
      <c r="AQ58">
        <v>-3.1675626227050531</v>
      </c>
      <c r="AR58" t="s">
        <v>632</v>
      </c>
      <c r="AS58">
        <v>10195.5</v>
      </c>
      <c r="AT58">
        <v>748.38927999999987</v>
      </c>
      <c r="AU58">
        <v>1198.468532303609</v>
      </c>
      <c r="AV58">
        <f t="shared" si="73"/>
        <v>0.37554532319551148</v>
      </c>
      <c r="AW58">
        <v>0.5</v>
      </c>
      <c r="AX58">
        <f t="shared" si="74"/>
        <v>1513.1678993023361</v>
      </c>
      <c r="AY58">
        <f t="shared" si="75"/>
        <v>55.511852171884819</v>
      </c>
      <c r="AZ58">
        <f t="shared" si="76"/>
        <v>284.13156389628449</v>
      </c>
      <c r="BA58">
        <f t="shared" si="77"/>
        <v>3.8779182945689446E-2</v>
      </c>
      <c r="BB58">
        <f t="shared" si="78"/>
        <v>1.2228201477092533</v>
      </c>
      <c r="BC58">
        <f t="shared" si="79"/>
        <v>487.80450423675171</v>
      </c>
      <c r="BD58" t="s">
        <v>633</v>
      </c>
      <c r="BE58">
        <v>573.48</v>
      </c>
      <c r="BF58">
        <f t="shared" si="80"/>
        <v>573.48</v>
      </c>
      <c r="BG58">
        <f t="shared" si="81"/>
        <v>0.52148931361785655</v>
      </c>
      <c r="BH58">
        <f t="shared" si="82"/>
        <v>0.72014001704109376</v>
      </c>
      <c r="BI58">
        <f t="shared" si="83"/>
        <v>0.70103394771413108</v>
      </c>
      <c r="BJ58">
        <f t="shared" si="84"/>
        <v>0.78971561870774487</v>
      </c>
      <c r="BK58">
        <f t="shared" si="85"/>
        <v>0.71999837071681261</v>
      </c>
      <c r="BL58">
        <f t="shared" si="86"/>
        <v>0.5518329938835127</v>
      </c>
      <c r="BM58">
        <f t="shared" si="87"/>
        <v>0.4481670061164873</v>
      </c>
      <c r="BN58">
        <v>20247</v>
      </c>
      <c r="BO58">
        <v>290.00000000000011</v>
      </c>
      <c r="BP58">
        <v>1080.1500000000001</v>
      </c>
      <c r="BQ58">
        <v>285</v>
      </c>
      <c r="BR58">
        <v>10195.5</v>
      </c>
      <c r="BS58">
        <v>1080.55</v>
      </c>
      <c r="BT58">
        <v>-0.4</v>
      </c>
      <c r="BU58">
        <v>300.00000000000011</v>
      </c>
      <c r="BV58">
        <v>24.2</v>
      </c>
      <c r="BW58">
        <v>1198.468532303609</v>
      </c>
      <c r="BX58">
        <v>1.578133822702332</v>
      </c>
      <c r="BY58">
        <v>-120.2219971966047</v>
      </c>
      <c r="BZ58">
        <v>1.43337169509471</v>
      </c>
      <c r="CA58">
        <v>0.99603555275261402</v>
      </c>
      <c r="CB58">
        <v>-6.9485628476084523E-3</v>
      </c>
      <c r="CC58">
        <v>289.99999999999989</v>
      </c>
      <c r="CD58">
        <v>1077.3800000000001</v>
      </c>
      <c r="CE58">
        <v>635</v>
      </c>
      <c r="CF58">
        <v>10178.4</v>
      </c>
      <c r="CG58">
        <v>1080.3499999999999</v>
      </c>
      <c r="CH58">
        <v>-2.97</v>
      </c>
      <c r="CV58">
        <f t="shared" si="88"/>
        <v>1799.98</v>
      </c>
      <c r="CW58">
        <f t="shared" si="89"/>
        <v>1513.1678993023361</v>
      </c>
      <c r="CX58">
        <f t="shared" si="90"/>
        <v>0.84065817359211548</v>
      </c>
      <c r="CY58">
        <f t="shared" si="91"/>
        <v>0.19131634718423093</v>
      </c>
      <c r="CZ58">
        <v>6</v>
      </c>
      <c r="DA58">
        <v>0.5</v>
      </c>
      <c r="DB58" t="s">
        <v>418</v>
      </c>
      <c r="DC58">
        <v>2</v>
      </c>
      <c r="DD58">
        <v>1674581426.0999999</v>
      </c>
      <c r="DE58">
        <v>1425.81</v>
      </c>
      <c r="DF58">
        <v>1500.13</v>
      </c>
      <c r="DG58">
        <v>24.755600000000001</v>
      </c>
      <c r="DH58">
        <v>19.480799999999999</v>
      </c>
      <c r="DI58">
        <v>1430.87</v>
      </c>
      <c r="DJ58">
        <v>24.433</v>
      </c>
      <c r="DK58">
        <v>500.04500000000002</v>
      </c>
      <c r="DL58">
        <v>99.789400000000001</v>
      </c>
      <c r="DM58">
        <v>0.10001500000000001</v>
      </c>
      <c r="DN58">
        <v>28.017900000000001</v>
      </c>
      <c r="DO58">
        <v>28.077100000000002</v>
      </c>
      <c r="DP58">
        <v>999.9</v>
      </c>
      <c r="DQ58">
        <v>0</v>
      </c>
      <c r="DR58">
        <v>0</v>
      </c>
      <c r="DS58">
        <v>9975</v>
      </c>
      <c r="DT58">
        <v>0</v>
      </c>
      <c r="DU58">
        <v>542.11800000000005</v>
      </c>
      <c r="DV58">
        <v>-74.320300000000003</v>
      </c>
      <c r="DW58">
        <v>1462</v>
      </c>
      <c r="DX58">
        <v>1529.93</v>
      </c>
      <c r="DY58">
        <v>5.2747900000000003</v>
      </c>
      <c r="DZ58">
        <v>1500.13</v>
      </c>
      <c r="EA58">
        <v>19.480799999999999</v>
      </c>
      <c r="EB58">
        <v>2.4703499999999998</v>
      </c>
      <c r="EC58">
        <v>1.94398</v>
      </c>
      <c r="ED58">
        <v>20.8324</v>
      </c>
      <c r="EE58">
        <v>16.9953</v>
      </c>
      <c r="EF58">
        <v>1799.98</v>
      </c>
      <c r="EG58">
        <v>0.97800100000000001</v>
      </c>
      <c r="EH58">
        <v>2.1999500000000002E-2</v>
      </c>
      <c r="EI58">
        <v>0</v>
      </c>
      <c r="EJ58">
        <v>748.29899999999998</v>
      </c>
      <c r="EK58">
        <v>5.0010599999999998</v>
      </c>
      <c r="EL58">
        <v>14009.1</v>
      </c>
      <c r="EM58">
        <v>16710.8</v>
      </c>
      <c r="EN58">
        <v>47.686999999999998</v>
      </c>
      <c r="EO58">
        <v>48.561999999999998</v>
      </c>
      <c r="EP58">
        <v>48.625</v>
      </c>
      <c r="EQ58">
        <v>47.25</v>
      </c>
      <c r="ER58">
        <v>48.625</v>
      </c>
      <c r="ES58">
        <v>1755.49</v>
      </c>
      <c r="ET58">
        <v>39.49</v>
      </c>
      <c r="EU58">
        <v>0</v>
      </c>
      <c r="EV58">
        <v>109.4000000953674</v>
      </c>
      <c r="EW58">
        <v>0</v>
      </c>
      <c r="EX58">
        <v>748.38927999999987</v>
      </c>
      <c r="EY58">
        <v>0.71569230357376179</v>
      </c>
      <c r="EZ58">
        <v>22.815384605616551</v>
      </c>
      <c r="FA58">
        <v>14005.76</v>
      </c>
      <c r="FB58">
        <v>15</v>
      </c>
      <c r="FC58">
        <v>1674581392.5999999</v>
      </c>
      <c r="FD58" t="s">
        <v>634</v>
      </c>
      <c r="FE58">
        <v>1674581384.5999999</v>
      </c>
      <c r="FF58">
        <v>1674581392.5999999</v>
      </c>
      <c r="FG58">
        <v>46</v>
      </c>
      <c r="FH58">
        <v>4.8000000000000001E-2</v>
      </c>
      <c r="FI58">
        <v>0</v>
      </c>
      <c r="FJ58">
        <v>-5.1269999999999998</v>
      </c>
      <c r="FK58">
        <v>6.9000000000000006E-2</v>
      </c>
      <c r="FL58">
        <v>1501</v>
      </c>
      <c r="FM58">
        <v>19</v>
      </c>
      <c r="FN58">
        <v>7.0000000000000007E-2</v>
      </c>
      <c r="FO58">
        <v>0.02</v>
      </c>
      <c r="FP58">
        <v>55.249591885828387</v>
      </c>
      <c r="FQ58">
        <v>-0.14925996395434649</v>
      </c>
      <c r="FR58">
        <v>0.1884524479800963</v>
      </c>
      <c r="FS58">
        <v>1</v>
      </c>
      <c r="FT58">
        <v>0.35356566713379989</v>
      </c>
      <c r="FU58">
        <v>-1.83164323588214E-2</v>
      </c>
      <c r="FV58">
        <v>3.658935948773652E-3</v>
      </c>
      <c r="FW58">
        <v>1</v>
      </c>
      <c r="FX58">
        <v>2</v>
      </c>
      <c r="FY58">
        <v>2</v>
      </c>
      <c r="FZ58" t="s">
        <v>420</v>
      </c>
      <c r="GA58">
        <v>2.9784600000000001</v>
      </c>
      <c r="GB58">
        <v>2.8061199999999999</v>
      </c>
      <c r="GC58">
        <v>0.232541</v>
      </c>
      <c r="GD58">
        <v>0.23661599999999999</v>
      </c>
      <c r="GE58">
        <v>0.12196799999999999</v>
      </c>
      <c r="GF58">
        <v>0.103017</v>
      </c>
      <c r="GG58">
        <v>22710.5</v>
      </c>
      <c r="GH58">
        <v>20973.5</v>
      </c>
      <c r="GI58">
        <v>26606.1</v>
      </c>
      <c r="GJ58">
        <v>25951.8</v>
      </c>
      <c r="GK58">
        <v>31794.5</v>
      </c>
      <c r="GL58">
        <v>32854.1</v>
      </c>
      <c r="GM58">
        <v>37707.300000000003</v>
      </c>
      <c r="GN58">
        <v>38499.9</v>
      </c>
      <c r="GO58">
        <v>1.9637800000000001</v>
      </c>
      <c r="GP58">
        <v>1.93268</v>
      </c>
      <c r="GQ58">
        <v>7.2870400000000002E-2</v>
      </c>
      <c r="GR58">
        <v>0</v>
      </c>
      <c r="GS58">
        <v>26.886299999999999</v>
      </c>
      <c r="GT58">
        <v>999.9</v>
      </c>
      <c r="GU58">
        <v>40</v>
      </c>
      <c r="GV58">
        <v>34.799999999999997</v>
      </c>
      <c r="GW58">
        <v>22.393799999999999</v>
      </c>
      <c r="GX58">
        <v>62.034700000000001</v>
      </c>
      <c r="GY58">
        <v>13.141</v>
      </c>
      <c r="GZ58">
        <v>1</v>
      </c>
      <c r="HA58">
        <v>0.33654699999999999</v>
      </c>
      <c r="HB58">
        <v>2.4190900000000002</v>
      </c>
      <c r="HC58">
        <v>20.238199999999999</v>
      </c>
      <c r="HD58">
        <v>5.2065099999999997</v>
      </c>
      <c r="HE58">
        <v>11.9367</v>
      </c>
      <c r="HF58">
        <v>4.9866000000000001</v>
      </c>
      <c r="HG58">
        <v>3.2899699999999998</v>
      </c>
      <c r="HH58">
        <v>9999</v>
      </c>
      <c r="HI58">
        <v>9999</v>
      </c>
      <c r="HJ58">
        <v>9999</v>
      </c>
      <c r="HK58">
        <v>999.9</v>
      </c>
      <c r="HL58">
        <v>1.87039</v>
      </c>
      <c r="HM58">
        <v>1.87656</v>
      </c>
      <c r="HN58">
        <v>1.87435</v>
      </c>
      <c r="HO58">
        <v>1.8725799999999999</v>
      </c>
      <c r="HP58">
        <v>1.8730599999999999</v>
      </c>
      <c r="HQ58">
        <v>1.87043</v>
      </c>
      <c r="HR58">
        <v>1.8763700000000001</v>
      </c>
      <c r="HS58">
        <v>1.87547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424</v>
      </c>
      <c r="IB58" t="s">
        <v>424</v>
      </c>
      <c r="IC58" t="s">
        <v>423</v>
      </c>
      <c r="ID58">
        <v>0</v>
      </c>
      <c r="IE58">
        <v>100</v>
      </c>
      <c r="IF58">
        <v>100</v>
      </c>
      <c r="IG58">
        <v>-5.0599999999999996</v>
      </c>
      <c r="IH58">
        <v>0.3226</v>
      </c>
      <c r="II58">
        <v>-3.2987300987926962</v>
      </c>
      <c r="IJ58">
        <v>-2.536945948238235E-3</v>
      </c>
      <c r="IK58">
        <v>1.581473279927893E-6</v>
      </c>
      <c r="IL58">
        <v>-4.6698293441882044E-10</v>
      </c>
      <c r="IM58">
        <v>-0.184214916104149</v>
      </c>
      <c r="IN58">
        <v>-1.5895243091576399E-2</v>
      </c>
      <c r="IO58">
        <v>1.559614309849521E-3</v>
      </c>
      <c r="IP58">
        <v>-2.4566050869858518E-6</v>
      </c>
      <c r="IQ58">
        <v>2</v>
      </c>
      <c r="IR58">
        <v>2224</v>
      </c>
      <c r="IS58">
        <v>2</v>
      </c>
      <c r="IT58">
        <v>25</v>
      </c>
      <c r="IU58">
        <v>0.7</v>
      </c>
      <c r="IV58">
        <v>0.6</v>
      </c>
      <c r="IW58">
        <v>2.7514599999999998</v>
      </c>
      <c r="IX58">
        <v>2.47681</v>
      </c>
      <c r="IY58">
        <v>1.65039</v>
      </c>
      <c r="IZ58">
        <v>2.2888199999999999</v>
      </c>
      <c r="JA58">
        <v>1.50024</v>
      </c>
      <c r="JB58">
        <v>2.31812</v>
      </c>
      <c r="JC58">
        <v>38.550400000000003</v>
      </c>
      <c r="JD58">
        <v>23.868600000000001</v>
      </c>
      <c r="JE58">
        <v>18</v>
      </c>
      <c r="JF58">
        <v>492.92399999999998</v>
      </c>
      <c r="JG58">
        <v>466.27499999999998</v>
      </c>
      <c r="JH58">
        <v>24.725899999999999</v>
      </c>
      <c r="JI58">
        <v>31.511700000000001</v>
      </c>
      <c r="JJ58">
        <v>30.000499999999999</v>
      </c>
      <c r="JK58">
        <v>31.5304</v>
      </c>
      <c r="JL58">
        <v>31.512499999999999</v>
      </c>
      <c r="JM58">
        <v>55.076000000000001</v>
      </c>
      <c r="JN58">
        <v>27.370699999999999</v>
      </c>
      <c r="JO58">
        <v>44.334099999999999</v>
      </c>
      <c r="JP58">
        <v>24.709099999999999</v>
      </c>
      <c r="JQ58">
        <v>1500</v>
      </c>
      <c r="JR58">
        <v>19.4815</v>
      </c>
      <c r="JS58">
        <v>100.057</v>
      </c>
      <c r="JT58">
        <v>99.332599999999999</v>
      </c>
    </row>
    <row r="59" spans="1:280" x14ac:dyDescent="0.25">
      <c r="A59">
        <v>43</v>
      </c>
      <c r="B59">
        <v>1674584651.0999999</v>
      </c>
      <c r="C59">
        <v>10516.5</v>
      </c>
      <c r="D59" t="s">
        <v>635</v>
      </c>
      <c r="E59" t="s">
        <v>636</v>
      </c>
      <c r="F59" t="s">
        <v>412</v>
      </c>
      <c r="G59" t="s">
        <v>31</v>
      </c>
      <c r="H59" t="s">
        <v>637</v>
      </c>
      <c r="I59">
        <v>1674584651.0999999</v>
      </c>
      <c r="J59">
        <f t="shared" si="46"/>
        <v>4.8224250590396906E-3</v>
      </c>
      <c r="K59">
        <f t="shared" si="47"/>
        <v>4.8224250590396904</v>
      </c>
      <c r="L59">
        <f t="shared" si="48"/>
        <v>40.43470829691951</v>
      </c>
      <c r="M59">
        <f t="shared" si="49"/>
        <v>349.43400000000003</v>
      </c>
      <c r="N59">
        <f t="shared" si="50"/>
        <v>154.79913973243143</v>
      </c>
      <c r="O59">
        <f t="shared" si="51"/>
        <v>15.445807527703403</v>
      </c>
      <c r="P59">
        <f t="shared" si="52"/>
        <v>34.866410220138604</v>
      </c>
      <c r="Q59">
        <f t="shared" si="53"/>
        <v>0.36249069564975334</v>
      </c>
      <c r="R59">
        <f t="shared" si="54"/>
        <v>2.9238214065420425</v>
      </c>
      <c r="S59">
        <f t="shared" si="55"/>
        <v>0.33924648133715463</v>
      </c>
      <c r="T59">
        <f t="shared" si="56"/>
        <v>0.21399312283515726</v>
      </c>
      <c r="U59">
        <f t="shared" si="57"/>
        <v>344.33209860524693</v>
      </c>
      <c r="V59">
        <f t="shared" si="58"/>
        <v>28.785716649464639</v>
      </c>
      <c r="W59">
        <f t="shared" si="59"/>
        <v>28.254899999999999</v>
      </c>
      <c r="X59">
        <f t="shared" si="60"/>
        <v>3.8515970876605747</v>
      </c>
      <c r="Y59">
        <f t="shared" si="61"/>
        <v>65.27270629599488</v>
      </c>
      <c r="Z59">
        <f t="shared" si="62"/>
        <v>2.4782077798827205</v>
      </c>
      <c r="AA59">
        <f t="shared" si="63"/>
        <v>3.7966983759562343</v>
      </c>
      <c r="AB59">
        <f t="shared" si="64"/>
        <v>1.3733893077778543</v>
      </c>
      <c r="AC59">
        <f t="shared" si="65"/>
        <v>-212.66894510365034</v>
      </c>
      <c r="AD59">
        <f t="shared" si="66"/>
        <v>-38.855563208530022</v>
      </c>
      <c r="AE59">
        <f t="shared" si="67"/>
        <v>-2.9005667146001772</v>
      </c>
      <c r="AF59">
        <f t="shared" si="68"/>
        <v>89.907023578466379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52528.265095245762</v>
      </c>
      <c r="AL59" t="s">
        <v>415</v>
      </c>
      <c r="AM59">
        <v>10424.1</v>
      </c>
      <c r="AN59">
        <v>628.54280000000006</v>
      </c>
      <c r="AO59">
        <v>2663.98</v>
      </c>
      <c r="AP59">
        <f t="shared" si="72"/>
        <v>0.76405873917972356</v>
      </c>
      <c r="AQ59">
        <v>-3.1675626227050531</v>
      </c>
      <c r="AR59" t="s">
        <v>638</v>
      </c>
      <c r="AS59">
        <v>10197.6</v>
      </c>
      <c r="AT59">
        <v>697.56949999999983</v>
      </c>
      <c r="AU59">
        <v>981.63323082327179</v>
      </c>
      <c r="AV59">
        <f t="shared" si="73"/>
        <v>0.28937868228547503</v>
      </c>
      <c r="AW59">
        <v>0.5</v>
      </c>
      <c r="AX59">
        <f t="shared" si="74"/>
        <v>1513.0244993026236</v>
      </c>
      <c r="AY59">
        <f t="shared" si="75"/>
        <v>40.43470829691951</v>
      </c>
      <c r="AZ59">
        <f t="shared" si="76"/>
        <v>218.91851793691691</v>
      </c>
      <c r="BA59">
        <f t="shared" si="77"/>
        <v>2.8817954329041946E-2</v>
      </c>
      <c r="BB59">
        <f t="shared" si="78"/>
        <v>1.7138241823433229</v>
      </c>
      <c r="BC59">
        <f t="shared" si="79"/>
        <v>447.56471075378676</v>
      </c>
      <c r="BD59" t="s">
        <v>639</v>
      </c>
      <c r="BE59">
        <v>531.66999999999996</v>
      </c>
      <c r="BF59">
        <f t="shared" si="80"/>
        <v>531.66999999999996</v>
      </c>
      <c r="BG59">
        <f t="shared" si="81"/>
        <v>0.45838223146327128</v>
      </c>
      <c r="BH59">
        <f t="shared" si="82"/>
        <v>0.63130431858518055</v>
      </c>
      <c r="BI59">
        <f t="shared" si="83"/>
        <v>0.78897851118117357</v>
      </c>
      <c r="BJ59">
        <f t="shared" si="84"/>
        <v>0.80450702150421938</v>
      </c>
      <c r="BK59">
        <f t="shared" si="85"/>
        <v>0.82652845746197834</v>
      </c>
      <c r="BL59">
        <f t="shared" si="86"/>
        <v>0.48116433855290835</v>
      </c>
      <c r="BM59">
        <f t="shared" si="87"/>
        <v>0.5188356614470917</v>
      </c>
      <c r="BN59">
        <v>20249</v>
      </c>
      <c r="BO59">
        <v>290.00000000000011</v>
      </c>
      <c r="BP59">
        <v>916.35</v>
      </c>
      <c r="BQ59">
        <v>285</v>
      </c>
      <c r="BR59">
        <v>10197.6</v>
      </c>
      <c r="BS59">
        <v>917.46</v>
      </c>
      <c r="BT59">
        <v>-1.1100000000000001</v>
      </c>
      <c r="BU59">
        <v>300.00000000000011</v>
      </c>
      <c r="BV59">
        <v>24.2</v>
      </c>
      <c r="BW59">
        <v>981.63323082327179</v>
      </c>
      <c r="BX59">
        <v>1.7988645547346971</v>
      </c>
      <c r="BY59">
        <v>-65.437241287494615</v>
      </c>
      <c r="BZ59">
        <v>1.634174039200619</v>
      </c>
      <c r="CA59">
        <v>0.98283727280353095</v>
      </c>
      <c r="CB59">
        <v>-6.9503337041156802E-3</v>
      </c>
      <c r="CC59">
        <v>289.99999999999989</v>
      </c>
      <c r="CD59">
        <v>919.47</v>
      </c>
      <c r="CE59">
        <v>675</v>
      </c>
      <c r="CF59">
        <v>10177</v>
      </c>
      <c r="CG59">
        <v>917.33</v>
      </c>
      <c r="CH59">
        <v>2.14</v>
      </c>
      <c r="CV59">
        <f t="shared" si="88"/>
        <v>1799.81</v>
      </c>
      <c r="CW59">
        <f t="shared" si="89"/>
        <v>1513.0244993026236</v>
      </c>
      <c r="CX59">
        <f t="shared" si="90"/>
        <v>0.84065790239115434</v>
      </c>
      <c r="CY59">
        <f t="shared" si="91"/>
        <v>0.19131580478230864</v>
      </c>
      <c r="CZ59">
        <v>6</v>
      </c>
      <c r="DA59">
        <v>0.5</v>
      </c>
      <c r="DB59" t="s">
        <v>418</v>
      </c>
      <c r="DC59">
        <v>2</v>
      </c>
      <c r="DD59">
        <v>1674584651.0999999</v>
      </c>
      <c r="DE59">
        <v>349.43400000000003</v>
      </c>
      <c r="DF59">
        <v>399.96899999999999</v>
      </c>
      <c r="DG59">
        <v>24.8368</v>
      </c>
      <c r="DH59">
        <v>19.194600000000001</v>
      </c>
      <c r="DI59">
        <v>352.87099999999998</v>
      </c>
      <c r="DJ59">
        <v>24.512</v>
      </c>
      <c r="DK59">
        <v>500.08699999999999</v>
      </c>
      <c r="DL59">
        <v>99.68</v>
      </c>
      <c r="DM59">
        <v>9.9672899999999995E-2</v>
      </c>
      <c r="DN59">
        <v>28.008400000000002</v>
      </c>
      <c r="DO59">
        <v>28.254899999999999</v>
      </c>
      <c r="DP59">
        <v>999.9</v>
      </c>
      <c r="DQ59">
        <v>0</v>
      </c>
      <c r="DR59">
        <v>0</v>
      </c>
      <c r="DS59">
        <v>9999.3799999999992</v>
      </c>
      <c r="DT59">
        <v>0</v>
      </c>
      <c r="DU59">
        <v>534.81100000000004</v>
      </c>
      <c r="DV59">
        <v>-50.535899999999998</v>
      </c>
      <c r="DW59">
        <v>358.33300000000003</v>
      </c>
      <c r="DX59">
        <v>407.79700000000003</v>
      </c>
      <c r="DY59">
        <v>5.6422100000000004</v>
      </c>
      <c r="DZ59">
        <v>399.96899999999999</v>
      </c>
      <c r="EA59">
        <v>19.194600000000001</v>
      </c>
      <c r="EB59">
        <v>2.4757400000000001</v>
      </c>
      <c r="EC59">
        <v>1.9133199999999999</v>
      </c>
      <c r="ED59">
        <v>20.867899999999999</v>
      </c>
      <c r="EE59">
        <v>16.744700000000002</v>
      </c>
      <c r="EF59">
        <v>1799.81</v>
      </c>
      <c r="EG59">
        <v>0.97800699999999996</v>
      </c>
      <c r="EH59">
        <v>2.1992600000000001E-2</v>
      </c>
      <c r="EI59">
        <v>0</v>
      </c>
      <c r="EJ59">
        <v>697.94500000000005</v>
      </c>
      <c r="EK59">
        <v>5.0010599999999998</v>
      </c>
      <c r="EL59">
        <v>13134.5</v>
      </c>
      <c r="EM59">
        <v>16709.3</v>
      </c>
      <c r="EN59">
        <v>48.375</v>
      </c>
      <c r="EO59">
        <v>49.375</v>
      </c>
      <c r="EP59">
        <v>49.436999999999998</v>
      </c>
      <c r="EQ59">
        <v>48</v>
      </c>
      <c r="ER59">
        <v>49.25</v>
      </c>
      <c r="ES59">
        <v>1755.34</v>
      </c>
      <c r="ET59">
        <v>39.47</v>
      </c>
      <c r="EU59">
        <v>0</v>
      </c>
      <c r="EV59">
        <v>3223.400000095367</v>
      </c>
      <c r="EW59">
        <v>0</v>
      </c>
      <c r="EX59">
        <v>697.56949999999983</v>
      </c>
      <c r="EY59">
        <v>-0.16844443454380581</v>
      </c>
      <c r="EZ59">
        <v>-16.099145314919699</v>
      </c>
      <c r="FA59">
        <v>13138.803846153851</v>
      </c>
      <c r="FB59">
        <v>15</v>
      </c>
      <c r="FC59">
        <v>1674584617.0999999</v>
      </c>
      <c r="FD59" t="s">
        <v>640</v>
      </c>
      <c r="FE59">
        <v>1674584616.0999999</v>
      </c>
      <c r="FF59">
        <v>1674584617.0999999</v>
      </c>
      <c r="FG59">
        <v>50</v>
      </c>
      <c r="FH59">
        <v>0.17100000000000001</v>
      </c>
      <c r="FI59">
        <v>8.9999999999999993E-3</v>
      </c>
      <c r="FJ59">
        <v>-3.5150000000000001</v>
      </c>
      <c r="FK59">
        <v>0.06</v>
      </c>
      <c r="FL59">
        <v>400</v>
      </c>
      <c r="FM59">
        <v>19</v>
      </c>
      <c r="FN59">
        <v>0.03</v>
      </c>
      <c r="FO59">
        <v>0.02</v>
      </c>
      <c r="FP59">
        <v>40.45382790700026</v>
      </c>
      <c r="FQ59">
        <v>-0.49561381600544369</v>
      </c>
      <c r="FR59">
        <v>9.2948692103386604E-2</v>
      </c>
      <c r="FS59">
        <v>1</v>
      </c>
      <c r="FT59">
        <v>0.36657429159619181</v>
      </c>
      <c r="FU59">
        <v>1.6235375503149359E-2</v>
      </c>
      <c r="FV59">
        <v>5.1194613282366432E-3</v>
      </c>
      <c r="FW59">
        <v>1</v>
      </c>
      <c r="FX59">
        <v>2</v>
      </c>
      <c r="FY59">
        <v>2</v>
      </c>
      <c r="FZ59" t="s">
        <v>420</v>
      </c>
      <c r="GA59">
        <v>2.9776600000000002</v>
      </c>
      <c r="GB59">
        <v>2.80599</v>
      </c>
      <c r="GC59">
        <v>8.8256399999999999E-2</v>
      </c>
      <c r="GD59">
        <v>9.6212699999999998E-2</v>
      </c>
      <c r="GE59">
        <v>0.12181</v>
      </c>
      <c r="GF59">
        <v>0.101595</v>
      </c>
      <c r="GG59">
        <v>26942.2</v>
      </c>
      <c r="GH59">
        <v>24779.3</v>
      </c>
      <c r="GI59">
        <v>26564.799999999999</v>
      </c>
      <c r="GJ59">
        <v>25894.5</v>
      </c>
      <c r="GK59">
        <v>31750.9</v>
      </c>
      <c r="GL59">
        <v>32836.9</v>
      </c>
      <c r="GM59">
        <v>37644.800000000003</v>
      </c>
      <c r="GN59">
        <v>38420.6</v>
      </c>
      <c r="GO59">
        <v>1.9691000000000001</v>
      </c>
      <c r="GP59">
        <v>1.9105700000000001</v>
      </c>
      <c r="GQ59">
        <v>8.0130999999999994E-2</v>
      </c>
      <c r="GR59">
        <v>0</v>
      </c>
      <c r="GS59">
        <v>26.945799999999998</v>
      </c>
      <c r="GT59">
        <v>999.9</v>
      </c>
      <c r="GU59">
        <v>41.2</v>
      </c>
      <c r="GV59">
        <v>35.200000000000003</v>
      </c>
      <c r="GW59">
        <v>23.606300000000001</v>
      </c>
      <c r="GX59">
        <v>62.054200000000002</v>
      </c>
      <c r="GY59">
        <v>12.0473</v>
      </c>
      <c r="GZ59">
        <v>1</v>
      </c>
      <c r="HA59">
        <v>0.42137200000000002</v>
      </c>
      <c r="HB59">
        <v>2.4382199999999998</v>
      </c>
      <c r="HC59">
        <v>20.236999999999998</v>
      </c>
      <c r="HD59">
        <v>5.2021699999999997</v>
      </c>
      <c r="HE59">
        <v>11.9381</v>
      </c>
      <c r="HF59">
        <v>4.9856999999999996</v>
      </c>
      <c r="HG59">
        <v>3.2898499999999999</v>
      </c>
      <c r="HH59">
        <v>9999</v>
      </c>
      <c r="HI59">
        <v>9999</v>
      </c>
      <c r="HJ59">
        <v>9999</v>
      </c>
      <c r="HK59">
        <v>999.9</v>
      </c>
      <c r="HL59">
        <v>1.87042</v>
      </c>
      <c r="HM59">
        <v>1.87663</v>
      </c>
      <c r="HN59">
        <v>1.8743799999999999</v>
      </c>
      <c r="HO59">
        <v>1.8725799999999999</v>
      </c>
      <c r="HP59">
        <v>1.87314</v>
      </c>
      <c r="HQ59">
        <v>1.87049</v>
      </c>
      <c r="HR59">
        <v>1.8764000000000001</v>
      </c>
      <c r="HS59">
        <v>1.87551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424</v>
      </c>
      <c r="IB59" t="s">
        <v>424</v>
      </c>
      <c r="IC59" t="s">
        <v>423</v>
      </c>
      <c r="ID59">
        <v>0</v>
      </c>
      <c r="IE59">
        <v>100</v>
      </c>
      <c r="IF59">
        <v>100</v>
      </c>
      <c r="IG59">
        <v>-3.4369999999999998</v>
      </c>
      <c r="IH59">
        <v>0.32479999999999998</v>
      </c>
      <c r="II59">
        <v>-2.7186139088726629</v>
      </c>
      <c r="IJ59">
        <v>-2.536945948238235E-3</v>
      </c>
      <c r="IK59">
        <v>1.581473279927893E-6</v>
      </c>
      <c r="IL59">
        <v>-4.6698293441882044E-10</v>
      </c>
      <c r="IM59">
        <v>-0.18640729315926149</v>
      </c>
      <c r="IN59">
        <v>-1.5895243091576399E-2</v>
      </c>
      <c r="IO59">
        <v>1.559614309849521E-3</v>
      </c>
      <c r="IP59">
        <v>-2.4566050869858518E-6</v>
      </c>
      <c r="IQ59">
        <v>2</v>
      </c>
      <c r="IR59">
        <v>2224</v>
      </c>
      <c r="IS59">
        <v>2</v>
      </c>
      <c r="IT59">
        <v>25</v>
      </c>
      <c r="IU59">
        <v>0.6</v>
      </c>
      <c r="IV59">
        <v>0.6</v>
      </c>
      <c r="IW59">
        <v>0.94238299999999997</v>
      </c>
      <c r="IX59">
        <v>2.49146</v>
      </c>
      <c r="IY59">
        <v>1.65039</v>
      </c>
      <c r="IZ59">
        <v>2.2900399999999999</v>
      </c>
      <c r="JA59">
        <v>1.50024</v>
      </c>
      <c r="JB59">
        <v>2.33643</v>
      </c>
      <c r="JC59">
        <v>39.068300000000001</v>
      </c>
      <c r="JD59">
        <v>23.877400000000002</v>
      </c>
      <c r="JE59">
        <v>18</v>
      </c>
      <c r="JF59">
        <v>505.08800000000002</v>
      </c>
      <c r="JG59">
        <v>460.26299999999998</v>
      </c>
      <c r="JH59">
        <v>24.749500000000001</v>
      </c>
      <c r="JI59">
        <v>32.5578</v>
      </c>
      <c r="JJ59">
        <v>29.9999</v>
      </c>
      <c r="JK59">
        <v>32.611699999999999</v>
      </c>
      <c r="JL59">
        <v>32.600200000000001</v>
      </c>
      <c r="JM59">
        <v>18.888000000000002</v>
      </c>
      <c r="JN59">
        <v>30.541699999999999</v>
      </c>
      <c r="JO59">
        <v>44.773699999999998</v>
      </c>
      <c r="JP59">
        <v>24.740400000000001</v>
      </c>
      <c r="JQ59">
        <v>400</v>
      </c>
      <c r="JR59">
        <v>19.1662</v>
      </c>
      <c r="JS59">
        <v>99.895700000000005</v>
      </c>
      <c r="JT59">
        <v>99.122</v>
      </c>
    </row>
    <row r="60" spans="1:280" x14ac:dyDescent="0.25">
      <c r="A60">
        <v>44</v>
      </c>
      <c r="B60">
        <v>1674584755.0999999</v>
      </c>
      <c r="C60">
        <v>10620.5</v>
      </c>
      <c r="D60" t="s">
        <v>641</v>
      </c>
      <c r="E60" t="s">
        <v>642</v>
      </c>
      <c r="F60" t="s">
        <v>412</v>
      </c>
      <c r="G60" t="s">
        <v>31</v>
      </c>
      <c r="H60" t="s">
        <v>637</v>
      </c>
      <c r="I60">
        <v>1674584755.0999999</v>
      </c>
      <c r="J60">
        <f t="shared" si="46"/>
        <v>4.9414758598277653E-3</v>
      </c>
      <c r="K60">
        <f t="shared" si="47"/>
        <v>4.941475859827765</v>
      </c>
      <c r="L60">
        <f t="shared" si="48"/>
        <v>33.47368800006393</v>
      </c>
      <c r="M60">
        <f t="shared" si="49"/>
        <v>258.27199999999999</v>
      </c>
      <c r="N60">
        <f t="shared" si="50"/>
        <v>101.75238055090219</v>
      </c>
      <c r="O60">
        <f t="shared" si="51"/>
        <v>10.151968415109652</v>
      </c>
      <c r="P60">
        <f t="shared" si="52"/>
        <v>25.768136060419202</v>
      </c>
      <c r="Q60">
        <f t="shared" si="53"/>
        <v>0.37246483040734013</v>
      </c>
      <c r="R60">
        <f t="shared" si="54"/>
        <v>2.9233460043392423</v>
      </c>
      <c r="S60">
        <f t="shared" si="55"/>
        <v>0.34796651279182322</v>
      </c>
      <c r="T60">
        <f t="shared" si="56"/>
        <v>0.2195457286040754</v>
      </c>
      <c r="U60">
        <f t="shared" si="57"/>
        <v>344.33209860524693</v>
      </c>
      <c r="V60">
        <f t="shared" si="58"/>
        <v>28.742839863657323</v>
      </c>
      <c r="W60">
        <f t="shared" si="59"/>
        <v>28.251200000000001</v>
      </c>
      <c r="X60">
        <f t="shared" si="60"/>
        <v>3.8507679588588744</v>
      </c>
      <c r="Y60">
        <f t="shared" si="61"/>
        <v>65.335524971797881</v>
      </c>
      <c r="Z60">
        <f t="shared" si="62"/>
        <v>2.4788581328039405</v>
      </c>
      <c r="AA60">
        <f t="shared" si="63"/>
        <v>3.7940433384042467</v>
      </c>
      <c r="AB60">
        <f t="shared" si="64"/>
        <v>1.3719098260549338</v>
      </c>
      <c r="AC60">
        <f t="shared" si="65"/>
        <v>-217.91908541840445</v>
      </c>
      <c r="AD60">
        <f t="shared" si="66"/>
        <v>-40.157353909456724</v>
      </c>
      <c r="AE60">
        <f t="shared" si="67"/>
        <v>-2.9979984192339391</v>
      </c>
      <c r="AF60">
        <f t="shared" si="68"/>
        <v>83.25766085815178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52516.512987296242</v>
      </c>
      <c r="AL60" t="s">
        <v>415</v>
      </c>
      <c r="AM60">
        <v>10424.1</v>
      </c>
      <c r="AN60">
        <v>628.54280000000006</v>
      </c>
      <c r="AO60">
        <v>2663.98</v>
      </c>
      <c r="AP60">
        <f t="shared" si="72"/>
        <v>0.76405873917972356</v>
      </c>
      <c r="AQ60">
        <v>-3.1675626227050531</v>
      </c>
      <c r="AR60" t="s">
        <v>643</v>
      </c>
      <c r="AS60">
        <v>10201.799999999999</v>
      </c>
      <c r="AT60">
        <v>698.4953461538463</v>
      </c>
      <c r="AU60">
        <v>943.38775658445945</v>
      </c>
      <c r="AV60">
        <f t="shared" si="73"/>
        <v>0.25958828564539305</v>
      </c>
      <c r="AW60">
        <v>0.5</v>
      </c>
      <c r="AX60">
        <f t="shared" si="74"/>
        <v>1513.0244993026236</v>
      </c>
      <c r="AY60">
        <f t="shared" si="75"/>
        <v>33.47368800006393</v>
      </c>
      <c r="AZ60">
        <f t="shared" si="76"/>
        <v>196.38171795672361</v>
      </c>
      <c r="BA60">
        <f t="shared" si="77"/>
        <v>2.4217222285334777E-2</v>
      </c>
      <c r="BB60">
        <f t="shared" si="78"/>
        <v>1.8238441525306137</v>
      </c>
      <c r="BC60">
        <f t="shared" si="79"/>
        <v>439.44205558125412</v>
      </c>
      <c r="BD60" t="s">
        <v>644</v>
      </c>
      <c r="BE60">
        <v>528.75</v>
      </c>
      <c r="BF60">
        <f t="shared" si="80"/>
        <v>528.75</v>
      </c>
      <c r="BG60">
        <f t="shared" si="81"/>
        <v>0.439519967998798</v>
      </c>
      <c r="BH60">
        <f t="shared" si="82"/>
        <v>0.59061772967298487</v>
      </c>
      <c r="BI60">
        <f t="shared" si="83"/>
        <v>0.80581119758318331</v>
      </c>
      <c r="BJ60">
        <f t="shared" si="84"/>
        <v>0.77781906716018501</v>
      </c>
      <c r="BK60">
        <f t="shared" si="85"/>
        <v>0.84531826548887901</v>
      </c>
      <c r="BL60">
        <f t="shared" si="86"/>
        <v>0.44708833964916334</v>
      </c>
      <c r="BM60">
        <f t="shared" si="87"/>
        <v>0.55291166035083661</v>
      </c>
      <c r="BN60">
        <v>20251</v>
      </c>
      <c r="BO60">
        <v>290.00000000000011</v>
      </c>
      <c r="BP60">
        <v>884.62</v>
      </c>
      <c r="BQ60">
        <v>255</v>
      </c>
      <c r="BR60">
        <v>10201.799999999999</v>
      </c>
      <c r="BS60">
        <v>885.19</v>
      </c>
      <c r="BT60">
        <v>-0.56999999999999995</v>
      </c>
      <c r="BU60">
        <v>300.00000000000011</v>
      </c>
      <c r="BV60">
        <v>24.2</v>
      </c>
      <c r="BW60">
        <v>943.38775658445945</v>
      </c>
      <c r="BX60">
        <v>1.949062318250145</v>
      </c>
      <c r="BY60">
        <v>-59.375418798640887</v>
      </c>
      <c r="BZ60">
        <v>1.770571326850759</v>
      </c>
      <c r="CA60">
        <v>0.97570646601392719</v>
      </c>
      <c r="CB60">
        <v>-6.9501116796440538E-3</v>
      </c>
      <c r="CC60">
        <v>289.99999999999989</v>
      </c>
      <c r="CD60">
        <v>886.27</v>
      </c>
      <c r="CE60">
        <v>715</v>
      </c>
      <c r="CF60">
        <v>10173.700000000001</v>
      </c>
      <c r="CG60">
        <v>885.03</v>
      </c>
      <c r="CH60">
        <v>1.24</v>
      </c>
      <c r="CV60">
        <f t="shared" si="88"/>
        <v>1799.81</v>
      </c>
      <c r="CW60">
        <f t="shared" si="89"/>
        <v>1513.0244993026236</v>
      </c>
      <c r="CX60">
        <f t="shared" si="90"/>
        <v>0.84065790239115434</v>
      </c>
      <c r="CY60">
        <f t="shared" si="91"/>
        <v>0.19131580478230864</v>
      </c>
      <c r="CZ60">
        <v>6</v>
      </c>
      <c r="DA60">
        <v>0.5</v>
      </c>
      <c r="DB60" t="s">
        <v>418</v>
      </c>
      <c r="DC60">
        <v>2</v>
      </c>
      <c r="DD60">
        <v>1674584755.0999999</v>
      </c>
      <c r="DE60">
        <v>258.27199999999999</v>
      </c>
      <c r="DF60">
        <v>299.96800000000002</v>
      </c>
      <c r="DG60">
        <v>24.845400000000001</v>
      </c>
      <c r="DH60">
        <v>19.063500000000001</v>
      </c>
      <c r="DI60">
        <v>261.32499999999999</v>
      </c>
      <c r="DJ60">
        <v>24.521899999999999</v>
      </c>
      <c r="DK60">
        <v>500.04700000000003</v>
      </c>
      <c r="DL60">
        <v>99.671700000000001</v>
      </c>
      <c r="DM60">
        <v>9.9611099999999994E-2</v>
      </c>
      <c r="DN60">
        <v>27.996400000000001</v>
      </c>
      <c r="DO60">
        <v>28.251200000000001</v>
      </c>
      <c r="DP60">
        <v>999.9</v>
      </c>
      <c r="DQ60">
        <v>0</v>
      </c>
      <c r="DR60">
        <v>0</v>
      </c>
      <c r="DS60">
        <v>9997.5</v>
      </c>
      <c r="DT60">
        <v>0</v>
      </c>
      <c r="DU60">
        <v>517.38199999999995</v>
      </c>
      <c r="DV60">
        <v>-41.695300000000003</v>
      </c>
      <c r="DW60">
        <v>264.85300000000001</v>
      </c>
      <c r="DX60">
        <v>305.79700000000003</v>
      </c>
      <c r="DY60">
        <v>5.7819000000000003</v>
      </c>
      <c r="DZ60">
        <v>299.96800000000002</v>
      </c>
      <c r="EA60">
        <v>19.063500000000001</v>
      </c>
      <c r="EB60">
        <v>2.4763799999999998</v>
      </c>
      <c r="EC60">
        <v>1.9000900000000001</v>
      </c>
      <c r="ED60">
        <v>20.8721</v>
      </c>
      <c r="EE60">
        <v>16.635400000000001</v>
      </c>
      <c r="EF60">
        <v>1799.81</v>
      </c>
      <c r="EG60">
        <v>0.97800799999999999</v>
      </c>
      <c r="EH60">
        <v>2.1992299999999999E-2</v>
      </c>
      <c r="EI60">
        <v>0</v>
      </c>
      <c r="EJ60">
        <v>698.33</v>
      </c>
      <c r="EK60">
        <v>5.0010599999999998</v>
      </c>
      <c r="EL60">
        <v>13126.8</v>
      </c>
      <c r="EM60">
        <v>16709.3</v>
      </c>
      <c r="EN60">
        <v>48.375</v>
      </c>
      <c r="EO60">
        <v>49.375</v>
      </c>
      <c r="EP60">
        <v>49.436999999999998</v>
      </c>
      <c r="EQ60">
        <v>48</v>
      </c>
      <c r="ER60">
        <v>49.25</v>
      </c>
      <c r="ES60">
        <v>1755.34</v>
      </c>
      <c r="ET60">
        <v>39.47</v>
      </c>
      <c r="EU60">
        <v>0</v>
      </c>
      <c r="EV60">
        <v>102</v>
      </c>
      <c r="EW60">
        <v>0</v>
      </c>
      <c r="EX60">
        <v>698.4953461538463</v>
      </c>
      <c r="EY60">
        <v>-2.9763760729596731</v>
      </c>
      <c r="EZ60">
        <v>-44.649572578778631</v>
      </c>
      <c r="FA60">
        <v>13134.26923076923</v>
      </c>
      <c r="FB60">
        <v>15</v>
      </c>
      <c r="FC60">
        <v>1674584721.5999999</v>
      </c>
      <c r="FD60" t="s">
        <v>645</v>
      </c>
      <c r="FE60">
        <v>1674584717.5999999</v>
      </c>
      <c r="FF60">
        <v>1674584721.5999999</v>
      </c>
      <c r="FG60">
        <v>51</v>
      </c>
      <c r="FH60">
        <v>0.23</v>
      </c>
      <c r="FI60">
        <v>-2E-3</v>
      </c>
      <c r="FJ60">
        <v>-3.1259999999999999</v>
      </c>
      <c r="FK60">
        <v>0.06</v>
      </c>
      <c r="FL60">
        <v>300</v>
      </c>
      <c r="FM60">
        <v>19</v>
      </c>
      <c r="FN60">
        <v>0.04</v>
      </c>
      <c r="FO60">
        <v>0.02</v>
      </c>
      <c r="FP60">
        <v>33.535100177562263</v>
      </c>
      <c r="FQ60">
        <v>-0.42741835302740211</v>
      </c>
      <c r="FR60">
        <v>8.1875986584130006E-2</v>
      </c>
      <c r="FS60">
        <v>1</v>
      </c>
      <c r="FT60">
        <v>0.37711860418179971</v>
      </c>
      <c r="FU60">
        <v>4.7166148257897526E-3</v>
      </c>
      <c r="FV60">
        <v>3.8655484980306908E-3</v>
      </c>
      <c r="FW60">
        <v>1</v>
      </c>
      <c r="FX60">
        <v>2</v>
      </c>
      <c r="FY60">
        <v>2</v>
      </c>
      <c r="FZ60" t="s">
        <v>420</v>
      </c>
      <c r="GA60">
        <v>2.9775900000000002</v>
      </c>
      <c r="GB60">
        <v>2.8059099999999999</v>
      </c>
      <c r="GC60">
        <v>6.8978999999999999E-2</v>
      </c>
      <c r="GD60">
        <v>7.6495300000000002E-2</v>
      </c>
      <c r="GE60">
        <v>0.12184499999999999</v>
      </c>
      <c r="GF60">
        <v>0.101109</v>
      </c>
      <c r="GG60">
        <v>27514.2</v>
      </c>
      <c r="GH60">
        <v>25322.2</v>
      </c>
      <c r="GI60">
        <v>26566.799999999999</v>
      </c>
      <c r="GJ60">
        <v>25896.400000000001</v>
      </c>
      <c r="GK60">
        <v>31751.1</v>
      </c>
      <c r="GL60">
        <v>32856.300000000003</v>
      </c>
      <c r="GM60">
        <v>37646.9</v>
      </c>
      <c r="GN60">
        <v>38422.699999999997</v>
      </c>
      <c r="GO60">
        <v>1.9697</v>
      </c>
      <c r="GP60">
        <v>1.9103300000000001</v>
      </c>
      <c r="GQ60">
        <v>8.0384300000000006E-2</v>
      </c>
      <c r="GR60">
        <v>0</v>
      </c>
      <c r="GS60">
        <v>26.937899999999999</v>
      </c>
      <c r="GT60">
        <v>999.9</v>
      </c>
      <c r="GU60">
        <v>41.2</v>
      </c>
      <c r="GV60">
        <v>35.200000000000003</v>
      </c>
      <c r="GW60">
        <v>23.607600000000001</v>
      </c>
      <c r="GX60">
        <v>62.154299999999999</v>
      </c>
      <c r="GY60">
        <v>12.1875</v>
      </c>
      <c r="GZ60">
        <v>1</v>
      </c>
      <c r="HA60">
        <v>0.41804400000000003</v>
      </c>
      <c r="HB60">
        <v>2.3670399999999998</v>
      </c>
      <c r="HC60">
        <v>20.238</v>
      </c>
      <c r="HD60">
        <v>5.2047100000000004</v>
      </c>
      <c r="HE60">
        <v>11.9381</v>
      </c>
      <c r="HF60">
        <v>4.9863499999999998</v>
      </c>
      <c r="HG60">
        <v>3.2898499999999999</v>
      </c>
      <c r="HH60">
        <v>9999</v>
      </c>
      <c r="HI60">
        <v>9999</v>
      </c>
      <c r="HJ60">
        <v>9999</v>
      </c>
      <c r="HK60">
        <v>999.9</v>
      </c>
      <c r="HL60">
        <v>1.87042</v>
      </c>
      <c r="HM60">
        <v>1.8766400000000001</v>
      </c>
      <c r="HN60">
        <v>1.87436</v>
      </c>
      <c r="HO60">
        <v>1.8725799999999999</v>
      </c>
      <c r="HP60">
        <v>1.8730800000000001</v>
      </c>
      <c r="HQ60">
        <v>1.87049</v>
      </c>
      <c r="HR60">
        <v>1.8763799999999999</v>
      </c>
      <c r="HS60">
        <v>1.8755200000000001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424</v>
      </c>
      <c r="IB60" t="s">
        <v>424</v>
      </c>
      <c r="IC60" t="s">
        <v>423</v>
      </c>
      <c r="ID60">
        <v>0</v>
      </c>
      <c r="IE60">
        <v>100</v>
      </c>
      <c r="IF60">
        <v>100</v>
      </c>
      <c r="IG60">
        <v>-3.0529999999999999</v>
      </c>
      <c r="IH60">
        <v>0.32350000000000001</v>
      </c>
      <c r="II60">
        <v>-2.489237389052549</v>
      </c>
      <c r="IJ60">
        <v>-2.536945948238235E-3</v>
      </c>
      <c r="IK60">
        <v>1.581473279927893E-6</v>
      </c>
      <c r="IL60">
        <v>-4.6698293441882044E-10</v>
      </c>
      <c r="IM60">
        <v>-0.18838951489808181</v>
      </c>
      <c r="IN60">
        <v>-1.5895243091576399E-2</v>
      </c>
      <c r="IO60">
        <v>1.559614309849521E-3</v>
      </c>
      <c r="IP60">
        <v>-2.4566050869858518E-6</v>
      </c>
      <c r="IQ60">
        <v>2</v>
      </c>
      <c r="IR60">
        <v>2224</v>
      </c>
      <c r="IS60">
        <v>2</v>
      </c>
      <c r="IT60">
        <v>25</v>
      </c>
      <c r="IU60">
        <v>0.6</v>
      </c>
      <c r="IV60">
        <v>0.6</v>
      </c>
      <c r="IW60">
        <v>0.75317400000000001</v>
      </c>
      <c r="IX60">
        <v>2.4890099999999999</v>
      </c>
      <c r="IY60">
        <v>1.65039</v>
      </c>
      <c r="IZ60">
        <v>2.2900399999999999</v>
      </c>
      <c r="JA60">
        <v>1.50024</v>
      </c>
      <c r="JB60">
        <v>2.4255399999999998</v>
      </c>
      <c r="JC60">
        <v>39.068300000000001</v>
      </c>
      <c r="JD60">
        <v>23.877400000000002</v>
      </c>
      <c r="JE60">
        <v>18</v>
      </c>
      <c r="JF60">
        <v>505.18599999999998</v>
      </c>
      <c r="JG60">
        <v>459.81200000000001</v>
      </c>
      <c r="JH60">
        <v>24.771999999999998</v>
      </c>
      <c r="JI60">
        <v>32.520299999999999</v>
      </c>
      <c r="JJ60">
        <v>29.9999</v>
      </c>
      <c r="JK60">
        <v>32.575200000000002</v>
      </c>
      <c r="JL60">
        <v>32.5627</v>
      </c>
      <c r="JM60">
        <v>15.103</v>
      </c>
      <c r="JN60">
        <v>31.2818</v>
      </c>
      <c r="JO60">
        <v>44.676900000000003</v>
      </c>
      <c r="JP60">
        <v>24.776700000000002</v>
      </c>
      <c r="JQ60">
        <v>300</v>
      </c>
      <c r="JR60">
        <v>19.100000000000001</v>
      </c>
      <c r="JS60">
        <v>99.902100000000004</v>
      </c>
      <c r="JT60">
        <v>99.128100000000003</v>
      </c>
    </row>
    <row r="61" spans="1:280" x14ac:dyDescent="0.25">
      <c r="A61">
        <v>45</v>
      </c>
      <c r="B61">
        <v>1674584871.0999999</v>
      </c>
      <c r="C61">
        <v>10736.5</v>
      </c>
      <c r="D61" t="s">
        <v>646</v>
      </c>
      <c r="E61" t="s">
        <v>647</v>
      </c>
      <c r="F61" t="s">
        <v>412</v>
      </c>
      <c r="G61" t="s">
        <v>31</v>
      </c>
      <c r="H61" t="s">
        <v>637</v>
      </c>
      <c r="I61">
        <v>1674584871.0999999</v>
      </c>
      <c r="J61">
        <f t="shared" si="46"/>
        <v>5.0740770662644659E-3</v>
      </c>
      <c r="K61">
        <f t="shared" si="47"/>
        <v>5.0740770662644659</v>
      </c>
      <c r="L61">
        <f t="shared" si="48"/>
        <v>23.920407709853805</v>
      </c>
      <c r="M61">
        <f t="shared" si="49"/>
        <v>170.245</v>
      </c>
      <c r="N61">
        <f t="shared" si="50"/>
        <v>61.532162250265955</v>
      </c>
      <c r="O61">
        <f t="shared" si="51"/>
        <v>6.1387312586785043</v>
      </c>
      <c r="P61">
        <f t="shared" si="52"/>
        <v>16.984423509824001</v>
      </c>
      <c r="Q61">
        <f t="shared" si="53"/>
        <v>0.38307594298929371</v>
      </c>
      <c r="R61">
        <f t="shared" si="54"/>
        <v>2.924542361159185</v>
      </c>
      <c r="S61">
        <f t="shared" si="55"/>
        <v>0.35722366187116605</v>
      </c>
      <c r="T61">
        <f t="shared" si="56"/>
        <v>0.22544196075539136</v>
      </c>
      <c r="U61">
        <f t="shared" si="57"/>
        <v>344.40289860411269</v>
      </c>
      <c r="V61">
        <f t="shared" si="58"/>
        <v>28.699561712420472</v>
      </c>
      <c r="W61">
        <f t="shared" si="59"/>
        <v>28.272600000000001</v>
      </c>
      <c r="X61">
        <f t="shared" si="60"/>
        <v>3.8555656153670665</v>
      </c>
      <c r="Y61">
        <f t="shared" si="61"/>
        <v>65.492105289328478</v>
      </c>
      <c r="Z61">
        <f t="shared" si="62"/>
        <v>2.4835099035302401</v>
      </c>
      <c r="AA61">
        <f t="shared" si="63"/>
        <v>3.7920752319057183</v>
      </c>
      <c r="AB61">
        <f t="shared" si="64"/>
        <v>1.3720557118368264</v>
      </c>
      <c r="AC61">
        <f t="shared" si="65"/>
        <v>-223.76679862226294</v>
      </c>
      <c r="AD61">
        <f t="shared" si="66"/>
        <v>-44.951126208599455</v>
      </c>
      <c r="AE61">
        <f t="shared" si="67"/>
        <v>-3.3547198202170949</v>
      </c>
      <c r="AF61">
        <f t="shared" si="68"/>
        <v>72.330253953033207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52552.319339964277</v>
      </c>
      <c r="AL61" t="s">
        <v>415</v>
      </c>
      <c r="AM61">
        <v>10424.1</v>
      </c>
      <c r="AN61">
        <v>628.54280000000006</v>
      </c>
      <c r="AO61">
        <v>2663.98</v>
      </c>
      <c r="AP61">
        <f t="shared" si="72"/>
        <v>0.76405873917972356</v>
      </c>
      <c r="AQ61">
        <v>-3.1675626227050531</v>
      </c>
      <c r="AR61" t="s">
        <v>648</v>
      </c>
      <c r="AS61">
        <v>10198.700000000001</v>
      </c>
      <c r="AT61">
        <v>708.78107999999997</v>
      </c>
      <c r="AU61">
        <v>894.66856757817447</v>
      </c>
      <c r="AV61">
        <f t="shared" si="73"/>
        <v>0.20777245822032531</v>
      </c>
      <c r="AW61">
        <v>0.5</v>
      </c>
      <c r="AX61">
        <f t="shared" si="74"/>
        <v>1513.3280993020564</v>
      </c>
      <c r="AY61">
        <f t="shared" si="75"/>
        <v>23.920407709853805</v>
      </c>
      <c r="AZ61">
        <f t="shared" si="76"/>
        <v>157.21394964294041</v>
      </c>
      <c r="BA61">
        <f t="shared" si="77"/>
        <v>1.7899601775088807E-2</v>
      </c>
      <c r="BB61">
        <f t="shared" si="78"/>
        <v>1.9776166242335615</v>
      </c>
      <c r="BC61">
        <f t="shared" si="79"/>
        <v>428.57099226410327</v>
      </c>
      <c r="BD61" t="s">
        <v>649</v>
      </c>
      <c r="BE61">
        <v>521.79</v>
      </c>
      <c r="BF61">
        <f t="shared" si="80"/>
        <v>521.79</v>
      </c>
      <c r="BG61">
        <f t="shared" si="81"/>
        <v>0.41677843739111031</v>
      </c>
      <c r="BH61">
        <f t="shared" si="82"/>
        <v>0.49852017182297004</v>
      </c>
      <c r="BI61">
        <f t="shared" si="83"/>
        <v>0.82593580981230674</v>
      </c>
      <c r="BJ61">
        <f t="shared" si="84"/>
        <v>0.69849488559415829</v>
      </c>
      <c r="BK61">
        <f t="shared" si="85"/>
        <v>0.86925375659923365</v>
      </c>
      <c r="BL61">
        <f t="shared" si="86"/>
        <v>0.36700025973535794</v>
      </c>
      <c r="BM61">
        <f t="shared" si="87"/>
        <v>0.63299974026464212</v>
      </c>
      <c r="BN61">
        <v>20253</v>
      </c>
      <c r="BO61">
        <v>290.00000000000011</v>
      </c>
      <c r="BP61">
        <v>851.39</v>
      </c>
      <c r="BQ61">
        <v>275</v>
      </c>
      <c r="BR61">
        <v>10198.700000000001</v>
      </c>
      <c r="BS61">
        <v>851.43</v>
      </c>
      <c r="BT61">
        <v>-0.04</v>
      </c>
      <c r="BU61">
        <v>300.00000000000011</v>
      </c>
      <c r="BV61">
        <v>24.2</v>
      </c>
      <c r="BW61">
        <v>894.66856757817447</v>
      </c>
      <c r="BX61">
        <v>1.420098745373944</v>
      </c>
      <c r="BY61">
        <v>-44.093209459120288</v>
      </c>
      <c r="BZ61">
        <v>1.2900455119277301</v>
      </c>
      <c r="CA61">
        <v>0.97659339345782414</v>
      </c>
      <c r="CB61">
        <v>-6.9499986651835478E-3</v>
      </c>
      <c r="CC61">
        <v>289.99999999999989</v>
      </c>
      <c r="CD61">
        <v>852.58</v>
      </c>
      <c r="CE61">
        <v>715</v>
      </c>
      <c r="CF61">
        <v>10173.700000000001</v>
      </c>
      <c r="CG61">
        <v>851.33</v>
      </c>
      <c r="CH61">
        <v>1.25</v>
      </c>
      <c r="CV61">
        <f t="shared" si="88"/>
        <v>1800.17</v>
      </c>
      <c r="CW61">
        <f t="shared" si="89"/>
        <v>1513.3280993020564</v>
      </c>
      <c r="CX61">
        <f t="shared" si="90"/>
        <v>0.8406584374264966</v>
      </c>
      <c r="CY61">
        <f t="shared" si="91"/>
        <v>0.19131687485299315</v>
      </c>
      <c r="CZ61">
        <v>6</v>
      </c>
      <c r="DA61">
        <v>0.5</v>
      </c>
      <c r="DB61" t="s">
        <v>418</v>
      </c>
      <c r="DC61">
        <v>2</v>
      </c>
      <c r="DD61">
        <v>1674584871.0999999</v>
      </c>
      <c r="DE61">
        <v>170.245</v>
      </c>
      <c r="DF61">
        <v>199.983</v>
      </c>
      <c r="DG61">
        <v>24.893699999999999</v>
      </c>
      <c r="DH61">
        <v>18.957000000000001</v>
      </c>
      <c r="DI61">
        <v>172.916</v>
      </c>
      <c r="DJ61">
        <v>24.5608</v>
      </c>
      <c r="DK61">
        <v>500.05200000000002</v>
      </c>
      <c r="DL61">
        <v>99.665000000000006</v>
      </c>
      <c r="DM61">
        <v>9.9595199999999995E-2</v>
      </c>
      <c r="DN61">
        <v>27.987500000000001</v>
      </c>
      <c r="DO61">
        <v>28.272600000000001</v>
      </c>
      <c r="DP61">
        <v>999.9</v>
      </c>
      <c r="DQ61">
        <v>0</v>
      </c>
      <c r="DR61">
        <v>0</v>
      </c>
      <c r="DS61">
        <v>10005</v>
      </c>
      <c r="DT61">
        <v>0</v>
      </c>
      <c r="DU61">
        <v>491.82799999999997</v>
      </c>
      <c r="DV61">
        <v>-29.7379</v>
      </c>
      <c r="DW61">
        <v>174.59100000000001</v>
      </c>
      <c r="DX61">
        <v>203.84700000000001</v>
      </c>
      <c r="DY61">
        <v>5.9367799999999997</v>
      </c>
      <c r="DZ61">
        <v>199.983</v>
      </c>
      <c r="EA61">
        <v>18.957000000000001</v>
      </c>
      <c r="EB61">
        <v>2.4810300000000001</v>
      </c>
      <c r="EC61">
        <v>1.88934</v>
      </c>
      <c r="ED61">
        <v>20.9026</v>
      </c>
      <c r="EE61">
        <v>16.546299999999999</v>
      </c>
      <c r="EF61">
        <v>1800.17</v>
      </c>
      <c r="EG61">
        <v>0.97799400000000003</v>
      </c>
      <c r="EH61">
        <v>2.2006499999999998E-2</v>
      </c>
      <c r="EI61">
        <v>0</v>
      </c>
      <c r="EJ61">
        <v>708.63699999999994</v>
      </c>
      <c r="EK61">
        <v>5.0010599999999998</v>
      </c>
      <c r="EL61">
        <v>13270.1</v>
      </c>
      <c r="EM61">
        <v>16712.599999999999</v>
      </c>
      <c r="EN61">
        <v>48.436999999999998</v>
      </c>
      <c r="EO61">
        <v>49.311999999999998</v>
      </c>
      <c r="EP61">
        <v>49.436999999999998</v>
      </c>
      <c r="EQ61">
        <v>47.936999999999998</v>
      </c>
      <c r="ER61">
        <v>49.25</v>
      </c>
      <c r="ES61">
        <v>1755.66</v>
      </c>
      <c r="ET61">
        <v>39.51</v>
      </c>
      <c r="EU61">
        <v>0</v>
      </c>
      <c r="EV61">
        <v>114.2000000476837</v>
      </c>
      <c r="EW61">
        <v>0</v>
      </c>
      <c r="EX61">
        <v>708.78107999999997</v>
      </c>
      <c r="EY61">
        <v>-1.250153841347591</v>
      </c>
      <c r="EZ61">
        <v>-50.13846152394629</v>
      </c>
      <c r="FA61">
        <v>13274.888000000001</v>
      </c>
      <c r="FB61">
        <v>15</v>
      </c>
      <c r="FC61">
        <v>1674584838.5999999</v>
      </c>
      <c r="FD61" t="s">
        <v>650</v>
      </c>
      <c r="FE61">
        <v>1674584825.5999999</v>
      </c>
      <c r="FF61">
        <v>1674584838.5999999</v>
      </c>
      <c r="FG61">
        <v>52</v>
      </c>
      <c r="FH61">
        <v>0.21199999999999999</v>
      </c>
      <c r="FI61">
        <v>7.0000000000000001E-3</v>
      </c>
      <c r="FJ61">
        <v>-2.7309999999999999</v>
      </c>
      <c r="FK61">
        <v>6.2E-2</v>
      </c>
      <c r="FL61">
        <v>200</v>
      </c>
      <c r="FM61">
        <v>19</v>
      </c>
      <c r="FN61">
        <v>7.0000000000000007E-2</v>
      </c>
      <c r="FO61">
        <v>0.02</v>
      </c>
      <c r="FP61">
        <v>23.92829824706596</v>
      </c>
      <c r="FQ61">
        <v>-0.55591207386992325</v>
      </c>
      <c r="FR61">
        <v>8.4991118274055699E-2</v>
      </c>
      <c r="FS61">
        <v>1</v>
      </c>
      <c r="FT61">
        <v>0.38954488547179661</v>
      </c>
      <c r="FU61">
        <v>9.0752489973683938E-3</v>
      </c>
      <c r="FV61">
        <v>3.6223679526063732E-3</v>
      </c>
      <c r="FW61">
        <v>1</v>
      </c>
      <c r="FX61">
        <v>2</v>
      </c>
      <c r="FY61">
        <v>2</v>
      </c>
      <c r="FZ61" t="s">
        <v>420</v>
      </c>
      <c r="GA61">
        <v>2.9776500000000001</v>
      </c>
      <c r="GB61">
        <v>2.8059599999999998</v>
      </c>
      <c r="GC61">
        <v>4.7940400000000001E-2</v>
      </c>
      <c r="GD61">
        <v>5.4012299999999999E-2</v>
      </c>
      <c r="GE61">
        <v>0.12198299999999999</v>
      </c>
      <c r="GF61">
        <v>0.100717</v>
      </c>
      <c r="GG61">
        <v>28137</v>
      </c>
      <c r="GH61">
        <v>25941</v>
      </c>
      <c r="GI61">
        <v>26567.8</v>
      </c>
      <c r="GJ61">
        <v>25898.400000000001</v>
      </c>
      <c r="GK61">
        <v>31747.1</v>
      </c>
      <c r="GL61">
        <v>32872.800000000003</v>
      </c>
      <c r="GM61">
        <v>37648.5</v>
      </c>
      <c r="GN61">
        <v>38425.5</v>
      </c>
      <c r="GO61">
        <v>1.9701200000000001</v>
      </c>
      <c r="GP61">
        <v>1.9104000000000001</v>
      </c>
      <c r="GQ61">
        <v>8.3982899999999999E-2</v>
      </c>
      <c r="GR61">
        <v>0</v>
      </c>
      <c r="GS61">
        <v>26.900500000000001</v>
      </c>
      <c r="GT61">
        <v>999.9</v>
      </c>
      <c r="GU61">
        <v>41.1</v>
      </c>
      <c r="GV61">
        <v>35.200000000000003</v>
      </c>
      <c r="GW61">
        <v>23.5517</v>
      </c>
      <c r="GX61">
        <v>61.984299999999998</v>
      </c>
      <c r="GY61">
        <v>12.1114</v>
      </c>
      <c r="GZ61">
        <v>1</v>
      </c>
      <c r="HA61">
        <v>0.414103</v>
      </c>
      <c r="HB61">
        <v>2.3251400000000002</v>
      </c>
      <c r="HC61">
        <v>20.238700000000001</v>
      </c>
      <c r="HD61">
        <v>5.2047100000000004</v>
      </c>
      <c r="HE61">
        <v>11.9381</v>
      </c>
      <c r="HF61">
        <v>4.9861500000000003</v>
      </c>
      <c r="HG61">
        <v>3.2896800000000002</v>
      </c>
      <c r="HH61">
        <v>9999</v>
      </c>
      <c r="HI61">
        <v>9999</v>
      </c>
      <c r="HJ61">
        <v>9999</v>
      </c>
      <c r="HK61">
        <v>999.9</v>
      </c>
      <c r="HL61">
        <v>1.87042</v>
      </c>
      <c r="HM61">
        <v>1.87662</v>
      </c>
      <c r="HN61">
        <v>1.8743399999999999</v>
      </c>
      <c r="HO61">
        <v>1.8726100000000001</v>
      </c>
      <c r="HP61">
        <v>1.8731199999999999</v>
      </c>
      <c r="HQ61">
        <v>1.87046</v>
      </c>
      <c r="HR61">
        <v>1.8763799999999999</v>
      </c>
      <c r="HS61">
        <v>1.8754900000000001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424</v>
      </c>
      <c r="IB61" t="s">
        <v>424</v>
      </c>
      <c r="IC61" t="s">
        <v>423</v>
      </c>
      <c r="ID61">
        <v>0</v>
      </c>
      <c r="IE61">
        <v>100</v>
      </c>
      <c r="IF61">
        <v>100</v>
      </c>
      <c r="IG61">
        <v>-2.6709999999999998</v>
      </c>
      <c r="IH61">
        <v>0.33289999999999997</v>
      </c>
      <c r="II61">
        <v>-2.2776510131258418</v>
      </c>
      <c r="IJ61">
        <v>-2.536945948238235E-3</v>
      </c>
      <c r="IK61">
        <v>1.581473279927893E-6</v>
      </c>
      <c r="IL61">
        <v>-4.6698293441882044E-10</v>
      </c>
      <c r="IM61">
        <v>-0.18112776183078419</v>
      </c>
      <c r="IN61">
        <v>-1.5895243091576399E-2</v>
      </c>
      <c r="IO61">
        <v>1.559614309849521E-3</v>
      </c>
      <c r="IP61">
        <v>-2.4566050869858518E-6</v>
      </c>
      <c r="IQ61">
        <v>2</v>
      </c>
      <c r="IR61">
        <v>2224</v>
      </c>
      <c r="IS61">
        <v>2</v>
      </c>
      <c r="IT61">
        <v>25</v>
      </c>
      <c r="IU61">
        <v>0.8</v>
      </c>
      <c r="IV61">
        <v>0.5</v>
      </c>
      <c r="IW61">
        <v>0.55542000000000002</v>
      </c>
      <c r="IX61">
        <v>2.49634</v>
      </c>
      <c r="IY61">
        <v>1.65039</v>
      </c>
      <c r="IZ61">
        <v>2.2900399999999999</v>
      </c>
      <c r="JA61">
        <v>1.50024</v>
      </c>
      <c r="JB61">
        <v>2.3815900000000001</v>
      </c>
      <c r="JC61">
        <v>39.068300000000001</v>
      </c>
      <c r="JD61">
        <v>23.877400000000002</v>
      </c>
      <c r="JE61">
        <v>18</v>
      </c>
      <c r="JF61">
        <v>505.11500000000001</v>
      </c>
      <c r="JG61">
        <v>459.517</v>
      </c>
      <c r="JH61">
        <v>24.796399999999998</v>
      </c>
      <c r="JI61">
        <v>32.475299999999997</v>
      </c>
      <c r="JJ61">
        <v>30</v>
      </c>
      <c r="JK61">
        <v>32.5319</v>
      </c>
      <c r="JL61">
        <v>32.517800000000001</v>
      </c>
      <c r="JM61">
        <v>11.1652</v>
      </c>
      <c r="JN61">
        <v>31.341200000000001</v>
      </c>
      <c r="JO61">
        <v>44.805399999999999</v>
      </c>
      <c r="JP61">
        <v>24.829599999999999</v>
      </c>
      <c r="JQ61">
        <v>200</v>
      </c>
      <c r="JR61">
        <v>18.927299999999999</v>
      </c>
      <c r="JS61">
        <v>99.906099999999995</v>
      </c>
      <c r="JT61">
        <v>99.135499999999993</v>
      </c>
    </row>
    <row r="62" spans="1:280" x14ac:dyDescent="0.25">
      <c r="A62">
        <v>46</v>
      </c>
      <c r="B62">
        <v>1674584980.0999999</v>
      </c>
      <c r="C62">
        <v>10845.5</v>
      </c>
      <c r="D62" t="s">
        <v>651</v>
      </c>
      <c r="E62" t="s">
        <v>652</v>
      </c>
      <c r="F62" t="s">
        <v>412</v>
      </c>
      <c r="G62" t="s">
        <v>31</v>
      </c>
      <c r="H62" t="s">
        <v>637</v>
      </c>
      <c r="I62">
        <v>1674584980.0999999</v>
      </c>
      <c r="J62">
        <f t="shared" si="46"/>
        <v>5.245060963984448E-3</v>
      </c>
      <c r="K62">
        <f t="shared" si="47"/>
        <v>5.2450609639844483</v>
      </c>
      <c r="L62">
        <f t="shared" si="48"/>
        <v>14.877396247237186</v>
      </c>
      <c r="M62">
        <f t="shared" si="49"/>
        <v>101.526</v>
      </c>
      <c r="N62">
        <f t="shared" si="50"/>
        <v>36.730386747583331</v>
      </c>
      <c r="O62">
        <f t="shared" si="51"/>
        <v>3.6644725021139903</v>
      </c>
      <c r="P62">
        <f t="shared" si="52"/>
        <v>10.128922349942401</v>
      </c>
      <c r="Q62">
        <f t="shared" si="53"/>
        <v>0.4007205568997651</v>
      </c>
      <c r="R62">
        <f t="shared" si="54"/>
        <v>2.9254550223770597</v>
      </c>
      <c r="S62">
        <f t="shared" si="55"/>
        <v>0.37253398835620827</v>
      </c>
      <c r="T62">
        <f t="shared" si="56"/>
        <v>0.23520076546608548</v>
      </c>
      <c r="U62">
        <f t="shared" si="57"/>
        <v>344.41999860418241</v>
      </c>
      <c r="V62">
        <f t="shared" si="58"/>
        <v>28.674752067396795</v>
      </c>
      <c r="W62">
        <f t="shared" si="59"/>
        <v>28.240200000000002</v>
      </c>
      <c r="X62">
        <f t="shared" si="60"/>
        <v>3.8483039007885771</v>
      </c>
      <c r="Y62">
        <f t="shared" si="61"/>
        <v>65.541496887258589</v>
      </c>
      <c r="Z62">
        <f t="shared" si="62"/>
        <v>2.4882533898036803</v>
      </c>
      <c r="AA62">
        <f t="shared" si="63"/>
        <v>3.7964549300481449</v>
      </c>
      <c r="AB62">
        <f t="shared" si="64"/>
        <v>1.3600505109848968</v>
      </c>
      <c r="AC62">
        <f t="shared" si="65"/>
        <v>-231.30718851171414</v>
      </c>
      <c r="AD62">
        <f t="shared" si="66"/>
        <v>-36.732319848652828</v>
      </c>
      <c r="AE62">
        <f t="shared" si="67"/>
        <v>-2.7403197153243468</v>
      </c>
      <c r="AF62">
        <f t="shared" si="68"/>
        <v>73.640170528491097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52575.153191354511</v>
      </c>
      <c r="AL62" t="s">
        <v>415</v>
      </c>
      <c r="AM62">
        <v>10424.1</v>
      </c>
      <c r="AN62">
        <v>628.54280000000006</v>
      </c>
      <c r="AO62">
        <v>2663.98</v>
      </c>
      <c r="AP62">
        <f t="shared" si="72"/>
        <v>0.76405873917972356</v>
      </c>
      <c r="AQ62">
        <v>-3.1675626227050531</v>
      </c>
      <c r="AR62" t="s">
        <v>653</v>
      </c>
      <c r="AS62">
        <v>10203.299999999999</v>
      </c>
      <c r="AT62">
        <v>726.98769230769233</v>
      </c>
      <c r="AU62">
        <v>859.73438670282974</v>
      </c>
      <c r="AV62">
        <f t="shared" si="73"/>
        <v>0.15440430957314</v>
      </c>
      <c r="AW62">
        <v>0.5</v>
      </c>
      <c r="AX62">
        <f t="shared" si="74"/>
        <v>1513.4036993020911</v>
      </c>
      <c r="AY62">
        <f t="shared" si="75"/>
        <v>14.877396247237186</v>
      </c>
      <c r="AZ62">
        <f t="shared" si="76"/>
        <v>116.83802664808768</v>
      </c>
      <c r="BA62">
        <f t="shared" si="77"/>
        <v>1.1923427224516303E-2</v>
      </c>
      <c r="BB62">
        <f t="shared" si="78"/>
        <v>2.0986081762026974</v>
      </c>
      <c r="BC62">
        <f t="shared" si="79"/>
        <v>420.3882766748111</v>
      </c>
      <c r="BD62" t="s">
        <v>654</v>
      </c>
      <c r="BE62">
        <v>521.55999999999995</v>
      </c>
      <c r="BF62">
        <f t="shared" si="80"/>
        <v>521.55999999999995</v>
      </c>
      <c r="BG62">
        <f t="shared" si="81"/>
        <v>0.39334751748125785</v>
      </c>
      <c r="BH62">
        <f t="shared" si="82"/>
        <v>0.39253917391380783</v>
      </c>
      <c r="BI62">
        <f t="shared" si="83"/>
        <v>0.84215308543477474</v>
      </c>
      <c r="BJ62">
        <f t="shared" si="84"/>
        <v>0.57418479750203055</v>
      </c>
      <c r="BK62">
        <f t="shared" si="85"/>
        <v>0.88641674294700434</v>
      </c>
      <c r="BL62">
        <f t="shared" si="86"/>
        <v>0.28161787842184532</v>
      </c>
      <c r="BM62">
        <f t="shared" si="87"/>
        <v>0.71838212157815473</v>
      </c>
      <c r="BN62">
        <v>20255</v>
      </c>
      <c r="BO62">
        <v>290.00000000000011</v>
      </c>
      <c r="BP62">
        <v>828.24</v>
      </c>
      <c r="BQ62">
        <v>245</v>
      </c>
      <c r="BR62">
        <v>10203.299999999999</v>
      </c>
      <c r="BS62">
        <v>828.81</v>
      </c>
      <c r="BT62">
        <v>-0.56999999999999995</v>
      </c>
      <c r="BU62">
        <v>300.00000000000011</v>
      </c>
      <c r="BV62">
        <v>24.2</v>
      </c>
      <c r="BW62">
        <v>859.73438670282974</v>
      </c>
      <c r="BX62">
        <v>1.8184969271438109</v>
      </c>
      <c r="BY62">
        <v>-31.557324683927771</v>
      </c>
      <c r="BZ62">
        <v>1.6519739568626119</v>
      </c>
      <c r="CA62">
        <v>0.92873811026677133</v>
      </c>
      <c r="CB62">
        <v>-6.9499472747497227E-3</v>
      </c>
      <c r="CC62">
        <v>289.99999999999989</v>
      </c>
      <c r="CD62">
        <v>828.27</v>
      </c>
      <c r="CE62">
        <v>655</v>
      </c>
      <c r="CF62">
        <v>10178.299999999999</v>
      </c>
      <c r="CG62">
        <v>828.73</v>
      </c>
      <c r="CH62">
        <v>-0.46</v>
      </c>
      <c r="CV62">
        <f t="shared" si="88"/>
        <v>1800.26</v>
      </c>
      <c r="CW62">
        <f t="shared" si="89"/>
        <v>1513.4036993020911</v>
      </c>
      <c r="CX62">
        <f t="shared" si="90"/>
        <v>0.84065840450939922</v>
      </c>
      <c r="CY62">
        <f t="shared" si="91"/>
        <v>0.19131680901879863</v>
      </c>
      <c r="CZ62">
        <v>6</v>
      </c>
      <c r="DA62">
        <v>0.5</v>
      </c>
      <c r="DB62" t="s">
        <v>418</v>
      </c>
      <c r="DC62">
        <v>2</v>
      </c>
      <c r="DD62">
        <v>1674584980.0999999</v>
      </c>
      <c r="DE62">
        <v>101.526</v>
      </c>
      <c r="DF62">
        <v>120.017</v>
      </c>
      <c r="DG62">
        <v>24.9407</v>
      </c>
      <c r="DH62">
        <v>18.803899999999999</v>
      </c>
      <c r="DI62">
        <v>103.90300000000001</v>
      </c>
      <c r="DJ62">
        <v>24.604600000000001</v>
      </c>
      <c r="DK62">
        <v>500.024</v>
      </c>
      <c r="DL62">
        <v>99.667100000000005</v>
      </c>
      <c r="DM62">
        <v>9.9682400000000004E-2</v>
      </c>
      <c r="DN62">
        <v>28.007300000000001</v>
      </c>
      <c r="DO62">
        <v>28.240200000000002</v>
      </c>
      <c r="DP62">
        <v>999.9</v>
      </c>
      <c r="DQ62">
        <v>0</v>
      </c>
      <c r="DR62">
        <v>0</v>
      </c>
      <c r="DS62">
        <v>10010</v>
      </c>
      <c r="DT62">
        <v>0</v>
      </c>
      <c r="DU62">
        <v>503.608</v>
      </c>
      <c r="DV62">
        <v>-18.4909</v>
      </c>
      <c r="DW62">
        <v>104.123</v>
      </c>
      <c r="DX62">
        <v>122.31699999999999</v>
      </c>
      <c r="DY62">
        <v>6.1367700000000003</v>
      </c>
      <c r="DZ62">
        <v>120.017</v>
      </c>
      <c r="EA62">
        <v>18.803899999999999</v>
      </c>
      <c r="EB62">
        <v>2.48577</v>
      </c>
      <c r="EC62">
        <v>1.8741300000000001</v>
      </c>
      <c r="ED62">
        <v>20.933599999999998</v>
      </c>
      <c r="EE62">
        <v>16.4192</v>
      </c>
      <c r="EF62">
        <v>1800.26</v>
      </c>
      <c r="EG62">
        <v>0.97799400000000003</v>
      </c>
      <c r="EH62">
        <v>2.2006499999999998E-2</v>
      </c>
      <c r="EI62">
        <v>0</v>
      </c>
      <c r="EJ62">
        <v>726.86300000000006</v>
      </c>
      <c r="EK62">
        <v>5.0010599999999998</v>
      </c>
      <c r="EL62">
        <v>13604</v>
      </c>
      <c r="EM62">
        <v>16713.400000000001</v>
      </c>
      <c r="EN62">
        <v>48.375</v>
      </c>
      <c r="EO62">
        <v>49.311999999999998</v>
      </c>
      <c r="EP62">
        <v>49.375</v>
      </c>
      <c r="EQ62">
        <v>47.936999999999998</v>
      </c>
      <c r="ER62">
        <v>49.25</v>
      </c>
      <c r="ES62">
        <v>1755.75</v>
      </c>
      <c r="ET62">
        <v>39.51</v>
      </c>
      <c r="EU62">
        <v>0</v>
      </c>
      <c r="EV62">
        <v>106.80000019073491</v>
      </c>
      <c r="EW62">
        <v>0</v>
      </c>
      <c r="EX62">
        <v>726.98769230769233</v>
      </c>
      <c r="EY62">
        <v>-2.474188020059668</v>
      </c>
      <c r="EZ62">
        <v>-38.970940123822288</v>
      </c>
      <c r="FA62">
        <v>13606.56538461538</v>
      </c>
      <c r="FB62">
        <v>15</v>
      </c>
      <c r="FC62">
        <v>1674584947.0999999</v>
      </c>
      <c r="FD62" t="s">
        <v>655</v>
      </c>
      <c r="FE62">
        <v>1674584936.5999999</v>
      </c>
      <c r="FF62">
        <v>1674584947.0999999</v>
      </c>
      <c r="FG62">
        <v>53</v>
      </c>
      <c r="FH62">
        <v>0.14899999999999999</v>
      </c>
      <c r="FI62">
        <v>1E-3</v>
      </c>
      <c r="FJ62">
        <v>-2.4169999999999998</v>
      </c>
      <c r="FK62">
        <v>5.7000000000000002E-2</v>
      </c>
      <c r="FL62">
        <v>120</v>
      </c>
      <c r="FM62">
        <v>19</v>
      </c>
      <c r="FN62">
        <v>0.1</v>
      </c>
      <c r="FO62">
        <v>0.01</v>
      </c>
      <c r="FP62">
        <v>14.909273357874399</v>
      </c>
      <c r="FQ62">
        <v>-0.57467434515169302</v>
      </c>
      <c r="FR62">
        <v>8.5896804669313348E-2</v>
      </c>
      <c r="FS62">
        <v>1</v>
      </c>
      <c r="FT62">
        <v>0.40707431963193819</v>
      </c>
      <c r="FU62">
        <v>8.8729089325541451E-4</v>
      </c>
      <c r="FV62">
        <v>4.6650798461462736E-3</v>
      </c>
      <c r="FW62">
        <v>1</v>
      </c>
      <c r="FX62">
        <v>2</v>
      </c>
      <c r="FY62">
        <v>2</v>
      </c>
      <c r="FZ62" t="s">
        <v>420</v>
      </c>
      <c r="GA62">
        <v>2.9776199999999999</v>
      </c>
      <c r="GB62">
        <v>2.8060900000000002</v>
      </c>
      <c r="GC62">
        <v>2.9686199999999999E-2</v>
      </c>
      <c r="GD62">
        <v>3.3669200000000003E-2</v>
      </c>
      <c r="GE62">
        <v>0.122151</v>
      </c>
      <c r="GF62">
        <v>0.10016</v>
      </c>
      <c r="GG62">
        <v>28677.599999999999</v>
      </c>
      <c r="GH62">
        <v>26500.799999999999</v>
      </c>
      <c r="GI62">
        <v>26568.799999999999</v>
      </c>
      <c r="GJ62">
        <v>25900.2</v>
      </c>
      <c r="GK62">
        <v>31741.8</v>
      </c>
      <c r="GL62">
        <v>32894.6</v>
      </c>
      <c r="GM62">
        <v>37649.9</v>
      </c>
      <c r="GN62">
        <v>38427.300000000003</v>
      </c>
      <c r="GO62">
        <v>1.9710300000000001</v>
      </c>
      <c r="GP62">
        <v>1.9104000000000001</v>
      </c>
      <c r="GQ62">
        <v>8.41692E-2</v>
      </c>
      <c r="GR62">
        <v>0</v>
      </c>
      <c r="GS62">
        <v>26.864899999999999</v>
      </c>
      <c r="GT62">
        <v>999.9</v>
      </c>
      <c r="GU62">
        <v>41</v>
      </c>
      <c r="GV62">
        <v>35.200000000000003</v>
      </c>
      <c r="GW62">
        <v>23.4956</v>
      </c>
      <c r="GX62">
        <v>61.974299999999999</v>
      </c>
      <c r="GY62">
        <v>12.2516</v>
      </c>
      <c r="GZ62">
        <v>1</v>
      </c>
      <c r="HA62">
        <v>0.41007900000000003</v>
      </c>
      <c r="HB62">
        <v>2.2998400000000001</v>
      </c>
      <c r="HC62">
        <v>20.2392</v>
      </c>
      <c r="HD62">
        <v>5.2053099999999999</v>
      </c>
      <c r="HE62">
        <v>11.9381</v>
      </c>
      <c r="HF62">
        <v>4.9861500000000003</v>
      </c>
      <c r="HG62">
        <v>3.2897500000000002</v>
      </c>
      <c r="HH62">
        <v>9999</v>
      </c>
      <c r="HI62">
        <v>9999</v>
      </c>
      <c r="HJ62">
        <v>9999</v>
      </c>
      <c r="HK62">
        <v>999.9</v>
      </c>
      <c r="HL62">
        <v>1.8704099999999999</v>
      </c>
      <c r="HM62">
        <v>1.87659</v>
      </c>
      <c r="HN62">
        <v>1.87435</v>
      </c>
      <c r="HO62">
        <v>1.8725799999999999</v>
      </c>
      <c r="HP62">
        <v>1.8730500000000001</v>
      </c>
      <c r="HQ62">
        <v>1.8704700000000001</v>
      </c>
      <c r="HR62">
        <v>1.8763799999999999</v>
      </c>
      <c r="HS62">
        <v>1.8754599999999999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424</v>
      </c>
      <c r="IB62" t="s">
        <v>424</v>
      </c>
      <c r="IC62" t="s">
        <v>423</v>
      </c>
      <c r="ID62">
        <v>0</v>
      </c>
      <c r="IE62">
        <v>100</v>
      </c>
      <c r="IF62">
        <v>100</v>
      </c>
      <c r="IG62">
        <v>-2.3769999999999998</v>
      </c>
      <c r="IH62">
        <v>0.33610000000000001</v>
      </c>
      <c r="II62">
        <v>-2.1292262047520469</v>
      </c>
      <c r="IJ62">
        <v>-2.536945948238235E-3</v>
      </c>
      <c r="IK62">
        <v>1.581473279927893E-6</v>
      </c>
      <c r="IL62">
        <v>-4.6698293441882044E-10</v>
      </c>
      <c r="IM62">
        <v>-0.18042852686813571</v>
      </c>
      <c r="IN62">
        <v>-1.5895243091576399E-2</v>
      </c>
      <c r="IO62">
        <v>1.559614309849521E-3</v>
      </c>
      <c r="IP62">
        <v>-2.4566050869858518E-6</v>
      </c>
      <c r="IQ62">
        <v>2</v>
      </c>
      <c r="IR62">
        <v>2224</v>
      </c>
      <c r="IS62">
        <v>2</v>
      </c>
      <c r="IT62">
        <v>25</v>
      </c>
      <c r="IU62">
        <v>0.7</v>
      </c>
      <c r="IV62">
        <v>0.6</v>
      </c>
      <c r="IW62">
        <v>0.39306600000000003</v>
      </c>
      <c r="IX62">
        <v>2.5158700000000001</v>
      </c>
      <c r="IY62">
        <v>1.64917</v>
      </c>
      <c r="IZ62">
        <v>2.2900399999999999</v>
      </c>
      <c r="JA62">
        <v>1.50146</v>
      </c>
      <c r="JB62">
        <v>2.4230999999999998</v>
      </c>
      <c r="JC62">
        <v>39.043599999999998</v>
      </c>
      <c r="JD62">
        <v>23.877400000000002</v>
      </c>
      <c r="JE62">
        <v>18</v>
      </c>
      <c r="JF62">
        <v>505.31200000000001</v>
      </c>
      <c r="JG62">
        <v>459.154</v>
      </c>
      <c r="JH62">
        <v>24.8413</v>
      </c>
      <c r="JI62">
        <v>32.423499999999997</v>
      </c>
      <c r="JJ62">
        <v>29.9998</v>
      </c>
      <c r="JK62">
        <v>32.4833</v>
      </c>
      <c r="JL62">
        <v>32.470500000000001</v>
      </c>
      <c r="JM62">
        <v>7.9218200000000003</v>
      </c>
      <c r="JN62">
        <v>32.226199999999999</v>
      </c>
      <c r="JO62">
        <v>44.751199999999997</v>
      </c>
      <c r="JP62">
        <v>24.840599999999998</v>
      </c>
      <c r="JQ62">
        <v>120</v>
      </c>
      <c r="JR62">
        <v>18.703800000000001</v>
      </c>
      <c r="JS62">
        <v>99.91</v>
      </c>
      <c r="JT62">
        <v>99.141099999999994</v>
      </c>
    </row>
    <row r="63" spans="1:280" x14ac:dyDescent="0.25">
      <c r="A63">
        <v>47</v>
      </c>
      <c r="B63">
        <v>1674585084.5999999</v>
      </c>
      <c r="C63">
        <v>10950</v>
      </c>
      <c r="D63" t="s">
        <v>656</v>
      </c>
      <c r="E63" t="s">
        <v>657</v>
      </c>
      <c r="F63" t="s">
        <v>412</v>
      </c>
      <c r="G63" t="s">
        <v>31</v>
      </c>
      <c r="H63" t="s">
        <v>637</v>
      </c>
      <c r="I63">
        <v>1674585084.5999999</v>
      </c>
      <c r="J63">
        <f t="shared" si="46"/>
        <v>5.4022804181210948E-3</v>
      </c>
      <c r="K63">
        <f t="shared" si="47"/>
        <v>5.4022804181210944</v>
      </c>
      <c r="L63">
        <f t="shared" si="48"/>
        <v>9.0516862547816554</v>
      </c>
      <c r="M63">
        <f t="shared" si="49"/>
        <v>58.7956</v>
      </c>
      <c r="N63">
        <f t="shared" si="50"/>
        <v>20.592591174305902</v>
      </c>
      <c r="O63">
        <f t="shared" si="51"/>
        <v>2.0544298232594977</v>
      </c>
      <c r="P63">
        <f t="shared" si="52"/>
        <v>5.86577148519084</v>
      </c>
      <c r="Q63">
        <f t="shared" si="53"/>
        <v>0.41410886054459156</v>
      </c>
      <c r="R63">
        <f t="shared" si="54"/>
        <v>2.9219274624140343</v>
      </c>
      <c r="S63">
        <f t="shared" si="55"/>
        <v>0.38404956840415133</v>
      </c>
      <c r="T63">
        <f t="shared" si="56"/>
        <v>0.24254960996305253</v>
      </c>
      <c r="U63">
        <f t="shared" si="57"/>
        <v>344.36689860503304</v>
      </c>
      <c r="V63">
        <f t="shared" si="58"/>
        <v>28.634529912969992</v>
      </c>
      <c r="W63">
        <f t="shared" si="59"/>
        <v>28.231200000000001</v>
      </c>
      <c r="X63">
        <f t="shared" si="60"/>
        <v>3.8462888764351639</v>
      </c>
      <c r="Y63">
        <f t="shared" si="61"/>
        <v>65.519789078552108</v>
      </c>
      <c r="Z63">
        <f t="shared" si="62"/>
        <v>2.4874727631754801</v>
      </c>
      <c r="AA63">
        <f t="shared" si="63"/>
        <v>3.7965213230360568</v>
      </c>
      <c r="AB63">
        <f t="shared" si="64"/>
        <v>1.3588161132596839</v>
      </c>
      <c r="AC63">
        <f t="shared" si="65"/>
        <v>-238.24056643914028</v>
      </c>
      <c r="AD63">
        <f t="shared" si="66"/>
        <v>-35.223026769879766</v>
      </c>
      <c r="AE63">
        <f t="shared" si="67"/>
        <v>-2.6307811379807058</v>
      </c>
      <c r="AF63">
        <f t="shared" si="68"/>
        <v>68.272524258032291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52473.660541594545</v>
      </c>
      <c r="AL63" t="s">
        <v>415</v>
      </c>
      <c r="AM63">
        <v>10424.1</v>
      </c>
      <c r="AN63">
        <v>628.54280000000006</v>
      </c>
      <c r="AO63">
        <v>2663.98</v>
      </c>
      <c r="AP63">
        <f t="shared" si="72"/>
        <v>0.76405873917972356</v>
      </c>
      <c r="AQ63">
        <v>-3.1675626227050531</v>
      </c>
      <c r="AR63" t="s">
        <v>658</v>
      </c>
      <c r="AS63">
        <v>10208.5</v>
      </c>
      <c r="AT63">
        <v>740.08632</v>
      </c>
      <c r="AU63">
        <v>834.62361014346561</v>
      </c>
      <c r="AV63">
        <f t="shared" si="73"/>
        <v>0.11326936956314393</v>
      </c>
      <c r="AW63">
        <v>0.5</v>
      </c>
      <c r="AX63">
        <f t="shared" si="74"/>
        <v>1513.1759993025164</v>
      </c>
      <c r="AY63">
        <f t="shared" si="75"/>
        <v>9.0516862547816554</v>
      </c>
      <c r="AZ63">
        <f t="shared" si="76"/>
        <v>85.69824573953818</v>
      </c>
      <c r="BA63">
        <f t="shared" si="77"/>
        <v>8.075233074750757E-3</v>
      </c>
      <c r="BB63">
        <f t="shared" si="78"/>
        <v>2.1918339807594007</v>
      </c>
      <c r="BC63">
        <f t="shared" si="79"/>
        <v>414.29341564541977</v>
      </c>
      <c r="BD63" t="s">
        <v>659</v>
      </c>
      <c r="BE63">
        <v>530.02</v>
      </c>
      <c r="BF63">
        <f t="shared" si="80"/>
        <v>530.02</v>
      </c>
      <c r="BG63">
        <f t="shared" si="81"/>
        <v>0.36495925401763618</v>
      </c>
      <c r="BH63">
        <f t="shared" si="82"/>
        <v>0.31036168645190837</v>
      </c>
      <c r="BI63">
        <f t="shared" si="83"/>
        <v>0.85725898791754973</v>
      </c>
      <c r="BJ63">
        <f t="shared" si="84"/>
        <v>0.4587389290524061</v>
      </c>
      <c r="BK63">
        <f t="shared" si="85"/>
        <v>0.89875354044651168</v>
      </c>
      <c r="BL63">
        <f t="shared" si="86"/>
        <v>0.22226853355868065</v>
      </c>
      <c r="BM63">
        <f t="shared" si="87"/>
        <v>0.7777314664413193</v>
      </c>
      <c r="BN63">
        <v>20257</v>
      </c>
      <c r="BO63">
        <v>290.00000000000011</v>
      </c>
      <c r="BP63">
        <v>810.22</v>
      </c>
      <c r="BQ63">
        <v>215</v>
      </c>
      <c r="BR63">
        <v>10208.5</v>
      </c>
      <c r="BS63">
        <v>809.13</v>
      </c>
      <c r="BT63">
        <v>1.0900000000000001</v>
      </c>
      <c r="BU63">
        <v>300.00000000000011</v>
      </c>
      <c r="BV63">
        <v>24.2</v>
      </c>
      <c r="BW63">
        <v>834.62361014346561</v>
      </c>
      <c r="BX63">
        <v>2.1064213738276618</v>
      </c>
      <c r="BY63">
        <v>-26.023692140102821</v>
      </c>
      <c r="BZ63">
        <v>1.9135665493162379</v>
      </c>
      <c r="CA63">
        <v>0.86851277543986405</v>
      </c>
      <c r="CB63">
        <v>-6.9500273637374942E-3</v>
      </c>
      <c r="CC63">
        <v>289.99999999999989</v>
      </c>
      <c r="CD63">
        <v>806.79</v>
      </c>
      <c r="CE63">
        <v>755</v>
      </c>
      <c r="CF63">
        <v>10171.299999999999</v>
      </c>
      <c r="CG63">
        <v>809.04</v>
      </c>
      <c r="CH63">
        <v>-2.25</v>
      </c>
      <c r="CV63">
        <f t="shared" si="88"/>
        <v>1799.99</v>
      </c>
      <c r="CW63">
        <f t="shared" si="89"/>
        <v>1513.1759993025164</v>
      </c>
      <c r="CX63">
        <f t="shared" si="90"/>
        <v>0.84065800326808282</v>
      </c>
      <c r="CY63">
        <f t="shared" si="91"/>
        <v>0.19131600653616579</v>
      </c>
      <c r="CZ63">
        <v>6</v>
      </c>
      <c r="DA63">
        <v>0.5</v>
      </c>
      <c r="DB63" t="s">
        <v>418</v>
      </c>
      <c r="DC63">
        <v>2</v>
      </c>
      <c r="DD63">
        <v>1674585084.5999999</v>
      </c>
      <c r="DE63">
        <v>58.7956</v>
      </c>
      <c r="DF63">
        <v>70.038600000000002</v>
      </c>
      <c r="DG63">
        <v>24.933199999999999</v>
      </c>
      <c r="DH63">
        <v>18.612200000000001</v>
      </c>
      <c r="DI63">
        <v>61.100900000000003</v>
      </c>
      <c r="DJ63">
        <v>24.5977</v>
      </c>
      <c r="DK63">
        <v>500.00799999999998</v>
      </c>
      <c r="DL63">
        <v>99.665800000000004</v>
      </c>
      <c r="DM63">
        <v>9.9683900000000006E-2</v>
      </c>
      <c r="DN63">
        <v>28.0076</v>
      </c>
      <c r="DO63">
        <v>28.231200000000001</v>
      </c>
      <c r="DP63">
        <v>999.9</v>
      </c>
      <c r="DQ63">
        <v>0</v>
      </c>
      <c r="DR63">
        <v>0</v>
      </c>
      <c r="DS63">
        <v>9990</v>
      </c>
      <c r="DT63">
        <v>0</v>
      </c>
      <c r="DU63">
        <v>506.08300000000003</v>
      </c>
      <c r="DV63">
        <v>-11.243</v>
      </c>
      <c r="DW63">
        <v>60.298999999999999</v>
      </c>
      <c r="DX63">
        <v>71.366900000000001</v>
      </c>
      <c r="DY63">
        <v>6.3210300000000004</v>
      </c>
      <c r="DZ63">
        <v>70.038600000000002</v>
      </c>
      <c r="EA63">
        <v>18.612200000000001</v>
      </c>
      <c r="EB63">
        <v>2.4849899999999998</v>
      </c>
      <c r="EC63">
        <v>1.855</v>
      </c>
      <c r="ED63">
        <v>20.9285</v>
      </c>
      <c r="EE63">
        <v>16.258099999999999</v>
      </c>
      <c r="EF63">
        <v>1799.99</v>
      </c>
      <c r="EG63">
        <v>0.97800799999999999</v>
      </c>
      <c r="EH63">
        <v>2.1992299999999999E-2</v>
      </c>
      <c r="EI63">
        <v>0</v>
      </c>
      <c r="EJ63">
        <v>739.97799999999995</v>
      </c>
      <c r="EK63">
        <v>5.0010599999999998</v>
      </c>
      <c r="EL63">
        <v>13840.4</v>
      </c>
      <c r="EM63">
        <v>16711</v>
      </c>
      <c r="EN63">
        <v>48.311999999999998</v>
      </c>
      <c r="EO63">
        <v>49.25</v>
      </c>
      <c r="EP63">
        <v>49.311999999999998</v>
      </c>
      <c r="EQ63">
        <v>47.875</v>
      </c>
      <c r="ER63">
        <v>49.25</v>
      </c>
      <c r="ES63">
        <v>1755.51</v>
      </c>
      <c r="ET63">
        <v>39.479999999999997</v>
      </c>
      <c r="EU63">
        <v>0</v>
      </c>
      <c r="EV63">
        <v>102.6000001430511</v>
      </c>
      <c r="EW63">
        <v>0</v>
      </c>
      <c r="EX63">
        <v>740.08632</v>
      </c>
      <c r="EY63">
        <v>-2.615846151296644</v>
      </c>
      <c r="EZ63">
        <v>-27.623076967691759</v>
      </c>
      <c r="FA63">
        <v>13839.392</v>
      </c>
      <c r="FB63">
        <v>15</v>
      </c>
      <c r="FC63">
        <v>1674585052.5999999</v>
      </c>
      <c r="FD63" t="s">
        <v>660</v>
      </c>
      <c r="FE63">
        <v>1674585041.5999999</v>
      </c>
      <c r="FF63">
        <v>1674585052.5999999</v>
      </c>
      <c r="FG63">
        <v>54</v>
      </c>
      <c r="FH63">
        <v>-2.7E-2</v>
      </c>
      <c r="FI63">
        <v>0</v>
      </c>
      <c r="FJ63">
        <v>-2.331</v>
      </c>
      <c r="FK63">
        <v>4.9000000000000002E-2</v>
      </c>
      <c r="FL63">
        <v>70</v>
      </c>
      <c r="FM63">
        <v>19</v>
      </c>
      <c r="FN63">
        <v>0.13</v>
      </c>
      <c r="FO63">
        <v>0.01</v>
      </c>
      <c r="FP63">
        <v>9.0458827584070178</v>
      </c>
      <c r="FQ63">
        <v>-0.58459866740048705</v>
      </c>
      <c r="FR63">
        <v>7.3240916612601334E-2</v>
      </c>
      <c r="FS63">
        <v>1</v>
      </c>
      <c r="FT63">
        <v>0.41651868283468307</v>
      </c>
      <c r="FU63">
        <v>-2.94016435952884E-2</v>
      </c>
      <c r="FV63">
        <v>5.9512334281989444E-3</v>
      </c>
      <c r="FW63">
        <v>1</v>
      </c>
      <c r="FX63">
        <v>2</v>
      </c>
      <c r="FY63">
        <v>2</v>
      </c>
      <c r="FZ63" t="s">
        <v>420</v>
      </c>
      <c r="GA63">
        <v>2.9776199999999999</v>
      </c>
      <c r="GB63">
        <v>2.80592</v>
      </c>
      <c r="GC63">
        <v>1.7654400000000001E-2</v>
      </c>
      <c r="GD63">
        <v>1.9942999999999999E-2</v>
      </c>
      <c r="GE63">
        <v>0.122139</v>
      </c>
      <c r="GF63">
        <v>9.9452399999999996E-2</v>
      </c>
      <c r="GG63">
        <v>29034.400000000001</v>
      </c>
      <c r="GH63">
        <v>26881.1</v>
      </c>
      <c r="GI63">
        <v>26569.9</v>
      </c>
      <c r="GJ63">
        <v>25904</v>
      </c>
      <c r="GK63">
        <v>31742.7</v>
      </c>
      <c r="GL63">
        <v>32924.5</v>
      </c>
      <c r="GM63">
        <v>37650.800000000003</v>
      </c>
      <c r="GN63">
        <v>38432.1</v>
      </c>
      <c r="GO63">
        <v>1.9722200000000001</v>
      </c>
      <c r="GP63">
        <v>1.91072</v>
      </c>
      <c r="GQ63">
        <v>8.4869600000000003E-2</v>
      </c>
      <c r="GR63">
        <v>0</v>
      </c>
      <c r="GS63">
        <v>26.8445</v>
      </c>
      <c r="GT63">
        <v>999.9</v>
      </c>
      <c r="GU63">
        <v>40.9</v>
      </c>
      <c r="GV63">
        <v>35.200000000000003</v>
      </c>
      <c r="GW63">
        <v>23.435300000000002</v>
      </c>
      <c r="GX63">
        <v>62.0443</v>
      </c>
      <c r="GY63">
        <v>12.363799999999999</v>
      </c>
      <c r="GZ63">
        <v>1</v>
      </c>
      <c r="HA63">
        <v>0.40513700000000002</v>
      </c>
      <c r="HB63">
        <v>2.1619999999999999</v>
      </c>
      <c r="HC63">
        <v>20.241099999999999</v>
      </c>
      <c r="HD63">
        <v>5.2060599999999999</v>
      </c>
      <c r="HE63">
        <v>11.937799999999999</v>
      </c>
      <c r="HF63">
        <v>4.9866999999999999</v>
      </c>
      <c r="HG63">
        <v>3.2897500000000002</v>
      </c>
      <c r="HH63">
        <v>9999</v>
      </c>
      <c r="HI63">
        <v>9999</v>
      </c>
      <c r="HJ63">
        <v>9999</v>
      </c>
      <c r="HK63">
        <v>999.9</v>
      </c>
      <c r="HL63">
        <v>1.8704099999999999</v>
      </c>
      <c r="HM63">
        <v>1.8766400000000001</v>
      </c>
      <c r="HN63">
        <v>1.8743799999999999</v>
      </c>
      <c r="HO63">
        <v>1.8726</v>
      </c>
      <c r="HP63">
        <v>1.87314</v>
      </c>
      <c r="HQ63">
        <v>1.8704499999999999</v>
      </c>
      <c r="HR63">
        <v>1.87639</v>
      </c>
      <c r="HS63">
        <v>1.8754999999999999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424</v>
      </c>
      <c r="IB63" t="s">
        <v>424</v>
      </c>
      <c r="IC63" t="s">
        <v>423</v>
      </c>
      <c r="ID63">
        <v>0</v>
      </c>
      <c r="IE63">
        <v>100</v>
      </c>
      <c r="IF63">
        <v>100</v>
      </c>
      <c r="IG63">
        <v>-2.3050000000000002</v>
      </c>
      <c r="IH63">
        <v>0.33550000000000002</v>
      </c>
      <c r="II63">
        <v>-2.1561213670598738</v>
      </c>
      <c r="IJ63">
        <v>-2.536945948238235E-3</v>
      </c>
      <c r="IK63">
        <v>1.581473279927893E-6</v>
      </c>
      <c r="IL63">
        <v>-4.6698293441882044E-10</v>
      </c>
      <c r="IM63">
        <v>-0.18060497702039419</v>
      </c>
      <c r="IN63">
        <v>-1.5895243091576399E-2</v>
      </c>
      <c r="IO63">
        <v>1.559614309849521E-3</v>
      </c>
      <c r="IP63">
        <v>-2.4566050869858518E-6</v>
      </c>
      <c r="IQ63">
        <v>2</v>
      </c>
      <c r="IR63">
        <v>2224</v>
      </c>
      <c r="IS63">
        <v>2</v>
      </c>
      <c r="IT63">
        <v>25</v>
      </c>
      <c r="IU63">
        <v>0.7</v>
      </c>
      <c r="IV63">
        <v>0.5</v>
      </c>
      <c r="IW63">
        <v>0.29174800000000001</v>
      </c>
      <c r="IX63">
        <v>2.5280800000000001</v>
      </c>
      <c r="IY63">
        <v>1.65039</v>
      </c>
      <c r="IZ63">
        <v>2.2900399999999999</v>
      </c>
      <c r="JA63">
        <v>1.50024</v>
      </c>
      <c r="JB63">
        <v>2.4047900000000002</v>
      </c>
      <c r="JC63">
        <v>39.043599999999998</v>
      </c>
      <c r="JD63">
        <v>23.877400000000002</v>
      </c>
      <c r="JE63">
        <v>18</v>
      </c>
      <c r="JF63">
        <v>505.69600000000003</v>
      </c>
      <c r="JG63">
        <v>458.99</v>
      </c>
      <c r="JH63">
        <v>24.877800000000001</v>
      </c>
      <c r="JI63">
        <v>32.370899999999999</v>
      </c>
      <c r="JJ63">
        <v>29.999600000000001</v>
      </c>
      <c r="JK63">
        <v>32.433799999999998</v>
      </c>
      <c r="JL63">
        <v>32.421599999999998</v>
      </c>
      <c r="JM63">
        <v>5.8976300000000004</v>
      </c>
      <c r="JN63">
        <v>32.674900000000001</v>
      </c>
      <c r="JO63">
        <v>44.1599</v>
      </c>
      <c r="JP63">
        <v>24.884</v>
      </c>
      <c r="JQ63">
        <v>70</v>
      </c>
      <c r="JR63">
        <v>18.542000000000002</v>
      </c>
      <c r="JS63">
        <v>99.913200000000003</v>
      </c>
      <c r="JT63">
        <v>99.154300000000006</v>
      </c>
    </row>
    <row r="64" spans="1:280" x14ac:dyDescent="0.25">
      <c r="A64">
        <v>48</v>
      </c>
      <c r="B64">
        <v>1674585186.5999999</v>
      </c>
      <c r="C64">
        <v>11052</v>
      </c>
      <c r="D64" t="s">
        <v>661</v>
      </c>
      <c r="E64" t="s">
        <v>662</v>
      </c>
      <c r="F64" t="s">
        <v>412</v>
      </c>
      <c r="G64" t="s">
        <v>31</v>
      </c>
      <c r="H64" t="s">
        <v>637</v>
      </c>
      <c r="I64">
        <v>1674585186.5999999</v>
      </c>
      <c r="J64">
        <f t="shared" si="46"/>
        <v>5.5651973482003774E-3</v>
      </c>
      <c r="K64">
        <f t="shared" si="47"/>
        <v>5.5651973482003774</v>
      </c>
      <c r="L64">
        <f t="shared" si="48"/>
        <v>4.1144225831352674</v>
      </c>
      <c r="M64">
        <f t="shared" si="49"/>
        <v>24.909600000000001</v>
      </c>
      <c r="N64">
        <f t="shared" si="50"/>
        <v>8.1473398486693913</v>
      </c>
      <c r="O64">
        <f t="shared" si="51"/>
        <v>0.81279723427167483</v>
      </c>
      <c r="P64">
        <f t="shared" si="52"/>
        <v>2.4850385969992805</v>
      </c>
      <c r="Q64">
        <f t="shared" si="53"/>
        <v>0.429425894724563</v>
      </c>
      <c r="R64">
        <f t="shared" si="54"/>
        <v>2.9227443107183477</v>
      </c>
      <c r="S64">
        <f t="shared" si="55"/>
        <v>0.39720282443992622</v>
      </c>
      <c r="T64">
        <f t="shared" si="56"/>
        <v>0.2509450839058881</v>
      </c>
      <c r="U64">
        <f t="shared" si="57"/>
        <v>344.38019860508729</v>
      </c>
      <c r="V64">
        <f t="shared" si="58"/>
        <v>28.580618585554777</v>
      </c>
      <c r="W64">
        <f t="shared" si="59"/>
        <v>28.1938</v>
      </c>
      <c r="X64">
        <f t="shared" si="60"/>
        <v>3.8379251868748372</v>
      </c>
      <c r="Y64">
        <f t="shared" si="61"/>
        <v>65.483673903241709</v>
      </c>
      <c r="Z64">
        <f t="shared" si="62"/>
        <v>2.4844499995219103</v>
      </c>
      <c r="AA64">
        <f t="shared" si="63"/>
        <v>3.7939991015056953</v>
      </c>
      <c r="AB64">
        <f t="shared" si="64"/>
        <v>1.3534751873529269</v>
      </c>
      <c r="AC64">
        <f t="shared" si="65"/>
        <v>-245.42520305563664</v>
      </c>
      <c r="AD64">
        <f t="shared" si="66"/>
        <v>-31.136027876818492</v>
      </c>
      <c r="AE64">
        <f t="shared" si="67"/>
        <v>-2.3243111691229892</v>
      </c>
      <c r="AF64">
        <f t="shared" si="68"/>
        <v>65.494656503509148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52499.052019080576</v>
      </c>
      <c r="AL64" t="s">
        <v>415</v>
      </c>
      <c r="AM64">
        <v>10424.1</v>
      </c>
      <c r="AN64">
        <v>628.54280000000006</v>
      </c>
      <c r="AO64">
        <v>2663.98</v>
      </c>
      <c r="AP64">
        <f t="shared" si="72"/>
        <v>0.76405873917972356</v>
      </c>
      <c r="AQ64">
        <v>-3.1675626227050531</v>
      </c>
      <c r="AR64" t="s">
        <v>663</v>
      </c>
      <c r="AS64">
        <v>10229.299999999999</v>
      </c>
      <c r="AT64">
        <v>751.78769230769228</v>
      </c>
      <c r="AU64">
        <v>823.17640017535894</v>
      </c>
      <c r="AV64">
        <f t="shared" si="73"/>
        <v>8.6723462738313328E-2</v>
      </c>
      <c r="AW64">
        <v>0.5</v>
      </c>
      <c r="AX64">
        <f t="shared" si="74"/>
        <v>1513.2347993025435</v>
      </c>
      <c r="AY64">
        <f t="shared" si="75"/>
        <v>4.1144225831352674</v>
      </c>
      <c r="AZ64">
        <f t="shared" si="76"/>
        <v>65.616480865816584</v>
      </c>
      <c r="BA64">
        <f t="shared" si="77"/>
        <v>4.8121978223053148E-3</v>
      </c>
      <c r="BB64">
        <f t="shared" si="78"/>
        <v>2.2362200853091752</v>
      </c>
      <c r="BC64">
        <f t="shared" si="79"/>
        <v>411.45324395923751</v>
      </c>
      <c r="BD64" t="s">
        <v>664</v>
      </c>
      <c r="BE64">
        <v>537.02</v>
      </c>
      <c r="BF64">
        <f t="shared" si="80"/>
        <v>537.02</v>
      </c>
      <c r="BG64">
        <f t="shared" si="81"/>
        <v>0.34762464049552422</v>
      </c>
      <c r="BH64">
        <f t="shared" si="82"/>
        <v>0.24947444063427929</v>
      </c>
      <c r="BI64">
        <f t="shared" si="83"/>
        <v>0.86546225590732362</v>
      </c>
      <c r="BJ64">
        <f t="shared" si="84"/>
        <v>0.36678511728369423</v>
      </c>
      <c r="BK64">
        <f t="shared" si="85"/>
        <v>0.9043774967975633</v>
      </c>
      <c r="BL64">
        <f t="shared" si="86"/>
        <v>0.17820558314565782</v>
      </c>
      <c r="BM64">
        <f t="shared" si="87"/>
        <v>0.82179441685434218</v>
      </c>
      <c r="BN64">
        <v>20259</v>
      </c>
      <c r="BO64">
        <v>290.00000000000011</v>
      </c>
      <c r="BP64">
        <v>801.4</v>
      </c>
      <c r="BQ64">
        <v>115</v>
      </c>
      <c r="BR64">
        <v>10229.299999999999</v>
      </c>
      <c r="BS64">
        <v>799.78</v>
      </c>
      <c r="BT64">
        <v>1.62</v>
      </c>
      <c r="BU64">
        <v>300.00000000000011</v>
      </c>
      <c r="BV64">
        <v>24.2</v>
      </c>
      <c r="BW64">
        <v>823.17640017535894</v>
      </c>
      <c r="BX64">
        <v>1.665015159072101</v>
      </c>
      <c r="BY64">
        <v>-23.935981182952641</v>
      </c>
      <c r="BZ64">
        <v>1.512607280927315</v>
      </c>
      <c r="CA64">
        <v>0.89942857243598262</v>
      </c>
      <c r="CB64">
        <v>-6.9501635150166913E-3</v>
      </c>
      <c r="CC64">
        <v>289.99999999999989</v>
      </c>
      <c r="CD64">
        <v>797.18</v>
      </c>
      <c r="CE64">
        <v>635</v>
      </c>
      <c r="CF64">
        <v>10180.299999999999</v>
      </c>
      <c r="CG64">
        <v>799.66</v>
      </c>
      <c r="CH64">
        <v>-2.48</v>
      </c>
      <c r="CV64">
        <f t="shared" si="88"/>
        <v>1800.06</v>
      </c>
      <c r="CW64">
        <f t="shared" si="89"/>
        <v>1513.2347993025435</v>
      </c>
      <c r="CX64">
        <f t="shared" si="90"/>
        <v>0.84065797767993489</v>
      </c>
      <c r="CY64">
        <f t="shared" si="91"/>
        <v>0.19131595535986984</v>
      </c>
      <c r="CZ64">
        <v>6</v>
      </c>
      <c r="DA64">
        <v>0.5</v>
      </c>
      <c r="DB64" t="s">
        <v>418</v>
      </c>
      <c r="DC64">
        <v>2</v>
      </c>
      <c r="DD64">
        <v>1674585186.5999999</v>
      </c>
      <c r="DE64">
        <v>24.909600000000001</v>
      </c>
      <c r="DF64">
        <v>30.0123</v>
      </c>
      <c r="DG64">
        <v>24.903700000000001</v>
      </c>
      <c r="DH64">
        <v>18.393000000000001</v>
      </c>
      <c r="DI64">
        <v>27.313600000000001</v>
      </c>
      <c r="DJ64">
        <v>24.567499999999999</v>
      </c>
      <c r="DK64">
        <v>500.09399999999999</v>
      </c>
      <c r="DL64">
        <v>99.662400000000005</v>
      </c>
      <c r="DM64">
        <v>9.9884299999999995E-2</v>
      </c>
      <c r="DN64">
        <v>27.996200000000002</v>
      </c>
      <c r="DO64">
        <v>28.1938</v>
      </c>
      <c r="DP64">
        <v>999.9</v>
      </c>
      <c r="DQ64">
        <v>0</v>
      </c>
      <c r="DR64">
        <v>0</v>
      </c>
      <c r="DS64">
        <v>9995</v>
      </c>
      <c r="DT64">
        <v>0</v>
      </c>
      <c r="DU64">
        <v>483.80200000000002</v>
      </c>
      <c r="DV64">
        <v>-5.1027699999999996</v>
      </c>
      <c r="DW64">
        <v>25.5458</v>
      </c>
      <c r="DX64">
        <v>30.5747</v>
      </c>
      <c r="DY64">
        <v>6.5107299999999997</v>
      </c>
      <c r="DZ64">
        <v>30.0123</v>
      </c>
      <c r="EA64">
        <v>18.393000000000001</v>
      </c>
      <c r="EB64">
        <v>2.4819599999999999</v>
      </c>
      <c r="EC64">
        <v>1.8330900000000001</v>
      </c>
      <c r="ED64">
        <v>20.9087</v>
      </c>
      <c r="EE64">
        <v>16.0718</v>
      </c>
      <c r="EF64">
        <v>1800.06</v>
      </c>
      <c r="EG64">
        <v>0.97800799999999999</v>
      </c>
      <c r="EH64">
        <v>2.1992299999999999E-2</v>
      </c>
      <c r="EI64">
        <v>0</v>
      </c>
      <c r="EJ64">
        <v>751.726</v>
      </c>
      <c r="EK64">
        <v>5.0010599999999998</v>
      </c>
      <c r="EL64">
        <v>14019.4</v>
      </c>
      <c r="EM64">
        <v>16711.599999999999</v>
      </c>
      <c r="EN64">
        <v>48.311999999999998</v>
      </c>
      <c r="EO64">
        <v>49.25</v>
      </c>
      <c r="EP64">
        <v>49.311999999999998</v>
      </c>
      <c r="EQ64">
        <v>47.875</v>
      </c>
      <c r="ER64">
        <v>49.186999999999998</v>
      </c>
      <c r="ES64">
        <v>1755.58</v>
      </c>
      <c r="ET64">
        <v>39.479999999999997</v>
      </c>
      <c r="EU64">
        <v>0</v>
      </c>
      <c r="EV64">
        <v>99.800000190734863</v>
      </c>
      <c r="EW64">
        <v>0</v>
      </c>
      <c r="EX64">
        <v>751.78769230769228</v>
      </c>
      <c r="EY64">
        <v>-0.75425642782627522</v>
      </c>
      <c r="EZ64">
        <v>-6.6700854824881688</v>
      </c>
      <c r="FA64">
        <v>14021.042307692311</v>
      </c>
      <c r="FB64">
        <v>15</v>
      </c>
      <c r="FC64">
        <v>1674585155.0999999</v>
      </c>
      <c r="FD64" t="s">
        <v>665</v>
      </c>
      <c r="FE64">
        <v>1674585145.0999999</v>
      </c>
      <c r="FF64">
        <v>1674585155.0999999</v>
      </c>
      <c r="FG64">
        <v>55</v>
      </c>
      <c r="FH64">
        <v>-0.18</v>
      </c>
      <c r="FI64">
        <v>2E-3</v>
      </c>
      <c r="FJ64">
        <v>-2.4159999999999999</v>
      </c>
      <c r="FK64">
        <v>4.3999999999999997E-2</v>
      </c>
      <c r="FL64">
        <v>30</v>
      </c>
      <c r="FM64">
        <v>18</v>
      </c>
      <c r="FN64">
        <v>0.42</v>
      </c>
      <c r="FO64">
        <v>0.02</v>
      </c>
      <c r="FP64">
        <v>4.1526618707857734</v>
      </c>
      <c r="FQ64">
        <v>-0.4497388269552588</v>
      </c>
      <c r="FR64">
        <v>5.7320699941161748E-2</v>
      </c>
      <c r="FS64">
        <v>1</v>
      </c>
      <c r="FT64">
        <v>0.43057087571462821</v>
      </c>
      <c r="FU64">
        <v>2.1813806933906301E-2</v>
      </c>
      <c r="FV64">
        <v>5.0010998580067899E-3</v>
      </c>
      <c r="FW64">
        <v>1</v>
      </c>
      <c r="FX64">
        <v>2</v>
      </c>
      <c r="FY64">
        <v>2</v>
      </c>
      <c r="FZ64" t="s">
        <v>420</v>
      </c>
      <c r="GA64">
        <v>2.9778899999999999</v>
      </c>
      <c r="GB64">
        <v>2.8061699999999998</v>
      </c>
      <c r="GC64">
        <v>7.9160900000000006E-3</v>
      </c>
      <c r="GD64">
        <v>8.5811199999999994E-3</v>
      </c>
      <c r="GE64">
        <v>0.122043</v>
      </c>
      <c r="GF64">
        <v>9.8635700000000007E-2</v>
      </c>
      <c r="GG64">
        <v>29325.5</v>
      </c>
      <c r="GH64">
        <v>27195</v>
      </c>
      <c r="GI64">
        <v>26573</v>
      </c>
      <c r="GJ64">
        <v>25906.1</v>
      </c>
      <c r="GK64">
        <v>31749.9</v>
      </c>
      <c r="GL64">
        <v>32957</v>
      </c>
      <c r="GM64">
        <v>37655.599999999999</v>
      </c>
      <c r="GN64">
        <v>38435.199999999997</v>
      </c>
      <c r="GO64">
        <v>1.9728300000000001</v>
      </c>
      <c r="GP64">
        <v>1.9104000000000001</v>
      </c>
      <c r="GQ64">
        <v>8.1881899999999994E-2</v>
      </c>
      <c r="GR64">
        <v>0</v>
      </c>
      <c r="GS64">
        <v>26.855799999999999</v>
      </c>
      <c r="GT64">
        <v>999.9</v>
      </c>
      <c r="GU64">
        <v>40.700000000000003</v>
      </c>
      <c r="GV64">
        <v>35.200000000000003</v>
      </c>
      <c r="GW64">
        <v>23.325099999999999</v>
      </c>
      <c r="GX64">
        <v>61.9544</v>
      </c>
      <c r="GY64">
        <v>12.223599999999999</v>
      </c>
      <c r="GZ64">
        <v>1</v>
      </c>
      <c r="HA64">
        <v>0.40123700000000001</v>
      </c>
      <c r="HB64">
        <v>2.1596299999999999</v>
      </c>
      <c r="HC64">
        <v>20.241399999999999</v>
      </c>
      <c r="HD64">
        <v>5.2087500000000002</v>
      </c>
      <c r="HE64">
        <v>11.9381</v>
      </c>
      <c r="HF64">
        <v>4.9871999999999996</v>
      </c>
      <c r="HG64">
        <v>3.2906300000000002</v>
      </c>
      <c r="HH64">
        <v>9999</v>
      </c>
      <c r="HI64">
        <v>9999</v>
      </c>
      <c r="HJ64">
        <v>9999</v>
      </c>
      <c r="HK64">
        <v>999.9</v>
      </c>
      <c r="HL64">
        <v>1.87042</v>
      </c>
      <c r="HM64">
        <v>1.87666</v>
      </c>
      <c r="HN64">
        <v>1.8743799999999999</v>
      </c>
      <c r="HO64">
        <v>1.87259</v>
      </c>
      <c r="HP64">
        <v>1.8730599999999999</v>
      </c>
      <c r="HQ64">
        <v>1.8704700000000001</v>
      </c>
      <c r="HR64">
        <v>1.8764099999999999</v>
      </c>
      <c r="HS64">
        <v>1.87547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424</v>
      </c>
      <c r="IB64" t="s">
        <v>424</v>
      </c>
      <c r="IC64" t="s">
        <v>423</v>
      </c>
      <c r="ID64">
        <v>0</v>
      </c>
      <c r="IE64">
        <v>100</v>
      </c>
      <c r="IF64">
        <v>100</v>
      </c>
      <c r="IG64">
        <v>-2.4039999999999999</v>
      </c>
      <c r="IH64">
        <v>0.3362</v>
      </c>
      <c r="II64">
        <v>-2.3358608515523631</v>
      </c>
      <c r="IJ64">
        <v>-2.536945948238235E-3</v>
      </c>
      <c r="IK64">
        <v>1.581473279927893E-6</v>
      </c>
      <c r="IL64">
        <v>-4.6698293441882044E-10</v>
      </c>
      <c r="IM64">
        <v>-0.17818279695266651</v>
      </c>
      <c r="IN64">
        <v>-1.5895243091576399E-2</v>
      </c>
      <c r="IO64">
        <v>1.559614309849521E-3</v>
      </c>
      <c r="IP64">
        <v>-2.4566050869858518E-6</v>
      </c>
      <c r="IQ64">
        <v>2</v>
      </c>
      <c r="IR64">
        <v>2224</v>
      </c>
      <c r="IS64">
        <v>2</v>
      </c>
      <c r="IT64">
        <v>25</v>
      </c>
      <c r="IU64">
        <v>0.7</v>
      </c>
      <c r="IV64">
        <v>0.5</v>
      </c>
      <c r="IW64">
        <v>0.21240200000000001</v>
      </c>
      <c r="IX64">
        <v>2.5476100000000002</v>
      </c>
      <c r="IY64">
        <v>1.65039</v>
      </c>
      <c r="IZ64">
        <v>2.2900399999999999</v>
      </c>
      <c r="JA64">
        <v>1.50024</v>
      </c>
      <c r="JB64">
        <v>2.33765</v>
      </c>
      <c r="JC64">
        <v>39.018799999999999</v>
      </c>
      <c r="JD64">
        <v>23.868600000000001</v>
      </c>
      <c r="JE64">
        <v>18</v>
      </c>
      <c r="JF64">
        <v>505.73200000000003</v>
      </c>
      <c r="JG64">
        <v>458.42599999999999</v>
      </c>
      <c r="JH64">
        <v>24.8918</v>
      </c>
      <c r="JI64">
        <v>32.3264</v>
      </c>
      <c r="JJ64">
        <v>29.9999</v>
      </c>
      <c r="JK64">
        <v>32.389699999999998</v>
      </c>
      <c r="JL64">
        <v>32.375599999999999</v>
      </c>
      <c r="JM64">
        <v>4.3124200000000004</v>
      </c>
      <c r="JN64">
        <v>33.201300000000003</v>
      </c>
      <c r="JO64">
        <v>43.733600000000003</v>
      </c>
      <c r="JP64">
        <v>24.896699999999999</v>
      </c>
      <c r="JQ64">
        <v>30</v>
      </c>
      <c r="JR64">
        <v>18.340900000000001</v>
      </c>
      <c r="JS64">
        <v>99.925200000000004</v>
      </c>
      <c r="JT64">
        <v>99.162400000000005</v>
      </c>
    </row>
    <row r="65" spans="1:280" x14ac:dyDescent="0.25">
      <c r="A65">
        <v>49</v>
      </c>
      <c r="B65">
        <v>1674585299</v>
      </c>
      <c r="C65">
        <v>11164.400000095369</v>
      </c>
      <c r="D65" t="s">
        <v>666</v>
      </c>
      <c r="E65" t="s">
        <v>667</v>
      </c>
      <c r="F65" t="s">
        <v>412</v>
      </c>
      <c r="G65" t="s">
        <v>31</v>
      </c>
      <c r="H65" t="s">
        <v>637</v>
      </c>
      <c r="I65">
        <v>1674585299</v>
      </c>
      <c r="J65">
        <f t="shared" si="46"/>
        <v>5.7420106505092815E-3</v>
      </c>
      <c r="K65">
        <f t="shared" si="47"/>
        <v>5.7420106505092816</v>
      </c>
      <c r="L65">
        <f t="shared" si="48"/>
        <v>1.560461371973028</v>
      </c>
      <c r="M65">
        <f t="shared" si="49"/>
        <v>8.0716300000000007</v>
      </c>
      <c r="N65">
        <f t="shared" si="50"/>
        <v>1.9719769557950644</v>
      </c>
      <c r="O65">
        <f t="shared" si="51"/>
        <v>0.19670884268936251</v>
      </c>
      <c r="P65">
        <f t="shared" si="52"/>
        <v>0.80516204373016298</v>
      </c>
      <c r="Q65">
        <f t="shared" si="53"/>
        <v>0.44708201367485428</v>
      </c>
      <c r="R65">
        <f t="shared" si="54"/>
        <v>2.9202659694394528</v>
      </c>
      <c r="S65">
        <f t="shared" si="55"/>
        <v>0.4122426987649373</v>
      </c>
      <c r="T65">
        <f t="shared" si="56"/>
        <v>0.26055524953797404</v>
      </c>
      <c r="U65">
        <f t="shared" si="57"/>
        <v>344.39349860514159</v>
      </c>
      <c r="V65">
        <f t="shared" si="58"/>
        <v>28.531072770281952</v>
      </c>
      <c r="W65">
        <f t="shared" si="59"/>
        <v>28.151399999999999</v>
      </c>
      <c r="X65">
        <f t="shared" si="60"/>
        <v>3.8284625495835845</v>
      </c>
      <c r="Y65">
        <f t="shared" si="61"/>
        <v>65.460701951757144</v>
      </c>
      <c r="Z65">
        <f t="shared" si="62"/>
        <v>2.4829993500591701</v>
      </c>
      <c r="AA65">
        <f t="shared" si="63"/>
        <v>3.793114458028692</v>
      </c>
      <c r="AB65">
        <f t="shared" si="64"/>
        <v>1.3454631995244144</v>
      </c>
      <c r="AC65">
        <f t="shared" si="65"/>
        <v>-253.2226696874593</v>
      </c>
      <c r="AD65">
        <f t="shared" si="66"/>
        <v>-25.064030727951391</v>
      </c>
      <c r="AE65">
        <f t="shared" si="67"/>
        <v>-1.8721902626778579</v>
      </c>
      <c r="AF65">
        <f t="shared" si="68"/>
        <v>64.234607927053034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52428.317580881871</v>
      </c>
      <c r="AL65" t="s">
        <v>415</v>
      </c>
      <c r="AM65">
        <v>10424.1</v>
      </c>
      <c r="AN65">
        <v>628.54280000000006</v>
      </c>
      <c r="AO65">
        <v>2663.98</v>
      </c>
      <c r="AP65">
        <f t="shared" si="72"/>
        <v>0.76405873917972356</v>
      </c>
      <c r="AQ65">
        <v>-3.1675626227050531</v>
      </c>
      <c r="AR65" t="s">
        <v>668</v>
      </c>
      <c r="AS65">
        <v>10232</v>
      </c>
      <c r="AT65">
        <v>757.05830769230772</v>
      </c>
      <c r="AU65">
        <v>820.21308435401374</v>
      </c>
      <c r="AV65">
        <f t="shared" si="73"/>
        <v>7.699801169527265E-2</v>
      </c>
      <c r="AW65">
        <v>0.5</v>
      </c>
      <c r="AX65">
        <f t="shared" si="74"/>
        <v>1513.2935993025708</v>
      </c>
      <c r="AY65">
        <f t="shared" si="75"/>
        <v>1.560461371973028</v>
      </c>
      <c r="AZ65">
        <f t="shared" si="76"/>
        <v>58.260299128740293</v>
      </c>
      <c r="BA65">
        <f t="shared" si="77"/>
        <v>3.1243269626310965E-3</v>
      </c>
      <c r="BB65">
        <f t="shared" si="78"/>
        <v>2.2479120984739063</v>
      </c>
      <c r="BC65">
        <f t="shared" si="79"/>
        <v>410.71156534124123</v>
      </c>
      <c r="BD65" t="s">
        <v>669</v>
      </c>
      <c r="BE65">
        <v>540.49</v>
      </c>
      <c r="BF65">
        <f t="shared" si="80"/>
        <v>540.49</v>
      </c>
      <c r="BG65">
        <f t="shared" si="81"/>
        <v>0.34103709108020264</v>
      </c>
      <c r="BH65">
        <f t="shared" si="82"/>
        <v>0.22577606280709459</v>
      </c>
      <c r="BI65">
        <f t="shared" si="83"/>
        <v>0.86827200299788865</v>
      </c>
      <c r="BJ65">
        <f t="shared" si="84"/>
        <v>0.32949696336370843</v>
      </c>
      <c r="BK65">
        <f t="shared" si="85"/>
        <v>0.9058333588705102</v>
      </c>
      <c r="BL65">
        <f t="shared" si="86"/>
        <v>0.16118930727883019</v>
      </c>
      <c r="BM65">
        <f t="shared" si="87"/>
        <v>0.83881069272116981</v>
      </c>
      <c r="BN65">
        <v>20261</v>
      </c>
      <c r="BO65">
        <v>290.00000000000011</v>
      </c>
      <c r="BP65">
        <v>798.05</v>
      </c>
      <c r="BQ65">
        <v>105</v>
      </c>
      <c r="BR65">
        <v>10232</v>
      </c>
      <c r="BS65">
        <v>796.43</v>
      </c>
      <c r="BT65">
        <v>1.62</v>
      </c>
      <c r="BU65">
        <v>300.00000000000011</v>
      </c>
      <c r="BV65">
        <v>24.2</v>
      </c>
      <c r="BW65">
        <v>820.21308435401374</v>
      </c>
      <c r="BX65">
        <v>1.6322061660548739</v>
      </c>
      <c r="BY65">
        <v>-24.333713077489961</v>
      </c>
      <c r="BZ65">
        <v>1.4828572793387911</v>
      </c>
      <c r="CA65">
        <v>0.90581544424546034</v>
      </c>
      <c r="CB65">
        <v>-6.9503426028920982E-3</v>
      </c>
      <c r="CC65">
        <v>289.99999999999989</v>
      </c>
      <c r="CD65">
        <v>793.49</v>
      </c>
      <c r="CE65">
        <v>645</v>
      </c>
      <c r="CF65">
        <v>10179.9</v>
      </c>
      <c r="CG65">
        <v>796.31</v>
      </c>
      <c r="CH65">
        <v>-2.82</v>
      </c>
      <c r="CV65">
        <f t="shared" si="88"/>
        <v>1800.13</v>
      </c>
      <c r="CW65">
        <f t="shared" si="89"/>
        <v>1513.2935993025708</v>
      </c>
      <c r="CX65">
        <f t="shared" si="90"/>
        <v>0.84065795209377692</v>
      </c>
      <c r="CY65">
        <f t="shared" si="91"/>
        <v>0.19131590418755398</v>
      </c>
      <c r="CZ65">
        <v>6</v>
      </c>
      <c r="DA65">
        <v>0.5</v>
      </c>
      <c r="DB65" t="s">
        <v>418</v>
      </c>
      <c r="DC65">
        <v>2</v>
      </c>
      <c r="DD65">
        <v>1674585299</v>
      </c>
      <c r="DE65">
        <v>8.0716300000000007</v>
      </c>
      <c r="DF65">
        <v>9.9995999999999992</v>
      </c>
      <c r="DG65">
        <v>24.8917</v>
      </c>
      <c r="DH65">
        <v>18.173500000000001</v>
      </c>
      <c r="DI65">
        <v>10.5573</v>
      </c>
      <c r="DJ65">
        <v>24.551600000000001</v>
      </c>
      <c r="DK65">
        <v>500.05200000000002</v>
      </c>
      <c r="DL65">
        <v>99.652299999999997</v>
      </c>
      <c r="DM65">
        <v>9.9800100000000003E-2</v>
      </c>
      <c r="DN65">
        <v>27.9922</v>
      </c>
      <c r="DO65">
        <v>28.151399999999999</v>
      </c>
      <c r="DP65">
        <v>999.9</v>
      </c>
      <c r="DQ65">
        <v>0</v>
      </c>
      <c r="DR65">
        <v>0</v>
      </c>
      <c r="DS65">
        <v>9981.8799999999992</v>
      </c>
      <c r="DT65">
        <v>0</v>
      </c>
      <c r="DU65">
        <v>458.37799999999999</v>
      </c>
      <c r="DV65">
        <v>-1.92797</v>
      </c>
      <c r="DW65">
        <v>8.2776800000000001</v>
      </c>
      <c r="DX65">
        <v>10.184699999999999</v>
      </c>
      <c r="DY65">
        <v>6.7181800000000003</v>
      </c>
      <c r="DZ65">
        <v>9.9995999999999992</v>
      </c>
      <c r="EA65">
        <v>18.173500000000001</v>
      </c>
      <c r="EB65">
        <v>2.4805199999999998</v>
      </c>
      <c r="EC65">
        <v>1.8110299999999999</v>
      </c>
      <c r="ED65">
        <v>20.8992</v>
      </c>
      <c r="EE65">
        <v>15.882400000000001</v>
      </c>
      <c r="EF65">
        <v>1800.13</v>
      </c>
      <c r="EG65">
        <v>0.97800799999999999</v>
      </c>
      <c r="EH65">
        <v>2.1992299999999999E-2</v>
      </c>
      <c r="EI65">
        <v>0</v>
      </c>
      <c r="EJ65">
        <v>757.27300000000002</v>
      </c>
      <c r="EK65">
        <v>5.0010599999999998</v>
      </c>
      <c r="EL65">
        <v>14078.5</v>
      </c>
      <c r="EM65">
        <v>16712.3</v>
      </c>
      <c r="EN65">
        <v>48.311999999999998</v>
      </c>
      <c r="EO65">
        <v>49.186999999999998</v>
      </c>
      <c r="EP65">
        <v>49.311999999999998</v>
      </c>
      <c r="EQ65">
        <v>47.811999999999998</v>
      </c>
      <c r="ER65">
        <v>49.186999999999998</v>
      </c>
      <c r="ES65">
        <v>1755.65</v>
      </c>
      <c r="ET65">
        <v>39.479999999999997</v>
      </c>
      <c r="EU65">
        <v>0</v>
      </c>
      <c r="EV65">
        <v>110.4000000953674</v>
      </c>
      <c r="EW65">
        <v>0</v>
      </c>
      <c r="EX65">
        <v>757.05830769230772</v>
      </c>
      <c r="EY65">
        <v>-0.14953846208543611</v>
      </c>
      <c r="EZ65">
        <v>0.53675215868670068</v>
      </c>
      <c r="FA65">
        <v>14077.49615384615</v>
      </c>
      <c r="FB65">
        <v>15</v>
      </c>
      <c r="FC65">
        <v>1674585266.0999999</v>
      </c>
      <c r="FD65" t="s">
        <v>670</v>
      </c>
      <c r="FE65">
        <v>1674585260.0999999</v>
      </c>
      <c r="FF65">
        <v>1674585266.0999999</v>
      </c>
      <c r="FG65">
        <v>56</v>
      </c>
      <c r="FH65">
        <v>-0.123</v>
      </c>
      <c r="FI65">
        <v>5.0000000000000001E-3</v>
      </c>
      <c r="FJ65">
        <v>-2.4900000000000002</v>
      </c>
      <c r="FK65">
        <v>3.5999999999999997E-2</v>
      </c>
      <c r="FL65">
        <v>10</v>
      </c>
      <c r="FM65">
        <v>18</v>
      </c>
      <c r="FN65">
        <v>0.34</v>
      </c>
      <c r="FO65">
        <v>0.02</v>
      </c>
      <c r="FP65">
        <v>1.5998464722180981</v>
      </c>
      <c r="FQ65">
        <v>-0.4486706970314307</v>
      </c>
      <c r="FR65">
        <v>6.1563595487535587E-2</v>
      </c>
      <c r="FS65">
        <v>1</v>
      </c>
      <c r="FT65">
        <v>0.4470524430749806</v>
      </c>
      <c r="FU65">
        <v>3.4486432811850917E-2</v>
      </c>
      <c r="FV65">
        <v>4.6354580447302623E-3</v>
      </c>
      <c r="FW65">
        <v>1</v>
      </c>
      <c r="FX65">
        <v>2</v>
      </c>
      <c r="FY65">
        <v>2</v>
      </c>
      <c r="FZ65" t="s">
        <v>420</v>
      </c>
      <c r="GA65">
        <v>2.9778199999999999</v>
      </c>
      <c r="GB65">
        <v>2.8059699999999999</v>
      </c>
      <c r="GC65">
        <v>3.0576399999999999E-3</v>
      </c>
      <c r="GD65">
        <v>2.8559800000000002E-3</v>
      </c>
      <c r="GE65">
        <v>0.121989</v>
      </c>
      <c r="GF65">
        <v>9.7808300000000001E-2</v>
      </c>
      <c r="GG65">
        <v>29471.3</v>
      </c>
      <c r="GH65">
        <v>27354.2</v>
      </c>
      <c r="GI65">
        <v>26574.9</v>
      </c>
      <c r="GJ65">
        <v>25908.2</v>
      </c>
      <c r="GK65">
        <v>31754.3</v>
      </c>
      <c r="GL65">
        <v>32989.9</v>
      </c>
      <c r="GM65">
        <v>37658.800000000003</v>
      </c>
      <c r="GN65">
        <v>38438.300000000003</v>
      </c>
      <c r="GO65">
        <v>1.9739199999999999</v>
      </c>
      <c r="GP65">
        <v>1.91083</v>
      </c>
      <c r="GQ65">
        <v>8.0425300000000005E-2</v>
      </c>
      <c r="GR65">
        <v>0</v>
      </c>
      <c r="GS65">
        <v>26.837199999999999</v>
      </c>
      <c r="GT65">
        <v>999.9</v>
      </c>
      <c r="GU65">
        <v>40.5</v>
      </c>
      <c r="GV65">
        <v>35.200000000000003</v>
      </c>
      <c r="GW65">
        <v>23.210699999999999</v>
      </c>
      <c r="GX65">
        <v>62.084400000000002</v>
      </c>
      <c r="GY65">
        <v>12.3718</v>
      </c>
      <c r="GZ65">
        <v>1</v>
      </c>
      <c r="HA65">
        <v>0.39712700000000001</v>
      </c>
      <c r="HB65">
        <v>2.1329199999999999</v>
      </c>
      <c r="HC65">
        <v>20.241299999999999</v>
      </c>
      <c r="HD65">
        <v>5.2063600000000001</v>
      </c>
      <c r="HE65">
        <v>11.9381</v>
      </c>
      <c r="HF65">
        <v>4.98665</v>
      </c>
      <c r="HG65">
        <v>3.2898499999999999</v>
      </c>
      <c r="HH65">
        <v>9999</v>
      </c>
      <c r="HI65">
        <v>9999</v>
      </c>
      <c r="HJ65">
        <v>9999</v>
      </c>
      <c r="HK65">
        <v>999.9</v>
      </c>
      <c r="HL65">
        <v>1.87042</v>
      </c>
      <c r="HM65">
        <v>1.8766</v>
      </c>
      <c r="HN65">
        <v>1.8743700000000001</v>
      </c>
      <c r="HO65">
        <v>1.8725799999999999</v>
      </c>
      <c r="HP65">
        <v>1.8730800000000001</v>
      </c>
      <c r="HQ65">
        <v>1.8704799999999999</v>
      </c>
      <c r="HR65">
        <v>1.8763799999999999</v>
      </c>
      <c r="HS65">
        <v>1.8754999999999999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424</v>
      </c>
      <c r="IB65" t="s">
        <v>424</v>
      </c>
      <c r="IC65" t="s">
        <v>423</v>
      </c>
      <c r="ID65">
        <v>0</v>
      </c>
      <c r="IE65">
        <v>100</v>
      </c>
      <c r="IF65">
        <v>100</v>
      </c>
      <c r="IG65">
        <v>-2.4860000000000002</v>
      </c>
      <c r="IH65">
        <v>0.34010000000000001</v>
      </c>
      <c r="II65">
        <v>-2.4590936873053839</v>
      </c>
      <c r="IJ65">
        <v>-2.536945948238235E-3</v>
      </c>
      <c r="IK65">
        <v>1.581473279927893E-6</v>
      </c>
      <c r="IL65">
        <v>-4.6698293441882044E-10</v>
      </c>
      <c r="IM65">
        <v>-0.17340679521740601</v>
      </c>
      <c r="IN65">
        <v>-1.5895243091576399E-2</v>
      </c>
      <c r="IO65">
        <v>1.559614309849521E-3</v>
      </c>
      <c r="IP65">
        <v>-2.4566050869858518E-6</v>
      </c>
      <c r="IQ65">
        <v>2</v>
      </c>
      <c r="IR65">
        <v>2224</v>
      </c>
      <c r="IS65">
        <v>2</v>
      </c>
      <c r="IT65">
        <v>25</v>
      </c>
      <c r="IU65">
        <v>0.6</v>
      </c>
      <c r="IV65">
        <v>0.5</v>
      </c>
      <c r="IW65">
        <v>0.17456099999999999</v>
      </c>
      <c r="IX65">
        <v>2.5659200000000002</v>
      </c>
      <c r="IY65">
        <v>1.65039</v>
      </c>
      <c r="IZ65">
        <v>2.2900399999999999</v>
      </c>
      <c r="JA65">
        <v>1.50024</v>
      </c>
      <c r="JB65">
        <v>2.3144499999999999</v>
      </c>
      <c r="JC65">
        <v>38.994</v>
      </c>
      <c r="JD65">
        <v>23.868600000000001</v>
      </c>
      <c r="JE65">
        <v>18</v>
      </c>
      <c r="JF65">
        <v>506.05599999999998</v>
      </c>
      <c r="JG65">
        <v>458.32799999999997</v>
      </c>
      <c r="JH65">
        <v>24.915500000000002</v>
      </c>
      <c r="JI65">
        <v>32.2789</v>
      </c>
      <c r="JJ65">
        <v>29.9998</v>
      </c>
      <c r="JK65">
        <v>32.340899999999998</v>
      </c>
      <c r="JL65">
        <v>32.326799999999999</v>
      </c>
      <c r="JM65">
        <v>3.5478700000000001</v>
      </c>
      <c r="JN65">
        <v>33.2986</v>
      </c>
      <c r="JO65">
        <v>43.232900000000001</v>
      </c>
      <c r="JP65">
        <v>24.918800000000001</v>
      </c>
      <c r="JQ65">
        <v>10</v>
      </c>
      <c r="JR65">
        <v>18.1934</v>
      </c>
      <c r="JS65">
        <v>99.933300000000003</v>
      </c>
      <c r="JT65">
        <v>99.170299999999997</v>
      </c>
    </row>
    <row r="66" spans="1:280" x14ac:dyDescent="0.25">
      <c r="A66">
        <v>50</v>
      </c>
      <c r="B66">
        <v>1674585488.5</v>
      </c>
      <c r="C66">
        <v>11353.900000095369</v>
      </c>
      <c r="D66" t="s">
        <v>671</v>
      </c>
      <c r="E66" t="s">
        <v>672</v>
      </c>
      <c r="F66" t="s">
        <v>412</v>
      </c>
      <c r="G66" t="s">
        <v>31</v>
      </c>
      <c r="H66" t="s">
        <v>637</v>
      </c>
      <c r="I66">
        <v>1674585488.5</v>
      </c>
      <c r="J66">
        <f t="shared" si="46"/>
        <v>5.457237703371972E-3</v>
      </c>
      <c r="K66">
        <f t="shared" si="47"/>
        <v>5.4572377033719723</v>
      </c>
      <c r="L66">
        <f t="shared" si="48"/>
        <v>34.975477062722121</v>
      </c>
      <c r="M66">
        <f t="shared" si="49"/>
        <v>355.70499999999998</v>
      </c>
      <c r="N66">
        <f t="shared" si="50"/>
        <v>206.30117858915642</v>
      </c>
      <c r="O66">
        <f t="shared" si="51"/>
        <v>20.577797198110112</v>
      </c>
      <c r="P66">
        <f t="shared" si="52"/>
        <v>35.480288587834998</v>
      </c>
      <c r="Q66">
        <f t="shared" si="53"/>
        <v>0.41741900186477737</v>
      </c>
      <c r="R66">
        <f t="shared" si="54"/>
        <v>2.9215829391119259</v>
      </c>
      <c r="S66">
        <f t="shared" si="55"/>
        <v>0.3868928977993083</v>
      </c>
      <c r="T66">
        <f t="shared" si="56"/>
        <v>0.24436441699833733</v>
      </c>
      <c r="U66">
        <f t="shared" si="57"/>
        <v>344.3592986050021</v>
      </c>
      <c r="V66">
        <f t="shared" si="58"/>
        <v>28.598644141190064</v>
      </c>
      <c r="W66">
        <f t="shared" si="59"/>
        <v>28.127199999999998</v>
      </c>
      <c r="X66">
        <f t="shared" si="60"/>
        <v>3.823070833430152</v>
      </c>
      <c r="Y66">
        <f t="shared" si="61"/>
        <v>64.889254192199459</v>
      </c>
      <c r="Z66">
        <f t="shared" si="62"/>
        <v>2.4604341534902998</v>
      </c>
      <c r="AA66">
        <f t="shared" si="63"/>
        <v>3.7917436162890539</v>
      </c>
      <c r="AB66">
        <f t="shared" si="64"/>
        <v>1.3626366799398522</v>
      </c>
      <c r="AC66">
        <f t="shared" si="65"/>
        <v>-240.66418271870396</v>
      </c>
      <c r="AD66">
        <f t="shared" si="66"/>
        <v>-22.240183173172035</v>
      </c>
      <c r="AE66">
        <f t="shared" si="67"/>
        <v>-1.6602589479877281</v>
      </c>
      <c r="AF66">
        <f t="shared" si="68"/>
        <v>79.794673765138413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52467.106203258016</v>
      </c>
      <c r="AL66" t="s">
        <v>415</v>
      </c>
      <c r="AM66">
        <v>10424.1</v>
      </c>
      <c r="AN66">
        <v>628.54280000000006</v>
      </c>
      <c r="AO66">
        <v>2663.98</v>
      </c>
      <c r="AP66">
        <f t="shared" si="72"/>
        <v>0.76405873917972356</v>
      </c>
      <c r="AQ66">
        <v>-3.1675626227050531</v>
      </c>
      <c r="AR66" t="s">
        <v>673</v>
      </c>
      <c r="AS66">
        <v>10199.799999999999</v>
      </c>
      <c r="AT66">
        <v>689.7432692307691</v>
      </c>
      <c r="AU66">
        <v>905.88046662303793</v>
      </c>
      <c r="AV66">
        <f t="shared" si="73"/>
        <v>0.23859350693142778</v>
      </c>
      <c r="AW66">
        <v>0.5</v>
      </c>
      <c r="AX66">
        <f t="shared" si="74"/>
        <v>1513.1423993025012</v>
      </c>
      <c r="AY66">
        <f t="shared" si="75"/>
        <v>34.975477062722121</v>
      </c>
      <c r="AZ66">
        <f t="shared" si="76"/>
        <v>180.5129757681093</v>
      </c>
      <c r="BA66">
        <f t="shared" si="77"/>
        <v>2.5207832192799311E-2</v>
      </c>
      <c r="BB66">
        <f t="shared" si="78"/>
        <v>1.9407632664062686</v>
      </c>
      <c r="BC66">
        <f t="shared" si="79"/>
        <v>431.1270706605755</v>
      </c>
      <c r="BD66" t="s">
        <v>674</v>
      </c>
      <c r="BE66">
        <v>530.91</v>
      </c>
      <c r="BF66">
        <f t="shared" si="80"/>
        <v>530.91</v>
      </c>
      <c r="BG66">
        <f t="shared" si="81"/>
        <v>0.41392929910594223</v>
      </c>
      <c r="BH66">
        <f t="shared" si="82"/>
        <v>0.57641125536842341</v>
      </c>
      <c r="BI66">
        <f t="shared" si="83"/>
        <v>0.82421089480277809</v>
      </c>
      <c r="BJ66">
        <f t="shared" si="84"/>
        <v>0.77932867909372805</v>
      </c>
      <c r="BK66">
        <f t="shared" si="85"/>
        <v>0.86374540731443938</v>
      </c>
      <c r="BL66">
        <f t="shared" si="86"/>
        <v>0.44367594906571378</v>
      </c>
      <c r="BM66">
        <f t="shared" si="87"/>
        <v>0.55632405093428616</v>
      </c>
      <c r="BN66">
        <v>20263</v>
      </c>
      <c r="BO66">
        <v>290.00000000000011</v>
      </c>
      <c r="BP66">
        <v>854.73</v>
      </c>
      <c r="BQ66">
        <v>285</v>
      </c>
      <c r="BR66">
        <v>10199.799999999999</v>
      </c>
      <c r="BS66">
        <v>856.74</v>
      </c>
      <c r="BT66">
        <v>-2.0099999999999998</v>
      </c>
      <c r="BU66">
        <v>300.00000000000011</v>
      </c>
      <c r="BV66">
        <v>24.2</v>
      </c>
      <c r="BW66">
        <v>905.88046662303793</v>
      </c>
      <c r="BX66">
        <v>2.1438571819674839</v>
      </c>
      <c r="BY66">
        <v>-50.117924685239693</v>
      </c>
      <c r="BZ66">
        <v>1.9480215249753221</v>
      </c>
      <c r="CA66">
        <v>0.95941497044358615</v>
      </c>
      <c r="CB66">
        <v>-6.951490100111246E-3</v>
      </c>
      <c r="CC66">
        <v>289.99999999999989</v>
      </c>
      <c r="CD66">
        <v>855.52</v>
      </c>
      <c r="CE66">
        <v>635</v>
      </c>
      <c r="CF66">
        <v>10182.5</v>
      </c>
      <c r="CG66">
        <v>856.66</v>
      </c>
      <c r="CH66">
        <v>-1.1399999999999999</v>
      </c>
      <c r="CV66">
        <f t="shared" si="88"/>
        <v>1799.95</v>
      </c>
      <c r="CW66">
        <f t="shared" si="89"/>
        <v>1513.1423993025012</v>
      </c>
      <c r="CX66">
        <f t="shared" si="90"/>
        <v>0.84065801789077532</v>
      </c>
      <c r="CY66">
        <f t="shared" si="91"/>
        <v>0.19131603578155065</v>
      </c>
      <c r="CZ66">
        <v>6</v>
      </c>
      <c r="DA66">
        <v>0.5</v>
      </c>
      <c r="DB66" t="s">
        <v>418</v>
      </c>
      <c r="DC66">
        <v>2</v>
      </c>
      <c r="DD66">
        <v>1674585488.5</v>
      </c>
      <c r="DE66">
        <v>355.70499999999998</v>
      </c>
      <c r="DF66">
        <v>399.99700000000001</v>
      </c>
      <c r="DG66">
        <v>24.666899999999998</v>
      </c>
      <c r="DH66">
        <v>18.280899999999999</v>
      </c>
      <c r="DI66">
        <v>359.11399999999998</v>
      </c>
      <c r="DJ66">
        <v>24.336099999999998</v>
      </c>
      <c r="DK66">
        <v>500.09</v>
      </c>
      <c r="DL66">
        <v>99.646199999999993</v>
      </c>
      <c r="DM66">
        <v>0.100187</v>
      </c>
      <c r="DN66">
        <v>27.986000000000001</v>
      </c>
      <c r="DO66">
        <v>28.127199999999998</v>
      </c>
      <c r="DP66">
        <v>999.9</v>
      </c>
      <c r="DQ66">
        <v>0</v>
      </c>
      <c r="DR66">
        <v>0</v>
      </c>
      <c r="DS66">
        <v>9990</v>
      </c>
      <c r="DT66">
        <v>0</v>
      </c>
      <c r="DU66">
        <v>435.142</v>
      </c>
      <c r="DV66">
        <v>-44.291800000000002</v>
      </c>
      <c r="DW66">
        <v>364.70100000000002</v>
      </c>
      <c r="DX66">
        <v>407.44499999999999</v>
      </c>
      <c r="DY66">
        <v>6.3859899999999996</v>
      </c>
      <c r="DZ66">
        <v>399.99700000000001</v>
      </c>
      <c r="EA66">
        <v>18.280899999999999</v>
      </c>
      <c r="EB66">
        <v>2.4579599999999999</v>
      </c>
      <c r="EC66">
        <v>1.82162</v>
      </c>
      <c r="ED66">
        <v>20.750800000000002</v>
      </c>
      <c r="EE66">
        <v>15.973599999999999</v>
      </c>
      <c r="EF66">
        <v>1799.95</v>
      </c>
      <c r="EG66">
        <v>0.97800399999999998</v>
      </c>
      <c r="EH66">
        <v>2.1995799999999999E-2</v>
      </c>
      <c r="EI66">
        <v>0</v>
      </c>
      <c r="EJ66">
        <v>688.71400000000006</v>
      </c>
      <c r="EK66">
        <v>5.0010599999999998</v>
      </c>
      <c r="EL66">
        <v>12830.8</v>
      </c>
      <c r="EM66">
        <v>16710.599999999999</v>
      </c>
      <c r="EN66">
        <v>48.186999999999998</v>
      </c>
      <c r="EO66">
        <v>49.061999999999998</v>
      </c>
      <c r="EP66">
        <v>49.186999999999998</v>
      </c>
      <c r="EQ66">
        <v>47.686999999999998</v>
      </c>
      <c r="ER66">
        <v>49.061999999999998</v>
      </c>
      <c r="ES66">
        <v>1755.47</v>
      </c>
      <c r="ET66">
        <v>39.479999999999997</v>
      </c>
      <c r="EU66">
        <v>0</v>
      </c>
      <c r="EV66">
        <v>187.4000000953674</v>
      </c>
      <c r="EW66">
        <v>0</v>
      </c>
      <c r="EX66">
        <v>689.7432692307691</v>
      </c>
      <c r="EY66">
        <v>-8.034427324699486</v>
      </c>
      <c r="EZ66">
        <v>-202.56410225820451</v>
      </c>
      <c r="FA66">
        <v>12856.1</v>
      </c>
      <c r="FB66">
        <v>15</v>
      </c>
      <c r="FC66">
        <v>1674585393</v>
      </c>
      <c r="FD66" t="s">
        <v>675</v>
      </c>
      <c r="FE66">
        <v>1674585383</v>
      </c>
      <c r="FF66">
        <v>1674585393</v>
      </c>
      <c r="FG66">
        <v>57</v>
      </c>
      <c r="FH66">
        <v>-0.221</v>
      </c>
      <c r="FI66">
        <v>3.0000000000000001E-3</v>
      </c>
      <c r="FJ66">
        <v>-3.4769999999999999</v>
      </c>
      <c r="FK66">
        <v>3.6999999999999998E-2</v>
      </c>
      <c r="FL66">
        <v>400</v>
      </c>
      <c r="FM66">
        <v>18</v>
      </c>
      <c r="FN66">
        <v>0.08</v>
      </c>
      <c r="FO66">
        <v>0.01</v>
      </c>
      <c r="FP66">
        <v>34.074834438743558</v>
      </c>
      <c r="FQ66">
        <v>5.0084214657258537</v>
      </c>
      <c r="FR66">
        <v>0.49501853568608478</v>
      </c>
      <c r="FS66">
        <v>0</v>
      </c>
      <c r="FT66">
        <v>0.42479117331807847</v>
      </c>
      <c r="FU66">
        <v>-2.3304433251039421E-2</v>
      </c>
      <c r="FV66">
        <v>2.8953413828288559E-3</v>
      </c>
      <c r="FW66">
        <v>1</v>
      </c>
      <c r="FX66">
        <v>1</v>
      </c>
      <c r="FY66">
        <v>2</v>
      </c>
      <c r="FZ66" t="s">
        <v>676</v>
      </c>
      <c r="GA66">
        <v>2.9780099999999998</v>
      </c>
      <c r="GB66">
        <v>2.8064300000000002</v>
      </c>
      <c r="GC66">
        <v>8.9545299999999994E-2</v>
      </c>
      <c r="GD66">
        <v>9.62668E-2</v>
      </c>
      <c r="GE66">
        <v>0.12126199999999999</v>
      </c>
      <c r="GF66">
        <v>9.8229200000000003E-2</v>
      </c>
      <c r="GG66">
        <v>26919.8</v>
      </c>
      <c r="GH66">
        <v>24797.200000000001</v>
      </c>
      <c r="GI66">
        <v>26579.1</v>
      </c>
      <c r="GJ66">
        <v>25913.1</v>
      </c>
      <c r="GK66">
        <v>31786.1</v>
      </c>
      <c r="GL66">
        <v>32982</v>
      </c>
      <c r="GM66">
        <v>37664.800000000003</v>
      </c>
      <c r="GN66">
        <v>38446.1</v>
      </c>
      <c r="GO66">
        <v>1.9753000000000001</v>
      </c>
      <c r="GP66">
        <v>1.9137200000000001</v>
      </c>
      <c r="GQ66">
        <v>8.5242100000000001E-2</v>
      </c>
      <c r="GR66">
        <v>0</v>
      </c>
      <c r="GS66">
        <v>26.734200000000001</v>
      </c>
      <c r="GT66">
        <v>999.9</v>
      </c>
      <c r="GU66">
        <v>40.1</v>
      </c>
      <c r="GV66">
        <v>35.200000000000003</v>
      </c>
      <c r="GW66">
        <v>22.9849</v>
      </c>
      <c r="GX66">
        <v>61.994399999999999</v>
      </c>
      <c r="GY66">
        <v>12.2997</v>
      </c>
      <c r="GZ66">
        <v>1</v>
      </c>
      <c r="HA66">
        <v>0.38841199999999998</v>
      </c>
      <c r="HB66">
        <v>1.9579299999999999</v>
      </c>
      <c r="HC66">
        <v>20.244</v>
      </c>
      <c r="HD66">
        <v>5.2095000000000002</v>
      </c>
      <c r="HE66">
        <v>11.937799999999999</v>
      </c>
      <c r="HF66">
        <v>4.9875999999999996</v>
      </c>
      <c r="HG66">
        <v>3.29095</v>
      </c>
      <c r="HH66">
        <v>9999</v>
      </c>
      <c r="HI66">
        <v>9999</v>
      </c>
      <c r="HJ66">
        <v>9999</v>
      </c>
      <c r="HK66">
        <v>999.9</v>
      </c>
      <c r="HL66">
        <v>1.8704099999999999</v>
      </c>
      <c r="HM66">
        <v>1.87662</v>
      </c>
      <c r="HN66">
        <v>1.8743000000000001</v>
      </c>
      <c r="HO66">
        <v>1.8725799999999999</v>
      </c>
      <c r="HP66">
        <v>1.87303</v>
      </c>
      <c r="HQ66">
        <v>1.8704400000000001</v>
      </c>
      <c r="HR66">
        <v>1.8763700000000001</v>
      </c>
      <c r="HS66">
        <v>1.87547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424</v>
      </c>
      <c r="IB66" t="s">
        <v>424</v>
      </c>
      <c r="IC66" t="s">
        <v>423</v>
      </c>
      <c r="ID66">
        <v>0</v>
      </c>
      <c r="IE66">
        <v>100</v>
      </c>
      <c r="IF66">
        <v>100</v>
      </c>
      <c r="IG66">
        <v>-3.4089999999999998</v>
      </c>
      <c r="IH66">
        <v>0.33079999999999998</v>
      </c>
      <c r="II66">
        <v>-2.6799133327885039</v>
      </c>
      <c r="IJ66">
        <v>-2.536945948238235E-3</v>
      </c>
      <c r="IK66">
        <v>1.581473279927893E-6</v>
      </c>
      <c r="IL66">
        <v>-4.6698293441882044E-10</v>
      </c>
      <c r="IM66">
        <v>-0.1706337649378169</v>
      </c>
      <c r="IN66">
        <v>-1.5895243091576399E-2</v>
      </c>
      <c r="IO66">
        <v>1.559614309849521E-3</v>
      </c>
      <c r="IP66">
        <v>-2.4566050869858518E-6</v>
      </c>
      <c r="IQ66">
        <v>2</v>
      </c>
      <c r="IR66">
        <v>2224</v>
      </c>
      <c r="IS66">
        <v>2</v>
      </c>
      <c r="IT66">
        <v>25</v>
      </c>
      <c r="IU66">
        <v>1.8</v>
      </c>
      <c r="IV66">
        <v>1.6</v>
      </c>
      <c r="IW66">
        <v>0.94116200000000005</v>
      </c>
      <c r="IX66">
        <v>2.50488</v>
      </c>
      <c r="IY66">
        <v>1.65039</v>
      </c>
      <c r="IZ66">
        <v>2.2900399999999999</v>
      </c>
      <c r="JA66">
        <v>1.50024</v>
      </c>
      <c r="JB66">
        <v>2.2949199999999998</v>
      </c>
      <c r="JC66">
        <v>38.944499999999998</v>
      </c>
      <c r="JD66">
        <v>23.868600000000001</v>
      </c>
      <c r="JE66">
        <v>18</v>
      </c>
      <c r="JF66">
        <v>506.16699999999997</v>
      </c>
      <c r="JG66">
        <v>459.50900000000001</v>
      </c>
      <c r="JH66">
        <v>25.024100000000001</v>
      </c>
      <c r="JI66">
        <v>32.174700000000001</v>
      </c>
      <c r="JJ66">
        <v>29.9998</v>
      </c>
      <c r="JK66">
        <v>32.2438</v>
      </c>
      <c r="JL66">
        <v>32.234499999999997</v>
      </c>
      <c r="JM66">
        <v>18.880299999999998</v>
      </c>
      <c r="JN66">
        <v>31.7636</v>
      </c>
      <c r="JO66">
        <v>42.241</v>
      </c>
      <c r="JP66">
        <v>25.0321</v>
      </c>
      <c r="JQ66">
        <v>400</v>
      </c>
      <c r="JR66">
        <v>18.3367</v>
      </c>
      <c r="JS66">
        <v>99.949100000000001</v>
      </c>
      <c r="JT66">
        <v>99.19</v>
      </c>
    </row>
    <row r="67" spans="1:280" x14ac:dyDescent="0.25">
      <c r="A67">
        <v>51</v>
      </c>
      <c r="B67">
        <v>1674585668.5</v>
      </c>
      <c r="C67">
        <v>11533.900000095369</v>
      </c>
      <c r="D67" t="s">
        <v>677</v>
      </c>
      <c r="E67" t="s">
        <v>678</v>
      </c>
      <c r="F67" t="s">
        <v>412</v>
      </c>
      <c r="G67" t="s">
        <v>31</v>
      </c>
      <c r="H67" t="s">
        <v>637</v>
      </c>
      <c r="I67">
        <v>1674585668.5</v>
      </c>
      <c r="J67">
        <f t="shared" si="46"/>
        <v>5.3030909726777672E-3</v>
      </c>
      <c r="K67">
        <f t="shared" si="47"/>
        <v>5.3030909726777669</v>
      </c>
      <c r="L67">
        <f t="shared" si="48"/>
        <v>41.276883337855239</v>
      </c>
      <c r="M67">
        <f t="shared" si="49"/>
        <v>348.26</v>
      </c>
      <c r="N67">
        <f t="shared" si="50"/>
        <v>168.87903159042932</v>
      </c>
      <c r="O67">
        <f t="shared" si="51"/>
        <v>16.843625779024428</v>
      </c>
      <c r="P67">
        <f t="shared" si="52"/>
        <v>34.73469180016</v>
      </c>
      <c r="Q67">
        <f t="shared" si="53"/>
        <v>0.40538339962421882</v>
      </c>
      <c r="R67">
        <f t="shared" si="54"/>
        <v>2.9217631276685978</v>
      </c>
      <c r="S67">
        <f t="shared" si="55"/>
        <v>0.37652869380410692</v>
      </c>
      <c r="T67">
        <f t="shared" si="56"/>
        <v>0.23775153730635706</v>
      </c>
      <c r="U67">
        <f t="shared" si="57"/>
        <v>344.37259860505628</v>
      </c>
      <c r="V67">
        <f t="shared" si="58"/>
        <v>28.630751607810986</v>
      </c>
      <c r="W67">
        <f t="shared" si="59"/>
        <v>28.117899999999999</v>
      </c>
      <c r="X67">
        <f t="shared" si="60"/>
        <v>3.8210005729755125</v>
      </c>
      <c r="Y67">
        <f t="shared" si="61"/>
        <v>64.921959704615389</v>
      </c>
      <c r="Z67">
        <f t="shared" si="62"/>
        <v>2.4605119731567999</v>
      </c>
      <c r="AA67">
        <f t="shared" si="63"/>
        <v>3.7899533291227478</v>
      </c>
      <c r="AB67">
        <f t="shared" si="64"/>
        <v>1.3604885998187126</v>
      </c>
      <c r="AC67">
        <f t="shared" si="65"/>
        <v>-233.86631189508952</v>
      </c>
      <c r="AD67">
        <f t="shared" si="66"/>
        <v>-22.052533123441254</v>
      </c>
      <c r="AE67">
        <f t="shared" si="67"/>
        <v>-1.6460063888299765</v>
      </c>
      <c r="AF67">
        <f t="shared" si="68"/>
        <v>86.807747197695548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52473.514244402104</v>
      </c>
      <c r="AL67" t="s">
        <v>415</v>
      </c>
      <c r="AM67">
        <v>10424.1</v>
      </c>
      <c r="AN67">
        <v>628.54280000000006</v>
      </c>
      <c r="AO67">
        <v>2663.98</v>
      </c>
      <c r="AP67">
        <f t="shared" si="72"/>
        <v>0.76405873917972356</v>
      </c>
      <c r="AQ67">
        <v>-3.1675626227050531</v>
      </c>
      <c r="AR67" t="s">
        <v>679</v>
      </c>
      <c r="AS67">
        <v>10200.799999999999</v>
      </c>
      <c r="AT67">
        <v>682.64246153846148</v>
      </c>
      <c r="AU67">
        <v>948.42514170575339</v>
      </c>
      <c r="AV67">
        <f t="shared" si="73"/>
        <v>0.28023580194139386</v>
      </c>
      <c r="AW67">
        <v>0.5</v>
      </c>
      <c r="AX67">
        <f t="shared" si="74"/>
        <v>1513.201199302528</v>
      </c>
      <c r="AY67">
        <f t="shared" si="75"/>
        <v>41.276883337855239</v>
      </c>
      <c r="AZ67">
        <f t="shared" si="76"/>
        <v>212.02657579261145</v>
      </c>
      <c r="BA67">
        <f t="shared" si="77"/>
        <v>2.9371141115303003E-2</v>
      </c>
      <c r="BB67">
        <f t="shared" si="78"/>
        <v>1.8088458254162281</v>
      </c>
      <c r="BC67">
        <f t="shared" si="79"/>
        <v>440.53196625662684</v>
      </c>
      <c r="BD67" t="s">
        <v>680</v>
      </c>
      <c r="BE67">
        <v>536.30999999999995</v>
      </c>
      <c r="BF67">
        <f t="shared" si="80"/>
        <v>536.30999999999995</v>
      </c>
      <c r="BG67">
        <f t="shared" si="81"/>
        <v>0.43452574545267719</v>
      </c>
      <c r="BH67">
        <f t="shared" si="82"/>
        <v>0.644923355805884</v>
      </c>
      <c r="BI67">
        <f t="shared" si="83"/>
        <v>0.80630683249481661</v>
      </c>
      <c r="BJ67">
        <f t="shared" si="84"/>
        <v>0.83087637395056502</v>
      </c>
      <c r="BK67">
        <f t="shared" si="85"/>
        <v>0.84284342366064968</v>
      </c>
      <c r="BL67">
        <f t="shared" si="86"/>
        <v>0.50667642937527124</v>
      </c>
      <c r="BM67">
        <f t="shared" si="87"/>
        <v>0.49332357062472876</v>
      </c>
      <c r="BN67">
        <v>20265</v>
      </c>
      <c r="BO67">
        <v>290.00000000000011</v>
      </c>
      <c r="BP67">
        <v>886.96</v>
      </c>
      <c r="BQ67">
        <v>285</v>
      </c>
      <c r="BR67">
        <v>10200.799999999999</v>
      </c>
      <c r="BS67">
        <v>888.52</v>
      </c>
      <c r="BT67">
        <v>-1.56</v>
      </c>
      <c r="BU67">
        <v>300.00000000000011</v>
      </c>
      <c r="BV67">
        <v>24.2</v>
      </c>
      <c r="BW67">
        <v>948.42514170575339</v>
      </c>
      <c r="BX67">
        <v>2.115305258044927</v>
      </c>
      <c r="BY67">
        <v>-61.112453386004589</v>
      </c>
      <c r="BZ67">
        <v>1.922262703291777</v>
      </c>
      <c r="CA67">
        <v>0.97304393332920258</v>
      </c>
      <c r="CB67">
        <v>-6.9521494994438304E-3</v>
      </c>
      <c r="CC67">
        <v>289.99999999999989</v>
      </c>
      <c r="CD67">
        <v>889.67</v>
      </c>
      <c r="CE67">
        <v>715</v>
      </c>
      <c r="CF67">
        <v>10177.4</v>
      </c>
      <c r="CG67">
        <v>888.38</v>
      </c>
      <c r="CH67">
        <v>1.29</v>
      </c>
      <c r="CV67">
        <f t="shared" si="88"/>
        <v>1800.02</v>
      </c>
      <c r="CW67">
        <f t="shared" si="89"/>
        <v>1513.201199302528</v>
      </c>
      <c r="CX67">
        <f t="shared" si="90"/>
        <v>0.84065799230149008</v>
      </c>
      <c r="CY67">
        <f t="shared" si="91"/>
        <v>0.19131598460298013</v>
      </c>
      <c r="CZ67">
        <v>6</v>
      </c>
      <c r="DA67">
        <v>0.5</v>
      </c>
      <c r="DB67" t="s">
        <v>418</v>
      </c>
      <c r="DC67">
        <v>2</v>
      </c>
      <c r="DD67">
        <v>1674585668.5</v>
      </c>
      <c r="DE67">
        <v>348.26</v>
      </c>
      <c r="DF67">
        <v>400</v>
      </c>
      <c r="DG67">
        <v>24.669799999999999</v>
      </c>
      <c r="DH67">
        <v>18.464099999999998</v>
      </c>
      <c r="DI67">
        <v>351.68700000000001</v>
      </c>
      <c r="DJ67">
        <v>24.342199999999998</v>
      </c>
      <c r="DK67">
        <v>500.08199999999999</v>
      </c>
      <c r="DL67">
        <v>99.637699999999995</v>
      </c>
      <c r="DM67">
        <v>0.100116</v>
      </c>
      <c r="DN67">
        <v>27.977900000000002</v>
      </c>
      <c r="DO67">
        <v>28.117899999999999</v>
      </c>
      <c r="DP67">
        <v>999.9</v>
      </c>
      <c r="DQ67">
        <v>0</v>
      </c>
      <c r="DR67">
        <v>0</v>
      </c>
      <c r="DS67">
        <v>9991.8799999999992</v>
      </c>
      <c r="DT67">
        <v>0</v>
      </c>
      <c r="DU67">
        <v>414.31799999999998</v>
      </c>
      <c r="DV67">
        <v>-51.740299999999998</v>
      </c>
      <c r="DW67">
        <v>357.06799999999998</v>
      </c>
      <c r="DX67">
        <v>407.524</v>
      </c>
      <c r="DY67">
        <v>6.2056199999999997</v>
      </c>
      <c r="DZ67">
        <v>400</v>
      </c>
      <c r="EA67">
        <v>18.464099999999998</v>
      </c>
      <c r="EB67">
        <v>2.45804</v>
      </c>
      <c r="EC67">
        <v>1.83972</v>
      </c>
      <c r="ED67">
        <v>20.751300000000001</v>
      </c>
      <c r="EE67">
        <v>16.128499999999999</v>
      </c>
      <c r="EF67">
        <v>1800.02</v>
      </c>
      <c r="EG67">
        <v>0.97800399999999998</v>
      </c>
      <c r="EH67">
        <v>2.1995799999999999E-2</v>
      </c>
      <c r="EI67">
        <v>0</v>
      </c>
      <c r="EJ67">
        <v>682.87800000000004</v>
      </c>
      <c r="EK67">
        <v>5.0010599999999998</v>
      </c>
      <c r="EL67">
        <v>12716.1</v>
      </c>
      <c r="EM67">
        <v>16711.3</v>
      </c>
      <c r="EN67">
        <v>48.061999999999998</v>
      </c>
      <c r="EO67">
        <v>48.936999999999998</v>
      </c>
      <c r="EP67">
        <v>49.061999999999998</v>
      </c>
      <c r="EQ67">
        <v>47.561999999999998</v>
      </c>
      <c r="ER67">
        <v>48.936999999999998</v>
      </c>
      <c r="ES67">
        <v>1755.54</v>
      </c>
      <c r="ET67">
        <v>39.479999999999997</v>
      </c>
      <c r="EU67">
        <v>0</v>
      </c>
      <c r="EV67">
        <v>177.80000019073489</v>
      </c>
      <c r="EW67">
        <v>0</v>
      </c>
      <c r="EX67">
        <v>682.64246153846148</v>
      </c>
      <c r="EY67">
        <v>2.5379828977075332</v>
      </c>
      <c r="EZ67">
        <v>29.446153811924951</v>
      </c>
      <c r="FA67">
        <v>12711.45</v>
      </c>
      <c r="FB67">
        <v>15</v>
      </c>
      <c r="FC67">
        <v>1674585559</v>
      </c>
      <c r="FD67" t="s">
        <v>681</v>
      </c>
      <c r="FE67">
        <v>1674585559</v>
      </c>
      <c r="FF67">
        <v>1674585558</v>
      </c>
      <c r="FG67">
        <v>58</v>
      </c>
      <c r="FH67">
        <v>-3.1E-2</v>
      </c>
      <c r="FI67">
        <v>-4.0000000000000001E-3</v>
      </c>
      <c r="FJ67">
        <v>-3.508</v>
      </c>
      <c r="FK67">
        <v>4.4999999999999998E-2</v>
      </c>
      <c r="FL67">
        <v>400</v>
      </c>
      <c r="FM67">
        <v>18</v>
      </c>
      <c r="FN67">
        <v>0.06</v>
      </c>
      <c r="FO67">
        <v>0.02</v>
      </c>
      <c r="FP67">
        <v>41.149838885353503</v>
      </c>
      <c r="FQ67">
        <v>0.68080854529640045</v>
      </c>
      <c r="FR67">
        <v>7.5737925552702243E-2</v>
      </c>
      <c r="FS67">
        <v>1</v>
      </c>
      <c r="FT67">
        <v>0.41091425864625297</v>
      </c>
      <c r="FU67">
        <v>-3.8563236621657619E-3</v>
      </c>
      <c r="FV67">
        <v>1.686571716838024E-3</v>
      </c>
      <c r="FW67">
        <v>1</v>
      </c>
      <c r="FX67">
        <v>2</v>
      </c>
      <c r="FY67">
        <v>2</v>
      </c>
      <c r="FZ67" t="s">
        <v>420</v>
      </c>
      <c r="GA67">
        <v>2.9781</v>
      </c>
      <c r="GB67">
        <v>2.8063699999999998</v>
      </c>
      <c r="GC67">
        <v>8.8093599999999994E-2</v>
      </c>
      <c r="GD67">
        <v>9.6287800000000007E-2</v>
      </c>
      <c r="GE67">
        <v>0.121304</v>
      </c>
      <c r="GF67">
        <v>9.8936700000000002E-2</v>
      </c>
      <c r="GG67">
        <v>26967.599999999999</v>
      </c>
      <c r="GH67">
        <v>24803</v>
      </c>
      <c r="GI67">
        <v>26583.5</v>
      </c>
      <c r="GJ67">
        <v>25919.3</v>
      </c>
      <c r="GK67">
        <v>31789</v>
      </c>
      <c r="GL67">
        <v>32963.4</v>
      </c>
      <c r="GM67">
        <v>37670.699999999997</v>
      </c>
      <c r="GN67">
        <v>38454.5</v>
      </c>
      <c r="GO67">
        <v>1.9772799999999999</v>
      </c>
      <c r="GP67">
        <v>1.9162999999999999</v>
      </c>
      <c r="GQ67">
        <v>8.8289400000000004E-2</v>
      </c>
      <c r="GR67">
        <v>0</v>
      </c>
      <c r="GS67">
        <v>26.675000000000001</v>
      </c>
      <c r="GT67">
        <v>999.9</v>
      </c>
      <c r="GU67">
        <v>39.799999999999997</v>
      </c>
      <c r="GV67">
        <v>35.200000000000003</v>
      </c>
      <c r="GW67">
        <v>22.8123</v>
      </c>
      <c r="GX67">
        <v>61.994500000000002</v>
      </c>
      <c r="GY67">
        <v>12.52</v>
      </c>
      <c r="GZ67">
        <v>1</v>
      </c>
      <c r="HA67">
        <v>0.37809700000000002</v>
      </c>
      <c r="HB67">
        <v>1.87517</v>
      </c>
      <c r="HC67">
        <v>20.245100000000001</v>
      </c>
      <c r="HD67">
        <v>5.2098000000000004</v>
      </c>
      <c r="HE67">
        <v>11.9376</v>
      </c>
      <c r="HF67">
        <v>4.9877500000000001</v>
      </c>
      <c r="HG67">
        <v>3.2909799999999998</v>
      </c>
      <c r="HH67">
        <v>9999</v>
      </c>
      <c r="HI67">
        <v>9999</v>
      </c>
      <c r="HJ67">
        <v>9999</v>
      </c>
      <c r="HK67">
        <v>999.9</v>
      </c>
      <c r="HL67">
        <v>1.8704099999999999</v>
      </c>
      <c r="HM67">
        <v>1.8766</v>
      </c>
      <c r="HN67">
        <v>1.8743099999999999</v>
      </c>
      <c r="HO67">
        <v>1.8726100000000001</v>
      </c>
      <c r="HP67">
        <v>1.8730800000000001</v>
      </c>
      <c r="HQ67">
        <v>1.87043</v>
      </c>
      <c r="HR67">
        <v>1.8763700000000001</v>
      </c>
      <c r="HS67">
        <v>1.8754599999999999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424</v>
      </c>
      <c r="IB67" t="s">
        <v>424</v>
      </c>
      <c r="IC67" t="s">
        <v>423</v>
      </c>
      <c r="ID67">
        <v>0</v>
      </c>
      <c r="IE67">
        <v>100</v>
      </c>
      <c r="IF67">
        <v>100</v>
      </c>
      <c r="IG67">
        <v>-3.427</v>
      </c>
      <c r="IH67">
        <v>0.3276</v>
      </c>
      <c r="II67">
        <v>-2.7106924974921909</v>
      </c>
      <c r="IJ67">
        <v>-2.536945948238235E-3</v>
      </c>
      <c r="IK67">
        <v>1.581473279927893E-6</v>
      </c>
      <c r="IL67">
        <v>-4.6698293441882044E-10</v>
      </c>
      <c r="IM67">
        <v>-0.17419428111985699</v>
      </c>
      <c r="IN67">
        <v>-1.5895243091576399E-2</v>
      </c>
      <c r="IO67">
        <v>1.559614309849521E-3</v>
      </c>
      <c r="IP67">
        <v>-2.4566050869858518E-6</v>
      </c>
      <c r="IQ67">
        <v>2</v>
      </c>
      <c r="IR67">
        <v>2224</v>
      </c>
      <c r="IS67">
        <v>2</v>
      </c>
      <c r="IT67">
        <v>25</v>
      </c>
      <c r="IU67">
        <v>1.8</v>
      </c>
      <c r="IV67">
        <v>1.8</v>
      </c>
      <c r="IW67">
        <v>0.94238299999999997</v>
      </c>
      <c r="IX67">
        <v>2.50366</v>
      </c>
      <c r="IY67">
        <v>1.64917</v>
      </c>
      <c r="IZ67">
        <v>2.2900399999999999</v>
      </c>
      <c r="JA67">
        <v>1.50024</v>
      </c>
      <c r="JB67">
        <v>2.4169900000000002</v>
      </c>
      <c r="JC67">
        <v>38.845700000000001</v>
      </c>
      <c r="JD67">
        <v>23.877400000000002</v>
      </c>
      <c r="JE67">
        <v>18</v>
      </c>
      <c r="JF67">
        <v>506.54599999999999</v>
      </c>
      <c r="JG67">
        <v>460.33800000000002</v>
      </c>
      <c r="JH67">
        <v>25.078900000000001</v>
      </c>
      <c r="JI67">
        <v>32.052199999999999</v>
      </c>
      <c r="JJ67">
        <v>29.999700000000001</v>
      </c>
      <c r="JK67">
        <v>32.131599999999999</v>
      </c>
      <c r="JL67">
        <v>32.124200000000002</v>
      </c>
      <c r="JM67">
        <v>18.8826</v>
      </c>
      <c r="JN67">
        <v>29.7881</v>
      </c>
      <c r="JO67">
        <v>42.001399999999997</v>
      </c>
      <c r="JP67">
        <v>25.0884</v>
      </c>
      <c r="JQ67">
        <v>400</v>
      </c>
      <c r="JR67">
        <v>18.5749</v>
      </c>
      <c r="JS67">
        <v>99.965100000000007</v>
      </c>
      <c r="JT67">
        <v>99.212500000000006</v>
      </c>
    </row>
    <row r="68" spans="1:280" x14ac:dyDescent="0.25">
      <c r="A68">
        <v>52</v>
      </c>
      <c r="B68">
        <v>1674585775</v>
      </c>
      <c r="C68">
        <v>11640.400000095369</v>
      </c>
      <c r="D68" t="s">
        <v>682</v>
      </c>
      <c r="E68" t="s">
        <v>683</v>
      </c>
      <c r="F68" t="s">
        <v>412</v>
      </c>
      <c r="G68" t="s">
        <v>31</v>
      </c>
      <c r="H68" t="s">
        <v>637</v>
      </c>
      <c r="I68">
        <v>1674585775</v>
      </c>
      <c r="J68">
        <f t="shared" si="46"/>
        <v>5.3092362137954503E-3</v>
      </c>
      <c r="K68">
        <f t="shared" si="47"/>
        <v>5.3092362137954501</v>
      </c>
      <c r="L68">
        <f t="shared" si="48"/>
        <v>44.703676116814627</v>
      </c>
      <c r="M68">
        <f t="shared" si="49"/>
        <v>443.55799999999999</v>
      </c>
      <c r="N68">
        <f t="shared" si="50"/>
        <v>251.86334043349081</v>
      </c>
      <c r="O68">
        <f t="shared" si="51"/>
        <v>25.119001452016942</v>
      </c>
      <c r="P68">
        <f t="shared" si="52"/>
        <v>44.237220180107599</v>
      </c>
      <c r="Q68">
        <f t="shared" si="53"/>
        <v>0.41461667903833521</v>
      </c>
      <c r="R68">
        <f t="shared" si="54"/>
        <v>2.9227724561002075</v>
      </c>
      <c r="S68">
        <f t="shared" si="55"/>
        <v>0.38449452555195135</v>
      </c>
      <c r="T68">
        <f t="shared" si="56"/>
        <v>0.24283281706604798</v>
      </c>
      <c r="U68">
        <f t="shared" si="57"/>
        <v>344.38591176451013</v>
      </c>
      <c r="V68">
        <f t="shared" si="58"/>
        <v>28.638715522900036</v>
      </c>
      <c r="W68">
        <f t="shared" si="59"/>
        <v>28.0807</v>
      </c>
      <c r="X68">
        <f t="shared" si="60"/>
        <v>3.8127293081872993</v>
      </c>
      <c r="Y68">
        <f t="shared" si="61"/>
        <v>65.373450149127422</v>
      </c>
      <c r="Z68">
        <f t="shared" si="62"/>
        <v>2.4790248645067399</v>
      </c>
      <c r="AA68">
        <f t="shared" si="63"/>
        <v>3.7920973405131333</v>
      </c>
      <c r="AB68">
        <f t="shared" si="64"/>
        <v>1.3337044436805594</v>
      </c>
      <c r="AC68">
        <f t="shared" si="65"/>
        <v>-234.13731702837936</v>
      </c>
      <c r="AD68">
        <f t="shared" si="66"/>
        <v>-14.670000555619806</v>
      </c>
      <c r="AE68">
        <f t="shared" si="67"/>
        <v>-1.0944442396001459</v>
      </c>
      <c r="AF68">
        <f t="shared" si="68"/>
        <v>94.484149940910825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52500.727061439531</v>
      </c>
      <c r="AL68" t="s">
        <v>415</v>
      </c>
      <c r="AM68">
        <v>10424.1</v>
      </c>
      <c r="AN68">
        <v>628.54280000000006</v>
      </c>
      <c r="AO68">
        <v>2663.98</v>
      </c>
      <c r="AP68">
        <f t="shared" si="72"/>
        <v>0.76405873917972356</v>
      </c>
      <c r="AQ68">
        <v>-3.1675626227050531</v>
      </c>
      <c r="AR68" t="s">
        <v>684</v>
      </c>
      <c r="AS68">
        <v>10201.299999999999</v>
      </c>
      <c r="AT68">
        <v>685.61269230769233</v>
      </c>
      <c r="AU68">
        <v>980.15465589388691</v>
      </c>
      <c r="AV68">
        <f t="shared" si="73"/>
        <v>0.300505600636643</v>
      </c>
      <c r="AW68">
        <v>0.5</v>
      </c>
      <c r="AX68">
        <f t="shared" si="74"/>
        <v>1513.2600058822547</v>
      </c>
      <c r="AY68">
        <f t="shared" si="75"/>
        <v>44.703676116814627</v>
      </c>
      <c r="AZ68">
        <f t="shared" si="76"/>
        <v>227.37155349352844</v>
      </c>
      <c r="BA68">
        <f t="shared" si="77"/>
        <v>3.1634509967512152E-2</v>
      </c>
      <c r="BB68">
        <f t="shared" si="78"/>
        <v>1.7179180183258822</v>
      </c>
      <c r="BC68">
        <f t="shared" si="79"/>
        <v>447.25709218228559</v>
      </c>
      <c r="BD68" t="s">
        <v>685</v>
      </c>
      <c r="BE68">
        <v>535.41</v>
      </c>
      <c r="BF68">
        <f t="shared" si="80"/>
        <v>535.41</v>
      </c>
      <c r="BG68">
        <f t="shared" si="81"/>
        <v>0.45374947026934875</v>
      </c>
      <c r="BH68">
        <f t="shared" si="82"/>
        <v>0.66227206933874949</v>
      </c>
      <c r="BI68">
        <f t="shared" si="83"/>
        <v>0.79105941740516539</v>
      </c>
      <c r="BJ68">
        <f t="shared" si="84"/>
        <v>0.83769064850613162</v>
      </c>
      <c r="BK68">
        <f t="shared" si="85"/>
        <v>0.82725487384534058</v>
      </c>
      <c r="BL68">
        <f t="shared" si="86"/>
        <v>0.51718279521804222</v>
      </c>
      <c r="BM68">
        <f t="shared" si="87"/>
        <v>0.48281720478195778</v>
      </c>
      <c r="BN68">
        <v>20267</v>
      </c>
      <c r="BO68">
        <v>290.00000000000011</v>
      </c>
      <c r="BP68">
        <v>910.99</v>
      </c>
      <c r="BQ68">
        <v>295</v>
      </c>
      <c r="BR68">
        <v>10201.299999999999</v>
      </c>
      <c r="BS68">
        <v>912.41</v>
      </c>
      <c r="BT68">
        <v>-1.42</v>
      </c>
      <c r="BU68">
        <v>300.00000000000011</v>
      </c>
      <c r="BV68">
        <v>24.2</v>
      </c>
      <c r="BW68">
        <v>980.15465589388691</v>
      </c>
      <c r="BX68">
        <v>1.763873609563626</v>
      </c>
      <c r="BY68">
        <v>-69.11004827556097</v>
      </c>
      <c r="BZ68">
        <v>1.602990410283764</v>
      </c>
      <c r="CA68">
        <v>0.98515965136971362</v>
      </c>
      <c r="CB68">
        <v>-6.9525352614015724E-3</v>
      </c>
      <c r="CC68">
        <v>289.99999999999989</v>
      </c>
      <c r="CD68">
        <v>913.7</v>
      </c>
      <c r="CE68">
        <v>655</v>
      </c>
      <c r="CF68">
        <v>10182.5</v>
      </c>
      <c r="CG68">
        <v>912.28</v>
      </c>
      <c r="CH68">
        <v>1.42</v>
      </c>
      <c r="CV68">
        <f t="shared" si="88"/>
        <v>1800.09</v>
      </c>
      <c r="CW68">
        <f t="shared" si="89"/>
        <v>1513.2600058822547</v>
      </c>
      <c r="CX68">
        <f t="shared" si="90"/>
        <v>0.84065797036940093</v>
      </c>
      <c r="CY68">
        <f t="shared" si="91"/>
        <v>0.19131594073880204</v>
      </c>
      <c r="CZ68">
        <v>6</v>
      </c>
      <c r="DA68">
        <v>0.5</v>
      </c>
      <c r="DB68" t="s">
        <v>418</v>
      </c>
      <c r="DC68">
        <v>2</v>
      </c>
      <c r="DD68">
        <v>1674585775</v>
      </c>
      <c r="DE68">
        <v>443.55799999999999</v>
      </c>
      <c r="DF68">
        <v>500.02</v>
      </c>
      <c r="DG68">
        <v>24.8567</v>
      </c>
      <c r="DH68">
        <v>18.6449</v>
      </c>
      <c r="DI68">
        <v>447.27</v>
      </c>
      <c r="DJ68">
        <v>24.5227</v>
      </c>
      <c r="DK68">
        <v>500.07400000000001</v>
      </c>
      <c r="DL68">
        <v>99.632900000000006</v>
      </c>
      <c r="DM68">
        <v>9.9762199999999995E-2</v>
      </c>
      <c r="DN68">
        <v>27.9876</v>
      </c>
      <c r="DO68">
        <v>28.0807</v>
      </c>
      <c r="DP68">
        <v>999.9</v>
      </c>
      <c r="DQ68">
        <v>0</v>
      </c>
      <c r="DR68">
        <v>0</v>
      </c>
      <c r="DS68">
        <v>9998.1200000000008</v>
      </c>
      <c r="DT68">
        <v>0</v>
      </c>
      <c r="DU68">
        <v>422.65899999999999</v>
      </c>
      <c r="DV68">
        <v>-56.462200000000003</v>
      </c>
      <c r="DW68">
        <v>454.86399999999998</v>
      </c>
      <c r="DX68">
        <v>509.52</v>
      </c>
      <c r="DY68">
        <v>6.2117399999999998</v>
      </c>
      <c r="DZ68">
        <v>500.02</v>
      </c>
      <c r="EA68">
        <v>18.6449</v>
      </c>
      <c r="EB68">
        <v>2.47654</v>
      </c>
      <c r="EC68">
        <v>1.85765</v>
      </c>
      <c r="ED68">
        <v>20.873200000000001</v>
      </c>
      <c r="EE68">
        <v>16.2805</v>
      </c>
      <c r="EF68">
        <v>1800.09</v>
      </c>
      <c r="EG68">
        <v>0.97800399999999998</v>
      </c>
      <c r="EH68">
        <v>2.1995799999999999E-2</v>
      </c>
      <c r="EI68">
        <v>0</v>
      </c>
      <c r="EJ68">
        <v>686.07399999999996</v>
      </c>
      <c r="EK68">
        <v>5.0010599999999998</v>
      </c>
      <c r="EL68">
        <v>12766.5</v>
      </c>
      <c r="EM68">
        <v>16711.900000000001</v>
      </c>
      <c r="EN68">
        <v>48</v>
      </c>
      <c r="EO68">
        <v>48.875</v>
      </c>
      <c r="EP68">
        <v>49</v>
      </c>
      <c r="EQ68">
        <v>47.5</v>
      </c>
      <c r="ER68">
        <v>48.875</v>
      </c>
      <c r="ES68">
        <v>1755.6</v>
      </c>
      <c r="ET68">
        <v>39.479999999999997</v>
      </c>
      <c r="EU68">
        <v>0</v>
      </c>
      <c r="EV68">
        <v>104.4000000953674</v>
      </c>
      <c r="EW68">
        <v>0</v>
      </c>
      <c r="EX68">
        <v>685.61269230769233</v>
      </c>
      <c r="EY68">
        <v>2.6847863162728181</v>
      </c>
      <c r="EZ68">
        <v>44.099145226118267</v>
      </c>
      <c r="FA68">
        <v>12759.25769230769</v>
      </c>
      <c r="FB68">
        <v>15</v>
      </c>
      <c r="FC68">
        <v>1674585742.5</v>
      </c>
      <c r="FD68" t="s">
        <v>686</v>
      </c>
      <c r="FE68">
        <v>1674585742.5</v>
      </c>
      <c r="FF68">
        <v>1674585735</v>
      </c>
      <c r="FG68">
        <v>59</v>
      </c>
      <c r="FH68">
        <v>-0.14199999999999999</v>
      </c>
      <c r="FI68">
        <v>-4.0000000000000001E-3</v>
      </c>
      <c r="FJ68">
        <v>-3.7890000000000001</v>
      </c>
      <c r="FK68">
        <v>4.9000000000000002E-2</v>
      </c>
      <c r="FL68">
        <v>500</v>
      </c>
      <c r="FM68">
        <v>19</v>
      </c>
      <c r="FN68">
        <v>0.03</v>
      </c>
      <c r="FO68">
        <v>0.02</v>
      </c>
      <c r="FP68">
        <v>44.606289384325173</v>
      </c>
      <c r="FQ68">
        <v>3.6151554118967859E-2</v>
      </c>
      <c r="FR68">
        <v>0.11838582605262669</v>
      </c>
      <c r="FS68">
        <v>1</v>
      </c>
      <c r="FT68">
        <v>0.41605257976442728</v>
      </c>
      <c r="FU68">
        <v>2.619451028983584E-2</v>
      </c>
      <c r="FV68">
        <v>3.8256961439908622E-3</v>
      </c>
      <c r="FW68">
        <v>1</v>
      </c>
      <c r="FX68">
        <v>2</v>
      </c>
      <c r="FY68">
        <v>2</v>
      </c>
      <c r="FZ68" t="s">
        <v>420</v>
      </c>
      <c r="GA68">
        <v>2.9781499999999999</v>
      </c>
      <c r="GB68">
        <v>2.8060700000000001</v>
      </c>
      <c r="GC68">
        <v>0.10609499999999999</v>
      </c>
      <c r="GD68">
        <v>0.1139</v>
      </c>
      <c r="GE68">
        <v>0.121945</v>
      </c>
      <c r="GF68">
        <v>9.9628599999999998E-2</v>
      </c>
      <c r="GG68">
        <v>26436.9</v>
      </c>
      <c r="GH68">
        <v>24323.5</v>
      </c>
      <c r="GI68">
        <v>26585.200000000001</v>
      </c>
      <c r="GJ68">
        <v>25923.5</v>
      </c>
      <c r="GK68">
        <v>31767.5</v>
      </c>
      <c r="GL68">
        <v>32943.1</v>
      </c>
      <c r="GM68">
        <v>37673.1</v>
      </c>
      <c r="GN68">
        <v>38460.199999999997</v>
      </c>
      <c r="GO68">
        <v>1.9774</v>
      </c>
      <c r="GP68">
        <v>1.91828</v>
      </c>
      <c r="GQ68">
        <v>8.9507600000000007E-2</v>
      </c>
      <c r="GR68">
        <v>0</v>
      </c>
      <c r="GS68">
        <v>26.617699999999999</v>
      </c>
      <c r="GT68">
        <v>999.9</v>
      </c>
      <c r="GU68">
        <v>39.700000000000003</v>
      </c>
      <c r="GV68">
        <v>35.1</v>
      </c>
      <c r="GW68">
        <v>22.6325</v>
      </c>
      <c r="GX68">
        <v>62.064500000000002</v>
      </c>
      <c r="GY68">
        <v>12.3758</v>
      </c>
      <c r="GZ68">
        <v>1</v>
      </c>
      <c r="HA68">
        <v>0.37123</v>
      </c>
      <c r="HB68">
        <v>1.8349500000000001</v>
      </c>
      <c r="HC68">
        <v>20.245000000000001</v>
      </c>
      <c r="HD68">
        <v>5.2057599999999997</v>
      </c>
      <c r="HE68">
        <v>11.936400000000001</v>
      </c>
      <c r="HF68">
        <v>4.9863499999999998</v>
      </c>
      <c r="HG68">
        <v>3.2900299999999998</v>
      </c>
      <c r="HH68">
        <v>9999</v>
      </c>
      <c r="HI68">
        <v>9999</v>
      </c>
      <c r="HJ68">
        <v>9999</v>
      </c>
      <c r="HK68">
        <v>999.9</v>
      </c>
      <c r="HL68">
        <v>1.87039</v>
      </c>
      <c r="HM68">
        <v>1.87659</v>
      </c>
      <c r="HN68">
        <v>1.8743099999999999</v>
      </c>
      <c r="HO68">
        <v>1.8725700000000001</v>
      </c>
      <c r="HP68">
        <v>1.8730199999999999</v>
      </c>
      <c r="HQ68">
        <v>1.87043</v>
      </c>
      <c r="HR68">
        <v>1.8763700000000001</v>
      </c>
      <c r="HS68">
        <v>1.8754599999999999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424</v>
      </c>
      <c r="IB68" t="s">
        <v>424</v>
      </c>
      <c r="IC68" t="s">
        <v>423</v>
      </c>
      <c r="ID68">
        <v>0</v>
      </c>
      <c r="IE68">
        <v>100</v>
      </c>
      <c r="IF68">
        <v>100</v>
      </c>
      <c r="IG68">
        <v>-3.7120000000000002</v>
      </c>
      <c r="IH68">
        <v>0.33400000000000002</v>
      </c>
      <c r="II68">
        <v>-2.8522016529047569</v>
      </c>
      <c r="IJ68">
        <v>-2.536945948238235E-3</v>
      </c>
      <c r="IK68">
        <v>1.581473279927893E-6</v>
      </c>
      <c r="IL68">
        <v>-4.6698293441882044E-10</v>
      </c>
      <c r="IM68">
        <v>-0.17786835258713601</v>
      </c>
      <c r="IN68">
        <v>-1.5895243091576399E-2</v>
      </c>
      <c r="IO68">
        <v>1.559614309849521E-3</v>
      </c>
      <c r="IP68">
        <v>-2.4566050869858518E-6</v>
      </c>
      <c r="IQ68">
        <v>2</v>
      </c>
      <c r="IR68">
        <v>2224</v>
      </c>
      <c r="IS68">
        <v>2</v>
      </c>
      <c r="IT68">
        <v>25</v>
      </c>
      <c r="IU68">
        <v>0.5</v>
      </c>
      <c r="IV68">
        <v>0.7</v>
      </c>
      <c r="IW68">
        <v>1.1230500000000001</v>
      </c>
      <c r="IX68">
        <v>2.50244</v>
      </c>
      <c r="IY68">
        <v>1.65039</v>
      </c>
      <c r="IZ68">
        <v>2.2900399999999999</v>
      </c>
      <c r="JA68">
        <v>1.50024</v>
      </c>
      <c r="JB68">
        <v>2.2985799999999998</v>
      </c>
      <c r="JC68">
        <v>38.771700000000003</v>
      </c>
      <c r="JD68">
        <v>23.868600000000001</v>
      </c>
      <c r="JE68">
        <v>18</v>
      </c>
      <c r="JF68">
        <v>506.01299999999998</v>
      </c>
      <c r="JG68">
        <v>461.03199999999998</v>
      </c>
      <c r="JH68">
        <v>25.133800000000001</v>
      </c>
      <c r="JI68">
        <v>31.967199999999998</v>
      </c>
      <c r="JJ68">
        <v>29.9998</v>
      </c>
      <c r="JK68">
        <v>32.0565</v>
      </c>
      <c r="JL68">
        <v>32.047199999999997</v>
      </c>
      <c r="JM68">
        <v>22.532299999999999</v>
      </c>
      <c r="JN68">
        <v>29.410699999999999</v>
      </c>
      <c r="JO68">
        <v>42.2667</v>
      </c>
      <c r="JP68">
        <v>25.1341</v>
      </c>
      <c r="JQ68">
        <v>500</v>
      </c>
      <c r="JR68">
        <v>18.660900000000002</v>
      </c>
      <c r="JS68">
        <v>99.971599999999995</v>
      </c>
      <c r="JT68">
        <v>99.227699999999999</v>
      </c>
    </row>
    <row r="69" spans="1:280" x14ac:dyDescent="0.25">
      <c r="A69">
        <v>53</v>
      </c>
      <c r="B69">
        <v>1674585881</v>
      </c>
      <c r="C69">
        <v>11746.400000095369</v>
      </c>
      <c r="D69" t="s">
        <v>687</v>
      </c>
      <c r="E69" t="s">
        <v>688</v>
      </c>
      <c r="F69" t="s">
        <v>412</v>
      </c>
      <c r="G69" t="s">
        <v>31</v>
      </c>
      <c r="H69" t="s">
        <v>637</v>
      </c>
      <c r="I69">
        <v>1674585881</v>
      </c>
      <c r="J69">
        <f t="shared" si="46"/>
        <v>5.2154589433659401E-3</v>
      </c>
      <c r="K69">
        <f t="shared" si="47"/>
        <v>5.21545894336594</v>
      </c>
      <c r="L69">
        <f t="shared" si="48"/>
        <v>46.305427491203595</v>
      </c>
      <c r="M69">
        <f t="shared" si="49"/>
        <v>541.09900000000005</v>
      </c>
      <c r="N69">
        <f t="shared" si="50"/>
        <v>337.68568184741247</v>
      </c>
      <c r="O69">
        <f t="shared" si="51"/>
        <v>33.678954610541012</v>
      </c>
      <c r="P69">
        <f t="shared" si="52"/>
        <v>53.966305474105695</v>
      </c>
      <c r="Q69">
        <f t="shared" si="53"/>
        <v>0.40746403044226054</v>
      </c>
      <c r="R69">
        <f t="shared" si="54"/>
        <v>2.9240182700142285</v>
      </c>
      <c r="S69">
        <f t="shared" si="55"/>
        <v>0.37834453373820909</v>
      </c>
      <c r="T69">
        <f t="shared" si="56"/>
        <v>0.23890795669960135</v>
      </c>
      <c r="U69">
        <f t="shared" si="57"/>
        <v>344.35039860461001</v>
      </c>
      <c r="V69">
        <f t="shared" si="58"/>
        <v>28.66506113858944</v>
      </c>
      <c r="W69">
        <f t="shared" si="59"/>
        <v>28.075800000000001</v>
      </c>
      <c r="X69">
        <f t="shared" si="60"/>
        <v>3.811640978751297</v>
      </c>
      <c r="Y69">
        <f t="shared" si="61"/>
        <v>65.394516130808839</v>
      </c>
      <c r="Z69">
        <f t="shared" si="62"/>
        <v>2.4801707167051101</v>
      </c>
      <c r="AA69">
        <f t="shared" si="63"/>
        <v>3.7926279808294892</v>
      </c>
      <c r="AB69">
        <f t="shared" si="64"/>
        <v>1.3314702620461869</v>
      </c>
      <c r="AC69">
        <f t="shared" si="65"/>
        <v>-230.00173940243795</v>
      </c>
      <c r="AD69">
        <f t="shared" si="66"/>
        <v>-13.52548394108441</v>
      </c>
      <c r="AE69">
        <f t="shared" si="67"/>
        <v>-1.0086159577355125</v>
      </c>
      <c r="AF69">
        <f t="shared" si="68"/>
        <v>99.814559303352127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52536.169744432576</v>
      </c>
      <c r="AL69" t="s">
        <v>415</v>
      </c>
      <c r="AM69">
        <v>10424.1</v>
      </c>
      <c r="AN69">
        <v>628.54280000000006</v>
      </c>
      <c r="AO69">
        <v>2663.98</v>
      </c>
      <c r="AP69">
        <f t="shared" si="72"/>
        <v>0.76405873917972356</v>
      </c>
      <c r="AQ69">
        <v>-3.1675626227050531</v>
      </c>
      <c r="AR69" t="s">
        <v>689</v>
      </c>
      <c r="AS69">
        <v>10201.9</v>
      </c>
      <c r="AT69">
        <v>686.92280769230763</v>
      </c>
      <c r="AU69">
        <v>994.87923728491671</v>
      </c>
      <c r="AV69">
        <f t="shared" si="73"/>
        <v>0.3095415182580753</v>
      </c>
      <c r="AW69">
        <v>0.5</v>
      </c>
      <c r="AX69">
        <f t="shared" si="74"/>
        <v>1513.100699302305</v>
      </c>
      <c r="AY69">
        <f t="shared" si="75"/>
        <v>46.305427491203595</v>
      </c>
      <c r="AZ69">
        <f t="shared" si="76"/>
        <v>234.18374386969546</v>
      </c>
      <c r="BA69">
        <f t="shared" si="77"/>
        <v>3.2696429349825022E-2</v>
      </c>
      <c r="BB69">
        <f t="shared" si="78"/>
        <v>1.6776918244571637</v>
      </c>
      <c r="BC69">
        <f t="shared" si="79"/>
        <v>450.29822546155452</v>
      </c>
      <c r="BD69" t="s">
        <v>690</v>
      </c>
      <c r="BE69">
        <v>538.66999999999996</v>
      </c>
      <c r="BF69">
        <f t="shared" si="80"/>
        <v>538.66999999999996</v>
      </c>
      <c r="BG69">
        <f t="shared" si="81"/>
        <v>0.4585574009263057</v>
      </c>
      <c r="BH69">
        <f t="shared" si="82"/>
        <v>0.67503330582559162</v>
      </c>
      <c r="BI69">
        <f t="shared" si="83"/>
        <v>0.78534461453391902</v>
      </c>
      <c r="BJ69">
        <f t="shared" si="84"/>
        <v>0.84063827195299501</v>
      </c>
      <c r="BK69">
        <f t="shared" si="85"/>
        <v>0.82002076149295278</v>
      </c>
      <c r="BL69">
        <f t="shared" si="86"/>
        <v>0.52934650993848975</v>
      </c>
      <c r="BM69">
        <f t="shared" si="87"/>
        <v>0.47065349006151025</v>
      </c>
      <c r="BN69">
        <v>20269</v>
      </c>
      <c r="BO69">
        <v>290.00000000000011</v>
      </c>
      <c r="BP69">
        <v>924.38</v>
      </c>
      <c r="BQ69">
        <v>285</v>
      </c>
      <c r="BR69">
        <v>10201.9</v>
      </c>
      <c r="BS69">
        <v>924.65</v>
      </c>
      <c r="BT69">
        <v>-0.27</v>
      </c>
      <c r="BU69">
        <v>300.00000000000011</v>
      </c>
      <c r="BV69">
        <v>24.2</v>
      </c>
      <c r="BW69">
        <v>994.87923728491671</v>
      </c>
      <c r="BX69">
        <v>1.836270379743943</v>
      </c>
      <c r="BY69">
        <v>-71.650034297123156</v>
      </c>
      <c r="BZ69">
        <v>1.668890557800405</v>
      </c>
      <c r="CA69">
        <v>0.98503649740295018</v>
      </c>
      <c r="CB69">
        <v>-6.952859399332597E-3</v>
      </c>
      <c r="CC69">
        <v>289.99999999999989</v>
      </c>
      <c r="CD69">
        <v>926.04</v>
      </c>
      <c r="CE69">
        <v>635</v>
      </c>
      <c r="CF69">
        <v>10184.799999999999</v>
      </c>
      <c r="CG69">
        <v>924.53</v>
      </c>
      <c r="CH69">
        <v>1.51</v>
      </c>
      <c r="CV69">
        <f t="shared" si="88"/>
        <v>1799.9</v>
      </c>
      <c r="CW69">
        <f t="shared" si="89"/>
        <v>1513.100699302305</v>
      </c>
      <c r="CX69">
        <f t="shared" si="90"/>
        <v>0.84065820284588311</v>
      </c>
      <c r="CY69">
        <f t="shared" si="91"/>
        <v>0.19131640569176619</v>
      </c>
      <c r="CZ69">
        <v>6</v>
      </c>
      <c r="DA69">
        <v>0.5</v>
      </c>
      <c r="DB69" t="s">
        <v>418</v>
      </c>
      <c r="DC69">
        <v>2</v>
      </c>
      <c r="DD69">
        <v>1674585881</v>
      </c>
      <c r="DE69">
        <v>541.09900000000005</v>
      </c>
      <c r="DF69">
        <v>600.048</v>
      </c>
      <c r="DG69">
        <v>24.867699999999999</v>
      </c>
      <c r="DH69">
        <v>18.7652</v>
      </c>
      <c r="DI69">
        <v>544.75199999999995</v>
      </c>
      <c r="DJ69">
        <v>24.529900000000001</v>
      </c>
      <c r="DK69">
        <v>500.03399999999999</v>
      </c>
      <c r="DL69">
        <v>99.635199999999998</v>
      </c>
      <c r="DM69">
        <v>9.9424299999999993E-2</v>
      </c>
      <c r="DN69">
        <v>27.99</v>
      </c>
      <c r="DO69">
        <v>28.075800000000001</v>
      </c>
      <c r="DP69">
        <v>999.9</v>
      </c>
      <c r="DQ69">
        <v>0</v>
      </c>
      <c r="DR69">
        <v>0</v>
      </c>
      <c r="DS69">
        <v>10005</v>
      </c>
      <c r="DT69">
        <v>0</v>
      </c>
      <c r="DU69">
        <v>444.58699999999999</v>
      </c>
      <c r="DV69">
        <v>-58.949199999999998</v>
      </c>
      <c r="DW69">
        <v>554.89800000000002</v>
      </c>
      <c r="DX69">
        <v>611.524</v>
      </c>
      <c r="DY69">
        <v>6.1025</v>
      </c>
      <c r="DZ69">
        <v>600.048</v>
      </c>
      <c r="EA69">
        <v>18.7652</v>
      </c>
      <c r="EB69">
        <v>2.4777</v>
      </c>
      <c r="EC69">
        <v>1.86968</v>
      </c>
      <c r="ED69">
        <v>20.880800000000001</v>
      </c>
      <c r="EE69">
        <v>16.381799999999998</v>
      </c>
      <c r="EF69">
        <v>1799.9</v>
      </c>
      <c r="EG69">
        <v>0.97800100000000001</v>
      </c>
      <c r="EH69">
        <v>2.1999299999999999E-2</v>
      </c>
      <c r="EI69">
        <v>0</v>
      </c>
      <c r="EJ69">
        <v>687.476</v>
      </c>
      <c r="EK69">
        <v>5.0010599999999998</v>
      </c>
      <c r="EL69">
        <v>12799.1</v>
      </c>
      <c r="EM69">
        <v>16710.099999999999</v>
      </c>
      <c r="EN69">
        <v>47.936999999999998</v>
      </c>
      <c r="EO69">
        <v>48.75</v>
      </c>
      <c r="EP69">
        <v>48.936999999999998</v>
      </c>
      <c r="EQ69">
        <v>47.375</v>
      </c>
      <c r="ER69">
        <v>48.811999999999998</v>
      </c>
      <c r="ES69">
        <v>1755.41</v>
      </c>
      <c r="ET69">
        <v>39.49</v>
      </c>
      <c r="EU69">
        <v>0</v>
      </c>
      <c r="EV69">
        <v>104</v>
      </c>
      <c r="EW69">
        <v>0</v>
      </c>
      <c r="EX69">
        <v>686.92280769230763</v>
      </c>
      <c r="EY69">
        <v>1.517914546031361</v>
      </c>
      <c r="EZ69">
        <v>36.030769221611664</v>
      </c>
      <c r="FA69">
        <v>12791.58846153846</v>
      </c>
      <c r="FB69">
        <v>15</v>
      </c>
      <c r="FC69">
        <v>1674585848.5</v>
      </c>
      <c r="FD69" t="s">
        <v>691</v>
      </c>
      <c r="FE69">
        <v>1674585842.5</v>
      </c>
      <c r="FF69">
        <v>1674585848.5</v>
      </c>
      <c r="FG69">
        <v>60</v>
      </c>
      <c r="FH69">
        <v>0.188</v>
      </c>
      <c r="FI69">
        <v>3.0000000000000001E-3</v>
      </c>
      <c r="FJ69">
        <v>-3.722</v>
      </c>
      <c r="FK69">
        <v>5.2999999999999999E-2</v>
      </c>
      <c r="FL69">
        <v>600</v>
      </c>
      <c r="FM69">
        <v>19</v>
      </c>
      <c r="FN69">
        <v>0.04</v>
      </c>
      <c r="FO69">
        <v>0.02</v>
      </c>
      <c r="FP69">
        <v>46.199490378407958</v>
      </c>
      <c r="FQ69">
        <v>-0.42017340179735702</v>
      </c>
      <c r="FR69">
        <v>0.16645108120149471</v>
      </c>
      <c r="FS69">
        <v>1</v>
      </c>
      <c r="FT69">
        <v>0.41306417237681481</v>
      </c>
      <c r="FU69">
        <v>-8.8455709267009786E-3</v>
      </c>
      <c r="FV69">
        <v>3.4302159294554808E-3</v>
      </c>
      <c r="FW69">
        <v>1</v>
      </c>
      <c r="FX69">
        <v>2</v>
      </c>
      <c r="FY69">
        <v>2</v>
      </c>
      <c r="FZ69" t="s">
        <v>420</v>
      </c>
      <c r="GA69">
        <v>2.9781300000000002</v>
      </c>
      <c r="GB69">
        <v>2.80579</v>
      </c>
      <c r="GC69">
        <v>0.122685</v>
      </c>
      <c r="GD69">
        <v>0.12989500000000001</v>
      </c>
      <c r="GE69">
        <v>0.12199599999999999</v>
      </c>
      <c r="GF69">
        <v>0.10009999999999999</v>
      </c>
      <c r="GG69">
        <v>25949.8</v>
      </c>
      <c r="GH69">
        <v>23887.8</v>
      </c>
      <c r="GI69">
        <v>26589</v>
      </c>
      <c r="GJ69">
        <v>25927.200000000001</v>
      </c>
      <c r="GK69">
        <v>31770.1</v>
      </c>
      <c r="GL69">
        <v>32929.5</v>
      </c>
      <c r="GM69">
        <v>37678.699999999997</v>
      </c>
      <c r="GN69">
        <v>38464.300000000003</v>
      </c>
      <c r="GO69">
        <v>1.97845</v>
      </c>
      <c r="GP69">
        <v>1.9200999999999999</v>
      </c>
      <c r="GQ69">
        <v>9.2208399999999996E-2</v>
      </c>
      <c r="GR69">
        <v>0</v>
      </c>
      <c r="GS69">
        <v>26.5686</v>
      </c>
      <c r="GT69">
        <v>999.9</v>
      </c>
      <c r="GU69">
        <v>39.700000000000003</v>
      </c>
      <c r="GV69">
        <v>35.1</v>
      </c>
      <c r="GW69">
        <v>22.6294</v>
      </c>
      <c r="GX69">
        <v>61.9345</v>
      </c>
      <c r="GY69">
        <v>12.540100000000001</v>
      </c>
      <c r="GZ69">
        <v>1</v>
      </c>
      <c r="HA69">
        <v>0.36317100000000002</v>
      </c>
      <c r="HB69">
        <v>1.74048</v>
      </c>
      <c r="HC69">
        <v>20.245799999999999</v>
      </c>
      <c r="HD69">
        <v>5.2069599999999996</v>
      </c>
      <c r="HE69">
        <v>11.9369</v>
      </c>
      <c r="HF69">
        <v>4.9867999999999997</v>
      </c>
      <c r="HG69">
        <v>3.2900999999999998</v>
      </c>
      <c r="HH69">
        <v>9999</v>
      </c>
      <c r="HI69">
        <v>9999</v>
      </c>
      <c r="HJ69">
        <v>9999</v>
      </c>
      <c r="HK69">
        <v>999.9</v>
      </c>
      <c r="HL69">
        <v>1.8704000000000001</v>
      </c>
      <c r="HM69">
        <v>1.8766</v>
      </c>
      <c r="HN69">
        <v>1.8743399999999999</v>
      </c>
      <c r="HO69">
        <v>1.8726</v>
      </c>
      <c r="HP69">
        <v>1.8730199999999999</v>
      </c>
      <c r="HQ69">
        <v>1.87043</v>
      </c>
      <c r="HR69">
        <v>1.8763700000000001</v>
      </c>
      <c r="HS69">
        <v>1.8754599999999999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424</v>
      </c>
      <c r="IB69" t="s">
        <v>424</v>
      </c>
      <c r="IC69" t="s">
        <v>423</v>
      </c>
      <c r="ID69">
        <v>0</v>
      </c>
      <c r="IE69">
        <v>100</v>
      </c>
      <c r="IF69">
        <v>100</v>
      </c>
      <c r="IG69">
        <v>-3.653</v>
      </c>
      <c r="IH69">
        <v>0.33779999999999999</v>
      </c>
      <c r="II69">
        <v>-2.6643147294587739</v>
      </c>
      <c r="IJ69">
        <v>-2.536945948238235E-3</v>
      </c>
      <c r="IK69">
        <v>1.581473279927893E-6</v>
      </c>
      <c r="IL69">
        <v>-4.6698293441882044E-10</v>
      </c>
      <c r="IM69">
        <v>-0.1744013855899966</v>
      </c>
      <c r="IN69">
        <v>-1.5895243091576399E-2</v>
      </c>
      <c r="IO69">
        <v>1.559614309849521E-3</v>
      </c>
      <c r="IP69">
        <v>-2.4566050869858518E-6</v>
      </c>
      <c r="IQ69">
        <v>2</v>
      </c>
      <c r="IR69">
        <v>2224</v>
      </c>
      <c r="IS69">
        <v>2</v>
      </c>
      <c r="IT69">
        <v>25</v>
      </c>
      <c r="IU69">
        <v>0.6</v>
      </c>
      <c r="IV69">
        <v>0.5</v>
      </c>
      <c r="IW69">
        <v>1.3012699999999999</v>
      </c>
      <c r="IX69">
        <v>2.49268</v>
      </c>
      <c r="IY69">
        <v>1.65039</v>
      </c>
      <c r="IZ69">
        <v>2.2900399999999999</v>
      </c>
      <c r="JA69">
        <v>1.50024</v>
      </c>
      <c r="JB69">
        <v>2.4060100000000002</v>
      </c>
      <c r="JC69">
        <v>38.697899999999997</v>
      </c>
      <c r="JD69">
        <v>23.886099999999999</v>
      </c>
      <c r="JE69">
        <v>18</v>
      </c>
      <c r="JF69">
        <v>506.00400000000002</v>
      </c>
      <c r="JG69">
        <v>461.577</v>
      </c>
      <c r="JH69">
        <v>25.178699999999999</v>
      </c>
      <c r="JI69">
        <v>31.875900000000001</v>
      </c>
      <c r="JJ69">
        <v>29.999700000000001</v>
      </c>
      <c r="JK69">
        <v>31.971399999999999</v>
      </c>
      <c r="JL69">
        <v>31.963799999999999</v>
      </c>
      <c r="JM69">
        <v>26.053999999999998</v>
      </c>
      <c r="JN69">
        <v>29.384499999999999</v>
      </c>
      <c r="JO69">
        <v>42.639299999999999</v>
      </c>
      <c r="JP69">
        <v>25.1859</v>
      </c>
      <c r="JQ69">
        <v>600</v>
      </c>
      <c r="JR69">
        <v>18.682300000000001</v>
      </c>
      <c r="JS69">
        <v>99.986099999999993</v>
      </c>
      <c r="JT69">
        <v>99.239699999999999</v>
      </c>
    </row>
    <row r="70" spans="1:280" x14ac:dyDescent="0.25">
      <c r="A70">
        <v>54</v>
      </c>
      <c r="B70">
        <v>1674585985.5</v>
      </c>
      <c r="C70">
        <v>11850.900000095369</v>
      </c>
      <c r="D70" t="s">
        <v>692</v>
      </c>
      <c r="E70" t="s">
        <v>693</v>
      </c>
      <c r="F70" t="s">
        <v>412</v>
      </c>
      <c r="G70" t="s">
        <v>31</v>
      </c>
      <c r="H70" t="s">
        <v>637</v>
      </c>
      <c r="I70">
        <v>1674585985.5</v>
      </c>
      <c r="J70">
        <f t="shared" si="46"/>
        <v>5.1759003825622195E-3</v>
      </c>
      <c r="K70">
        <f t="shared" si="47"/>
        <v>5.1759003825622196</v>
      </c>
      <c r="L70">
        <f t="shared" si="48"/>
        <v>47.554664069201799</v>
      </c>
      <c r="M70">
        <f t="shared" si="49"/>
        <v>738.35</v>
      </c>
      <c r="N70">
        <f t="shared" si="50"/>
        <v>521.91630832837677</v>
      </c>
      <c r="O70">
        <f t="shared" si="51"/>
        <v>52.053108555719561</v>
      </c>
      <c r="P70">
        <f t="shared" si="52"/>
        <v>73.639033861984998</v>
      </c>
      <c r="Q70">
        <f t="shared" si="53"/>
        <v>0.40000426995604194</v>
      </c>
      <c r="R70">
        <f t="shared" si="54"/>
        <v>2.9219277637383851</v>
      </c>
      <c r="S70">
        <f t="shared" si="55"/>
        <v>0.37188323876505441</v>
      </c>
      <c r="T70">
        <f t="shared" si="56"/>
        <v>0.23478863253880308</v>
      </c>
      <c r="U70">
        <f t="shared" si="57"/>
        <v>344.34849860460224</v>
      </c>
      <c r="V70">
        <f t="shared" si="58"/>
        <v>28.716885623756891</v>
      </c>
      <c r="W70">
        <f t="shared" si="59"/>
        <v>28.131799999999998</v>
      </c>
      <c r="X70">
        <f t="shared" si="60"/>
        <v>3.8240951948849875</v>
      </c>
      <c r="Y70">
        <f t="shared" si="61"/>
        <v>65.229613501253851</v>
      </c>
      <c r="Z70">
        <f t="shared" si="62"/>
        <v>2.4798506906769497</v>
      </c>
      <c r="AA70">
        <f t="shared" si="63"/>
        <v>3.8017252557065695</v>
      </c>
      <c r="AB70">
        <f t="shared" si="64"/>
        <v>1.3442445042080378</v>
      </c>
      <c r="AC70">
        <f t="shared" si="65"/>
        <v>-228.25720687099388</v>
      </c>
      <c r="AD70">
        <f t="shared" si="66"/>
        <v>-15.862965838585414</v>
      </c>
      <c r="AE70">
        <f t="shared" si="67"/>
        <v>-1.1843447265193261</v>
      </c>
      <c r="AF70">
        <f t="shared" si="68"/>
        <v>99.04398116850362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52468.906872585183</v>
      </c>
      <c r="AL70" t="s">
        <v>415</v>
      </c>
      <c r="AM70">
        <v>10424.1</v>
      </c>
      <c r="AN70">
        <v>628.54280000000006</v>
      </c>
      <c r="AO70">
        <v>2663.98</v>
      </c>
      <c r="AP70">
        <f t="shared" si="72"/>
        <v>0.76405873917972356</v>
      </c>
      <c r="AQ70">
        <v>-3.1675626227050531</v>
      </c>
      <c r="AR70" t="s">
        <v>694</v>
      </c>
      <c r="AS70">
        <v>10202.200000000001</v>
      </c>
      <c r="AT70">
        <v>687.54647999999997</v>
      </c>
      <c r="AU70">
        <v>1013.632274756503</v>
      </c>
      <c r="AV70">
        <f t="shared" si="73"/>
        <v>0.32170028804068618</v>
      </c>
      <c r="AW70">
        <v>0.5</v>
      </c>
      <c r="AX70">
        <f t="shared" si="74"/>
        <v>1513.0922993023009</v>
      </c>
      <c r="AY70">
        <f t="shared" si="75"/>
        <v>47.554664069201799</v>
      </c>
      <c r="AZ70">
        <f t="shared" si="76"/>
        <v>243.38111425884719</v>
      </c>
      <c r="BA70">
        <f t="shared" si="77"/>
        <v>3.3522229090251321E-2</v>
      </c>
      <c r="BB70">
        <f t="shared" si="78"/>
        <v>1.6281523056672078</v>
      </c>
      <c r="BC70">
        <f t="shared" si="79"/>
        <v>454.10076106370582</v>
      </c>
      <c r="BD70" t="s">
        <v>695</v>
      </c>
      <c r="BE70">
        <v>537.54</v>
      </c>
      <c r="BF70">
        <f t="shared" si="80"/>
        <v>537.54</v>
      </c>
      <c r="BG70">
        <f t="shared" si="81"/>
        <v>0.46968934061503809</v>
      </c>
      <c r="BH70">
        <f t="shared" si="82"/>
        <v>0.6849214155455039</v>
      </c>
      <c r="BI70">
        <f t="shared" si="83"/>
        <v>0.77610829613979093</v>
      </c>
      <c r="BJ70">
        <f t="shared" si="84"/>
        <v>0.84677929710411137</v>
      </c>
      <c r="BK70">
        <f t="shared" si="85"/>
        <v>0.81080748904633226</v>
      </c>
      <c r="BL70">
        <f t="shared" si="86"/>
        <v>0.53548766290292138</v>
      </c>
      <c r="BM70">
        <f t="shared" si="87"/>
        <v>0.46451233709707862</v>
      </c>
      <c r="BN70">
        <v>20271</v>
      </c>
      <c r="BO70">
        <v>290.00000000000011</v>
      </c>
      <c r="BP70">
        <v>932.66</v>
      </c>
      <c r="BQ70">
        <v>295</v>
      </c>
      <c r="BR70">
        <v>10202.200000000001</v>
      </c>
      <c r="BS70">
        <v>934.12</v>
      </c>
      <c r="BT70">
        <v>-1.46</v>
      </c>
      <c r="BU70">
        <v>300.00000000000011</v>
      </c>
      <c r="BV70">
        <v>24.2</v>
      </c>
      <c r="BW70">
        <v>1013.632274756503</v>
      </c>
      <c r="BX70">
        <v>2.124096980214075</v>
      </c>
      <c r="BY70">
        <v>-81.120130646750866</v>
      </c>
      <c r="BZ70">
        <v>1.9305356936672371</v>
      </c>
      <c r="CA70">
        <v>0.98438926721413189</v>
      </c>
      <c r="CB70">
        <v>-6.9531490545050112E-3</v>
      </c>
      <c r="CC70">
        <v>289.99999999999989</v>
      </c>
      <c r="CD70">
        <v>934.27</v>
      </c>
      <c r="CE70">
        <v>665</v>
      </c>
      <c r="CF70">
        <v>10182.700000000001</v>
      </c>
      <c r="CG70">
        <v>933.97</v>
      </c>
      <c r="CH70">
        <v>0.3</v>
      </c>
      <c r="CV70">
        <f t="shared" si="88"/>
        <v>1799.89</v>
      </c>
      <c r="CW70">
        <f t="shared" si="89"/>
        <v>1513.0922993023009</v>
      </c>
      <c r="CX70">
        <f t="shared" si="90"/>
        <v>0.84065820650278678</v>
      </c>
      <c r="CY70">
        <f t="shared" si="91"/>
        <v>0.19131641300557381</v>
      </c>
      <c r="CZ70">
        <v>6</v>
      </c>
      <c r="DA70">
        <v>0.5</v>
      </c>
      <c r="DB70" t="s">
        <v>418</v>
      </c>
      <c r="DC70">
        <v>2</v>
      </c>
      <c r="DD70">
        <v>1674585985.5</v>
      </c>
      <c r="DE70">
        <v>738.35</v>
      </c>
      <c r="DF70">
        <v>799.99599999999998</v>
      </c>
      <c r="DG70">
        <v>24.8645</v>
      </c>
      <c r="DH70">
        <v>18.808399999999999</v>
      </c>
      <c r="DI70">
        <v>742.41899999999998</v>
      </c>
      <c r="DJ70">
        <v>24.529299999999999</v>
      </c>
      <c r="DK70">
        <v>500.04500000000002</v>
      </c>
      <c r="DL70">
        <v>99.634699999999995</v>
      </c>
      <c r="DM70">
        <v>9.9889099999999995E-2</v>
      </c>
      <c r="DN70">
        <v>28.031099999999999</v>
      </c>
      <c r="DO70">
        <v>28.131799999999998</v>
      </c>
      <c r="DP70">
        <v>999.9</v>
      </c>
      <c r="DQ70">
        <v>0</v>
      </c>
      <c r="DR70">
        <v>0</v>
      </c>
      <c r="DS70">
        <v>9993.1200000000008</v>
      </c>
      <c r="DT70">
        <v>0</v>
      </c>
      <c r="DU70">
        <v>448.137</v>
      </c>
      <c r="DV70">
        <v>-61.645899999999997</v>
      </c>
      <c r="DW70">
        <v>757.17700000000002</v>
      </c>
      <c r="DX70">
        <v>815.33100000000002</v>
      </c>
      <c r="DY70">
        <v>6.0561400000000001</v>
      </c>
      <c r="DZ70">
        <v>799.99599999999998</v>
      </c>
      <c r="EA70">
        <v>18.808399999999999</v>
      </c>
      <c r="EB70">
        <v>2.4773700000000001</v>
      </c>
      <c r="EC70">
        <v>1.8739600000000001</v>
      </c>
      <c r="ED70">
        <v>20.878599999999999</v>
      </c>
      <c r="EE70">
        <v>16.4178</v>
      </c>
      <c r="EF70">
        <v>1799.89</v>
      </c>
      <c r="EG70">
        <v>0.97800100000000001</v>
      </c>
      <c r="EH70">
        <v>2.1999299999999999E-2</v>
      </c>
      <c r="EI70">
        <v>0</v>
      </c>
      <c r="EJ70">
        <v>687.59500000000003</v>
      </c>
      <c r="EK70">
        <v>5.0010599999999998</v>
      </c>
      <c r="EL70">
        <v>12810.4</v>
      </c>
      <c r="EM70">
        <v>16710.099999999999</v>
      </c>
      <c r="EN70">
        <v>47.936999999999998</v>
      </c>
      <c r="EO70">
        <v>48.75</v>
      </c>
      <c r="EP70">
        <v>48.875</v>
      </c>
      <c r="EQ70">
        <v>47.375</v>
      </c>
      <c r="ER70">
        <v>48.811999999999998</v>
      </c>
      <c r="ES70">
        <v>1755.4</v>
      </c>
      <c r="ET70">
        <v>39.49</v>
      </c>
      <c r="EU70">
        <v>0</v>
      </c>
      <c r="EV70">
        <v>102.80000019073491</v>
      </c>
      <c r="EW70">
        <v>0</v>
      </c>
      <c r="EX70">
        <v>687.54647999999997</v>
      </c>
      <c r="EY70">
        <v>0.95423077659910516</v>
      </c>
      <c r="EZ70">
        <v>4.8384615823540642</v>
      </c>
      <c r="FA70">
        <v>12811.495999999999</v>
      </c>
      <c r="FB70">
        <v>15</v>
      </c>
      <c r="FC70">
        <v>1674585952.5</v>
      </c>
      <c r="FD70" t="s">
        <v>696</v>
      </c>
      <c r="FE70">
        <v>1674585952.5</v>
      </c>
      <c r="FF70">
        <v>1674585950.5</v>
      </c>
      <c r="FG70">
        <v>61</v>
      </c>
      <c r="FH70">
        <v>-0.20200000000000001</v>
      </c>
      <c r="FI70">
        <v>-3.0000000000000001E-3</v>
      </c>
      <c r="FJ70">
        <v>-4.1269999999999998</v>
      </c>
      <c r="FK70">
        <v>4.8000000000000001E-2</v>
      </c>
      <c r="FL70">
        <v>800</v>
      </c>
      <c r="FM70">
        <v>19</v>
      </c>
      <c r="FN70">
        <v>0.03</v>
      </c>
      <c r="FO70">
        <v>0.01</v>
      </c>
      <c r="FP70">
        <v>47.449446182515679</v>
      </c>
      <c r="FQ70">
        <v>-0.1639000573238521</v>
      </c>
      <c r="FR70">
        <v>8.2035918096855107E-2</v>
      </c>
      <c r="FS70">
        <v>1</v>
      </c>
      <c r="FT70">
        <v>0.40551272744088779</v>
      </c>
      <c r="FU70">
        <v>-1.4093813155743659E-2</v>
      </c>
      <c r="FV70">
        <v>3.8102083478750168E-3</v>
      </c>
      <c r="FW70">
        <v>1</v>
      </c>
      <c r="FX70">
        <v>2</v>
      </c>
      <c r="FY70">
        <v>2</v>
      </c>
      <c r="FZ70" t="s">
        <v>420</v>
      </c>
      <c r="GA70">
        <v>2.9782299999999999</v>
      </c>
      <c r="GB70">
        <v>2.8061500000000001</v>
      </c>
      <c r="GC70">
        <v>0.15230299999999999</v>
      </c>
      <c r="GD70">
        <v>0.158273</v>
      </c>
      <c r="GE70">
        <v>0.122016</v>
      </c>
      <c r="GF70">
        <v>0.10027899999999999</v>
      </c>
      <c r="GG70">
        <v>25075.599999999999</v>
      </c>
      <c r="GH70">
        <v>23112.1</v>
      </c>
      <c r="GI70">
        <v>26591.7</v>
      </c>
      <c r="GJ70">
        <v>25931.9</v>
      </c>
      <c r="GK70">
        <v>31772.6</v>
      </c>
      <c r="GL70">
        <v>32928.699999999997</v>
      </c>
      <c r="GM70">
        <v>37682.699999999997</v>
      </c>
      <c r="GN70">
        <v>38470.800000000003</v>
      </c>
      <c r="GO70">
        <v>1.9795199999999999</v>
      </c>
      <c r="GP70">
        <v>1.9224300000000001</v>
      </c>
      <c r="GQ70">
        <v>9.1571399999999997E-2</v>
      </c>
      <c r="GR70">
        <v>0</v>
      </c>
      <c r="GS70">
        <v>26.635300000000001</v>
      </c>
      <c r="GT70">
        <v>999.9</v>
      </c>
      <c r="GU70">
        <v>39.799999999999997</v>
      </c>
      <c r="GV70">
        <v>35.1</v>
      </c>
      <c r="GW70">
        <v>22.687799999999999</v>
      </c>
      <c r="GX70">
        <v>61.974499999999999</v>
      </c>
      <c r="GY70">
        <v>12.848599999999999</v>
      </c>
      <c r="GZ70">
        <v>1</v>
      </c>
      <c r="HA70">
        <v>0.35732700000000001</v>
      </c>
      <c r="HB70">
        <v>2.0159199999999999</v>
      </c>
      <c r="HC70">
        <v>20.242699999999999</v>
      </c>
      <c r="HD70">
        <v>5.2020200000000001</v>
      </c>
      <c r="HE70">
        <v>11.936</v>
      </c>
      <c r="HF70">
        <v>4.9865000000000004</v>
      </c>
      <c r="HG70">
        <v>3.2901500000000001</v>
      </c>
      <c r="HH70">
        <v>9999</v>
      </c>
      <c r="HI70">
        <v>9999</v>
      </c>
      <c r="HJ70">
        <v>9999</v>
      </c>
      <c r="HK70">
        <v>999.9</v>
      </c>
      <c r="HL70">
        <v>1.8703399999999999</v>
      </c>
      <c r="HM70">
        <v>1.87656</v>
      </c>
      <c r="HN70">
        <v>1.87429</v>
      </c>
      <c r="HO70">
        <v>1.8725700000000001</v>
      </c>
      <c r="HP70">
        <v>1.87303</v>
      </c>
      <c r="HQ70">
        <v>1.87042</v>
      </c>
      <c r="HR70">
        <v>1.8763700000000001</v>
      </c>
      <c r="HS70">
        <v>1.8754599999999999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424</v>
      </c>
      <c r="IB70" t="s">
        <v>424</v>
      </c>
      <c r="IC70" t="s">
        <v>423</v>
      </c>
      <c r="ID70">
        <v>0</v>
      </c>
      <c r="IE70">
        <v>100</v>
      </c>
      <c r="IF70">
        <v>100</v>
      </c>
      <c r="IG70">
        <v>-4.069</v>
      </c>
      <c r="IH70">
        <v>0.3352</v>
      </c>
      <c r="II70">
        <v>-2.8667391383520928</v>
      </c>
      <c r="IJ70">
        <v>-2.536945948238235E-3</v>
      </c>
      <c r="IK70">
        <v>1.581473279927893E-6</v>
      </c>
      <c r="IL70">
        <v>-4.6698293441882044E-10</v>
      </c>
      <c r="IM70">
        <v>-0.17709284922416579</v>
      </c>
      <c r="IN70">
        <v>-1.5895243091576399E-2</v>
      </c>
      <c r="IO70">
        <v>1.559614309849521E-3</v>
      </c>
      <c r="IP70">
        <v>-2.4566050869858518E-6</v>
      </c>
      <c r="IQ70">
        <v>2</v>
      </c>
      <c r="IR70">
        <v>2224</v>
      </c>
      <c r="IS70">
        <v>2</v>
      </c>
      <c r="IT70">
        <v>25</v>
      </c>
      <c r="IU70">
        <v>0.6</v>
      </c>
      <c r="IV70">
        <v>0.6</v>
      </c>
      <c r="IW70">
        <v>1.64185</v>
      </c>
      <c r="IX70">
        <v>2.49146</v>
      </c>
      <c r="IY70">
        <v>1.65039</v>
      </c>
      <c r="IZ70">
        <v>2.2888199999999999</v>
      </c>
      <c r="JA70">
        <v>1.50024</v>
      </c>
      <c r="JB70">
        <v>2.3547400000000001</v>
      </c>
      <c r="JC70">
        <v>38.648699999999998</v>
      </c>
      <c r="JD70">
        <v>23.877400000000002</v>
      </c>
      <c r="JE70">
        <v>18</v>
      </c>
      <c r="JF70">
        <v>506.05</v>
      </c>
      <c r="JG70">
        <v>462.47300000000001</v>
      </c>
      <c r="JH70">
        <v>25.034600000000001</v>
      </c>
      <c r="JI70">
        <v>31.792300000000001</v>
      </c>
      <c r="JJ70">
        <v>29.9999</v>
      </c>
      <c r="JK70">
        <v>31.891100000000002</v>
      </c>
      <c r="JL70">
        <v>31.883800000000001</v>
      </c>
      <c r="JM70">
        <v>32.871600000000001</v>
      </c>
      <c r="JN70">
        <v>28.608499999999999</v>
      </c>
      <c r="JO70">
        <v>43.031599999999997</v>
      </c>
      <c r="JP70">
        <v>25.032699999999998</v>
      </c>
      <c r="JQ70">
        <v>800</v>
      </c>
      <c r="JR70">
        <v>18.819500000000001</v>
      </c>
      <c r="JS70">
        <v>99.996700000000004</v>
      </c>
      <c r="JT70">
        <v>99.256900000000002</v>
      </c>
    </row>
    <row r="71" spans="1:280" x14ac:dyDescent="0.25">
      <c r="A71">
        <v>55</v>
      </c>
      <c r="B71">
        <v>1674586110</v>
      </c>
      <c r="C71">
        <v>11975.400000095369</v>
      </c>
      <c r="D71" t="s">
        <v>697</v>
      </c>
      <c r="E71" t="s">
        <v>698</v>
      </c>
      <c r="F71" t="s">
        <v>412</v>
      </c>
      <c r="G71" t="s">
        <v>31</v>
      </c>
      <c r="H71" t="s">
        <v>637</v>
      </c>
      <c r="I71">
        <v>1674586110</v>
      </c>
      <c r="J71">
        <f t="shared" si="46"/>
        <v>5.1060588144816706E-3</v>
      </c>
      <c r="K71">
        <f t="shared" si="47"/>
        <v>5.1060588144816705</v>
      </c>
      <c r="L71">
        <f t="shared" si="48"/>
        <v>47.392734014397547</v>
      </c>
      <c r="M71">
        <f t="shared" si="49"/>
        <v>1136.21</v>
      </c>
      <c r="N71">
        <f t="shared" si="50"/>
        <v>907.71702183548678</v>
      </c>
      <c r="O71">
        <f t="shared" si="51"/>
        <v>90.523397099942599</v>
      </c>
      <c r="P71">
        <f t="shared" si="52"/>
        <v>113.31019089071</v>
      </c>
      <c r="Q71">
        <f t="shared" si="53"/>
        <v>0.39179009588788183</v>
      </c>
      <c r="R71">
        <f t="shared" si="54"/>
        <v>2.9215609385845998</v>
      </c>
      <c r="S71">
        <f t="shared" si="55"/>
        <v>0.36476719198538465</v>
      </c>
      <c r="T71">
        <f t="shared" si="56"/>
        <v>0.23025188883274245</v>
      </c>
      <c r="U71">
        <f t="shared" si="57"/>
        <v>344.39409860478827</v>
      </c>
      <c r="V71">
        <f t="shared" si="58"/>
        <v>28.709044697531173</v>
      </c>
      <c r="W71">
        <f t="shared" si="59"/>
        <v>28.128</v>
      </c>
      <c r="X71">
        <f t="shared" si="60"/>
        <v>3.8232489660509308</v>
      </c>
      <c r="Y71">
        <f t="shared" si="61"/>
        <v>65.105363299371049</v>
      </c>
      <c r="Z71">
        <f t="shared" si="62"/>
        <v>2.4713211822310002</v>
      </c>
      <c r="AA71">
        <f t="shared" si="63"/>
        <v>3.7958795665838396</v>
      </c>
      <c r="AB71">
        <f t="shared" si="64"/>
        <v>1.3519277838199306</v>
      </c>
      <c r="AC71">
        <f t="shared" si="65"/>
        <v>-225.17719371864166</v>
      </c>
      <c r="AD71">
        <f t="shared" si="66"/>
        <v>-19.420636936476029</v>
      </c>
      <c r="AE71">
        <f t="shared" si="67"/>
        <v>-1.4499278712824666</v>
      </c>
      <c r="AF71">
        <f t="shared" si="68"/>
        <v>98.346340078388124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52462.786399718621</v>
      </c>
      <c r="AL71" t="s">
        <v>415</v>
      </c>
      <c r="AM71">
        <v>10424.1</v>
      </c>
      <c r="AN71">
        <v>628.54280000000006</v>
      </c>
      <c r="AO71">
        <v>2663.98</v>
      </c>
      <c r="AP71">
        <f t="shared" si="72"/>
        <v>0.76405873917972356</v>
      </c>
      <c r="AQ71">
        <v>-3.1675626227050531</v>
      </c>
      <c r="AR71" t="s">
        <v>699</v>
      </c>
      <c r="AS71">
        <v>10202.1</v>
      </c>
      <c r="AT71">
        <v>687.82311538461533</v>
      </c>
      <c r="AU71">
        <v>1022.039832553364</v>
      </c>
      <c r="AV71">
        <f t="shared" si="73"/>
        <v>0.32700948292179033</v>
      </c>
      <c r="AW71">
        <v>0.5</v>
      </c>
      <c r="AX71">
        <f t="shared" si="74"/>
        <v>1513.293899302394</v>
      </c>
      <c r="AY71">
        <f t="shared" si="75"/>
        <v>47.392734014397547</v>
      </c>
      <c r="AZ71">
        <f t="shared" si="76"/>
        <v>247.43072775978786</v>
      </c>
      <c r="BA71">
        <f t="shared" si="77"/>
        <v>3.3410758254170024E-2</v>
      </c>
      <c r="BB71">
        <f t="shared" si="78"/>
        <v>1.6065324610143361</v>
      </c>
      <c r="BC71">
        <f t="shared" si="79"/>
        <v>455.78045260099299</v>
      </c>
      <c r="BD71" t="s">
        <v>700</v>
      </c>
      <c r="BE71">
        <v>538.08000000000004</v>
      </c>
      <c r="BF71">
        <f t="shared" si="80"/>
        <v>538.08000000000004</v>
      </c>
      <c r="BG71">
        <f t="shared" si="81"/>
        <v>0.47352345489733627</v>
      </c>
      <c r="BH71">
        <f t="shared" si="82"/>
        <v>0.69058771965728416</v>
      </c>
      <c r="BI71">
        <f t="shared" si="83"/>
        <v>0.77235061265658589</v>
      </c>
      <c r="BJ71">
        <f t="shared" si="84"/>
        <v>0.84935003194318626</v>
      </c>
      <c r="BK71">
        <f t="shared" si="85"/>
        <v>0.80667689843078239</v>
      </c>
      <c r="BL71">
        <f t="shared" si="86"/>
        <v>0.54024273375198484</v>
      </c>
      <c r="BM71">
        <f t="shared" si="87"/>
        <v>0.45975726624801516</v>
      </c>
      <c r="BN71">
        <v>20273</v>
      </c>
      <c r="BO71">
        <v>290.00000000000011</v>
      </c>
      <c r="BP71">
        <v>939.33</v>
      </c>
      <c r="BQ71">
        <v>295</v>
      </c>
      <c r="BR71">
        <v>10202.1</v>
      </c>
      <c r="BS71">
        <v>940.06</v>
      </c>
      <c r="BT71">
        <v>-0.73</v>
      </c>
      <c r="BU71">
        <v>300.00000000000011</v>
      </c>
      <c r="BV71">
        <v>24.2</v>
      </c>
      <c r="BW71">
        <v>1022.039832553364</v>
      </c>
      <c r="BX71">
        <v>2.5194301639432961</v>
      </c>
      <c r="BY71">
        <v>-83.634635490383303</v>
      </c>
      <c r="BZ71">
        <v>2.2898066067159419</v>
      </c>
      <c r="CA71">
        <v>0.97944287327153368</v>
      </c>
      <c r="CB71">
        <v>-6.9530240266963391E-3</v>
      </c>
      <c r="CC71">
        <v>289.99999999999989</v>
      </c>
      <c r="CD71">
        <v>940.17</v>
      </c>
      <c r="CE71">
        <v>695</v>
      </c>
      <c r="CF71">
        <v>10180.200000000001</v>
      </c>
      <c r="CG71">
        <v>939.89</v>
      </c>
      <c r="CH71">
        <v>0.28000000000000003</v>
      </c>
      <c r="CV71">
        <f t="shared" si="88"/>
        <v>1800.13</v>
      </c>
      <c r="CW71">
        <f t="shared" si="89"/>
        <v>1513.293899302394</v>
      </c>
      <c r="CX71">
        <f t="shared" si="90"/>
        <v>0.84065811874830931</v>
      </c>
      <c r="CY71">
        <f t="shared" si="91"/>
        <v>0.19131623749661872</v>
      </c>
      <c r="CZ71">
        <v>6</v>
      </c>
      <c r="DA71">
        <v>0.5</v>
      </c>
      <c r="DB71" t="s">
        <v>418</v>
      </c>
      <c r="DC71">
        <v>2</v>
      </c>
      <c r="DD71">
        <v>1674586110</v>
      </c>
      <c r="DE71">
        <v>1136.21</v>
      </c>
      <c r="DF71">
        <v>1200.03</v>
      </c>
      <c r="DG71">
        <v>24.780999999999999</v>
      </c>
      <c r="DH71">
        <v>18.806799999999999</v>
      </c>
      <c r="DI71">
        <v>1140.96</v>
      </c>
      <c r="DJ71">
        <v>24.449400000000001</v>
      </c>
      <c r="DK71">
        <v>500.10300000000001</v>
      </c>
      <c r="DL71">
        <v>99.626199999999997</v>
      </c>
      <c r="DM71">
        <v>0.10025100000000001</v>
      </c>
      <c r="DN71">
        <v>28.0047</v>
      </c>
      <c r="DO71">
        <v>28.128</v>
      </c>
      <c r="DP71">
        <v>999.9</v>
      </c>
      <c r="DQ71">
        <v>0</v>
      </c>
      <c r="DR71">
        <v>0</v>
      </c>
      <c r="DS71">
        <v>9991.8799999999992</v>
      </c>
      <c r="DT71">
        <v>0</v>
      </c>
      <c r="DU71">
        <v>426.06299999999999</v>
      </c>
      <c r="DV71">
        <v>-63.817</v>
      </c>
      <c r="DW71">
        <v>1165.0899999999999</v>
      </c>
      <c r="DX71">
        <v>1223.03</v>
      </c>
      <c r="DY71">
        <v>5.9742100000000002</v>
      </c>
      <c r="DZ71">
        <v>1200.03</v>
      </c>
      <c r="EA71">
        <v>18.806799999999999</v>
      </c>
      <c r="EB71">
        <v>2.4688300000000001</v>
      </c>
      <c r="EC71">
        <v>1.87365</v>
      </c>
      <c r="ED71">
        <v>20.822500000000002</v>
      </c>
      <c r="EE71">
        <v>16.415099999999999</v>
      </c>
      <c r="EF71">
        <v>1800.13</v>
      </c>
      <c r="EG71">
        <v>0.97800399999999998</v>
      </c>
      <c r="EH71">
        <v>2.1995799999999999E-2</v>
      </c>
      <c r="EI71">
        <v>0</v>
      </c>
      <c r="EJ71">
        <v>687.82299999999998</v>
      </c>
      <c r="EK71">
        <v>5.0010599999999998</v>
      </c>
      <c r="EL71">
        <v>12801.6</v>
      </c>
      <c r="EM71">
        <v>16712.3</v>
      </c>
      <c r="EN71">
        <v>47.936999999999998</v>
      </c>
      <c r="EO71">
        <v>48.75</v>
      </c>
      <c r="EP71">
        <v>48.936999999999998</v>
      </c>
      <c r="EQ71">
        <v>47.436999999999998</v>
      </c>
      <c r="ER71">
        <v>48.811999999999998</v>
      </c>
      <c r="ES71">
        <v>1755.64</v>
      </c>
      <c r="ET71">
        <v>39.49</v>
      </c>
      <c r="EU71">
        <v>0</v>
      </c>
      <c r="EV71">
        <v>122.4000000953674</v>
      </c>
      <c r="EW71">
        <v>0</v>
      </c>
      <c r="EX71">
        <v>687.82311538461533</v>
      </c>
      <c r="EY71">
        <v>1.6866666551302549</v>
      </c>
      <c r="EZ71">
        <v>8.3692307313267822</v>
      </c>
      <c r="FA71">
        <v>12800.038461538459</v>
      </c>
      <c r="FB71">
        <v>15</v>
      </c>
      <c r="FC71">
        <v>1674586065.5</v>
      </c>
      <c r="FD71" t="s">
        <v>701</v>
      </c>
      <c r="FE71">
        <v>1674586059</v>
      </c>
      <c r="FF71">
        <v>1674586065.5</v>
      </c>
      <c r="FG71">
        <v>62</v>
      </c>
      <c r="FH71">
        <v>-0.35399999999999998</v>
      </c>
      <c r="FI71">
        <v>1E-3</v>
      </c>
      <c r="FJ71">
        <v>-4.7990000000000004</v>
      </c>
      <c r="FK71">
        <v>5.7000000000000002E-2</v>
      </c>
      <c r="FL71">
        <v>1200</v>
      </c>
      <c r="FM71">
        <v>19</v>
      </c>
      <c r="FN71">
        <v>0.03</v>
      </c>
      <c r="FO71">
        <v>0.02</v>
      </c>
      <c r="FP71">
        <v>47.322404691149742</v>
      </c>
      <c r="FQ71">
        <v>0.54517601897773404</v>
      </c>
      <c r="FR71">
        <v>7.1904571400481038E-2</v>
      </c>
      <c r="FS71">
        <v>1</v>
      </c>
      <c r="FT71">
        <v>0.39410025233440382</v>
      </c>
      <c r="FU71">
        <v>-2.3368580752142262E-3</v>
      </c>
      <c r="FV71">
        <v>1.2637161723899951E-3</v>
      </c>
      <c r="FW71">
        <v>1</v>
      </c>
      <c r="FX71">
        <v>2</v>
      </c>
      <c r="FY71">
        <v>2</v>
      </c>
      <c r="FZ71" t="s">
        <v>420</v>
      </c>
      <c r="GA71">
        <v>2.9783900000000001</v>
      </c>
      <c r="GB71">
        <v>2.8065099999999998</v>
      </c>
      <c r="GC71">
        <v>0.20164899999999999</v>
      </c>
      <c r="GD71">
        <v>0.20574700000000001</v>
      </c>
      <c r="GE71">
        <v>0.121741</v>
      </c>
      <c r="GF71">
        <v>0.100276</v>
      </c>
      <c r="GG71">
        <v>23612.400000000001</v>
      </c>
      <c r="GH71">
        <v>21804.799999999999</v>
      </c>
      <c r="GI71">
        <v>26590.799999999999</v>
      </c>
      <c r="GJ71">
        <v>25930.6</v>
      </c>
      <c r="GK71">
        <v>31781.4</v>
      </c>
      <c r="GL71">
        <v>32928.199999999997</v>
      </c>
      <c r="GM71">
        <v>37680.9</v>
      </c>
      <c r="GN71">
        <v>38469.599999999999</v>
      </c>
      <c r="GO71">
        <v>1.98048</v>
      </c>
      <c r="GP71">
        <v>1.9237500000000001</v>
      </c>
      <c r="GQ71">
        <v>8.0011799999999994E-2</v>
      </c>
      <c r="GR71">
        <v>0</v>
      </c>
      <c r="GS71">
        <v>26.820499999999999</v>
      </c>
      <c r="GT71">
        <v>999.9</v>
      </c>
      <c r="GU71">
        <v>39.799999999999997</v>
      </c>
      <c r="GV71">
        <v>35</v>
      </c>
      <c r="GW71">
        <v>22.563800000000001</v>
      </c>
      <c r="GX71">
        <v>61.954500000000003</v>
      </c>
      <c r="GY71">
        <v>12.2316</v>
      </c>
      <c r="GZ71">
        <v>1</v>
      </c>
      <c r="HA71">
        <v>0.35685499999999998</v>
      </c>
      <c r="HB71">
        <v>2.0812499999999998</v>
      </c>
      <c r="HC71">
        <v>20.242699999999999</v>
      </c>
      <c r="HD71">
        <v>5.2081600000000003</v>
      </c>
      <c r="HE71">
        <v>11.937200000000001</v>
      </c>
      <c r="HF71">
        <v>4.9874999999999998</v>
      </c>
      <c r="HG71">
        <v>3.29095</v>
      </c>
      <c r="HH71">
        <v>9999</v>
      </c>
      <c r="HI71">
        <v>9999</v>
      </c>
      <c r="HJ71">
        <v>9999</v>
      </c>
      <c r="HK71">
        <v>999.9</v>
      </c>
      <c r="HL71">
        <v>1.8704099999999999</v>
      </c>
      <c r="HM71">
        <v>1.87656</v>
      </c>
      <c r="HN71">
        <v>1.8743000000000001</v>
      </c>
      <c r="HO71">
        <v>1.87256</v>
      </c>
      <c r="HP71">
        <v>1.8730199999999999</v>
      </c>
      <c r="HQ71">
        <v>1.87042</v>
      </c>
      <c r="HR71">
        <v>1.8763700000000001</v>
      </c>
      <c r="HS71">
        <v>1.8754599999999999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424</v>
      </c>
      <c r="IB71" t="s">
        <v>424</v>
      </c>
      <c r="IC71" t="s">
        <v>423</v>
      </c>
      <c r="ID71">
        <v>0</v>
      </c>
      <c r="IE71">
        <v>100</v>
      </c>
      <c r="IF71">
        <v>100</v>
      </c>
      <c r="IG71">
        <v>-4.75</v>
      </c>
      <c r="IH71">
        <v>0.33160000000000001</v>
      </c>
      <c r="II71">
        <v>-3.22061693176797</v>
      </c>
      <c r="IJ71">
        <v>-2.536945948238235E-3</v>
      </c>
      <c r="IK71">
        <v>1.581473279927893E-6</v>
      </c>
      <c r="IL71">
        <v>-4.6698293441882044E-10</v>
      </c>
      <c r="IM71">
        <v>-0.1761706038312503</v>
      </c>
      <c r="IN71">
        <v>-1.5895243091576399E-2</v>
      </c>
      <c r="IO71">
        <v>1.559614309849521E-3</v>
      </c>
      <c r="IP71">
        <v>-2.4566050869858518E-6</v>
      </c>
      <c r="IQ71">
        <v>2</v>
      </c>
      <c r="IR71">
        <v>2224</v>
      </c>
      <c r="IS71">
        <v>2</v>
      </c>
      <c r="IT71">
        <v>25</v>
      </c>
      <c r="IU71">
        <v>0.8</v>
      </c>
      <c r="IV71">
        <v>0.7</v>
      </c>
      <c r="IW71">
        <v>2.2888199999999999</v>
      </c>
      <c r="IX71">
        <v>2.48291</v>
      </c>
      <c r="IY71">
        <v>1.65039</v>
      </c>
      <c r="IZ71">
        <v>2.2888199999999999</v>
      </c>
      <c r="JA71">
        <v>1.50024</v>
      </c>
      <c r="JB71">
        <v>2.2997999999999998</v>
      </c>
      <c r="JC71">
        <v>38.599499999999999</v>
      </c>
      <c r="JD71">
        <v>23.868600000000001</v>
      </c>
      <c r="JE71">
        <v>18</v>
      </c>
      <c r="JF71">
        <v>506.30900000000003</v>
      </c>
      <c r="JG71">
        <v>462.96699999999998</v>
      </c>
      <c r="JH71">
        <v>24.976500000000001</v>
      </c>
      <c r="JI71">
        <v>31.779800000000002</v>
      </c>
      <c r="JJ71">
        <v>30.0001</v>
      </c>
      <c r="JK71">
        <v>31.847100000000001</v>
      </c>
      <c r="JL71">
        <v>31.835999999999999</v>
      </c>
      <c r="JM71">
        <v>45.8172</v>
      </c>
      <c r="JN71">
        <v>28.792200000000001</v>
      </c>
      <c r="JO71">
        <v>43.237400000000001</v>
      </c>
      <c r="JP71">
        <v>24.976700000000001</v>
      </c>
      <c r="JQ71">
        <v>1200</v>
      </c>
      <c r="JR71">
        <v>18.805900000000001</v>
      </c>
      <c r="JS71">
        <v>99.992500000000007</v>
      </c>
      <c r="JT71">
        <v>99.253</v>
      </c>
    </row>
    <row r="72" spans="1:280" x14ac:dyDescent="0.25">
      <c r="A72">
        <v>56</v>
      </c>
      <c r="B72">
        <v>1674586224</v>
      </c>
      <c r="C72">
        <v>12089.400000095369</v>
      </c>
      <c r="D72" t="s">
        <v>702</v>
      </c>
      <c r="E72" t="s">
        <v>703</v>
      </c>
      <c r="F72" t="s">
        <v>412</v>
      </c>
      <c r="G72" t="s">
        <v>31</v>
      </c>
      <c r="H72" t="s">
        <v>637</v>
      </c>
      <c r="I72">
        <v>1674586224</v>
      </c>
      <c r="J72">
        <f t="shared" si="46"/>
        <v>5.0224826600623624E-3</v>
      </c>
      <c r="K72">
        <f t="shared" si="47"/>
        <v>5.0224826600623622</v>
      </c>
      <c r="L72">
        <f t="shared" si="48"/>
        <v>46.940081784891376</v>
      </c>
      <c r="M72">
        <f t="shared" si="49"/>
        <v>1435.12</v>
      </c>
      <c r="N72">
        <f t="shared" si="50"/>
        <v>1197.1281909993154</v>
      </c>
      <c r="O72">
        <f t="shared" si="51"/>
        <v>119.37536937320654</v>
      </c>
      <c r="P72">
        <f t="shared" si="52"/>
        <v>143.107464499576</v>
      </c>
      <c r="Q72">
        <f t="shared" si="53"/>
        <v>0.38230316430113165</v>
      </c>
      <c r="R72">
        <f t="shared" si="54"/>
        <v>2.923514334595402</v>
      </c>
      <c r="S72">
        <f t="shared" si="55"/>
        <v>0.35654292128510023</v>
      </c>
      <c r="T72">
        <f t="shared" si="56"/>
        <v>0.22500897177043047</v>
      </c>
      <c r="U72">
        <f t="shared" si="57"/>
        <v>344.37259860505628</v>
      </c>
      <c r="V72">
        <f t="shared" si="58"/>
        <v>28.739537094256409</v>
      </c>
      <c r="W72">
        <f t="shared" si="59"/>
        <v>28.189699999999998</v>
      </c>
      <c r="X72">
        <f t="shared" si="60"/>
        <v>3.8370092774976783</v>
      </c>
      <c r="Y72">
        <f t="shared" si="61"/>
        <v>65.214036130182578</v>
      </c>
      <c r="Z72">
        <f t="shared" si="62"/>
        <v>2.4767886256856699</v>
      </c>
      <c r="AA72">
        <f t="shared" si="63"/>
        <v>3.7979379481150604</v>
      </c>
      <c r="AB72">
        <f t="shared" si="64"/>
        <v>1.3602206518120084</v>
      </c>
      <c r="AC72">
        <f t="shared" si="65"/>
        <v>-221.49148530875019</v>
      </c>
      <c r="AD72">
        <f t="shared" si="66"/>
        <v>-27.692517094538335</v>
      </c>
      <c r="AE72">
        <f t="shared" si="67"/>
        <v>-2.0668488675946652</v>
      </c>
      <c r="AF72">
        <f t="shared" si="68"/>
        <v>93.121747334173094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52517.134551570576</v>
      </c>
      <c r="AL72" t="s">
        <v>415</v>
      </c>
      <c r="AM72">
        <v>10424.1</v>
      </c>
      <c r="AN72">
        <v>628.54280000000006</v>
      </c>
      <c r="AO72">
        <v>2663.98</v>
      </c>
      <c r="AP72">
        <f t="shared" si="72"/>
        <v>0.76405873917972356</v>
      </c>
      <c r="AQ72">
        <v>-3.1675626227050531</v>
      </c>
      <c r="AR72" t="s">
        <v>704</v>
      </c>
      <c r="AS72">
        <v>10209</v>
      </c>
      <c r="AT72">
        <v>688.20184615384619</v>
      </c>
      <c r="AU72">
        <v>1027.584544080906</v>
      </c>
      <c r="AV72">
        <f t="shared" si="73"/>
        <v>0.33027228745505421</v>
      </c>
      <c r="AW72">
        <v>0.5</v>
      </c>
      <c r="AX72">
        <f t="shared" si="74"/>
        <v>1513.201199302528</v>
      </c>
      <c r="AY72">
        <f t="shared" si="75"/>
        <v>46.940081784891376</v>
      </c>
      <c r="AZ72">
        <f t="shared" si="76"/>
        <v>249.88421073668866</v>
      </c>
      <c r="BA72">
        <f t="shared" si="77"/>
        <v>3.3113669504552523E-2</v>
      </c>
      <c r="BB72">
        <f t="shared" si="78"/>
        <v>1.5924679534594615</v>
      </c>
      <c r="BC72">
        <f t="shared" si="79"/>
        <v>456.87984128451802</v>
      </c>
      <c r="BD72" t="s">
        <v>705</v>
      </c>
      <c r="BE72">
        <v>536.6</v>
      </c>
      <c r="BF72">
        <f t="shared" si="80"/>
        <v>536.6</v>
      </c>
      <c r="BG72">
        <f t="shared" si="81"/>
        <v>0.47780452412317398</v>
      </c>
      <c r="BH72">
        <f t="shared" si="82"/>
        <v>0.6912288829017299</v>
      </c>
      <c r="BI72">
        <f t="shared" si="83"/>
        <v>0.76920693807363705</v>
      </c>
      <c r="BJ72">
        <f t="shared" si="84"/>
        <v>0.85049422262511409</v>
      </c>
      <c r="BK72">
        <f t="shared" si="85"/>
        <v>0.80395280970549921</v>
      </c>
      <c r="BL72">
        <f t="shared" si="86"/>
        <v>0.53896022022898105</v>
      </c>
      <c r="BM72">
        <f t="shared" si="87"/>
        <v>0.46103977977101895</v>
      </c>
      <c r="BN72">
        <v>20275</v>
      </c>
      <c r="BO72">
        <v>290.00000000000011</v>
      </c>
      <c r="BP72">
        <v>942.71</v>
      </c>
      <c r="BQ72">
        <v>235</v>
      </c>
      <c r="BR72">
        <v>10209</v>
      </c>
      <c r="BS72">
        <v>943.94</v>
      </c>
      <c r="BT72">
        <v>-1.23</v>
      </c>
      <c r="BU72">
        <v>300.00000000000011</v>
      </c>
      <c r="BV72">
        <v>24.2</v>
      </c>
      <c r="BW72">
        <v>1027.584544080906</v>
      </c>
      <c r="BX72">
        <v>2.056194185455396</v>
      </c>
      <c r="BY72">
        <v>-85.392489194270965</v>
      </c>
      <c r="BZ72">
        <v>1.8686770479857291</v>
      </c>
      <c r="CA72">
        <v>0.98676869891501717</v>
      </c>
      <c r="CB72">
        <v>-6.9527728587319409E-3</v>
      </c>
      <c r="CC72">
        <v>289.99999999999989</v>
      </c>
      <c r="CD72">
        <v>943.27</v>
      </c>
      <c r="CE72">
        <v>645</v>
      </c>
      <c r="CF72">
        <v>10183.5</v>
      </c>
      <c r="CG72">
        <v>943.73</v>
      </c>
      <c r="CH72">
        <v>-0.46</v>
      </c>
      <c r="CV72">
        <f t="shared" si="88"/>
        <v>1800.02</v>
      </c>
      <c r="CW72">
        <f t="shared" si="89"/>
        <v>1513.201199302528</v>
      </c>
      <c r="CX72">
        <f t="shared" si="90"/>
        <v>0.84065799230149008</v>
      </c>
      <c r="CY72">
        <f t="shared" si="91"/>
        <v>0.19131598460298013</v>
      </c>
      <c r="CZ72">
        <v>6</v>
      </c>
      <c r="DA72">
        <v>0.5</v>
      </c>
      <c r="DB72" t="s">
        <v>418</v>
      </c>
      <c r="DC72">
        <v>2</v>
      </c>
      <c r="DD72">
        <v>1674586224</v>
      </c>
      <c r="DE72">
        <v>1435.12</v>
      </c>
      <c r="DF72">
        <v>1500.09</v>
      </c>
      <c r="DG72">
        <v>24.837900000000001</v>
      </c>
      <c r="DH72">
        <v>18.961300000000001</v>
      </c>
      <c r="DI72">
        <v>1440.14</v>
      </c>
      <c r="DJ72">
        <v>24.504000000000001</v>
      </c>
      <c r="DK72">
        <v>500.05799999999999</v>
      </c>
      <c r="DL72">
        <v>99.618499999999997</v>
      </c>
      <c r="DM72">
        <v>9.9617300000000006E-2</v>
      </c>
      <c r="DN72">
        <v>28.013999999999999</v>
      </c>
      <c r="DO72">
        <v>28.189699999999998</v>
      </c>
      <c r="DP72">
        <v>999.9</v>
      </c>
      <c r="DQ72">
        <v>0</v>
      </c>
      <c r="DR72">
        <v>0</v>
      </c>
      <c r="DS72">
        <v>10003.799999999999</v>
      </c>
      <c r="DT72">
        <v>0</v>
      </c>
      <c r="DU72">
        <v>432.87099999999998</v>
      </c>
      <c r="DV72">
        <v>-64.979500000000002</v>
      </c>
      <c r="DW72">
        <v>1471.67</v>
      </c>
      <c r="DX72">
        <v>1529.09</v>
      </c>
      <c r="DY72">
        <v>5.8765900000000002</v>
      </c>
      <c r="DZ72">
        <v>1500.09</v>
      </c>
      <c r="EA72">
        <v>18.961300000000001</v>
      </c>
      <c r="EB72">
        <v>2.47431</v>
      </c>
      <c r="EC72">
        <v>1.88889</v>
      </c>
      <c r="ED72">
        <v>20.858499999999999</v>
      </c>
      <c r="EE72">
        <v>16.5425</v>
      </c>
      <c r="EF72">
        <v>1800.02</v>
      </c>
      <c r="EG72">
        <v>0.97800399999999998</v>
      </c>
      <c r="EH72">
        <v>2.1995799999999999E-2</v>
      </c>
      <c r="EI72">
        <v>0</v>
      </c>
      <c r="EJ72">
        <v>688.67399999999998</v>
      </c>
      <c r="EK72">
        <v>5.0010599999999998</v>
      </c>
      <c r="EL72">
        <v>12815.5</v>
      </c>
      <c r="EM72">
        <v>16711.2</v>
      </c>
      <c r="EN72">
        <v>48</v>
      </c>
      <c r="EO72">
        <v>48.811999999999998</v>
      </c>
      <c r="EP72">
        <v>48.936999999999998</v>
      </c>
      <c r="EQ72">
        <v>47.5</v>
      </c>
      <c r="ER72">
        <v>48.875</v>
      </c>
      <c r="ES72">
        <v>1755.54</v>
      </c>
      <c r="ET72">
        <v>39.479999999999997</v>
      </c>
      <c r="EU72">
        <v>0</v>
      </c>
      <c r="EV72">
        <v>111.80000019073491</v>
      </c>
      <c r="EW72">
        <v>0</v>
      </c>
      <c r="EX72">
        <v>688.20184615384619</v>
      </c>
      <c r="EY72">
        <v>1.7534359016955361</v>
      </c>
      <c r="EZ72">
        <v>30.499145329737971</v>
      </c>
      <c r="FA72">
        <v>12811.434615384611</v>
      </c>
      <c r="FB72">
        <v>15</v>
      </c>
      <c r="FC72">
        <v>1674586191</v>
      </c>
      <c r="FD72" t="s">
        <v>706</v>
      </c>
      <c r="FE72">
        <v>1674586191</v>
      </c>
      <c r="FF72">
        <v>1674586182</v>
      </c>
      <c r="FG72">
        <v>63</v>
      </c>
      <c r="FH72">
        <v>-3.9E-2</v>
      </c>
      <c r="FI72">
        <v>-1E-3</v>
      </c>
      <c r="FJ72">
        <v>-5.0880000000000001</v>
      </c>
      <c r="FK72">
        <v>5.8999999999999997E-2</v>
      </c>
      <c r="FL72">
        <v>1501</v>
      </c>
      <c r="FM72">
        <v>19</v>
      </c>
      <c r="FN72">
        <v>7.0000000000000007E-2</v>
      </c>
      <c r="FO72">
        <v>0.05</v>
      </c>
      <c r="FP72">
        <v>46.768611985749217</v>
      </c>
      <c r="FQ72">
        <v>0.1938871245295396</v>
      </c>
      <c r="FR72">
        <v>0.1900412468206851</v>
      </c>
      <c r="FS72">
        <v>1</v>
      </c>
      <c r="FT72">
        <v>0.38441927640120532</v>
      </c>
      <c r="FU72">
        <v>5.2392469103936939E-3</v>
      </c>
      <c r="FV72">
        <v>2.403063945930132E-3</v>
      </c>
      <c r="FW72">
        <v>1</v>
      </c>
      <c r="FX72">
        <v>2</v>
      </c>
      <c r="FY72">
        <v>2</v>
      </c>
      <c r="FZ72" t="s">
        <v>420</v>
      </c>
      <c r="GA72">
        <v>2.9782299999999999</v>
      </c>
      <c r="GB72">
        <v>2.8059799999999999</v>
      </c>
      <c r="GC72">
        <v>0.23291100000000001</v>
      </c>
      <c r="GD72">
        <v>0.236039</v>
      </c>
      <c r="GE72">
        <v>0.121916</v>
      </c>
      <c r="GF72">
        <v>0.100843</v>
      </c>
      <c r="GG72">
        <v>22682.9</v>
      </c>
      <c r="GH72">
        <v>20966.099999999999</v>
      </c>
      <c r="GI72">
        <v>26588.3</v>
      </c>
      <c r="GJ72">
        <v>25925.1</v>
      </c>
      <c r="GK72">
        <v>31772.5</v>
      </c>
      <c r="GL72">
        <v>32900.699999999997</v>
      </c>
      <c r="GM72">
        <v>37677.300000000003</v>
      </c>
      <c r="GN72">
        <v>38461.4</v>
      </c>
      <c r="GO72">
        <v>1.97973</v>
      </c>
      <c r="GP72">
        <v>1.9240699999999999</v>
      </c>
      <c r="GQ72">
        <v>7.3399400000000004E-2</v>
      </c>
      <c r="GR72">
        <v>0</v>
      </c>
      <c r="GS72">
        <v>26.990500000000001</v>
      </c>
      <c r="GT72">
        <v>999.9</v>
      </c>
      <c r="GU72">
        <v>39.9</v>
      </c>
      <c r="GV72">
        <v>35</v>
      </c>
      <c r="GW72">
        <v>22.624300000000002</v>
      </c>
      <c r="GX72">
        <v>61.804600000000001</v>
      </c>
      <c r="GY72">
        <v>12.351800000000001</v>
      </c>
      <c r="GZ72">
        <v>1</v>
      </c>
      <c r="HA72">
        <v>0.36322700000000002</v>
      </c>
      <c r="HB72">
        <v>2.52427</v>
      </c>
      <c r="HC72">
        <v>20.2364</v>
      </c>
      <c r="HD72">
        <v>5.2057599999999997</v>
      </c>
      <c r="HE72">
        <v>11.937200000000001</v>
      </c>
      <c r="HF72">
        <v>4.9864499999999996</v>
      </c>
      <c r="HG72">
        <v>3.2900499999999999</v>
      </c>
      <c r="HH72">
        <v>9999</v>
      </c>
      <c r="HI72">
        <v>9999</v>
      </c>
      <c r="HJ72">
        <v>9999</v>
      </c>
      <c r="HK72">
        <v>999.9</v>
      </c>
      <c r="HL72">
        <v>1.8703799999999999</v>
      </c>
      <c r="HM72">
        <v>1.87653</v>
      </c>
      <c r="HN72">
        <v>1.8742799999999999</v>
      </c>
      <c r="HO72">
        <v>1.87256</v>
      </c>
      <c r="HP72">
        <v>1.8730199999999999</v>
      </c>
      <c r="HQ72">
        <v>1.87042</v>
      </c>
      <c r="HR72">
        <v>1.8763700000000001</v>
      </c>
      <c r="HS72">
        <v>1.8754599999999999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424</v>
      </c>
      <c r="IB72" t="s">
        <v>424</v>
      </c>
      <c r="IC72" t="s">
        <v>423</v>
      </c>
      <c r="ID72">
        <v>0</v>
      </c>
      <c r="IE72">
        <v>100</v>
      </c>
      <c r="IF72">
        <v>100</v>
      </c>
      <c r="IG72">
        <v>-5.0199999999999996</v>
      </c>
      <c r="IH72">
        <v>0.33389999999999997</v>
      </c>
      <c r="II72">
        <v>-3.2591003747723031</v>
      </c>
      <c r="IJ72">
        <v>-2.536945948238235E-3</v>
      </c>
      <c r="IK72">
        <v>1.581473279927893E-6</v>
      </c>
      <c r="IL72">
        <v>-4.6698293441882044E-10</v>
      </c>
      <c r="IM72">
        <v>-0.17689279267674449</v>
      </c>
      <c r="IN72">
        <v>-1.5895243091576399E-2</v>
      </c>
      <c r="IO72">
        <v>1.559614309849521E-3</v>
      </c>
      <c r="IP72">
        <v>-2.4566050869858518E-6</v>
      </c>
      <c r="IQ72">
        <v>2</v>
      </c>
      <c r="IR72">
        <v>2224</v>
      </c>
      <c r="IS72">
        <v>2</v>
      </c>
      <c r="IT72">
        <v>25</v>
      </c>
      <c r="IU72">
        <v>0.6</v>
      </c>
      <c r="IV72">
        <v>0.7</v>
      </c>
      <c r="IW72">
        <v>2.7490199999999998</v>
      </c>
      <c r="IX72">
        <v>2.4694799999999999</v>
      </c>
      <c r="IY72">
        <v>1.65039</v>
      </c>
      <c r="IZ72">
        <v>2.2888199999999999</v>
      </c>
      <c r="JA72">
        <v>1.50024</v>
      </c>
      <c r="JB72">
        <v>2.34985</v>
      </c>
      <c r="JC72">
        <v>38.575000000000003</v>
      </c>
      <c r="JD72">
        <v>23.868600000000001</v>
      </c>
      <c r="JE72">
        <v>18</v>
      </c>
      <c r="JF72">
        <v>505.96600000000001</v>
      </c>
      <c r="JG72">
        <v>463.25200000000001</v>
      </c>
      <c r="JH72">
        <v>24.696000000000002</v>
      </c>
      <c r="JI72">
        <v>31.832899999999999</v>
      </c>
      <c r="JJ72">
        <v>30.000299999999999</v>
      </c>
      <c r="JK72">
        <v>31.865100000000002</v>
      </c>
      <c r="JL72">
        <v>31.845400000000001</v>
      </c>
      <c r="JM72">
        <v>55.031999999999996</v>
      </c>
      <c r="JN72">
        <v>28.156600000000001</v>
      </c>
      <c r="JO72">
        <v>43.576599999999999</v>
      </c>
      <c r="JP72">
        <v>24.686599999999999</v>
      </c>
      <c r="JQ72">
        <v>1500</v>
      </c>
      <c r="JR72">
        <v>18.988600000000002</v>
      </c>
      <c r="JS72">
        <v>99.982699999999994</v>
      </c>
      <c r="JT72">
        <v>99.232100000000003</v>
      </c>
    </row>
    <row r="73" spans="1:280" x14ac:dyDescent="0.25">
      <c r="A73">
        <v>57</v>
      </c>
      <c r="B73">
        <v>1674589552</v>
      </c>
      <c r="C73">
        <v>15417.400000095369</v>
      </c>
      <c r="D73" t="s">
        <v>707</v>
      </c>
      <c r="E73" t="s">
        <v>708</v>
      </c>
      <c r="F73" t="s">
        <v>412</v>
      </c>
      <c r="G73" t="s">
        <v>709</v>
      </c>
      <c r="H73" t="s">
        <v>414</v>
      </c>
      <c r="I73">
        <v>1674589552</v>
      </c>
      <c r="J73">
        <f t="shared" si="46"/>
        <v>5.8527496082155777E-3</v>
      </c>
      <c r="K73">
        <f t="shared" si="47"/>
        <v>5.8527496082155777</v>
      </c>
      <c r="L73">
        <f t="shared" si="48"/>
        <v>55.174376424100274</v>
      </c>
      <c r="M73">
        <f t="shared" si="49"/>
        <v>331.43299999999999</v>
      </c>
      <c r="N73">
        <f t="shared" si="50"/>
        <v>129.87161696949241</v>
      </c>
      <c r="O73">
        <f t="shared" si="51"/>
        <v>12.934816565101999</v>
      </c>
      <c r="P73">
        <f t="shared" si="52"/>
        <v>33.009714968194302</v>
      </c>
      <c r="Q73">
        <f t="shared" si="53"/>
        <v>0.48382457610936469</v>
      </c>
      <c r="R73">
        <f t="shared" si="54"/>
        <v>2.9219207554995958</v>
      </c>
      <c r="S73">
        <f t="shared" si="55"/>
        <v>0.44332231154858881</v>
      </c>
      <c r="T73">
        <f t="shared" si="56"/>
        <v>0.28043232181862476</v>
      </c>
      <c r="U73">
        <f t="shared" si="57"/>
        <v>344.39789860480374</v>
      </c>
      <c r="V73">
        <f t="shared" si="58"/>
        <v>28.521158352262518</v>
      </c>
      <c r="W73">
        <f t="shared" si="59"/>
        <v>27.846299999999999</v>
      </c>
      <c r="X73">
        <f t="shared" si="60"/>
        <v>3.7609698369088247</v>
      </c>
      <c r="Y73">
        <f t="shared" si="61"/>
        <v>65.501627244327707</v>
      </c>
      <c r="Z73">
        <f t="shared" si="62"/>
        <v>2.4873341568754004</v>
      </c>
      <c r="AA73">
        <f t="shared" si="63"/>
        <v>3.7973623885669157</v>
      </c>
      <c r="AB73">
        <f t="shared" si="64"/>
        <v>1.2736356800334243</v>
      </c>
      <c r="AC73">
        <f t="shared" si="65"/>
        <v>-258.10625772230696</v>
      </c>
      <c r="AD73">
        <f t="shared" si="66"/>
        <v>26.007640301308424</v>
      </c>
      <c r="AE73">
        <f t="shared" si="67"/>
        <v>1.9388099218204884</v>
      </c>
      <c r="AF73">
        <f t="shared" si="68"/>
        <v>114.23809110562571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52469.175537161544</v>
      </c>
      <c r="AL73" t="s">
        <v>415</v>
      </c>
      <c r="AM73">
        <v>10424.1</v>
      </c>
      <c r="AN73">
        <v>628.54280000000006</v>
      </c>
      <c r="AO73">
        <v>2663.98</v>
      </c>
      <c r="AP73">
        <f t="shared" si="72"/>
        <v>0.76405873917972356</v>
      </c>
      <c r="AQ73">
        <v>-3.1675626227050531</v>
      </c>
      <c r="AR73" t="s">
        <v>710</v>
      </c>
      <c r="AS73">
        <v>10206.200000000001</v>
      </c>
      <c r="AT73">
        <v>745.65388461538464</v>
      </c>
      <c r="AU73">
        <v>1161.7718490920181</v>
      </c>
      <c r="AV73">
        <f t="shared" si="73"/>
        <v>0.35817528613888361</v>
      </c>
      <c r="AW73">
        <v>0.5</v>
      </c>
      <c r="AX73">
        <f t="shared" si="74"/>
        <v>1513.3106993024019</v>
      </c>
      <c r="AY73">
        <f t="shared" si="75"/>
        <v>55.174376424100274</v>
      </c>
      <c r="AZ73">
        <f t="shared" si="76"/>
        <v>271.01524636983589</v>
      </c>
      <c r="BA73">
        <f t="shared" si="77"/>
        <v>3.8552518708616472E-2</v>
      </c>
      <c r="BB73">
        <f t="shared" si="78"/>
        <v>1.2930319770461227</v>
      </c>
      <c r="BC73">
        <f t="shared" si="79"/>
        <v>481.6126176782297</v>
      </c>
      <c r="BD73" t="s">
        <v>711</v>
      </c>
      <c r="BE73">
        <v>559.47</v>
      </c>
      <c r="BF73">
        <f t="shared" si="80"/>
        <v>559.47</v>
      </c>
      <c r="BG73">
        <f t="shared" si="81"/>
        <v>0.51843384702663142</v>
      </c>
      <c r="BH73">
        <f t="shared" si="82"/>
        <v>0.6908794404399381</v>
      </c>
      <c r="BI73">
        <f t="shared" si="83"/>
        <v>0.713804235146415</v>
      </c>
      <c r="BJ73">
        <f t="shared" si="84"/>
        <v>0.78037377218138948</v>
      </c>
      <c r="BK73">
        <f t="shared" si="85"/>
        <v>0.73802726554667564</v>
      </c>
      <c r="BL73">
        <f t="shared" si="86"/>
        <v>0.51837230183854821</v>
      </c>
      <c r="BM73">
        <f t="shared" si="87"/>
        <v>0.48162769816145179</v>
      </c>
      <c r="BN73">
        <v>20277</v>
      </c>
      <c r="BO73">
        <v>290.00000000000011</v>
      </c>
      <c r="BP73">
        <v>1062.23</v>
      </c>
      <c r="BQ73">
        <v>175</v>
      </c>
      <c r="BR73">
        <v>10206.200000000001</v>
      </c>
      <c r="BS73">
        <v>1062.31</v>
      </c>
      <c r="BT73">
        <v>-0.08</v>
      </c>
      <c r="BU73">
        <v>300.00000000000011</v>
      </c>
      <c r="BV73">
        <v>24.2</v>
      </c>
      <c r="BW73">
        <v>1161.7718490920181</v>
      </c>
      <c r="BX73">
        <v>2.5455657900591282</v>
      </c>
      <c r="BY73">
        <v>-101.5122872956043</v>
      </c>
      <c r="BZ73">
        <v>2.3103028804328738</v>
      </c>
      <c r="CA73">
        <v>0.98570430425578781</v>
      </c>
      <c r="CB73">
        <v>-6.94364360400445E-3</v>
      </c>
      <c r="CC73">
        <v>289.99999999999989</v>
      </c>
      <c r="CD73">
        <v>1061.29</v>
      </c>
      <c r="CE73">
        <v>655</v>
      </c>
      <c r="CF73">
        <v>10168.9</v>
      </c>
      <c r="CG73">
        <v>1061.95</v>
      </c>
      <c r="CH73">
        <v>-0.66</v>
      </c>
      <c r="CV73">
        <f t="shared" si="88"/>
        <v>1800.15</v>
      </c>
      <c r="CW73">
        <f t="shared" si="89"/>
        <v>1513.3106993024019</v>
      </c>
      <c r="CX73">
        <f t="shared" si="90"/>
        <v>0.84065811143649238</v>
      </c>
      <c r="CY73">
        <f t="shared" si="91"/>
        <v>0.19131622287298489</v>
      </c>
      <c r="CZ73">
        <v>6</v>
      </c>
      <c r="DA73">
        <v>0.5</v>
      </c>
      <c r="DB73" t="s">
        <v>418</v>
      </c>
      <c r="DC73">
        <v>2</v>
      </c>
      <c r="DD73">
        <v>1674589552</v>
      </c>
      <c r="DE73">
        <v>331.43299999999999</v>
      </c>
      <c r="DF73">
        <v>399.96</v>
      </c>
      <c r="DG73">
        <v>24.974</v>
      </c>
      <c r="DH73">
        <v>18.127099999999999</v>
      </c>
      <c r="DI73">
        <v>334.8</v>
      </c>
      <c r="DJ73">
        <v>24.6221</v>
      </c>
      <c r="DK73">
        <v>500.07299999999998</v>
      </c>
      <c r="DL73">
        <v>99.497100000000003</v>
      </c>
      <c r="DM73">
        <v>9.9847099999999994E-2</v>
      </c>
      <c r="DN73">
        <v>28.011399999999998</v>
      </c>
      <c r="DO73">
        <v>27.846299999999999</v>
      </c>
      <c r="DP73">
        <v>999.9</v>
      </c>
      <c r="DQ73">
        <v>0</v>
      </c>
      <c r="DR73">
        <v>0</v>
      </c>
      <c r="DS73">
        <v>10006.9</v>
      </c>
      <c r="DT73">
        <v>0</v>
      </c>
      <c r="DU73">
        <v>393.15600000000001</v>
      </c>
      <c r="DV73">
        <v>-68.527100000000004</v>
      </c>
      <c r="DW73">
        <v>339.92200000000003</v>
      </c>
      <c r="DX73">
        <v>407.34399999999999</v>
      </c>
      <c r="DY73">
        <v>6.84694</v>
      </c>
      <c r="DZ73">
        <v>399.96</v>
      </c>
      <c r="EA73">
        <v>18.127099999999999</v>
      </c>
      <c r="EB73">
        <v>2.4848400000000002</v>
      </c>
      <c r="EC73">
        <v>1.80359</v>
      </c>
      <c r="ED73">
        <v>20.927499999999998</v>
      </c>
      <c r="EE73">
        <v>15.8179</v>
      </c>
      <c r="EF73">
        <v>1800.15</v>
      </c>
      <c r="EG73">
        <v>0.97799999999999998</v>
      </c>
      <c r="EH73">
        <v>2.19998E-2</v>
      </c>
      <c r="EI73">
        <v>0</v>
      </c>
      <c r="EJ73">
        <v>745.73099999999999</v>
      </c>
      <c r="EK73">
        <v>5.0010599999999998</v>
      </c>
      <c r="EL73">
        <v>13839.1</v>
      </c>
      <c r="EM73">
        <v>16712.5</v>
      </c>
      <c r="EN73">
        <v>48.125</v>
      </c>
      <c r="EO73">
        <v>48.936999999999998</v>
      </c>
      <c r="EP73">
        <v>49.061999999999998</v>
      </c>
      <c r="EQ73">
        <v>47.625</v>
      </c>
      <c r="ER73">
        <v>49</v>
      </c>
      <c r="ES73">
        <v>1755.66</v>
      </c>
      <c r="ET73">
        <v>39.49</v>
      </c>
      <c r="EU73">
        <v>0</v>
      </c>
      <c r="EV73">
        <v>3326.400000095367</v>
      </c>
      <c r="EW73">
        <v>0</v>
      </c>
      <c r="EX73">
        <v>745.65388461538464</v>
      </c>
      <c r="EY73">
        <v>0.53452991699117869</v>
      </c>
      <c r="EZ73">
        <v>38.335042604831543</v>
      </c>
      <c r="FA73">
        <v>13835.16538461538</v>
      </c>
      <c r="FB73">
        <v>15</v>
      </c>
      <c r="FC73">
        <v>1674589518.5</v>
      </c>
      <c r="FD73" t="s">
        <v>712</v>
      </c>
      <c r="FE73">
        <v>1674589512</v>
      </c>
      <c r="FF73">
        <v>1674589518.5</v>
      </c>
      <c r="FG73">
        <v>65</v>
      </c>
      <c r="FH73">
        <v>0.29799999999999999</v>
      </c>
      <c r="FI73">
        <v>1.2E-2</v>
      </c>
      <c r="FJ73">
        <v>-3.4740000000000002</v>
      </c>
      <c r="FK73">
        <v>3.5999999999999997E-2</v>
      </c>
      <c r="FL73">
        <v>400</v>
      </c>
      <c r="FM73">
        <v>18</v>
      </c>
      <c r="FN73">
        <v>0.02</v>
      </c>
      <c r="FO73">
        <v>0.01</v>
      </c>
      <c r="FP73">
        <v>55.198897209170681</v>
      </c>
      <c r="FQ73">
        <v>-0.1690519362481348</v>
      </c>
      <c r="FR73">
        <v>6.5014265165549243E-2</v>
      </c>
      <c r="FS73">
        <v>1</v>
      </c>
      <c r="FT73">
        <v>0.49113223083690277</v>
      </c>
      <c r="FU73">
        <v>-2.869835817576756E-2</v>
      </c>
      <c r="FV73">
        <v>3.7890930344706242E-3</v>
      </c>
      <c r="FW73">
        <v>1</v>
      </c>
      <c r="FX73">
        <v>2</v>
      </c>
      <c r="FY73">
        <v>2</v>
      </c>
      <c r="FZ73" t="s">
        <v>420</v>
      </c>
      <c r="GA73">
        <v>2.9778600000000002</v>
      </c>
      <c r="GB73">
        <v>2.8062299999999998</v>
      </c>
      <c r="GC73">
        <v>8.4532800000000005E-2</v>
      </c>
      <c r="GD73">
        <v>9.6088499999999993E-2</v>
      </c>
      <c r="GE73">
        <v>0.12203799999999999</v>
      </c>
      <c r="GF73">
        <v>9.7476300000000002E-2</v>
      </c>
      <c r="GG73">
        <v>27058</v>
      </c>
      <c r="GH73">
        <v>24787.3</v>
      </c>
      <c r="GI73">
        <v>26569.599999999999</v>
      </c>
      <c r="GJ73">
        <v>25898.2</v>
      </c>
      <c r="GK73">
        <v>31743.5</v>
      </c>
      <c r="GL73">
        <v>32990.199999999997</v>
      </c>
      <c r="GM73">
        <v>37647.199999999997</v>
      </c>
      <c r="GN73">
        <v>38423.699999999997</v>
      </c>
      <c r="GO73">
        <v>1.97418</v>
      </c>
      <c r="GP73">
        <v>1.91595</v>
      </c>
      <c r="GQ73">
        <v>5.6713800000000002E-2</v>
      </c>
      <c r="GR73">
        <v>0</v>
      </c>
      <c r="GS73">
        <v>26.9194</v>
      </c>
      <c r="GT73">
        <v>999.9</v>
      </c>
      <c r="GU73">
        <v>39.4</v>
      </c>
      <c r="GV73">
        <v>34.4</v>
      </c>
      <c r="GW73">
        <v>21.6371</v>
      </c>
      <c r="GX73">
        <v>61.934199999999997</v>
      </c>
      <c r="GY73">
        <v>12.7163</v>
      </c>
      <c r="GZ73">
        <v>1</v>
      </c>
      <c r="HA73">
        <v>0.40177099999999999</v>
      </c>
      <c r="HB73">
        <v>2.6364800000000002</v>
      </c>
      <c r="HC73">
        <v>20.234200000000001</v>
      </c>
      <c r="HD73">
        <v>5.2059100000000003</v>
      </c>
      <c r="HE73">
        <v>11.9381</v>
      </c>
      <c r="HF73">
        <v>4.9863999999999997</v>
      </c>
      <c r="HG73">
        <v>3.28993</v>
      </c>
      <c r="HH73">
        <v>9999</v>
      </c>
      <c r="HI73">
        <v>9999</v>
      </c>
      <c r="HJ73">
        <v>9999</v>
      </c>
      <c r="HK73">
        <v>999.9</v>
      </c>
      <c r="HL73">
        <v>1.8702700000000001</v>
      </c>
      <c r="HM73">
        <v>1.87653</v>
      </c>
      <c r="HN73">
        <v>1.8742399999999999</v>
      </c>
      <c r="HO73">
        <v>1.87256</v>
      </c>
      <c r="HP73">
        <v>1.8730199999999999</v>
      </c>
      <c r="HQ73">
        <v>1.8704099999999999</v>
      </c>
      <c r="HR73">
        <v>1.8763300000000001</v>
      </c>
      <c r="HS73">
        <v>1.8754599999999999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424</v>
      </c>
      <c r="IB73" t="s">
        <v>424</v>
      </c>
      <c r="IC73" t="s">
        <v>423</v>
      </c>
      <c r="ID73">
        <v>0</v>
      </c>
      <c r="IE73">
        <v>100</v>
      </c>
      <c r="IF73">
        <v>100</v>
      </c>
      <c r="IG73">
        <v>-3.367</v>
      </c>
      <c r="IH73">
        <v>0.35189999999999999</v>
      </c>
      <c r="II73">
        <v>-2.6776225188027318</v>
      </c>
      <c r="IJ73">
        <v>-2.536945948238235E-3</v>
      </c>
      <c r="IK73">
        <v>1.581473279927893E-6</v>
      </c>
      <c r="IL73">
        <v>-4.6698293441882044E-10</v>
      </c>
      <c r="IM73">
        <v>-0.1655881108711085</v>
      </c>
      <c r="IN73">
        <v>-1.5895243091576399E-2</v>
      </c>
      <c r="IO73">
        <v>1.559614309849521E-3</v>
      </c>
      <c r="IP73">
        <v>-2.4566050869858518E-6</v>
      </c>
      <c r="IQ73">
        <v>2</v>
      </c>
      <c r="IR73">
        <v>2224</v>
      </c>
      <c r="IS73">
        <v>2</v>
      </c>
      <c r="IT73">
        <v>25</v>
      </c>
      <c r="IU73">
        <v>0.7</v>
      </c>
      <c r="IV73">
        <v>0.6</v>
      </c>
      <c r="IW73">
        <v>0.93994100000000003</v>
      </c>
      <c r="IX73">
        <v>2.49268</v>
      </c>
      <c r="IY73">
        <v>1.65039</v>
      </c>
      <c r="IZ73">
        <v>2.2900399999999999</v>
      </c>
      <c r="JA73">
        <v>1.50024</v>
      </c>
      <c r="JB73">
        <v>2.2558600000000002</v>
      </c>
      <c r="JC73">
        <v>38.232399999999998</v>
      </c>
      <c r="JD73">
        <v>23.868600000000001</v>
      </c>
      <c r="JE73">
        <v>18</v>
      </c>
      <c r="JF73">
        <v>506.45499999999998</v>
      </c>
      <c r="JG73">
        <v>461.91899999999998</v>
      </c>
      <c r="JH73">
        <v>24.629200000000001</v>
      </c>
      <c r="JI73">
        <v>32.299399999999999</v>
      </c>
      <c r="JJ73">
        <v>30</v>
      </c>
      <c r="JK73">
        <v>32.369700000000002</v>
      </c>
      <c r="JL73">
        <v>32.358400000000003</v>
      </c>
      <c r="JM73">
        <v>18.850999999999999</v>
      </c>
      <c r="JN73">
        <v>28.308499999999999</v>
      </c>
      <c r="JO73">
        <v>41.7166</v>
      </c>
      <c r="JP73">
        <v>24.6188</v>
      </c>
      <c r="JQ73">
        <v>400</v>
      </c>
      <c r="JR73">
        <v>18.037800000000001</v>
      </c>
      <c r="JS73">
        <v>99.906999999999996</v>
      </c>
      <c r="JT73">
        <v>99.132499999999993</v>
      </c>
    </row>
    <row r="74" spans="1:280" x14ac:dyDescent="0.25">
      <c r="A74">
        <v>58</v>
      </c>
      <c r="B74">
        <v>1674589681.5</v>
      </c>
      <c r="C74">
        <v>15546.900000095369</v>
      </c>
      <c r="D74" t="s">
        <v>713</v>
      </c>
      <c r="E74" t="s">
        <v>714</v>
      </c>
      <c r="F74" t="s">
        <v>412</v>
      </c>
      <c r="G74" t="s">
        <v>709</v>
      </c>
      <c r="H74" t="s">
        <v>414</v>
      </c>
      <c r="I74">
        <v>1674589681.5</v>
      </c>
      <c r="J74">
        <f t="shared" si="46"/>
        <v>6.0682030502520251E-3</v>
      </c>
      <c r="K74">
        <f t="shared" si="47"/>
        <v>6.0682030502520252</v>
      </c>
      <c r="L74">
        <f t="shared" si="48"/>
        <v>46.486602357573183</v>
      </c>
      <c r="M74">
        <f t="shared" si="49"/>
        <v>242.41499999999999</v>
      </c>
      <c r="N74">
        <f t="shared" si="50"/>
        <v>78.059682565736793</v>
      </c>
      <c r="O74">
        <f t="shared" si="51"/>
        <v>7.7741998235898704</v>
      </c>
      <c r="P74">
        <f t="shared" si="52"/>
        <v>24.142842864477004</v>
      </c>
      <c r="Q74">
        <f t="shared" si="53"/>
        <v>0.49936026144456663</v>
      </c>
      <c r="R74">
        <f t="shared" si="54"/>
        <v>2.9206456900543629</v>
      </c>
      <c r="S74">
        <f t="shared" si="55"/>
        <v>0.45632188247202693</v>
      </c>
      <c r="T74">
        <f t="shared" si="56"/>
        <v>0.28875825754583334</v>
      </c>
      <c r="U74">
        <f t="shared" si="57"/>
        <v>344.35609860463325</v>
      </c>
      <c r="V74">
        <f t="shared" si="58"/>
        <v>28.451570771155751</v>
      </c>
      <c r="W74">
        <f t="shared" si="59"/>
        <v>27.878</v>
      </c>
      <c r="X74">
        <f t="shared" si="60"/>
        <v>3.7679336823318588</v>
      </c>
      <c r="Y74">
        <f t="shared" si="61"/>
        <v>65.494324430839214</v>
      </c>
      <c r="Z74">
        <f t="shared" si="62"/>
        <v>2.4851148449742606</v>
      </c>
      <c r="AA74">
        <f t="shared" si="63"/>
        <v>3.794397249792989</v>
      </c>
      <c r="AB74">
        <f t="shared" si="64"/>
        <v>1.2828188373575982</v>
      </c>
      <c r="AC74">
        <f t="shared" si="65"/>
        <v>-267.60775451611431</v>
      </c>
      <c r="AD74">
        <f t="shared" si="66"/>
        <v>18.894942053065456</v>
      </c>
      <c r="AE74">
        <f t="shared" si="67"/>
        <v>1.4093180219788113</v>
      </c>
      <c r="AF74">
        <f t="shared" si="68"/>
        <v>97.052604163563217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52434.809645671747</v>
      </c>
      <c r="AL74" t="s">
        <v>415</v>
      </c>
      <c r="AM74">
        <v>10424.1</v>
      </c>
      <c r="AN74">
        <v>628.54280000000006</v>
      </c>
      <c r="AO74">
        <v>2663.98</v>
      </c>
      <c r="AP74">
        <f t="shared" si="72"/>
        <v>0.76405873917972356</v>
      </c>
      <c r="AQ74">
        <v>-3.1675626227050531</v>
      </c>
      <c r="AR74" t="s">
        <v>715</v>
      </c>
      <c r="AS74">
        <v>10217.5</v>
      </c>
      <c r="AT74">
        <v>726.58223999999984</v>
      </c>
      <c r="AU74">
        <v>1082.91242924168</v>
      </c>
      <c r="AV74">
        <f t="shared" si="73"/>
        <v>0.32904801867608435</v>
      </c>
      <c r="AW74">
        <v>0.5</v>
      </c>
      <c r="AX74">
        <f t="shared" si="74"/>
        <v>1513.1258993023168</v>
      </c>
      <c r="AY74">
        <f t="shared" si="75"/>
        <v>46.486602357573183</v>
      </c>
      <c r="AZ74">
        <f t="shared" si="76"/>
        <v>248.94553958644784</v>
      </c>
      <c r="BA74">
        <f t="shared" si="77"/>
        <v>3.2815620301769433E-2</v>
      </c>
      <c r="BB74">
        <f t="shared" si="78"/>
        <v>1.4600142431327323</v>
      </c>
      <c r="BC74">
        <f t="shared" si="79"/>
        <v>467.49964400553125</v>
      </c>
      <c r="BD74" t="s">
        <v>716</v>
      </c>
      <c r="BE74">
        <v>554.59</v>
      </c>
      <c r="BF74">
        <f t="shared" si="80"/>
        <v>554.59</v>
      </c>
      <c r="BG74">
        <f t="shared" si="81"/>
        <v>0.48787179367000422</v>
      </c>
      <c r="BH74">
        <f t="shared" si="82"/>
        <v>0.67445591843059471</v>
      </c>
      <c r="BI74">
        <f t="shared" si="83"/>
        <v>0.74953781460911451</v>
      </c>
      <c r="BJ74">
        <f t="shared" si="84"/>
        <v>0.78422976869377758</v>
      </c>
      <c r="BK74">
        <f t="shared" si="85"/>
        <v>0.77677049960486133</v>
      </c>
      <c r="BL74">
        <f t="shared" si="86"/>
        <v>0.5148027122193678</v>
      </c>
      <c r="BM74">
        <f t="shared" si="87"/>
        <v>0.4851972877806322</v>
      </c>
      <c r="BN74">
        <v>20279</v>
      </c>
      <c r="BO74">
        <v>290.00000000000011</v>
      </c>
      <c r="BP74">
        <v>987.62</v>
      </c>
      <c r="BQ74">
        <v>115</v>
      </c>
      <c r="BR74">
        <v>10217.5</v>
      </c>
      <c r="BS74">
        <v>987.39</v>
      </c>
      <c r="BT74">
        <v>0.23</v>
      </c>
      <c r="BU74">
        <v>300.00000000000011</v>
      </c>
      <c r="BV74">
        <v>24.2</v>
      </c>
      <c r="BW74">
        <v>1082.91242924168</v>
      </c>
      <c r="BX74">
        <v>1.75433418241587</v>
      </c>
      <c r="BY74">
        <v>-97.601726365882541</v>
      </c>
      <c r="BZ74">
        <v>1.5919039905004819</v>
      </c>
      <c r="CA74">
        <v>0.99260643556975803</v>
      </c>
      <c r="CB74">
        <v>-6.9425706340378182E-3</v>
      </c>
      <c r="CC74">
        <v>289.99999999999989</v>
      </c>
      <c r="CD74">
        <v>984.83</v>
      </c>
      <c r="CE74">
        <v>685</v>
      </c>
      <c r="CF74">
        <v>10164.6</v>
      </c>
      <c r="CG74">
        <v>986.89</v>
      </c>
      <c r="CH74">
        <v>-2.06</v>
      </c>
      <c r="CV74">
        <f t="shared" si="88"/>
        <v>1799.93</v>
      </c>
      <c r="CW74">
        <f t="shared" si="89"/>
        <v>1513.1258993023168</v>
      </c>
      <c r="CX74">
        <f t="shared" si="90"/>
        <v>0.84065819187541557</v>
      </c>
      <c r="CY74">
        <f t="shared" si="91"/>
        <v>0.19131638375083099</v>
      </c>
      <c r="CZ74">
        <v>6</v>
      </c>
      <c r="DA74">
        <v>0.5</v>
      </c>
      <c r="DB74" t="s">
        <v>418</v>
      </c>
      <c r="DC74">
        <v>2</v>
      </c>
      <c r="DD74">
        <v>1674589681.5</v>
      </c>
      <c r="DE74">
        <v>242.41499999999999</v>
      </c>
      <c r="DF74">
        <v>299.96300000000002</v>
      </c>
      <c r="DG74">
        <v>24.9527</v>
      </c>
      <c r="DH74">
        <v>17.852699999999999</v>
      </c>
      <c r="DI74">
        <v>245.32900000000001</v>
      </c>
      <c r="DJ74">
        <v>24.598400000000002</v>
      </c>
      <c r="DK74">
        <v>500.01</v>
      </c>
      <c r="DL74">
        <v>99.493300000000005</v>
      </c>
      <c r="DM74">
        <v>9.9723800000000001E-2</v>
      </c>
      <c r="DN74">
        <v>27.998000000000001</v>
      </c>
      <c r="DO74">
        <v>27.878</v>
      </c>
      <c r="DP74">
        <v>999.9</v>
      </c>
      <c r="DQ74">
        <v>0</v>
      </c>
      <c r="DR74">
        <v>0</v>
      </c>
      <c r="DS74">
        <v>10000</v>
      </c>
      <c r="DT74">
        <v>0</v>
      </c>
      <c r="DU74">
        <v>380.24900000000002</v>
      </c>
      <c r="DV74">
        <v>-57.548299999999998</v>
      </c>
      <c r="DW74">
        <v>248.619</v>
      </c>
      <c r="DX74">
        <v>305.416</v>
      </c>
      <c r="DY74">
        <v>7.09999</v>
      </c>
      <c r="DZ74">
        <v>299.96300000000002</v>
      </c>
      <c r="EA74">
        <v>17.852699999999999</v>
      </c>
      <c r="EB74">
        <v>2.4826299999999999</v>
      </c>
      <c r="EC74">
        <v>1.7762199999999999</v>
      </c>
      <c r="ED74">
        <v>20.913</v>
      </c>
      <c r="EE74">
        <v>15.5791</v>
      </c>
      <c r="EF74">
        <v>1799.93</v>
      </c>
      <c r="EG74">
        <v>0.97799999999999998</v>
      </c>
      <c r="EH74">
        <v>2.1999700000000001E-2</v>
      </c>
      <c r="EI74">
        <v>0</v>
      </c>
      <c r="EJ74">
        <v>725.80100000000004</v>
      </c>
      <c r="EK74">
        <v>5.0010599999999998</v>
      </c>
      <c r="EL74">
        <v>13462.5</v>
      </c>
      <c r="EM74">
        <v>16710.400000000001</v>
      </c>
      <c r="EN74">
        <v>48.25</v>
      </c>
      <c r="EO74">
        <v>49.061999999999998</v>
      </c>
      <c r="EP74">
        <v>49.186999999999998</v>
      </c>
      <c r="EQ74">
        <v>47.811999999999998</v>
      </c>
      <c r="ER74">
        <v>49.125</v>
      </c>
      <c r="ES74">
        <v>1755.44</v>
      </c>
      <c r="ET74">
        <v>39.49</v>
      </c>
      <c r="EU74">
        <v>0</v>
      </c>
      <c r="EV74">
        <v>127.7999999523163</v>
      </c>
      <c r="EW74">
        <v>0</v>
      </c>
      <c r="EX74">
        <v>726.58223999999984</v>
      </c>
      <c r="EY74">
        <v>-4.2512307433936041</v>
      </c>
      <c r="EZ74">
        <v>-86.438461414913775</v>
      </c>
      <c r="FA74">
        <v>13476.736000000001</v>
      </c>
      <c r="FB74">
        <v>15</v>
      </c>
      <c r="FC74">
        <v>1674589649.5</v>
      </c>
      <c r="FD74" t="s">
        <v>717</v>
      </c>
      <c r="FE74">
        <v>1674589633.5</v>
      </c>
      <c r="FF74">
        <v>1674589649.5</v>
      </c>
      <c r="FG74">
        <v>66</v>
      </c>
      <c r="FH74">
        <v>0.29799999999999999</v>
      </c>
      <c r="FI74">
        <v>4.0000000000000001E-3</v>
      </c>
      <c r="FJ74">
        <v>-3.016</v>
      </c>
      <c r="FK74">
        <v>3.5000000000000003E-2</v>
      </c>
      <c r="FL74">
        <v>300</v>
      </c>
      <c r="FM74">
        <v>18</v>
      </c>
      <c r="FN74">
        <v>0.04</v>
      </c>
      <c r="FO74">
        <v>0.01</v>
      </c>
      <c r="FP74">
        <v>46.510098056582557</v>
      </c>
      <c r="FQ74">
        <v>-0.55233840337022533</v>
      </c>
      <c r="FR74">
        <v>0.13002412070680561</v>
      </c>
      <c r="FS74">
        <v>1</v>
      </c>
      <c r="FT74">
        <v>0.50103452464866471</v>
      </c>
      <c r="FU74">
        <v>4.0840473252635012E-2</v>
      </c>
      <c r="FV74">
        <v>7.1881788341439778E-3</v>
      </c>
      <c r="FW74">
        <v>1</v>
      </c>
      <c r="FX74">
        <v>2</v>
      </c>
      <c r="FY74">
        <v>2</v>
      </c>
      <c r="FZ74" t="s">
        <v>420</v>
      </c>
      <c r="GA74">
        <v>2.97763</v>
      </c>
      <c r="GB74">
        <v>2.8060499999999999</v>
      </c>
      <c r="GC74">
        <v>6.5282800000000002E-2</v>
      </c>
      <c r="GD74">
        <v>7.6395000000000005E-2</v>
      </c>
      <c r="GE74">
        <v>0.121947</v>
      </c>
      <c r="GF74">
        <v>9.6429399999999998E-2</v>
      </c>
      <c r="GG74">
        <v>27624.400000000001</v>
      </c>
      <c r="GH74">
        <v>25324.1</v>
      </c>
      <c r="GI74">
        <v>26567.3</v>
      </c>
      <c r="GJ74">
        <v>25894.9</v>
      </c>
      <c r="GK74">
        <v>31743.7</v>
      </c>
      <c r="GL74">
        <v>33024.300000000003</v>
      </c>
      <c r="GM74">
        <v>37643.4</v>
      </c>
      <c r="GN74">
        <v>38419</v>
      </c>
      <c r="GO74">
        <v>1.9733499999999999</v>
      </c>
      <c r="GP74">
        <v>1.9136</v>
      </c>
      <c r="GQ74">
        <v>4.3474100000000002E-2</v>
      </c>
      <c r="GR74">
        <v>0</v>
      </c>
      <c r="GS74">
        <v>27.1676</v>
      </c>
      <c r="GT74">
        <v>999.9</v>
      </c>
      <c r="GU74">
        <v>39.5</v>
      </c>
      <c r="GV74">
        <v>34.4</v>
      </c>
      <c r="GW74">
        <v>21.688800000000001</v>
      </c>
      <c r="GX74">
        <v>62.054200000000002</v>
      </c>
      <c r="GY74">
        <v>12.8005</v>
      </c>
      <c r="GZ74">
        <v>1</v>
      </c>
      <c r="HA74">
        <v>0.40627999999999997</v>
      </c>
      <c r="HB74">
        <v>2.5691899999999999</v>
      </c>
      <c r="HC74">
        <v>20.235900000000001</v>
      </c>
      <c r="HD74">
        <v>5.2077099999999996</v>
      </c>
      <c r="HE74">
        <v>11.9381</v>
      </c>
      <c r="HF74">
        <v>4.9869000000000003</v>
      </c>
      <c r="HG74">
        <v>3.29013</v>
      </c>
      <c r="HH74">
        <v>9999</v>
      </c>
      <c r="HI74">
        <v>9999</v>
      </c>
      <c r="HJ74">
        <v>9999</v>
      </c>
      <c r="HK74">
        <v>999.9</v>
      </c>
      <c r="HL74">
        <v>1.8703000000000001</v>
      </c>
      <c r="HM74">
        <v>1.87653</v>
      </c>
      <c r="HN74">
        <v>1.8742399999999999</v>
      </c>
      <c r="HO74">
        <v>1.87256</v>
      </c>
      <c r="HP74">
        <v>1.8730199999999999</v>
      </c>
      <c r="HQ74">
        <v>1.87042</v>
      </c>
      <c r="HR74">
        <v>1.8763700000000001</v>
      </c>
      <c r="HS74">
        <v>1.8754599999999999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424</v>
      </c>
      <c r="IB74" t="s">
        <v>424</v>
      </c>
      <c r="IC74" t="s">
        <v>423</v>
      </c>
      <c r="ID74">
        <v>0</v>
      </c>
      <c r="IE74">
        <v>100</v>
      </c>
      <c r="IF74">
        <v>100</v>
      </c>
      <c r="IG74">
        <v>-2.9140000000000001</v>
      </c>
      <c r="IH74">
        <v>0.3543</v>
      </c>
      <c r="II74">
        <v>-2.3796096134078049</v>
      </c>
      <c r="IJ74">
        <v>-2.536945948238235E-3</v>
      </c>
      <c r="IK74">
        <v>1.581473279927893E-6</v>
      </c>
      <c r="IL74">
        <v>-4.6698293441882044E-10</v>
      </c>
      <c r="IM74">
        <v>-0.16182720703254361</v>
      </c>
      <c r="IN74">
        <v>-1.5895243091576399E-2</v>
      </c>
      <c r="IO74">
        <v>1.559614309849521E-3</v>
      </c>
      <c r="IP74">
        <v>-2.4566050869858518E-6</v>
      </c>
      <c r="IQ74">
        <v>2</v>
      </c>
      <c r="IR74">
        <v>2224</v>
      </c>
      <c r="IS74">
        <v>2</v>
      </c>
      <c r="IT74">
        <v>25</v>
      </c>
      <c r="IU74">
        <v>0.8</v>
      </c>
      <c r="IV74">
        <v>0.5</v>
      </c>
      <c r="IW74">
        <v>0.75073199999999995</v>
      </c>
      <c r="IX74">
        <v>2.49146</v>
      </c>
      <c r="IY74">
        <v>1.65039</v>
      </c>
      <c r="IZ74">
        <v>2.2900399999999999</v>
      </c>
      <c r="JA74">
        <v>1.50024</v>
      </c>
      <c r="JB74">
        <v>2.3071299999999999</v>
      </c>
      <c r="JC74">
        <v>38.256799999999998</v>
      </c>
      <c r="JD74">
        <v>23.877400000000002</v>
      </c>
      <c r="JE74">
        <v>18</v>
      </c>
      <c r="JF74">
        <v>506.05399999999997</v>
      </c>
      <c r="JG74">
        <v>460.45100000000002</v>
      </c>
      <c r="JH74">
        <v>24.642199999999999</v>
      </c>
      <c r="JI74">
        <v>32.3643</v>
      </c>
      <c r="JJ74">
        <v>30.0001</v>
      </c>
      <c r="JK74">
        <v>32.387</v>
      </c>
      <c r="JL74">
        <v>32.367400000000004</v>
      </c>
      <c r="JM74">
        <v>15.071199999999999</v>
      </c>
      <c r="JN74">
        <v>29.714200000000002</v>
      </c>
      <c r="JO74">
        <v>42.177599999999998</v>
      </c>
      <c r="JP74">
        <v>24.639500000000002</v>
      </c>
      <c r="JQ74">
        <v>300</v>
      </c>
      <c r="JR74">
        <v>17.792899999999999</v>
      </c>
      <c r="JS74">
        <v>99.897400000000005</v>
      </c>
      <c r="JT74">
        <v>99.120099999999994</v>
      </c>
    </row>
    <row r="75" spans="1:280" x14ac:dyDescent="0.25">
      <c r="A75">
        <v>59</v>
      </c>
      <c r="B75">
        <v>1674589798</v>
      </c>
      <c r="C75">
        <v>15663.400000095369</v>
      </c>
      <c r="D75" t="s">
        <v>718</v>
      </c>
      <c r="E75" t="s">
        <v>719</v>
      </c>
      <c r="F75" t="s">
        <v>412</v>
      </c>
      <c r="G75" t="s">
        <v>709</v>
      </c>
      <c r="H75" t="s">
        <v>414</v>
      </c>
      <c r="I75">
        <v>1674589798</v>
      </c>
      <c r="J75">
        <f t="shared" si="46"/>
        <v>6.4245516049268253E-3</v>
      </c>
      <c r="K75">
        <f t="shared" si="47"/>
        <v>6.4245516049268252</v>
      </c>
      <c r="L75">
        <f t="shared" si="48"/>
        <v>33.245603578183562</v>
      </c>
      <c r="M75">
        <f t="shared" si="49"/>
        <v>158.89599999999999</v>
      </c>
      <c r="N75">
        <f t="shared" si="50"/>
        <v>48.17275573040456</v>
      </c>
      <c r="O75">
        <f t="shared" si="51"/>
        <v>4.797477244853841</v>
      </c>
      <c r="P75">
        <f t="shared" si="52"/>
        <v>15.824295968544</v>
      </c>
      <c r="Q75">
        <f t="shared" si="53"/>
        <v>0.53220731309642011</v>
      </c>
      <c r="R75">
        <f t="shared" si="54"/>
        <v>2.9219934771460498</v>
      </c>
      <c r="S75">
        <f t="shared" si="55"/>
        <v>0.48363566715668138</v>
      </c>
      <c r="T75">
        <f t="shared" si="56"/>
        <v>0.3062660036323957</v>
      </c>
      <c r="U75">
        <f t="shared" si="57"/>
        <v>344.38021176470625</v>
      </c>
      <c r="V75">
        <f t="shared" si="58"/>
        <v>28.37028246075554</v>
      </c>
      <c r="W75">
        <f t="shared" si="59"/>
        <v>27.904399999999999</v>
      </c>
      <c r="X75">
        <f t="shared" si="60"/>
        <v>3.7737418090041657</v>
      </c>
      <c r="Y75">
        <f t="shared" si="61"/>
        <v>65.642818621213934</v>
      </c>
      <c r="Z75">
        <f t="shared" si="62"/>
        <v>2.4924341711808</v>
      </c>
      <c r="AA75">
        <f t="shared" si="63"/>
        <v>3.7969639688435239</v>
      </c>
      <c r="AB75">
        <f t="shared" si="64"/>
        <v>1.2813076378233657</v>
      </c>
      <c r="AC75">
        <f t="shared" si="65"/>
        <v>-283.32272577727298</v>
      </c>
      <c r="AD75">
        <f t="shared" si="66"/>
        <v>16.572209898157247</v>
      </c>
      <c r="AE75">
        <f t="shared" si="67"/>
        <v>1.235736149724213</v>
      </c>
      <c r="AF75">
        <f t="shared" si="68"/>
        <v>78.86543203531474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52471.409192964464</v>
      </c>
      <c r="AL75" t="s">
        <v>415</v>
      </c>
      <c r="AM75">
        <v>10424.1</v>
      </c>
      <c r="AN75">
        <v>628.54280000000006</v>
      </c>
      <c r="AO75">
        <v>2663.98</v>
      </c>
      <c r="AP75">
        <f t="shared" si="72"/>
        <v>0.76405873917972356</v>
      </c>
      <c r="AQ75">
        <v>-3.1675626227050531</v>
      </c>
      <c r="AR75" t="s">
        <v>720</v>
      </c>
      <c r="AS75">
        <v>10207</v>
      </c>
      <c r="AT75">
        <v>718.39507692307677</v>
      </c>
      <c r="AU75">
        <v>977.84516438987453</v>
      </c>
      <c r="AV75">
        <f t="shared" si="73"/>
        <v>0.26532839442804967</v>
      </c>
      <c r="AW75">
        <v>0.5</v>
      </c>
      <c r="AX75">
        <f t="shared" si="74"/>
        <v>1513.2348058823529</v>
      </c>
      <c r="AY75">
        <f t="shared" si="75"/>
        <v>33.245603578183562</v>
      </c>
      <c r="AZ75">
        <f t="shared" si="76"/>
        <v>200.75208071870307</v>
      </c>
      <c r="BA75">
        <f t="shared" si="77"/>
        <v>2.406313022892468E-2</v>
      </c>
      <c r="BB75">
        <f t="shared" si="78"/>
        <v>1.7243372437825446</v>
      </c>
      <c r="BC75">
        <f t="shared" si="79"/>
        <v>446.77558990872961</v>
      </c>
      <c r="BD75" t="s">
        <v>721</v>
      </c>
      <c r="BE75">
        <v>538.47</v>
      </c>
      <c r="BF75">
        <f t="shared" si="80"/>
        <v>538.47</v>
      </c>
      <c r="BG75">
        <f t="shared" si="81"/>
        <v>0.44932999659922868</v>
      </c>
      <c r="BH75">
        <f t="shared" si="82"/>
        <v>0.59049784442658604</v>
      </c>
      <c r="BI75">
        <f t="shared" si="83"/>
        <v>0.79328482839889025</v>
      </c>
      <c r="BJ75">
        <f t="shared" si="84"/>
        <v>0.74276647946537244</v>
      </c>
      <c r="BK75">
        <f t="shared" si="85"/>
        <v>0.82838951533858451</v>
      </c>
      <c r="BL75">
        <f t="shared" si="86"/>
        <v>0.44260516880244494</v>
      </c>
      <c r="BM75">
        <f t="shared" si="87"/>
        <v>0.55739483119755506</v>
      </c>
      <c r="BN75">
        <v>20281</v>
      </c>
      <c r="BO75">
        <v>290.00000000000011</v>
      </c>
      <c r="BP75">
        <v>906.08</v>
      </c>
      <c r="BQ75">
        <v>155</v>
      </c>
      <c r="BR75">
        <v>10207</v>
      </c>
      <c r="BS75">
        <v>905.6</v>
      </c>
      <c r="BT75">
        <v>0.48</v>
      </c>
      <c r="BU75">
        <v>300.00000000000011</v>
      </c>
      <c r="BV75">
        <v>24.2</v>
      </c>
      <c r="BW75">
        <v>977.84516438987453</v>
      </c>
      <c r="BX75">
        <v>2.0576719645082329</v>
      </c>
      <c r="BY75">
        <v>-73.739182027734202</v>
      </c>
      <c r="BZ75">
        <v>1.8668424955279079</v>
      </c>
      <c r="CA75">
        <v>0.98237001852468298</v>
      </c>
      <c r="CB75">
        <v>-6.9413630700778713E-3</v>
      </c>
      <c r="CC75">
        <v>289.99999999999989</v>
      </c>
      <c r="CD75">
        <v>903.85</v>
      </c>
      <c r="CE75">
        <v>695</v>
      </c>
      <c r="CF75">
        <v>10162.1</v>
      </c>
      <c r="CG75">
        <v>905.28</v>
      </c>
      <c r="CH75">
        <v>-1.43</v>
      </c>
      <c r="CV75">
        <f t="shared" si="88"/>
        <v>1800.06</v>
      </c>
      <c r="CW75">
        <f t="shared" si="89"/>
        <v>1513.2348058823529</v>
      </c>
      <c r="CX75">
        <f t="shared" si="90"/>
        <v>0.84065798133526271</v>
      </c>
      <c r="CY75">
        <f t="shared" si="91"/>
        <v>0.19131596267052556</v>
      </c>
      <c r="CZ75">
        <v>6</v>
      </c>
      <c r="DA75">
        <v>0.5</v>
      </c>
      <c r="DB75" t="s">
        <v>418</v>
      </c>
      <c r="DC75">
        <v>2</v>
      </c>
      <c r="DD75">
        <v>1674589798</v>
      </c>
      <c r="DE75">
        <v>158.89599999999999</v>
      </c>
      <c r="DF75">
        <v>200.01400000000001</v>
      </c>
      <c r="DG75">
        <v>25.027200000000001</v>
      </c>
      <c r="DH75">
        <v>17.510999999999999</v>
      </c>
      <c r="DI75">
        <v>161.50299999999999</v>
      </c>
      <c r="DJ75">
        <v>24.670999999999999</v>
      </c>
      <c r="DK75">
        <v>500.02100000000002</v>
      </c>
      <c r="DL75">
        <v>99.4893</v>
      </c>
      <c r="DM75">
        <v>9.9713999999999997E-2</v>
      </c>
      <c r="DN75">
        <v>28.009599999999999</v>
      </c>
      <c r="DO75">
        <v>27.904399999999999</v>
      </c>
      <c r="DP75">
        <v>999.9</v>
      </c>
      <c r="DQ75">
        <v>0</v>
      </c>
      <c r="DR75">
        <v>0</v>
      </c>
      <c r="DS75">
        <v>10008.1</v>
      </c>
      <c r="DT75">
        <v>0</v>
      </c>
      <c r="DU75">
        <v>386.70699999999999</v>
      </c>
      <c r="DV75">
        <v>-41.118200000000002</v>
      </c>
      <c r="DW75">
        <v>162.97499999999999</v>
      </c>
      <c r="DX75">
        <v>203.57900000000001</v>
      </c>
      <c r="DY75">
        <v>7.5162399999999998</v>
      </c>
      <c r="DZ75">
        <v>200.01400000000001</v>
      </c>
      <c r="EA75">
        <v>17.510999999999999</v>
      </c>
      <c r="EB75">
        <v>2.4899399999999998</v>
      </c>
      <c r="EC75">
        <v>1.7421599999999999</v>
      </c>
      <c r="ED75">
        <v>20.960899999999999</v>
      </c>
      <c r="EE75">
        <v>15.277200000000001</v>
      </c>
      <c r="EF75">
        <v>1800.06</v>
      </c>
      <c r="EG75">
        <v>0.97800399999999998</v>
      </c>
      <c r="EH75">
        <v>2.19963E-2</v>
      </c>
      <c r="EI75">
        <v>0</v>
      </c>
      <c r="EJ75">
        <v>717.64300000000003</v>
      </c>
      <c r="EK75">
        <v>5.0010599999999998</v>
      </c>
      <c r="EL75">
        <v>13307.4</v>
      </c>
      <c r="EM75">
        <v>16711.599999999999</v>
      </c>
      <c r="EN75">
        <v>48.375</v>
      </c>
      <c r="EO75">
        <v>49.186999999999998</v>
      </c>
      <c r="EP75">
        <v>49.311999999999998</v>
      </c>
      <c r="EQ75">
        <v>47.936999999999998</v>
      </c>
      <c r="ER75">
        <v>49.25</v>
      </c>
      <c r="ES75">
        <v>1755.57</v>
      </c>
      <c r="ET75">
        <v>39.479999999999997</v>
      </c>
      <c r="EU75">
        <v>0</v>
      </c>
      <c r="EV75">
        <v>114.5999999046326</v>
      </c>
      <c r="EW75">
        <v>0</v>
      </c>
      <c r="EX75">
        <v>718.39507692307677</v>
      </c>
      <c r="EY75">
        <v>-6.1285470132434403</v>
      </c>
      <c r="EZ75">
        <v>-104.5299146520063</v>
      </c>
      <c r="FA75">
        <v>13319.373076923081</v>
      </c>
      <c r="FB75">
        <v>15</v>
      </c>
      <c r="FC75">
        <v>1674589766.5</v>
      </c>
      <c r="FD75" t="s">
        <v>722</v>
      </c>
      <c r="FE75">
        <v>1674589753</v>
      </c>
      <c r="FF75">
        <v>1674589766.5</v>
      </c>
      <c r="FG75">
        <v>67</v>
      </c>
      <c r="FH75">
        <v>0.14299999999999999</v>
      </c>
      <c r="FI75">
        <v>-2E-3</v>
      </c>
      <c r="FJ75">
        <v>-2.6890000000000001</v>
      </c>
      <c r="FK75">
        <v>3.1E-2</v>
      </c>
      <c r="FL75">
        <v>200</v>
      </c>
      <c r="FM75">
        <v>18</v>
      </c>
      <c r="FN75">
        <v>0.03</v>
      </c>
      <c r="FO75">
        <v>0.02</v>
      </c>
      <c r="FP75">
        <v>33.165460528725447</v>
      </c>
      <c r="FQ75">
        <v>-0.1896947551771079</v>
      </c>
      <c r="FR75">
        <v>9.9351386752625476E-2</v>
      </c>
      <c r="FS75">
        <v>1</v>
      </c>
      <c r="FT75">
        <v>0.53482898884618313</v>
      </c>
      <c r="FU75">
        <v>1.13290656956858E-2</v>
      </c>
      <c r="FV75">
        <v>6.5907432098690601E-3</v>
      </c>
      <c r="FW75">
        <v>1</v>
      </c>
      <c r="FX75">
        <v>2</v>
      </c>
      <c r="FY75">
        <v>2</v>
      </c>
      <c r="FZ75" t="s">
        <v>420</v>
      </c>
      <c r="GA75">
        <v>2.9775900000000002</v>
      </c>
      <c r="GB75">
        <v>2.8061099999999999</v>
      </c>
      <c r="GC75">
        <v>4.4965499999999999E-2</v>
      </c>
      <c r="GD75">
        <v>5.3939399999999998E-2</v>
      </c>
      <c r="GE75">
        <v>0.12217500000000001</v>
      </c>
      <c r="GF75">
        <v>9.5107999999999998E-2</v>
      </c>
      <c r="GG75">
        <v>28221.599999999999</v>
      </c>
      <c r="GH75">
        <v>25933.8</v>
      </c>
      <c r="GI75">
        <v>26564.6</v>
      </c>
      <c r="GJ75">
        <v>25889.200000000001</v>
      </c>
      <c r="GK75">
        <v>31732.1</v>
      </c>
      <c r="GL75">
        <v>33065</v>
      </c>
      <c r="GM75">
        <v>37639.199999999997</v>
      </c>
      <c r="GN75">
        <v>38410.400000000001</v>
      </c>
      <c r="GO75">
        <v>1.9725999999999999</v>
      </c>
      <c r="GP75">
        <v>1.9111</v>
      </c>
      <c r="GQ75">
        <v>4.05125E-2</v>
      </c>
      <c r="GR75">
        <v>0</v>
      </c>
      <c r="GS75">
        <v>27.2425</v>
      </c>
      <c r="GT75">
        <v>999.9</v>
      </c>
      <c r="GU75">
        <v>39.700000000000003</v>
      </c>
      <c r="GV75">
        <v>34.4</v>
      </c>
      <c r="GW75">
        <v>21.8001</v>
      </c>
      <c r="GX75">
        <v>61.994199999999999</v>
      </c>
      <c r="GY75">
        <v>12.724399999999999</v>
      </c>
      <c r="GZ75">
        <v>1</v>
      </c>
      <c r="HA75">
        <v>0.41646300000000003</v>
      </c>
      <c r="HB75">
        <v>2.9337900000000001</v>
      </c>
      <c r="HC75">
        <v>20.229700000000001</v>
      </c>
      <c r="HD75">
        <v>5.2044100000000002</v>
      </c>
      <c r="HE75">
        <v>11.9381</v>
      </c>
      <c r="HF75">
        <v>4.9873500000000002</v>
      </c>
      <c r="HG75">
        <v>3.29033</v>
      </c>
      <c r="HH75">
        <v>9999</v>
      </c>
      <c r="HI75">
        <v>9999</v>
      </c>
      <c r="HJ75">
        <v>9999</v>
      </c>
      <c r="HK75">
        <v>999.9</v>
      </c>
      <c r="HL75">
        <v>1.8702799999999999</v>
      </c>
      <c r="HM75">
        <v>1.87653</v>
      </c>
      <c r="HN75">
        <v>1.8742399999999999</v>
      </c>
      <c r="HO75">
        <v>1.87256</v>
      </c>
      <c r="HP75">
        <v>1.8730199999999999</v>
      </c>
      <c r="HQ75">
        <v>1.87042</v>
      </c>
      <c r="HR75">
        <v>1.8763700000000001</v>
      </c>
      <c r="HS75">
        <v>1.8754599999999999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424</v>
      </c>
      <c r="IB75" t="s">
        <v>424</v>
      </c>
      <c r="IC75" t="s">
        <v>423</v>
      </c>
      <c r="ID75">
        <v>0</v>
      </c>
      <c r="IE75">
        <v>100</v>
      </c>
      <c r="IF75">
        <v>100</v>
      </c>
      <c r="IG75">
        <v>-2.6070000000000002</v>
      </c>
      <c r="IH75">
        <v>0.35620000000000002</v>
      </c>
      <c r="II75">
        <v>-2.2363116477155671</v>
      </c>
      <c r="IJ75">
        <v>-2.536945948238235E-3</v>
      </c>
      <c r="IK75">
        <v>1.581473279927893E-6</v>
      </c>
      <c r="IL75">
        <v>-4.6698293441882044E-10</v>
      </c>
      <c r="IM75">
        <v>-0.16401286740516069</v>
      </c>
      <c r="IN75">
        <v>-1.5895243091576399E-2</v>
      </c>
      <c r="IO75">
        <v>1.559614309849521E-3</v>
      </c>
      <c r="IP75">
        <v>-2.4566050869858518E-6</v>
      </c>
      <c r="IQ75">
        <v>2</v>
      </c>
      <c r="IR75">
        <v>2224</v>
      </c>
      <c r="IS75">
        <v>2</v>
      </c>
      <c r="IT75">
        <v>25</v>
      </c>
      <c r="IU75">
        <v>0.8</v>
      </c>
      <c r="IV75">
        <v>0.5</v>
      </c>
      <c r="IW75">
        <v>0.554199</v>
      </c>
      <c r="IX75">
        <v>2.50122</v>
      </c>
      <c r="IY75">
        <v>1.65039</v>
      </c>
      <c r="IZ75">
        <v>2.2912599999999999</v>
      </c>
      <c r="JA75">
        <v>1.50024</v>
      </c>
      <c r="JB75">
        <v>2.34985</v>
      </c>
      <c r="JC75">
        <v>38.281199999999998</v>
      </c>
      <c r="JD75">
        <v>23.868600000000001</v>
      </c>
      <c r="JE75">
        <v>18</v>
      </c>
      <c r="JF75">
        <v>506.05599999999998</v>
      </c>
      <c r="JG75">
        <v>459.22399999999999</v>
      </c>
      <c r="JH75">
        <v>24.5261</v>
      </c>
      <c r="JI75">
        <v>32.462400000000002</v>
      </c>
      <c r="JJ75">
        <v>30.000499999999999</v>
      </c>
      <c r="JK75">
        <v>32.447899999999997</v>
      </c>
      <c r="JL75">
        <v>32.420200000000001</v>
      </c>
      <c r="JM75">
        <v>11.1357</v>
      </c>
      <c r="JN75">
        <v>31.8703</v>
      </c>
      <c r="JO75">
        <v>41.9054</v>
      </c>
      <c r="JP75">
        <v>24.5137</v>
      </c>
      <c r="JQ75">
        <v>200</v>
      </c>
      <c r="JR75">
        <v>17.436800000000002</v>
      </c>
      <c r="JS75">
        <v>99.886700000000005</v>
      </c>
      <c r="JT75">
        <v>99.098200000000006</v>
      </c>
    </row>
    <row r="76" spans="1:280" x14ac:dyDescent="0.25">
      <c r="A76">
        <v>60</v>
      </c>
      <c r="B76">
        <v>1674589915</v>
      </c>
      <c r="C76">
        <v>15780.400000095369</v>
      </c>
      <c r="D76" t="s">
        <v>723</v>
      </c>
      <c r="E76" t="s">
        <v>724</v>
      </c>
      <c r="F76" t="s">
        <v>412</v>
      </c>
      <c r="G76" t="s">
        <v>709</v>
      </c>
      <c r="H76" t="s">
        <v>414</v>
      </c>
      <c r="I76">
        <v>1674589915</v>
      </c>
      <c r="J76">
        <f t="shared" si="46"/>
        <v>6.8467937765605402E-3</v>
      </c>
      <c r="K76">
        <f t="shared" si="47"/>
        <v>6.8467937765605402</v>
      </c>
      <c r="L76">
        <f t="shared" si="48"/>
        <v>20.985123853379566</v>
      </c>
      <c r="M76">
        <f t="shared" si="49"/>
        <v>94.062600000000003</v>
      </c>
      <c r="N76">
        <f t="shared" si="50"/>
        <v>28.947433360188938</v>
      </c>
      <c r="O76">
        <f t="shared" si="51"/>
        <v>2.8829576201057598</v>
      </c>
      <c r="P76">
        <f t="shared" si="52"/>
        <v>9.3679631649108011</v>
      </c>
      <c r="Q76">
        <f t="shared" si="53"/>
        <v>0.57490711450925025</v>
      </c>
      <c r="R76">
        <f t="shared" si="54"/>
        <v>2.920199011059891</v>
      </c>
      <c r="S76">
        <f t="shared" si="55"/>
        <v>0.51863816780226679</v>
      </c>
      <c r="T76">
        <f t="shared" si="56"/>
        <v>0.32874424075764291</v>
      </c>
      <c r="U76">
        <f t="shared" si="57"/>
        <v>344.36309860501757</v>
      </c>
      <c r="V76">
        <f t="shared" si="58"/>
        <v>28.256726897592685</v>
      </c>
      <c r="W76">
        <f t="shared" si="59"/>
        <v>27.875699999999998</v>
      </c>
      <c r="X76">
        <f t="shared" si="60"/>
        <v>3.7674280408482081</v>
      </c>
      <c r="Y76">
        <f t="shared" si="61"/>
        <v>65.697433083821139</v>
      </c>
      <c r="Z76">
        <f t="shared" si="62"/>
        <v>2.4939844314644</v>
      </c>
      <c r="AA76">
        <f t="shared" si="63"/>
        <v>3.7961672388058294</v>
      </c>
      <c r="AB76">
        <f t="shared" si="64"/>
        <v>1.2734436093838082</v>
      </c>
      <c r="AC76">
        <f t="shared" si="65"/>
        <v>-301.94360554631982</v>
      </c>
      <c r="AD76">
        <f t="shared" si="66"/>
        <v>20.513620111679483</v>
      </c>
      <c r="AE76">
        <f t="shared" si="67"/>
        <v>1.5303279740022926</v>
      </c>
      <c r="AF76">
        <f t="shared" si="68"/>
        <v>64.463441144379559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52420.579579459321</v>
      </c>
      <c r="AL76" t="s">
        <v>415</v>
      </c>
      <c r="AM76">
        <v>10424.1</v>
      </c>
      <c r="AN76">
        <v>628.54280000000006</v>
      </c>
      <c r="AO76">
        <v>2663.98</v>
      </c>
      <c r="AP76">
        <f t="shared" si="72"/>
        <v>0.76405873917972356</v>
      </c>
      <c r="AQ76">
        <v>-3.1675626227050531</v>
      </c>
      <c r="AR76" t="s">
        <v>725</v>
      </c>
      <c r="AS76">
        <v>10183.200000000001</v>
      </c>
      <c r="AT76">
        <v>735.45688461538464</v>
      </c>
      <c r="AU76">
        <v>905.96590630083165</v>
      </c>
      <c r="AV76">
        <f t="shared" si="73"/>
        <v>0.18820688560086762</v>
      </c>
      <c r="AW76">
        <v>0.5</v>
      </c>
      <c r="AX76">
        <f t="shared" si="74"/>
        <v>1513.1591993025086</v>
      </c>
      <c r="AY76">
        <f t="shared" si="75"/>
        <v>20.985123853379566</v>
      </c>
      <c r="AZ76">
        <f t="shared" si="76"/>
        <v>142.39349015951385</v>
      </c>
      <c r="BA76">
        <f t="shared" si="77"/>
        <v>1.59617616488852E-2</v>
      </c>
      <c r="BB76">
        <f t="shared" si="78"/>
        <v>1.9404859294069381</v>
      </c>
      <c r="BC76">
        <f t="shared" si="79"/>
        <v>431.14642181736457</v>
      </c>
      <c r="BD76" t="s">
        <v>726</v>
      </c>
      <c r="BE76">
        <v>538.54999999999995</v>
      </c>
      <c r="BF76">
        <f t="shared" si="80"/>
        <v>538.54999999999995</v>
      </c>
      <c r="BG76">
        <f t="shared" si="81"/>
        <v>0.40555158173781092</v>
      </c>
      <c r="BH76">
        <f t="shared" si="82"/>
        <v>0.46407631994527243</v>
      </c>
      <c r="BI76">
        <f t="shared" si="83"/>
        <v>0.82713337710447676</v>
      </c>
      <c r="BJ76">
        <f t="shared" si="84"/>
        <v>0.61461723199274809</v>
      </c>
      <c r="BK76">
        <f t="shared" si="85"/>
        <v>0.86370343123294024</v>
      </c>
      <c r="BL76">
        <f t="shared" si="86"/>
        <v>0.33982726565572807</v>
      </c>
      <c r="BM76">
        <f t="shared" si="87"/>
        <v>0.66017273434427193</v>
      </c>
      <c r="BN76">
        <v>20283</v>
      </c>
      <c r="BO76">
        <v>290.00000000000011</v>
      </c>
      <c r="BP76">
        <v>863.71</v>
      </c>
      <c r="BQ76">
        <v>285</v>
      </c>
      <c r="BR76">
        <v>10183.200000000001</v>
      </c>
      <c r="BS76">
        <v>864.6</v>
      </c>
      <c r="BT76">
        <v>-0.89</v>
      </c>
      <c r="BU76">
        <v>300.00000000000011</v>
      </c>
      <c r="BV76">
        <v>24.2</v>
      </c>
      <c r="BW76">
        <v>905.96590630083165</v>
      </c>
      <c r="BX76">
        <v>2.1083567567871011</v>
      </c>
      <c r="BY76">
        <v>-42.126395207948057</v>
      </c>
      <c r="BZ76">
        <v>1.9126105488813909</v>
      </c>
      <c r="CA76">
        <v>0.94543261883098051</v>
      </c>
      <c r="CB76">
        <v>-6.9405793103448259E-3</v>
      </c>
      <c r="CC76">
        <v>289.99999999999989</v>
      </c>
      <c r="CD76">
        <v>865.24</v>
      </c>
      <c r="CE76">
        <v>705</v>
      </c>
      <c r="CF76">
        <v>10160.200000000001</v>
      </c>
      <c r="CG76">
        <v>864.5</v>
      </c>
      <c r="CH76">
        <v>0.74</v>
      </c>
      <c r="CV76">
        <f t="shared" si="88"/>
        <v>1799.97</v>
      </c>
      <c r="CW76">
        <f t="shared" si="89"/>
        <v>1513.1591993025086</v>
      </c>
      <c r="CX76">
        <f t="shared" si="90"/>
        <v>0.84065801057934775</v>
      </c>
      <c r="CY76">
        <f t="shared" si="91"/>
        <v>0.19131602115869573</v>
      </c>
      <c r="CZ76">
        <v>6</v>
      </c>
      <c r="DA76">
        <v>0.5</v>
      </c>
      <c r="DB76" t="s">
        <v>418</v>
      </c>
      <c r="DC76">
        <v>2</v>
      </c>
      <c r="DD76">
        <v>1674589915</v>
      </c>
      <c r="DE76">
        <v>94.062600000000003</v>
      </c>
      <c r="DF76">
        <v>120.014</v>
      </c>
      <c r="DG76">
        <v>25.041799999999999</v>
      </c>
      <c r="DH76">
        <v>17.032499999999999</v>
      </c>
      <c r="DI76">
        <v>96.387799999999999</v>
      </c>
      <c r="DJ76">
        <v>24.6798</v>
      </c>
      <c r="DK76">
        <v>500.06900000000002</v>
      </c>
      <c r="DL76">
        <v>99.492800000000003</v>
      </c>
      <c r="DM76">
        <v>0.10005799999999999</v>
      </c>
      <c r="DN76">
        <v>28.006</v>
      </c>
      <c r="DO76">
        <v>27.875699999999998</v>
      </c>
      <c r="DP76">
        <v>999.9</v>
      </c>
      <c r="DQ76">
        <v>0</v>
      </c>
      <c r="DR76">
        <v>0</v>
      </c>
      <c r="DS76">
        <v>9997.5</v>
      </c>
      <c r="DT76">
        <v>0</v>
      </c>
      <c r="DU76">
        <v>406.38299999999998</v>
      </c>
      <c r="DV76">
        <v>-25.9512</v>
      </c>
      <c r="DW76">
        <v>96.4786</v>
      </c>
      <c r="DX76">
        <v>122.093</v>
      </c>
      <c r="DY76">
        <v>8.00929</v>
      </c>
      <c r="DZ76">
        <v>120.014</v>
      </c>
      <c r="EA76">
        <v>17.032499999999999</v>
      </c>
      <c r="EB76">
        <v>2.4914800000000001</v>
      </c>
      <c r="EC76">
        <v>1.6946099999999999</v>
      </c>
      <c r="ED76">
        <v>20.9709</v>
      </c>
      <c r="EE76">
        <v>14.847200000000001</v>
      </c>
      <c r="EF76">
        <v>1799.97</v>
      </c>
      <c r="EG76">
        <v>0.97800399999999998</v>
      </c>
      <c r="EH76">
        <v>2.19963E-2</v>
      </c>
      <c r="EI76">
        <v>0</v>
      </c>
      <c r="EJ76">
        <v>735.35699999999997</v>
      </c>
      <c r="EK76">
        <v>5.0010599999999998</v>
      </c>
      <c r="EL76">
        <v>13630.2</v>
      </c>
      <c r="EM76">
        <v>16710.8</v>
      </c>
      <c r="EN76">
        <v>48.5</v>
      </c>
      <c r="EO76">
        <v>49.311999999999998</v>
      </c>
      <c r="EP76">
        <v>49.436999999999998</v>
      </c>
      <c r="EQ76">
        <v>48.061999999999998</v>
      </c>
      <c r="ER76">
        <v>49.375</v>
      </c>
      <c r="ES76">
        <v>1755.49</v>
      </c>
      <c r="ET76">
        <v>39.479999999999997</v>
      </c>
      <c r="EU76">
        <v>0</v>
      </c>
      <c r="EV76">
        <v>114.7999999523163</v>
      </c>
      <c r="EW76">
        <v>0</v>
      </c>
      <c r="EX76">
        <v>735.45688461538464</v>
      </c>
      <c r="EY76">
        <v>-1.4904957278128099</v>
      </c>
      <c r="EZ76">
        <v>-44.102564105070932</v>
      </c>
      <c r="FA76">
        <v>13635.469230769229</v>
      </c>
      <c r="FB76">
        <v>15</v>
      </c>
      <c r="FC76">
        <v>1674589883.5</v>
      </c>
      <c r="FD76" t="s">
        <v>727</v>
      </c>
      <c r="FE76">
        <v>1674589870</v>
      </c>
      <c r="FF76">
        <v>1674589883.5</v>
      </c>
      <c r="FG76">
        <v>68</v>
      </c>
      <c r="FH76">
        <v>0.14099999999999999</v>
      </c>
      <c r="FI76">
        <v>5.0000000000000001E-3</v>
      </c>
      <c r="FJ76">
        <v>-2.3820000000000001</v>
      </c>
      <c r="FK76">
        <v>2.3E-2</v>
      </c>
      <c r="FL76">
        <v>120</v>
      </c>
      <c r="FM76">
        <v>17</v>
      </c>
      <c r="FN76">
        <v>0.04</v>
      </c>
      <c r="FO76">
        <v>0.01</v>
      </c>
      <c r="FP76">
        <v>20.96016600637169</v>
      </c>
      <c r="FQ76">
        <v>-0.39064213825926702</v>
      </c>
      <c r="FR76">
        <v>6.8716542889417476E-2</v>
      </c>
      <c r="FS76">
        <v>1</v>
      </c>
      <c r="FT76">
        <v>0.57506577119032232</v>
      </c>
      <c r="FU76">
        <v>1.406735957725876E-2</v>
      </c>
      <c r="FV76">
        <v>4.7619025114854618E-3</v>
      </c>
      <c r="FW76">
        <v>1</v>
      </c>
      <c r="FX76">
        <v>2</v>
      </c>
      <c r="FY76">
        <v>2</v>
      </c>
      <c r="FZ76" t="s">
        <v>420</v>
      </c>
      <c r="GA76">
        <v>2.9776199999999999</v>
      </c>
      <c r="GB76">
        <v>2.8063600000000002</v>
      </c>
      <c r="GC76">
        <v>2.7556299999999999E-2</v>
      </c>
      <c r="GD76">
        <v>3.36078E-2</v>
      </c>
      <c r="GE76">
        <v>0.122188</v>
      </c>
      <c r="GF76">
        <v>9.3249799999999994E-2</v>
      </c>
      <c r="GG76">
        <v>28729.3</v>
      </c>
      <c r="GH76">
        <v>26486.2</v>
      </c>
      <c r="GI76">
        <v>26558.9</v>
      </c>
      <c r="GJ76">
        <v>25885</v>
      </c>
      <c r="GK76">
        <v>31724.9</v>
      </c>
      <c r="GL76">
        <v>33127.1</v>
      </c>
      <c r="GM76">
        <v>37630.800000000003</v>
      </c>
      <c r="GN76">
        <v>38403.9</v>
      </c>
      <c r="GO76">
        <v>1.9714799999999999</v>
      </c>
      <c r="GP76">
        <v>1.9081999999999999</v>
      </c>
      <c r="GQ76">
        <v>3.8295999999999997E-2</v>
      </c>
      <c r="GR76">
        <v>0</v>
      </c>
      <c r="GS76">
        <v>27.25</v>
      </c>
      <c r="GT76">
        <v>999.9</v>
      </c>
      <c r="GU76">
        <v>39.700000000000003</v>
      </c>
      <c r="GV76">
        <v>34.4</v>
      </c>
      <c r="GW76">
        <v>21.8003</v>
      </c>
      <c r="GX76">
        <v>62.084299999999999</v>
      </c>
      <c r="GY76">
        <v>12.2316</v>
      </c>
      <c r="GZ76">
        <v>1</v>
      </c>
      <c r="HA76">
        <v>0.425201</v>
      </c>
      <c r="HB76">
        <v>2.89255</v>
      </c>
      <c r="HC76">
        <v>20.2303</v>
      </c>
      <c r="HD76">
        <v>5.2085999999999997</v>
      </c>
      <c r="HE76">
        <v>11.9381</v>
      </c>
      <c r="HF76">
        <v>4.9870000000000001</v>
      </c>
      <c r="HG76">
        <v>3.2902300000000002</v>
      </c>
      <c r="HH76">
        <v>9999</v>
      </c>
      <c r="HI76">
        <v>9999</v>
      </c>
      <c r="HJ76">
        <v>9999</v>
      </c>
      <c r="HK76">
        <v>999.9</v>
      </c>
      <c r="HL76">
        <v>1.87029</v>
      </c>
      <c r="HM76">
        <v>1.87653</v>
      </c>
      <c r="HN76">
        <v>1.87425</v>
      </c>
      <c r="HO76">
        <v>1.87256</v>
      </c>
      <c r="HP76">
        <v>1.8730199999999999</v>
      </c>
      <c r="HQ76">
        <v>1.87042</v>
      </c>
      <c r="HR76">
        <v>1.87636</v>
      </c>
      <c r="HS76">
        <v>1.8754500000000001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424</v>
      </c>
      <c r="IB76" t="s">
        <v>424</v>
      </c>
      <c r="IC76" t="s">
        <v>423</v>
      </c>
      <c r="ID76">
        <v>0</v>
      </c>
      <c r="IE76">
        <v>100</v>
      </c>
      <c r="IF76">
        <v>100</v>
      </c>
      <c r="IG76">
        <v>-2.3250000000000002</v>
      </c>
      <c r="IH76">
        <v>0.36199999999999999</v>
      </c>
      <c r="II76">
        <v>-2.0949373176834531</v>
      </c>
      <c r="IJ76">
        <v>-2.536945948238235E-3</v>
      </c>
      <c r="IK76">
        <v>1.581473279927893E-6</v>
      </c>
      <c r="IL76">
        <v>-4.6698293441882044E-10</v>
      </c>
      <c r="IM76">
        <v>-0.1587630435097469</v>
      </c>
      <c r="IN76">
        <v>-1.5895243091576399E-2</v>
      </c>
      <c r="IO76">
        <v>1.559614309849521E-3</v>
      </c>
      <c r="IP76">
        <v>-2.4566050869858518E-6</v>
      </c>
      <c r="IQ76">
        <v>2</v>
      </c>
      <c r="IR76">
        <v>2224</v>
      </c>
      <c r="IS76">
        <v>2</v>
      </c>
      <c r="IT76">
        <v>25</v>
      </c>
      <c r="IU76">
        <v>0.8</v>
      </c>
      <c r="IV76">
        <v>0.5</v>
      </c>
      <c r="IW76">
        <v>0.39184600000000003</v>
      </c>
      <c r="IX76">
        <v>2.5109900000000001</v>
      </c>
      <c r="IY76">
        <v>1.65039</v>
      </c>
      <c r="IZ76">
        <v>2.2900399999999999</v>
      </c>
      <c r="JA76">
        <v>1.50146</v>
      </c>
      <c r="JB76">
        <v>2.3645</v>
      </c>
      <c r="JC76">
        <v>38.354500000000002</v>
      </c>
      <c r="JD76">
        <v>23.877400000000002</v>
      </c>
      <c r="JE76">
        <v>18</v>
      </c>
      <c r="JF76">
        <v>505.97399999999999</v>
      </c>
      <c r="JG76">
        <v>457.90199999999999</v>
      </c>
      <c r="JH76">
        <v>24.539200000000001</v>
      </c>
      <c r="JI76">
        <v>32.566200000000002</v>
      </c>
      <c r="JJ76">
        <v>30.000499999999999</v>
      </c>
      <c r="JK76">
        <v>32.528700000000001</v>
      </c>
      <c r="JL76">
        <v>32.494399999999999</v>
      </c>
      <c r="JM76">
        <v>7.8999699999999997</v>
      </c>
      <c r="JN76">
        <v>33.818899999999999</v>
      </c>
      <c r="JO76">
        <v>41.665500000000002</v>
      </c>
      <c r="JP76">
        <v>24.538799999999998</v>
      </c>
      <c r="JQ76">
        <v>120</v>
      </c>
      <c r="JR76">
        <v>17.005700000000001</v>
      </c>
      <c r="JS76">
        <v>99.864800000000002</v>
      </c>
      <c r="JT76">
        <v>99.081500000000005</v>
      </c>
    </row>
    <row r="77" spans="1:280" x14ac:dyDescent="0.25">
      <c r="A77">
        <v>61</v>
      </c>
      <c r="B77">
        <v>1674590027.5</v>
      </c>
      <c r="C77">
        <v>15892.900000095369</v>
      </c>
      <c r="D77" t="s">
        <v>728</v>
      </c>
      <c r="E77" t="s">
        <v>729</v>
      </c>
      <c r="F77" t="s">
        <v>412</v>
      </c>
      <c r="G77" t="s">
        <v>709</v>
      </c>
      <c r="H77" t="s">
        <v>414</v>
      </c>
      <c r="I77">
        <v>1674590027.5</v>
      </c>
      <c r="J77">
        <f t="shared" si="46"/>
        <v>7.0644002131618729E-3</v>
      </c>
      <c r="K77">
        <f t="shared" si="47"/>
        <v>7.0644002131618731</v>
      </c>
      <c r="L77">
        <f t="shared" si="48"/>
        <v>12.777470624278866</v>
      </c>
      <c r="M77">
        <f t="shared" si="49"/>
        <v>54.236400000000003</v>
      </c>
      <c r="N77">
        <f t="shared" si="50"/>
        <v>16.015015358825703</v>
      </c>
      <c r="O77">
        <f t="shared" si="51"/>
        <v>1.5949639215458242</v>
      </c>
      <c r="P77">
        <f t="shared" si="52"/>
        <v>5.40149973611208</v>
      </c>
      <c r="Q77">
        <f t="shared" si="53"/>
        <v>0.59795144219027418</v>
      </c>
      <c r="R77">
        <f t="shared" si="54"/>
        <v>2.9228128407055984</v>
      </c>
      <c r="S77">
        <f t="shared" si="55"/>
        <v>0.53738361883993735</v>
      </c>
      <c r="T77">
        <f t="shared" si="56"/>
        <v>0.3407938462560256</v>
      </c>
      <c r="U77">
        <f t="shared" si="57"/>
        <v>344.36309860501757</v>
      </c>
      <c r="V77">
        <f t="shared" si="58"/>
        <v>28.188945656094269</v>
      </c>
      <c r="W77">
        <f t="shared" si="59"/>
        <v>27.845500000000001</v>
      </c>
      <c r="X77">
        <f t="shared" si="60"/>
        <v>3.7607942385510573</v>
      </c>
      <c r="Y77">
        <f t="shared" si="61"/>
        <v>65.704617918852946</v>
      </c>
      <c r="Z77">
        <f t="shared" si="62"/>
        <v>2.4926727575055798</v>
      </c>
      <c r="AA77">
        <f t="shared" si="63"/>
        <v>3.7937558066072321</v>
      </c>
      <c r="AB77">
        <f t="shared" si="64"/>
        <v>1.2681214810454775</v>
      </c>
      <c r="AC77">
        <f t="shared" si="65"/>
        <v>-311.54004940043859</v>
      </c>
      <c r="AD77">
        <f t="shared" si="66"/>
        <v>23.573173005870707</v>
      </c>
      <c r="AE77">
        <f t="shared" si="67"/>
        <v>1.7566398468621003</v>
      </c>
      <c r="AF77">
        <f t="shared" si="68"/>
        <v>58.152862057311815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52497.535362254479</v>
      </c>
      <c r="AL77" t="s">
        <v>415</v>
      </c>
      <c r="AM77">
        <v>10424.1</v>
      </c>
      <c r="AN77">
        <v>628.54280000000006</v>
      </c>
      <c r="AO77">
        <v>2663.98</v>
      </c>
      <c r="AP77">
        <f t="shared" si="72"/>
        <v>0.76405873917972356</v>
      </c>
      <c r="AQ77">
        <v>-3.1675626227050531</v>
      </c>
      <c r="AR77" t="s">
        <v>730</v>
      </c>
      <c r="AS77">
        <v>10182.700000000001</v>
      </c>
      <c r="AT77">
        <v>753.30132000000003</v>
      </c>
      <c r="AU77">
        <v>865.42375918155506</v>
      </c>
      <c r="AV77">
        <f t="shared" si="73"/>
        <v>0.12955784723034525</v>
      </c>
      <c r="AW77">
        <v>0.5</v>
      </c>
      <c r="AX77">
        <f t="shared" si="74"/>
        <v>1513.1591993025086</v>
      </c>
      <c r="AY77">
        <f t="shared" si="75"/>
        <v>12.777470624278866</v>
      </c>
      <c r="AZ77">
        <f t="shared" si="76"/>
        <v>98.020824189212973</v>
      </c>
      <c r="BA77">
        <f t="shared" si="77"/>
        <v>1.0537578104361914E-2</v>
      </c>
      <c r="BB77">
        <f t="shared" si="78"/>
        <v>2.0782376514822842</v>
      </c>
      <c r="BC77">
        <f t="shared" si="79"/>
        <v>421.7439990512288</v>
      </c>
      <c r="BD77" t="s">
        <v>731</v>
      </c>
      <c r="BE77">
        <v>549.69000000000005</v>
      </c>
      <c r="BF77">
        <f t="shared" si="80"/>
        <v>549.69000000000005</v>
      </c>
      <c r="BG77">
        <f t="shared" si="81"/>
        <v>0.36483139714138357</v>
      </c>
      <c r="BH77">
        <f t="shared" si="82"/>
        <v>0.35511704377827319</v>
      </c>
      <c r="BI77">
        <f t="shared" si="83"/>
        <v>0.85066676795446472</v>
      </c>
      <c r="BJ77">
        <f t="shared" si="84"/>
        <v>0.47332820488800842</v>
      </c>
      <c r="BK77">
        <f t="shared" si="85"/>
        <v>0.8836215830281795</v>
      </c>
      <c r="BL77">
        <f t="shared" si="86"/>
        <v>0.2591317479630581</v>
      </c>
      <c r="BM77">
        <f t="shared" si="87"/>
        <v>0.74086825203694184</v>
      </c>
      <c r="BN77">
        <v>20285</v>
      </c>
      <c r="BO77">
        <v>290.00000000000011</v>
      </c>
      <c r="BP77">
        <v>840.78</v>
      </c>
      <c r="BQ77">
        <v>295</v>
      </c>
      <c r="BR77">
        <v>10182.700000000001</v>
      </c>
      <c r="BS77">
        <v>839.93</v>
      </c>
      <c r="BT77">
        <v>0.85</v>
      </c>
      <c r="BU77">
        <v>300.00000000000011</v>
      </c>
      <c r="BV77">
        <v>24.2</v>
      </c>
      <c r="BW77">
        <v>865.42375918155506</v>
      </c>
      <c r="BX77">
        <v>1.728409643545548</v>
      </c>
      <c r="BY77">
        <v>-25.959513427678381</v>
      </c>
      <c r="BZ77">
        <v>1.567860917324317</v>
      </c>
      <c r="CA77">
        <v>0.90732881670251819</v>
      </c>
      <c r="CB77">
        <v>-6.9403001112347098E-3</v>
      </c>
      <c r="CC77">
        <v>289.99999999999989</v>
      </c>
      <c r="CD77">
        <v>839.21</v>
      </c>
      <c r="CE77">
        <v>635</v>
      </c>
      <c r="CF77">
        <v>10165.1</v>
      </c>
      <c r="CG77">
        <v>839.89</v>
      </c>
      <c r="CH77">
        <v>-0.68</v>
      </c>
      <c r="CV77">
        <f t="shared" si="88"/>
        <v>1799.97</v>
      </c>
      <c r="CW77">
        <f t="shared" si="89"/>
        <v>1513.1591993025086</v>
      </c>
      <c r="CX77">
        <f t="shared" si="90"/>
        <v>0.84065801057934775</v>
      </c>
      <c r="CY77">
        <f t="shared" si="91"/>
        <v>0.19131602115869573</v>
      </c>
      <c r="CZ77">
        <v>6</v>
      </c>
      <c r="DA77">
        <v>0.5</v>
      </c>
      <c r="DB77" t="s">
        <v>418</v>
      </c>
      <c r="DC77">
        <v>2</v>
      </c>
      <c r="DD77">
        <v>1674590027.5</v>
      </c>
      <c r="DE77">
        <v>54.236400000000003</v>
      </c>
      <c r="DF77">
        <v>70.029899999999998</v>
      </c>
      <c r="DG77">
        <v>25.0289</v>
      </c>
      <c r="DH77">
        <v>16.763400000000001</v>
      </c>
      <c r="DI77">
        <v>56.452500000000001</v>
      </c>
      <c r="DJ77">
        <v>24.6677</v>
      </c>
      <c r="DK77">
        <v>499.976</v>
      </c>
      <c r="DL77">
        <v>99.492099999999994</v>
      </c>
      <c r="DM77">
        <v>9.9682199999999999E-2</v>
      </c>
      <c r="DN77">
        <v>27.995100000000001</v>
      </c>
      <c r="DO77">
        <v>27.845500000000001</v>
      </c>
      <c r="DP77">
        <v>999.9</v>
      </c>
      <c r="DQ77">
        <v>0</v>
      </c>
      <c r="DR77">
        <v>0</v>
      </c>
      <c r="DS77">
        <v>10012.5</v>
      </c>
      <c r="DT77">
        <v>0</v>
      </c>
      <c r="DU77">
        <v>414.63799999999998</v>
      </c>
      <c r="DV77">
        <v>-15.7934</v>
      </c>
      <c r="DW77">
        <v>55.628799999999998</v>
      </c>
      <c r="DX77">
        <v>71.223799999999997</v>
      </c>
      <c r="DY77">
        <v>8.2655100000000008</v>
      </c>
      <c r="DZ77">
        <v>70.029899999999998</v>
      </c>
      <c r="EA77">
        <v>16.763400000000001</v>
      </c>
      <c r="EB77">
        <v>2.4901800000000001</v>
      </c>
      <c r="EC77">
        <v>1.6678299999999999</v>
      </c>
      <c r="ED77">
        <v>20.962499999999999</v>
      </c>
      <c r="EE77">
        <v>14.600199999999999</v>
      </c>
      <c r="EF77">
        <v>1799.97</v>
      </c>
      <c r="EG77">
        <v>0.97800399999999998</v>
      </c>
      <c r="EH77">
        <v>2.19963E-2</v>
      </c>
      <c r="EI77">
        <v>0</v>
      </c>
      <c r="EJ77">
        <v>752.779</v>
      </c>
      <c r="EK77">
        <v>5.0010599999999998</v>
      </c>
      <c r="EL77">
        <v>13962.1</v>
      </c>
      <c r="EM77">
        <v>16710.8</v>
      </c>
      <c r="EN77">
        <v>48.561999999999998</v>
      </c>
      <c r="EO77">
        <v>49.375</v>
      </c>
      <c r="EP77">
        <v>49.5</v>
      </c>
      <c r="EQ77">
        <v>48.186999999999998</v>
      </c>
      <c r="ER77">
        <v>49.436999999999998</v>
      </c>
      <c r="ES77">
        <v>1755.49</v>
      </c>
      <c r="ET77">
        <v>39.479999999999997</v>
      </c>
      <c r="EU77">
        <v>0</v>
      </c>
      <c r="EV77">
        <v>110.3999998569489</v>
      </c>
      <c r="EW77">
        <v>0</v>
      </c>
      <c r="EX77">
        <v>753.30132000000003</v>
      </c>
      <c r="EY77">
        <v>-2.887153859337761</v>
      </c>
      <c r="EZ77">
        <v>-26.361538440028209</v>
      </c>
      <c r="FA77">
        <v>13967.075999999999</v>
      </c>
      <c r="FB77">
        <v>15</v>
      </c>
      <c r="FC77">
        <v>1674589995</v>
      </c>
      <c r="FD77" t="s">
        <v>732</v>
      </c>
      <c r="FE77">
        <v>1674589979.5</v>
      </c>
      <c r="FF77">
        <v>1674589995</v>
      </c>
      <c r="FG77">
        <v>69</v>
      </c>
      <c r="FH77">
        <v>1.7000000000000001E-2</v>
      </c>
      <c r="FI77">
        <v>0</v>
      </c>
      <c r="FJ77">
        <v>-2.2530000000000001</v>
      </c>
      <c r="FK77">
        <v>6.0000000000000001E-3</v>
      </c>
      <c r="FL77">
        <v>70</v>
      </c>
      <c r="FM77">
        <v>17</v>
      </c>
      <c r="FN77">
        <v>0.06</v>
      </c>
      <c r="FO77">
        <v>0.01</v>
      </c>
      <c r="FP77">
        <v>12.77914446939697</v>
      </c>
      <c r="FQ77">
        <v>-0.56284723406709991</v>
      </c>
      <c r="FR77">
        <v>8.4461709857130779E-2</v>
      </c>
      <c r="FS77">
        <v>1</v>
      </c>
      <c r="FT77">
        <v>0.60449832465149367</v>
      </c>
      <c r="FU77">
        <v>-5.9250627912001298E-3</v>
      </c>
      <c r="FV77">
        <v>5.6107311554214039E-3</v>
      </c>
      <c r="FW77">
        <v>1</v>
      </c>
      <c r="FX77">
        <v>2</v>
      </c>
      <c r="FY77">
        <v>2</v>
      </c>
      <c r="FZ77" t="s">
        <v>420</v>
      </c>
      <c r="GA77">
        <v>2.9773100000000001</v>
      </c>
      <c r="GB77">
        <v>2.8061199999999999</v>
      </c>
      <c r="GC77">
        <v>1.6286700000000001E-2</v>
      </c>
      <c r="GD77">
        <v>1.98972E-2</v>
      </c>
      <c r="GE77">
        <v>0.122124</v>
      </c>
      <c r="GF77">
        <v>9.2185500000000004E-2</v>
      </c>
      <c r="GG77">
        <v>29058.3</v>
      </c>
      <c r="GH77">
        <v>26856.1</v>
      </c>
      <c r="GI77">
        <v>26555.8</v>
      </c>
      <c r="GJ77">
        <v>25880</v>
      </c>
      <c r="GK77">
        <v>31723.3</v>
      </c>
      <c r="GL77">
        <v>33159.699999999997</v>
      </c>
      <c r="GM77">
        <v>37625.800000000003</v>
      </c>
      <c r="GN77">
        <v>38396.800000000003</v>
      </c>
      <c r="GO77">
        <v>1.9706999999999999</v>
      </c>
      <c r="GP77">
        <v>1.9061999999999999</v>
      </c>
      <c r="GQ77">
        <v>3.8147E-2</v>
      </c>
      <c r="GR77">
        <v>0</v>
      </c>
      <c r="GS77">
        <v>27.222200000000001</v>
      </c>
      <c r="GT77">
        <v>999.9</v>
      </c>
      <c r="GU77">
        <v>39.6</v>
      </c>
      <c r="GV77">
        <v>34.4</v>
      </c>
      <c r="GW77">
        <v>21.744299999999999</v>
      </c>
      <c r="GX77">
        <v>61.954300000000003</v>
      </c>
      <c r="GY77">
        <v>12.648199999999999</v>
      </c>
      <c r="GZ77">
        <v>1</v>
      </c>
      <c r="HA77">
        <v>0.43230200000000002</v>
      </c>
      <c r="HB77">
        <v>2.79583</v>
      </c>
      <c r="HC77">
        <v>20.2315</v>
      </c>
      <c r="HD77">
        <v>5.20486</v>
      </c>
      <c r="HE77">
        <v>11.9381</v>
      </c>
      <c r="HF77">
        <v>4.98665</v>
      </c>
      <c r="HG77">
        <v>3.2897500000000002</v>
      </c>
      <c r="HH77">
        <v>9999</v>
      </c>
      <c r="HI77">
        <v>9999</v>
      </c>
      <c r="HJ77">
        <v>9999</v>
      </c>
      <c r="HK77">
        <v>999.9</v>
      </c>
      <c r="HL77">
        <v>1.87029</v>
      </c>
      <c r="HM77">
        <v>1.87653</v>
      </c>
      <c r="HN77">
        <v>1.87426</v>
      </c>
      <c r="HO77">
        <v>1.87256</v>
      </c>
      <c r="HP77">
        <v>1.8730199999999999</v>
      </c>
      <c r="HQ77">
        <v>1.87042</v>
      </c>
      <c r="HR77">
        <v>1.8763700000000001</v>
      </c>
      <c r="HS77">
        <v>1.8754599999999999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424</v>
      </c>
      <c r="IB77" t="s">
        <v>424</v>
      </c>
      <c r="IC77" t="s">
        <v>423</v>
      </c>
      <c r="ID77">
        <v>0</v>
      </c>
      <c r="IE77">
        <v>100</v>
      </c>
      <c r="IF77">
        <v>100</v>
      </c>
      <c r="IG77">
        <v>-2.2160000000000002</v>
      </c>
      <c r="IH77">
        <v>0.36120000000000002</v>
      </c>
      <c r="II77">
        <v>-2.077820798705583</v>
      </c>
      <c r="IJ77">
        <v>-2.536945948238235E-3</v>
      </c>
      <c r="IK77">
        <v>1.581473279927893E-6</v>
      </c>
      <c r="IL77">
        <v>-4.6698293441882044E-10</v>
      </c>
      <c r="IM77">
        <v>-0.15887051453033241</v>
      </c>
      <c r="IN77">
        <v>-1.5895243091576399E-2</v>
      </c>
      <c r="IO77">
        <v>1.559614309849521E-3</v>
      </c>
      <c r="IP77">
        <v>-2.4566050869858518E-6</v>
      </c>
      <c r="IQ77">
        <v>2</v>
      </c>
      <c r="IR77">
        <v>2224</v>
      </c>
      <c r="IS77">
        <v>2</v>
      </c>
      <c r="IT77">
        <v>25</v>
      </c>
      <c r="IU77">
        <v>0.8</v>
      </c>
      <c r="IV77">
        <v>0.5</v>
      </c>
      <c r="IW77">
        <v>0.29174800000000001</v>
      </c>
      <c r="IX77">
        <v>2.5293000000000001</v>
      </c>
      <c r="IY77">
        <v>1.65039</v>
      </c>
      <c r="IZ77">
        <v>2.2912599999999999</v>
      </c>
      <c r="JA77">
        <v>1.50024</v>
      </c>
      <c r="JB77">
        <v>2.3864700000000001</v>
      </c>
      <c r="JC77">
        <v>38.403399999999998</v>
      </c>
      <c r="JD77">
        <v>23.877400000000002</v>
      </c>
      <c r="JE77">
        <v>18</v>
      </c>
      <c r="JF77">
        <v>506.09300000000002</v>
      </c>
      <c r="JG77">
        <v>457.17500000000001</v>
      </c>
      <c r="JH77">
        <v>24.543900000000001</v>
      </c>
      <c r="JI77">
        <v>32.653199999999998</v>
      </c>
      <c r="JJ77">
        <v>30.000399999999999</v>
      </c>
      <c r="JK77">
        <v>32.606200000000001</v>
      </c>
      <c r="JL77">
        <v>32.569800000000001</v>
      </c>
      <c r="JM77">
        <v>5.8812600000000002</v>
      </c>
      <c r="JN77">
        <v>35.663800000000002</v>
      </c>
      <c r="JO77">
        <v>41.236499999999999</v>
      </c>
      <c r="JP77">
        <v>24.573699999999999</v>
      </c>
      <c r="JQ77">
        <v>70</v>
      </c>
      <c r="JR77">
        <v>16.646100000000001</v>
      </c>
      <c r="JS77">
        <v>99.852199999999996</v>
      </c>
      <c r="JT77">
        <v>99.062799999999996</v>
      </c>
    </row>
    <row r="78" spans="1:280" x14ac:dyDescent="0.25">
      <c r="A78">
        <v>62</v>
      </c>
      <c r="B78">
        <v>1674590153</v>
      </c>
      <c r="C78">
        <v>16018.400000095369</v>
      </c>
      <c r="D78" t="s">
        <v>733</v>
      </c>
      <c r="E78" t="s">
        <v>734</v>
      </c>
      <c r="F78" t="s">
        <v>412</v>
      </c>
      <c r="G78" t="s">
        <v>709</v>
      </c>
      <c r="H78" t="s">
        <v>414</v>
      </c>
      <c r="I78">
        <v>1674590153</v>
      </c>
      <c r="J78">
        <f t="shared" si="46"/>
        <v>7.3253519060881792E-3</v>
      </c>
      <c r="K78">
        <f t="shared" si="47"/>
        <v>7.3253519060881791</v>
      </c>
      <c r="L78">
        <f t="shared" si="48"/>
        <v>5.8197392080089321</v>
      </c>
      <c r="M78">
        <f t="shared" si="49"/>
        <v>22.814299999999999</v>
      </c>
      <c r="N78">
        <f t="shared" si="50"/>
        <v>6.03667740341377</v>
      </c>
      <c r="O78">
        <f t="shared" si="51"/>
        <v>0.60119372159712303</v>
      </c>
      <c r="P78">
        <f t="shared" si="52"/>
        <v>2.2720799880538398</v>
      </c>
      <c r="Q78">
        <f t="shared" si="53"/>
        <v>0.62193648698115356</v>
      </c>
      <c r="R78">
        <f t="shared" si="54"/>
        <v>2.9181854190313121</v>
      </c>
      <c r="S78">
        <f t="shared" si="55"/>
        <v>0.55660350849639839</v>
      </c>
      <c r="T78">
        <f t="shared" si="56"/>
        <v>0.35317345798277089</v>
      </c>
      <c r="U78">
        <f t="shared" si="57"/>
        <v>344.3592986050021</v>
      </c>
      <c r="V78">
        <f t="shared" si="58"/>
        <v>28.133344337037354</v>
      </c>
      <c r="W78">
        <f t="shared" si="59"/>
        <v>27.83</v>
      </c>
      <c r="X78">
        <f t="shared" si="60"/>
        <v>3.7573934320556335</v>
      </c>
      <c r="Y78">
        <f t="shared" si="61"/>
        <v>65.529613772076857</v>
      </c>
      <c r="Z78">
        <f t="shared" si="62"/>
        <v>2.48780225269152</v>
      </c>
      <c r="AA78">
        <f t="shared" si="63"/>
        <v>3.7964549300481449</v>
      </c>
      <c r="AB78">
        <f t="shared" si="64"/>
        <v>1.2695911793641135</v>
      </c>
      <c r="AC78">
        <f t="shared" si="65"/>
        <v>-323.04801905848871</v>
      </c>
      <c r="AD78">
        <f t="shared" si="66"/>
        <v>27.893760142708082</v>
      </c>
      <c r="AE78">
        <f t="shared" si="67"/>
        <v>2.0818658383522974</v>
      </c>
      <c r="AF78">
        <f t="shared" si="68"/>
        <v>51.286905527573786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52362.500544302333</v>
      </c>
      <c r="AL78" t="s">
        <v>415</v>
      </c>
      <c r="AM78">
        <v>10424.1</v>
      </c>
      <c r="AN78">
        <v>628.54280000000006</v>
      </c>
      <c r="AO78">
        <v>2663.98</v>
      </c>
      <c r="AP78">
        <f t="shared" si="72"/>
        <v>0.76405873917972356</v>
      </c>
      <c r="AQ78">
        <v>-3.1675626227050531</v>
      </c>
      <c r="AR78" t="s">
        <v>735</v>
      </c>
      <c r="AS78">
        <v>10209.5</v>
      </c>
      <c r="AT78">
        <v>769.45684615384619</v>
      </c>
      <c r="AU78">
        <v>847.98795802990833</v>
      </c>
      <c r="AV78">
        <f t="shared" si="73"/>
        <v>9.2608758334858821E-2</v>
      </c>
      <c r="AW78">
        <v>0.5</v>
      </c>
      <c r="AX78">
        <f t="shared" si="74"/>
        <v>1513.1423993025012</v>
      </c>
      <c r="AY78">
        <f t="shared" si="75"/>
        <v>5.8197392080089321</v>
      </c>
      <c r="AZ78">
        <f t="shared" si="76"/>
        <v>70.065119391616889</v>
      </c>
      <c r="BA78">
        <f t="shared" si="77"/>
        <v>5.9394950765088439E-3</v>
      </c>
      <c r="BB78">
        <f t="shared" si="78"/>
        <v>2.1415304601601926</v>
      </c>
      <c r="BC78">
        <f t="shared" si="79"/>
        <v>417.56000351373132</v>
      </c>
      <c r="BD78" t="s">
        <v>736</v>
      </c>
      <c r="BE78">
        <v>568.39</v>
      </c>
      <c r="BF78">
        <f t="shared" si="80"/>
        <v>568.39</v>
      </c>
      <c r="BG78">
        <f t="shared" si="81"/>
        <v>0.32971925530580115</v>
      </c>
      <c r="BH78">
        <f t="shared" si="82"/>
        <v>0.28087155009787923</v>
      </c>
      <c r="BI78">
        <f t="shared" si="83"/>
        <v>0.86657792887448948</v>
      </c>
      <c r="BJ78">
        <f t="shared" si="84"/>
        <v>0.35786213093550739</v>
      </c>
      <c r="BK78">
        <f t="shared" si="85"/>
        <v>0.89218770393411873</v>
      </c>
      <c r="BL78">
        <f t="shared" si="86"/>
        <v>0.20747697698463785</v>
      </c>
      <c r="BM78">
        <f t="shared" si="87"/>
        <v>0.79252302301536215</v>
      </c>
      <c r="BN78">
        <v>20287</v>
      </c>
      <c r="BO78">
        <v>290.00000000000011</v>
      </c>
      <c r="BP78">
        <v>824.91</v>
      </c>
      <c r="BQ78">
        <v>135</v>
      </c>
      <c r="BR78">
        <v>10209.5</v>
      </c>
      <c r="BS78">
        <v>823.88</v>
      </c>
      <c r="BT78">
        <v>1.03</v>
      </c>
      <c r="BU78">
        <v>300.00000000000011</v>
      </c>
      <c r="BV78">
        <v>24.2</v>
      </c>
      <c r="BW78">
        <v>847.98795802990833</v>
      </c>
      <c r="BX78">
        <v>2.1221065684870899</v>
      </c>
      <c r="BY78">
        <v>-24.617854712065839</v>
      </c>
      <c r="BZ78">
        <v>1.9249077118828961</v>
      </c>
      <c r="CA78">
        <v>0.85383269819599994</v>
      </c>
      <c r="CB78">
        <v>-6.940038042269195E-3</v>
      </c>
      <c r="CC78">
        <v>289.99999999999989</v>
      </c>
      <c r="CD78">
        <v>821.18</v>
      </c>
      <c r="CE78">
        <v>625</v>
      </c>
      <c r="CF78">
        <v>10165.6</v>
      </c>
      <c r="CG78">
        <v>823.77</v>
      </c>
      <c r="CH78">
        <v>-2.59</v>
      </c>
      <c r="CV78">
        <f t="shared" si="88"/>
        <v>1799.95</v>
      </c>
      <c r="CW78">
        <f t="shared" si="89"/>
        <v>1513.1423993025012</v>
      </c>
      <c r="CX78">
        <f t="shared" si="90"/>
        <v>0.84065801789077532</v>
      </c>
      <c r="CY78">
        <f t="shared" si="91"/>
        <v>0.19131603578155065</v>
      </c>
      <c r="CZ78">
        <v>6</v>
      </c>
      <c r="DA78">
        <v>0.5</v>
      </c>
      <c r="DB78" t="s">
        <v>418</v>
      </c>
      <c r="DC78">
        <v>2</v>
      </c>
      <c r="DD78">
        <v>1674590153</v>
      </c>
      <c r="DE78">
        <v>22.814299999999999</v>
      </c>
      <c r="DF78">
        <v>29.997499999999999</v>
      </c>
      <c r="DG78">
        <v>24.980399999999999</v>
      </c>
      <c r="DH78">
        <v>16.410799999999998</v>
      </c>
      <c r="DI78">
        <v>25.103400000000001</v>
      </c>
      <c r="DJ78">
        <v>24.6218</v>
      </c>
      <c r="DK78">
        <v>500.072</v>
      </c>
      <c r="DL78">
        <v>99.490399999999994</v>
      </c>
      <c r="DM78">
        <v>9.9768800000000005E-2</v>
      </c>
      <c r="DN78">
        <v>28.007300000000001</v>
      </c>
      <c r="DO78">
        <v>27.83</v>
      </c>
      <c r="DP78">
        <v>999.9</v>
      </c>
      <c r="DQ78">
        <v>0</v>
      </c>
      <c r="DR78">
        <v>0</v>
      </c>
      <c r="DS78">
        <v>9986.25</v>
      </c>
      <c r="DT78">
        <v>0</v>
      </c>
      <c r="DU78">
        <v>411.09399999999999</v>
      </c>
      <c r="DV78">
        <v>-7.1831899999999997</v>
      </c>
      <c r="DW78">
        <v>23.398800000000001</v>
      </c>
      <c r="DX78">
        <v>30.498000000000001</v>
      </c>
      <c r="DY78">
        <v>8.5695399999999999</v>
      </c>
      <c r="DZ78">
        <v>29.997499999999999</v>
      </c>
      <c r="EA78">
        <v>16.410799999999998</v>
      </c>
      <c r="EB78">
        <v>2.4853100000000001</v>
      </c>
      <c r="EC78">
        <v>1.6327199999999999</v>
      </c>
      <c r="ED78">
        <v>20.930599999999998</v>
      </c>
      <c r="EE78">
        <v>14.271100000000001</v>
      </c>
      <c r="EF78">
        <v>1799.95</v>
      </c>
      <c r="EG78">
        <v>0.97800399999999998</v>
      </c>
      <c r="EH78">
        <v>2.19963E-2</v>
      </c>
      <c r="EI78">
        <v>0</v>
      </c>
      <c r="EJ78">
        <v>769.66899999999998</v>
      </c>
      <c r="EK78">
        <v>5.0010599999999998</v>
      </c>
      <c r="EL78">
        <v>14258</v>
      </c>
      <c r="EM78">
        <v>16710.599999999999</v>
      </c>
      <c r="EN78">
        <v>48.625</v>
      </c>
      <c r="EO78">
        <v>49.5</v>
      </c>
      <c r="EP78">
        <v>49.561999999999998</v>
      </c>
      <c r="EQ78">
        <v>48.186999999999998</v>
      </c>
      <c r="ER78">
        <v>49.5</v>
      </c>
      <c r="ES78">
        <v>1755.47</v>
      </c>
      <c r="ET78">
        <v>39.479999999999997</v>
      </c>
      <c r="EU78">
        <v>0</v>
      </c>
      <c r="EV78">
        <v>123.7999999523163</v>
      </c>
      <c r="EW78">
        <v>0</v>
      </c>
      <c r="EX78">
        <v>769.45684615384619</v>
      </c>
      <c r="EY78">
        <v>-0.17176067563621969</v>
      </c>
      <c r="EZ78">
        <v>-8.6564102698202632</v>
      </c>
      <c r="FA78">
        <v>14259.35384615385</v>
      </c>
      <c r="FB78">
        <v>15</v>
      </c>
      <c r="FC78">
        <v>1674590120.5</v>
      </c>
      <c r="FD78" t="s">
        <v>737</v>
      </c>
      <c r="FE78">
        <v>1674590097</v>
      </c>
      <c r="FF78">
        <v>1674589995</v>
      </c>
      <c r="FG78">
        <v>70</v>
      </c>
      <c r="FH78">
        <v>-0.14899999999999999</v>
      </c>
      <c r="FI78">
        <v>0</v>
      </c>
      <c r="FJ78">
        <v>-2.3069999999999999</v>
      </c>
      <c r="FK78">
        <v>6.0000000000000001E-3</v>
      </c>
      <c r="FL78">
        <v>30</v>
      </c>
      <c r="FM78">
        <v>17</v>
      </c>
      <c r="FN78">
        <v>0.24</v>
      </c>
      <c r="FO78">
        <v>0.01</v>
      </c>
      <c r="FP78">
        <v>5.8656633464939079</v>
      </c>
      <c r="FQ78">
        <v>-0.46481736709439309</v>
      </c>
      <c r="FR78">
        <v>6.9990642536205211E-2</v>
      </c>
      <c r="FS78">
        <v>1</v>
      </c>
      <c r="FT78">
        <v>0.6282789249529882</v>
      </c>
      <c r="FU78">
        <v>-7.228706154314272E-3</v>
      </c>
      <c r="FV78">
        <v>2.9875400412664702E-3</v>
      </c>
      <c r="FW78">
        <v>1</v>
      </c>
      <c r="FX78">
        <v>2</v>
      </c>
      <c r="FY78">
        <v>2</v>
      </c>
      <c r="FZ78" t="s">
        <v>420</v>
      </c>
      <c r="GA78">
        <v>2.9775</v>
      </c>
      <c r="GB78">
        <v>2.8059699999999999</v>
      </c>
      <c r="GC78">
        <v>7.2564200000000004E-3</v>
      </c>
      <c r="GD78">
        <v>8.5550599999999997E-3</v>
      </c>
      <c r="GE78">
        <v>0.121943</v>
      </c>
      <c r="GF78">
        <v>9.0786199999999997E-2</v>
      </c>
      <c r="GG78">
        <v>29321.599999999999</v>
      </c>
      <c r="GH78">
        <v>27162</v>
      </c>
      <c r="GI78">
        <v>26553.1</v>
      </c>
      <c r="GJ78">
        <v>25875.9</v>
      </c>
      <c r="GK78">
        <v>31726.7</v>
      </c>
      <c r="GL78">
        <v>33206.5</v>
      </c>
      <c r="GM78">
        <v>37621.699999999997</v>
      </c>
      <c r="GN78">
        <v>38391.9</v>
      </c>
      <c r="GO78">
        <v>1.9697499999999999</v>
      </c>
      <c r="GP78">
        <v>1.90425</v>
      </c>
      <c r="GQ78">
        <v>3.9566299999999999E-2</v>
      </c>
      <c r="GR78">
        <v>0</v>
      </c>
      <c r="GS78">
        <v>27.183499999999999</v>
      </c>
      <c r="GT78">
        <v>999.9</v>
      </c>
      <c r="GU78">
        <v>39.4</v>
      </c>
      <c r="GV78">
        <v>34.4</v>
      </c>
      <c r="GW78">
        <v>21.636199999999999</v>
      </c>
      <c r="GX78">
        <v>62.164299999999997</v>
      </c>
      <c r="GY78">
        <v>12.1675</v>
      </c>
      <c r="GZ78">
        <v>1</v>
      </c>
      <c r="HA78">
        <v>0.43811699999999998</v>
      </c>
      <c r="HB78">
        <v>2.83548</v>
      </c>
      <c r="HC78">
        <v>20.230599999999999</v>
      </c>
      <c r="HD78">
        <v>5.2044100000000002</v>
      </c>
      <c r="HE78">
        <v>11.9381</v>
      </c>
      <c r="HF78">
        <v>4.9859499999999999</v>
      </c>
      <c r="HG78">
        <v>3.28973</v>
      </c>
      <c r="HH78">
        <v>9999</v>
      </c>
      <c r="HI78">
        <v>9999</v>
      </c>
      <c r="HJ78">
        <v>9999</v>
      </c>
      <c r="HK78">
        <v>999.9</v>
      </c>
      <c r="HL78">
        <v>1.8703099999999999</v>
      </c>
      <c r="HM78">
        <v>1.87653</v>
      </c>
      <c r="HN78">
        <v>1.87425</v>
      </c>
      <c r="HO78">
        <v>1.87256</v>
      </c>
      <c r="HP78">
        <v>1.8730199999999999</v>
      </c>
      <c r="HQ78">
        <v>1.87042</v>
      </c>
      <c r="HR78">
        <v>1.87636</v>
      </c>
      <c r="HS78">
        <v>1.8754599999999999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424</v>
      </c>
      <c r="IB78" t="s">
        <v>424</v>
      </c>
      <c r="IC78" t="s">
        <v>423</v>
      </c>
      <c r="ID78">
        <v>0</v>
      </c>
      <c r="IE78">
        <v>100</v>
      </c>
      <c r="IF78">
        <v>100</v>
      </c>
      <c r="IG78">
        <v>-2.2890000000000001</v>
      </c>
      <c r="IH78">
        <v>0.35859999999999997</v>
      </c>
      <c r="II78">
        <v>-2.2264480687241091</v>
      </c>
      <c r="IJ78">
        <v>-2.536945948238235E-3</v>
      </c>
      <c r="IK78">
        <v>1.581473279927893E-6</v>
      </c>
      <c r="IL78">
        <v>-4.6698293441882044E-10</v>
      </c>
      <c r="IM78">
        <v>-0.15887051453033241</v>
      </c>
      <c r="IN78">
        <v>-1.5895243091576399E-2</v>
      </c>
      <c r="IO78">
        <v>1.559614309849521E-3</v>
      </c>
      <c r="IP78">
        <v>-2.4566050869858518E-6</v>
      </c>
      <c r="IQ78">
        <v>2</v>
      </c>
      <c r="IR78">
        <v>2224</v>
      </c>
      <c r="IS78">
        <v>2</v>
      </c>
      <c r="IT78">
        <v>25</v>
      </c>
      <c r="IU78">
        <v>0.9</v>
      </c>
      <c r="IV78">
        <v>2.6</v>
      </c>
      <c r="IW78">
        <v>0.21240200000000001</v>
      </c>
      <c r="IX78">
        <v>2.5451700000000002</v>
      </c>
      <c r="IY78">
        <v>1.65039</v>
      </c>
      <c r="IZ78">
        <v>2.2912599999999999</v>
      </c>
      <c r="JA78">
        <v>1.50024</v>
      </c>
      <c r="JB78">
        <v>2.3315399999999999</v>
      </c>
      <c r="JC78">
        <v>38.452399999999997</v>
      </c>
      <c r="JD78">
        <v>23.868600000000001</v>
      </c>
      <c r="JE78">
        <v>18</v>
      </c>
      <c r="JF78">
        <v>506.07299999999998</v>
      </c>
      <c r="JG78">
        <v>456.471</v>
      </c>
      <c r="JH78">
        <v>24.597100000000001</v>
      </c>
      <c r="JI78">
        <v>32.724400000000003</v>
      </c>
      <c r="JJ78">
        <v>30.000399999999999</v>
      </c>
      <c r="JK78">
        <v>32.680799999999998</v>
      </c>
      <c r="JL78">
        <v>32.644100000000002</v>
      </c>
      <c r="JM78">
        <v>4.3026799999999996</v>
      </c>
      <c r="JN78">
        <v>36.688200000000002</v>
      </c>
      <c r="JO78">
        <v>40.299999999999997</v>
      </c>
      <c r="JP78">
        <v>24.586200000000002</v>
      </c>
      <c r="JQ78">
        <v>30</v>
      </c>
      <c r="JR78">
        <v>16.3233</v>
      </c>
      <c r="JS78">
        <v>99.8416</v>
      </c>
      <c r="JT78">
        <v>99.049099999999996</v>
      </c>
    </row>
    <row r="79" spans="1:280" x14ac:dyDescent="0.25">
      <c r="A79">
        <v>63</v>
      </c>
      <c r="B79">
        <v>1674590266</v>
      </c>
      <c r="C79">
        <v>16131.400000095369</v>
      </c>
      <c r="D79" t="s">
        <v>738</v>
      </c>
      <c r="E79" t="s">
        <v>739</v>
      </c>
      <c r="F79" t="s">
        <v>412</v>
      </c>
      <c r="G79" t="s">
        <v>709</v>
      </c>
      <c r="H79" t="s">
        <v>414</v>
      </c>
      <c r="I79">
        <v>1674590266</v>
      </c>
      <c r="J79">
        <f t="shared" si="46"/>
        <v>7.4816614807630116E-3</v>
      </c>
      <c r="K79">
        <f t="shared" si="47"/>
        <v>7.4816614807630115</v>
      </c>
      <c r="L79">
        <f t="shared" si="48"/>
        <v>2.1019213761238924</v>
      </c>
      <c r="M79">
        <f t="shared" si="49"/>
        <v>7.3964400000000001</v>
      </c>
      <c r="N79">
        <f t="shared" si="50"/>
        <v>1.5205656161949408</v>
      </c>
      <c r="O79">
        <f t="shared" si="51"/>
        <v>0.15142921486861868</v>
      </c>
      <c r="P79">
        <f t="shared" si="52"/>
        <v>0.73659241672557607</v>
      </c>
      <c r="Q79">
        <f t="shared" si="53"/>
        <v>0.64172244696404801</v>
      </c>
      <c r="R79">
        <f t="shared" si="54"/>
        <v>2.9214261523337073</v>
      </c>
      <c r="S79">
        <f t="shared" si="55"/>
        <v>0.5724817537896103</v>
      </c>
      <c r="T79">
        <f t="shared" si="56"/>
        <v>0.36339755504820026</v>
      </c>
      <c r="U79">
        <f t="shared" si="57"/>
        <v>344.41819860524231</v>
      </c>
      <c r="V79">
        <f t="shared" si="58"/>
        <v>28.087434887308451</v>
      </c>
      <c r="W79">
        <f t="shared" si="59"/>
        <v>27.791399999999999</v>
      </c>
      <c r="X79">
        <f t="shared" si="60"/>
        <v>3.7489359858718645</v>
      </c>
      <c r="Y79">
        <f t="shared" si="61"/>
        <v>65.560772201108094</v>
      </c>
      <c r="Z79">
        <f t="shared" si="62"/>
        <v>2.4882017823615401</v>
      </c>
      <c r="AA79">
        <f t="shared" si="63"/>
        <v>3.7952600294715335</v>
      </c>
      <c r="AB79">
        <f t="shared" si="64"/>
        <v>1.2607342035103244</v>
      </c>
      <c r="AC79">
        <f t="shared" si="65"/>
        <v>-329.94127130164878</v>
      </c>
      <c r="AD79">
        <f t="shared" si="66"/>
        <v>33.153734575531374</v>
      </c>
      <c r="AE79">
        <f t="shared" si="67"/>
        <v>2.4711599813913359</v>
      </c>
      <c r="AF79">
        <f t="shared" si="68"/>
        <v>50.101821860516239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52456.426701836324</v>
      </c>
      <c r="AL79" t="s">
        <v>415</v>
      </c>
      <c r="AM79">
        <v>10424.1</v>
      </c>
      <c r="AN79">
        <v>628.54280000000006</v>
      </c>
      <c r="AO79">
        <v>2663.98</v>
      </c>
      <c r="AP79">
        <f t="shared" si="72"/>
        <v>0.76405873917972356</v>
      </c>
      <c r="AQ79">
        <v>-3.1675626227050531</v>
      </c>
      <c r="AR79" t="s">
        <v>740</v>
      </c>
      <c r="AS79">
        <v>10211.700000000001</v>
      </c>
      <c r="AT79">
        <v>777.49936000000014</v>
      </c>
      <c r="AU79">
        <v>841.17668611865088</v>
      </c>
      <c r="AV79">
        <f t="shared" si="73"/>
        <v>7.570029836712433E-2</v>
      </c>
      <c r="AW79">
        <v>0.5</v>
      </c>
      <c r="AX79">
        <f t="shared" si="74"/>
        <v>1513.4027993026211</v>
      </c>
      <c r="AY79">
        <f t="shared" si="75"/>
        <v>2.1019213761238924</v>
      </c>
      <c r="AZ79">
        <f t="shared" si="76"/>
        <v>57.282521728424797</v>
      </c>
      <c r="BA79">
        <f t="shared" si="77"/>
        <v>3.4818780573533589E-3</v>
      </c>
      <c r="BB79">
        <f t="shared" si="78"/>
        <v>2.1669684193128438</v>
      </c>
      <c r="BC79">
        <f t="shared" si="79"/>
        <v>415.90171189353799</v>
      </c>
      <c r="BD79" t="s">
        <v>741</v>
      </c>
      <c r="BE79">
        <v>582.25</v>
      </c>
      <c r="BF79">
        <f t="shared" si="80"/>
        <v>582.25</v>
      </c>
      <c r="BG79">
        <f t="shared" si="81"/>
        <v>0.30781486266980107</v>
      </c>
      <c r="BH79">
        <f t="shared" si="82"/>
        <v>0.24592801566027522</v>
      </c>
      <c r="BI79">
        <f t="shared" si="83"/>
        <v>0.87561946740516261</v>
      </c>
      <c r="BJ79">
        <f t="shared" si="84"/>
        <v>0.29946932392101633</v>
      </c>
      <c r="BK79">
        <f t="shared" si="85"/>
        <v>0.89553404736896292</v>
      </c>
      <c r="BL79">
        <f t="shared" si="86"/>
        <v>0.18416939548116829</v>
      </c>
      <c r="BM79">
        <f t="shared" si="87"/>
        <v>0.81583060451883171</v>
      </c>
      <c r="BN79">
        <v>20289</v>
      </c>
      <c r="BO79">
        <v>290.00000000000011</v>
      </c>
      <c r="BP79">
        <v>821.85</v>
      </c>
      <c r="BQ79">
        <v>125</v>
      </c>
      <c r="BR79">
        <v>10211.700000000001</v>
      </c>
      <c r="BS79">
        <v>819.53</v>
      </c>
      <c r="BT79">
        <v>2.3199999999999998</v>
      </c>
      <c r="BU79">
        <v>300.00000000000011</v>
      </c>
      <c r="BV79">
        <v>24.2</v>
      </c>
      <c r="BW79">
        <v>841.17668611865088</v>
      </c>
      <c r="BX79">
        <v>1.803213573204355</v>
      </c>
      <c r="BY79">
        <v>-22.103925852324359</v>
      </c>
      <c r="BZ79">
        <v>1.6356316740101891</v>
      </c>
      <c r="CA79">
        <v>0.86706432553651958</v>
      </c>
      <c r="CB79">
        <v>-6.9400378197997858E-3</v>
      </c>
      <c r="CC79">
        <v>289.99999999999989</v>
      </c>
      <c r="CD79">
        <v>816.21</v>
      </c>
      <c r="CE79">
        <v>685</v>
      </c>
      <c r="CF79">
        <v>10160.5</v>
      </c>
      <c r="CG79">
        <v>819.42</v>
      </c>
      <c r="CH79">
        <v>-3.21</v>
      </c>
      <c r="CV79">
        <f t="shared" si="88"/>
        <v>1800.26</v>
      </c>
      <c r="CW79">
        <f t="shared" si="89"/>
        <v>1513.4027993026211</v>
      </c>
      <c r="CX79">
        <f t="shared" si="90"/>
        <v>0.84065790458190548</v>
      </c>
      <c r="CY79">
        <f t="shared" si="91"/>
        <v>0.19131580916381094</v>
      </c>
      <c r="CZ79">
        <v>6</v>
      </c>
      <c r="DA79">
        <v>0.5</v>
      </c>
      <c r="DB79" t="s">
        <v>418</v>
      </c>
      <c r="DC79">
        <v>2</v>
      </c>
      <c r="DD79">
        <v>1674590266</v>
      </c>
      <c r="DE79">
        <v>7.3964400000000001</v>
      </c>
      <c r="DF79">
        <v>9.9849800000000002</v>
      </c>
      <c r="DG79">
        <v>24.985099999999999</v>
      </c>
      <c r="DH79">
        <v>16.231999999999999</v>
      </c>
      <c r="DI79">
        <v>9.7394200000000009</v>
      </c>
      <c r="DJ79">
        <v>24.619499999999999</v>
      </c>
      <c r="DK79">
        <v>500.03300000000002</v>
      </c>
      <c r="DL79">
        <v>99.487899999999996</v>
      </c>
      <c r="DM79">
        <v>9.95254E-2</v>
      </c>
      <c r="DN79">
        <v>28.001899999999999</v>
      </c>
      <c r="DO79">
        <v>27.791399999999999</v>
      </c>
      <c r="DP79">
        <v>999.9</v>
      </c>
      <c r="DQ79">
        <v>0</v>
      </c>
      <c r="DR79">
        <v>0</v>
      </c>
      <c r="DS79">
        <v>10005</v>
      </c>
      <c r="DT79">
        <v>0</v>
      </c>
      <c r="DU79">
        <v>418.39299999999997</v>
      </c>
      <c r="DV79">
        <v>-2.5885400000000001</v>
      </c>
      <c r="DW79">
        <v>7.5859800000000002</v>
      </c>
      <c r="DX79">
        <v>10.149699999999999</v>
      </c>
      <c r="DY79">
        <v>8.7531099999999995</v>
      </c>
      <c r="DZ79">
        <v>9.9849800000000002</v>
      </c>
      <c r="EA79">
        <v>16.231999999999999</v>
      </c>
      <c r="EB79">
        <v>2.4857100000000001</v>
      </c>
      <c r="EC79">
        <v>1.6148899999999999</v>
      </c>
      <c r="ED79">
        <v>20.933299999999999</v>
      </c>
      <c r="EE79">
        <v>14.101599999999999</v>
      </c>
      <c r="EF79">
        <v>1800.26</v>
      </c>
      <c r="EG79">
        <v>0.97800699999999996</v>
      </c>
      <c r="EH79">
        <v>2.19928E-2</v>
      </c>
      <c r="EI79">
        <v>0</v>
      </c>
      <c r="EJ79">
        <v>777.21400000000006</v>
      </c>
      <c r="EK79">
        <v>5.0010599999999998</v>
      </c>
      <c r="EL79">
        <v>14409.8</v>
      </c>
      <c r="EM79">
        <v>16713.5</v>
      </c>
      <c r="EN79">
        <v>48.686999999999998</v>
      </c>
      <c r="EO79">
        <v>49.5</v>
      </c>
      <c r="EP79">
        <v>49.625</v>
      </c>
      <c r="EQ79">
        <v>48.25</v>
      </c>
      <c r="ER79">
        <v>49.5</v>
      </c>
      <c r="ES79">
        <v>1755.78</v>
      </c>
      <c r="ET79">
        <v>39.479999999999997</v>
      </c>
      <c r="EU79">
        <v>0</v>
      </c>
      <c r="EV79">
        <v>111</v>
      </c>
      <c r="EW79">
        <v>0</v>
      </c>
      <c r="EX79">
        <v>777.49936000000014</v>
      </c>
      <c r="EY79">
        <v>-0.13176923375767149</v>
      </c>
      <c r="EZ79">
        <v>-1.5769230249635111</v>
      </c>
      <c r="FA79">
        <v>14407.324000000001</v>
      </c>
      <c r="FB79">
        <v>15</v>
      </c>
      <c r="FC79">
        <v>1674590233</v>
      </c>
      <c r="FD79" t="s">
        <v>742</v>
      </c>
      <c r="FE79">
        <v>1674590209.5</v>
      </c>
      <c r="FF79">
        <v>1674590233</v>
      </c>
      <c r="FG79">
        <v>71</v>
      </c>
      <c r="FH79">
        <v>-9.1999999999999998E-2</v>
      </c>
      <c r="FI79">
        <v>7.0000000000000001E-3</v>
      </c>
      <c r="FJ79">
        <v>-2.35</v>
      </c>
      <c r="FK79">
        <v>-7.0000000000000001E-3</v>
      </c>
      <c r="FL79">
        <v>10</v>
      </c>
      <c r="FM79">
        <v>16</v>
      </c>
      <c r="FN79">
        <v>0.24</v>
      </c>
      <c r="FO79">
        <v>0.01</v>
      </c>
      <c r="FP79">
        <v>2.1954286802550231</v>
      </c>
      <c r="FQ79">
        <v>-0.6341508290290343</v>
      </c>
      <c r="FR79">
        <v>8.6785120955855957E-2</v>
      </c>
      <c r="FS79">
        <v>1</v>
      </c>
      <c r="FT79">
        <v>0.64994436587071613</v>
      </c>
      <c r="FU79">
        <v>-2.6074181592241018E-2</v>
      </c>
      <c r="FV79">
        <v>4.4822739999655853E-3</v>
      </c>
      <c r="FW79">
        <v>1</v>
      </c>
      <c r="FX79">
        <v>2</v>
      </c>
      <c r="FY79">
        <v>2</v>
      </c>
      <c r="FZ79" t="s">
        <v>420</v>
      </c>
      <c r="GA79">
        <v>2.97736</v>
      </c>
      <c r="GB79">
        <v>2.8058900000000002</v>
      </c>
      <c r="GC79">
        <v>2.81241E-3</v>
      </c>
      <c r="GD79">
        <v>2.8438000000000001E-3</v>
      </c>
      <c r="GE79">
        <v>0.121916</v>
      </c>
      <c r="GF79">
        <v>9.0067099999999997E-2</v>
      </c>
      <c r="GG79">
        <v>29451.200000000001</v>
      </c>
      <c r="GH79">
        <v>27317.1</v>
      </c>
      <c r="GI79">
        <v>26551.9</v>
      </c>
      <c r="GJ79">
        <v>25874.9</v>
      </c>
      <c r="GK79">
        <v>31726.7</v>
      </c>
      <c r="GL79">
        <v>33231.4</v>
      </c>
      <c r="GM79">
        <v>37620.300000000003</v>
      </c>
      <c r="GN79">
        <v>38390.400000000001</v>
      </c>
      <c r="GO79">
        <v>1.9690300000000001</v>
      </c>
      <c r="GP79">
        <v>1.9032</v>
      </c>
      <c r="GQ79">
        <v>4.1749300000000003E-2</v>
      </c>
      <c r="GR79">
        <v>0</v>
      </c>
      <c r="GS79">
        <v>27.109100000000002</v>
      </c>
      <c r="GT79">
        <v>999.9</v>
      </c>
      <c r="GU79">
        <v>39.200000000000003</v>
      </c>
      <c r="GV79">
        <v>34.4</v>
      </c>
      <c r="GW79">
        <v>21.526700000000002</v>
      </c>
      <c r="GX79">
        <v>62.024299999999997</v>
      </c>
      <c r="GY79">
        <v>12.2636</v>
      </c>
      <c r="GZ79">
        <v>1</v>
      </c>
      <c r="HA79">
        <v>0.44070900000000002</v>
      </c>
      <c r="HB79">
        <v>2.6217999999999999</v>
      </c>
      <c r="HC79">
        <v>20.234300000000001</v>
      </c>
      <c r="HD79">
        <v>5.2057599999999997</v>
      </c>
      <c r="HE79">
        <v>11.9381</v>
      </c>
      <c r="HF79">
        <v>4.9862000000000002</v>
      </c>
      <c r="HG79">
        <v>3.2898200000000002</v>
      </c>
      <c r="HH79">
        <v>9999</v>
      </c>
      <c r="HI79">
        <v>9999</v>
      </c>
      <c r="HJ79">
        <v>9999</v>
      </c>
      <c r="HK79">
        <v>999.9</v>
      </c>
      <c r="HL79">
        <v>1.8703000000000001</v>
      </c>
      <c r="HM79">
        <v>1.87653</v>
      </c>
      <c r="HN79">
        <v>1.87425</v>
      </c>
      <c r="HO79">
        <v>1.87256</v>
      </c>
      <c r="HP79">
        <v>1.8730199999999999</v>
      </c>
      <c r="HQ79">
        <v>1.87042</v>
      </c>
      <c r="HR79">
        <v>1.8763700000000001</v>
      </c>
      <c r="HS79">
        <v>1.8754500000000001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424</v>
      </c>
      <c r="IB79" t="s">
        <v>424</v>
      </c>
      <c r="IC79" t="s">
        <v>423</v>
      </c>
      <c r="ID79">
        <v>0</v>
      </c>
      <c r="IE79">
        <v>100</v>
      </c>
      <c r="IF79">
        <v>100</v>
      </c>
      <c r="IG79">
        <v>-2.343</v>
      </c>
      <c r="IH79">
        <v>0.36559999999999998</v>
      </c>
      <c r="II79">
        <v>-2.318414321813671</v>
      </c>
      <c r="IJ79">
        <v>-2.536945948238235E-3</v>
      </c>
      <c r="IK79">
        <v>1.581473279927893E-6</v>
      </c>
      <c r="IL79">
        <v>-4.6698293441882044E-10</v>
      </c>
      <c r="IM79">
        <v>-0.15167807869528571</v>
      </c>
      <c r="IN79">
        <v>-1.5895243091576399E-2</v>
      </c>
      <c r="IO79">
        <v>1.559614309849521E-3</v>
      </c>
      <c r="IP79">
        <v>-2.4566050869858518E-6</v>
      </c>
      <c r="IQ79">
        <v>2</v>
      </c>
      <c r="IR79">
        <v>2224</v>
      </c>
      <c r="IS79">
        <v>2</v>
      </c>
      <c r="IT79">
        <v>25</v>
      </c>
      <c r="IU79">
        <v>0.9</v>
      </c>
      <c r="IV79">
        <v>0.6</v>
      </c>
      <c r="IW79">
        <v>0.17456099999999999</v>
      </c>
      <c r="IX79">
        <v>2.5573700000000001</v>
      </c>
      <c r="IY79">
        <v>1.65039</v>
      </c>
      <c r="IZ79">
        <v>2.2912599999999999</v>
      </c>
      <c r="JA79">
        <v>1.50024</v>
      </c>
      <c r="JB79">
        <v>2.4047900000000002</v>
      </c>
      <c r="JC79">
        <v>38.501399999999997</v>
      </c>
      <c r="JD79">
        <v>23.877400000000002</v>
      </c>
      <c r="JE79">
        <v>18</v>
      </c>
      <c r="JF79">
        <v>506.04</v>
      </c>
      <c r="JG79">
        <v>456.20299999999997</v>
      </c>
      <c r="JH79">
        <v>24.711200000000002</v>
      </c>
      <c r="JI79">
        <v>32.769500000000001</v>
      </c>
      <c r="JJ79">
        <v>30.000299999999999</v>
      </c>
      <c r="JK79">
        <v>32.735599999999998</v>
      </c>
      <c r="JL79">
        <v>32.698599999999999</v>
      </c>
      <c r="JM79">
        <v>3.54318</v>
      </c>
      <c r="JN79">
        <v>37.066099999999999</v>
      </c>
      <c r="JO79">
        <v>39.638500000000001</v>
      </c>
      <c r="JP79">
        <v>24.639399999999998</v>
      </c>
      <c r="JQ79">
        <v>10</v>
      </c>
      <c r="JR79">
        <v>16.1615</v>
      </c>
      <c r="JS79">
        <v>99.837500000000006</v>
      </c>
      <c r="JT79">
        <v>99.045199999999994</v>
      </c>
    </row>
    <row r="80" spans="1:280" x14ac:dyDescent="0.25">
      <c r="A80">
        <v>64</v>
      </c>
      <c r="B80">
        <v>1674590455.5999999</v>
      </c>
      <c r="C80">
        <v>16321</v>
      </c>
      <c r="D80" t="s">
        <v>743</v>
      </c>
      <c r="E80" t="s">
        <v>744</v>
      </c>
      <c r="F80" t="s">
        <v>412</v>
      </c>
      <c r="G80" t="s">
        <v>709</v>
      </c>
      <c r="H80" t="s">
        <v>414</v>
      </c>
      <c r="I80">
        <v>1674590455.5999999</v>
      </c>
      <c r="J80">
        <f t="shared" si="46"/>
        <v>6.9213352568302427E-3</v>
      </c>
      <c r="K80">
        <f t="shared" si="47"/>
        <v>6.9213352568302424</v>
      </c>
      <c r="L80">
        <f t="shared" si="48"/>
        <v>47.535334738253937</v>
      </c>
      <c r="M80">
        <f t="shared" si="49"/>
        <v>340.04700000000003</v>
      </c>
      <c r="N80">
        <f t="shared" si="50"/>
        <v>191.36823345080796</v>
      </c>
      <c r="O80">
        <f t="shared" si="51"/>
        <v>19.056316068845678</v>
      </c>
      <c r="P80">
        <f t="shared" si="52"/>
        <v>33.861644607429</v>
      </c>
      <c r="Q80">
        <f t="shared" si="53"/>
        <v>0.58128000530509449</v>
      </c>
      <c r="R80">
        <f t="shared" si="54"/>
        <v>2.9212729725843025</v>
      </c>
      <c r="S80">
        <f t="shared" si="55"/>
        <v>0.52384216521453009</v>
      </c>
      <c r="T80">
        <f t="shared" si="56"/>
        <v>0.33208767721090654</v>
      </c>
      <c r="U80">
        <f t="shared" si="57"/>
        <v>344.3611986050098</v>
      </c>
      <c r="V80">
        <f t="shared" si="58"/>
        <v>28.230707616485002</v>
      </c>
      <c r="W80">
        <f t="shared" si="59"/>
        <v>27.721699999999998</v>
      </c>
      <c r="X80">
        <f t="shared" si="60"/>
        <v>3.7337064493516499</v>
      </c>
      <c r="Y80">
        <f t="shared" si="61"/>
        <v>64.798086602953546</v>
      </c>
      <c r="Z80">
        <f t="shared" si="62"/>
        <v>2.4589118277510003</v>
      </c>
      <c r="AA80">
        <f t="shared" si="63"/>
        <v>3.7947290678779413</v>
      </c>
      <c r="AB80">
        <f t="shared" si="64"/>
        <v>1.2747946216006496</v>
      </c>
      <c r="AC80">
        <f t="shared" si="65"/>
        <v>-305.2308848262137</v>
      </c>
      <c r="AD80">
        <f t="shared" si="66"/>
        <v>43.751185508735084</v>
      </c>
      <c r="AE80">
        <f t="shared" si="67"/>
        <v>3.2600550743695869</v>
      </c>
      <c r="AF80">
        <f t="shared" si="68"/>
        <v>86.141554361900774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52452.257723003066</v>
      </c>
      <c r="AL80" t="s">
        <v>415</v>
      </c>
      <c r="AM80">
        <v>10424.1</v>
      </c>
      <c r="AN80">
        <v>628.54280000000006</v>
      </c>
      <c r="AO80">
        <v>2663.98</v>
      </c>
      <c r="AP80">
        <f t="shared" si="72"/>
        <v>0.76405873917972356</v>
      </c>
      <c r="AQ80">
        <v>-3.1675626227050531</v>
      </c>
      <c r="AR80" t="s">
        <v>745</v>
      </c>
      <c r="AS80">
        <v>10186.700000000001</v>
      </c>
      <c r="AT80">
        <v>705.59876923076922</v>
      </c>
      <c r="AU80">
        <v>1003.037016098349</v>
      </c>
      <c r="AV80">
        <f t="shared" si="73"/>
        <v>0.2965376572288092</v>
      </c>
      <c r="AW80">
        <v>0.5</v>
      </c>
      <c r="AX80">
        <f t="shared" si="74"/>
        <v>1513.1507993025048</v>
      </c>
      <c r="AY80">
        <f t="shared" si="75"/>
        <v>47.535334738253937</v>
      </c>
      <c r="AZ80">
        <f t="shared" si="76"/>
        <v>224.35309652953242</v>
      </c>
      <c r="BA80">
        <f t="shared" si="77"/>
        <v>3.3508158859203441E-2</v>
      </c>
      <c r="BB80">
        <f t="shared" si="78"/>
        <v>1.6559139465883816</v>
      </c>
      <c r="BC80">
        <f t="shared" si="79"/>
        <v>451.96197032125491</v>
      </c>
      <c r="BD80" t="s">
        <v>746</v>
      </c>
      <c r="BE80">
        <v>549.67999999999995</v>
      </c>
      <c r="BF80">
        <f t="shared" si="80"/>
        <v>549.67999999999995</v>
      </c>
      <c r="BG80">
        <f t="shared" si="81"/>
        <v>0.45198433240463465</v>
      </c>
      <c r="BH80">
        <f t="shared" si="82"/>
        <v>0.65607950534740367</v>
      </c>
      <c r="BI80">
        <f t="shared" si="83"/>
        <v>0.78557583308974643</v>
      </c>
      <c r="BJ80">
        <f t="shared" si="84"/>
        <v>0.79423989498803671</v>
      </c>
      <c r="BK80">
        <f t="shared" si="85"/>
        <v>0.81601288602844202</v>
      </c>
      <c r="BL80">
        <f t="shared" si="86"/>
        <v>0.51110319097143142</v>
      </c>
      <c r="BM80">
        <f t="shared" si="87"/>
        <v>0.48889680902856858</v>
      </c>
      <c r="BN80">
        <v>20291</v>
      </c>
      <c r="BO80">
        <v>290.00000000000011</v>
      </c>
      <c r="BP80">
        <v>939.7</v>
      </c>
      <c r="BQ80">
        <v>265</v>
      </c>
      <c r="BR80">
        <v>10186.700000000001</v>
      </c>
      <c r="BS80">
        <v>941.79</v>
      </c>
      <c r="BT80">
        <v>-2.09</v>
      </c>
      <c r="BU80">
        <v>300.00000000000011</v>
      </c>
      <c r="BV80">
        <v>24.2</v>
      </c>
      <c r="BW80">
        <v>1003.037016098349</v>
      </c>
      <c r="BX80">
        <v>2.4045866861336749</v>
      </c>
      <c r="BY80">
        <v>-62.388994498671991</v>
      </c>
      <c r="BZ80">
        <v>2.1814369182773961</v>
      </c>
      <c r="CA80">
        <v>0.96690140435348337</v>
      </c>
      <c r="CB80">
        <v>-6.9413085650723112E-3</v>
      </c>
      <c r="CC80">
        <v>289.99999999999989</v>
      </c>
      <c r="CD80">
        <v>942.6</v>
      </c>
      <c r="CE80">
        <v>655</v>
      </c>
      <c r="CF80">
        <v>10164.4</v>
      </c>
      <c r="CG80">
        <v>941.66</v>
      </c>
      <c r="CH80">
        <v>0.94</v>
      </c>
      <c r="CV80">
        <f t="shared" si="88"/>
        <v>1799.96</v>
      </c>
      <c r="CW80">
        <f t="shared" si="89"/>
        <v>1513.1507993025048</v>
      </c>
      <c r="CX80">
        <f t="shared" si="90"/>
        <v>0.84065801423504116</v>
      </c>
      <c r="CY80">
        <f t="shared" si="91"/>
        <v>0.19131602847008256</v>
      </c>
      <c r="CZ80">
        <v>6</v>
      </c>
      <c r="DA80">
        <v>0.5</v>
      </c>
      <c r="DB80" t="s">
        <v>418</v>
      </c>
      <c r="DC80">
        <v>2</v>
      </c>
      <c r="DD80">
        <v>1674590455.5999999</v>
      </c>
      <c r="DE80">
        <v>340.04700000000003</v>
      </c>
      <c r="DF80">
        <v>399.904</v>
      </c>
      <c r="DG80">
        <v>24.693000000000001</v>
      </c>
      <c r="DH80">
        <v>16.593800000000002</v>
      </c>
      <c r="DI80">
        <v>343.35199999999998</v>
      </c>
      <c r="DJ80">
        <v>24.343800000000002</v>
      </c>
      <c r="DK80">
        <v>500.08100000000002</v>
      </c>
      <c r="DL80">
        <v>99.479200000000006</v>
      </c>
      <c r="DM80">
        <v>0.100107</v>
      </c>
      <c r="DN80">
        <v>27.999500000000001</v>
      </c>
      <c r="DO80">
        <v>27.721699999999998</v>
      </c>
      <c r="DP80">
        <v>999.9</v>
      </c>
      <c r="DQ80">
        <v>0</v>
      </c>
      <c r="DR80">
        <v>0</v>
      </c>
      <c r="DS80">
        <v>10005</v>
      </c>
      <c r="DT80">
        <v>0</v>
      </c>
      <c r="DU80">
        <v>426.61</v>
      </c>
      <c r="DV80">
        <v>-59.8566</v>
      </c>
      <c r="DW80">
        <v>348.65699999999998</v>
      </c>
      <c r="DX80">
        <v>406.65199999999999</v>
      </c>
      <c r="DY80">
        <v>8.0992599999999992</v>
      </c>
      <c r="DZ80">
        <v>399.904</v>
      </c>
      <c r="EA80">
        <v>16.593800000000002</v>
      </c>
      <c r="EB80">
        <v>2.4564400000000002</v>
      </c>
      <c r="EC80">
        <v>1.6507400000000001</v>
      </c>
      <c r="ED80">
        <v>20.7407</v>
      </c>
      <c r="EE80">
        <v>14.440799999999999</v>
      </c>
      <c r="EF80">
        <v>1799.96</v>
      </c>
      <c r="EG80">
        <v>0.97800399999999998</v>
      </c>
      <c r="EH80">
        <v>2.19963E-2</v>
      </c>
      <c r="EI80">
        <v>0</v>
      </c>
      <c r="EJ80">
        <v>705.37</v>
      </c>
      <c r="EK80">
        <v>5.0010599999999998</v>
      </c>
      <c r="EL80">
        <v>13130</v>
      </c>
      <c r="EM80">
        <v>16710.7</v>
      </c>
      <c r="EN80">
        <v>48.686999999999998</v>
      </c>
      <c r="EO80">
        <v>49.561999999999998</v>
      </c>
      <c r="EP80">
        <v>49.686999999999998</v>
      </c>
      <c r="EQ80">
        <v>48.25</v>
      </c>
      <c r="ER80">
        <v>49.561999999999998</v>
      </c>
      <c r="ES80">
        <v>1755.48</v>
      </c>
      <c r="ET80">
        <v>39.479999999999997</v>
      </c>
      <c r="EU80">
        <v>0</v>
      </c>
      <c r="EV80">
        <v>187.39999985694891</v>
      </c>
      <c r="EW80">
        <v>0</v>
      </c>
      <c r="EX80">
        <v>705.59876923076922</v>
      </c>
      <c r="EY80">
        <v>-1.888478626669239</v>
      </c>
      <c r="EZ80">
        <v>-31.955555513123581</v>
      </c>
      <c r="FA80">
        <v>13135.55769230769</v>
      </c>
      <c r="FB80">
        <v>15</v>
      </c>
      <c r="FC80">
        <v>1674590354.0999999</v>
      </c>
      <c r="FD80" t="s">
        <v>747</v>
      </c>
      <c r="FE80">
        <v>1674590354.0999999</v>
      </c>
      <c r="FF80">
        <v>1674590351.5999999</v>
      </c>
      <c r="FG80">
        <v>72</v>
      </c>
      <c r="FH80">
        <v>-0.28299999999999997</v>
      </c>
      <c r="FI80">
        <v>-1E-3</v>
      </c>
      <c r="FJ80">
        <v>-3.399</v>
      </c>
      <c r="FK80">
        <v>-1.4E-2</v>
      </c>
      <c r="FL80">
        <v>400</v>
      </c>
      <c r="FM80">
        <v>16</v>
      </c>
      <c r="FN80">
        <v>0.05</v>
      </c>
      <c r="FO80">
        <v>0.01</v>
      </c>
      <c r="FP80">
        <v>46.505274481714103</v>
      </c>
      <c r="FQ80">
        <v>5.7942163814669474</v>
      </c>
      <c r="FR80">
        <v>0.57240437688741896</v>
      </c>
      <c r="FS80">
        <v>0</v>
      </c>
      <c r="FT80">
        <v>0.59220508903497071</v>
      </c>
      <c r="FU80">
        <v>-4.4289235287196201E-2</v>
      </c>
      <c r="FV80">
        <v>4.7190260253850286E-3</v>
      </c>
      <c r="FW80">
        <v>1</v>
      </c>
      <c r="FX80">
        <v>1</v>
      </c>
      <c r="FY80">
        <v>2</v>
      </c>
      <c r="FZ80" t="s">
        <v>676</v>
      </c>
      <c r="GA80">
        <v>2.9774600000000002</v>
      </c>
      <c r="GB80">
        <v>2.80647</v>
      </c>
      <c r="GC80">
        <v>8.6148000000000002E-2</v>
      </c>
      <c r="GD80">
        <v>9.5951999999999996E-2</v>
      </c>
      <c r="GE80">
        <v>0.12094199999999999</v>
      </c>
      <c r="GF80">
        <v>9.1471700000000003E-2</v>
      </c>
      <c r="GG80">
        <v>26990.1</v>
      </c>
      <c r="GH80">
        <v>24763.9</v>
      </c>
      <c r="GI80">
        <v>26551.5</v>
      </c>
      <c r="GJ80">
        <v>25872.1</v>
      </c>
      <c r="GK80">
        <v>31761.9</v>
      </c>
      <c r="GL80">
        <v>33178.199999999997</v>
      </c>
      <c r="GM80">
        <v>37619.199999999997</v>
      </c>
      <c r="GN80">
        <v>38387.4</v>
      </c>
      <c r="GO80">
        <v>1.96878</v>
      </c>
      <c r="GP80">
        <v>1.9045300000000001</v>
      </c>
      <c r="GQ80">
        <v>4.1682299999999999E-2</v>
      </c>
      <c r="GR80">
        <v>0</v>
      </c>
      <c r="GS80">
        <v>27.040500000000002</v>
      </c>
      <c r="GT80">
        <v>999.9</v>
      </c>
      <c r="GU80">
        <v>38.6</v>
      </c>
      <c r="GV80">
        <v>34.5</v>
      </c>
      <c r="GW80">
        <v>21.3188</v>
      </c>
      <c r="GX80">
        <v>62.163400000000003</v>
      </c>
      <c r="GY80">
        <v>12.600199999999999</v>
      </c>
      <c r="GZ80">
        <v>1</v>
      </c>
      <c r="HA80">
        <v>0.44231999999999999</v>
      </c>
      <c r="HB80">
        <v>2.5494699999999999</v>
      </c>
      <c r="HC80">
        <v>20.235900000000001</v>
      </c>
      <c r="HD80">
        <v>5.2098000000000004</v>
      </c>
      <c r="HE80">
        <v>11.9381</v>
      </c>
      <c r="HF80">
        <v>4.9872500000000004</v>
      </c>
      <c r="HG80">
        <v>3.2907500000000001</v>
      </c>
      <c r="HH80">
        <v>9999</v>
      </c>
      <c r="HI80">
        <v>9999</v>
      </c>
      <c r="HJ80">
        <v>9999</v>
      </c>
      <c r="HK80">
        <v>999.9</v>
      </c>
      <c r="HL80">
        <v>1.87036</v>
      </c>
      <c r="HM80">
        <v>1.87653</v>
      </c>
      <c r="HN80">
        <v>1.8742799999999999</v>
      </c>
      <c r="HO80">
        <v>1.87256</v>
      </c>
      <c r="HP80">
        <v>1.8730199999999999</v>
      </c>
      <c r="HQ80">
        <v>1.87042</v>
      </c>
      <c r="HR80">
        <v>1.87636</v>
      </c>
      <c r="HS80">
        <v>1.8754599999999999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424</v>
      </c>
      <c r="IB80" t="s">
        <v>424</v>
      </c>
      <c r="IC80" t="s">
        <v>423</v>
      </c>
      <c r="ID80">
        <v>0</v>
      </c>
      <c r="IE80">
        <v>100</v>
      </c>
      <c r="IF80">
        <v>100</v>
      </c>
      <c r="IG80">
        <v>-3.3050000000000002</v>
      </c>
      <c r="IH80">
        <v>0.34920000000000001</v>
      </c>
      <c r="II80">
        <v>-2.6016056688220619</v>
      </c>
      <c r="IJ80">
        <v>-2.536945948238235E-3</v>
      </c>
      <c r="IK80">
        <v>1.581473279927893E-6</v>
      </c>
      <c r="IL80">
        <v>-4.6698293441882044E-10</v>
      </c>
      <c r="IM80">
        <v>-0.152642595906305</v>
      </c>
      <c r="IN80">
        <v>-1.5895243091576399E-2</v>
      </c>
      <c r="IO80">
        <v>1.559614309849521E-3</v>
      </c>
      <c r="IP80">
        <v>-2.4566050869858518E-6</v>
      </c>
      <c r="IQ80">
        <v>2</v>
      </c>
      <c r="IR80">
        <v>2224</v>
      </c>
      <c r="IS80">
        <v>2</v>
      </c>
      <c r="IT80">
        <v>25</v>
      </c>
      <c r="IU80">
        <v>1.7</v>
      </c>
      <c r="IV80">
        <v>1.7</v>
      </c>
      <c r="IW80">
        <v>0.93872100000000003</v>
      </c>
      <c r="IX80">
        <v>2.50122</v>
      </c>
      <c r="IY80">
        <v>1.65039</v>
      </c>
      <c r="IZ80">
        <v>2.2912599999999999</v>
      </c>
      <c r="JA80">
        <v>1.50024</v>
      </c>
      <c r="JB80">
        <v>2.4096700000000002</v>
      </c>
      <c r="JC80">
        <v>38.550400000000003</v>
      </c>
      <c r="JD80">
        <v>23.877400000000002</v>
      </c>
      <c r="JE80">
        <v>18</v>
      </c>
      <c r="JF80">
        <v>506.23</v>
      </c>
      <c r="JG80">
        <v>457.47199999999998</v>
      </c>
      <c r="JH80">
        <v>24.7377</v>
      </c>
      <c r="JI80">
        <v>32.7928</v>
      </c>
      <c r="JJ80">
        <v>30.0001</v>
      </c>
      <c r="JK80">
        <v>32.779400000000003</v>
      </c>
      <c r="JL80">
        <v>32.752200000000002</v>
      </c>
      <c r="JM80">
        <v>18.816299999999998</v>
      </c>
      <c r="JN80">
        <v>33.219900000000003</v>
      </c>
      <c r="JO80">
        <v>38.053199999999997</v>
      </c>
      <c r="JP80">
        <v>24.7363</v>
      </c>
      <c r="JQ80">
        <v>400</v>
      </c>
      <c r="JR80">
        <v>16.598199999999999</v>
      </c>
      <c r="JS80">
        <v>99.835300000000004</v>
      </c>
      <c r="JT80">
        <v>99.036299999999997</v>
      </c>
    </row>
    <row r="81" spans="1:280" x14ac:dyDescent="0.25">
      <c r="A81">
        <v>65</v>
      </c>
      <c r="B81">
        <v>1674590640.5999999</v>
      </c>
      <c r="C81">
        <v>16506</v>
      </c>
      <c r="D81" t="s">
        <v>748</v>
      </c>
      <c r="E81" t="s">
        <v>749</v>
      </c>
      <c r="F81" t="s">
        <v>412</v>
      </c>
      <c r="G81" t="s">
        <v>709</v>
      </c>
      <c r="H81" t="s">
        <v>414</v>
      </c>
      <c r="I81">
        <v>1674590640.5999999</v>
      </c>
      <c r="J81">
        <f t="shared" ref="J81:J112" si="92">(K81)/1000</f>
        <v>6.5549505254400139E-3</v>
      </c>
      <c r="K81">
        <f t="shared" ref="K81:K112" si="93">1000*DK81*AI81*(DG81-DH81)/(100*CZ81*(1000-AI81*DG81))</f>
        <v>6.554950525440014</v>
      </c>
      <c r="L81">
        <f t="shared" ref="L81:L112" si="94">DK81*AI81*(DF81-DE81*(1000-AI81*DH81)/(1000-AI81*DG81))/(100*CZ81)</f>
        <v>55.222332361125787</v>
      </c>
      <c r="M81">
        <f t="shared" ref="M81:M112" si="95">DE81 - IF(AI81&gt;1, L81*CZ81*100/(AK81*DS81), 0)</f>
        <v>331.10199999999998</v>
      </c>
      <c r="N81">
        <f t="shared" ref="N81:N112" si="96">((T81-J81/2)*M81-L81)/(T81+J81/2)</f>
        <v>151.38833596674101</v>
      </c>
      <c r="O81">
        <f t="shared" ref="O81:O112" si="97">N81*(DL81+DM81)/1000</f>
        <v>15.07376371072054</v>
      </c>
      <c r="P81">
        <f t="shared" ref="P81:P112" si="98">(DE81 - IF(AI81&gt;1, L81*CZ81*100/(AK81*DS81), 0))*(DL81+DM81)/1000</f>
        <v>32.967885407258002</v>
      </c>
      <c r="Q81">
        <f t="shared" ref="Q81:Q112" si="99">2/((1/S81-1/R81)+SIGN(S81)*SQRT((1/S81-1/R81)*(1/S81-1/R81) + 4*DA81/((DA81+1)*(DA81+1))*(2*1/S81*1/R81-1/R81*1/R81)))</f>
        <v>0.55083023193477654</v>
      </c>
      <c r="R81">
        <f t="shared" ref="R81:R112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2.9182646273259052</v>
      </c>
      <c r="S81">
        <f t="shared" ref="S81:S112" si="101">J81*(1000-(1000*0.61365*EXP(17.502*W81/(240.97+W81))/(DL81+DM81)+DG81)/2)/(1000*0.61365*EXP(17.502*W81/(240.97+W81))/(DL81+DM81)-DG81)</f>
        <v>0.49891738617083131</v>
      </c>
      <c r="T81">
        <f t="shared" ref="T81:T112" si="102">1/((DA81+1)/(Q81/1.6)+1/(R81/1.37)) + DA81/((DA81+1)/(Q81/1.6) + DA81/(R81/1.37))</f>
        <v>0.316078817975943</v>
      </c>
      <c r="U81">
        <f t="shared" ref="U81:U112" si="103">(CV81*CY81)</f>
        <v>344.37449860506399</v>
      </c>
      <c r="V81">
        <f t="shared" ref="V81:V112" si="104">(DN81+(U81+2*0.95*0.0000000567*(((DN81+$B$7)+273)^4-(DN81+273)^4)-44100*J81)/(1.84*29.3*R81+8*0.95*0.0000000567*(DN81+273)^3))</f>
        <v>28.30697359790015</v>
      </c>
      <c r="W81">
        <f t="shared" ref="W81:W112" si="105">($C$7*DO81+$D$7*DP81+$E$7*V81)</f>
        <v>27.709199999999999</v>
      </c>
      <c r="X81">
        <f t="shared" ref="X81:X112" si="106">0.61365*EXP(17.502*W81/(240.97+W81))</f>
        <v>3.7309809004401129</v>
      </c>
      <c r="Y81">
        <f t="shared" ref="Y81:Y112" si="107">(Z81/AA81*100)</f>
        <v>64.992844104776225</v>
      </c>
      <c r="Z81">
        <f t="shared" ref="Z81:Z112" si="108">DG81*(DL81+DM81)/1000</f>
        <v>2.4634857126747995</v>
      </c>
      <c r="AA81">
        <f t="shared" ref="AA81:AA112" si="109">0.61365*EXP(17.502*DN81/(240.97+DN81))</f>
        <v>3.7903953067561811</v>
      </c>
      <c r="AB81">
        <f t="shared" ref="AB81:AB112" si="110">(X81-DG81*(DL81+DM81)/1000)</f>
        <v>1.2674951877653133</v>
      </c>
      <c r="AC81">
        <f t="shared" ref="AC81:AC112" si="111">(-J81*44100)</f>
        <v>-289.07331817190459</v>
      </c>
      <c r="AD81">
        <f t="shared" ref="AD81:AD112" si="112">2*29.3*R81*0.92*(DN81-W81)</f>
        <v>42.589090936678545</v>
      </c>
      <c r="AE81">
        <f t="shared" ref="AE81:AE112" si="113">2*0.95*0.0000000567*(((DN81+$B$7)+273)^4-(W81+273)^4)</f>
        <v>3.1762263178496006</v>
      </c>
      <c r="AF81">
        <f t="shared" ref="AF81:AF112" si="114">U81+AE81+AC81+AD81</f>
        <v>101.06649768768757</v>
      </c>
      <c r="AG81">
        <v>0</v>
      </c>
      <c r="AH81">
        <v>0</v>
      </c>
      <c r="AI81">
        <f t="shared" ref="AI81:AI112" si="115">IF(AG81*$H$13&gt;=AK81,1,(AK81/(AK81-AG81*$H$13)))</f>
        <v>1</v>
      </c>
      <c r="AJ81">
        <f t="shared" ref="AJ81:AJ112" si="116">(AI81-1)*100</f>
        <v>0</v>
      </c>
      <c r="AK81">
        <f t="shared" ref="AK81:AK112" si="117">MAX(0,($B$13+$C$13*DS81)/(1+$D$13*DS81)*DL81/(DN81+273)*$E$13)</f>
        <v>52369.105088065749</v>
      </c>
      <c r="AL81" t="s">
        <v>415</v>
      </c>
      <c r="AM81">
        <v>10424.1</v>
      </c>
      <c r="AN81">
        <v>628.54280000000006</v>
      </c>
      <c r="AO81">
        <v>2663.98</v>
      </c>
      <c r="AP81">
        <f t="shared" ref="AP81:AP112" si="118">1-AN81/AO81</f>
        <v>0.76405873917972356</v>
      </c>
      <c r="AQ81">
        <v>-3.1675626227050531</v>
      </c>
      <c r="AR81" t="s">
        <v>750</v>
      </c>
      <c r="AS81">
        <v>10187.6</v>
      </c>
      <c r="AT81">
        <v>724.14516000000003</v>
      </c>
      <c r="AU81">
        <v>1106.478869632291</v>
      </c>
      <c r="AV81">
        <f t="shared" ref="AV81:AV112" si="119">1-AT81/AU81</f>
        <v>0.34554090468925946</v>
      </c>
      <c r="AW81">
        <v>0.5</v>
      </c>
      <c r="AX81">
        <f t="shared" ref="AX81:AX112" si="120">CW81</f>
        <v>1513.2095993025318</v>
      </c>
      <c r="AY81">
        <f t="shared" ref="AY81:AY112" si="121">L81</f>
        <v>55.222332361125787</v>
      </c>
      <c r="AZ81">
        <f t="shared" ref="AZ81:AZ112" si="122">AV81*AW81*AX81</f>
        <v>261.43790696373435</v>
      </c>
      <c r="BA81">
        <f t="shared" ref="BA81:BA112" si="123">(AY81-AQ81)/AX81</f>
        <v>3.8586786001584911E-2</v>
      </c>
      <c r="BB81">
        <f t="shared" ref="BB81:BB112" si="124">(AO81-AU81)/AU81</f>
        <v>1.4076194070342287</v>
      </c>
      <c r="BC81">
        <f t="shared" ref="BC81:BC112" si="125">AN81/(AP81+AN81/AU81)</f>
        <v>471.83806592481477</v>
      </c>
      <c r="BD81" t="s">
        <v>751</v>
      </c>
      <c r="BE81">
        <v>560.65</v>
      </c>
      <c r="BF81">
        <f t="shared" ref="BF81:BF112" si="126">IF(BE81&lt;&gt;0, BE81, BC81)</f>
        <v>560.65</v>
      </c>
      <c r="BG81">
        <f t="shared" ref="BG81:BG112" si="127">1-BF81/AU81</f>
        <v>0.49330256963125085</v>
      </c>
      <c r="BH81">
        <f t="shared" ref="BH81:BH112" si="128">(AU81-AT81)/(AU81-BF81)</f>
        <v>0.70046443290890426</v>
      </c>
      <c r="BI81">
        <f t="shared" ref="BI81:BI112" si="129">(AO81-AU81)/(AO81-BF81)</f>
        <v>0.74049299461696882</v>
      </c>
      <c r="BJ81">
        <f t="shared" ref="BJ81:BJ112" si="130">(AU81-AT81)/(AU81-AN81)</f>
        <v>0.79996830941520392</v>
      </c>
      <c r="BK81">
        <f t="shared" ref="BK81:BK112" si="131">(AO81-AU81)/(AO81-AN81)</f>
        <v>0.76519242665296139</v>
      </c>
      <c r="BL81">
        <f t="shared" ref="BL81:BL112" si="132">(BH81*BF81/AT81)</f>
        <v>0.54231583113857607</v>
      </c>
      <c r="BM81">
        <f t="shared" ref="BM81:BM112" si="133">(1-BL81)</f>
        <v>0.45768416886142393</v>
      </c>
      <c r="BN81">
        <v>20293</v>
      </c>
      <c r="BO81">
        <v>290.00000000000011</v>
      </c>
      <c r="BP81">
        <v>1012.39</v>
      </c>
      <c r="BQ81">
        <v>265</v>
      </c>
      <c r="BR81">
        <v>10187.6</v>
      </c>
      <c r="BS81">
        <v>1012.89</v>
      </c>
      <c r="BT81">
        <v>-0.5</v>
      </c>
      <c r="BU81">
        <v>300.00000000000011</v>
      </c>
      <c r="BV81">
        <v>24.2</v>
      </c>
      <c r="BW81">
        <v>1106.478869632291</v>
      </c>
      <c r="BX81">
        <v>2.3025802173742118</v>
      </c>
      <c r="BY81">
        <v>-95.347995532598205</v>
      </c>
      <c r="BZ81">
        <v>2.0890748499354759</v>
      </c>
      <c r="CA81">
        <v>0.98673692341154418</v>
      </c>
      <c r="CB81">
        <v>-6.9420898776418414E-3</v>
      </c>
      <c r="CC81">
        <v>289.99999999999989</v>
      </c>
      <c r="CD81">
        <v>1011.15</v>
      </c>
      <c r="CE81">
        <v>675</v>
      </c>
      <c r="CF81">
        <v>10163.700000000001</v>
      </c>
      <c r="CG81">
        <v>1012.67</v>
      </c>
      <c r="CH81">
        <v>-1.52</v>
      </c>
      <c r="CV81">
        <f t="shared" ref="CV81:CV112" si="134">$B$11*DT81+$C$11*DU81+$F$11*EF81*(1-EI81)</f>
        <v>1800.03</v>
      </c>
      <c r="CW81">
        <f t="shared" ref="CW81:CW112" si="135">CV81*CX81</f>
        <v>1513.2095993025318</v>
      </c>
      <c r="CX81">
        <f t="shared" ref="CX81:CX112" si="136">($B$11*$D$9+$C$11*$D$9+$F$11*((ES81+EK81)/MAX(ES81+EK81+ET81, 0.1)*$I$9+ET81/MAX(ES81+EK81+ET81, 0.1)*$J$9))/($B$11+$C$11+$F$11)</f>
        <v>0.84065798864604024</v>
      </c>
      <c r="CY81">
        <f t="shared" ref="CY81:CY112" si="137">($B$11*$K$9+$C$11*$K$9+$F$11*((ES81+EK81)/MAX(ES81+EK81+ET81, 0.1)*$P$9+ET81/MAX(ES81+EK81+ET81, 0.1)*$Q$9))/($B$11+$C$11+$F$11)</f>
        <v>0.19131597729208069</v>
      </c>
      <c r="CZ81">
        <v>6</v>
      </c>
      <c r="DA81">
        <v>0.5</v>
      </c>
      <c r="DB81" t="s">
        <v>418</v>
      </c>
      <c r="DC81">
        <v>2</v>
      </c>
      <c r="DD81">
        <v>1674590640.5999999</v>
      </c>
      <c r="DE81">
        <v>331.10199999999998</v>
      </c>
      <c r="DF81">
        <v>399.964</v>
      </c>
      <c r="DG81">
        <v>24.741199999999999</v>
      </c>
      <c r="DH81">
        <v>17.070900000000002</v>
      </c>
      <c r="DI81">
        <v>334.411</v>
      </c>
      <c r="DJ81">
        <v>24.389099999999999</v>
      </c>
      <c r="DK81">
        <v>500.06700000000001</v>
      </c>
      <c r="DL81">
        <v>99.47</v>
      </c>
      <c r="DM81">
        <v>0.100179</v>
      </c>
      <c r="DN81">
        <v>27.979900000000001</v>
      </c>
      <c r="DO81">
        <v>27.709199999999999</v>
      </c>
      <c r="DP81">
        <v>999.9</v>
      </c>
      <c r="DQ81">
        <v>0</v>
      </c>
      <c r="DR81">
        <v>0</v>
      </c>
      <c r="DS81">
        <v>9988.75</v>
      </c>
      <c r="DT81">
        <v>0</v>
      </c>
      <c r="DU81">
        <v>420.07400000000001</v>
      </c>
      <c r="DV81">
        <v>-68.861500000000007</v>
      </c>
      <c r="DW81">
        <v>339.50200000000001</v>
      </c>
      <c r="DX81">
        <v>406.91</v>
      </c>
      <c r="DY81">
        <v>7.6702899999999996</v>
      </c>
      <c r="DZ81">
        <v>399.964</v>
      </c>
      <c r="EA81">
        <v>17.070900000000002</v>
      </c>
      <c r="EB81">
        <v>2.4610099999999999</v>
      </c>
      <c r="EC81">
        <v>1.69804</v>
      </c>
      <c r="ED81">
        <v>20.770900000000001</v>
      </c>
      <c r="EE81">
        <v>14.8786</v>
      </c>
      <c r="EF81">
        <v>1800.03</v>
      </c>
      <c r="EG81">
        <v>0.97800399999999998</v>
      </c>
      <c r="EH81">
        <v>2.19963E-2</v>
      </c>
      <c r="EI81">
        <v>0</v>
      </c>
      <c r="EJ81">
        <v>724.96199999999999</v>
      </c>
      <c r="EK81">
        <v>5.0010599999999998</v>
      </c>
      <c r="EL81">
        <v>13507.6</v>
      </c>
      <c r="EM81">
        <v>16711.3</v>
      </c>
      <c r="EN81">
        <v>48.686999999999998</v>
      </c>
      <c r="EO81">
        <v>49.561999999999998</v>
      </c>
      <c r="EP81">
        <v>49.625</v>
      </c>
      <c r="EQ81">
        <v>48.186999999999998</v>
      </c>
      <c r="ER81">
        <v>49.5</v>
      </c>
      <c r="ES81">
        <v>1755.55</v>
      </c>
      <c r="ET81">
        <v>39.479999999999997</v>
      </c>
      <c r="EU81">
        <v>0</v>
      </c>
      <c r="EV81">
        <v>183</v>
      </c>
      <c r="EW81">
        <v>0</v>
      </c>
      <c r="EX81">
        <v>724.14516000000003</v>
      </c>
      <c r="EY81">
        <v>7.3394615584555396</v>
      </c>
      <c r="EZ81">
        <v>126.29230792369211</v>
      </c>
      <c r="FA81">
        <v>13490.204</v>
      </c>
      <c r="FB81">
        <v>15</v>
      </c>
      <c r="FC81">
        <v>1674590534.5999999</v>
      </c>
      <c r="FD81" t="s">
        <v>752</v>
      </c>
      <c r="FE81">
        <v>1674590529.5999999</v>
      </c>
      <c r="FF81">
        <v>1674590534.5999999</v>
      </c>
      <c r="FG81">
        <v>73</v>
      </c>
      <c r="FH81">
        <v>-1.7999999999999999E-2</v>
      </c>
      <c r="FI81">
        <v>0</v>
      </c>
      <c r="FJ81">
        <v>-3.4169999999999998</v>
      </c>
      <c r="FK81">
        <v>7.0000000000000001E-3</v>
      </c>
      <c r="FL81">
        <v>400</v>
      </c>
      <c r="FM81">
        <v>17</v>
      </c>
      <c r="FN81">
        <v>0.04</v>
      </c>
      <c r="FO81">
        <v>0.01</v>
      </c>
      <c r="FP81">
        <v>55.079426203337889</v>
      </c>
      <c r="FQ81">
        <v>0.68153299767146713</v>
      </c>
      <c r="FR81">
        <v>7.0022933604665424E-2</v>
      </c>
      <c r="FS81">
        <v>1</v>
      </c>
      <c r="FT81">
        <v>0.55017235059218239</v>
      </c>
      <c r="FU81">
        <v>3.1283081291131462E-3</v>
      </c>
      <c r="FV81">
        <v>5.9186447725541997E-4</v>
      </c>
      <c r="FW81">
        <v>1</v>
      </c>
      <c r="FX81">
        <v>2</v>
      </c>
      <c r="FY81">
        <v>2</v>
      </c>
      <c r="FZ81" t="s">
        <v>420</v>
      </c>
      <c r="GA81">
        <v>2.9774400000000001</v>
      </c>
      <c r="GB81">
        <v>2.8064100000000001</v>
      </c>
      <c r="GC81">
        <v>8.4340999999999999E-2</v>
      </c>
      <c r="GD81">
        <v>9.5959299999999997E-2</v>
      </c>
      <c r="GE81">
        <v>0.12109</v>
      </c>
      <c r="GF81">
        <v>9.3322199999999994E-2</v>
      </c>
      <c r="GG81">
        <v>27044.5</v>
      </c>
      <c r="GH81">
        <v>24766.6</v>
      </c>
      <c r="GI81">
        <v>26552.3</v>
      </c>
      <c r="GJ81">
        <v>25874.9</v>
      </c>
      <c r="GK81">
        <v>31757.5</v>
      </c>
      <c r="GL81">
        <v>33113.9</v>
      </c>
      <c r="GM81">
        <v>37620.6</v>
      </c>
      <c r="GN81">
        <v>38391.199999999997</v>
      </c>
      <c r="GO81">
        <v>1.96885</v>
      </c>
      <c r="GP81">
        <v>1.9056200000000001</v>
      </c>
      <c r="GQ81">
        <v>4.7448999999999998E-2</v>
      </c>
      <c r="GR81">
        <v>0</v>
      </c>
      <c r="GS81">
        <v>26.933700000000002</v>
      </c>
      <c r="GT81">
        <v>999.9</v>
      </c>
      <c r="GU81">
        <v>38.299999999999997</v>
      </c>
      <c r="GV81">
        <v>34.5</v>
      </c>
      <c r="GW81">
        <v>21.1523</v>
      </c>
      <c r="GX81">
        <v>62.143500000000003</v>
      </c>
      <c r="GY81">
        <v>12.1595</v>
      </c>
      <c r="GZ81">
        <v>1</v>
      </c>
      <c r="HA81">
        <v>0.43809199999999998</v>
      </c>
      <c r="HB81">
        <v>2.3243</v>
      </c>
      <c r="HC81">
        <v>20.239000000000001</v>
      </c>
      <c r="HD81">
        <v>5.2066600000000003</v>
      </c>
      <c r="HE81">
        <v>11.9381</v>
      </c>
      <c r="HF81">
        <v>4.9872500000000004</v>
      </c>
      <c r="HG81">
        <v>3.2907000000000002</v>
      </c>
      <c r="HH81">
        <v>9999</v>
      </c>
      <c r="HI81">
        <v>9999</v>
      </c>
      <c r="HJ81">
        <v>9999</v>
      </c>
      <c r="HK81">
        <v>999.9</v>
      </c>
      <c r="HL81">
        <v>1.8703099999999999</v>
      </c>
      <c r="HM81">
        <v>1.87653</v>
      </c>
      <c r="HN81">
        <v>1.87425</v>
      </c>
      <c r="HO81">
        <v>1.87256</v>
      </c>
      <c r="HP81">
        <v>1.8730199999999999</v>
      </c>
      <c r="HQ81">
        <v>1.8704099999999999</v>
      </c>
      <c r="HR81">
        <v>1.8763700000000001</v>
      </c>
      <c r="HS81">
        <v>1.8754599999999999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424</v>
      </c>
      <c r="IB81" t="s">
        <v>424</v>
      </c>
      <c r="IC81" t="s">
        <v>423</v>
      </c>
      <c r="ID81">
        <v>0</v>
      </c>
      <c r="IE81">
        <v>100</v>
      </c>
      <c r="IF81">
        <v>100</v>
      </c>
      <c r="IG81">
        <v>-3.3090000000000002</v>
      </c>
      <c r="IH81">
        <v>0.35210000000000002</v>
      </c>
      <c r="II81">
        <v>-2.6197625747522322</v>
      </c>
      <c r="IJ81">
        <v>-2.536945948238235E-3</v>
      </c>
      <c r="IK81">
        <v>1.581473279927893E-6</v>
      </c>
      <c r="IL81">
        <v>-4.6698293441882044E-10</v>
      </c>
      <c r="IM81">
        <v>-0.1523170125982212</v>
      </c>
      <c r="IN81">
        <v>-1.5895243091576399E-2</v>
      </c>
      <c r="IO81">
        <v>1.559614309849521E-3</v>
      </c>
      <c r="IP81">
        <v>-2.4566050869858518E-6</v>
      </c>
      <c r="IQ81">
        <v>2</v>
      </c>
      <c r="IR81">
        <v>2224</v>
      </c>
      <c r="IS81">
        <v>2</v>
      </c>
      <c r="IT81">
        <v>25</v>
      </c>
      <c r="IU81">
        <v>1.9</v>
      </c>
      <c r="IV81">
        <v>1.8</v>
      </c>
      <c r="IW81">
        <v>0.93872100000000003</v>
      </c>
      <c r="IX81">
        <v>2.50732</v>
      </c>
      <c r="IY81">
        <v>1.65039</v>
      </c>
      <c r="IZ81">
        <v>2.2900399999999999</v>
      </c>
      <c r="JA81">
        <v>1.50024</v>
      </c>
      <c r="JB81">
        <v>2.2900399999999999</v>
      </c>
      <c r="JC81">
        <v>38.550400000000003</v>
      </c>
      <c r="JD81">
        <v>23.868600000000001</v>
      </c>
      <c r="JE81">
        <v>18</v>
      </c>
      <c r="JF81">
        <v>506.20800000000003</v>
      </c>
      <c r="JG81">
        <v>458.17399999999998</v>
      </c>
      <c r="JH81">
        <v>24.815300000000001</v>
      </c>
      <c r="JI81">
        <v>32.754399999999997</v>
      </c>
      <c r="JJ81">
        <v>29.9998</v>
      </c>
      <c r="JK81">
        <v>32.770699999999998</v>
      </c>
      <c r="JL81">
        <v>32.750100000000003</v>
      </c>
      <c r="JM81">
        <v>18.8202</v>
      </c>
      <c r="JN81">
        <v>30.966100000000001</v>
      </c>
      <c r="JO81">
        <v>37.692</v>
      </c>
      <c r="JP81">
        <v>24.8203</v>
      </c>
      <c r="JQ81">
        <v>400</v>
      </c>
      <c r="JR81">
        <v>17.127500000000001</v>
      </c>
      <c r="JS81">
        <v>99.838700000000003</v>
      </c>
      <c r="JT81">
        <v>99.046499999999995</v>
      </c>
    </row>
    <row r="82" spans="1:280" x14ac:dyDescent="0.25">
      <c r="A82">
        <v>66</v>
      </c>
      <c r="B82">
        <v>1674590757.0999999</v>
      </c>
      <c r="C82">
        <v>16622.5</v>
      </c>
      <c r="D82" t="s">
        <v>753</v>
      </c>
      <c r="E82" t="s">
        <v>754</v>
      </c>
      <c r="F82" t="s">
        <v>412</v>
      </c>
      <c r="G82" t="s">
        <v>709</v>
      </c>
      <c r="H82" t="s">
        <v>414</v>
      </c>
      <c r="I82">
        <v>1674590757.0999999</v>
      </c>
      <c r="J82">
        <f t="shared" si="92"/>
        <v>6.465944796842627E-3</v>
      </c>
      <c r="K82">
        <f t="shared" si="93"/>
        <v>6.4659447968426269</v>
      </c>
      <c r="L82">
        <f t="shared" si="94"/>
        <v>57.690877314254166</v>
      </c>
      <c r="M82">
        <f t="shared" si="95"/>
        <v>427.45600000000002</v>
      </c>
      <c r="N82">
        <f t="shared" si="96"/>
        <v>237.35260938649654</v>
      </c>
      <c r="O82">
        <f t="shared" si="97"/>
        <v>23.63379018219927</v>
      </c>
      <c r="P82">
        <f t="shared" si="98"/>
        <v>42.562858028966403</v>
      </c>
      <c r="Q82">
        <f t="shared" si="99"/>
        <v>0.54823793905336116</v>
      </c>
      <c r="R82">
        <f t="shared" si="100"/>
        <v>2.9257482339306922</v>
      </c>
      <c r="S82">
        <f t="shared" si="101"/>
        <v>0.4969065909558284</v>
      </c>
      <c r="T82">
        <f t="shared" si="102"/>
        <v>0.31477705371543735</v>
      </c>
      <c r="U82">
        <f t="shared" si="103"/>
        <v>344.38021176470625</v>
      </c>
      <c r="V82">
        <f t="shared" si="104"/>
        <v>28.336886569975775</v>
      </c>
      <c r="W82">
        <f t="shared" si="105"/>
        <v>27.734500000000001</v>
      </c>
      <c r="X82">
        <f t="shared" si="106"/>
        <v>3.7364992116865299</v>
      </c>
      <c r="Y82">
        <f t="shared" si="107"/>
        <v>65.433596375191044</v>
      </c>
      <c r="Z82">
        <f t="shared" si="108"/>
        <v>2.4812767351054204</v>
      </c>
      <c r="AA82">
        <f t="shared" si="109"/>
        <v>3.7920531234107582</v>
      </c>
      <c r="AB82">
        <f t="shared" si="110"/>
        <v>1.2552224765811095</v>
      </c>
      <c r="AC82">
        <f t="shared" si="111"/>
        <v>-285.14816554075986</v>
      </c>
      <c r="AD82">
        <f t="shared" si="112"/>
        <v>39.890660219402172</v>
      </c>
      <c r="AE82">
        <f t="shared" si="113"/>
        <v>2.9678573635839625</v>
      </c>
      <c r="AF82">
        <f t="shared" si="114"/>
        <v>102.09056380693252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52582.822341874344</v>
      </c>
      <c r="AL82" t="s">
        <v>415</v>
      </c>
      <c r="AM82">
        <v>10424.1</v>
      </c>
      <c r="AN82">
        <v>628.54280000000006</v>
      </c>
      <c r="AO82">
        <v>2663.98</v>
      </c>
      <c r="AP82">
        <f t="shared" si="118"/>
        <v>0.76405873917972356</v>
      </c>
      <c r="AQ82">
        <v>-3.1675626227050531</v>
      </c>
      <c r="AR82" t="s">
        <v>755</v>
      </c>
      <c r="AS82">
        <v>10186.4</v>
      </c>
      <c r="AT82">
        <v>736.93632000000002</v>
      </c>
      <c r="AU82">
        <v>1150.1769264679949</v>
      </c>
      <c r="AV82">
        <f t="shared" si="119"/>
        <v>0.35928438221847236</v>
      </c>
      <c r="AW82">
        <v>0.5</v>
      </c>
      <c r="AX82">
        <f t="shared" si="120"/>
        <v>1513.2348058823529</v>
      </c>
      <c r="AY82">
        <f t="shared" si="121"/>
        <v>57.690877314254166</v>
      </c>
      <c r="AZ82">
        <f t="shared" si="122"/>
        <v>271.84081619146554</v>
      </c>
      <c r="BA82">
        <f t="shared" si="123"/>
        <v>4.0217446559110331E-2</v>
      </c>
      <c r="BB82">
        <f t="shared" si="124"/>
        <v>1.3161480105331678</v>
      </c>
      <c r="BC82">
        <f t="shared" si="125"/>
        <v>479.60829841616948</v>
      </c>
      <c r="BD82" t="s">
        <v>756</v>
      </c>
      <c r="BE82">
        <v>564.07000000000005</v>
      </c>
      <c r="BF82">
        <f t="shared" si="126"/>
        <v>564.07000000000005</v>
      </c>
      <c r="BG82">
        <f t="shared" si="127"/>
        <v>0.50957979853398139</v>
      </c>
      <c r="BH82">
        <f t="shared" si="128"/>
        <v>0.7050600970684151</v>
      </c>
      <c r="BI82">
        <f t="shared" si="129"/>
        <v>0.7208895017081709</v>
      </c>
      <c r="BJ82">
        <f t="shared" si="130"/>
        <v>0.79220393279493284</v>
      </c>
      <c r="BK82">
        <f t="shared" si="131"/>
        <v>0.74372379237836728</v>
      </c>
      <c r="BL82">
        <f t="shared" si="132"/>
        <v>0.5396711196883075</v>
      </c>
      <c r="BM82">
        <f t="shared" si="133"/>
        <v>0.4603288803116925</v>
      </c>
      <c r="BN82">
        <v>20295</v>
      </c>
      <c r="BO82">
        <v>290.00000000000011</v>
      </c>
      <c r="BP82">
        <v>1046.42</v>
      </c>
      <c r="BQ82">
        <v>275</v>
      </c>
      <c r="BR82">
        <v>10186.4</v>
      </c>
      <c r="BS82">
        <v>1047</v>
      </c>
      <c r="BT82">
        <v>-0.57999999999999996</v>
      </c>
      <c r="BU82">
        <v>300.00000000000011</v>
      </c>
      <c r="BV82">
        <v>24.2</v>
      </c>
      <c r="BW82">
        <v>1150.1769264679949</v>
      </c>
      <c r="BX82">
        <v>1.848487026912593</v>
      </c>
      <c r="BY82">
        <v>-105.1017887186763</v>
      </c>
      <c r="BZ82">
        <v>1.6771450699049699</v>
      </c>
      <c r="CA82">
        <v>0.99292064619301479</v>
      </c>
      <c r="CB82">
        <v>-6.942329254727481E-3</v>
      </c>
      <c r="CC82">
        <v>289.99999999999989</v>
      </c>
      <c r="CD82">
        <v>1044.06</v>
      </c>
      <c r="CE82">
        <v>695</v>
      </c>
      <c r="CF82">
        <v>10162.6</v>
      </c>
      <c r="CG82">
        <v>1046.76</v>
      </c>
      <c r="CH82">
        <v>-2.7</v>
      </c>
      <c r="CV82">
        <f t="shared" si="134"/>
        <v>1800.06</v>
      </c>
      <c r="CW82">
        <f t="shared" si="135"/>
        <v>1513.2348058823529</v>
      </c>
      <c r="CX82">
        <f t="shared" si="136"/>
        <v>0.84065798133526271</v>
      </c>
      <c r="CY82">
        <f t="shared" si="137"/>
        <v>0.19131596267052556</v>
      </c>
      <c r="CZ82">
        <v>6</v>
      </c>
      <c r="DA82">
        <v>0.5</v>
      </c>
      <c r="DB82" t="s">
        <v>418</v>
      </c>
      <c r="DC82">
        <v>2</v>
      </c>
      <c r="DD82">
        <v>1674590757.0999999</v>
      </c>
      <c r="DE82">
        <v>427.45600000000002</v>
      </c>
      <c r="DF82">
        <v>500</v>
      </c>
      <c r="DG82">
        <v>24.9193</v>
      </c>
      <c r="DH82">
        <v>17.3537</v>
      </c>
      <c r="DI82">
        <v>430.89</v>
      </c>
      <c r="DJ82">
        <v>24.562200000000001</v>
      </c>
      <c r="DK82">
        <v>500.012</v>
      </c>
      <c r="DL82">
        <v>99.473100000000002</v>
      </c>
      <c r="DM82">
        <v>9.9389400000000003E-2</v>
      </c>
      <c r="DN82">
        <v>27.987400000000001</v>
      </c>
      <c r="DO82">
        <v>27.734500000000001</v>
      </c>
      <c r="DP82">
        <v>999.9</v>
      </c>
      <c r="DQ82">
        <v>0</v>
      </c>
      <c r="DR82">
        <v>0</v>
      </c>
      <c r="DS82">
        <v>10031.200000000001</v>
      </c>
      <c r="DT82">
        <v>0</v>
      </c>
      <c r="DU82">
        <v>424.19299999999998</v>
      </c>
      <c r="DV82">
        <v>-72.543899999999994</v>
      </c>
      <c r="DW82">
        <v>438.38</v>
      </c>
      <c r="DX82">
        <v>508.83</v>
      </c>
      <c r="DY82">
        <v>7.5655099999999997</v>
      </c>
      <c r="DZ82">
        <v>500</v>
      </c>
      <c r="EA82">
        <v>17.3537</v>
      </c>
      <c r="EB82">
        <v>2.47879</v>
      </c>
      <c r="EC82">
        <v>1.7262299999999999</v>
      </c>
      <c r="ED82">
        <v>20.887899999999998</v>
      </c>
      <c r="EE82">
        <v>15.1343</v>
      </c>
      <c r="EF82">
        <v>1800.06</v>
      </c>
      <c r="EG82">
        <v>0.97800399999999998</v>
      </c>
      <c r="EH82">
        <v>2.19963E-2</v>
      </c>
      <c r="EI82">
        <v>0</v>
      </c>
      <c r="EJ82">
        <v>737.85400000000004</v>
      </c>
      <c r="EK82">
        <v>5.0010599999999998</v>
      </c>
      <c r="EL82">
        <v>13743.4</v>
      </c>
      <c r="EM82">
        <v>16711.599999999999</v>
      </c>
      <c r="EN82">
        <v>48.625</v>
      </c>
      <c r="EO82">
        <v>49.5</v>
      </c>
      <c r="EP82">
        <v>49.625</v>
      </c>
      <c r="EQ82">
        <v>48.186999999999998</v>
      </c>
      <c r="ER82">
        <v>49.5</v>
      </c>
      <c r="ES82">
        <v>1755.57</v>
      </c>
      <c r="ET82">
        <v>39.479999999999997</v>
      </c>
      <c r="EU82">
        <v>0</v>
      </c>
      <c r="EV82">
        <v>114.7999999523163</v>
      </c>
      <c r="EW82">
        <v>0</v>
      </c>
      <c r="EX82">
        <v>736.93632000000002</v>
      </c>
      <c r="EY82">
        <v>4.0246923203863432</v>
      </c>
      <c r="EZ82">
        <v>74.946153949338907</v>
      </c>
      <c r="FA82">
        <v>13733.32</v>
      </c>
      <c r="FB82">
        <v>15</v>
      </c>
      <c r="FC82">
        <v>1674590723.5999999</v>
      </c>
      <c r="FD82" t="s">
        <v>757</v>
      </c>
      <c r="FE82">
        <v>1674590707.0999999</v>
      </c>
      <c r="FF82">
        <v>1674590723.5999999</v>
      </c>
      <c r="FG82">
        <v>74</v>
      </c>
      <c r="FH82">
        <v>2.3E-2</v>
      </c>
      <c r="FI82">
        <v>-5.0000000000000001E-3</v>
      </c>
      <c r="FJ82">
        <v>-3.5339999999999998</v>
      </c>
      <c r="FK82">
        <v>1.7999999999999999E-2</v>
      </c>
      <c r="FL82">
        <v>500</v>
      </c>
      <c r="FM82">
        <v>17</v>
      </c>
      <c r="FN82">
        <v>0.04</v>
      </c>
      <c r="FO82">
        <v>0.02</v>
      </c>
      <c r="FP82">
        <v>57.636819440821441</v>
      </c>
      <c r="FQ82">
        <v>-0.10203153538465889</v>
      </c>
      <c r="FR82">
        <v>7.6530777302567299E-2</v>
      </c>
      <c r="FS82">
        <v>1</v>
      </c>
      <c r="FT82">
        <v>0.55867942591023345</v>
      </c>
      <c r="FU82">
        <v>-3.5295506518121383E-2</v>
      </c>
      <c r="FV82">
        <v>4.4614557648622929E-3</v>
      </c>
      <c r="FW82">
        <v>1</v>
      </c>
      <c r="FX82">
        <v>2</v>
      </c>
      <c r="FY82">
        <v>2</v>
      </c>
      <c r="FZ82" t="s">
        <v>420</v>
      </c>
      <c r="GA82">
        <v>2.9773399999999999</v>
      </c>
      <c r="GB82">
        <v>2.80599</v>
      </c>
      <c r="GC82">
        <v>0.102812</v>
      </c>
      <c r="GD82">
        <v>0.11352</v>
      </c>
      <c r="GE82">
        <v>0.121699</v>
      </c>
      <c r="GF82">
        <v>9.4423300000000002E-2</v>
      </c>
      <c r="GG82">
        <v>26500.5</v>
      </c>
      <c r="GH82">
        <v>24286.799999999999</v>
      </c>
      <c r="GI82">
        <v>26554</v>
      </c>
      <c r="GJ82">
        <v>25876.5</v>
      </c>
      <c r="GK82">
        <v>31737.599999999999</v>
      </c>
      <c r="GL82">
        <v>33075.800000000003</v>
      </c>
      <c r="GM82">
        <v>37623.300000000003</v>
      </c>
      <c r="GN82">
        <v>38393.4</v>
      </c>
      <c r="GO82">
        <v>1.9690000000000001</v>
      </c>
      <c r="GP82">
        <v>1.90727</v>
      </c>
      <c r="GQ82">
        <v>5.1967800000000001E-2</v>
      </c>
      <c r="GR82">
        <v>0</v>
      </c>
      <c r="GS82">
        <v>26.885100000000001</v>
      </c>
      <c r="GT82">
        <v>999.9</v>
      </c>
      <c r="GU82">
        <v>38.299999999999997</v>
      </c>
      <c r="GV82">
        <v>34.6</v>
      </c>
      <c r="GW82">
        <v>21.269600000000001</v>
      </c>
      <c r="GX82">
        <v>61.843499999999999</v>
      </c>
      <c r="GY82">
        <v>12.335699999999999</v>
      </c>
      <c r="GZ82">
        <v>1</v>
      </c>
      <c r="HA82">
        <v>0.43396899999999999</v>
      </c>
      <c r="HB82">
        <v>2.3337400000000001</v>
      </c>
      <c r="HC82">
        <v>20.238499999999998</v>
      </c>
      <c r="HD82">
        <v>5.2054600000000004</v>
      </c>
      <c r="HE82">
        <v>11.9381</v>
      </c>
      <c r="HF82">
        <v>4.9864499999999996</v>
      </c>
      <c r="HG82">
        <v>3.2898800000000001</v>
      </c>
      <c r="HH82">
        <v>9999</v>
      </c>
      <c r="HI82">
        <v>9999</v>
      </c>
      <c r="HJ82">
        <v>9999</v>
      </c>
      <c r="HK82">
        <v>999.9</v>
      </c>
      <c r="HL82">
        <v>1.8703000000000001</v>
      </c>
      <c r="HM82">
        <v>1.87653</v>
      </c>
      <c r="HN82">
        <v>1.87425</v>
      </c>
      <c r="HO82">
        <v>1.87256</v>
      </c>
      <c r="HP82">
        <v>1.8730199999999999</v>
      </c>
      <c r="HQ82">
        <v>1.87042</v>
      </c>
      <c r="HR82">
        <v>1.87636</v>
      </c>
      <c r="HS82">
        <v>1.8754599999999999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424</v>
      </c>
      <c r="IB82" t="s">
        <v>424</v>
      </c>
      <c r="IC82" t="s">
        <v>423</v>
      </c>
      <c r="ID82">
        <v>0</v>
      </c>
      <c r="IE82">
        <v>100</v>
      </c>
      <c r="IF82">
        <v>100</v>
      </c>
      <c r="IG82">
        <v>-3.4340000000000002</v>
      </c>
      <c r="IH82">
        <v>0.35709999999999997</v>
      </c>
      <c r="II82">
        <v>-2.597217551254615</v>
      </c>
      <c r="IJ82">
        <v>-2.536945948238235E-3</v>
      </c>
      <c r="IK82">
        <v>1.581473279927893E-6</v>
      </c>
      <c r="IL82">
        <v>-4.6698293441882044E-10</v>
      </c>
      <c r="IM82">
        <v>-0.15700165834849819</v>
      </c>
      <c r="IN82">
        <v>-1.5895243091576399E-2</v>
      </c>
      <c r="IO82">
        <v>1.559614309849521E-3</v>
      </c>
      <c r="IP82">
        <v>-2.4566050869858518E-6</v>
      </c>
      <c r="IQ82">
        <v>2</v>
      </c>
      <c r="IR82">
        <v>2224</v>
      </c>
      <c r="IS82">
        <v>2</v>
      </c>
      <c r="IT82">
        <v>25</v>
      </c>
      <c r="IU82">
        <v>0.8</v>
      </c>
      <c r="IV82">
        <v>0.6</v>
      </c>
      <c r="IW82">
        <v>1.1206100000000001</v>
      </c>
      <c r="IX82">
        <v>2.50366</v>
      </c>
      <c r="IY82">
        <v>1.65039</v>
      </c>
      <c r="IZ82">
        <v>2.2900399999999999</v>
      </c>
      <c r="JA82">
        <v>1.50024</v>
      </c>
      <c r="JB82">
        <v>2.2680699999999998</v>
      </c>
      <c r="JC82">
        <v>38.550400000000003</v>
      </c>
      <c r="JD82">
        <v>23.868600000000001</v>
      </c>
      <c r="JE82">
        <v>18</v>
      </c>
      <c r="JF82">
        <v>506.07100000000003</v>
      </c>
      <c r="JG82">
        <v>459.02</v>
      </c>
      <c r="JH82">
        <v>24.824100000000001</v>
      </c>
      <c r="JI82">
        <v>32.702599999999997</v>
      </c>
      <c r="JJ82">
        <v>29.9998</v>
      </c>
      <c r="JK82">
        <v>32.741399999999999</v>
      </c>
      <c r="JL82">
        <v>32.719799999999999</v>
      </c>
      <c r="JM82">
        <v>22.459199999999999</v>
      </c>
      <c r="JN82">
        <v>29.8095</v>
      </c>
      <c r="JO82">
        <v>37.887300000000003</v>
      </c>
      <c r="JP82">
        <v>24.831800000000001</v>
      </c>
      <c r="JQ82">
        <v>500</v>
      </c>
      <c r="JR82">
        <v>17.290400000000002</v>
      </c>
      <c r="JS82">
        <v>99.845500000000001</v>
      </c>
      <c r="JT82">
        <v>99.052400000000006</v>
      </c>
    </row>
    <row r="83" spans="1:280" x14ac:dyDescent="0.25">
      <c r="A83">
        <v>67</v>
      </c>
      <c r="B83">
        <v>1674590864.5999999</v>
      </c>
      <c r="C83">
        <v>16730</v>
      </c>
      <c r="D83" t="s">
        <v>758</v>
      </c>
      <c r="E83" t="s">
        <v>759</v>
      </c>
      <c r="F83" t="s">
        <v>412</v>
      </c>
      <c r="G83" t="s">
        <v>709</v>
      </c>
      <c r="H83" t="s">
        <v>414</v>
      </c>
      <c r="I83">
        <v>1674590864.5999999</v>
      </c>
      <c r="J83">
        <f t="shared" si="92"/>
        <v>6.2464871187110343E-3</v>
      </c>
      <c r="K83">
        <f t="shared" si="93"/>
        <v>6.246487118711034</v>
      </c>
      <c r="L83">
        <f t="shared" si="94"/>
        <v>58.354105756662648</v>
      </c>
      <c r="M83">
        <f t="shared" si="95"/>
        <v>526.03399999999999</v>
      </c>
      <c r="N83">
        <f t="shared" si="96"/>
        <v>324.36674808908896</v>
      </c>
      <c r="O83">
        <f t="shared" si="97"/>
        <v>32.298589710990157</v>
      </c>
      <c r="P83">
        <f t="shared" si="98"/>
        <v>52.379463801772197</v>
      </c>
      <c r="Q83">
        <f t="shared" si="99"/>
        <v>0.52515683586826867</v>
      </c>
      <c r="R83">
        <f t="shared" si="100"/>
        <v>2.9225116901832919</v>
      </c>
      <c r="S83">
        <f t="shared" si="101"/>
        <v>0.47780993330906074</v>
      </c>
      <c r="T83">
        <f t="shared" si="102"/>
        <v>0.30252861502250727</v>
      </c>
      <c r="U83">
        <f t="shared" si="103"/>
        <v>344.33709860455571</v>
      </c>
      <c r="V83">
        <f t="shared" si="104"/>
        <v>28.416448234598171</v>
      </c>
      <c r="W83">
        <f t="shared" si="105"/>
        <v>27.743300000000001</v>
      </c>
      <c r="X83">
        <f t="shared" si="106"/>
        <v>3.7384202929763242</v>
      </c>
      <c r="Y83">
        <f t="shared" si="107"/>
        <v>65.243822832811105</v>
      </c>
      <c r="Z83">
        <f t="shared" si="108"/>
        <v>2.4772988855813702</v>
      </c>
      <c r="AA83">
        <f t="shared" si="109"/>
        <v>3.7969861023157843</v>
      </c>
      <c r="AB83">
        <f t="shared" si="110"/>
        <v>1.2611214073949539</v>
      </c>
      <c r="AC83">
        <f t="shared" si="111"/>
        <v>-275.4700819351566</v>
      </c>
      <c r="AD83">
        <f t="shared" si="112"/>
        <v>41.973571144245035</v>
      </c>
      <c r="AE83">
        <f t="shared" si="113"/>
        <v>3.1267687447839001</v>
      </c>
      <c r="AF83">
        <f t="shared" si="114"/>
        <v>113.96735655842801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52485.966583986796</v>
      </c>
      <c r="AL83" t="s">
        <v>415</v>
      </c>
      <c r="AM83">
        <v>10424.1</v>
      </c>
      <c r="AN83">
        <v>628.54280000000006</v>
      </c>
      <c r="AO83">
        <v>2663.98</v>
      </c>
      <c r="AP83">
        <f t="shared" si="118"/>
        <v>0.76405873917972356</v>
      </c>
      <c r="AQ83">
        <v>-3.1675626227050531</v>
      </c>
      <c r="AR83" t="s">
        <v>760</v>
      </c>
      <c r="AS83">
        <v>10185.299999999999</v>
      </c>
      <c r="AT83">
        <v>740.71496000000002</v>
      </c>
      <c r="AU83">
        <v>1162.117765535857</v>
      </c>
      <c r="AV83">
        <f t="shared" si="119"/>
        <v>0.36261626664105462</v>
      </c>
      <c r="AW83">
        <v>0.5</v>
      </c>
      <c r="AX83">
        <f t="shared" si="120"/>
        <v>1513.0418993022777</v>
      </c>
      <c r="AY83">
        <f t="shared" si="121"/>
        <v>58.354105756662648</v>
      </c>
      <c r="AZ83">
        <f t="shared" si="122"/>
        <v>274.32680239824123</v>
      </c>
      <c r="BA83">
        <f t="shared" si="123"/>
        <v>4.0660915211758332E-2</v>
      </c>
      <c r="BB83">
        <f t="shared" si="124"/>
        <v>1.2923494322209492</v>
      </c>
      <c r="BC83">
        <f t="shared" si="125"/>
        <v>481.67205367141651</v>
      </c>
      <c r="BD83" t="s">
        <v>761</v>
      </c>
      <c r="BE83">
        <v>570.79999999999995</v>
      </c>
      <c r="BF83">
        <f t="shared" si="126"/>
        <v>570.79999999999995</v>
      </c>
      <c r="BG83">
        <f t="shared" si="127"/>
        <v>0.50882774798920494</v>
      </c>
      <c r="BH83">
        <f t="shared" si="128"/>
        <v>0.71265033810370682</v>
      </c>
      <c r="BI83">
        <f t="shared" si="129"/>
        <v>0.71750266793306972</v>
      </c>
      <c r="BJ83">
        <f t="shared" si="130"/>
        <v>0.78977244577554706</v>
      </c>
      <c r="BK83">
        <f t="shared" si="131"/>
        <v>0.73785731854765313</v>
      </c>
      <c r="BL83">
        <f t="shared" si="132"/>
        <v>0.54917321096038862</v>
      </c>
      <c r="BM83">
        <f t="shared" si="133"/>
        <v>0.45082678903961138</v>
      </c>
      <c r="BN83">
        <v>20297</v>
      </c>
      <c r="BO83">
        <v>290.00000000000011</v>
      </c>
      <c r="BP83">
        <v>1056.6400000000001</v>
      </c>
      <c r="BQ83">
        <v>285</v>
      </c>
      <c r="BR83">
        <v>10185.299999999999</v>
      </c>
      <c r="BS83">
        <v>1056.8399999999999</v>
      </c>
      <c r="BT83">
        <v>-0.2</v>
      </c>
      <c r="BU83">
        <v>300.00000000000011</v>
      </c>
      <c r="BV83">
        <v>24.2</v>
      </c>
      <c r="BW83">
        <v>1162.117765535857</v>
      </c>
      <c r="BX83">
        <v>2.2955604131024878</v>
      </c>
      <c r="BY83">
        <v>-107.2328751056889</v>
      </c>
      <c r="BZ83">
        <v>2.0828519998994128</v>
      </c>
      <c r="CA83">
        <v>0.98954665631152083</v>
      </c>
      <c r="CB83">
        <v>-6.9425292547274746E-3</v>
      </c>
      <c r="CC83">
        <v>289.99999999999989</v>
      </c>
      <c r="CD83">
        <v>1054.8399999999999</v>
      </c>
      <c r="CE83">
        <v>655</v>
      </c>
      <c r="CF83">
        <v>10166</v>
      </c>
      <c r="CG83">
        <v>1056.6400000000001</v>
      </c>
      <c r="CH83">
        <v>-1.8</v>
      </c>
      <c r="CV83">
        <f t="shared" si="134"/>
        <v>1799.83</v>
      </c>
      <c r="CW83">
        <f t="shared" si="135"/>
        <v>1513.0418993022777</v>
      </c>
      <c r="CX83">
        <f t="shared" si="136"/>
        <v>0.84065822844506299</v>
      </c>
      <c r="CY83">
        <f t="shared" si="137"/>
        <v>0.19131645689012614</v>
      </c>
      <c r="CZ83">
        <v>6</v>
      </c>
      <c r="DA83">
        <v>0.5</v>
      </c>
      <c r="DB83" t="s">
        <v>418</v>
      </c>
      <c r="DC83">
        <v>2</v>
      </c>
      <c r="DD83">
        <v>1674590864.5999999</v>
      </c>
      <c r="DE83">
        <v>526.03399999999999</v>
      </c>
      <c r="DF83">
        <v>600.00300000000004</v>
      </c>
      <c r="DG83">
        <v>24.878900000000002</v>
      </c>
      <c r="DH83">
        <v>17.569500000000001</v>
      </c>
      <c r="DI83">
        <v>529.54100000000005</v>
      </c>
      <c r="DJ83">
        <v>24.529</v>
      </c>
      <c r="DK83">
        <v>499.99299999999999</v>
      </c>
      <c r="DL83">
        <v>99.474999999999994</v>
      </c>
      <c r="DM83">
        <v>9.9293300000000001E-2</v>
      </c>
      <c r="DN83">
        <v>28.009699999999999</v>
      </c>
      <c r="DO83">
        <v>27.743300000000001</v>
      </c>
      <c r="DP83">
        <v>999.9</v>
      </c>
      <c r="DQ83">
        <v>0</v>
      </c>
      <c r="DR83">
        <v>0</v>
      </c>
      <c r="DS83">
        <v>10012.5</v>
      </c>
      <c r="DT83">
        <v>0</v>
      </c>
      <c r="DU83">
        <v>408.62</v>
      </c>
      <c r="DV83">
        <v>-73.969099999999997</v>
      </c>
      <c r="DW83">
        <v>539.45500000000004</v>
      </c>
      <c r="DX83">
        <v>610.73299999999995</v>
      </c>
      <c r="DY83">
        <v>7.3094099999999997</v>
      </c>
      <c r="DZ83">
        <v>600.00300000000004</v>
      </c>
      <c r="EA83">
        <v>17.569500000000001</v>
      </c>
      <c r="EB83">
        <v>2.4748299999999999</v>
      </c>
      <c r="EC83">
        <v>1.74773</v>
      </c>
      <c r="ED83">
        <v>20.861899999999999</v>
      </c>
      <c r="EE83">
        <v>15.3269</v>
      </c>
      <c r="EF83">
        <v>1799.83</v>
      </c>
      <c r="EG83">
        <v>0.97799999999999998</v>
      </c>
      <c r="EH83">
        <v>2.1999700000000001E-2</v>
      </c>
      <c r="EI83">
        <v>0</v>
      </c>
      <c r="EJ83">
        <v>741.02300000000002</v>
      </c>
      <c r="EK83">
        <v>5.0010599999999998</v>
      </c>
      <c r="EL83">
        <v>13788.8</v>
      </c>
      <c r="EM83">
        <v>16709.5</v>
      </c>
      <c r="EN83">
        <v>48.561999999999998</v>
      </c>
      <c r="EO83">
        <v>49.436999999999998</v>
      </c>
      <c r="EP83">
        <v>49.561999999999998</v>
      </c>
      <c r="EQ83">
        <v>48.061999999999998</v>
      </c>
      <c r="ER83">
        <v>49.436999999999998</v>
      </c>
      <c r="ES83">
        <v>1755.34</v>
      </c>
      <c r="ET83">
        <v>39.49</v>
      </c>
      <c r="EU83">
        <v>0</v>
      </c>
      <c r="EV83">
        <v>105.6000001430511</v>
      </c>
      <c r="EW83">
        <v>0</v>
      </c>
      <c r="EX83">
        <v>740.71496000000002</v>
      </c>
      <c r="EY83">
        <v>2.1902307595005772</v>
      </c>
      <c r="EZ83">
        <v>-8.7153845287894445</v>
      </c>
      <c r="FA83">
        <v>13789.067999999999</v>
      </c>
      <c r="FB83">
        <v>15</v>
      </c>
      <c r="FC83">
        <v>1674590832.5999999</v>
      </c>
      <c r="FD83" t="s">
        <v>762</v>
      </c>
      <c r="FE83">
        <v>1674590832.5999999</v>
      </c>
      <c r="FF83">
        <v>1674590825.5999999</v>
      </c>
      <c r="FG83">
        <v>75</v>
      </c>
      <c r="FH83">
        <v>5.8999999999999997E-2</v>
      </c>
      <c r="FI83">
        <v>-5.0000000000000001E-3</v>
      </c>
      <c r="FJ83">
        <v>-3.5960000000000001</v>
      </c>
      <c r="FK83">
        <v>1.7000000000000001E-2</v>
      </c>
      <c r="FL83">
        <v>600</v>
      </c>
      <c r="FM83">
        <v>17</v>
      </c>
      <c r="FN83">
        <v>0.03</v>
      </c>
      <c r="FO83">
        <v>0.02</v>
      </c>
      <c r="FP83">
        <v>58.425712077664699</v>
      </c>
      <c r="FQ83">
        <v>-0.62995365753444932</v>
      </c>
      <c r="FR83">
        <v>0.18402775713928801</v>
      </c>
      <c r="FS83">
        <v>1</v>
      </c>
      <c r="FT83">
        <v>0.53558490742447817</v>
      </c>
      <c r="FU83">
        <v>-2.8959827242534479E-2</v>
      </c>
      <c r="FV83">
        <v>5.2506939924879432E-3</v>
      </c>
      <c r="FW83">
        <v>1</v>
      </c>
      <c r="FX83">
        <v>2</v>
      </c>
      <c r="FY83">
        <v>2</v>
      </c>
      <c r="FZ83" t="s">
        <v>420</v>
      </c>
      <c r="GA83">
        <v>2.9773499999999999</v>
      </c>
      <c r="GB83">
        <v>2.8057300000000001</v>
      </c>
      <c r="GC83">
        <v>0.119809</v>
      </c>
      <c r="GD83">
        <v>0.12945400000000001</v>
      </c>
      <c r="GE83">
        <v>0.121601</v>
      </c>
      <c r="GF83">
        <v>9.5263399999999998E-2</v>
      </c>
      <c r="GG83">
        <v>26001</v>
      </c>
      <c r="GH83">
        <v>23853.5</v>
      </c>
      <c r="GI83">
        <v>26556.799999999999</v>
      </c>
      <c r="GJ83">
        <v>25880.400000000001</v>
      </c>
      <c r="GK83">
        <v>31744.6</v>
      </c>
      <c r="GL83">
        <v>33049.5</v>
      </c>
      <c r="GM83">
        <v>37627.599999999999</v>
      </c>
      <c r="GN83">
        <v>38398.400000000001</v>
      </c>
      <c r="GO83">
        <v>1.9696499999999999</v>
      </c>
      <c r="GP83">
        <v>1.9090199999999999</v>
      </c>
      <c r="GQ83">
        <v>5.7071400000000001E-2</v>
      </c>
      <c r="GR83">
        <v>0</v>
      </c>
      <c r="GS83">
        <v>26.810400000000001</v>
      </c>
      <c r="GT83">
        <v>999.9</v>
      </c>
      <c r="GU83">
        <v>38.4</v>
      </c>
      <c r="GV83">
        <v>34.6</v>
      </c>
      <c r="GW83">
        <v>21.325900000000001</v>
      </c>
      <c r="GX83">
        <v>62.003500000000003</v>
      </c>
      <c r="GY83">
        <v>12.3878</v>
      </c>
      <c r="GZ83">
        <v>1</v>
      </c>
      <c r="HA83">
        <v>0.42799300000000001</v>
      </c>
      <c r="HB83">
        <v>2.3060800000000001</v>
      </c>
      <c r="HC83">
        <v>20.238900000000001</v>
      </c>
      <c r="HD83">
        <v>5.2066600000000003</v>
      </c>
      <c r="HE83">
        <v>11.9381</v>
      </c>
      <c r="HF83">
        <v>4.9866000000000001</v>
      </c>
      <c r="HG83">
        <v>3.2900299999999998</v>
      </c>
      <c r="HH83">
        <v>9999</v>
      </c>
      <c r="HI83">
        <v>9999</v>
      </c>
      <c r="HJ83">
        <v>9999</v>
      </c>
      <c r="HK83">
        <v>999.9</v>
      </c>
      <c r="HL83">
        <v>1.8703099999999999</v>
      </c>
      <c r="HM83">
        <v>1.8765499999999999</v>
      </c>
      <c r="HN83">
        <v>1.8743000000000001</v>
      </c>
      <c r="HO83">
        <v>1.87256</v>
      </c>
      <c r="HP83">
        <v>1.8730199999999999</v>
      </c>
      <c r="HQ83">
        <v>1.87042</v>
      </c>
      <c r="HR83">
        <v>1.8763700000000001</v>
      </c>
      <c r="HS83">
        <v>1.8754599999999999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424</v>
      </c>
      <c r="IB83" t="s">
        <v>424</v>
      </c>
      <c r="IC83" t="s">
        <v>423</v>
      </c>
      <c r="ID83">
        <v>0</v>
      </c>
      <c r="IE83">
        <v>100</v>
      </c>
      <c r="IF83">
        <v>100</v>
      </c>
      <c r="IG83">
        <v>-3.5070000000000001</v>
      </c>
      <c r="IH83">
        <v>0.34989999999999999</v>
      </c>
      <c r="II83">
        <v>-2.5380128689757702</v>
      </c>
      <c r="IJ83">
        <v>-2.536945948238235E-3</v>
      </c>
      <c r="IK83">
        <v>1.581473279927893E-6</v>
      </c>
      <c r="IL83">
        <v>-4.6698293441882044E-10</v>
      </c>
      <c r="IM83">
        <v>-0.1622994762639966</v>
      </c>
      <c r="IN83">
        <v>-1.5895243091576399E-2</v>
      </c>
      <c r="IO83">
        <v>1.559614309849521E-3</v>
      </c>
      <c r="IP83">
        <v>-2.4566050869858518E-6</v>
      </c>
      <c r="IQ83">
        <v>2</v>
      </c>
      <c r="IR83">
        <v>2224</v>
      </c>
      <c r="IS83">
        <v>2</v>
      </c>
      <c r="IT83">
        <v>25</v>
      </c>
      <c r="IU83">
        <v>0.5</v>
      </c>
      <c r="IV83">
        <v>0.7</v>
      </c>
      <c r="IW83">
        <v>1.2963899999999999</v>
      </c>
      <c r="IX83">
        <v>2.49756</v>
      </c>
      <c r="IY83">
        <v>1.65039</v>
      </c>
      <c r="IZ83">
        <v>2.2900399999999999</v>
      </c>
      <c r="JA83">
        <v>1.50024</v>
      </c>
      <c r="JB83">
        <v>2.2595200000000002</v>
      </c>
      <c r="JC83">
        <v>38.575000000000003</v>
      </c>
      <c r="JD83">
        <v>23.868600000000001</v>
      </c>
      <c r="JE83">
        <v>18</v>
      </c>
      <c r="JF83">
        <v>506.09100000000001</v>
      </c>
      <c r="JG83">
        <v>459.80799999999999</v>
      </c>
      <c r="JH83">
        <v>24.864599999999999</v>
      </c>
      <c r="JI83">
        <v>32.633800000000001</v>
      </c>
      <c r="JJ83">
        <v>29.9998</v>
      </c>
      <c r="JK83">
        <v>32.691099999999999</v>
      </c>
      <c r="JL83">
        <v>32.673200000000001</v>
      </c>
      <c r="JM83">
        <v>25.9709</v>
      </c>
      <c r="JN83">
        <v>29.493400000000001</v>
      </c>
      <c r="JO83">
        <v>38.200699999999998</v>
      </c>
      <c r="JP83">
        <v>24.864799999999999</v>
      </c>
      <c r="JQ83">
        <v>600</v>
      </c>
      <c r="JR83">
        <v>17.512899999999998</v>
      </c>
      <c r="JS83">
        <v>99.8566</v>
      </c>
      <c r="JT83">
        <v>99.066000000000003</v>
      </c>
    </row>
    <row r="84" spans="1:280" x14ac:dyDescent="0.25">
      <c r="A84">
        <v>68</v>
      </c>
      <c r="B84">
        <v>1674590973.5999999</v>
      </c>
      <c r="C84">
        <v>16839</v>
      </c>
      <c r="D84" t="s">
        <v>763</v>
      </c>
      <c r="E84" t="s">
        <v>764</v>
      </c>
      <c r="F84" t="s">
        <v>412</v>
      </c>
      <c r="G84" t="s">
        <v>709</v>
      </c>
      <c r="H84" t="s">
        <v>414</v>
      </c>
      <c r="I84">
        <v>1674590973.5999999</v>
      </c>
      <c r="J84">
        <f t="shared" si="92"/>
        <v>5.8861931927000699E-3</v>
      </c>
      <c r="K84">
        <f t="shared" si="93"/>
        <v>5.8861931927000697</v>
      </c>
      <c r="L84">
        <f t="shared" si="94"/>
        <v>58.788260851151975</v>
      </c>
      <c r="M84">
        <f t="shared" si="95"/>
        <v>724.33299999999997</v>
      </c>
      <c r="N84">
        <f t="shared" si="96"/>
        <v>503.60805123552007</v>
      </c>
      <c r="O84">
        <f t="shared" si="97"/>
        <v>50.14446950793149</v>
      </c>
      <c r="P84">
        <f t="shared" si="98"/>
        <v>72.122147259123793</v>
      </c>
      <c r="Q84">
        <f t="shared" si="99"/>
        <v>0.48808481681460514</v>
      </c>
      <c r="R84">
        <f t="shared" si="100"/>
        <v>2.9209167410991652</v>
      </c>
      <c r="S84">
        <f t="shared" si="101"/>
        <v>0.44688575565389965</v>
      </c>
      <c r="T84">
        <f t="shared" si="102"/>
        <v>0.28271480106286823</v>
      </c>
      <c r="U84">
        <f t="shared" si="103"/>
        <v>344.39029860477279</v>
      </c>
      <c r="V84">
        <f t="shared" si="104"/>
        <v>28.501764867501262</v>
      </c>
      <c r="W84">
        <f t="shared" si="105"/>
        <v>27.761700000000001</v>
      </c>
      <c r="X84">
        <f t="shared" si="106"/>
        <v>3.7424398844685931</v>
      </c>
      <c r="Y84">
        <f t="shared" si="107"/>
        <v>65.135276080029271</v>
      </c>
      <c r="Z84">
        <f t="shared" si="108"/>
        <v>2.4718657611235799</v>
      </c>
      <c r="AA84">
        <f t="shared" si="109"/>
        <v>3.7949724172297841</v>
      </c>
      <c r="AB84">
        <f t="shared" si="110"/>
        <v>1.2705741233450132</v>
      </c>
      <c r="AC84">
        <f t="shared" si="111"/>
        <v>-259.58111979807308</v>
      </c>
      <c r="AD84">
        <f t="shared" si="112"/>
        <v>37.620171493392021</v>
      </c>
      <c r="AE84">
        <f t="shared" si="113"/>
        <v>2.8041278476382723</v>
      </c>
      <c r="AF84">
        <f t="shared" si="114"/>
        <v>125.23347814773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52441.656911030623</v>
      </c>
      <c r="AL84" t="s">
        <v>415</v>
      </c>
      <c r="AM84">
        <v>10424.1</v>
      </c>
      <c r="AN84">
        <v>628.54280000000006</v>
      </c>
      <c r="AO84">
        <v>2663.98</v>
      </c>
      <c r="AP84">
        <f t="shared" si="118"/>
        <v>0.76405873917972356</v>
      </c>
      <c r="AQ84">
        <v>-3.1675626227050531</v>
      </c>
      <c r="AR84" t="s">
        <v>765</v>
      </c>
      <c r="AS84">
        <v>10185.4</v>
      </c>
      <c r="AT84">
        <v>742.05250000000001</v>
      </c>
      <c r="AU84">
        <v>1175.555238220421</v>
      </c>
      <c r="AV84">
        <f t="shared" si="119"/>
        <v>0.36876424358983428</v>
      </c>
      <c r="AW84">
        <v>0.5</v>
      </c>
      <c r="AX84">
        <f t="shared" si="120"/>
        <v>1513.2770993023862</v>
      </c>
      <c r="AY84">
        <f t="shared" si="121"/>
        <v>58.788260851151975</v>
      </c>
      <c r="AZ84">
        <f t="shared" si="122"/>
        <v>279.02124243303149</v>
      </c>
      <c r="BA84">
        <f t="shared" si="123"/>
        <v>4.0941492805526745E-2</v>
      </c>
      <c r="BB84">
        <f t="shared" si="124"/>
        <v>1.2661461693903777</v>
      </c>
      <c r="BC84">
        <f t="shared" si="125"/>
        <v>483.96497840006248</v>
      </c>
      <c r="BD84" t="s">
        <v>766</v>
      </c>
      <c r="BE84">
        <v>569.26</v>
      </c>
      <c r="BF84">
        <f t="shared" si="126"/>
        <v>569.26</v>
      </c>
      <c r="BG84">
        <f t="shared" si="127"/>
        <v>0.51575223222878308</v>
      </c>
      <c r="BH84">
        <f t="shared" si="128"/>
        <v>0.71500270972410207</v>
      </c>
      <c r="BI84">
        <f t="shared" si="129"/>
        <v>0.71056024756510605</v>
      </c>
      <c r="BJ84">
        <f t="shared" si="130"/>
        <v>0.79249155582407294</v>
      </c>
      <c r="BK84">
        <f t="shared" si="131"/>
        <v>0.73125555619184868</v>
      </c>
      <c r="BL84">
        <f t="shared" si="132"/>
        <v>0.54850895662711519</v>
      </c>
      <c r="BM84">
        <f t="shared" si="133"/>
        <v>0.45149104337288481</v>
      </c>
      <c r="BN84">
        <v>20299</v>
      </c>
      <c r="BO84">
        <v>290.00000000000011</v>
      </c>
      <c r="BP84">
        <v>1062.04</v>
      </c>
      <c r="BQ84">
        <v>295</v>
      </c>
      <c r="BR84">
        <v>10185.4</v>
      </c>
      <c r="BS84">
        <v>1062.8800000000001</v>
      </c>
      <c r="BT84">
        <v>-0.84</v>
      </c>
      <c r="BU84">
        <v>300.00000000000011</v>
      </c>
      <c r="BV84">
        <v>24.2</v>
      </c>
      <c r="BW84">
        <v>1175.555238220421</v>
      </c>
      <c r="BX84">
        <v>1.709134282068475</v>
      </c>
      <c r="BY84">
        <v>-114.7620782082476</v>
      </c>
      <c r="BZ84">
        <v>1.550780261181181</v>
      </c>
      <c r="CA84">
        <v>0.99491317340422403</v>
      </c>
      <c r="CB84">
        <v>-6.9425931034482894E-3</v>
      </c>
      <c r="CC84">
        <v>289.99999999999989</v>
      </c>
      <c r="CD84">
        <v>1059.2</v>
      </c>
      <c r="CE84">
        <v>655</v>
      </c>
      <c r="CF84">
        <v>10166.1</v>
      </c>
      <c r="CG84">
        <v>1062.67</v>
      </c>
      <c r="CH84">
        <v>-3.47</v>
      </c>
      <c r="CV84">
        <f t="shared" si="134"/>
        <v>1800.11</v>
      </c>
      <c r="CW84">
        <f t="shared" si="135"/>
        <v>1513.2770993023862</v>
      </c>
      <c r="CX84">
        <f t="shared" si="136"/>
        <v>0.84065812606028867</v>
      </c>
      <c r="CY84">
        <f t="shared" si="137"/>
        <v>0.19131625212057751</v>
      </c>
      <c r="CZ84">
        <v>6</v>
      </c>
      <c r="DA84">
        <v>0.5</v>
      </c>
      <c r="DB84" t="s">
        <v>418</v>
      </c>
      <c r="DC84">
        <v>2</v>
      </c>
      <c r="DD84">
        <v>1674590973.5999999</v>
      </c>
      <c r="DE84">
        <v>724.33299999999997</v>
      </c>
      <c r="DF84">
        <v>800.00199999999995</v>
      </c>
      <c r="DG84">
        <v>24.825299999999999</v>
      </c>
      <c r="DH84">
        <v>17.936599999999999</v>
      </c>
      <c r="DI84">
        <v>728.17899999999997</v>
      </c>
      <c r="DJ84">
        <v>24.480699999999999</v>
      </c>
      <c r="DK84">
        <v>499.95499999999998</v>
      </c>
      <c r="DL84">
        <v>99.4709</v>
      </c>
      <c r="DM84">
        <v>9.9528599999999995E-2</v>
      </c>
      <c r="DN84">
        <v>28.000599999999999</v>
      </c>
      <c r="DO84">
        <v>27.761700000000001</v>
      </c>
      <c r="DP84">
        <v>999.9</v>
      </c>
      <c r="DQ84">
        <v>0</v>
      </c>
      <c r="DR84">
        <v>0</v>
      </c>
      <c r="DS84">
        <v>10003.799999999999</v>
      </c>
      <c r="DT84">
        <v>0</v>
      </c>
      <c r="DU84">
        <v>392.64499999999998</v>
      </c>
      <c r="DV84">
        <v>-75.6691</v>
      </c>
      <c r="DW84">
        <v>742.77200000000005</v>
      </c>
      <c r="DX84">
        <v>814.61300000000006</v>
      </c>
      <c r="DY84">
        <v>6.8887299999999998</v>
      </c>
      <c r="DZ84">
        <v>800.00199999999995</v>
      </c>
      <c r="EA84">
        <v>17.936599999999999</v>
      </c>
      <c r="EB84">
        <v>2.4693999999999998</v>
      </c>
      <c r="EC84">
        <v>1.78417</v>
      </c>
      <c r="ED84">
        <v>20.8262</v>
      </c>
      <c r="EE84">
        <v>15.6488</v>
      </c>
      <c r="EF84">
        <v>1800.11</v>
      </c>
      <c r="EG84">
        <v>0.97800399999999998</v>
      </c>
      <c r="EH84">
        <v>2.19963E-2</v>
      </c>
      <c r="EI84">
        <v>0</v>
      </c>
      <c r="EJ84">
        <v>742.12099999999998</v>
      </c>
      <c r="EK84">
        <v>5.0010599999999998</v>
      </c>
      <c r="EL84">
        <v>13806</v>
      </c>
      <c r="EM84">
        <v>16712.099999999999</v>
      </c>
      <c r="EN84">
        <v>48.561999999999998</v>
      </c>
      <c r="EO84">
        <v>49.375</v>
      </c>
      <c r="EP84">
        <v>49.561999999999998</v>
      </c>
      <c r="EQ84">
        <v>48.061999999999998</v>
      </c>
      <c r="ER84">
        <v>49.375</v>
      </c>
      <c r="ES84">
        <v>1755.62</v>
      </c>
      <c r="ET84">
        <v>39.49</v>
      </c>
      <c r="EU84">
        <v>0</v>
      </c>
      <c r="EV84">
        <v>107</v>
      </c>
      <c r="EW84">
        <v>0</v>
      </c>
      <c r="EX84">
        <v>742.05250000000001</v>
      </c>
      <c r="EY84">
        <v>1.783145298809087</v>
      </c>
      <c r="EZ84">
        <v>15.562393100078451</v>
      </c>
      <c r="FA84">
        <v>13806.484615384619</v>
      </c>
      <c r="FB84">
        <v>15</v>
      </c>
      <c r="FC84">
        <v>1674590941.0999999</v>
      </c>
      <c r="FD84" t="s">
        <v>767</v>
      </c>
      <c r="FE84">
        <v>1674590939.0999999</v>
      </c>
      <c r="FF84">
        <v>1674590941.0999999</v>
      </c>
      <c r="FG84">
        <v>76</v>
      </c>
      <c r="FH84">
        <v>-0.11899999999999999</v>
      </c>
      <c r="FI84">
        <v>-3.0000000000000001E-3</v>
      </c>
      <c r="FJ84">
        <v>-3.9169999999999998</v>
      </c>
      <c r="FK84">
        <v>2.5000000000000001E-2</v>
      </c>
      <c r="FL84">
        <v>800</v>
      </c>
      <c r="FM84">
        <v>18</v>
      </c>
      <c r="FN84">
        <v>0.05</v>
      </c>
      <c r="FO84">
        <v>0.01</v>
      </c>
      <c r="FP84">
        <v>58.720402519538041</v>
      </c>
      <c r="FQ84">
        <v>-0.34530462353067548</v>
      </c>
      <c r="FR84">
        <v>0.17903124487650329</v>
      </c>
      <c r="FS84">
        <v>1</v>
      </c>
      <c r="FT84">
        <v>0.49813632370063432</v>
      </c>
      <c r="FU84">
        <v>-4.8509934061456809E-2</v>
      </c>
      <c r="FV84">
        <v>5.4715672468480846E-3</v>
      </c>
      <c r="FW84">
        <v>1</v>
      </c>
      <c r="FX84">
        <v>2</v>
      </c>
      <c r="FY84">
        <v>2</v>
      </c>
      <c r="FZ84" t="s">
        <v>420</v>
      </c>
      <c r="GA84">
        <v>2.9773100000000001</v>
      </c>
      <c r="GB84">
        <v>2.8058800000000002</v>
      </c>
      <c r="GC84">
        <v>0.14982500000000001</v>
      </c>
      <c r="GD84">
        <v>0.157748</v>
      </c>
      <c r="GE84">
        <v>0.121446</v>
      </c>
      <c r="GF84">
        <v>9.6671499999999994E-2</v>
      </c>
      <c r="GG84">
        <v>25115.5</v>
      </c>
      <c r="GH84">
        <v>23079.9</v>
      </c>
      <c r="GI84">
        <v>26559.200000000001</v>
      </c>
      <c r="GJ84">
        <v>25883.4</v>
      </c>
      <c r="GK84">
        <v>31752.7</v>
      </c>
      <c r="GL84">
        <v>33001.599999999999</v>
      </c>
      <c r="GM84">
        <v>37630.5</v>
      </c>
      <c r="GN84">
        <v>38402.199999999997</v>
      </c>
      <c r="GO84">
        <v>1.9704999999999999</v>
      </c>
      <c r="GP84">
        <v>1.9116</v>
      </c>
      <c r="GQ84">
        <v>5.7704699999999998E-2</v>
      </c>
      <c r="GR84">
        <v>0</v>
      </c>
      <c r="GS84">
        <v>26.8184</v>
      </c>
      <c r="GT84">
        <v>999.9</v>
      </c>
      <c r="GU84">
        <v>38.4</v>
      </c>
      <c r="GV84">
        <v>34.6</v>
      </c>
      <c r="GW84">
        <v>21.328700000000001</v>
      </c>
      <c r="GX84">
        <v>62.083500000000001</v>
      </c>
      <c r="GY84">
        <v>12.4038</v>
      </c>
      <c r="GZ84">
        <v>1</v>
      </c>
      <c r="HA84">
        <v>0.42211900000000002</v>
      </c>
      <c r="HB84">
        <v>2.3303799999999999</v>
      </c>
      <c r="HC84">
        <v>20.238499999999998</v>
      </c>
      <c r="HD84">
        <v>5.2066600000000003</v>
      </c>
      <c r="HE84">
        <v>11.9381</v>
      </c>
      <c r="HF84">
        <v>4.9866999999999999</v>
      </c>
      <c r="HG84">
        <v>3.2897500000000002</v>
      </c>
      <c r="HH84">
        <v>9999</v>
      </c>
      <c r="HI84">
        <v>9999</v>
      </c>
      <c r="HJ84">
        <v>9999</v>
      </c>
      <c r="HK84">
        <v>999.9</v>
      </c>
      <c r="HL84">
        <v>1.87029</v>
      </c>
      <c r="HM84">
        <v>1.87653</v>
      </c>
      <c r="HN84">
        <v>1.87425</v>
      </c>
      <c r="HO84">
        <v>1.87256</v>
      </c>
      <c r="HP84">
        <v>1.8730199999999999</v>
      </c>
      <c r="HQ84">
        <v>1.87042</v>
      </c>
      <c r="HR84">
        <v>1.8763700000000001</v>
      </c>
      <c r="HS84">
        <v>1.8754599999999999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424</v>
      </c>
      <c r="IB84" t="s">
        <v>424</v>
      </c>
      <c r="IC84" t="s">
        <v>423</v>
      </c>
      <c r="ID84">
        <v>0</v>
      </c>
      <c r="IE84">
        <v>100</v>
      </c>
      <c r="IF84">
        <v>100</v>
      </c>
      <c r="IG84">
        <v>-3.8460000000000001</v>
      </c>
      <c r="IH84">
        <v>0.34460000000000002</v>
      </c>
      <c r="II84">
        <v>-2.65719614945281</v>
      </c>
      <c r="IJ84">
        <v>-2.536945948238235E-3</v>
      </c>
      <c r="IK84">
        <v>1.581473279927893E-6</v>
      </c>
      <c r="IL84">
        <v>-4.6698293441882044E-10</v>
      </c>
      <c r="IM84">
        <v>-0.16492513120462121</v>
      </c>
      <c r="IN84">
        <v>-1.5895243091576399E-2</v>
      </c>
      <c r="IO84">
        <v>1.559614309849521E-3</v>
      </c>
      <c r="IP84">
        <v>-2.4566050869858518E-6</v>
      </c>
      <c r="IQ84">
        <v>2</v>
      </c>
      <c r="IR84">
        <v>2224</v>
      </c>
      <c r="IS84">
        <v>2</v>
      </c>
      <c r="IT84">
        <v>25</v>
      </c>
      <c r="IU84">
        <v>0.6</v>
      </c>
      <c r="IV84">
        <v>0.5</v>
      </c>
      <c r="IW84">
        <v>1.63696</v>
      </c>
      <c r="IX84">
        <v>2.49634</v>
      </c>
      <c r="IY84">
        <v>1.65039</v>
      </c>
      <c r="IZ84">
        <v>2.2912599999999999</v>
      </c>
      <c r="JA84">
        <v>1.50024</v>
      </c>
      <c r="JB84">
        <v>2.2656200000000002</v>
      </c>
      <c r="JC84">
        <v>38.575000000000003</v>
      </c>
      <c r="JD84">
        <v>23.868600000000001</v>
      </c>
      <c r="JE84">
        <v>18</v>
      </c>
      <c r="JF84">
        <v>506.18200000000002</v>
      </c>
      <c r="JG84">
        <v>461.07</v>
      </c>
      <c r="JH84">
        <v>24.825199999999999</v>
      </c>
      <c r="JI84">
        <v>32.566499999999998</v>
      </c>
      <c r="JJ84">
        <v>29.9998</v>
      </c>
      <c r="JK84">
        <v>32.633400000000002</v>
      </c>
      <c r="JL84">
        <v>32.618000000000002</v>
      </c>
      <c r="JM84">
        <v>32.775700000000001</v>
      </c>
      <c r="JN84">
        <v>27.404199999999999</v>
      </c>
      <c r="JO84">
        <v>38.473999999999997</v>
      </c>
      <c r="JP84">
        <v>24.824200000000001</v>
      </c>
      <c r="JQ84">
        <v>800</v>
      </c>
      <c r="JR84">
        <v>17.9483</v>
      </c>
      <c r="JS84">
        <v>99.864800000000002</v>
      </c>
      <c r="JT84">
        <v>99.076499999999996</v>
      </c>
    </row>
    <row r="85" spans="1:280" x14ac:dyDescent="0.25">
      <c r="A85">
        <v>69</v>
      </c>
      <c r="B85">
        <v>1674591096.5999999</v>
      </c>
      <c r="C85">
        <v>16962</v>
      </c>
      <c r="D85" t="s">
        <v>768</v>
      </c>
      <c r="E85" t="s">
        <v>769</v>
      </c>
      <c r="F85" t="s">
        <v>412</v>
      </c>
      <c r="G85" t="s">
        <v>709</v>
      </c>
      <c r="H85" t="s">
        <v>414</v>
      </c>
      <c r="I85">
        <v>1674591096.5999999</v>
      </c>
      <c r="J85">
        <f t="shared" si="92"/>
        <v>5.4493218269785256E-3</v>
      </c>
      <c r="K85">
        <f t="shared" si="93"/>
        <v>5.449321826978526</v>
      </c>
      <c r="L85">
        <f t="shared" si="94"/>
        <v>57.626826127389762</v>
      </c>
      <c r="M85">
        <f t="shared" si="95"/>
        <v>1123.5</v>
      </c>
      <c r="N85">
        <f t="shared" si="96"/>
        <v>879.79682820635583</v>
      </c>
      <c r="O85">
        <f t="shared" si="97"/>
        <v>87.596179383220445</v>
      </c>
      <c r="P85">
        <f t="shared" si="98"/>
        <v>111.86026635</v>
      </c>
      <c r="Q85">
        <f t="shared" si="99"/>
        <v>0.44398189755808776</v>
      </c>
      <c r="R85">
        <f t="shared" si="100"/>
        <v>2.918812624327253</v>
      </c>
      <c r="S85">
        <f t="shared" si="101"/>
        <v>0.40958847367821288</v>
      </c>
      <c r="T85">
        <f t="shared" si="102"/>
        <v>0.25886052376346602</v>
      </c>
      <c r="U85">
        <f t="shared" si="103"/>
        <v>344.35229860461772</v>
      </c>
      <c r="V85">
        <f t="shared" si="104"/>
        <v>28.61810091177643</v>
      </c>
      <c r="W85">
        <f t="shared" si="105"/>
        <v>27.789100000000001</v>
      </c>
      <c r="X85">
        <f t="shared" si="106"/>
        <v>3.7484325695589731</v>
      </c>
      <c r="Y85">
        <f t="shared" si="107"/>
        <v>64.949008601950737</v>
      </c>
      <c r="Z85">
        <f t="shared" si="108"/>
        <v>2.4651274647200001</v>
      </c>
      <c r="AA85">
        <f t="shared" si="109"/>
        <v>3.7954812825979922</v>
      </c>
      <c r="AB85">
        <f t="shared" si="110"/>
        <v>1.283305104838973</v>
      </c>
      <c r="AC85">
        <f t="shared" si="111"/>
        <v>-240.31509256975298</v>
      </c>
      <c r="AD85">
        <f t="shared" si="112"/>
        <v>33.643359802143721</v>
      </c>
      <c r="AE85">
        <f t="shared" si="113"/>
        <v>2.50988400063865</v>
      </c>
      <c r="AF85">
        <f t="shared" si="114"/>
        <v>140.19044983764709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52380.698198427453</v>
      </c>
      <c r="AL85" t="s">
        <v>415</v>
      </c>
      <c r="AM85">
        <v>10424.1</v>
      </c>
      <c r="AN85">
        <v>628.54280000000006</v>
      </c>
      <c r="AO85">
        <v>2663.98</v>
      </c>
      <c r="AP85">
        <f t="shared" si="118"/>
        <v>0.76405873917972356</v>
      </c>
      <c r="AQ85">
        <v>-3.1675626227050531</v>
      </c>
      <c r="AR85" t="s">
        <v>770</v>
      </c>
      <c r="AS85">
        <v>10187.4</v>
      </c>
      <c r="AT85">
        <v>742.56419230769222</v>
      </c>
      <c r="AU85">
        <v>1178.7041974740389</v>
      </c>
      <c r="AV85">
        <f t="shared" si="119"/>
        <v>0.37001650295383182</v>
      </c>
      <c r="AW85">
        <v>0.5</v>
      </c>
      <c r="AX85">
        <f t="shared" si="120"/>
        <v>1513.1090993023088</v>
      </c>
      <c r="AY85">
        <f t="shared" si="121"/>
        <v>57.626826127389762</v>
      </c>
      <c r="AZ85">
        <f t="shared" si="122"/>
        <v>279.93766875573129</v>
      </c>
      <c r="BA85">
        <f t="shared" si="123"/>
        <v>4.0178456912410995E-2</v>
      </c>
      <c r="BB85">
        <f t="shared" si="124"/>
        <v>1.2600920618666707</v>
      </c>
      <c r="BC85">
        <f t="shared" si="125"/>
        <v>484.49785292965504</v>
      </c>
      <c r="BD85" t="s">
        <v>771</v>
      </c>
      <c r="BE85">
        <v>568.04999999999995</v>
      </c>
      <c r="BF85">
        <f t="shared" si="126"/>
        <v>568.04999999999995</v>
      </c>
      <c r="BG85">
        <f t="shared" si="127"/>
        <v>0.51807247211189189</v>
      </c>
      <c r="BH85">
        <f t="shared" si="128"/>
        <v>0.71421764882716376</v>
      </c>
      <c r="BI85">
        <f t="shared" si="129"/>
        <v>0.70864761825345357</v>
      </c>
      <c r="BJ85">
        <f t="shared" si="130"/>
        <v>0.79274919536121646</v>
      </c>
      <c r="BK85">
        <f t="shared" si="131"/>
        <v>0.7297084884397127</v>
      </c>
      <c r="BL85">
        <f t="shared" si="132"/>
        <v>0.54636533732582404</v>
      </c>
      <c r="BM85">
        <f t="shared" si="133"/>
        <v>0.45363466267417596</v>
      </c>
      <c r="BN85">
        <v>20301</v>
      </c>
      <c r="BO85">
        <v>290.00000000000011</v>
      </c>
      <c r="BP85">
        <v>1064.73</v>
      </c>
      <c r="BQ85">
        <v>275</v>
      </c>
      <c r="BR85">
        <v>10187.4</v>
      </c>
      <c r="BS85">
        <v>1064.5999999999999</v>
      </c>
      <c r="BT85">
        <v>0.13</v>
      </c>
      <c r="BU85">
        <v>300.00000000000011</v>
      </c>
      <c r="BV85">
        <v>24.2</v>
      </c>
      <c r="BW85">
        <v>1178.7041974740389</v>
      </c>
      <c r="BX85">
        <v>2.0491004206437649</v>
      </c>
      <c r="BY85">
        <v>-116.24070975999319</v>
      </c>
      <c r="BZ85">
        <v>1.8593418638188961</v>
      </c>
      <c r="CA85">
        <v>0.99288688557495253</v>
      </c>
      <c r="CB85">
        <v>-6.9429192436040064E-3</v>
      </c>
      <c r="CC85">
        <v>289.99999999999989</v>
      </c>
      <c r="CD85">
        <v>1061.1099999999999</v>
      </c>
      <c r="CE85">
        <v>665</v>
      </c>
      <c r="CF85">
        <v>10165.9</v>
      </c>
      <c r="CG85">
        <v>1064.3599999999999</v>
      </c>
      <c r="CH85">
        <v>-3.25</v>
      </c>
      <c r="CV85">
        <f t="shared" si="134"/>
        <v>1799.91</v>
      </c>
      <c r="CW85">
        <f t="shared" si="135"/>
        <v>1513.1090993023088</v>
      </c>
      <c r="CX85">
        <f t="shared" si="136"/>
        <v>0.84065819918901985</v>
      </c>
      <c r="CY85">
        <f t="shared" si="137"/>
        <v>0.19131639837803985</v>
      </c>
      <c r="CZ85">
        <v>6</v>
      </c>
      <c r="DA85">
        <v>0.5</v>
      </c>
      <c r="DB85" t="s">
        <v>418</v>
      </c>
      <c r="DC85">
        <v>2</v>
      </c>
      <c r="DD85">
        <v>1674591096.5999999</v>
      </c>
      <c r="DE85">
        <v>1123.5</v>
      </c>
      <c r="DF85">
        <v>1199.98</v>
      </c>
      <c r="DG85">
        <v>24.7592</v>
      </c>
      <c r="DH85">
        <v>18.383500000000002</v>
      </c>
      <c r="DI85">
        <v>1128.03</v>
      </c>
      <c r="DJ85">
        <v>24.421600000000002</v>
      </c>
      <c r="DK85">
        <v>500.12400000000002</v>
      </c>
      <c r="DL85">
        <v>99.463800000000006</v>
      </c>
      <c r="DM85">
        <v>0.1003</v>
      </c>
      <c r="DN85">
        <v>28.0029</v>
      </c>
      <c r="DO85">
        <v>27.789100000000001</v>
      </c>
      <c r="DP85">
        <v>999.9</v>
      </c>
      <c r="DQ85">
        <v>0</v>
      </c>
      <c r="DR85">
        <v>0</v>
      </c>
      <c r="DS85">
        <v>9992.5</v>
      </c>
      <c r="DT85">
        <v>0</v>
      </c>
      <c r="DU85">
        <v>382.82</v>
      </c>
      <c r="DV85">
        <v>-76.477999999999994</v>
      </c>
      <c r="DW85">
        <v>1152.03</v>
      </c>
      <c r="DX85">
        <v>1222.45</v>
      </c>
      <c r="DY85">
        <v>6.3757700000000002</v>
      </c>
      <c r="DZ85">
        <v>1199.98</v>
      </c>
      <c r="EA85">
        <v>18.383500000000002</v>
      </c>
      <c r="EB85">
        <v>2.46265</v>
      </c>
      <c r="EC85">
        <v>1.8284899999999999</v>
      </c>
      <c r="ED85">
        <v>20.781700000000001</v>
      </c>
      <c r="EE85">
        <v>16.032499999999999</v>
      </c>
      <c r="EF85">
        <v>1799.91</v>
      </c>
      <c r="EG85">
        <v>0.97799999999999998</v>
      </c>
      <c r="EH85">
        <v>2.1999700000000001E-2</v>
      </c>
      <c r="EI85">
        <v>0</v>
      </c>
      <c r="EJ85">
        <v>742.56899999999996</v>
      </c>
      <c r="EK85">
        <v>5.0010599999999998</v>
      </c>
      <c r="EL85">
        <v>13804</v>
      </c>
      <c r="EM85">
        <v>16710.2</v>
      </c>
      <c r="EN85">
        <v>48.436999999999998</v>
      </c>
      <c r="EO85">
        <v>49.25</v>
      </c>
      <c r="EP85">
        <v>49.436999999999998</v>
      </c>
      <c r="EQ85">
        <v>47.936999999999998</v>
      </c>
      <c r="ER85">
        <v>49.311999999999998</v>
      </c>
      <c r="ES85">
        <v>1755.42</v>
      </c>
      <c r="ET85">
        <v>39.49</v>
      </c>
      <c r="EU85">
        <v>0</v>
      </c>
      <c r="EV85">
        <v>120.7999999523163</v>
      </c>
      <c r="EW85">
        <v>0</v>
      </c>
      <c r="EX85">
        <v>742.56419230769222</v>
      </c>
      <c r="EY85">
        <v>1.029230753810551</v>
      </c>
      <c r="EZ85">
        <v>-2.8615385267640638</v>
      </c>
      <c r="FA85">
        <v>13803.780769230771</v>
      </c>
      <c r="FB85">
        <v>15</v>
      </c>
      <c r="FC85">
        <v>1674591051.0999999</v>
      </c>
      <c r="FD85" t="s">
        <v>772</v>
      </c>
      <c r="FE85">
        <v>1674591045.5999999</v>
      </c>
      <c r="FF85">
        <v>1674591051.0999999</v>
      </c>
      <c r="FG85">
        <v>77</v>
      </c>
      <c r="FH85">
        <v>-0.34799999999999998</v>
      </c>
      <c r="FI85">
        <v>-4.0000000000000001E-3</v>
      </c>
      <c r="FJ85">
        <v>-4.5830000000000002</v>
      </c>
      <c r="FK85">
        <v>3.5999999999999997E-2</v>
      </c>
      <c r="FL85">
        <v>1200</v>
      </c>
      <c r="FM85">
        <v>18</v>
      </c>
      <c r="FN85">
        <v>0.03</v>
      </c>
      <c r="FO85">
        <v>0.01</v>
      </c>
      <c r="FP85">
        <v>57.643969025729177</v>
      </c>
      <c r="FQ85">
        <v>7.2539327519838506E-2</v>
      </c>
      <c r="FR85">
        <v>3.8203510050058308E-2</v>
      </c>
      <c r="FS85">
        <v>1</v>
      </c>
      <c r="FT85">
        <v>0.45093175183941342</v>
      </c>
      <c r="FU85">
        <v>-4.2135273751617693E-2</v>
      </c>
      <c r="FV85">
        <v>4.221577421754265E-3</v>
      </c>
      <c r="FW85">
        <v>1</v>
      </c>
      <c r="FX85">
        <v>2</v>
      </c>
      <c r="FY85">
        <v>2</v>
      </c>
      <c r="FZ85" t="s">
        <v>420</v>
      </c>
      <c r="GA85">
        <v>2.97783</v>
      </c>
      <c r="GB85">
        <v>2.8065600000000002</v>
      </c>
      <c r="GC85">
        <v>0.19958999999999999</v>
      </c>
      <c r="GD85">
        <v>0.20510200000000001</v>
      </c>
      <c r="GE85">
        <v>0.121255</v>
      </c>
      <c r="GF85">
        <v>9.8369899999999996E-2</v>
      </c>
      <c r="GG85">
        <v>23645.7</v>
      </c>
      <c r="GH85">
        <v>21781.8</v>
      </c>
      <c r="GI85">
        <v>26562.7</v>
      </c>
      <c r="GJ85">
        <v>25886.1</v>
      </c>
      <c r="GK85">
        <v>31764</v>
      </c>
      <c r="GL85">
        <v>32942.9</v>
      </c>
      <c r="GM85">
        <v>37635.699999999997</v>
      </c>
      <c r="GN85">
        <v>38405.599999999999</v>
      </c>
      <c r="GO85">
        <v>1.9713499999999999</v>
      </c>
      <c r="GP85">
        <v>1.91465</v>
      </c>
      <c r="GQ85">
        <v>6.3478900000000005E-2</v>
      </c>
      <c r="GR85">
        <v>0</v>
      </c>
      <c r="GS85">
        <v>26.7514</v>
      </c>
      <c r="GT85">
        <v>999.9</v>
      </c>
      <c r="GU85">
        <v>38.700000000000003</v>
      </c>
      <c r="GV85">
        <v>34.6</v>
      </c>
      <c r="GW85">
        <v>21.4956</v>
      </c>
      <c r="GX85">
        <v>61.933599999999998</v>
      </c>
      <c r="GY85">
        <v>12.5441</v>
      </c>
      <c r="GZ85">
        <v>1</v>
      </c>
      <c r="HA85">
        <v>0.41445900000000002</v>
      </c>
      <c r="HB85">
        <v>2.2400500000000001</v>
      </c>
      <c r="HC85">
        <v>20.239999999999998</v>
      </c>
      <c r="HD85">
        <v>5.2085999999999997</v>
      </c>
      <c r="HE85">
        <v>11.9381</v>
      </c>
      <c r="HF85">
        <v>4.9872500000000004</v>
      </c>
      <c r="HG85">
        <v>3.2907799999999998</v>
      </c>
      <c r="HH85">
        <v>9999</v>
      </c>
      <c r="HI85">
        <v>9999</v>
      </c>
      <c r="HJ85">
        <v>9999</v>
      </c>
      <c r="HK85">
        <v>999.9</v>
      </c>
      <c r="HL85">
        <v>1.8703099999999999</v>
      </c>
      <c r="HM85">
        <v>1.87656</v>
      </c>
      <c r="HN85">
        <v>1.8742799999999999</v>
      </c>
      <c r="HO85">
        <v>1.87256</v>
      </c>
      <c r="HP85">
        <v>1.8730199999999999</v>
      </c>
      <c r="HQ85">
        <v>1.87042</v>
      </c>
      <c r="HR85">
        <v>1.8763700000000001</v>
      </c>
      <c r="HS85">
        <v>1.8754599999999999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424</v>
      </c>
      <c r="IB85" t="s">
        <v>424</v>
      </c>
      <c r="IC85" t="s">
        <v>423</v>
      </c>
      <c r="ID85">
        <v>0</v>
      </c>
      <c r="IE85">
        <v>100</v>
      </c>
      <c r="IF85">
        <v>100</v>
      </c>
      <c r="IG85">
        <v>-4.53</v>
      </c>
      <c r="IH85">
        <v>0.33760000000000001</v>
      </c>
      <c r="II85">
        <v>-3.0055677307485462</v>
      </c>
      <c r="IJ85">
        <v>-2.536945948238235E-3</v>
      </c>
      <c r="IK85">
        <v>1.581473279927893E-6</v>
      </c>
      <c r="IL85">
        <v>-4.6698293441882044E-10</v>
      </c>
      <c r="IM85">
        <v>-0.16857257994351429</v>
      </c>
      <c r="IN85">
        <v>-1.5895243091576399E-2</v>
      </c>
      <c r="IO85">
        <v>1.559614309849521E-3</v>
      </c>
      <c r="IP85">
        <v>-2.4566050869858518E-6</v>
      </c>
      <c r="IQ85">
        <v>2</v>
      </c>
      <c r="IR85">
        <v>2224</v>
      </c>
      <c r="IS85">
        <v>2</v>
      </c>
      <c r="IT85">
        <v>25</v>
      </c>
      <c r="IU85">
        <v>0.8</v>
      </c>
      <c r="IV85">
        <v>0.8</v>
      </c>
      <c r="IW85">
        <v>2.2827099999999998</v>
      </c>
      <c r="IX85">
        <v>2.4731399999999999</v>
      </c>
      <c r="IY85">
        <v>1.64917</v>
      </c>
      <c r="IZ85">
        <v>2.2912599999999999</v>
      </c>
      <c r="JA85">
        <v>1.50024</v>
      </c>
      <c r="JB85">
        <v>2.4072300000000002</v>
      </c>
      <c r="JC85">
        <v>38.550400000000003</v>
      </c>
      <c r="JD85">
        <v>23.886099999999999</v>
      </c>
      <c r="JE85">
        <v>18</v>
      </c>
      <c r="JF85">
        <v>506.08800000000002</v>
      </c>
      <c r="JG85">
        <v>462.483</v>
      </c>
      <c r="JH85">
        <v>24.868099999999998</v>
      </c>
      <c r="JI85">
        <v>32.475099999999998</v>
      </c>
      <c r="JJ85">
        <v>29.999600000000001</v>
      </c>
      <c r="JK85">
        <v>32.552799999999998</v>
      </c>
      <c r="JL85">
        <v>32.541600000000003</v>
      </c>
      <c r="JM85">
        <v>45.696899999999999</v>
      </c>
      <c r="JN85">
        <v>26.618500000000001</v>
      </c>
      <c r="JO85">
        <v>40.057699999999997</v>
      </c>
      <c r="JP85">
        <v>24.867799999999999</v>
      </c>
      <c r="JQ85">
        <v>1200</v>
      </c>
      <c r="JR85">
        <v>18.371500000000001</v>
      </c>
      <c r="JS85">
        <v>99.878200000000007</v>
      </c>
      <c r="JT85">
        <v>99.085999999999999</v>
      </c>
    </row>
    <row r="86" spans="1:280" x14ac:dyDescent="0.25">
      <c r="A86">
        <v>70</v>
      </c>
      <c r="B86">
        <v>1674591211.5999999</v>
      </c>
      <c r="C86">
        <v>17077</v>
      </c>
      <c r="D86" t="s">
        <v>773</v>
      </c>
      <c r="E86" t="s">
        <v>774</v>
      </c>
      <c r="F86" t="s">
        <v>412</v>
      </c>
      <c r="G86" t="s">
        <v>709</v>
      </c>
      <c r="H86" t="s">
        <v>414</v>
      </c>
      <c r="I86">
        <v>1674591211.5999999</v>
      </c>
      <c r="J86">
        <f t="shared" si="92"/>
        <v>5.0576557450676659E-3</v>
      </c>
      <c r="K86">
        <f t="shared" si="93"/>
        <v>5.0576557450676658</v>
      </c>
      <c r="L86">
        <f t="shared" si="94"/>
        <v>56.614236610994197</v>
      </c>
      <c r="M86">
        <f t="shared" si="95"/>
        <v>1423.57</v>
      </c>
      <c r="N86">
        <f t="shared" si="96"/>
        <v>1158.9156340361089</v>
      </c>
      <c r="O86">
        <f t="shared" si="97"/>
        <v>115.38188667831568</v>
      </c>
      <c r="P86">
        <f t="shared" si="98"/>
        <v>141.730931566268</v>
      </c>
      <c r="Q86">
        <f t="shared" si="99"/>
        <v>0.4069091979590635</v>
      </c>
      <c r="R86">
        <f t="shared" si="100"/>
        <v>2.9222615853569622</v>
      </c>
      <c r="S86">
        <f t="shared" si="101"/>
        <v>0.37784979785100142</v>
      </c>
      <c r="T86">
        <f t="shared" si="102"/>
        <v>0.23859382796419965</v>
      </c>
      <c r="U86">
        <f t="shared" si="103"/>
        <v>344.36179860465649</v>
      </c>
      <c r="V86">
        <f t="shared" si="104"/>
        <v>28.721105314063642</v>
      </c>
      <c r="W86">
        <f t="shared" si="105"/>
        <v>27.831600000000002</v>
      </c>
      <c r="X86">
        <f t="shared" si="106"/>
        <v>3.757744358808464</v>
      </c>
      <c r="Y86">
        <f t="shared" si="107"/>
        <v>64.985791016158814</v>
      </c>
      <c r="Z86">
        <f t="shared" si="108"/>
        <v>2.4667536025286005</v>
      </c>
      <c r="AA86">
        <f t="shared" si="109"/>
        <v>3.7958353110070457</v>
      </c>
      <c r="AB86">
        <f t="shared" si="110"/>
        <v>1.2909907562798635</v>
      </c>
      <c r="AC86">
        <f t="shared" si="111"/>
        <v>-223.04261835748406</v>
      </c>
      <c r="AD86">
        <f t="shared" si="112"/>
        <v>27.239524723370057</v>
      </c>
      <c r="AE86">
        <f t="shared" si="113"/>
        <v>2.0301886564579084</v>
      </c>
      <c r="AF86">
        <f t="shared" si="114"/>
        <v>150.58889362700037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52479.380833253046</v>
      </c>
      <c r="AL86" t="s">
        <v>415</v>
      </c>
      <c r="AM86">
        <v>10424.1</v>
      </c>
      <c r="AN86">
        <v>628.54280000000006</v>
      </c>
      <c r="AO86">
        <v>2663.98</v>
      </c>
      <c r="AP86">
        <f t="shared" si="118"/>
        <v>0.76405873917972356</v>
      </c>
      <c r="AQ86">
        <v>-3.1675626227050531</v>
      </c>
      <c r="AR86" t="s">
        <v>775</v>
      </c>
      <c r="AS86">
        <v>10187.700000000001</v>
      </c>
      <c r="AT86">
        <v>742.63715384615375</v>
      </c>
      <c r="AU86">
        <v>1176.985006194438</v>
      </c>
      <c r="AV86">
        <f t="shared" si="119"/>
        <v>0.36903431229992234</v>
      </c>
      <c r="AW86">
        <v>0.5</v>
      </c>
      <c r="AX86">
        <f t="shared" si="120"/>
        <v>1513.1510993023282</v>
      </c>
      <c r="AY86">
        <f t="shared" si="121"/>
        <v>56.614236610994197</v>
      </c>
      <c r="AZ86">
        <f t="shared" si="122"/>
        <v>279.20233766845308</v>
      </c>
      <c r="BA86">
        <f t="shared" si="123"/>
        <v>3.9508149094471118E-2</v>
      </c>
      <c r="BB86">
        <f t="shared" si="124"/>
        <v>1.2633933193537303</v>
      </c>
      <c r="BC86">
        <f t="shared" si="125"/>
        <v>484.20713522513876</v>
      </c>
      <c r="BD86" t="s">
        <v>776</v>
      </c>
      <c r="BE86">
        <v>569.87</v>
      </c>
      <c r="BF86">
        <f t="shared" si="126"/>
        <v>569.87</v>
      </c>
      <c r="BG86">
        <f t="shared" si="127"/>
        <v>0.51582220928831668</v>
      </c>
      <c r="BH86">
        <f t="shared" si="128"/>
        <v>0.71542928097082426</v>
      </c>
      <c r="BI86">
        <f t="shared" si="129"/>
        <v>0.71008447206954839</v>
      </c>
      <c r="BJ86">
        <f t="shared" si="130"/>
        <v>0.79196649609110481</v>
      </c>
      <c r="BK86">
        <f t="shared" si="131"/>
        <v>0.73055311841876625</v>
      </c>
      <c r="BL86">
        <f t="shared" si="132"/>
        <v>0.54899176836943442</v>
      </c>
      <c r="BM86">
        <f t="shared" si="133"/>
        <v>0.45100823163056558</v>
      </c>
      <c r="BN86">
        <v>20303</v>
      </c>
      <c r="BO86">
        <v>290.00000000000011</v>
      </c>
      <c r="BP86">
        <v>1063.8399999999999</v>
      </c>
      <c r="BQ86">
        <v>275</v>
      </c>
      <c r="BR86">
        <v>10187.700000000001</v>
      </c>
      <c r="BS86">
        <v>1064.3800000000001</v>
      </c>
      <c r="BT86">
        <v>-0.54</v>
      </c>
      <c r="BU86">
        <v>300.00000000000011</v>
      </c>
      <c r="BV86">
        <v>24.2</v>
      </c>
      <c r="BW86">
        <v>1176.985006194438</v>
      </c>
      <c r="BX86">
        <v>2.0236262561509162</v>
      </c>
      <c r="BY86">
        <v>-114.7183153372328</v>
      </c>
      <c r="BZ86">
        <v>1.836295950853317</v>
      </c>
      <c r="CA86">
        <v>0.9928768311409909</v>
      </c>
      <c r="CB86">
        <v>-6.9429606229143613E-3</v>
      </c>
      <c r="CC86">
        <v>289.99999999999989</v>
      </c>
      <c r="CD86">
        <v>1061.48</v>
      </c>
      <c r="CE86">
        <v>665</v>
      </c>
      <c r="CF86">
        <v>10166.299999999999</v>
      </c>
      <c r="CG86">
        <v>1064.1400000000001</v>
      </c>
      <c r="CH86">
        <v>-2.66</v>
      </c>
      <c r="CV86">
        <f t="shared" si="134"/>
        <v>1799.96</v>
      </c>
      <c r="CW86">
        <f t="shared" si="135"/>
        <v>1513.1510993023282</v>
      </c>
      <c r="CX86">
        <f t="shared" si="136"/>
        <v>0.84065818090531363</v>
      </c>
      <c r="CY86">
        <f t="shared" si="137"/>
        <v>0.19131636181062717</v>
      </c>
      <c r="CZ86">
        <v>6</v>
      </c>
      <c r="DA86">
        <v>0.5</v>
      </c>
      <c r="DB86" t="s">
        <v>418</v>
      </c>
      <c r="DC86">
        <v>2</v>
      </c>
      <c r="DD86">
        <v>1674591211.5999999</v>
      </c>
      <c r="DE86">
        <v>1423.57</v>
      </c>
      <c r="DF86">
        <v>1500.13</v>
      </c>
      <c r="DG86">
        <v>24.776499999999999</v>
      </c>
      <c r="DH86">
        <v>18.859000000000002</v>
      </c>
      <c r="DI86">
        <v>1428.32</v>
      </c>
      <c r="DJ86">
        <v>24.441099999999999</v>
      </c>
      <c r="DK86">
        <v>500.11099999999999</v>
      </c>
      <c r="DL86">
        <v>99.460800000000006</v>
      </c>
      <c r="DM86">
        <v>9.9412399999999998E-2</v>
      </c>
      <c r="DN86">
        <v>28.0045</v>
      </c>
      <c r="DO86">
        <v>27.831600000000002</v>
      </c>
      <c r="DP86">
        <v>999.9</v>
      </c>
      <c r="DQ86">
        <v>0</v>
      </c>
      <c r="DR86">
        <v>0</v>
      </c>
      <c r="DS86">
        <v>10012.5</v>
      </c>
      <c r="DT86">
        <v>0</v>
      </c>
      <c r="DU86">
        <v>390.26799999999997</v>
      </c>
      <c r="DV86">
        <v>-76.564899999999994</v>
      </c>
      <c r="DW86">
        <v>1459.74</v>
      </c>
      <c r="DX86">
        <v>1528.97</v>
      </c>
      <c r="DY86">
        <v>5.9175700000000004</v>
      </c>
      <c r="DZ86">
        <v>1500.13</v>
      </c>
      <c r="EA86">
        <v>18.859000000000002</v>
      </c>
      <c r="EB86">
        <v>2.4642900000000001</v>
      </c>
      <c r="EC86">
        <v>1.8757299999999999</v>
      </c>
      <c r="ED86">
        <v>20.7926</v>
      </c>
      <c r="EE86">
        <v>16.432600000000001</v>
      </c>
      <c r="EF86">
        <v>1799.96</v>
      </c>
      <c r="EG86">
        <v>0.97799999999999998</v>
      </c>
      <c r="EH86">
        <v>2.1999700000000001E-2</v>
      </c>
      <c r="EI86">
        <v>0</v>
      </c>
      <c r="EJ86">
        <v>742.82600000000002</v>
      </c>
      <c r="EK86">
        <v>5.0010599999999998</v>
      </c>
      <c r="EL86">
        <v>13802.8</v>
      </c>
      <c r="EM86">
        <v>16710.7</v>
      </c>
      <c r="EN86">
        <v>48.375</v>
      </c>
      <c r="EO86">
        <v>49.186999999999998</v>
      </c>
      <c r="EP86">
        <v>49.375</v>
      </c>
      <c r="EQ86">
        <v>47.811999999999998</v>
      </c>
      <c r="ER86">
        <v>49.25</v>
      </c>
      <c r="ES86">
        <v>1755.47</v>
      </c>
      <c r="ET86">
        <v>39.49</v>
      </c>
      <c r="EU86">
        <v>0</v>
      </c>
      <c r="EV86">
        <v>112.7999999523163</v>
      </c>
      <c r="EW86">
        <v>0</v>
      </c>
      <c r="EX86">
        <v>742.63715384615375</v>
      </c>
      <c r="EY86">
        <v>0.49052991503909971</v>
      </c>
      <c r="EZ86">
        <v>11.774359015471751</v>
      </c>
      <c r="FA86">
        <v>13803.23076923077</v>
      </c>
      <c r="FB86">
        <v>15</v>
      </c>
      <c r="FC86">
        <v>1674591178.0999999</v>
      </c>
      <c r="FD86" t="s">
        <v>777</v>
      </c>
      <c r="FE86">
        <v>1674591178.0999999</v>
      </c>
      <c r="FF86">
        <v>1674591167.5999999</v>
      </c>
      <c r="FG86">
        <v>78</v>
      </c>
      <c r="FH86">
        <v>1.7000000000000001E-2</v>
      </c>
      <c r="FI86">
        <v>-3.0000000000000001E-3</v>
      </c>
      <c r="FJ86">
        <v>-4.8170000000000002</v>
      </c>
      <c r="FK86">
        <v>4.9000000000000002E-2</v>
      </c>
      <c r="FL86">
        <v>1500</v>
      </c>
      <c r="FM86">
        <v>18</v>
      </c>
      <c r="FN86">
        <v>0.05</v>
      </c>
      <c r="FO86">
        <v>0.02</v>
      </c>
      <c r="FP86">
        <v>56.488639074140558</v>
      </c>
      <c r="FQ86">
        <v>8.4442176955079634E-2</v>
      </c>
      <c r="FR86">
        <v>0.1028019862509737</v>
      </c>
      <c r="FS86">
        <v>1</v>
      </c>
      <c r="FT86">
        <v>0.41544562479779218</v>
      </c>
      <c r="FU86">
        <v>-3.4559010518528908E-2</v>
      </c>
      <c r="FV86">
        <v>3.8268240864117709E-3</v>
      </c>
      <c r="FW86">
        <v>1</v>
      </c>
      <c r="FX86">
        <v>2</v>
      </c>
      <c r="FY86">
        <v>2</v>
      </c>
      <c r="FZ86" t="s">
        <v>420</v>
      </c>
      <c r="GA86">
        <v>2.9778799999999999</v>
      </c>
      <c r="GB86">
        <v>2.80585</v>
      </c>
      <c r="GC86">
        <v>0.231105</v>
      </c>
      <c r="GD86">
        <v>0.23538500000000001</v>
      </c>
      <c r="GE86">
        <v>0.12134200000000001</v>
      </c>
      <c r="GF86">
        <v>0.100164</v>
      </c>
      <c r="GG86">
        <v>22714.6</v>
      </c>
      <c r="GH86">
        <v>20953.7</v>
      </c>
      <c r="GI86">
        <v>26565.4</v>
      </c>
      <c r="GJ86">
        <v>25890.9</v>
      </c>
      <c r="GK86">
        <v>31763.599999999999</v>
      </c>
      <c r="GL86">
        <v>32883.1</v>
      </c>
      <c r="GM86">
        <v>37639.1</v>
      </c>
      <c r="GN86">
        <v>38412.1</v>
      </c>
      <c r="GO86">
        <v>1.97173</v>
      </c>
      <c r="GP86">
        <v>1.9181699999999999</v>
      </c>
      <c r="GQ86">
        <v>6.8135600000000004E-2</v>
      </c>
      <c r="GR86">
        <v>0</v>
      </c>
      <c r="GS86">
        <v>26.7178</v>
      </c>
      <c r="GT86">
        <v>999.9</v>
      </c>
      <c r="GU86">
        <v>39.200000000000003</v>
      </c>
      <c r="GV86">
        <v>34.6</v>
      </c>
      <c r="GW86">
        <v>21.773399999999999</v>
      </c>
      <c r="GX86">
        <v>61.863599999999998</v>
      </c>
      <c r="GY86">
        <v>11.927099999999999</v>
      </c>
      <c r="GZ86">
        <v>1</v>
      </c>
      <c r="HA86">
        <v>0.40676299999999999</v>
      </c>
      <c r="HB86">
        <v>2.24268</v>
      </c>
      <c r="HC86">
        <v>20.239799999999999</v>
      </c>
      <c r="HD86">
        <v>5.2056100000000001</v>
      </c>
      <c r="HE86">
        <v>11.9381</v>
      </c>
      <c r="HF86">
        <v>4.9863</v>
      </c>
      <c r="HG86">
        <v>3.2900499999999999</v>
      </c>
      <c r="HH86">
        <v>9999</v>
      </c>
      <c r="HI86">
        <v>9999</v>
      </c>
      <c r="HJ86">
        <v>9999</v>
      </c>
      <c r="HK86">
        <v>999.9</v>
      </c>
      <c r="HL86">
        <v>1.8703000000000001</v>
      </c>
      <c r="HM86">
        <v>1.8765400000000001</v>
      </c>
      <c r="HN86">
        <v>1.8743000000000001</v>
      </c>
      <c r="HO86">
        <v>1.87256</v>
      </c>
      <c r="HP86">
        <v>1.87303</v>
      </c>
      <c r="HQ86">
        <v>1.87042</v>
      </c>
      <c r="HR86">
        <v>1.8763700000000001</v>
      </c>
      <c r="HS86">
        <v>1.8754599999999999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424</v>
      </c>
      <c r="IB86" t="s">
        <v>424</v>
      </c>
      <c r="IC86" t="s">
        <v>423</v>
      </c>
      <c r="ID86">
        <v>0</v>
      </c>
      <c r="IE86">
        <v>100</v>
      </c>
      <c r="IF86">
        <v>100</v>
      </c>
      <c r="IG86">
        <v>-4.75</v>
      </c>
      <c r="IH86">
        <v>0.33539999999999998</v>
      </c>
      <c r="II86">
        <v>-2.9886294822964081</v>
      </c>
      <c r="IJ86">
        <v>-2.536945948238235E-3</v>
      </c>
      <c r="IK86">
        <v>1.581473279927893E-6</v>
      </c>
      <c r="IL86">
        <v>-4.6698293441882044E-10</v>
      </c>
      <c r="IM86">
        <v>-0.17186840002155249</v>
      </c>
      <c r="IN86">
        <v>-1.5895243091576399E-2</v>
      </c>
      <c r="IO86">
        <v>1.559614309849521E-3</v>
      </c>
      <c r="IP86">
        <v>-2.4566050869858518E-6</v>
      </c>
      <c r="IQ86">
        <v>2</v>
      </c>
      <c r="IR86">
        <v>2224</v>
      </c>
      <c r="IS86">
        <v>2</v>
      </c>
      <c r="IT86">
        <v>25</v>
      </c>
      <c r="IU86">
        <v>0.6</v>
      </c>
      <c r="IV86">
        <v>0.7</v>
      </c>
      <c r="IW86">
        <v>2.7429199999999998</v>
      </c>
      <c r="IX86">
        <v>2.4706999999999999</v>
      </c>
      <c r="IY86">
        <v>1.65039</v>
      </c>
      <c r="IZ86">
        <v>2.2912599999999999</v>
      </c>
      <c r="JA86">
        <v>1.50024</v>
      </c>
      <c r="JB86">
        <v>2.3779300000000001</v>
      </c>
      <c r="JC86">
        <v>38.5259</v>
      </c>
      <c r="JD86">
        <v>23.877400000000002</v>
      </c>
      <c r="JE86">
        <v>18</v>
      </c>
      <c r="JF86">
        <v>505.65800000000002</v>
      </c>
      <c r="JG86">
        <v>464.16300000000001</v>
      </c>
      <c r="JH86">
        <v>24.904900000000001</v>
      </c>
      <c r="JI86">
        <v>32.382599999999996</v>
      </c>
      <c r="JJ86">
        <v>30</v>
      </c>
      <c r="JK86">
        <v>32.469499999999996</v>
      </c>
      <c r="JL86">
        <v>32.459299999999999</v>
      </c>
      <c r="JM86">
        <v>54.902799999999999</v>
      </c>
      <c r="JN86">
        <v>26.390899999999998</v>
      </c>
      <c r="JO86">
        <v>41.865699999999997</v>
      </c>
      <c r="JP86">
        <v>24.8995</v>
      </c>
      <c r="JQ86">
        <v>1500</v>
      </c>
      <c r="JR86">
        <v>18.831700000000001</v>
      </c>
      <c r="JS86">
        <v>99.887799999999999</v>
      </c>
      <c r="JT86">
        <v>99.103300000000004</v>
      </c>
    </row>
    <row r="87" spans="1:280" x14ac:dyDescent="0.25">
      <c r="A87">
        <v>71</v>
      </c>
      <c r="B87">
        <v>1674592694</v>
      </c>
      <c r="C87">
        <v>18559.400000095371</v>
      </c>
      <c r="D87" t="s">
        <v>778</v>
      </c>
      <c r="E87" t="s">
        <v>779</v>
      </c>
      <c r="F87" t="s">
        <v>412</v>
      </c>
      <c r="G87" t="s">
        <v>780</v>
      </c>
      <c r="H87" t="s">
        <v>494</v>
      </c>
      <c r="I87">
        <v>1674592694</v>
      </c>
      <c r="J87">
        <f t="shared" si="92"/>
        <v>5.9478216569275807E-3</v>
      </c>
      <c r="K87">
        <f t="shared" si="93"/>
        <v>5.947821656927581</v>
      </c>
      <c r="L87">
        <f t="shared" si="94"/>
        <v>53.40324221820449</v>
      </c>
      <c r="M87">
        <f t="shared" si="95"/>
        <v>333.48200000000003</v>
      </c>
      <c r="N87">
        <f t="shared" si="96"/>
        <v>138.92606105895052</v>
      </c>
      <c r="O87">
        <f t="shared" si="97"/>
        <v>13.838179001276169</v>
      </c>
      <c r="P87">
        <f t="shared" si="98"/>
        <v>33.217551656815395</v>
      </c>
      <c r="Q87">
        <f t="shared" si="99"/>
        <v>0.48618396285731547</v>
      </c>
      <c r="R87">
        <f t="shared" si="100"/>
        <v>2.9230998697140311</v>
      </c>
      <c r="S87">
        <f t="shared" si="101"/>
        <v>0.44531858305824668</v>
      </c>
      <c r="T87">
        <f t="shared" si="102"/>
        <v>0.2817089108909091</v>
      </c>
      <c r="U87">
        <f t="shared" si="103"/>
        <v>344.39029860477279</v>
      </c>
      <c r="V87">
        <f t="shared" si="104"/>
        <v>28.490365581740036</v>
      </c>
      <c r="W87">
        <f t="shared" si="105"/>
        <v>27.893799999999999</v>
      </c>
      <c r="X87">
        <f t="shared" si="106"/>
        <v>3.7714088202758496</v>
      </c>
      <c r="Y87">
        <f t="shared" si="107"/>
        <v>65.403674428876556</v>
      </c>
      <c r="Z87">
        <f t="shared" si="108"/>
        <v>2.4827749685643798</v>
      </c>
      <c r="AA87">
        <f t="shared" si="109"/>
        <v>3.7960787222502028</v>
      </c>
      <c r="AB87">
        <f t="shared" si="110"/>
        <v>1.2886338517114697</v>
      </c>
      <c r="AC87">
        <f t="shared" si="111"/>
        <v>-262.29893507050633</v>
      </c>
      <c r="AD87">
        <f t="shared" si="112"/>
        <v>17.618579907679724</v>
      </c>
      <c r="AE87">
        <f t="shared" si="113"/>
        <v>1.3131677667517234</v>
      </c>
      <c r="AF87">
        <f t="shared" si="114"/>
        <v>101.02311120869794</v>
      </c>
      <c r="AG87">
        <v>0</v>
      </c>
      <c r="AH87">
        <v>0</v>
      </c>
      <c r="AI87">
        <f t="shared" si="115"/>
        <v>1</v>
      </c>
      <c r="AJ87">
        <f t="shared" si="116"/>
        <v>0</v>
      </c>
      <c r="AK87">
        <f t="shared" si="117"/>
        <v>52504.304568563879</v>
      </c>
      <c r="AL87" t="s">
        <v>415</v>
      </c>
      <c r="AM87">
        <v>10424.1</v>
      </c>
      <c r="AN87">
        <v>628.54280000000006</v>
      </c>
      <c r="AO87">
        <v>2663.98</v>
      </c>
      <c r="AP87">
        <f t="shared" si="118"/>
        <v>0.76405873917972356</v>
      </c>
      <c r="AQ87">
        <v>-3.1675626227050531</v>
      </c>
      <c r="AR87" t="s">
        <v>781</v>
      </c>
      <c r="AS87">
        <v>10216.700000000001</v>
      </c>
      <c r="AT87">
        <v>771.45088461538467</v>
      </c>
      <c r="AU87">
        <v>1200.457294830147</v>
      </c>
      <c r="AV87">
        <f t="shared" si="119"/>
        <v>0.35736915595607466</v>
      </c>
      <c r="AW87">
        <v>0.5</v>
      </c>
      <c r="AX87">
        <f t="shared" si="120"/>
        <v>1513.2770993023862</v>
      </c>
      <c r="AY87">
        <f t="shared" si="121"/>
        <v>53.40324221820449</v>
      </c>
      <c r="AZ87">
        <f t="shared" si="122"/>
        <v>270.39927985267536</v>
      </c>
      <c r="BA87">
        <f t="shared" si="123"/>
        <v>3.7382978217927458E-2</v>
      </c>
      <c r="BB87">
        <f t="shared" si="124"/>
        <v>1.2191376665147653</v>
      </c>
      <c r="BC87">
        <f t="shared" si="125"/>
        <v>488.133654445601</v>
      </c>
      <c r="BD87" t="s">
        <v>782</v>
      </c>
      <c r="BE87">
        <v>568.72</v>
      </c>
      <c r="BF87">
        <f t="shared" si="126"/>
        <v>568.72</v>
      </c>
      <c r="BG87">
        <f t="shared" si="127"/>
        <v>0.52624720392034574</v>
      </c>
      <c r="BH87">
        <f t="shared" si="128"/>
        <v>0.67908989025273203</v>
      </c>
      <c r="BI87">
        <f t="shared" si="129"/>
        <v>0.69849217050382906</v>
      </c>
      <c r="BJ87">
        <f t="shared" si="130"/>
        <v>0.75012333852838098</v>
      </c>
      <c r="BK87">
        <f t="shared" si="131"/>
        <v>0.71902130174777834</v>
      </c>
      <c r="BL87">
        <f t="shared" si="132"/>
        <v>0.50063070778262708</v>
      </c>
      <c r="BM87">
        <f t="shared" si="133"/>
        <v>0.49936929221737292</v>
      </c>
      <c r="BN87">
        <v>20305</v>
      </c>
      <c r="BO87">
        <v>290.00000000000011</v>
      </c>
      <c r="BP87">
        <v>1089.1600000000001</v>
      </c>
      <c r="BQ87">
        <v>155</v>
      </c>
      <c r="BR87">
        <v>10216.700000000001</v>
      </c>
      <c r="BS87">
        <v>1086.97</v>
      </c>
      <c r="BT87">
        <v>2.19</v>
      </c>
      <c r="BU87">
        <v>300.00000000000011</v>
      </c>
      <c r="BV87">
        <v>24.2</v>
      </c>
      <c r="BW87">
        <v>1200.457294830147</v>
      </c>
      <c r="BX87">
        <v>1.868947648559349</v>
      </c>
      <c r="BY87">
        <v>-115.941668916723</v>
      </c>
      <c r="BZ87">
        <v>1.6971997726870309</v>
      </c>
      <c r="CA87">
        <v>0.99403587243975045</v>
      </c>
      <c r="CB87">
        <v>-6.9483624026696351E-3</v>
      </c>
      <c r="CC87">
        <v>289.99999999999989</v>
      </c>
      <c r="CD87">
        <v>1083.08</v>
      </c>
      <c r="CE87">
        <v>665</v>
      </c>
      <c r="CF87">
        <v>10173.9</v>
      </c>
      <c r="CG87">
        <v>1086.5</v>
      </c>
      <c r="CH87">
        <v>-3.42</v>
      </c>
      <c r="CV87">
        <f t="shared" si="134"/>
        <v>1800.11</v>
      </c>
      <c r="CW87">
        <f t="shared" si="135"/>
        <v>1513.2770993023862</v>
      </c>
      <c r="CX87">
        <f t="shared" si="136"/>
        <v>0.84065812606028867</v>
      </c>
      <c r="CY87">
        <f t="shared" si="137"/>
        <v>0.19131625212057751</v>
      </c>
      <c r="CZ87">
        <v>6</v>
      </c>
      <c r="DA87">
        <v>0.5</v>
      </c>
      <c r="DB87" t="s">
        <v>418</v>
      </c>
      <c r="DC87">
        <v>2</v>
      </c>
      <c r="DD87">
        <v>1674592694</v>
      </c>
      <c r="DE87">
        <v>333.48200000000003</v>
      </c>
      <c r="DF87">
        <v>399.93</v>
      </c>
      <c r="DG87">
        <v>24.9254</v>
      </c>
      <c r="DH87">
        <v>17.967600000000001</v>
      </c>
      <c r="DI87">
        <v>336.78399999999999</v>
      </c>
      <c r="DJ87">
        <v>24.573499999999999</v>
      </c>
      <c r="DK87">
        <v>500.12099999999998</v>
      </c>
      <c r="DL87">
        <v>99.508399999999995</v>
      </c>
      <c r="DM87">
        <v>9.9829699999999993E-2</v>
      </c>
      <c r="DN87">
        <v>28.005600000000001</v>
      </c>
      <c r="DO87">
        <v>27.893799999999999</v>
      </c>
      <c r="DP87">
        <v>999.9</v>
      </c>
      <c r="DQ87">
        <v>0</v>
      </c>
      <c r="DR87">
        <v>0</v>
      </c>
      <c r="DS87">
        <v>10012.5</v>
      </c>
      <c r="DT87">
        <v>0</v>
      </c>
      <c r="DU87">
        <v>369.60899999999998</v>
      </c>
      <c r="DV87">
        <v>-66.448099999999997</v>
      </c>
      <c r="DW87">
        <v>342.00599999999997</v>
      </c>
      <c r="DX87">
        <v>407.24700000000001</v>
      </c>
      <c r="DY87">
        <v>6.9578499999999996</v>
      </c>
      <c r="DZ87">
        <v>399.93</v>
      </c>
      <c r="EA87">
        <v>17.967600000000001</v>
      </c>
      <c r="EB87">
        <v>2.4802900000000001</v>
      </c>
      <c r="EC87">
        <v>1.78793</v>
      </c>
      <c r="ED87">
        <v>20.8977</v>
      </c>
      <c r="EE87">
        <v>15.6816</v>
      </c>
      <c r="EF87">
        <v>1800.11</v>
      </c>
      <c r="EG87">
        <v>0.97800399999999998</v>
      </c>
      <c r="EH87">
        <v>2.1996000000000002E-2</v>
      </c>
      <c r="EI87">
        <v>0</v>
      </c>
      <c r="EJ87">
        <v>771.63099999999997</v>
      </c>
      <c r="EK87">
        <v>5.0010599999999998</v>
      </c>
      <c r="EL87">
        <v>14351.5</v>
      </c>
      <c r="EM87">
        <v>16712.099999999999</v>
      </c>
      <c r="EN87">
        <v>48.5</v>
      </c>
      <c r="EO87">
        <v>49.375</v>
      </c>
      <c r="EP87">
        <v>49.5</v>
      </c>
      <c r="EQ87">
        <v>48.125</v>
      </c>
      <c r="ER87">
        <v>49.375</v>
      </c>
      <c r="ES87">
        <v>1755.62</v>
      </c>
      <c r="ET87">
        <v>39.49</v>
      </c>
      <c r="EU87">
        <v>0</v>
      </c>
      <c r="EV87">
        <v>1480.7999999523161</v>
      </c>
      <c r="EW87">
        <v>0</v>
      </c>
      <c r="EX87">
        <v>771.45088461538467</v>
      </c>
      <c r="EY87">
        <v>1.7843076911889511</v>
      </c>
      <c r="EZ87">
        <v>31.94871793801039</v>
      </c>
      <c r="FA87">
        <v>14347.01923076923</v>
      </c>
      <c r="FB87">
        <v>15</v>
      </c>
      <c r="FC87">
        <v>1674592659.5</v>
      </c>
      <c r="FD87" t="s">
        <v>783</v>
      </c>
      <c r="FE87">
        <v>1674592650.5</v>
      </c>
      <c r="FF87">
        <v>1674592659.5</v>
      </c>
      <c r="FG87">
        <v>80</v>
      </c>
      <c r="FH87">
        <v>0.316</v>
      </c>
      <c r="FI87">
        <v>5.7000000000000002E-2</v>
      </c>
      <c r="FJ87">
        <v>-3.4060000000000001</v>
      </c>
      <c r="FK87">
        <v>3.9E-2</v>
      </c>
      <c r="FL87">
        <v>400</v>
      </c>
      <c r="FM87">
        <v>18</v>
      </c>
      <c r="FN87">
        <v>0.02</v>
      </c>
      <c r="FO87">
        <v>0.03</v>
      </c>
      <c r="FP87">
        <v>53.398492913976703</v>
      </c>
      <c r="FQ87">
        <v>-0.48795371602330739</v>
      </c>
      <c r="FR87">
        <v>6.4687915742937419E-2</v>
      </c>
      <c r="FS87">
        <v>1</v>
      </c>
      <c r="FT87">
        <v>0.49538422364341422</v>
      </c>
      <c r="FU87">
        <v>-1.8925249118239919E-2</v>
      </c>
      <c r="FV87">
        <v>4.3106396217433866E-3</v>
      </c>
      <c r="FW87">
        <v>1</v>
      </c>
      <c r="FX87">
        <v>2</v>
      </c>
      <c r="FY87">
        <v>2</v>
      </c>
      <c r="FZ87" t="s">
        <v>420</v>
      </c>
      <c r="GA87">
        <v>2.9777200000000001</v>
      </c>
      <c r="GB87">
        <v>2.80626</v>
      </c>
      <c r="GC87">
        <v>8.4891300000000003E-2</v>
      </c>
      <c r="GD87">
        <v>9.6038899999999996E-2</v>
      </c>
      <c r="GE87">
        <v>0.121819</v>
      </c>
      <c r="GF87">
        <v>9.6833699999999995E-2</v>
      </c>
      <c r="GG87">
        <v>27031.7</v>
      </c>
      <c r="GH87">
        <v>24766</v>
      </c>
      <c r="GI87">
        <v>26555.200000000001</v>
      </c>
      <c r="GJ87">
        <v>25875.9</v>
      </c>
      <c r="GK87">
        <v>31733.200000000001</v>
      </c>
      <c r="GL87">
        <v>32985.599999999999</v>
      </c>
      <c r="GM87">
        <v>37623.9</v>
      </c>
      <c r="GN87">
        <v>38391.199999999997</v>
      </c>
      <c r="GO87">
        <v>1.9697499999999999</v>
      </c>
      <c r="GP87">
        <v>1.9086700000000001</v>
      </c>
      <c r="GQ87">
        <v>4.5090900000000003E-2</v>
      </c>
      <c r="GR87">
        <v>0</v>
      </c>
      <c r="GS87">
        <v>27.1571</v>
      </c>
      <c r="GT87">
        <v>999.9</v>
      </c>
      <c r="GU87">
        <v>41.8</v>
      </c>
      <c r="GV87">
        <v>34.4</v>
      </c>
      <c r="GW87">
        <v>22.9513</v>
      </c>
      <c r="GX87">
        <v>61.883899999999997</v>
      </c>
      <c r="GY87">
        <v>12.163500000000001</v>
      </c>
      <c r="GZ87">
        <v>1</v>
      </c>
      <c r="HA87">
        <v>0.42866900000000002</v>
      </c>
      <c r="HB87">
        <v>2.79575</v>
      </c>
      <c r="HC87">
        <v>20.2317</v>
      </c>
      <c r="HD87">
        <v>5.2051600000000002</v>
      </c>
      <c r="HE87">
        <v>11.9381</v>
      </c>
      <c r="HF87">
        <v>4.9861000000000004</v>
      </c>
      <c r="HG87">
        <v>3.28973</v>
      </c>
      <c r="HH87">
        <v>9999</v>
      </c>
      <c r="HI87">
        <v>9999</v>
      </c>
      <c r="HJ87">
        <v>9999</v>
      </c>
      <c r="HK87">
        <v>999.9</v>
      </c>
      <c r="HL87">
        <v>1.8702700000000001</v>
      </c>
      <c r="HM87">
        <v>1.87653</v>
      </c>
      <c r="HN87">
        <v>1.8742399999999999</v>
      </c>
      <c r="HO87">
        <v>1.87256</v>
      </c>
      <c r="HP87">
        <v>1.8730100000000001</v>
      </c>
      <c r="HQ87">
        <v>1.87042</v>
      </c>
      <c r="HR87">
        <v>1.8763399999999999</v>
      </c>
      <c r="HS87">
        <v>1.8754500000000001</v>
      </c>
      <c r="HT87">
        <v>5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424</v>
      </c>
      <c r="IB87" t="s">
        <v>424</v>
      </c>
      <c r="IC87" t="s">
        <v>423</v>
      </c>
      <c r="ID87">
        <v>0</v>
      </c>
      <c r="IE87">
        <v>100</v>
      </c>
      <c r="IF87">
        <v>100</v>
      </c>
      <c r="IG87">
        <v>-3.302</v>
      </c>
      <c r="IH87">
        <v>0.35189999999999999</v>
      </c>
      <c r="II87">
        <v>-2.6091856347048892</v>
      </c>
      <c r="IJ87">
        <v>-2.536945948238235E-3</v>
      </c>
      <c r="IK87">
        <v>1.581473279927893E-6</v>
      </c>
      <c r="IL87">
        <v>-4.6698293441882044E-10</v>
      </c>
      <c r="IM87">
        <v>-0.16284537793769191</v>
      </c>
      <c r="IN87">
        <v>-1.5895243091576399E-2</v>
      </c>
      <c r="IO87">
        <v>1.559614309849521E-3</v>
      </c>
      <c r="IP87">
        <v>-2.4566050869858518E-6</v>
      </c>
      <c r="IQ87">
        <v>2</v>
      </c>
      <c r="IR87">
        <v>2224</v>
      </c>
      <c r="IS87">
        <v>2</v>
      </c>
      <c r="IT87">
        <v>25</v>
      </c>
      <c r="IU87">
        <v>0.7</v>
      </c>
      <c r="IV87">
        <v>0.6</v>
      </c>
      <c r="IW87">
        <v>0.93872100000000003</v>
      </c>
      <c r="IX87">
        <v>2.4853499999999999</v>
      </c>
      <c r="IY87">
        <v>1.65039</v>
      </c>
      <c r="IZ87">
        <v>2.2900399999999999</v>
      </c>
      <c r="JA87">
        <v>1.50024</v>
      </c>
      <c r="JB87">
        <v>2.4060100000000002</v>
      </c>
      <c r="JC87">
        <v>38.330100000000002</v>
      </c>
      <c r="JD87">
        <v>23.877400000000002</v>
      </c>
      <c r="JE87">
        <v>18</v>
      </c>
      <c r="JF87">
        <v>505.44900000000001</v>
      </c>
      <c r="JG87">
        <v>458.846</v>
      </c>
      <c r="JH87">
        <v>24.6098</v>
      </c>
      <c r="JI87">
        <v>32.608499999999999</v>
      </c>
      <c r="JJ87">
        <v>30.000399999999999</v>
      </c>
      <c r="JK87">
        <v>32.6036</v>
      </c>
      <c r="JL87">
        <v>32.577500000000001</v>
      </c>
      <c r="JM87">
        <v>18.8156</v>
      </c>
      <c r="JN87">
        <v>35.2194</v>
      </c>
      <c r="JO87">
        <v>46.076099999999997</v>
      </c>
      <c r="JP87">
        <v>24.6069</v>
      </c>
      <c r="JQ87">
        <v>400</v>
      </c>
      <c r="JR87">
        <v>17.928000000000001</v>
      </c>
      <c r="JS87">
        <v>99.848399999999998</v>
      </c>
      <c r="JT87">
        <v>99.048000000000002</v>
      </c>
    </row>
    <row r="88" spans="1:280" x14ac:dyDescent="0.25">
      <c r="A88">
        <v>72</v>
      </c>
      <c r="B88">
        <v>1674592800.5</v>
      </c>
      <c r="C88">
        <v>18665.900000095371</v>
      </c>
      <c r="D88" t="s">
        <v>784</v>
      </c>
      <c r="E88" t="s">
        <v>785</v>
      </c>
      <c r="F88" t="s">
        <v>412</v>
      </c>
      <c r="G88" t="s">
        <v>780</v>
      </c>
      <c r="H88" t="s">
        <v>494</v>
      </c>
      <c r="I88">
        <v>1674592800.5</v>
      </c>
      <c r="J88">
        <f t="shared" si="92"/>
        <v>6.1109685611195627E-3</v>
      </c>
      <c r="K88">
        <f t="shared" si="93"/>
        <v>6.110968561119563</v>
      </c>
      <c r="L88">
        <f t="shared" si="94"/>
        <v>46.125147574742691</v>
      </c>
      <c r="M88">
        <f t="shared" si="95"/>
        <v>242.95</v>
      </c>
      <c r="N88">
        <f t="shared" si="96"/>
        <v>81.387125691939147</v>
      </c>
      <c r="O88">
        <f t="shared" si="97"/>
        <v>8.1070600172861216</v>
      </c>
      <c r="P88">
        <f t="shared" si="98"/>
        <v>24.200513465174996</v>
      </c>
      <c r="Q88">
        <f t="shared" si="99"/>
        <v>0.50472643751717949</v>
      </c>
      <c r="R88">
        <f t="shared" si="100"/>
        <v>2.9205246179325828</v>
      </c>
      <c r="S88">
        <f t="shared" si="101"/>
        <v>0.4607999789000734</v>
      </c>
      <c r="T88">
        <f t="shared" si="102"/>
        <v>0.2916273603430537</v>
      </c>
      <c r="U88">
        <f t="shared" si="103"/>
        <v>344.3592986050021</v>
      </c>
      <c r="V88">
        <f t="shared" si="104"/>
        <v>28.424166018268451</v>
      </c>
      <c r="W88">
        <f t="shared" si="105"/>
        <v>27.8718</v>
      </c>
      <c r="X88">
        <f t="shared" si="106"/>
        <v>3.7665707840740761</v>
      </c>
      <c r="Y88">
        <f t="shared" si="107"/>
        <v>65.607110676386242</v>
      </c>
      <c r="Z88">
        <f t="shared" si="108"/>
        <v>2.4870298410800999</v>
      </c>
      <c r="AA88">
        <f t="shared" si="109"/>
        <v>3.7907931250739395</v>
      </c>
      <c r="AB88">
        <f t="shared" si="110"/>
        <v>1.2795409429939761</v>
      </c>
      <c r="AC88">
        <f t="shared" si="111"/>
        <v>-269.49371354537271</v>
      </c>
      <c r="AD88">
        <f t="shared" si="112"/>
        <v>17.303900419897705</v>
      </c>
      <c r="AE88">
        <f t="shared" si="113"/>
        <v>1.2905556677287553</v>
      </c>
      <c r="AF88">
        <f t="shared" si="114"/>
        <v>93.460041147255851</v>
      </c>
      <c r="AG88">
        <v>0</v>
      </c>
      <c r="AH88">
        <v>0</v>
      </c>
      <c r="AI88">
        <f t="shared" si="115"/>
        <v>1</v>
      </c>
      <c r="AJ88">
        <f t="shared" si="116"/>
        <v>0</v>
      </c>
      <c r="AK88">
        <f t="shared" si="117"/>
        <v>52434.559829379948</v>
      </c>
      <c r="AL88" t="s">
        <v>415</v>
      </c>
      <c r="AM88">
        <v>10424.1</v>
      </c>
      <c r="AN88">
        <v>628.54280000000006</v>
      </c>
      <c r="AO88">
        <v>2663.98</v>
      </c>
      <c r="AP88">
        <f t="shared" si="118"/>
        <v>0.76405873917972356</v>
      </c>
      <c r="AQ88">
        <v>-3.1675626227050531</v>
      </c>
      <c r="AR88" t="s">
        <v>786</v>
      </c>
      <c r="AS88">
        <v>10219.6</v>
      </c>
      <c r="AT88">
        <v>752.8116</v>
      </c>
      <c r="AU88">
        <v>1121.66064678212</v>
      </c>
      <c r="AV88">
        <f t="shared" si="119"/>
        <v>0.32884192544357682</v>
      </c>
      <c r="AW88">
        <v>0.5</v>
      </c>
      <c r="AX88">
        <f t="shared" si="120"/>
        <v>1513.1423993025012</v>
      </c>
      <c r="AY88">
        <f t="shared" si="121"/>
        <v>46.125147574742691</v>
      </c>
      <c r="AZ88">
        <f t="shared" si="122"/>
        <v>248.79233002847403</v>
      </c>
      <c r="BA88">
        <f t="shared" si="123"/>
        <v>3.2576385553778509E-2</v>
      </c>
      <c r="BB88">
        <f t="shared" si="124"/>
        <v>1.3750320630776949</v>
      </c>
      <c r="BC88">
        <f t="shared" si="125"/>
        <v>474.57722891877756</v>
      </c>
      <c r="BD88" t="s">
        <v>787</v>
      </c>
      <c r="BE88">
        <v>560.73</v>
      </c>
      <c r="BF88">
        <f t="shared" si="126"/>
        <v>560.73</v>
      </c>
      <c r="BG88">
        <f t="shared" si="127"/>
        <v>0.50008944183906934</v>
      </c>
      <c r="BH88">
        <f t="shared" si="128"/>
        <v>0.6575662230225594</v>
      </c>
      <c r="BI88">
        <f t="shared" si="129"/>
        <v>0.73330291368970879</v>
      </c>
      <c r="BJ88">
        <f t="shared" si="130"/>
        <v>0.7479937081755893</v>
      </c>
      <c r="BK88">
        <f t="shared" si="131"/>
        <v>0.75773369633702292</v>
      </c>
      <c r="BL88">
        <f t="shared" si="132"/>
        <v>0.48978669860485646</v>
      </c>
      <c r="BM88">
        <f t="shared" si="133"/>
        <v>0.51021330139514354</v>
      </c>
      <c r="BN88">
        <v>20307</v>
      </c>
      <c r="BO88">
        <v>290.00000000000011</v>
      </c>
      <c r="BP88">
        <v>1020.49</v>
      </c>
      <c r="BQ88">
        <v>135</v>
      </c>
      <c r="BR88">
        <v>10219.6</v>
      </c>
      <c r="BS88">
        <v>1017.92</v>
      </c>
      <c r="BT88">
        <v>2.57</v>
      </c>
      <c r="BU88">
        <v>300.00000000000011</v>
      </c>
      <c r="BV88">
        <v>24.2</v>
      </c>
      <c r="BW88">
        <v>1121.66064678212</v>
      </c>
      <c r="BX88">
        <v>1.798054463764053</v>
      </c>
      <c r="BY88">
        <v>-106.01388363603751</v>
      </c>
      <c r="BZ88">
        <v>1.632578076864921</v>
      </c>
      <c r="CA88">
        <v>0.99340361192760163</v>
      </c>
      <c r="CB88">
        <v>-6.9473406006674036E-3</v>
      </c>
      <c r="CC88">
        <v>289.99999999999989</v>
      </c>
      <c r="CD88">
        <v>1014.12</v>
      </c>
      <c r="CE88">
        <v>675</v>
      </c>
      <c r="CF88">
        <v>10171.5</v>
      </c>
      <c r="CG88">
        <v>1017.43</v>
      </c>
      <c r="CH88">
        <v>-3.31</v>
      </c>
      <c r="CV88">
        <f t="shared" si="134"/>
        <v>1799.95</v>
      </c>
      <c r="CW88">
        <f t="shared" si="135"/>
        <v>1513.1423993025012</v>
      </c>
      <c r="CX88">
        <f t="shared" si="136"/>
        <v>0.84065801789077532</v>
      </c>
      <c r="CY88">
        <f t="shared" si="137"/>
        <v>0.19131603578155065</v>
      </c>
      <c r="CZ88">
        <v>6</v>
      </c>
      <c r="DA88">
        <v>0.5</v>
      </c>
      <c r="DB88" t="s">
        <v>418</v>
      </c>
      <c r="DC88">
        <v>2</v>
      </c>
      <c r="DD88">
        <v>1674592800.5</v>
      </c>
      <c r="DE88">
        <v>242.95</v>
      </c>
      <c r="DF88">
        <v>300.07400000000001</v>
      </c>
      <c r="DG88">
        <v>24.967400000000001</v>
      </c>
      <c r="DH88">
        <v>17.818300000000001</v>
      </c>
      <c r="DI88">
        <v>245.81899999999999</v>
      </c>
      <c r="DJ88">
        <v>24.615300000000001</v>
      </c>
      <c r="DK88">
        <v>500.06799999999998</v>
      </c>
      <c r="DL88">
        <v>99.511300000000006</v>
      </c>
      <c r="DM88">
        <v>9.97865E-2</v>
      </c>
      <c r="DN88">
        <v>27.9817</v>
      </c>
      <c r="DO88">
        <v>27.8718</v>
      </c>
      <c r="DP88">
        <v>999.9</v>
      </c>
      <c r="DQ88">
        <v>0</v>
      </c>
      <c r="DR88">
        <v>0</v>
      </c>
      <c r="DS88">
        <v>9997.5</v>
      </c>
      <c r="DT88">
        <v>0</v>
      </c>
      <c r="DU88">
        <v>373.94299999999998</v>
      </c>
      <c r="DV88">
        <v>-57.123899999999999</v>
      </c>
      <c r="DW88">
        <v>249.17099999999999</v>
      </c>
      <c r="DX88">
        <v>305.51799999999997</v>
      </c>
      <c r="DY88">
        <v>7.14907</v>
      </c>
      <c r="DZ88">
        <v>300.07400000000001</v>
      </c>
      <c r="EA88">
        <v>17.818300000000001</v>
      </c>
      <c r="EB88">
        <v>2.48454</v>
      </c>
      <c r="EC88">
        <v>1.77312</v>
      </c>
      <c r="ED88">
        <v>20.925599999999999</v>
      </c>
      <c r="EE88">
        <v>15.5519</v>
      </c>
      <c r="EF88">
        <v>1799.95</v>
      </c>
      <c r="EG88">
        <v>0.97800399999999998</v>
      </c>
      <c r="EH88">
        <v>2.1996000000000002E-2</v>
      </c>
      <c r="EI88">
        <v>0</v>
      </c>
      <c r="EJ88">
        <v>752.43899999999996</v>
      </c>
      <c r="EK88">
        <v>5.0010599999999998</v>
      </c>
      <c r="EL88">
        <v>13994.8</v>
      </c>
      <c r="EM88">
        <v>16710.599999999999</v>
      </c>
      <c r="EN88">
        <v>48.561999999999998</v>
      </c>
      <c r="EO88">
        <v>49.436999999999998</v>
      </c>
      <c r="EP88">
        <v>49.561999999999998</v>
      </c>
      <c r="EQ88">
        <v>48.186999999999998</v>
      </c>
      <c r="ER88">
        <v>49.436999999999998</v>
      </c>
      <c r="ES88">
        <v>1755.47</v>
      </c>
      <c r="ET88">
        <v>39.479999999999997</v>
      </c>
      <c r="EU88">
        <v>0</v>
      </c>
      <c r="EV88">
        <v>104.4000000953674</v>
      </c>
      <c r="EW88">
        <v>0</v>
      </c>
      <c r="EX88">
        <v>752.8116</v>
      </c>
      <c r="EY88">
        <v>-2.8633076922719201</v>
      </c>
      <c r="EZ88">
        <v>-59.176923039656558</v>
      </c>
      <c r="FA88">
        <v>14003.255999999999</v>
      </c>
      <c r="FB88">
        <v>15</v>
      </c>
      <c r="FC88">
        <v>1674592767.5</v>
      </c>
      <c r="FD88" t="s">
        <v>788</v>
      </c>
      <c r="FE88">
        <v>1674592759.5</v>
      </c>
      <c r="FF88">
        <v>1674592767.5</v>
      </c>
      <c r="FG88">
        <v>81</v>
      </c>
      <c r="FH88">
        <v>0.27500000000000002</v>
      </c>
      <c r="FI88">
        <v>-2E-3</v>
      </c>
      <c r="FJ88">
        <v>-2.9710000000000001</v>
      </c>
      <c r="FK88">
        <v>3.2000000000000001E-2</v>
      </c>
      <c r="FL88">
        <v>300</v>
      </c>
      <c r="FM88">
        <v>18</v>
      </c>
      <c r="FN88">
        <v>0.04</v>
      </c>
      <c r="FO88">
        <v>0.01</v>
      </c>
      <c r="FP88">
        <v>46.002172049437611</v>
      </c>
      <c r="FQ88">
        <v>-0.44587976350941833</v>
      </c>
      <c r="FR88">
        <v>8.4108994536650855E-2</v>
      </c>
      <c r="FS88">
        <v>1</v>
      </c>
      <c r="FT88">
        <v>0.50552656273646634</v>
      </c>
      <c r="FU88">
        <v>1.7971542257178671E-2</v>
      </c>
      <c r="FV88">
        <v>4.9981371998493954E-3</v>
      </c>
      <c r="FW88">
        <v>1</v>
      </c>
      <c r="FX88">
        <v>2</v>
      </c>
      <c r="FY88">
        <v>2</v>
      </c>
      <c r="FZ88" t="s">
        <v>420</v>
      </c>
      <c r="GA88">
        <v>2.9775200000000002</v>
      </c>
      <c r="GB88">
        <v>2.8060900000000002</v>
      </c>
      <c r="GC88">
        <v>6.5355899999999995E-2</v>
      </c>
      <c r="GD88">
        <v>7.6377100000000003E-2</v>
      </c>
      <c r="GE88">
        <v>0.121951</v>
      </c>
      <c r="GF88">
        <v>9.6256900000000006E-2</v>
      </c>
      <c r="GG88">
        <v>27605.1</v>
      </c>
      <c r="GH88">
        <v>25300.9</v>
      </c>
      <c r="GI88">
        <v>26551.8</v>
      </c>
      <c r="GJ88">
        <v>25872</v>
      </c>
      <c r="GK88">
        <v>31723.8</v>
      </c>
      <c r="GL88">
        <v>33002.1</v>
      </c>
      <c r="GM88">
        <v>37618.199999999997</v>
      </c>
      <c r="GN88">
        <v>38386</v>
      </c>
      <c r="GO88">
        <v>1.96875</v>
      </c>
      <c r="GP88">
        <v>1.9066700000000001</v>
      </c>
      <c r="GQ88">
        <v>4.36567E-2</v>
      </c>
      <c r="GR88">
        <v>0</v>
      </c>
      <c r="GS88">
        <v>27.1585</v>
      </c>
      <c r="GT88">
        <v>999.9</v>
      </c>
      <c r="GU88">
        <v>41.8</v>
      </c>
      <c r="GV88">
        <v>34.4</v>
      </c>
      <c r="GW88">
        <v>22.949100000000001</v>
      </c>
      <c r="GX88">
        <v>61.963900000000002</v>
      </c>
      <c r="GY88">
        <v>12.463900000000001</v>
      </c>
      <c r="GZ88">
        <v>1</v>
      </c>
      <c r="HA88">
        <v>0.43435499999999999</v>
      </c>
      <c r="HB88">
        <v>2.70038</v>
      </c>
      <c r="HC88">
        <v>20.2332</v>
      </c>
      <c r="HD88">
        <v>5.2059100000000003</v>
      </c>
      <c r="HE88">
        <v>11.9381</v>
      </c>
      <c r="HF88">
        <v>4.9863999999999997</v>
      </c>
      <c r="HG88">
        <v>3.28973</v>
      </c>
      <c r="HH88">
        <v>9999</v>
      </c>
      <c r="HI88">
        <v>9999</v>
      </c>
      <c r="HJ88">
        <v>9999</v>
      </c>
      <c r="HK88">
        <v>999.9</v>
      </c>
      <c r="HL88">
        <v>1.8702700000000001</v>
      </c>
      <c r="HM88">
        <v>1.87653</v>
      </c>
      <c r="HN88">
        <v>1.8742399999999999</v>
      </c>
      <c r="HO88">
        <v>1.87256</v>
      </c>
      <c r="HP88">
        <v>1.8730199999999999</v>
      </c>
      <c r="HQ88">
        <v>1.87042</v>
      </c>
      <c r="HR88">
        <v>1.87636</v>
      </c>
      <c r="HS88">
        <v>1.87544</v>
      </c>
      <c r="HT88">
        <v>5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424</v>
      </c>
      <c r="IB88" t="s">
        <v>424</v>
      </c>
      <c r="IC88" t="s">
        <v>423</v>
      </c>
      <c r="ID88">
        <v>0</v>
      </c>
      <c r="IE88">
        <v>100</v>
      </c>
      <c r="IF88">
        <v>100</v>
      </c>
      <c r="IG88">
        <v>-2.8690000000000002</v>
      </c>
      <c r="IH88">
        <v>0.35210000000000002</v>
      </c>
      <c r="II88">
        <v>-2.3342136910344791</v>
      </c>
      <c r="IJ88">
        <v>-2.536945948238235E-3</v>
      </c>
      <c r="IK88">
        <v>1.581473279927893E-6</v>
      </c>
      <c r="IL88">
        <v>-4.6698293441882044E-10</v>
      </c>
      <c r="IM88">
        <v>-0.1650179420362532</v>
      </c>
      <c r="IN88">
        <v>-1.5895243091576399E-2</v>
      </c>
      <c r="IO88">
        <v>1.559614309849521E-3</v>
      </c>
      <c r="IP88">
        <v>-2.4566050869858518E-6</v>
      </c>
      <c r="IQ88">
        <v>2</v>
      </c>
      <c r="IR88">
        <v>2224</v>
      </c>
      <c r="IS88">
        <v>2</v>
      </c>
      <c r="IT88">
        <v>25</v>
      </c>
      <c r="IU88">
        <v>0.7</v>
      </c>
      <c r="IV88">
        <v>0.6</v>
      </c>
      <c r="IW88">
        <v>0.74951199999999996</v>
      </c>
      <c r="IX88">
        <v>2.4877899999999999</v>
      </c>
      <c r="IY88">
        <v>1.65039</v>
      </c>
      <c r="IZ88">
        <v>2.2900399999999999</v>
      </c>
      <c r="JA88">
        <v>1.50024</v>
      </c>
      <c r="JB88">
        <v>2.34009</v>
      </c>
      <c r="JC88">
        <v>38.354500000000002</v>
      </c>
      <c r="JD88">
        <v>23.868600000000001</v>
      </c>
      <c r="JE88">
        <v>18</v>
      </c>
      <c r="JF88">
        <v>505.267</v>
      </c>
      <c r="JG88">
        <v>457.95400000000001</v>
      </c>
      <c r="JH88">
        <v>24.615300000000001</v>
      </c>
      <c r="JI88">
        <v>32.682699999999997</v>
      </c>
      <c r="JJ88">
        <v>30.0002</v>
      </c>
      <c r="JK88">
        <v>32.662300000000002</v>
      </c>
      <c r="JL88">
        <v>32.631500000000003</v>
      </c>
      <c r="JM88">
        <v>15.0434</v>
      </c>
      <c r="JN88">
        <v>35.985599999999998</v>
      </c>
      <c r="JO88">
        <v>45.508299999999998</v>
      </c>
      <c r="JP88">
        <v>24.618500000000001</v>
      </c>
      <c r="JQ88">
        <v>300</v>
      </c>
      <c r="JR88">
        <v>17.741199999999999</v>
      </c>
      <c r="JS88">
        <v>99.834199999999996</v>
      </c>
      <c r="JT88">
        <v>99.034000000000006</v>
      </c>
    </row>
    <row r="89" spans="1:280" x14ac:dyDescent="0.25">
      <c r="A89">
        <v>73</v>
      </c>
      <c r="B89">
        <v>1674592914.5</v>
      </c>
      <c r="C89">
        <v>18779.900000095371</v>
      </c>
      <c r="D89" t="s">
        <v>789</v>
      </c>
      <c r="E89" t="s">
        <v>790</v>
      </c>
      <c r="F89" t="s">
        <v>412</v>
      </c>
      <c r="G89" t="s">
        <v>780</v>
      </c>
      <c r="H89" t="s">
        <v>494</v>
      </c>
      <c r="I89">
        <v>1674592914.5</v>
      </c>
      <c r="J89">
        <f t="shared" si="92"/>
        <v>6.5341041990151887E-3</v>
      </c>
      <c r="K89">
        <f t="shared" si="93"/>
        <v>6.5341041990151885</v>
      </c>
      <c r="L89">
        <f t="shared" si="94"/>
        <v>33.735251440170963</v>
      </c>
      <c r="M89">
        <f t="shared" si="95"/>
        <v>158.298</v>
      </c>
      <c r="N89">
        <f t="shared" si="96"/>
        <v>49.368079902967906</v>
      </c>
      <c r="O89">
        <f t="shared" si="97"/>
        <v>4.9175903988440339</v>
      </c>
      <c r="P89">
        <f t="shared" si="98"/>
        <v>15.768179084263199</v>
      </c>
      <c r="Q89">
        <f t="shared" si="99"/>
        <v>0.55048275803262092</v>
      </c>
      <c r="R89">
        <f t="shared" si="100"/>
        <v>2.9216262341258989</v>
      </c>
      <c r="S89">
        <f t="shared" si="101"/>
        <v>0.49868574820666933</v>
      </c>
      <c r="T89">
        <f t="shared" si="102"/>
        <v>0.31592520504797567</v>
      </c>
      <c r="U89">
        <f t="shared" si="103"/>
        <v>344.33649860490908</v>
      </c>
      <c r="V89">
        <f t="shared" si="104"/>
        <v>28.335124960704899</v>
      </c>
      <c r="W89">
        <f t="shared" si="105"/>
        <v>27.8489</v>
      </c>
      <c r="X89">
        <f t="shared" si="106"/>
        <v>3.7615405809785907</v>
      </c>
      <c r="Y89">
        <f t="shared" si="107"/>
        <v>65.797630256268775</v>
      </c>
      <c r="Z89">
        <f t="shared" si="108"/>
        <v>2.4973804160077604</v>
      </c>
      <c r="AA89">
        <f t="shared" si="109"/>
        <v>3.7955476607302683</v>
      </c>
      <c r="AB89">
        <f t="shared" si="110"/>
        <v>1.2641601649708303</v>
      </c>
      <c r="AC89">
        <f t="shared" si="111"/>
        <v>-288.15399517656982</v>
      </c>
      <c r="AD89">
        <f t="shared" si="112"/>
        <v>24.303903098326238</v>
      </c>
      <c r="AE89">
        <f t="shared" si="113"/>
        <v>1.811932268846246</v>
      </c>
      <c r="AF89">
        <f t="shared" si="114"/>
        <v>82.298338795511739</v>
      </c>
      <c r="AG89">
        <v>0</v>
      </c>
      <c r="AH89">
        <v>0</v>
      </c>
      <c r="AI89">
        <f t="shared" si="115"/>
        <v>1</v>
      </c>
      <c r="AJ89">
        <f t="shared" si="116"/>
        <v>0</v>
      </c>
      <c r="AK89">
        <f t="shared" si="117"/>
        <v>52462.45015036322</v>
      </c>
      <c r="AL89" t="s">
        <v>415</v>
      </c>
      <c r="AM89">
        <v>10424.1</v>
      </c>
      <c r="AN89">
        <v>628.54280000000006</v>
      </c>
      <c r="AO89">
        <v>2663.98</v>
      </c>
      <c r="AP89">
        <f t="shared" si="118"/>
        <v>0.76405873917972356</v>
      </c>
      <c r="AQ89">
        <v>-3.1675626227050531</v>
      </c>
      <c r="AR89" t="s">
        <v>791</v>
      </c>
      <c r="AS89">
        <v>10205.799999999999</v>
      </c>
      <c r="AT89">
        <v>741.71061538461538</v>
      </c>
      <c r="AU89">
        <v>1009.598415387119</v>
      </c>
      <c r="AV89">
        <f t="shared" si="119"/>
        <v>0.26534094737043057</v>
      </c>
      <c r="AW89">
        <v>0.5</v>
      </c>
      <c r="AX89">
        <f t="shared" si="120"/>
        <v>1513.0415993024544</v>
      </c>
      <c r="AY89">
        <f t="shared" si="121"/>
        <v>33.735251440170963</v>
      </c>
      <c r="AZ89">
        <f t="shared" si="122"/>
        <v>200.73594568489233</v>
      </c>
      <c r="BA89">
        <f t="shared" si="123"/>
        <v>2.4389821191888598E-2</v>
      </c>
      <c r="BB89">
        <f t="shared" si="124"/>
        <v>1.6386531113745135</v>
      </c>
      <c r="BC89">
        <f t="shared" si="125"/>
        <v>453.28939012813407</v>
      </c>
      <c r="BD89" t="s">
        <v>792</v>
      </c>
      <c r="BE89">
        <v>546.23</v>
      </c>
      <c r="BF89">
        <f t="shared" si="126"/>
        <v>546.23</v>
      </c>
      <c r="BG89">
        <f t="shared" si="127"/>
        <v>0.45896309693537463</v>
      </c>
      <c r="BH89">
        <f t="shared" si="128"/>
        <v>0.57813133374379433</v>
      </c>
      <c r="BI89">
        <f t="shared" si="129"/>
        <v>0.78119777339765362</v>
      </c>
      <c r="BJ89">
        <f t="shared" si="130"/>
        <v>0.70301496470627578</v>
      </c>
      <c r="BK89">
        <f t="shared" si="131"/>
        <v>0.81278930374903291</v>
      </c>
      <c r="BL89">
        <f t="shared" si="132"/>
        <v>0.42576265174136402</v>
      </c>
      <c r="BM89">
        <f t="shared" si="133"/>
        <v>0.57423734825863604</v>
      </c>
      <c r="BN89">
        <v>20309</v>
      </c>
      <c r="BO89">
        <v>290.00000000000011</v>
      </c>
      <c r="BP89">
        <v>934.73</v>
      </c>
      <c r="BQ89">
        <v>195</v>
      </c>
      <c r="BR89">
        <v>10205.799999999999</v>
      </c>
      <c r="BS89">
        <v>932.9</v>
      </c>
      <c r="BT89">
        <v>1.83</v>
      </c>
      <c r="BU89">
        <v>300.00000000000011</v>
      </c>
      <c r="BV89">
        <v>24.2</v>
      </c>
      <c r="BW89">
        <v>1009.598415387119</v>
      </c>
      <c r="BX89">
        <v>1.997033658870669</v>
      </c>
      <c r="BY89">
        <v>-78.273276815325531</v>
      </c>
      <c r="BZ89">
        <v>1.812994620117008</v>
      </c>
      <c r="CA89">
        <v>0.98520044588694033</v>
      </c>
      <c r="CB89">
        <v>-6.9463661846496079E-3</v>
      </c>
      <c r="CC89">
        <v>289.99999999999989</v>
      </c>
      <c r="CD89">
        <v>929.95</v>
      </c>
      <c r="CE89">
        <v>705</v>
      </c>
      <c r="CF89">
        <v>10167.799999999999</v>
      </c>
      <c r="CG89">
        <v>932.62</v>
      </c>
      <c r="CH89">
        <v>-2.67</v>
      </c>
      <c r="CV89">
        <f t="shared" si="134"/>
        <v>1799.83</v>
      </c>
      <c r="CW89">
        <f t="shared" si="135"/>
        <v>1513.0415993024544</v>
      </c>
      <c r="CX89">
        <f t="shared" si="136"/>
        <v>0.84065806176275226</v>
      </c>
      <c r="CY89">
        <f t="shared" si="137"/>
        <v>0.19131612352550467</v>
      </c>
      <c r="CZ89">
        <v>6</v>
      </c>
      <c r="DA89">
        <v>0.5</v>
      </c>
      <c r="DB89" t="s">
        <v>418</v>
      </c>
      <c r="DC89">
        <v>2</v>
      </c>
      <c r="DD89">
        <v>1674592914.5</v>
      </c>
      <c r="DE89">
        <v>158.298</v>
      </c>
      <c r="DF89">
        <v>200.018</v>
      </c>
      <c r="DG89">
        <v>25.071400000000001</v>
      </c>
      <c r="DH89">
        <v>17.427700000000002</v>
      </c>
      <c r="DI89">
        <v>160.845</v>
      </c>
      <c r="DJ89">
        <v>24.711099999999998</v>
      </c>
      <c r="DK89">
        <v>500.04199999999997</v>
      </c>
      <c r="DL89">
        <v>99.511200000000002</v>
      </c>
      <c r="DM89">
        <v>9.9528400000000003E-2</v>
      </c>
      <c r="DN89">
        <v>28.0032</v>
      </c>
      <c r="DO89">
        <v>27.8489</v>
      </c>
      <c r="DP89">
        <v>999.9</v>
      </c>
      <c r="DQ89">
        <v>0</v>
      </c>
      <c r="DR89">
        <v>0</v>
      </c>
      <c r="DS89">
        <v>10003.799999999999</v>
      </c>
      <c r="DT89">
        <v>0</v>
      </c>
      <c r="DU89">
        <v>366.35500000000002</v>
      </c>
      <c r="DV89">
        <v>-41.720199999999998</v>
      </c>
      <c r="DW89">
        <v>162.36799999999999</v>
      </c>
      <c r="DX89">
        <v>203.566</v>
      </c>
      <c r="DY89">
        <v>7.6436799999999998</v>
      </c>
      <c r="DZ89">
        <v>200.018</v>
      </c>
      <c r="EA89">
        <v>17.427700000000002</v>
      </c>
      <c r="EB89">
        <v>2.4948899999999998</v>
      </c>
      <c r="EC89">
        <v>1.7342599999999999</v>
      </c>
      <c r="ED89">
        <v>20.993200000000002</v>
      </c>
      <c r="EE89">
        <v>15.2065</v>
      </c>
      <c r="EF89">
        <v>1799.83</v>
      </c>
      <c r="EG89">
        <v>0.97800399999999998</v>
      </c>
      <c r="EH89">
        <v>2.1996000000000002E-2</v>
      </c>
      <c r="EI89">
        <v>0</v>
      </c>
      <c r="EJ89">
        <v>740.572</v>
      </c>
      <c r="EK89">
        <v>5.0010599999999998</v>
      </c>
      <c r="EL89">
        <v>13763.2</v>
      </c>
      <c r="EM89">
        <v>16709.5</v>
      </c>
      <c r="EN89">
        <v>48.686999999999998</v>
      </c>
      <c r="EO89">
        <v>49.5</v>
      </c>
      <c r="EP89">
        <v>49.625</v>
      </c>
      <c r="EQ89">
        <v>48.25</v>
      </c>
      <c r="ER89">
        <v>49.5</v>
      </c>
      <c r="ES89">
        <v>1755.35</v>
      </c>
      <c r="ET89">
        <v>39.479999999999997</v>
      </c>
      <c r="EU89">
        <v>0</v>
      </c>
      <c r="EV89">
        <v>112.19999980926509</v>
      </c>
      <c r="EW89">
        <v>0</v>
      </c>
      <c r="EX89">
        <v>741.71061538461538</v>
      </c>
      <c r="EY89">
        <v>-7.719931610879299</v>
      </c>
      <c r="EZ89">
        <v>-143.36752133576601</v>
      </c>
      <c r="FA89">
        <v>13782.073076923079</v>
      </c>
      <c r="FB89">
        <v>15</v>
      </c>
      <c r="FC89">
        <v>1674592882</v>
      </c>
      <c r="FD89" t="s">
        <v>793</v>
      </c>
      <c r="FE89">
        <v>1674592873.5</v>
      </c>
      <c r="FF89">
        <v>1674592882</v>
      </c>
      <c r="FG89">
        <v>82</v>
      </c>
      <c r="FH89">
        <v>0.156</v>
      </c>
      <c r="FI89">
        <v>3.0000000000000001E-3</v>
      </c>
      <c r="FJ89">
        <v>-2.6309999999999998</v>
      </c>
      <c r="FK89">
        <v>2.9000000000000001E-2</v>
      </c>
      <c r="FL89">
        <v>200</v>
      </c>
      <c r="FM89">
        <v>18</v>
      </c>
      <c r="FN89">
        <v>0.05</v>
      </c>
      <c r="FO89">
        <v>0.02</v>
      </c>
      <c r="FP89">
        <v>33.617857706109668</v>
      </c>
      <c r="FQ89">
        <v>0.16434471631520181</v>
      </c>
      <c r="FR89">
        <v>8.1535641939371808E-2</v>
      </c>
      <c r="FS89">
        <v>1</v>
      </c>
      <c r="FT89">
        <v>0.54885322880742804</v>
      </c>
      <c r="FU89">
        <v>3.5597299730222687E-2</v>
      </c>
      <c r="FV89">
        <v>7.6015111172699646E-3</v>
      </c>
      <c r="FW89">
        <v>1</v>
      </c>
      <c r="FX89">
        <v>2</v>
      </c>
      <c r="FY89">
        <v>2</v>
      </c>
      <c r="FZ89" t="s">
        <v>420</v>
      </c>
      <c r="GA89">
        <v>2.9774099999999999</v>
      </c>
      <c r="GB89">
        <v>2.8058900000000002</v>
      </c>
      <c r="GC89">
        <v>4.4771199999999997E-2</v>
      </c>
      <c r="GD89">
        <v>5.3911399999999998E-2</v>
      </c>
      <c r="GE89">
        <v>0.122267</v>
      </c>
      <c r="GF89">
        <v>9.4752900000000001E-2</v>
      </c>
      <c r="GG89">
        <v>28212.9</v>
      </c>
      <c r="GH89">
        <v>25914</v>
      </c>
      <c r="GI89">
        <v>26551.8</v>
      </c>
      <c r="GJ89">
        <v>25869.8</v>
      </c>
      <c r="GK89">
        <v>31712.1</v>
      </c>
      <c r="GL89">
        <v>33053.800000000003</v>
      </c>
      <c r="GM89">
        <v>37618</v>
      </c>
      <c r="GN89">
        <v>38382.400000000001</v>
      </c>
      <c r="GO89">
        <v>1.9684299999999999</v>
      </c>
      <c r="GP89">
        <v>1.9050800000000001</v>
      </c>
      <c r="GQ89">
        <v>4.4528400000000003E-2</v>
      </c>
      <c r="GR89">
        <v>0</v>
      </c>
      <c r="GS89">
        <v>27.121300000000002</v>
      </c>
      <c r="GT89">
        <v>999.9</v>
      </c>
      <c r="GU89">
        <v>41.7</v>
      </c>
      <c r="GV89">
        <v>34.4</v>
      </c>
      <c r="GW89">
        <v>22.8934</v>
      </c>
      <c r="GX89">
        <v>61.9039</v>
      </c>
      <c r="GY89">
        <v>12.411899999999999</v>
      </c>
      <c r="GZ89">
        <v>1</v>
      </c>
      <c r="HA89">
        <v>0.43864599999999998</v>
      </c>
      <c r="HB89">
        <v>2.8145600000000002</v>
      </c>
      <c r="HC89">
        <v>20.231400000000001</v>
      </c>
      <c r="HD89">
        <v>5.2059100000000003</v>
      </c>
      <c r="HE89">
        <v>11.9381</v>
      </c>
      <c r="HF89">
        <v>4.9862500000000001</v>
      </c>
      <c r="HG89">
        <v>3.2898200000000002</v>
      </c>
      <c r="HH89">
        <v>9999</v>
      </c>
      <c r="HI89">
        <v>9999</v>
      </c>
      <c r="HJ89">
        <v>9999</v>
      </c>
      <c r="HK89">
        <v>999.9</v>
      </c>
      <c r="HL89">
        <v>1.8702700000000001</v>
      </c>
      <c r="HM89">
        <v>1.87653</v>
      </c>
      <c r="HN89">
        <v>1.8742399999999999</v>
      </c>
      <c r="HO89">
        <v>1.87256</v>
      </c>
      <c r="HP89">
        <v>1.873</v>
      </c>
      <c r="HQ89">
        <v>1.87042</v>
      </c>
      <c r="HR89">
        <v>1.8763099999999999</v>
      </c>
      <c r="HS89">
        <v>1.8754500000000001</v>
      </c>
      <c r="HT89">
        <v>5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424</v>
      </c>
      <c r="IB89" t="s">
        <v>424</v>
      </c>
      <c r="IC89" t="s">
        <v>423</v>
      </c>
      <c r="ID89">
        <v>0</v>
      </c>
      <c r="IE89">
        <v>100</v>
      </c>
      <c r="IF89">
        <v>100</v>
      </c>
      <c r="IG89">
        <v>-2.5470000000000002</v>
      </c>
      <c r="IH89">
        <v>0.36030000000000001</v>
      </c>
      <c r="II89">
        <v>-2.1786195326304618</v>
      </c>
      <c r="IJ89">
        <v>-2.536945948238235E-3</v>
      </c>
      <c r="IK89">
        <v>1.581473279927893E-6</v>
      </c>
      <c r="IL89">
        <v>-4.6698293441882044E-10</v>
      </c>
      <c r="IM89">
        <v>-0.16213245632554771</v>
      </c>
      <c r="IN89">
        <v>-1.5895243091576399E-2</v>
      </c>
      <c r="IO89">
        <v>1.559614309849521E-3</v>
      </c>
      <c r="IP89">
        <v>-2.4566050869858518E-6</v>
      </c>
      <c r="IQ89">
        <v>2</v>
      </c>
      <c r="IR89">
        <v>2224</v>
      </c>
      <c r="IS89">
        <v>2</v>
      </c>
      <c r="IT89">
        <v>25</v>
      </c>
      <c r="IU89">
        <v>0.7</v>
      </c>
      <c r="IV89">
        <v>0.5</v>
      </c>
      <c r="IW89">
        <v>0.552979</v>
      </c>
      <c r="IX89">
        <v>2.49146</v>
      </c>
      <c r="IY89">
        <v>1.65039</v>
      </c>
      <c r="IZ89">
        <v>2.2900399999999999</v>
      </c>
      <c r="JA89">
        <v>1.50024</v>
      </c>
      <c r="JB89">
        <v>2.3547400000000001</v>
      </c>
      <c r="JC89">
        <v>38.354500000000002</v>
      </c>
      <c r="JD89">
        <v>23.877400000000002</v>
      </c>
      <c r="JE89">
        <v>18</v>
      </c>
      <c r="JF89">
        <v>505.43200000000002</v>
      </c>
      <c r="JG89">
        <v>457.25200000000001</v>
      </c>
      <c r="JH89">
        <v>24.575700000000001</v>
      </c>
      <c r="JI89">
        <v>32.729199999999999</v>
      </c>
      <c r="JJ89">
        <v>30.000299999999999</v>
      </c>
      <c r="JK89">
        <v>32.709200000000003</v>
      </c>
      <c r="JL89">
        <v>32.676099999999998</v>
      </c>
      <c r="JM89">
        <v>11.1128</v>
      </c>
      <c r="JN89">
        <v>37.836599999999997</v>
      </c>
      <c r="JO89">
        <v>44.527299999999997</v>
      </c>
      <c r="JP89">
        <v>24.574200000000001</v>
      </c>
      <c r="JQ89">
        <v>200</v>
      </c>
      <c r="JR89">
        <v>17.313400000000001</v>
      </c>
      <c r="JS89">
        <v>99.8339</v>
      </c>
      <c r="JT89">
        <v>99.025199999999998</v>
      </c>
    </row>
    <row r="90" spans="1:280" x14ac:dyDescent="0.25">
      <c r="A90">
        <v>74</v>
      </c>
      <c r="B90">
        <v>1674593031</v>
      </c>
      <c r="C90">
        <v>18896.400000095371</v>
      </c>
      <c r="D90" t="s">
        <v>794</v>
      </c>
      <c r="E90" t="s">
        <v>795</v>
      </c>
      <c r="F90" t="s">
        <v>412</v>
      </c>
      <c r="G90" t="s">
        <v>780</v>
      </c>
      <c r="H90" t="s">
        <v>494</v>
      </c>
      <c r="I90">
        <v>1674593031</v>
      </c>
      <c r="J90">
        <f t="shared" si="92"/>
        <v>7.0409384532033993E-3</v>
      </c>
      <c r="K90">
        <f t="shared" si="93"/>
        <v>7.040938453203399</v>
      </c>
      <c r="L90">
        <f t="shared" si="94"/>
        <v>21.614099946035836</v>
      </c>
      <c r="M90">
        <f t="shared" si="95"/>
        <v>93.266199999999998</v>
      </c>
      <c r="N90">
        <f t="shared" si="96"/>
        <v>28.837896042138532</v>
      </c>
      <c r="O90">
        <f t="shared" si="97"/>
        <v>2.8726981745033981</v>
      </c>
      <c r="P90">
        <f t="shared" si="98"/>
        <v>9.290748607019399</v>
      </c>
      <c r="Q90">
        <f t="shared" si="99"/>
        <v>0.60069439550914927</v>
      </c>
      <c r="R90">
        <f t="shared" si="100"/>
        <v>2.9157731269388849</v>
      </c>
      <c r="S90">
        <f t="shared" si="101"/>
        <v>0.53946850288078196</v>
      </c>
      <c r="T90">
        <f t="shared" si="102"/>
        <v>0.34214719780628999</v>
      </c>
      <c r="U90">
        <f t="shared" si="103"/>
        <v>344.33459860490126</v>
      </c>
      <c r="V90">
        <f t="shared" si="104"/>
        <v>28.201735755625332</v>
      </c>
      <c r="W90">
        <f t="shared" si="105"/>
        <v>27.824000000000002</v>
      </c>
      <c r="X90">
        <f t="shared" si="106"/>
        <v>3.7560777113913342</v>
      </c>
      <c r="Y90">
        <f t="shared" si="107"/>
        <v>65.787280391729269</v>
      </c>
      <c r="Z90">
        <f t="shared" si="108"/>
        <v>2.4967401366906001</v>
      </c>
      <c r="AA90">
        <f t="shared" si="109"/>
        <v>3.7951715313717216</v>
      </c>
      <c r="AB90">
        <f t="shared" si="110"/>
        <v>1.259337574700734</v>
      </c>
      <c r="AC90">
        <f t="shared" si="111"/>
        <v>-310.50538578626993</v>
      </c>
      <c r="AD90">
        <f t="shared" si="112"/>
        <v>27.902141045466184</v>
      </c>
      <c r="AE90">
        <f t="shared" si="113"/>
        <v>2.0840916583529765</v>
      </c>
      <c r="AF90">
        <f t="shared" si="114"/>
        <v>63.815445522450489</v>
      </c>
      <c r="AG90">
        <v>0</v>
      </c>
      <c r="AH90">
        <v>0</v>
      </c>
      <c r="AI90">
        <f t="shared" si="115"/>
        <v>1</v>
      </c>
      <c r="AJ90">
        <f t="shared" si="116"/>
        <v>0</v>
      </c>
      <c r="AK90">
        <f t="shared" si="117"/>
        <v>52294.821531554095</v>
      </c>
      <c r="AL90" t="s">
        <v>415</v>
      </c>
      <c r="AM90">
        <v>10424.1</v>
      </c>
      <c r="AN90">
        <v>628.54280000000006</v>
      </c>
      <c r="AO90">
        <v>2663.98</v>
      </c>
      <c r="AP90">
        <f t="shared" si="118"/>
        <v>0.76405873917972356</v>
      </c>
      <c r="AQ90">
        <v>-3.1675626227050531</v>
      </c>
      <c r="AR90" t="s">
        <v>796</v>
      </c>
      <c r="AS90">
        <v>10203.200000000001</v>
      </c>
      <c r="AT90">
        <v>755.18657692307693</v>
      </c>
      <c r="AU90">
        <v>933.59245827145355</v>
      </c>
      <c r="AV90">
        <f t="shared" si="119"/>
        <v>0.19109610383817277</v>
      </c>
      <c r="AW90">
        <v>0.5</v>
      </c>
      <c r="AX90">
        <f t="shared" si="120"/>
        <v>1513.0331993024504</v>
      </c>
      <c r="AY90">
        <f t="shared" si="121"/>
        <v>21.614099946035836</v>
      </c>
      <c r="AZ90">
        <f t="shared" si="122"/>
        <v>144.56737468225191</v>
      </c>
      <c r="BA90">
        <f t="shared" si="123"/>
        <v>1.6378796301473035E-2</v>
      </c>
      <c r="BB90">
        <f t="shared" si="124"/>
        <v>1.8534720652439278</v>
      </c>
      <c r="BC90">
        <f t="shared" si="125"/>
        <v>437.3048024561603</v>
      </c>
      <c r="BD90" t="s">
        <v>797</v>
      </c>
      <c r="BE90">
        <v>542.09</v>
      </c>
      <c r="BF90">
        <f t="shared" si="126"/>
        <v>542.09</v>
      </c>
      <c r="BG90">
        <f t="shared" si="127"/>
        <v>0.41935049367935162</v>
      </c>
      <c r="BH90">
        <f t="shared" si="128"/>
        <v>0.45569543071598417</v>
      </c>
      <c r="BI90">
        <f t="shared" si="129"/>
        <v>0.81549351838622486</v>
      </c>
      <c r="BJ90">
        <f t="shared" si="130"/>
        <v>0.58484209541260723</v>
      </c>
      <c r="BK90">
        <f t="shared" si="131"/>
        <v>0.85013064600005672</v>
      </c>
      <c r="BL90">
        <f t="shared" si="132"/>
        <v>0.32710848363237005</v>
      </c>
      <c r="BM90">
        <f t="shared" si="133"/>
        <v>0.67289151636762989</v>
      </c>
      <c r="BN90">
        <v>20311</v>
      </c>
      <c r="BO90">
        <v>290.00000000000011</v>
      </c>
      <c r="BP90">
        <v>886.75</v>
      </c>
      <c r="BQ90">
        <v>205</v>
      </c>
      <c r="BR90">
        <v>10203.200000000001</v>
      </c>
      <c r="BS90">
        <v>886.13</v>
      </c>
      <c r="BT90">
        <v>0.62</v>
      </c>
      <c r="BU90">
        <v>300.00000000000011</v>
      </c>
      <c r="BV90">
        <v>24.2</v>
      </c>
      <c r="BW90">
        <v>933.59245827145355</v>
      </c>
      <c r="BX90">
        <v>1.72883614553679</v>
      </c>
      <c r="BY90">
        <v>-48.423760181785497</v>
      </c>
      <c r="BZ90">
        <v>1.569402902914117</v>
      </c>
      <c r="CA90">
        <v>0.97142928518783433</v>
      </c>
      <c r="CB90">
        <v>-6.9457592880978834E-3</v>
      </c>
      <c r="CC90">
        <v>289.99999999999989</v>
      </c>
      <c r="CD90">
        <v>886.12</v>
      </c>
      <c r="CE90">
        <v>665</v>
      </c>
      <c r="CF90">
        <v>10170.1</v>
      </c>
      <c r="CG90">
        <v>885.98</v>
      </c>
      <c r="CH90">
        <v>0.14000000000000001</v>
      </c>
      <c r="CV90">
        <f t="shared" si="134"/>
        <v>1799.82</v>
      </c>
      <c r="CW90">
        <f t="shared" si="135"/>
        <v>1513.0331993024504</v>
      </c>
      <c r="CX90">
        <f t="shared" si="136"/>
        <v>0.84065806541901433</v>
      </c>
      <c r="CY90">
        <f t="shared" si="137"/>
        <v>0.19131613083802895</v>
      </c>
      <c r="CZ90">
        <v>6</v>
      </c>
      <c r="DA90">
        <v>0.5</v>
      </c>
      <c r="DB90" t="s">
        <v>418</v>
      </c>
      <c r="DC90">
        <v>2</v>
      </c>
      <c r="DD90">
        <v>1674593031</v>
      </c>
      <c r="DE90">
        <v>93.266199999999998</v>
      </c>
      <c r="DF90">
        <v>119.989</v>
      </c>
      <c r="DG90">
        <v>25.063800000000001</v>
      </c>
      <c r="DH90">
        <v>16.827100000000002</v>
      </c>
      <c r="DI90">
        <v>95.528400000000005</v>
      </c>
      <c r="DJ90">
        <v>24.698</v>
      </c>
      <c r="DK90">
        <v>500.04</v>
      </c>
      <c r="DL90">
        <v>99.515299999999996</v>
      </c>
      <c r="DM90">
        <v>0.100087</v>
      </c>
      <c r="DN90">
        <v>28.0015</v>
      </c>
      <c r="DO90">
        <v>27.824000000000002</v>
      </c>
      <c r="DP90">
        <v>999.9</v>
      </c>
      <c r="DQ90">
        <v>0</v>
      </c>
      <c r="DR90">
        <v>0</v>
      </c>
      <c r="DS90">
        <v>9970</v>
      </c>
      <c r="DT90">
        <v>0</v>
      </c>
      <c r="DU90">
        <v>375.81599999999997</v>
      </c>
      <c r="DV90">
        <v>-26.722799999999999</v>
      </c>
      <c r="DW90">
        <v>95.663899999999998</v>
      </c>
      <c r="DX90">
        <v>122.04300000000001</v>
      </c>
      <c r="DY90">
        <v>8.2367299999999997</v>
      </c>
      <c r="DZ90">
        <v>119.989</v>
      </c>
      <c r="EA90">
        <v>16.827100000000002</v>
      </c>
      <c r="EB90">
        <v>2.4942299999999999</v>
      </c>
      <c r="EC90">
        <v>1.67455</v>
      </c>
      <c r="ED90">
        <v>20.988900000000001</v>
      </c>
      <c r="EE90">
        <v>14.6625</v>
      </c>
      <c r="EF90">
        <v>1799.82</v>
      </c>
      <c r="EG90">
        <v>0.97800399999999998</v>
      </c>
      <c r="EH90">
        <v>2.1995899999999999E-2</v>
      </c>
      <c r="EI90">
        <v>0</v>
      </c>
      <c r="EJ90">
        <v>754.81500000000005</v>
      </c>
      <c r="EK90">
        <v>5.0010599999999998</v>
      </c>
      <c r="EL90">
        <v>14007</v>
      </c>
      <c r="EM90">
        <v>16709.400000000001</v>
      </c>
      <c r="EN90">
        <v>48.686999999999998</v>
      </c>
      <c r="EO90">
        <v>49.561999999999998</v>
      </c>
      <c r="EP90">
        <v>49.686999999999998</v>
      </c>
      <c r="EQ90">
        <v>48.25</v>
      </c>
      <c r="ER90">
        <v>49.561999999999998</v>
      </c>
      <c r="ES90">
        <v>1755.34</v>
      </c>
      <c r="ET90">
        <v>39.479999999999997</v>
      </c>
      <c r="EU90">
        <v>0</v>
      </c>
      <c r="EV90">
        <v>114.5999999046326</v>
      </c>
      <c r="EW90">
        <v>0</v>
      </c>
      <c r="EX90">
        <v>755.18657692307693</v>
      </c>
      <c r="EY90">
        <v>-3.9554529790360848</v>
      </c>
      <c r="EZ90">
        <v>-83.442734918155452</v>
      </c>
      <c r="FA90">
        <v>14017.83461538462</v>
      </c>
      <c r="FB90">
        <v>15</v>
      </c>
      <c r="FC90">
        <v>1674592998.5</v>
      </c>
      <c r="FD90" t="s">
        <v>798</v>
      </c>
      <c r="FE90">
        <v>1674592979</v>
      </c>
      <c r="FF90">
        <v>1674592998.5</v>
      </c>
      <c r="FG90">
        <v>83</v>
      </c>
      <c r="FH90">
        <v>0.14499999999999999</v>
      </c>
      <c r="FI90">
        <v>6.0000000000000001E-3</v>
      </c>
      <c r="FJ90">
        <v>-2.3210000000000002</v>
      </c>
      <c r="FK90">
        <v>1.7999999999999999E-2</v>
      </c>
      <c r="FL90">
        <v>120</v>
      </c>
      <c r="FM90">
        <v>17</v>
      </c>
      <c r="FN90">
        <v>0.05</v>
      </c>
      <c r="FO90">
        <v>0.02</v>
      </c>
      <c r="FP90">
        <v>21.576059496687702</v>
      </c>
      <c r="FQ90">
        <v>-0.13453746686086421</v>
      </c>
      <c r="FR90">
        <v>8.1542808907055342E-2</v>
      </c>
      <c r="FS90">
        <v>1</v>
      </c>
      <c r="FT90">
        <v>0.60003328684668777</v>
      </c>
      <c r="FU90">
        <v>3.5811824137525539E-2</v>
      </c>
      <c r="FV90">
        <v>5.83880910386476E-3</v>
      </c>
      <c r="FW90">
        <v>1</v>
      </c>
      <c r="FX90">
        <v>2</v>
      </c>
      <c r="FY90">
        <v>2</v>
      </c>
      <c r="FZ90" t="s">
        <v>420</v>
      </c>
      <c r="GA90">
        <v>2.9773900000000002</v>
      </c>
      <c r="GB90">
        <v>2.8061500000000001</v>
      </c>
      <c r="GC90">
        <v>2.7305099999999999E-2</v>
      </c>
      <c r="GD90">
        <v>3.35856E-2</v>
      </c>
      <c r="GE90">
        <v>0.12221700000000001</v>
      </c>
      <c r="GF90">
        <v>9.2424599999999996E-2</v>
      </c>
      <c r="GG90">
        <v>28726.7</v>
      </c>
      <c r="GH90">
        <v>26469.200000000001</v>
      </c>
      <c r="GI90">
        <v>26550.3</v>
      </c>
      <c r="GJ90">
        <v>25868.7</v>
      </c>
      <c r="GK90">
        <v>31712.3</v>
      </c>
      <c r="GL90">
        <v>33136.5</v>
      </c>
      <c r="GM90">
        <v>37616.1</v>
      </c>
      <c r="GN90">
        <v>38380</v>
      </c>
      <c r="GO90">
        <v>1.9684699999999999</v>
      </c>
      <c r="GP90">
        <v>1.90327</v>
      </c>
      <c r="GQ90">
        <v>4.5955200000000002E-2</v>
      </c>
      <c r="GR90">
        <v>0</v>
      </c>
      <c r="GS90">
        <v>27.073</v>
      </c>
      <c r="GT90">
        <v>999.9</v>
      </c>
      <c r="GU90">
        <v>41.4</v>
      </c>
      <c r="GV90">
        <v>34.4</v>
      </c>
      <c r="GW90">
        <v>22.728300000000001</v>
      </c>
      <c r="GX90">
        <v>62.0839</v>
      </c>
      <c r="GY90">
        <v>12.2476</v>
      </c>
      <c r="GZ90">
        <v>1</v>
      </c>
      <c r="HA90">
        <v>0.44006899999999999</v>
      </c>
      <c r="HB90">
        <v>2.7067800000000002</v>
      </c>
      <c r="HC90">
        <v>20.2332</v>
      </c>
      <c r="HD90">
        <v>5.2020200000000001</v>
      </c>
      <c r="HE90">
        <v>11.9381</v>
      </c>
      <c r="HF90">
        <v>4.9863999999999997</v>
      </c>
      <c r="HG90">
        <v>3.2898200000000002</v>
      </c>
      <c r="HH90">
        <v>9999</v>
      </c>
      <c r="HI90">
        <v>9999</v>
      </c>
      <c r="HJ90">
        <v>9999</v>
      </c>
      <c r="HK90">
        <v>999.9</v>
      </c>
      <c r="HL90">
        <v>1.8702700000000001</v>
      </c>
      <c r="HM90">
        <v>1.87653</v>
      </c>
      <c r="HN90">
        <v>1.87425</v>
      </c>
      <c r="HO90">
        <v>1.87256</v>
      </c>
      <c r="HP90">
        <v>1.8730199999999999</v>
      </c>
      <c r="HQ90">
        <v>1.8704099999999999</v>
      </c>
      <c r="HR90">
        <v>1.87635</v>
      </c>
      <c r="HS90">
        <v>1.8754299999999999</v>
      </c>
      <c r="HT90">
        <v>5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424</v>
      </c>
      <c r="IB90" t="s">
        <v>424</v>
      </c>
      <c r="IC90" t="s">
        <v>423</v>
      </c>
      <c r="ID90">
        <v>0</v>
      </c>
      <c r="IE90">
        <v>100</v>
      </c>
      <c r="IF90">
        <v>100</v>
      </c>
      <c r="IG90">
        <v>-2.262</v>
      </c>
      <c r="IH90">
        <v>0.36580000000000001</v>
      </c>
      <c r="II90">
        <v>-2.0339253380857789</v>
      </c>
      <c r="IJ90">
        <v>-2.536945948238235E-3</v>
      </c>
      <c r="IK90">
        <v>1.581473279927893E-6</v>
      </c>
      <c r="IL90">
        <v>-4.6698293441882044E-10</v>
      </c>
      <c r="IM90">
        <v>-0.15594936722961389</v>
      </c>
      <c r="IN90">
        <v>-1.5895243091576399E-2</v>
      </c>
      <c r="IO90">
        <v>1.559614309849521E-3</v>
      </c>
      <c r="IP90">
        <v>-2.4566050869858518E-6</v>
      </c>
      <c r="IQ90">
        <v>2</v>
      </c>
      <c r="IR90">
        <v>2224</v>
      </c>
      <c r="IS90">
        <v>2</v>
      </c>
      <c r="IT90">
        <v>25</v>
      </c>
      <c r="IU90">
        <v>0.9</v>
      </c>
      <c r="IV90">
        <v>0.5</v>
      </c>
      <c r="IW90">
        <v>0.39184600000000003</v>
      </c>
      <c r="IX90">
        <v>2.5109900000000001</v>
      </c>
      <c r="IY90">
        <v>1.65039</v>
      </c>
      <c r="IZ90">
        <v>2.2900399999999999</v>
      </c>
      <c r="JA90">
        <v>1.50024</v>
      </c>
      <c r="JB90">
        <v>2.4084500000000002</v>
      </c>
      <c r="JC90">
        <v>38.378999999999998</v>
      </c>
      <c r="JD90">
        <v>23.868600000000001</v>
      </c>
      <c r="JE90">
        <v>18</v>
      </c>
      <c r="JF90">
        <v>505.74900000000002</v>
      </c>
      <c r="JG90">
        <v>456.34699999999998</v>
      </c>
      <c r="JH90">
        <v>24.653300000000002</v>
      </c>
      <c r="JI90">
        <v>32.757800000000003</v>
      </c>
      <c r="JJ90">
        <v>30</v>
      </c>
      <c r="JK90">
        <v>32.744300000000003</v>
      </c>
      <c r="JL90">
        <v>32.711100000000002</v>
      </c>
      <c r="JM90">
        <v>7.8811999999999998</v>
      </c>
      <c r="JN90">
        <v>39.412500000000001</v>
      </c>
      <c r="JO90">
        <v>43.582900000000002</v>
      </c>
      <c r="JP90">
        <v>24.651399999999999</v>
      </c>
      <c r="JQ90">
        <v>120</v>
      </c>
      <c r="JR90">
        <v>16.788699999999999</v>
      </c>
      <c r="JS90">
        <v>99.828500000000005</v>
      </c>
      <c r="JT90">
        <v>99.019599999999997</v>
      </c>
    </row>
    <row r="91" spans="1:280" x14ac:dyDescent="0.25">
      <c r="A91">
        <v>75</v>
      </c>
      <c r="B91">
        <v>1674593144</v>
      </c>
      <c r="C91">
        <v>19009.400000095371</v>
      </c>
      <c r="D91" t="s">
        <v>799</v>
      </c>
      <c r="E91" t="s">
        <v>800</v>
      </c>
      <c r="F91" t="s">
        <v>412</v>
      </c>
      <c r="G91" t="s">
        <v>780</v>
      </c>
      <c r="H91" t="s">
        <v>494</v>
      </c>
      <c r="I91">
        <v>1674593144</v>
      </c>
      <c r="J91">
        <f t="shared" si="92"/>
        <v>7.3029035835655027E-3</v>
      </c>
      <c r="K91">
        <f t="shared" si="93"/>
        <v>7.3029035835655023</v>
      </c>
      <c r="L91">
        <f t="shared" si="94"/>
        <v>13.235938254934544</v>
      </c>
      <c r="M91">
        <f t="shared" si="95"/>
        <v>53.652000000000001</v>
      </c>
      <c r="N91">
        <f t="shared" si="96"/>
        <v>15.822781475223056</v>
      </c>
      <c r="O91">
        <f t="shared" si="97"/>
        <v>1.5762392152508029</v>
      </c>
      <c r="P91">
        <f t="shared" si="98"/>
        <v>5.3447231454887998</v>
      </c>
      <c r="Q91">
        <f t="shared" si="99"/>
        <v>0.62858791844660944</v>
      </c>
      <c r="R91">
        <f t="shared" si="100"/>
        <v>2.9171435944502782</v>
      </c>
      <c r="S91">
        <f t="shared" si="101"/>
        <v>0.56190889263875288</v>
      </c>
      <c r="T91">
        <f t="shared" si="102"/>
        <v>0.35659267085839186</v>
      </c>
      <c r="U91">
        <f t="shared" si="103"/>
        <v>344.33459860490126</v>
      </c>
      <c r="V91">
        <f t="shared" si="104"/>
        <v>28.128798100137718</v>
      </c>
      <c r="W91">
        <f t="shared" si="105"/>
        <v>27.782599999999999</v>
      </c>
      <c r="X91">
        <f t="shared" si="106"/>
        <v>3.7470101901640471</v>
      </c>
      <c r="Y91">
        <f t="shared" si="107"/>
        <v>65.702256641384665</v>
      </c>
      <c r="Z91">
        <f t="shared" si="108"/>
        <v>2.4928592869795398</v>
      </c>
      <c r="AA91">
        <f t="shared" si="109"/>
        <v>3.7941760517999206</v>
      </c>
      <c r="AB91">
        <f t="shared" si="110"/>
        <v>1.2541509031845073</v>
      </c>
      <c r="AC91">
        <f t="shared" si="111"/>
        <v>-322.05804803523864</v>
      </c>
      <c r="AD91">
        <f t="shared" si="112"/>
        <v>33.718483347482525</v>
      </c>
      <c r="AE91">
        <f t="shared" si="113"/>
        <v>2.5167720615971345</v>
      </c>
      <c r="AF91">
        <f t="shared" si="114"/>
        <v>58.511805978742267</v>
      </c>
      <c r="AG91">
        <v>0</v>
      </c>
      <c r="AH91">
        <v>0</v>
      </c>
      <c r="AI91">
        <f t="shared" si="115"/>
        <v>1</v>
      </c>
      <c r="AJ91">
        <f t="shared" si="116"/>
        <v>0</v>
      </c>
      <c r="AK91">
        <f t="shared" si="117"/>
        <v>52334.989725503641</v>
      </c>
      <c r="AL91" t="s">
        <v>415</v>
      </c>
      <c r="AM91">
        <v>10424.1</v>
      </c>
      <c r="AN91">
        <v>628.54280000000006</v>
      </c>
      <c r="AO91">
        <v>2663.98</v>
      </c>
      <c r="AP91">
        <f t="shared" si="118"/>
        <v>0.76405873917972356</v>
      </c>
      <c r="AQ91">
        <v>-3.1675626227050531</v>
      </c>
      <c r="AR91" t="s">
        <v>801</v>
      </c>
      <c r="AS91">
        <v>10191.4</v>
      </c>
      <c r="AT91">
        <v>773.00719230769232</v>
      </c>
      <c r="AU91">
        <v>897.45779661872712</v>
      </c>
      <c r="AV91">
        <f t="shared" si="119"/>
        <v>0.13867014669649802</v>
      </c>
      <c r="AW91">
        <v>0.5</v>
      </c>
      <c r="AX91">
        <f t="shared" si="120"/>
        <v>1513.0331993024504</v>
      </c>
      <c r="AY91">
        <f t="shared" si="121"/>
        <v>13.235938254934544</v>
      </c>
      <c r="AZ91">
        <f t="shared" si="122"/>
        <v>104.90626785197126</v>
      </c>
      <c r="BA91">
        <f t="shared" si="123"/>
        <v>1.0841467910421305E-2</v>
      </c>
      <c r="BB91">
        <f t="shared" si="124"/>
        <v>1.9683624233215684</v>
      </c>
      <c r="BC91">
        <f t="shared" si="125"/>
        <v>429.20999182556989</v>
      </c>
      <c r="BD91" t="s">
        <v>802</v>
      </c>
      <c r="BE91">
        <v>547.9</v>
      </c>
      <c r="BF91">
        <f t="shared" si="126"/>
        <v>547.9</v>
      </c>
      <c r="BG91">
        <f t="shared" si="127"/>
        <v>0.38949775458603775</v>
      </c>
      <c r="BH91">
        <f t="shared" si="128"/>
        <v>0.35602296820395823</v>
      </c>
      <c r="BI91">
        <f t="shared" si="129"/>
        <v>0.83480879899685878</v>
      </c>
      <c r="BJ91">
        <f t="shared" si="130"/>
        <v>0.46278789162317824</v>
      </c>
      <c r="BK91">
        <f t="shared" si="131"/>
        <v>0.86788342248106354</v>
      </c>
      <c r="BL91">
        <f t="shared" si="132"/>
        <v>0.25234562656087667</v>
      </c>
      <c r="BM91">
        <f t="shared" si="133"/>
        <v>0.74765437343912333</v>
      </c>
      <c r="BN91">
        <v>20313</v>
      </c>
      <c r="BO91">
        <v>290.00000000000011</v>
      </c>
      <c r="BP91">
        <v>866.3</v>
      </c>
      <c r="BQ91">
        <v>275</v>
      </c>
      <c r="BR91">
        <v>10191.4</v>
      </c>
      <c r="BS91">
        <v>867.04</v>
      </c>
      <c r="BT91">
        <v>-0.74</v>
      </c>
      <c r="BU91">
        <v>300.00000000000011</v>
      </c>
      <c r="BV91">
        <v>24.2</v>
      </c>
      <c r="BW91">
        <v>897.45779661872712</v>
      </c>
      <c r="BX91">
        <v>1.8586446171468149</v>
      </c>
      <c r="BY91">
        <v>-30.997025028453599</v>
      </c>
      <c r="BZ91">
        <v>1.6871883972137389</v>
      </c>
      <c r="CA91">
        <v>0.92339897976372898</v>
      </c>
      <c r="CB91">
        <v>-6.9454691879866489E-3</v>
      </c>
      <c r="CC91">
        <v>289.99999999999989</v>
      </c>
      <c r="CD91">
        <v>865.42</v>
      </c>
      <c r="CE91">
        <v>885</v>
      </c>
      <c r="CF91">
        <v>10156.4</v>
      </c>
      <c r="CG91">
        <v>866.94</v>
      </c>
      <c r="CH91">
        <v>-1.52</v>
      </c>
      <c r="CV91">
        <f t="shared" si="134"/>
        <v>1799.82</v>
      </c>
      <c r="CW91">
        <f t="shared" si="135"/>
        <v>1513.0331993024504</v>
      </c>
      <c r="CX91">
        <f t="shared" si="136"/>
        <v>0.84065806541901433</v>
      </c>
      <c r="CY91">
        <f t="shared" si="137"/>
        <v>0.19131613083802895</v>
      </c>
      <c r="CZ91">
        <v>6</v>
      </c>
      <c r="DA91">
        <v>0.5</v>
      </c>
      <c r="DB91" t="s">
        <v>418</v>
      </c>
      <c r="DC91">
        <v>2</v>
      </c>
      <c r="DD91">
        <v>1674593144</v>
      </c>
      <c r="DE91">
        <v>53.652000000000001</v>
      </c>
      <c r="DF91">
        <v>70.003799999999998</v>
      </c>
      <c r="DG91">
        <v>25.024100000000001</v>
      </c>
      <c r="DH91">
        <v>16.480699999999999</v>
      </c>
      <c r="DI91">
        <v>55.854100000000003</v>
      </c>
      <c r="DJ91">
        <v>24.659700000000001</v>
      </c>
      <c r="DK91">
        <v>500.04599999999999</v>
      </c>
      <c r="DL91">
        <v>99.5184</v>
      </c>
      <c r="DM91">
        <v>9.9939399999999998E-2</v>
      </c>
      <c r="DN91">
        <v>27.997</v>
      </c>
      <c r="DO91">
        <v>27.782599999999999</v>
      </c>
      <c r="DP91">
        <v>999.9</v>
      </c>
      <c r="DQ91">
        <v>0</v>
      </c>
      <c r="DR91">
        <v>0</v>
      </c>
      <c r="DS91">
        <v>9977.5</v>
      </c>
      <c r="DT91">
        <v>0</v>
      </c>
      <c r="DU91">
        <v>375.47199999999998</v>
      </c>
      <c r="DV91">
        <v>-16.351800000000001</v>
      </c>
      <c r="DW91">
        <v>55.0291</v>
      </c>
      <c r="DX91">
        <v>71.176900000000003</v>
      </c>
      <c r="DY91">
        <v>8.5433400000000006</v>
      </c>
      <c r="DZ91">
        <v>70.003799999999998</v>
      </c>
      <c r="EA91">
        <v>16.480699999999999</v>
      </c>
      <c r="EB91">
        <v>2.4903499999999998</v>
      </c>
      <c r="EC91">
        <v>1.6401300000000001</v>
      </c>
      <c r="ED91">
        <v>20.9636</v>
      </c>
      <c r="EE91">
        <v>14.341100000000001</v>
      </c>
      <c r="EF91">
        <v>1799.82</v>
      </c>
      <c r="EG91">
        <v>0.97800399999999998</v>
      </c>
      <c r="EH91">
        <v>2.1996000000000002E-2</v>
      </c>
      <c r="EI91">
        <v>0</v>
      </c>
      <c r="EJ91">
        <v>772.71900000000005</v>
      </c>
      <c r="EK91">
        <v>5.0010599999999998</v>
      </c>
      <c r="EL91">
        <v>14335.2</v>
      </c>
      <c r="EM91">
        <v>16709.3</v>
      </c>
      <c r="EN91">
        <v>48.75</v>
      </c>
      <c r="EO91">
        <v>49.561999999999998</v>
      </c>
      <c r="EP91">
        <v>49.686999999999998</v>
      </c>
      <c r="EQ91">
        <v>48.25</v>
      </c>
      <c r="ER91">
        <v>49.561999999999998</v>
      </c>
      <c r="ES91">
        <v>1755.34</v>
      </c>
      <c r="ET91">
        <v>39.479999999999997</v>
      </c>
      <c r="EU91">
        <v>0</v>
      </c>
      <c r="EV91">
        <v>111.19999980926509</v>
      </c>
      <c r="EW91">
        <v>0</v>
      </c>
      <c r="EX91">
        <v>773.00719230769232</v>
      </c>
      <c r="EY91">
        <v>-2.2227350385224218</v>
      </c>
      <c r="EZ91">
        <v>-38.211965832825904</v>
      </c>
      <c r="FA91">
        <v>14340.48076923077</v>
      </c>
      <c r="FB91">
        <v>15</v>
      </c>
      <c r="FC91">
        <v>1674593111</v>
      </c>
      <c r="FD91" t="s">
        <v>803</v>
      </c>
      <c r="FE91">
        <v>1674593098</v>
      </c>
      <c r="FF91">
        <v>1674593111</v>
      </c>
      <c r="FG91">
        <v>84</v>
      </c>
      <c r="FH91">
        <v>-3.1E-2</v>
      </c>
      <c r="FI91">
        <v>1E-3</v>
      </c>
      <c r="FJ91">
        <v>-2.2400000000000002</v>
      </c>
      <c r="FK91">
        <v>-1E-3</v>
      </c>
      <c r="FL91">
        <v>70</v>
      </c>
      <c r="FM91">
        <v>17</v>
      </c>
      <c r="FN91">
        <v>0.05</v>
      </c>
      <c r="FO91">
        <v>0.01</v>
      </c>
      <c r="FP91">
        <v>13.25380913301599</v>
      </c>
      <c r="FQ91">
        <v>-0.37850409357503029</v>
      </c>
      <c r="FR91">
        <v>8.4867057050534184E-2</v>
      </c>
      <c r="FS91">
        <v>1</v>
      </c>
      <c r="FT91">
        <v>0.63438900162388556</v>
      </c>
      <c r="FU91">
        <v>1.447563253649785E-2</v>
      </c>
      <c r="FV91">
        <v>5.078683014712931E-3</v>
      </c>
      <c r="FW91">
        <v>1</v>
      </c>
      <c r="FX91">
        <v>2</v>
      </c>
      <c r="FY91">
        <v>2</v>
      </c>
      <c r="FZ91" t="s">
        <v>420</v>
      </c>
      <c r="GA91">
        <v>2.9773999999999998</v>
      </c>
      <c r="GB91">
        <v>2.8060700000000001</v>
      </c>
      <c r="GC91">
        <v>1.6111400000000001E-2</v>
      </c>
      <c r="GD91">
        <v>1.98844E-2</v>
      </c>
      <c r="GE91">
        <v>0.122084</v>
      </c>
      <c r="GF91">
        <v>9.1066900000000006E-2</v>
      </c>
      <c r="GG91">
        <v>29056.1</v>
      </c>
      <c r="GH91">
        <v>26845.200000000001</v>
      </c>
      <c r="GI91">
        <v>26549.4</v>
      </c>
      <c r="GJ91">
        <v>25869.599999999999</v>
      </c>
      <c r="GK91">
        <v>31715.8</v>
      </c>
      <c r="GL91">
        <v>33187.300000000003</v>
      </c>
      <c r="GM91">
        <v>37614.5</v>
      </c>
      <c r="GN91">
        <v>38381.599999999999</v>
      </c>
      <c r="GO91">
        <v>1.9686300000000001</v>
      </c>
      <c r="GP91">
        <v>1.90205</v>
      </c>
      <c r="GQ91">
        <v>4.6230899999999998E-2</v>
      </c>
      <c r="GR91">
        <v>0</v>
      </c>
      <c r="GS91">
        <v>27.027100000000001</v>
      </c>
      <c r="GT91">
        <v>999.9</v>
      </c>
      <c r="GU91">
        <v>41.1</v>
      </c>
      <c r="GV91">
        <v>34.4</v>
      </c>
      <c r="GW91">
        <v>22.564499999999999</v>
      </c>
      <c r="GX91">
        <v>62.123899999999999</v>
      </c>
      <c r="GY91">
        <v>12.852600000000001</v>
      </c>
      <c r="GZ91">
        <v>1</v>
      </c>
      <c r="HA91">
        <v>0.44040400000000002</v>
      </c>
      <c r="HB91">
        <v>2.64269</v>
      </c>
      <c r="HC91">
        <v>20.234000000000002</v>
      </c>
      <c r="HD91">
        <v>5.2057599999999997</v>
      </c>
      <c r="HE91">
        <v>11.9381</v>
      </c>
      <c r="HF91">
        <v>4.9863999999999997</v>
      </c>
      <c r="HG91">
        <v>3.2896299999999998</v>
      </c>
      <c r="HH91">
        <v>9999</v>
      </c>
      <c r="HI91">
        <v>9999</v>
      </c>
      <c r="HJ91">
        <v>9999</v>
      </c>
      <c r="HK91">
        <v>999.9</v>
      </c>
      <c r="HL91">
        <v>1.8702700000000001</v>
      </c>
      <c r="HM91">
        <v>1.87653</v>
      </c>
      <c r="HN91">
        <v>1.8742399999999999</v>
      </c>
      <c r="HO91">
        <v>1.87256</v>
      </c>
      <c r="HP91">
        <v>1.8730199999999999</v>
      </c>
      <c r="HQ91">
        <v>1.8704099999999999</v>
      </c>
      <c r="HR91">
        <v>1.8763300000000001</v>
      </c>
      <c r="HS91">
        <v>1.87544</v>
      </c>
      <c r="HT91">
        <v>5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424</v>
      </c>
      <c r="IB91" t="s">
        <v>424</v>
      </c>
      <c r="IC91" t="s">
        <v>423</v>
      </c>
      <c r="ID91">
        <v>0</v>
      </c>
      <c r="IE91">
        <v>100</v>
      </c>
      <c r="IF91">
        <v>100</v>
      </c>
      <c r="IG91">
        <v>-2.202</v>
      </c>
      <c r="IH91">
        <v>0.3644</v>
      </c>
      <c r="II91">
        <v>-2.0652260922916348</v>
      </c>
      <c r="IJ91">
        <v>-2.536945948238235E-3</v>
      </c>
      <c r="IK91">
        <v>1.581473279927893E-6</v>
      </c>
      <c r="IL91">
        <v>-4.6698293441882044E-10</v>
      </c>
      <c r="IM91">
        <v>-0.15526157093225901</v>
      </c>
      <c r="IN91">
        <v>-1.5895243091576399E-2</v>
      </c>
      <c r="IO91">
        <v>1.559614309849521E-3</v>
      </c>
      <c r="IP91">
        <v>-2.4566050869858518E-6</v>
      </c>
      <c r="IQ91">
        <v>2</v>
      </c>
      <c r="IR91">
        <v>2224</v>
      </c>
      <c r="IS91">
        <v>2</v>
      </c>
      <c r="IT91">
        <v>25</v>
      </c>
      <c r="IU91">
        <v>0.8</v>
      </c>
      <c r="IV91">
        <v>0.6</v>
      </c>
      <c r="IW91">
        <v>0.29052699999999998</v>
      </c>
      <c r="IX91">
        <v>2.5341800000000001</v>
      </c>
      <c r="IY91">
        <v>1.65039</v>
      </c>
      <c r="IZ91">
        <v>2.2900399999999999</v>
      </c>
      <c r="JA91">
        <v>1.50024</v>
      </c>
      <c r="JB91">
        <v>2.2802699999999998</v>
      </c>
      <c r="JC91">
        <v>38.378999999999998</v>
      </c>
      <c r="JD91">
        <v>23.8598</v>
      </c>
      <c r="JE91">
        <v>18</v>
      </c>
      <c r="JF91">
        <v>505.98899999999998</v>
      </c>
      <c r="JG91">
        <v>455.721</v>
      </c>
      <c r="JH91">
        <v>24.682700000000001</v>
      </c>
      <c r="JI91">
        <v>32.766500000000001</v>
      </c>
      <c r="JJ91">
        <v>30</v>
      </c>
      <c r="JK91">
        <v>32.761899999999997</v>
      </c>
      <c r="JL91">
        <v>32.733800000000002</v>
      </c>
      <c r="JM91">
        <v>5.8651200000000001</v>
      </c>
      <c r="JN91">
        <v>40.205800000000004</v>
      </c>
      <c r="JO91">
        <v>42.242699999999999</v>
      </c>
      <c r="JP91">
        <v>24.686</v>
      </c>
      <c r="JQ91">
        <v>70</v>
      </c>
      <c r="JR91">
        <v>16.394600000000001</v>
      </c>
      <c r="JS91">
        <v>99.824799999999996</v>
      </c>
      <c r="JT91">
        <v>99.023499999999999</v>
      </c>
    </row>
    <row r="92" spans="1:280" x14ac:dyDescent="0.25">
      <c r="A92">
        <v>76</v>
      </c>
      <c r="B92">
        <v>1674593258</v>
      </c>
      <c r="C92">
        <v>19123.400000095371</v>
      </c>
      <c r="D92" t="s">
        <v>804</v>
      </c>
      <c r="E92" t="s">
        <v>805</v>
      </c>
      <c r="F92" t="s">
        <v>412</v>
      </c>
      <c r="G92" t="s">
        <v>780</v>
      </c>
      <c r="H92" t="s">
        <v>494</v>
      </c>
      <c r="I92">
        <v>1674593258</v>
      </c>
      <c r="J92">
        <f t="shared" si="92"/>
        <v>7.5355717295605331E-3</v>
      </c>
      <c r="K92">
        <f t="shared" si="93"/>
        <v>7.5355717295605329</v>
      </c>
      <c r="L92">
        <f t="shared" si="94"/>
        <v>6.0394019267207844</v>
      </c>
      <c r="M92">
        <f t="shared" si="95"/>
        <v>22.570599999999999</v>
      </c>
      <c r="N92">
        <f t="shared" si="96"/>
        <v>5.8523917736890718</v>
      </c>
      <c r="O92">
        <f t="shared" si="97"/>
        <v>0.58302138190335207</v>
      </c>
      <c r="P92">
        <f t="shared" si="98"/>
        <v>2.2485067492487598</v>
      </c>
      <c r="Q92">
        <f t="shared" si="99"/>
        <v>0.65003111297912886</v>
      </c>
      <c r="R92">
        <f t="shared" si="100"/>
        <v>2.9209195730203872</v>
      </c>
      <c r="S92">
        <f t="shared" si="101"/>
        <v>0.57908075790029312</v>
      </c>
      <c r="T92">
        <f t="shared" si="102"/>
        <v>0.36765265692092375</v>
      </c>
      <c r="U92">
        <f t="shared" si="103"/>
        <v>344.34219860493226</v>
      </c>
      <c r="V92">
        <f t="shared" si="104"/>
        <v>28.090049694598996</v>
      </c>
      <c r="W92">
        <f t="shared" si="105"/>
        <v>27.776</v>
      </c>
      <c r="X92">
        <f t="shared" si="106"/>
        <v>3.7455664099032586</v>
      </c>
      <c r="Y92">
        <f t="shared" si="107"/>
        <v>65.536706995169666</v>
      </c>
      <c r="Z92">
        <f t="shared" si="108"/>
        <v>2.4897689950610395</v>
      </c>
      <c r="AA92">
        <f t="shared" si="109"/>
        <v>3.7990450073186404</v>
      </c>
      <c r="AB92">
        <f t="shared" si="110"/>
        <v>1.2557974148422191</v>
      </c>
      <c r="AC92">
        <f t="shared" si="111"/>
        <v>-332.31871327361949</v>
      </c>
      <c r="AD92">
        <f t="shared" si="112"/>
        <v>38.265845693023827</v>
      </c>
      <c r="AE92">
        <f t="shared" si="113"/>
        <v>2.8527172869428106</v>
      </c>
      <c r="AF92">
        <f t="shared" si="114"/>
        <v>53.142048311279432</v>
      </c>
      <c r="AG92">
        <v>0</v>
      </c>
      <c r="AH92">
        <v>0</v>
      </c>
      <c r="AI92">
        <f t="shared" si="115"/>
        <v>1</v>
      </c>
      <c r="AJ92">
        <f t="shared" si="116"/>
        <v>0</v>
      </c>
      <c r="AK92">
        <f t="shared" si="117"/>
        <v>52439.619220300825</v>
      </c>
      <c r="AL92" t="s">
        <v>415</v>
      </c>
      <c r="AM92">
        <v>10424.1</v>
      </c>
      <c r="AN92">
        <v>628.54280000000006</v>
      </c>
      <c r="AO92">
        <v>2663.98</v>
      </c>
      <c r="AP92">
        <f t="shared" si="118"/>
        <v>0.76405873917972356</v>
      </c>
      <c r="AQ92">
        <v>-3.1675626227050531</v>
      </c>
      <c r="AR92" t="s">
        <v>806</v>
      </c>
      <c r="AS92">
        <v>10210.700000000001</v>
      </c>
      <c r="AT92">
        <v>788.24879999999973</v>
      </c>
      <c r="AU92">
        <v>876.09146312493601</v>
      </c>
      <c r="AV92">
        <f t="shared" si="119"/>
        <v>0.10026654387386646</v>
      </c>
      <c r="AW92">
        <v>0.5</v>
      </c>
      <c r="AX92">
        <f t="shared" si="120"/>
        <v>1513.0667993024658</v>
      </c>
      <c r="AY92">
        <f t="shared" si="121"/>
        <v>6.0394019267207844</v>
      </c>
      <c r="AZ92">
        <f t="shared" si="122"/>
        <v>75.854989308175703</v>
      </c>
      <c r="BA92">
        <f t="shared" si="123"/>
        <v>6.08496898727162E-3</v>
      </c>
      <c r="BB92">
        <f t="shared" si="124"/>
        <v>2.0407555741929424</v>
      </c>
      <c r="BC92">
        <f t="shared" si="125"/>
        <v>424.26153256151969</v>
      </c>
      <c r="BD92" t="s">
        <v>807</v>
      </c>
      <c r="BE92">
        <v>564.45000000000005</v>
      </c>
      <c r="BF92">
        <f t="shared" si="126"/>
        <v>564.45000000000005</v>
      </c>
      <c r="BG92">
        <f t="shared" si="127"/>
        <v>0.35571795439409959</v>
      </c>
      <c r="BH92">
        <f t="shared" si="128"/>
        <v>0.28187091102739581</v>
      </c>
      <c r="BI92">
        <f t="shared" si="129"/>
        <v>0.85156608234941344</v>
      </c>
      <c r="BJ92">
        <f t="shared" si="130"/>
        <v>0.35485008085300279</v>
      </c>
      <c r="BK92">
        <f t="shared" si="131"/>
        <v>0.87838059404390567</v>
      </c>
      <c r="BL92">
        <f t="shared" si="132"/>
        <v>0.20184240778979129</v>
      </c>
      <c r="BM92">
        <f t="shared" si="133"/>
        <v>0.79815759221020866</v>
      </c>
      <c r="BN92">
        <v>20315</v>
      </c>
      <c r="BO92">
        <v>290.00000000000011</v>
      </c>
      <c r="BP92">
        <v>847.72</v>
      </c>
      <c r="BQ92">
        <v>165</v>
      </c>
      <c r="BR92">
        <v>10210.700000000001</v>
      </c>
      <c r="BS92">
        <v>846.67</v>
      </c>
      <c r="BT92">
        <v>1.05</v>
      </c>
      <c r="BU92">
        <v>300.00000000000011</v>
      </c>
      <c r="BV92">
        <v>24.2</v>
      </c>
      <c r="BW92">
        <v>876.09146312493601</v>
      </c>
      <c r="BX92">
        <v>1.818223551834939</v>
      </c>
      <c r="BY92">
        <v>-30.044653668472851</v>
      </c>
      <c r="BZ92">
        <v>1.650497341017825</v>
      </c>
      <c r="CA92">
        <v>0.92208447604661326</v>
      </c>
      <c r="CB92">
        <v>-6.9455165739710761E-3</v>
      </c>
      <c r="CC92">
        <v>289.99999999999989</v>
      </c>
      <c r="CD92">
        <v>844.51</v>
      </c>
      <c r="CE92">
        <v>645</v>
      </c>
      <c r="CF92">
        <v>10171.4</v>
      </c>
      <c r="CG92">
        <v>846.55</v>
      </c>
      <c r="CH92">
        <v>-2.04</v>
      </c>
      <c r="CV92">
        <f t="shared" si="134"/>
        <v>1799.86</v>
      </c>
      <c r="CW92">
        <f t="shared" si="135"/>
        <v>1513.0667993024658</v>
      </c>
      <c r="CX92">
        <f t="shared" si="136"/>
        <v>0.84065805079420952</v>
      </c>
      <c r="CY92">
        <f t="shared" si="137"/>
        <v>0.19131610158841925</v>
      </c>
      <c r="CZ92">
        <v>6</v>
      </c>
      <c r="DA92">
        <v>0.5</v>
      </c>
      <c r="DB92" t="s">
        <v>418</v>
      </c>
      <c r="DC92">
        <v>2</v>
      </c>
      <c r="DD92">
        <v>1674593258</v>
      </c>
      <c r="DE92">
        <v>22.570599999999999</v>
      </c>
      <c r="DF92">
        <v>30.0214</v>
      </c>
      <c r="DG92">
        <v>24.9924</v>
      </c>
      <c r="DH92">
        <v>16.176400000000001</v>
      </c>
      <c r="DI92">
        <v>24.879899999999999</v>
      </c>
      <c r="DJ92">
        <v>24.624300000000002</v>
      </c>
      <c r="DK92">
        <v>500.03899999999999</v>
      </c>
      <c r="DL92">
        <v>99.521299999999997</v>
      </c>
      <c r="DM92">
        <v>9.9744600000000003E-2</v>
      </c>
      <c r="DN92">
        <v>28.018999999999998</v>
      </c>
      <c r="DO92">
        <v>27.776</v>
      </c>
      <c r="DP92">
        <v>999.9</v>
      </c>
      <c r="DQ92">
        <v>0</v>
      </c>
      <c r="DR92">
        <v>0</v>
      </c>
      <c r="DS92">
        <v>9998.75</v>
      </c>
      <c r="DT92">
        <v>0</v>
      </c>
      <c r="DU92">
        <v>367.99700000000001</v>
      </c>
      <c r="DV92">
        <v>-7.4507700000000003</v>
      </c>
      <c r="DW92">
        <v>23.1492</v>
      </c>
      <c r="DX92">
        <v>30.515000000000001</v>
      </c>
      <c r="DY92">
        <v>8.8159799999999997</v>
      </c>
      <c r="DZ92">
        <v>30.0214</v>
      </c>
      <c r="EA92">
        <v>16.176400000000001</v>
      </c>
      <c r="EB92">
        <v>2.4872800000000002</v>
      </c>
      <c r="EC92">
        <v>1.6099000000000001</v>
      </c>
      <c r="ED92">
        <v>20.9435</v>
      </c>
      <c r="EE92">
        <v>14.053900000000001</v>
      </c>
      <c r="EF92">
        <v>1799.86</v>
      </c>
      <c r="EG92">
        <v>0.97800399999999998</v>
      </c>
      <c r="EH92">
        <v>2.1996000000000002E-2</v>
      </c>
      <c r="EI92">
        <v>0</v>
      </c>
      <c r="EJ92">
        <v>787.97299999999996</v>
      </c>
      <c r="EK92">
        <v>5.0010599999999998</v>
      </c>
      <c r="EL92">
        <v>14600.7</v>
      </c>
      <c r="EM92">
        <v>16709.7</v>
      </c>
      <c r="EN92">
        <v>48.75</v>
      </c>
      <c r="EO92">
        <v>49.561999999999998</v>
      </c>
      <c r="EP92">
        <v>49.686999999999998</v>
      </c>
      <c r="EQ92">
        <v>48.311999999999998</v>
      </c>
      <c r="ER92">
        <v>49.561999999999998</v>
      </c>
      <c r="ES92">
        <v>1755.38</v>
      </c>
      <c r="ET92">
        <v>39.479999999999997</v>
      </c>
      <c r="EU92">
        <v>0</v>
      </c>
      <c r="EV92">
        <v>112.2000000476837</v>
      </c>
      <c r="EW92">
        <v>0</v>
      </c>
      <c r="EX92">
        <v>788.24879999999973</v>
      </c>
      <c r="EY92">
        <v>-1.297615387511708</v>
      </c>
      <c r="EZ92">
        <v>-27.823076949954551</v>
      </c>
      <c r="FA92">
        <v>14605.288</v>
      </c>
      <c r="FB92">
        <v>15</v>
      </c>
      <c r="FC92">
        <v>1674593224.5</v>
      </c>
      <c r="FD92" t="s">
        <v>808</v>
      </c>
      <c r="FE92">
        <v>1674593210.5</v>
      </c>
      <c r="FF92">
        <v>1674593224.5</v>
      </c>
      <c r="FG92">
        <v>85</v>
      </c>
      <c r="FH92">
        <v>-0.182</v>
      </c>
      <c r="FI92">
        <v>6.0000000000000001E-3</v>
      </c>
      <c r="FJ92">
        <v>-2.3279999999999998</v>
      </c>
      <c r="FK92">
        <v>-5.0000000000000001E-3</v>
      </c>
      <c r="FL92">
        <v>30</v>
      </c>
      <c r="FM92">
        <v>16</v>
      </c>
      <c r="FN92">
        <v>0.15</v>
      </c>
      <c r="FO92">
        <v>0.01</v>
      </c>
      <c r="FP92">
        <v>6.0716848974021396</v>
      </c>
      <c r="FQ92">
        <v>-0.58737769383078453</v>
      </c>
      <c r="FR92">
        <v>6.8910141963013288E-2</v>
      </c>
      <c r="FS92">
        <v>1</v>
      </c>
      <c r="FT92">
        <v>0.66011465503585154</v>
      </c>
      <c r="FU92">
        <v>-1.407892914516632E-2</v>
      </c>
      <c r="FV92">
        <v>3.7272119457543869E-3</v>
      </c>
      <c r="FW92">
        <v>1</v>
      </c>
      <c r="FX92">
        <v>2</v>
      </c>
      <c r="FY92">
        <v>2</v>
      </c>
      <c r="FZ92" t="s">
        <v>420</v>
      </c>
      <c r="GA92">
        <v>2.9773999999999998</v>
      </c>
      <c r="GB92">
        <v>2.80606</v>
      </c>
      <c r="GC92">
        <v>7.19208E-3</v>
      </c>
      <c r="GD92">
        <v>8.5619200000000006E-3</v>
      </c>
      <c r="GE92">
        <v>0.121966</v>
      </c>
      <c r="GF92">
        <v>8.9869400000000002E-2</v>
      </c>
      <c r="GG92">
        <v>29320.3</v>
      </c>
      <c r="GH92">
        <v>27156.400000000001</v>
      </c>
      <c r="GI92">
        <v>26550.3</v>
      </c>
      <c r="GJ92">
        <v>25870.799999999999</v>
      </c>
      <c r="GK92">
        <v>31720.799999999999</v>
      </c>
      <c r="GL92">
        <v>33232.699999999997</v>
      </c>
      <c r="GM92">
        <v>37615.599999999999</v>
      </c>
      <c r="GN92">
        <v>38383.5</v>
      </c>
      <c r="GO92">
        <v>1.96895</v>
      </c>
      <c r="GP92">
        <v>1.90185</v>
      </c>
      <c r="GQ92">
        <v>4.9304199999999999E-2</v>
      </c>
      <c r="GR92">
        <v>0</v>
      </c>
      <c r="GS92">
        <v>26.970199999999998</v>
      </c>
      <c r="GT92">
        <v>999.9</v>
      </c>
      <c r="GU92">
        <v>40.700000000000003</v>
      </c>
      <c r="GV92">
        <v>34.4</v>
      </c>
      <c r="GW92">
        <v>22.342400000000001</v>
      </c>
      <c r="GX92">
        <v>62.033999999999999</v>
      </c>
      <c r="GY92">
        <v>12.7524</v>
      </c>
      <c r="GZ92">
        <v>1</v>
      </c>
      <c r="HA92">
        <v>0.43907499999999999</v>
      </c>
      <c r="HB92">
        <v>2.6952799999999999</v>
      </c>
      <c r="HC92">
        <v>20.2331</v>
      </c>
      <c r="HD92">
        <v>5.2059100000000003</v>
      </c>
      <c r="HE92">
        <v>11.9381</v>
      </c>
      <c r="HF92">
        <v>4.9864499999999996</v>
      </c>
      <c r="HG92">
        <v>3.2897799999999999</v>
      </c>
      <c r="HH92">
        <v>9999</v>
      </c>
      <c r="HI92">
        <v>9999</v>
      </c>
      <c r="HJ92">
        <v>9999</v>
      </c>
      <c r="HK92">
        <v>999.9</v>
      </c>
      <c r="HL92">
        <v>1.8702700000000001</v>
      </c>
      <c r="HM92">
        <v>1.87653</v>
      </c>
      <c r="HN92">
        <v>1.8742399999999999</v>
      </c>
      <c r="HO92">
        <v>1.87256</v>
      </c>
      <c r="HP92">
        <v>1.8730199999999999</v>
      </c>
      <c r="HQ92">
        <v>1.87042</v>
      </c>
      <c r="HR92">
        <v>1.8763099999999999</v>
      </c>
      <c r="HS92">
        <v>1.8754299999999999</v>
      </c>
      <c r="HT92">
        <v>5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424</v>
      </c>
      <c r="IB92" t="s">
        <v>424</v>
      </c>
      <c r="IC92" t="s">
        <v>423</v>
      </c>
      <c r="ID92">
        <v>0</v>
      </c>
      <c r="IE92">
        <v>100</v>
      </c>
      <c r="IF92">
        <v>100</v>
      </c>
      <c r="IG92">
        <v>-2.3090000000000002</v>
      </c>
      <c r="IH92">
        <v>0.36809999999999998</v>
      </c>
      <c r="II92">
        <v>-2.247149495104106</v>
      </c>
      <c r="IJ92">
        <v>-2.536945948238235E-3</v>
      </c>
      <c r="IK92">
        <v>1.581473279927893E-6</v>
      </c>
      <c r="IL92">
        <v>-4.6698293441882044E-10</v>
      </c>
      <c r="IM92">
        <v>-0.14951076616632919</v>
      </c>
      <c r="IN92">
        <v>-1.5895243091576399E-2</v>
      </c>
      <c r="IO92">
        <v>1.559614309849521E-3</v>
      </c>
      <c r="IP92">
        <v>-2.4566050869858518E-6</v>
      </c>
      <c r="IQ92">
        <v>2</v>
      </c>
      <c r="IR92">
        <v>2224</v>
      </c>
      <c r="IS92">
        <v>2</v>
      </c>
      <c r="IT92">
        <v>25</v>
      </c>
      <c r="IU92">
        <v>0.8</v>
      </c>
      <c r="IV92">
        <v>0.6</v>
      </c>
      <c r="IW92">
        <v>0.21240200000000001</v>
      </c>
      <c r="IX92">
        <v>2.5524900000000001</v>
      </c>
      <c r="IY92">
        <v>1.65039</v>
      </c>
      <c r="IZ92">
        <v>2.2912599999999999</v>
      </c>
      <c r="JA92">
        <v>1.50024</v>
      </c>
      <c r="JB92">
        <v>2.2851599999999999</v>
      </c>
      <c r="JC92">
        <v>38.354500000000002</v>
      </c>
      <c r="JD92">
        <v>23.8598</v>
      </c>
      <c r="JE92">
        <v>18</v>
      </c>
      <c r="JF92">
        <v>506.19600000000003</v>
      </c>
      <c r="JG92">
        <v>455.59699999999998</v>
      </c>
      <c r="JH92">
        <v>24.704899999999999</v>
      </c>
      <c r="JI92">
        <v>32.746200000000002</v>
      </c>
      <c r="JJ92">
        <v>30</v>
      </c>
      <c r="JK92">
        <v>32.760899999999999</v>
      </c>
      <c r="JL92">
        <v>32.734400000000001</v>
      </c>
      <c r="JM92">
        <v>4.2913500000000004</v>
      </c>
      <c r="JN92">
        <v>40.275700000000001</v>
      </c>
      <c r="JO92">
        <v>40.806600000000003</v>
      </c>
      <c r="JP92">
        <v>24.688099999999999</v>
      </c>
      <c r="JQ92">
        <v>30</v>
      </c>
      <c r="JR92">
        <v>16.128699999999998</v>
      </c>
      <c r="JS92">
        <v>99.827799999999996</v>
      </c>
      <c r="JT92">
        <v>99.028199999999998</v>
      </c>
    </row>
    <row r="93" spans="1:280" x14ac:dyDescent="0.25">
      <c r="A93">
        <v>77</v>
      </c>
      <c r="B93">
        <v>1674593371.5</v>
      </c>
      <c r="C93">
        <v>19236.900000095371</v>
      </c>
      <c r="D93" t="s">
        <v>809</v>
      </c>
      <c r="E93" t="s">
        <v>810</v>
      </c>
      <c r="F93" t="s">
        <v>412</v>
      </c>
      <c r="G93" t="s">
        <v>780</v>
      </c>
      <c r="H93" t="s">
        <v>494</v>
      </c>
      <c r="I93">
        <v>1674593371.5</v>
      </c>
      <c r="J93">
        <f t="shared" si="92"/>
        <v>7.7124009154406472E-3</v>
      </c>
      <c r="K93">
        <f t="shared" si="93"/>
        <v>7.7124009154406474</v>
      </c>
      <c r="L93">
        <f t="shared" si="94"/>
        <v>2.2822863310736925</v>
      </c>
      <c r="M93">
        <f t="shared" si="95"/>
        <v>7.1968699999999997</v>
      </c>
      <c r="N93">
        <f t="shared" si="96"/>
        <v>1.0655434047869006</v>
      </c>
      <c r="O93">
        <f t="shared" si="97"/>
        <v>0.10615746988701258</v>
      </c>
      <c r="P93">
        <f t="shared" si="98"/>
        <v>0.71700646531479195</v>
      </c>
      <c r="Q93">
        <f t="shared" si="99"/>
        <v>0.66919105729526873</v>
      </c>
      <c r="R93">
        <f t="shared" si="100"/>
        <v>2.92015444051802</v>
      </c>
      <c r="S93">
        <f t="shared" si="101"/>
        <v>0.59423650192143651</v>
      </c>
      <c r="T93">
        <f t="shared" si="102"/>
        <v>0.37743020494680996</v>
      </c>
      <c r="U93">
        <f t="shared" si="103"/>
        <v>344.34219860493226</v>
      </c>
      <c r="V93">
        <f t="shared" si="104"/>
        <v>28.029974761264565</v>
      </c>
      <c r="W93">
        <f t="shared" si="105"/>
        <v>27.769400000000001</v>
      </c>
      <c r="X93">
        <f t="shared" si="106"/>
        <v>3.7441231150781311</v>
      </c>
      <c r="Y93">
        <f t="shared" si="107"/>
        <v>65.637270180081543</v>
      </c>
      <c r="Z93">
        <f t="shared" si="108"/>
        <v>2.4915552996119201</v>
      </c>
      <c r="AA93">
        <f t="shared" si="109"/>
        <v>3.7959459507930817</v>
      </c>
      <c r="AB93">
        <f t="shared" si="110"/>
        <v>1.252567815466211</v>
      </c>
      <c r="AC93">
        <f t="shared" si="111"/>
        <v>-340.11688037093256</v>
      </c>
      <c r="AD93">
        <f t="shared" si="112"/>
        <v>37.090829876061775</v>
      </c>
      <c r="AE93">
        <f t="shared" si="113"/>
        <v>2.7655603652913836</v>
      </c>
      <c r="AF93">
        <f t="shared" si="114"/>
        <v>44.081708475352855</v>
      </c>
      <c r="AG93">
        <v>0</v>
      </c>
      <c r="AH93">
        <v>0</v>
      </c>
      <c r="AI93">
        <f t="shared" si="115"/>
        <v>1</v>
      </c>
      <c r="AJ93">
        <f t="shared" si="116"/>
        <v>0</v>
      </c>
      <c r="AK93">
        <f t="shared" si="117"/>
        <v>52420.221307148051</v>
      </c>
      <c r="AL93" t="s">
        <v>415</v>
      </c>
      <c r="AM93">
        <v>10424.1</v>
      </c>
      <c r="AN93">
        <v>628.54280000000006</v>
      </c>
      <c r="AO93">
        <v>2663.98</v>
      </c>
      <c r="AP93">
        <f t="shared" si="118"/>
        <v>0.76405873917972356</v>
      </c>
      <c r="AQ93">
        <v>-3.1675626227050531</v>
      </c>
      <c r="AR93" t="s">
        <v>811</v>
      </c>
      <c r="AS93">
        <v>10229.1</v>
      </c>
      <c r="AT93">
        <v>794.7413846153845</v>
      </c>
      <c r="AU93">
        <v>856.8512046838232</v>
      </c>
      <c r="AV93">
        <f t="shared" si="119"/>
        <v>7.248612096117335E-2</v>
      </c>
      <c r="AW93">
        <v>0.5</v>
      </c>
      <c r="AX93">
        <f t="shared" si="120"/>
        <v>1513.0667993024658</v>
      </c>
      <c r="AY93">
        <f t="shared" si="121"/>
        <v>2.2822863310736925</v>
      </c>
      <c r="AZ93">
        <f t="shared" si="122"/>
        <v>54.83817151828697</v>
      </c>
      <c r="BA93">
        <f t="shared" si="123"/>
        <v>3.6018561482488174E-3</v>
      </c>
      <c r="BB93">
        <f t="shared" si="124"/>
        <v>2.109034550500521</v>
      </c>
      <c r="BC93">
        <f t="shared" si="125"/>
        <v>419.69773550841188</v>
      </c>
      <c r="BD93" t="s">
        <v>812</v>
      </c>
      <c r="BE93">
        <v>572.58000000000004</v>
      </c>
      <c r="BF93">
        <f t="shared" si="126"/>
        <v>572.58000000000004</v>
      </c>
      <c r="BG93">
        <f t="shared" si="127"/>
        <v>0.33176262474733731</v>
      </c>
      <c r="BH93">
        <f t="shared" si="128"/>
        <v>0.21848790537022386</v>
      </c>
      <c r="BI93">
        <f t="shared" si="129"/>
        <v>0.86407611901892356</v>
      </c>
      <c r="BJ93">
        <f t="shared" si="130"/>
        <v>0.27204351129540133</v>
      </c>
      <c r="BK93">
        <f t="shared" si="131"/>
        <v>0.88783323568822314</v>
      </c>
      <c r="BL93">
        <f t="shared" si="132"/>
        <v>0.15741196731239293</v>
      </c>
      <c r="BM93">
        <f t="shared" si="133"/>
        <v>0.84258803268760707</v>
      </c>
      <c r="BN93">
        <v>20317</v>
      </c>
      <c r="BO93">
        <v>290.00000000000011</v>
      </c>
      <c r="BP93">
        <v>838.54</v>
      </c>
      <c r="BQ93">
        <v>85</v>
      </c>
      <c r="BR93">
        <v>10229.1</v>
      </c>
      <c r="BS93">
        <v>836.47</v>
      </c>
      <c r="BT93">
        <v>2.0699999999999998</v>
      </c>
      <c r="BU93">
        <v>300.00000000000011</v>
      </c>
      <c r="BV93">
        <v>24.2</v>
      </c>
      <c r="BW93">
        <v>856.8512046838232</v>
      </c>
      <c r="BX93">
        <v>2.0032694498344918</v>
      </c>
      <c r="BY93">
        <v>-20.849871292402941</v>
      </c>
      <c r="BZ93">
        <v>1.8184463731528671</v>
      </c>
      <c r="CA93">
        <v>0.82441141897273018</v>
      </c>
      <c r="CB93">
        <v>-6.9454166852057891E-3</v>
      </c>
      <c r="CC93">
        <v>289.99999999999989</v>
      </c>
      <c r="CD93">
        <v>834.62</v>
      </c>
      <c r="CE93">
        <v>655</v>
      </c>
      <c r="CF93">
        <v>10170.4</v>
      </c>
      <c r="CG93">
        <v>836.35</v>
      </c>
      <c r="CH93">
        <v>-1.73</v>
      </c>
      <c r="CV93">
        <f t="shared" si="134"/>
        <v>1799.86</v>
      </c>
      <c r="CW93">
        <f t="shared" si="135"/>
        <v>1513.0667993024658</v>
      </c>
      <c r="CX93">
        <f t="shared" si="136"/>
        <v>0.84065805079420952</v>
      </c>
      <c r="CY93">
        <f t="shared" si="137"/>
        <v>0.19131610158841925</v>
      </c>
      <c r="CZ93">
        <v>6</v>
      </c>
      <c r="DA93">
        <v>0.5</v>
      </c>
      <c r="DB93" t="s">
        <v>418</v>
      </c>
      <c r="DC93">
        <v>2</v>
      </c>
      <c r="DD93">
        <v>1674593371.5</v>
      </c>
      <c r="DE93">
        <v>7.1968699999999997</v>
      </c>
      <c r="DF93">
        <v>10.001899999999999</v>
      </c>
      <c r="DG93">
        <v>25.008700000000001</v>
      </c>
      <c r="DH93">
        <v>15.9863</v>
      </c>
      <c r="DI93">
        <v>9.5781799999999997</v>
      </c>
      <c r="DJ93">
        <v>24.6341</v>
      </c>
      <c r="DK93">
        <v>500.05700000000002</v>
      </c>
      <c r="DL93">
        <v>99.527600000000007</v>
      </c>
      <c r="DM93">
        <v>9.9941600000000005E-2</v>
      </c>
      <c r="DN93">
        <v>28.004999999999999</v>
      </c>
      <c r="DO93">
        <v>27.769400000000001</v>
      </c>
      <c r="DP93">
        <v>999.9</v>
      </c>
      <c r="DQ93">
        <v>0</v>
      </c>
      <c r="DR93">
        <v>0</v>
      </c>
      <c r="DS93">
        <v>9993.75</v>
      </c>
      <c r="DT93">
        <v>0</v>
      </c>
      <c r="DU93">
        <v>363.29</v>
      </c>
      <c r="DV93">
        <v>-2.8049900000000001</v>
      </c>
      <c r="DW93">
        <v>7.3814700000000002</v>
      </c>
      <c r="DX93">
        <v>10.164300000000001</v>
      </c>
      <c r="DY93">
        <v>9.0223700000000004</v>
      </c>
      <c r="DZ93">
        <v>10.001899999999999</v>
      </c>
      <c r="EA93">
        <v>15.9863</v>
      </c>
      <c r="EB93">
        <v>2.4890599999999998</v>
      </c>
      <c r="EC93">
        <v>1.59108</v>
      </c>
      <c r="ED93">
        <v>20.955100000000002</v>
      </c>
      <c r="EE93">
        <v>13.8727</v>
      </c>
      <c r="EF93">
        <v>1799.86</v>
      </c>
      <c r="EG93">
        <v>0.97800399999999998</v>
      </c>
      <c r="EH93">
        <v>2.1996000000000002E-2</v>
      </c>
      <c r="EI93">
        <v>0</v>
      </c>
      <c r="EJ93">
        <v>794.42399999999998</v>
      </c>
      <c r="EK93">
        <v>5.0010599999999998</v>
      </c>
      <c r="EL93">
        <v>14712.4</v>
      </c>
      <c r="EM93">
        <v>16709.8</v>
      </c>
      <c r="EN93">
        <v>48.75</v>
      </c>
      <c r="EO93">
        <v>49.561999999999998</v>
      </c>
      <c r="EP93">
        <v>49.75</v>
      </c>
      <c r="EQ93">
        <v>48.311999999999998</v>
      </c>
      <c r="ER93">
        <v>49.561999999999998</v>
      </c>
      <c r="ES93">
        <v>1755.38</v>
      </c>
      <c r="ET93">
        <v>39.479999999999997</v>
      </c>
      <c r="EU93">
        <v>0</v>
      </c>
      <c r="EV93">
        <v>111.6000001430511</v>
      </c>
      <c r="EW93">
        <v>0</v>
      </c>
      <c r="EX93">
        <v>794.7413846153845</v>
      </c>
      <c r="EY93">
        <v>0.15781197612872311</v>
      </c>
      <c r="EZ93">
        <v>-6.9025640238776429</v>
      </c>
      <c r="FA93">
        <v>14714.51153846154</v>
      </c>
      <c r="FB93">
        <v>15</v>
      </c>
      <c r="FC93">
        <v>1674593337.5</v>
      </c>
      <c r="FD93" t="s">
        <v>813</v>
      </c>
      <c r="FE93">
        <v>1674593314.5</v>
      </c>
      <c r="FF93">
        <v>1674593337.5</v>
      </c>
      <c r="FG93">
        <v>86</v>
      </c>
      <c r="FH93">
        <v>-0.11</v>
      </c>
      <c r="FI93">
        <v>6.0000000000000001E-3</v>
      </c>
      <c r="FJ93">
        <v>-2.3879999999999999</v>
      </c>
      <c r="FK93">
        <v>-8.9999999999999993E-3</v>
      </c>
      <c r="FL93">
        <v>10</v>
      </c>
      <c r="FM93">
        <v>16</v>
      </c>
      <c r="FN93">
        <v>0.24</v>
      </c>
      <c r="FO93">
        <v>0.01</v>
      </c>
      <c r="FP93">
        <v>2.3034369556989129</v>
      </c>
      <c r="FQ93">
        <v>-0.64725854234631885</v>
      </c>
      <c r="FR93">
        <v>8.8741600967541495E-2</v>
      </c>
      <c r="FS93">
        <v>1</v>
      </c>
      <c r="FT93">
        <v>0.677555085068417</v>
      </c>
      <c r="FU93">
        <v>-5.849959584540025E-3</v>
      </c>
      <c r="FV93">
        <v>4.8662725533990007E-3</v>
      </c>
      <c r="FW93">
        <v>1</v>
      </c>
      <c r="FX93">
        <v>2</v>
      </c>
      <c r="FY93">
        <v>2</v>
      </c>
      <c r="FZ93" t="s">
        <v>420</v>
      </c>
      <c r="GA93">
        <v>2.97743</v>
      </c>
      <c r="GB93">
        <v>2.8062100000000001</v>
      </c>
      <c r="GC93">
        <v>2.7665699999999999E-3</v>
      </c>
      <c r="GD93">
        <v>2.8492999999999999E-3</v>
      </c>
      <c r="GE93">
        <v>0.122005</v>
      </c>
      <c r="GF93">
        <v>8.9118699999999995E-2</v>
      </c>
      <c r="GG93">
        <v>29449.7</v>
      </c>
      <c r="GH93">
        <v>27312</v>
      </c>
      <c r="GI93">
        <v>26549.3</v>
      </c>
      <c r="GJ93">
        <v>25870.2</v>
      </c>
      <c r="GK93">
        <v>31718.7</v>
      </c>
      <c r="GL93">
        <v>33259.4</v>
      </c>
      <c r="GM93">
        <v>37614.800000000003</v>
      </c>
      <c r="GN93">
        <v>38382.800000000003</v>
      </c>
      <c r="GO93">
        <v>1.9690000000000001</v>
      </c>
      <c r="GP93">
        <v>1.9013</v>
      </c>
      <c r="GQ93">
        <v>4.1574199999999999E-2</v>
      </c>
      <c r="GR93">
        <v>0</v>
      </c>
      <c r="GS93">
        <v>27.09</v>
      </c>
      <c r="GT93">
        <v>999.9</v>
      </c>
      <c r="GU93">
        <v>40.200000000000003</v>
      </c>
      <c r="GV93">
        <v>34.4</v>
      </c>
      <c r="GW93">
        <v>22.0654</v>
      </c>
      <c r="GX93">
        <v>62.194000000000003</v>
      </c>
      <c r="GY93">
        <v>12.243600000000001</v>
      </c>
      <c r="GZ93">
        <v>1</v>
      </c>
      <c r="HA93">
        <v>0.44117899999999999</v>
      </c>
      <c r="HB93">
        <v>2.9223699999999999</v>
      </c>
      <c r="HC93">
        <v>20.229500000000002</v>
      </c>
      <c r="HD93">
        <v>5.2059100000000003</v>
      </c>
      <c r="HE93">
        <v>11.9381</v>
      </c>
      <c r="HF93">
        <v>4.9863499999999998</v>
      </c>
      <c r="HG93">
        <v>3.2896299999999998</v>
      </c>
      <c r="HH93">
        <v>9999</v>
      </c>
      <c r="HI93">
        <v>9999</v>
      </c>
      <c r="HJ93">
        <v>9999</v>
      </c>
      <c r="HK93">
        <v>999.9</v>
      </c>
      <c r="HL93">
        <v>1.8702700000000001</v>
      </c>
      <c r="HM93">
        <v>1.87653</v>
      </c>
      <c r="HN93">
        <v>1.87425</v>
      </c>
      <c r="HO93">
        <v>1.87256</v>
      </c>
      <c r="HP93">
        <v>1.8730199999999999</v>
      </c>
      <c r="HQ93">
        <v>1.87042</v>
      </c>
      <c r="HR93">
        <v>1.87635</v>
      </c>
      <c r="HS93">
        <v>1.8754599999999999</v>
      </c>
      <c r="HT93">
        <v>5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424</v>
      </c>
      <c r="IB93" t="s">
        <v>424</v>
      </c>
      <c r="IC93" t="s">
        <v>423</v>
      </c>
      <c r="ID93">
        <v>0</v>
      </c>
      <c r="IE93">
        <v>100</v>
      </c>
      <c r="IF93">
        <v>100</v>
      </c>
      <c r="IG93">
        <v>-2.3809999999999998</v>
      </c>
      <c r="IH93">
        <v>0.37459999999999999</v>
      </c>
      <c r="II93">
        <v>-2.3571581288288619</v>
      </c>
      <c r="IJ93">
        <v>-2.536945948238235E-3</v>
      </c>
      <c r="IK93">
        <v>1.581473279927893E-6</v>
      </c>
      <c r="IL93">
        <v>-4.6698293441882044E-10</v>
      </c>
      <c r="IM93">
        <v>-0.14354952412361671</v>
      </c>
      <c r="IN93">
        <v>-1.5895243091576399E-2</v>
      </c>
      <c r="IO93">
        <v>1.559614309849521E-3</v>
      </c>
      <c r="IP93">
        <v>-2.4566050869858518E-6</v>
      </c>
      <c r="IQ93">
        <v>2</v>
      </c>
      <c r="IR93">
        <v>2224</v>
      </c>
      <c r="IS93">
        <v>2</v>
      </c>
      <c r="IT93">
        <v>25</v>
      </c>
      <c r="IU93">
        <v>0.9</v>
      </c>
      <c r="IV93">
        <v>0.6</v>
      </c>
      <c r="IW93">
        <v>0.17456099999999999</v>
      </c>
      <c r="IX93">
        <v>2.5585900000000001</v>
      </c>
      <c r="IY93">
        <v>1.65039</v>
      </c>
      <c r="IZ93">
        <v>2.2912599999999999</v>
      </c>
      <c r="JA93">
        <v>1.50024</v>
      </c>
      <c r="JB93">
        <v>2.4096700000000002</v>
      </c>
      <c r="JC93">
        <v>38.354500000000002</v>
      </c>
      <c r="JD93">
        <v>23.868600000000001</v>
      </c>
      <c r="JE93">
        <v>18</v>
      </c>
      <c r="JF93">
        <v>506.291</v>
      </c>
      <c r="JG93">
        <v>455.298</v>
      </c>
      <c r="JH93">
        <v>24.5322</v>
      </c>
      <c r="JI93">
        <v>32.7577</v>
      </c>
      <c r="JJ93">
        <v>30.000299999999999</v>
      </c>
      <c r="JK93">
        <v>32.768599999999999</v>
      </c>
      <c r="JL93">
        <v>32.742100000000001</v>
      </c>
      <c r="JM93">
        <v>3.5329799999999998</v>
      </c>
      <c r="JN93">
        <v>40.323099999999997</v>
      </c>
      <c r="JO93">
        <v>39.514299999999999</v>
      </c>
      <c r="JP93">
        <v>24.5198</v>
      </c>
      <c r="JQ93">
        <v>10</v>
      </c>
      <c r="JR93">
        <v>15.9169</v>
      </c>
      <c r="JS93">
        <v>99.825000000000003</v>
      </c>
      <c r="JT93">
        <v>99.026300000000006</v>
      </c>
    </row>
    <row r="94" spans="1:280" x14ac:dyDescent="0.25">
      <c r="A94">
        <v>78</v>
      </c>
      <c r="B94">
        <v>1674593561</v>
      </c>
      <c r="C94">
        <v>19426.400000095371</v>
      </c>
      <c r="D94" t="s">
        <v>814</v>
      </c>
      <c r="E94" t="s">
        <v>815</v>
      </c>
      <c r="F94" t="s">
        <v>412</v>
      </c>
      <c r="G94" t="s">
        <v>780</v>
      </c>
      <c r="H94" t="s">
        <v>494</v>
      </c>
      <c r="I94">
        <v>1674593561</v>
      </c>
      <c r="J94">
        <f t="shared" si="92"/>
        <v>6.8757450546758662E-3</v>
      </c>
      <c r="K94">
        <f t="shared" si="93"/>
        <v>6.8757450546758658</v>
      </c>
      <c r="L94">
        <f t="shared" si="94"/>
        <v>43.564053300659843</v>
      </c>
      <c r="M94">
        <f t="shared" si="95"/>
        <v>344.85300000000001</v>
      </c>
      <c r="N94">
        <f t="shared" si="96"/>
        <v>204.87548262247773</v>
      </c>
      <c r="O94">
        <f t="shared" si="97"/>
        <v>20.411570394392708</v>
      </c>
      <c r="P94">
        <f t="shared" si="98"/>
        <v>34.357411609803002</v>
      </c>
      <c r="Q94">
        <f t="shared" si="99"/>
        <v>0.56722703952895159</v>
      </c>
      <c r="R94">
        <f t="shared" si="100"/>
        <v>2.920618873519683</v>
      </c>
      <c r="S94">
        <f t="shared" si="101"/>
        <v>0.51238183993471276</v>
      </c>
      <c r="T94">
        <f t="shared" si="102"/>
        <v>0.32472321698614359</v>
      </c>
      <c r="U94">
        <f t="shared" si="103"/>
        <v>344.38209860509511</v>
      </c>
      <c r="V94">
        <f t="shared" si="104"/>
        <v>28.251759798817933</v>
      </c>
      <c r="W94">
        <f t="shared" si="105"/>
        <v>27.784600000000001</v>
      </c>
      <c r="X94">
        <f t="shared" si="106"/>
        <v>3.7474477951938447</v>
      </c>
      <c r="Y94">
        <f t="shared" si="107"/>
        <v>64.58475276071276</v>
      </c>
      <c r="Z94">
        <f t="shared" si="108"/>
        <v>2.4521025531573</v>
      </c>
      <c r="AA94">
        <f t="shared" si="109"/>
        <v>3.7967205080777622</v>
      </c>
      <c r="AB94">
        <f t="shared" si="110"/>
        <v>1.2953452420365448</v>
      </c>
      <c r="AC94">
        <f t="shared" si="111"/>
        <v>-303.22035691120573</v>
      </c>
      <c r="AD94">
        <f t="shared" si="112"/>
        <v>35.254489014388412</v>
      </c>
      <c r="AE94">
        <f t="shared" si="113"/>
        <v>2.6284663994442252</v>
      </c>
      <c r="AF94">
        <f t="shared" si="114"/>
        <v>79.044697107722016</v>
      </c>
      <c r="AG94">
        <v>0</v>
      </c>
      <c r="AH94">
        <v>0</v>
      </c>
      <c r="AI94">
        <f t="shared" si="115"/>
        <v>1</v>
      </c>
      <c r="AJ94">
        <f t="shared" si="116"/>
        <v>0</v>
      </c>
      <c r="AK94">
        <f t="shared" si="117"/>
        <v>52432.980648457014</v>
      </c>
      <c r="AL94" t="s">
        <v>415</v>
      </c>
      <c r="AM94">
        <v>10424.1</v>
      </c>
      <c r="AN94">
        <v>628.54280000000006</v>
      </c>
      <c r="AO94">
        <v>2663.98</v>
      </c>
      <c r="AP94">
        <f t="shared" si="118"/>
        <v>0.76405873917972356</v>
      </c>
      <c r="AQ94">
        <v>-3.1675626227050531</v>
      </c>
      <c r="AR94" t="s">
        <v>816</v>
      </c>
      <c r="AS94">
        <v>10198.6</v>
      </c>
      <c r="AT94">
        <v>727.05503846153852</v>
      </c>
      <c r="AU94">
        <v>1020.141466617571</v>
      </c>
      <c r="AV94">
        <f t="shared" si="119"/>
        <v>0.28729978904573272</v>
      </c>
      <c r="AW94">
        <v>0.5</v>
      </c>
      <c r="AX94">
        <f t="shared" si="120"/>
        <v>1513.2431993025475</v>
      </c>
      <c r="AY94">
        <f t="shared" si="121"/>
        <v>43.564053300659843</v>
      </c>
      <c r="AZ94">
        <f t="shared" si="122"/>
        <v>217.37722596725578</v>
      </c>
      <c r="BA94">
        <f t="shared" si="123"/>
        <v>3.0881761731956541E-2</v>
      </c>
      <c r="BB94">
        <f t="shared" si="124"/>
        <v>1.6113829181288133</v>
      </c>
      <c r="BC94">
        <f t="shared" si="125"/>
        <v>455.40253001866733</v>
      </c>
      <c r="BD94" t="s">
        <v>817</v>
      </c>
      <c r="BE94">
        <v>554.45000000000005</v>
      </c>
      <c r="BF94">
        <f t="shared" si="126"/>
        <v>554.45000000000005</v>
      </c>
      <c r="BG94">
        <f t="shared" si="127"/>
        <v>0.45649694856698597</v>
      </c>
      <c r="BH94">
        <f t="shared" si="128"/>
        <v>0.62935752352257956</v>
      </c>
      <c r="BI94">
        <f t="shared" si="129"/>
        <v>0.77924397063916095</v>
      </c>
      <c r="BJ94">
        <f t="shared" si="130"/>
        <v>0.74843571528872455</v>
      </c>
      <c r="BK94">
        <f t="shared" si="131"/>
        <v>0.8076095560120593</v>
      </c>
      <c r="BL94">
        <f t="shared" si="132"/>
        <v>0.47994616701298565</v>
      </c>
      <c r="BM94">
        <f t="shared" si="133"/>
        <v>0.52005383298701435</v>
      </c>
      <c r="BN94">
        <v>20319</v>
      </c>
      <c r="BO94">
        <v>290.00000000000011</v>
      </c>
      <c r="BP94">
        <v>946.07</v>
      </c>
      <c r="BQ94">
        <v>235</v>
      </c>
      <c r="BR94">
        <v>10198.6</v>
      </c>
      <c r="BS94">
        <v>946.05</v>
      </c>
      <c r="BT94">
        <v>0.02</v>
      </c>
      <c r="BU94">
        <v>300.00000000000011</v>
      </c>
      <c r="BV94">
        <v>24.2</v>
      </c>
      <c r="BW94">
        <v>1020.141466617571</v>
      </c>
      <c r="BX94">
        <v>1.9695869690472161</v>
      </c>
      <c r="BY94">
        <v>-75.558735409419882</v>
      </c>
      <c r="BZ94">
        <v>1.7880443235527239</v>
      </c>
      <c r="CA94">
        <v>0.98456209577000442</v>
      </c>
      <c r="CB94">
        <v>-6.9465174638487261E-3</v>
      </c>
      <c r="CC94">
        <v>289.99999999999989</v>
      </c>
      <c r="CD94">
        <v>944.49</v>
      </c>
      <c r="CE94">
        <v>685</v>
      </c>
      <c r="CF94">
        <v>10169.1</v>
      </c>
      <c r="CG94">
        <v>945.84</v>
      </c>
      <c r="CH94">
        <v>-1.35</v>
      </c>
      <c r="CV94">
        <f t="shared" si="134"/>
        <v>1800.07</v>
      </c>
      <c r="CW94">
        <f t="shared" si="135"/>
        <v>1513.2431993025475</v>
      </c>
      <c r="CX94">
        <f t="shared" si="136"/>
        <v>0.8406579740246477</v>
      </c>
      <c r="CY94">
        <f t="shared" si="137"/>
        <v>0.19131594804929536</v>
      </c>
      <c r="CZ94">
        <v>6</v>
      </c>
      <c r="DA94">
        <v>0.5</v>
      </c>
      <c r="DB94" t="s">
        <v>418</v>
      </c>
      <c r="DC94">
        <v>2</v>
      </c>
      <c r="DD94">
        <v>1674593561</v>
      </c>
      <c r="DE94">
        <v>344.85300000000001</v>
      </c>
      <c r="DF94">
        <v>399.96</v>
      </c>
      <c r="DG94">
        <v>24.612300000000001</v>
      </c>
      <c r="DH94">
        <v>16.566700000000001</v>
      </c>
      <c r="DI94">
        <v>348.053</v>
      </c>
      <c r="DJ94">
        <v>24.258800000000001</v>
      </c>
      <c r="DK94">
        <v>500.13799999999998</v>
      </c>
      <c r="DL94">
        <v>99.5291</v>
      </c>
      <c r="DM94">
        <v>0.100051</v>
      </c>
      <c r="DN94">
        <v>28.008500000000002</v>
      </c>
      <c r="DO94">
        <v>27.784600000000001</v>
      </c>
      <c r="DP94">
        <v>999.9</v>
      </c>
      <c r="DQ94">
        <v>0</v>
      </c>
      <c r="DR94">
        <v>0</v>
      </c>
      <c r="DS94">
        <v>9996.25</v>
      </c>
      <c r="DT94">
        <v>0</v>
      </c>
      <c r="DU94">
        <v>370.529</v>
      </c>
      <c r="DV94">
        <v>-55.106900000000003</v>
      </c>
      <c r="DW94">
        <v>353.55500000000001</v>
      </c>
      <c r="DX94">
        <v>406.697</v>
      </c>
      <c r="DY94">
        <v>8.0456400000000006</v>
      </c>
      <c r="DZ94">
        <v>399.96</v>
      </c>
      <c r="EA94">
        <v>16.566700000000001</v>
      </c>
      <c r="EB94">
        <v>2.44964</v>
      </c>
      <c r="EC94">
        <v>1.6488700000000001</v>
      </c>
      <c r="ED94">
        <v>20.695699999999999</v>
      </c>
      <c r="EE94">
        <v>14.423299999999999</v>
      </c>
      <c r="EF94">
        <v>1800.07</v>
      </c>
      <c r="EG94">
        <v>0.97800699999999996</v>
      </c>
      <c r="EH94">
        <v>2.1992500000000002E-2</v>
      </c>
      <c r="EI94">
        <v>0</v>
      </c>
      <c r="EJ94">
        <v>726.721</v>
      </c>
      <c r="EK94">
        <v>5.0010599999999998</v>
      </c>
      <c r="EL94">
        <v>13513.3</v>
      </c>
      <c r="EM94">
        <v>16711.8</v>
      </c>
      <c r="EN94">
        <v>48.811999999999998</v>
      </c>
      <c r="EO94">
        <v>49.686999999999998</v>
      </c>
      <c r="EP94">
        <v>49.811999999999998</v>
      </c>
      <c r="EQ94">
        <v>48.436999999999998</v>
      </c>
      <c r="ER94">
        <v>49.625</v>
      </c>
      <c r="ES94">
        <v>1755.59</v>
      </c>
      <c r="ET94">
        <v>39.479999999999997</v>
      </c>
      <c r="EU94">
        <v>0</v>
      </c>
      <c r="EV94">
        <v>187.4000000953674</v>
      </c>
      <c r="EW94">
        <v>0</v>
      </c>
      <c r="EX94">
        <v>727.05503846153852</v>
      </c>
      <c r="EY94">
        <v>-3.3698119633649921</v>
      </c>
      <c r="EZ94">
        <v>-53.25811971441869</v>
      </c>
      <c r="FA94">
        <v>13519.04615384615</v>
      </c>
      <c r="FB94">
        <v>15</v>
      </c>
      <c r="FC94">
        <v>1674593466.5</v>
      </c>
      <c r="FD94" t="s">
        <v>818</v>
      </c>
      <c r="FE94">
        <v>1674593447</v>
      </c>
      <c r="FF94">
        <v>1674593466.5</v>
      </c>
      <c r="FG94">
        <v>87</v>
      </c>
      <c r="FH94">
        <v>-0.13200000000000001</v>
      </c>
      <c r="FI94">
        <v>0</v>
      </c>
      <c r="FJ94">
        <v>-3.286</v>
      </c>
      <c r="FK94">
        <v>-1.6E-2</v>
      </c>
      <c r="FL94">
        <v>400</v>
      </c>
      <c r="FM94">
        <v>16</v>
      </c>
      <c r="FN94">
        <v>0.04</v>
      </c>
      <c r="FO94">
        <v>0.01</v>
      </c>
      <c r="FP94">
        <v>42.455913216273757</v>
      </c>
      <c r="FQ94">
        <v>6.2801914475039409</v>
      </c>
      <c r="FR94">
        <v>0.62165714056728116</v>
      </c>
      <c r="FS94">
        <v>0</v>
      </c>
      <c r="FT94">
        <v>0.57818945198009919</v>
      </c>
      <c r="FU94">
        <v>-5.518240832574476E-2</v>
      </c>
      <c r="FV94">
        <v>5.9629860218336772E-3</v>
      </c>
      <c r="FW94">
        <v>0</v>
      </c>
      <c r="FX94">
        <v>0</v>
      </c>
      <c r="FY94">
        <v>2</v>
      </c>
      <c r="FZ94" t="s">
        <v>460</v>
      </c>
      <c r="GA94">
        <v>2.9775499999999999</v>
      </c>
      <c r="GB94">
        <v>2.8063400000000001</v>
      </c>
      <c r="GC94">
        <v>8.7114999999999998E-2</v>
      </c>
      <c r="GD94">
        <v>9.5993300000000004E-2</v>
      </c>
      <c r="GE94">
        <v>0.12069000000000001</v>
      </c>
      <c r="GF94">
        <v>9.1396699999999997E-2</v>
      </c>
      <c r="GG94">
        <v>26955.4</v>
      </c>
      <c r="GH94">
        <v>24753.599999999999</v>
      </c>
      <c r="GI94">
        <v>26545.599999999999</v>
      </c>
      <c r="GJ94">
        <v>25862.799999999999</v>
      </c>
      <c r="GK94">
        <v>31763</v>
      </c>
      <c r="GL94">
        <v>33168.699999999997</v>
      </c>
      <c r="GM94">
        <v>37609.300000000003</v>
      </c>
      <c r="GN94">
        <v>38373.300000000003</v>
      </c>
      <c r="GO94">
        <v>1.9674700000000001</v>
      </c>
      <c r="GP94">
        <v>1.90205</v>
      </c>
      <c r="GQ94">
        <v>3.6787199999999999E-2</v>
      </c>
      <c r="GR94">
        <v>0</v>
      </c>
      <c r="GS94">
        <v>27.183499999999999</v>
      </c>
      <c r="GT94">
        <v>999.9</v>
      </c>
      <c r="GU94">
        <v>39.5</v>
      </c>
      <c r="GV94">
        <v>34.5</v>
      </c>
      <c r="GW94">
        <v>21.804400000000001</v>
      </c>
      <c r="GX94">
        <v>62.094000000000001</v>
      </c>
      <c r="GY94">
        <v>12.083299999999999</v>
      </c>
      <c r="GZ94">
        <v>1</v>
      </c>
      <c r="HA94">
        <v>0.44961400000000001</v>
      </c>
      <c r="HB94">
        <v>2.8458299999999999</v>
      </c>
      <c r="HC94">
        <v>20.230899999999998</v>
      </c>
      <c r="HD94">
        <v>5.2053099999999999</v>
      </c>
      <c r="HE94">
        <v>11.9381</v>
      </c>
      <c r="HF94">
        <v>4.9874499999999999</v>
      </c>
      <c r="HG94">
        <v>3.2901500000000001</v>
      </c>
      <c r="HH94">
        <v>9999</v>
      </c>
      <c r="HI94">
        <v>9999</v>
      </c>
      <c r="HJ94">
        <v>9999</v>
      </c>
      <c r="HK94">
        <v>999.9</v>
      </c>
      <c r="HL94">
        <v>1.8702799999999999</v>
      </c>
      <c r="HM94">
        <v>1.87653</v>
      </c>
      <c r="HN94">
        <v>1.8742399999999999</v>
      </c>
      <c r="HO94">
        <v>1.87256</v>
      </c>
      <c r="HP94">
        <v>1.8730199999999999</v>
      </c>
      <c r="HQ94">
        <v>1.87042</v>
      </c>
      <c r="HR94">
        <v>1.8763099999999999</v>
      </c>
      <c r="HS94">
        <v>1.8754299999999999</v>
      </c>
      <c r="HT94">
        <v>5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424</v>
      </c>
      <c r="IB94" t="s">
        <v>424</v>
      </c>
      <c r="IC94" t="s">
        <v>423</v>
      </c>
      <c r="ID94">
        <v>0</v>
      </c>
      <c r="IE94">
        <v>100</v>
      </c>
      <c r="IF94">
        <v>100</v>
      </c>
      <c r="IG94">
        <v>-3.2</v>
      </c>
      <c r="IH94">
        <v>0.35349999999999998</v>
      </c>
      <c r="II94">
        <v>-2.489136364946249</v>
      </c>
      <c r="IJ94">
        <v>-2.536945948238235E-3</v>
      </c>
      <c r="IK94">
        <v>1.581473279927893E-6</v>
      </c>
      <c r="IL94">
        <v>-4.6698293441882044E-10</v>
      </c>
      <c r="IM94">
        <v>-0.14359746285094191</v>
      </c>
      <c r="IN94">
        <v>-1.5895243091576399E-2</v>
      </c>
      <c r="IO94">
        <v>1.559614309849521E-3</v>
      </c>
      <c r="IP94">
        <v>-2.4566050869858518E-6</v>
      </c>
      <c r="IQ94">
        <v>2</v>
      </c>
      <c r="IR94">
        <v>2224</v>
      </c>
      <c r="IS94">
        <v>2</v>
      </c>
      <c r="IT94">
        <v>25</v>
      </c>
      <c r="IU94">
        <v>1.9</v>
      </c>
      <c r="IV94">
        <v>1.6</v>
      </c>
      <c r="IW94">
        <v>0.93627899999999997</v>
      </c>
      <c r="IX94">
        <v>2.50122</v>
      </c>
      <c r="IY94">
        <v>1.65039</v>
      </c>
      <c r="IZ94">
        <v>2.2900399999999999</v>
      </c>
      <c r="JA94">
        <v>1.50024</v>
      </c>
      <c r="JB94">
        <v>2.3754900000000001</v>
      </c>
      <c r="JC94">
        <v>38.354500000000002</v>
      </c>
      <c r="JD94">
        <v>23.868600000000001</v>
      </c>
      <c r="JE94">
        <v>18</v>
      </c>
      <c r="JF94">
        <v>505.85</v>
      </c>
      <c r="JG94">
        <v>456.32400000000001</v>
      </c>
      <c r="JH94">
        <v>24.590599999999998</v>
      </c>
      <c r="JI94">
        <v>32.857199999999999</v>
      </c>
      <c r="JJ94">
        <v>30.0002</v>
      </c>
      <c r="JK94">
        <v>32.8384</v>
      </c>
      <c r="JL94">
        <v>32.813200000000002</v>
      </c>
      <c r="JM94">
        <v>18.785399999999999</v>
      </c>
      <c r="JN94">
        <v>34.681100000000001</v>
      </c>
      <c r="JO94">
        <v>37.123600000000003</v>
      </c>
      <c r="JP94">
        <v>24.589600000000001</v>
      </c>
      <c r="JQ94">
        <v>400</v>
      </c>
      <c r="JR94">
        <v>16.6859</v>
      </c>
      <c r="JS94">
        <v>99.810699999999997</v>
      </c>
      <c r="JT94">
        <v>99.000200000000007</v>
      </c>
    </row>
    <row r="95" spans="1:280" x14ac:dyDescent="0.25">
      <c r="A95">
        <v>79</v>
      </c>
      <c r="B95">
        <v>1674593750.5</v>
      </c>
      <c r="C95">
        <v>19615.900000095371</v>
      </c>
      <c r="D95" t="s">
        <v>819</v>
      </c>
      <c r="E95" t="s">
        <v>820</v>
      </c>
      <c r="F95" t="s">
        <v>412</v>
      </c>
      <c r="G95" t="s">
        <v>780</v>
      </c>
      <c r="H95" t="s">
        <v>494</v>
      </c>
      <c r="I95">
        <v>1674593750.5</v>
      </c>
      <c r="J95">
        <f t="shared" si="92"/>
        <v>6.1844605194720922E-3</v>
      </c>
      <c r="K95">
        <f t="shared" si="93"/>
        <v>6.1844605194720925</v>
      </c>
      <c r="L95">
        <f t="shared" si="94"/>
        <v>52.563224666468678</v>
      </c>
      <c r="M95">
        <f t="shared" si="95"/>
        <v>334.45100000000002</v>
      </c>
      <c r="N95">
        <f t="shared" si="96"/>
        <v>150.22781055180562</v>
      </c>
      <c r="O95">
        <f t="shared" si="97"/>
        <v>14.967134781281761</v>
      </c>
      <c r="P95">
        <f t="shared" si="98"/>
        <v>33.321215135517406</v>
      </c>
      <c r="Q95">
        <f t="shared" si="99"/>
        <v>0.5081354508363416</v>
      </c>
      <c r="R95">
        <f t="shared" si="100"/>
        <v>2.9219501068245268</v>
      </c>
      <c r="S95">
        <f t="shared" si="101"/>
        <v>0.46366127175693128</v>
      </c>
      <c r="T95">
        <f t="shared" si="102"/>
        <v>0.29345905535911188</v>
      </c>
      <c r="U95">
        <f t="shared" si="103"/>
        <v>344.37259860505628</v>
      </c>
      <c r="V95">
        <f t="shared" si="104"/>
        <v>28.421292871717476</v>
      </c>
      <c r="W95">
        <f t="shared" si="105"/>
        <v>27.823599999999999</v>
      </c>
      <c r="X95">
        <f t="shared" si="106"/>
        <v>3.7559900109753785</v>
      </c>
      <c r="Y95">
        <f t="shared" si="107"/>
        <v>65.059017277289854</v>
      </c>
      <c r="Z95">
        <f t="shared" si="108"/>
        <v>2.4686119536384599</v>
      </c>
      <c r="AA95">
        <f t="shared" si="109"/>
        <v>3.7944193702110809</v>
      </c>
      <c r="AB95">
        <f t="shared" si="110"/>
        <v>1.2873780573369187</v>
      </c>
      <c r="AC95">
        <f t="shared" si="111"/>
        <v>-272.73470890871926</v>
      </c>
      <c r="AD95">
        <f t="shared" si="112"/>
        <v>27.48866639076742</v>
      </c>
      <c r="AE95">
        <f t="shared" si="113"/>
        <v>2.0488287578572182</v>
      </c>
      <c r="AF95">
        <f t="shared" si="114"/>
        <v>101.17538484496167</v>
      </c>
      <c r="AG95">
        <v>0</v>
      </c>
      <c r="AH95">
        <v>0</v>
      </c>
      <c r="AI95">
        <f t="shared" si="115"/>
        <v>1</v>
      </c>
      <c r="AJ95">
        <f t="shared" si="116"/>
        <v>0</v>
      </c>
      <c r="AK95">
        <f t="shared" si="117"/>
        <v>52473.039725898481</v>
      </c>
      <c r="AL95" t="s">
        <v>415</v>
      </c>
      <c r="AM95">
        <v>10424.1</v>
      </c>
      <c r="AN95">
        <v>628.54280000000006</v>
      </c>
      <c r="AO95">
        <v>2663.98</v>
      </c>
      <c r="AP95">
        <f t="shared" si="118"/>
        <v>0.76405873917972356</v>
      </c>
      <c r="AQ95">
        <v>-3.1675626227050531</v>
      </c>
      <c r="AR95" t="s">
        <v>821</v>
      </c>
      <c r="AS95">
        <v>10216.299999999999</v>
      </c>
      <c r="AT95">
        <v>740.664076923077</v>
      </c>
      <c r="AU95">
        <v>1121.1464766473389</v>
      </c>
      <c r="AV95">
        <f t="shared" si="119"/>
        <v>0.33936903665081408</v>
      </c>
      <c r="AW95">
        <v>0.5</v>
      </c>
      <c r="AX95">
        <f t="shared" si="120"/>
        <v>1513.201199302528</v>
      </c>
      <c r="AY95">
        <f t="shared" si="121"/>
        <v>52.563224666468678</v>
      </c>
      <c r="AZ95">
        <f t="shared" si="122"/>
        <v>256.76681663307772</v>
      </c>
      <c r="BA95">
        <f t="shared" si="123"/>
        <v>3.6829727147230276E-2</v>
      </c>
      <c r="BB95">
        <f t="shared" si="124"/>
        <v>1.3761212789664463</v>
      </c>
      <c r="BC95">
        <f t="shared" si="125"/>
        <v>474.48516010703287</v>
      </c>
      <c r="BD95" t="s">
        <v>822</v>
      </c>
      <c r="BE95">
        <v>566.04</v>
      </c>
      <c r="BF95">
        <f t="shared" si="126"/>
        <v>566.04</v>
      </c>
      <c r="BG95">
        <f t="shared" si="127"/>
        <v>0.49512395410394705</v>
      </c>
      <c r="BH95">
        <f t="shared" si="128"/>
        <v>0.68542237522114824</v>
      </c>
      <c r="BI95">
        <f t="shared" si="129"/>
        <v>0.73540402649868974</v>
      </c>
      <c r="BJ95">
        <f t="shared" si="130"/>
        <v>0.77239049922206326</v>
      </c>
      <c r="BK95">
        <f t="shared" si="131"/>
        <v>0.75798630552328572</v>
      </c>
      <c r="BL95">
        <f t="shared" si="132"/>
        <v>0.5238224633249936</v>
      </c>
      <c r="BM95">
        <f t="shared" si="133"/>
        <v>0.4761775366750064</v>
      </c>
      <c r="BN95">
        <v>20321</v>
      </c>
      <c r="BO95">
        <v>290.00000000000011</v>
      </c>
      <c r="BP95">
        <v>1021.52</v>
      </c>
      <c r="BQ95">
        <v>145</v>
      </c>
      <c r="BR95">
        <v>10216.299999999999</v>
      </c>
      <c r="BS95">
        <v>1020.1</v>
      </c>
      <c r="BT95">
        <v>1.42</v>
      </c>
      <c r="BU95">
        <v>300.00000000000011</v>
      </c>
      <c r="BV95">
        <v>24.2</v>
      </c>
      <c r="BW95">
        <v>1121.1464766473389</v>
      </c>
      <c r="BX95">
        <v>1.767649102860974</v>
      </c>
      <c r="BY95">
        <v>-103.2361564700701</v>
      </c>
      <c r="BZ95">
        <v>1.604751494679989</v>
      </c>
      <c r="CA95">
        <v>0.99327980983889508</v>
      </c>
      <c r="CB95">
        <v>-6.9467557285873196E-3</v>
      </c>
      <c r="CC95">
        <v>289.99999999999989</v>
      </c>
      <c r="CD95">
        <v>1017.02</v>
      </c>
      <c r="CE95">
        <v>655</v>
      </c>
      <c r="CF95">
        <v>10171.6</v>
      </c>
      <c r="CG95">
        <v>1019.65</v>
      </c>
      <c r="CH95">
        <v>-2.63</v>
      </c>
      <c r="CV95">
        <f t="shared" si="134"/>
        <v>1800.02</v>
      </c>
      <c r="CW95">
        <f t="shared" si="135"/>
        <v>1513.201199302528</v>
      </c>
      <c r="CX95">
        <f t="shared" si="136"/>
        <v>0.84065799230149008</v>
      </c>
      <c r="CY95">
        <f t="shared" si="137"/>
        <v>0.19131598460298013</v>
      </c>
      <c r="CZ95">
        <v>6</v>
      </c>
      <c r="DA95">
        <v>0.5</v>
      </c>
      <c r="DB95" t="s">
        <v>418</v>
      </c>
      <c r="DC95">
        <v>2</v>
      </c>
      <c r="DD95">
        <v>1674593750.5</v>
      </c>
      <c r="DE95">
        <v>334.45100000000002</v>
      </c>
      <c r="DF95">
        <v>400.00200000000001</v>
      </c>
      <c r="DG95">
        <v>24.777899999999999</v>
      </c>
      <c r="DH95">
        <v>17.5412</v>
      </c>
      <c r="DI95">
        <v>337.69499999999999</v>
      </c>
      <c r="DJ95">
        <v>24.4268</v>
      </c>
      <c r="DK95">
        <v>500.053</v>
      </c>
      <c r="DL95">
        <v>99.529600000000002</v>
      </c>
      <c r="DM95">
        <v>9.9987400000000004E-2</v>
      </c>
      <c r="DN95">
        <v>27.998100000000001</v>
      </c>
      <c r="DO95">
        <v>27.823599999999999</v>
      </c>
      <c r="DP95">
        <v>999.9</v>
      </c>
      <c r="DQ95">
        <v>0</v>
      </c>
      <c r="DR95">
        <v>0</v>
      </c>
      <c r="DS95">
        <v>10003.799999999999</v>
      </c>
      <c r="DT95">
        <v>0</v>
      </c>
      <c r="DU95">
        <v>365.24799999999999</v>
      </c>
      <c r="DV95">
        <v>-65.551699999999997</v>
      </c>
      <c r="DW95">
        <v>342.94799999999998</v>
      </c>
      <c r="DX95">
        <v>407.14400000000001</v>
      </c>
      <c r="DY95">
        <v>7.2366700000000002</v>
      </c>
      <c r="DZ95">
        <v>400.00200000000001</v>
      </c>
      <c r="EA95">
        <v>17.5412</v>
      </c>
      <c r="EB95">
        <v>2.4661300000000002</v>
      </c>
      <c r="EC95">
        <v>1.74587</v>
      </c>
      <c r="ED95">
        <v>20.8047</v>
      </c>
      <c r="EE95">
        <v>15.3104</v>
      </c>
      <c r="EF95">
        <v>1800.02</v>
      </c>
      <c r="EG95">
        <v>0.97800699999999996</v>
      </c>
      <c r="EH95">
        <v>2.1992500000000002E-2</v>
      </c>
      <c r="EI95">
        <v>0</v>
      </c>
      <c r="EJ95">
        <v>741.06100000000004</v>
      </c>
      <c r="EK95">
        <v>5.0010599999999998</v>
      </c>
      <c r="EL95">
        <v>13798.2</v>
      </c>
      <c r="EM95">
        <v>16711.3</v>
      </c>
      <c r="EN95">
        <v>48.875</v>
      </c>
      <c r="EO95">
        <v>49.686999999999998</v>
      </c>
      <c r="EP95">
        <v>49.811999999999998</v>
      </c>
      <c r="EQ95">
        <v>48.436999999999998</v>
      </c>
      <c r="ER95">
        <v>49.686999999999998</v>
      </c>
      <c r="ES95">
        <v>1755.54</v>
      </c>
      <c r="ET95">
        <v>39.479999999999997</v>
      </c>
      <c r="EU95">
        <v>0</v>
      </c>
      <c r="EV95">
        <v>187.4000000953674</v>
      </c>
      <c r="EW95">
        <v>0</v>
      </c>
      <c r="EX95">
        <v>740.664076923077</v>
      </c>
      <c r="EY95">
        <v>5.9171282104013718</v>
      </c>
      <c r="EZ95">
        <v>121.9418804322885</v>
      </c>
      <c r="FA95">
        <v>13782.938461538461</v>
      </c>
      <c r="FB95">
        <v>15</v>
      </c>
      <c r="FC95">
        <v>1674593672.5</v>
      </c>
      <c r="FD95" t="s">
        <v>823</v>
      </c>
      <c r="FE95">
        <v>1674593663.5</v>
      </c>
      <c r="FF95">
        <v>1674593672.5</v>
      </c>
      <c r="FG95">
        <v>88</v>
      </c>
      <c r="FH95">
        <v>-6.0999999999999999E-2</v>
      </c>
      <c r="FI95">
        <v>-1.2E-2</v>
      </c>
      <c r="FJ95">
        <v>-3.347</v>
      </c>
      <c r="FK95">
        <v>0.02</v>
      </c>
      <c r="FL95">
        <v>400</v>
      </c>
      <c r="FM95">
        <v>17</v>
      </c>
      <c r="FN95">
        <v>0.03</v>
      </c>
      <c r="FO95">
        <v>0.02</v>
      </c>
      <c r="FP95">
        <v>52.354457708426963</v>
      </c>
      <c r="FQ95">
        <v>1.0664038007891139</v>
      </c>
      <c r="FR95">
        <v>0.1053559638970815</v>
      </c>
      <c r="FS95">
        <v>0</v>
      </c>
      <c r="FT95">
        <v>0.50869457003481633</v>
      </c>
      <c r="FU95">
        <v>-2.9056989440347258E-3</v>
      </c>
      <c r="FV95">
        <v>4.2469301809165542E-4</v>
      </c>
      <c r="FW95">
        <v>1</v>
      </c>
      <c r="FX95">
        <v>1</v>
      </c>
      <c r="FY95">
        <v>2</v>
      </c>
      <c r="FZ95" t="s">
        <v>676</v>
      </c>
      <c r="GA95">
        <v>2.9772400000000001</v>
      </c>
      <c r="GB95">
        <v>2.8063400000000001</v>
      </c>
      <c r="GC95">
        <v>8.5022799999999996E-2</v>
      </c>
      <c r="GD95">
        <v>9.5993300000000004E-2</v>
      </c>
      <c r="GE95">
        <v>0.121252</v>
      </c>
      <c r="GF95">
        <v>9.5158999999999994E-2</v>
      </c>
      <c r="GG95">
        <v>27015.200000000001</v>
      </c>
      <c r="GH95">
        <v>24749.3</v>
      </c>
      <c r="GI95">
        <v>26543.9</v>
      </c>
      <c r="GJ95">
        <v>25858.6</v>
      </c>
      <c r="GK95">
        <v>31740.400000000001</v>
      </c>
      <c r="GL95">
        <v>33026.199999999997</v>
      </c>
      <c r="GM95">
        <v>37606.300000000003</v>
      </c>
      <c r="GN95">
        <v>38367.4</v>
      </c>
      <c r="GO95">
        <v>1.9655499999999999</v>
      </c>
      <c r="GP95">
        <v>1.9028</v>
      </c>
      <c r="GQ95">
        <v>4.0337400000000002E-2</v>
      </c>
      <c r="GR95">
        <v>0</v>
      </c>
      <c r="GS95">
        <v>27.164400000000001</v>
      </c>
      <c r="GT95">
        <v>999.9</v>
      </c>
      <c r="GU95">
        <v>39.299999999999997</v>
      </c>
      <c r="GV95">
        <v>34.5</v>
      </c>
      <c r="GW95">
        <v>21.6937</v>
      </c>
      <c r="GX95">
        <v>62.004100000000001</v>
      </c>
      <c r="GY95">
        <v>12.620200000000001</v>
      </c>
      <c r="GZ95">
        <v>1</v>
      </c>
      <c r="HA95">
        <v>0.45585100000000001</v>
      </c>
      <c r="HB95">
        <v>2.7918699999999999</v>
      </c>
      <c r="HC95">
        <v>20.232099999999999</v>
      </c>
      <c r="HD95">
        <v>5.2092000000000001</v>
      </c>
      <c r="HE95">
        <v>11.9381</v>
      </c>
      <c r="HF95">
        <v>4.9870999999999999</v>
      </c>
      <c r="HG95">
        <v>3.2903500000000001</v>
      </c>
      <c r="HH95">
        <v>9999</v>
      </c>
      <c r="HI95">
        <v>9999</v>
      </c>
      <c r="HJ95">
        <v>9999</v>
      </c>
      <c r="HK95">
        <v>999.9</v>
      </c>
      <c r="HL95">
        <v>1.8702700000000001</v>
      </c>
      <c r="HM95">
        <v>1.87653</v>
      </c>
      <c r="HN95">
        <v>1.8742399999999999</v>
      </c>
      <c r="HO95">
        <v>1.87256</v>
      </c>
      <c r="HP95">
        <v>1.8730199999999999</v>
      </c>
      <c r="HQ95">
        <v>1.87042</v>
      </c>
      <c r="HR95">
        <v>1.87635</v>
      </c>
      <c r="HS95">
        <v>1.8754500000000001</v>
      </c>
      <c r="HT95">
        <v>5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424</v>
      </c>
      <c r="IB95" t="s">
        <v>424</v>
      </c>
      <c r="IC95" t="s">
        <v>423</v>
      </c>
      <c r="ID95">
        <v>0</v>
      </c>
      <c r="IE95">
        <v>100</v>
      </c>
      <c r="IF95">
        <v>100</v>
      </c>
      <c r="IG95">
        <v>-3.2440000000000002</v>
      </c>
      <c r="IH95">
        <v>0.35110000000000002</v>
      </c>
      <c r="II95">
        <v>-2.5503803454795402</v>
      </c>
      <c r="IJ95">
        <v>-2.536945948238235E-3</v>
      </c>
      <c r="IK95">
        <v>1.581473279927893E-6</v>
      </c>
      <c r="IL95">
        <v>-4.6698293441882044E-10</v>
      </c>
      <c r="IM95">
        <v>-0.15544280175467601</v>
      </c>
      <c r="IN95">
        <v>-1.5895243091576399E-2</v>
      </c>
      <c r="IO95">
        <v>1.559614309849521E-3</v>
      </c>
      <c r="IP95">
        <v>-2.4566050869858518E-6</v>
      </c>
      <c r="IQ95">
        <v>2</v>
      </c>
      <c r="IR95">
        <v>2224</v>
      </c>
      <c r="IS95">
        <v>2</v>
      </c>
      <c r="IT95">
        <v>25</v>
      </c>
      <c r="IU95">
        <v>1.4</v>
      </c>
      <c r="IV95">
        <v>1.3</v>
      </c>
      <c r="IW95">
        <v>0.9375</v>
      </c>
      <c r="IX95">
        <v>2.50732</v>
      </c>
      <c r="IY95">
        <v>1.65039</v>
      </c>
      <c r="IZ95">
        <v>2.2900399999999999</v>
      </c>
      <c r="JA95">
        <v>1.50024</v>
      </c>
      <c r="JB95">
        <v>2.35229</v>
      </c>
      <c r="JC95">
        <v>38.354500000000002</v>
      </c>
      <c r="JD95">
        <v>23.8598</v>
      </c>
      <c r="JE95">
        <v>18</v>
      </c>
      <c r="JF95">
        <v>505.2</v>
      </c>
      <c r="JG95">
        <v>457.375</v>
      </c>
      <c r="JH95">
        <v>24.585999999999999</v>
      </c>
      <c r="JI95">
        <v>32.940199999999997</v>
      </c>
      <c r="JJ95">
        <v>30.0002</v>
      </c>
      <c r="JK95">
        <v>32.914700000000003</v>
      </c>
      <c r="JL95">
        <v>32.887599999999999</v>
      </c>
      <c r="JM95">
        <v>18.8017</v>
      </c>
      <c r="JN95">
        <v>30.7255</v>
      </c>
      <c r="JO95">
        <v>36.841099999999997</v>
      </c>
      <c r="JP95">
        <v>24.587</v>
      </c>
      <c r="JQ95">
        <v>400</v>
      </c>
      <c r="JR95">
        <v>17.554300000000001</v>
      </c>
      <c r="JS95">
        <v>99.803399999999996</v>
      </c>
      <c r="JT95">
        <v>98.9846</v>
      </c>
    </row>
    <row r="96" spans="1:280" x14ac:dyDescent="0.25">
      <c r="A96">
        <v>80</v>
      </c>
      <c r="B96">
        <v>1674593861.0999999</v>
      </c>
      <c r="C96">
        <v>19726.5</v>
      </c>
      <c r="D96" t="s">
        <v>824</v>
      </c>
      <c r="E96" t="s">
        <v>825</v>
      </c>
      <c r="F96" t="s">
        <v>412</v>
      </c>
      <c r="G96" t="s">
        <v>780</v>
      </c>
      <c r="H96" t="s">
        <v>494</v>
      </c>
      <c r="I96">
        <v>1674593861.0999999</v>
      </c>
      <c r="J96">
        <f t="shared" si="92"/>
        <v>6.0645960609214417E-3</v>
      </c>
      <c r="K96">
        <f t="shared" si="93"/>
        <v>6.064596060921442</v>
      </c>
      <c r="L96">
        <f t="shared" si="94"/>
        <v>55.365244204364572</v>
      </c>
      <c r="M96">
        <f t="shared" si="95"/>
        <v>430.447</v>
      </c>
      <c r="N96">
        <f t="shared" si="96"/>
        <v>231.61911077547151</v>
      </c>
      <c r="O96">
        <f t="shared" si="97"/>
        <v>23.076452612492499</v>
      </c>
      <c r="P96">
        <f t="shared" si="98"/>
        <v>42.885881758343601</v>
      </c>
      <c r="Q96">
        <f t="shared" si="99"/>
        <v>0.49893293500968705</v>
      </c>
      <c r="R96">
        <f t="shared" si="100"/>
        <v>2.9241522831598021</v>
      </c>
      <c r="S96">
        <f t="shared" si="101"/>
        <v>0.45601157659101427</v>
      </c>
      <c r="T96">
        <f t="shared" si="102"/>
        <v>0.28855522327310412</v>
      </c>
      <c r="U96">
        <f t="shared" si="103"/>
        <v>344.36499860502533</v>
      </c>
      <c r="V96">
        <f t="shared" si="104"/>
        <v>28.448457277285708</v>
      </c>
      <c r="W96">
        <f t="shared" si="105"/>
        <v>27.8367</v>
      </c>
      <c r="X96">
        <f t="shared" si="106"/>
        <v>3.758863128694367</v>
      </c>
      <c r="Y96">
        <f t="shared" si="107"/>
        <v>65.249436522604199</v>
      </c>
      <c r="Z96">
        <f t="shared" si="108"/>
        <v>2.47530326967436</v>
      </c>
      <c r="AA96">
        <f t="shared" si="109"/>
        <v>3.7936009896680822</v>
      </c>
      <c r="AB96">
        <f t="shared" si="110"/>
        <v>1.283559859020007</v>
      </c>
      <c r="AC96">
        <f t="shared" si="111"/>
        <v>-267.44868628663556</v>
      </c>
      <c r="AD96">
        <f t="shared" si="112"/>
        <v>24.860915797207216</v>
      </c>
      <c r="AE96">
        <f t="shared" si="113"/>
        <v>1.8516643559769412</v>
      </c>
      <c r="AF96">
        <f t="shared" si="114"/>
        <v>103.62889247157392</v>
      </c>
      <c r="AG96">
        <v>0</v>
      </c>
      <c r="AH96">
        <v>0</v>
      </c>
      <c r="AI96">
        <f t="shared" si="115"/>
        <v>1</v>
      </c>
      <c r="AJ96">
        <f t="shared" si="116"/>
        <v>0</v>
      </c>
      <c r="AK96">
        <f t="shared" si="117"/>
        <v>52537.001819804442</v>
      </c>
      <c r="AL96" t="s">
        <v>415</v>
      </c>
      <c r="AM96">
        <v>10424.1</v>
      </c>
      <c r="AN96">
        <v>628.54280000000006</v>
      </c>
      <c r="AO96">
        <v>2663.98</v>
      </c>
      <c r="AP96">
        <f t="shared" si="118"/>
        <v>0.76405873917972356</v>
      </c>
      <c r="AQ96">
        <v>-3.1675626227050531</v>
      </c>
      <c r="AR96" t="s">
        <v>826</v>
      </c>
      <c r="AS96">
        <v>10218.5</v>
      </c>
      <c r="AT96">
        <v>755.21108000000004</v>
      </c>
      <c r="AU96">
        <v>1168.8778514715909</v>
      </c>
      <c r="AV96">
        <f t="shared" si="119"/>
        <v>0.35390076982876673</v>
      </c>
      <c r="AW96">
        <v>0.5</v>
      </c>
      <c r="AX96">
        <f t="shared" si="120"/>
        <v>1513.1675993025126</v>
      </c>
      <c r="AY96">
        <f t="shared" si="121"/>
        <v>55.365244204364572</v>
      </c>
      <c r="AZ96">
        <f t="shared" si="122"/>
        <v>267.755589136553</v>
      </c>
      <c r="BA96">
        <f t="shared" si="123"/>
        <v>3.8682302511664962E-2</v>
      </c>
      <c r="BB96">
        <f t="shared" si="124"/>
        <v>1.2790918628889316</v>
      </c>
      <c r="BC96">
        <f t="shared" si="125"/>
        <v>482.82943944259654</v>
      </c>
      <c r="BD96" t="s">
        <v>827</v>
      </c>
      <c r="BE96">
        <v>572.30999999999995</v>
      </c>
      <c r="BF96">
        <f t="shared" si="126"/>
        <v>572.30999999999995</v>
      </c>
      <c r="BG96">
        <f t="shared" si="127"/>
        <v>0.51037655536078941</v>
      </c>
      <c r="BH96">
        <f t="shared" si="128"/>
        <v>0.693411102276419</v>
      </c>
      <c r="BI96">
        <f t="shared" si="129"/>
        <v>0.71478873270086052</v>
      </c>
      <c r="BJ96">
        <f t="shared" si="130"/>
        <v>0.76557456405054303</v>
      </c>
      <c r="BK96">
        <f t="shared" si="131"/>
        <v>0.73453612252365696</v>
      </c>
      <c r="BL96">
        <f t="shared" si="132"/>
        <v>0.52547707316981807</v>
      </c>
      <c r="BM96">
        <f t="shared" si="133"/>
        <v>0.47452292683018193</v>
      </c>
      <c r="BN96">
        <v>20323</v>
      </c>
      <c r="BO96">
        <v>290.00000000000011</v>
      </c>
      <c r="BP96">
        <v>1059.78</v>
      </c>
      <c r="BQ96">
        <v>135</v>
      </c>
      <c r="BR96">
        <v>10218.5</v>
      </c>
      <c r="BS96">
        <v>1058</v>
      </c>
      <c r="BT96">
        <v>1.78</v>
      </c>
      <c r="BU96">
        <v>300.00000000000011</v>
      </c>
      <c r="BV96">
        <v>24.2</v>
      </c>
      <c r="BW96">
        <v>1168.8778514715909</v>
      </c>
      <c r="BX96">
        <v>1.8160394090959591</v>
      </c>
      <c r="BY96">
        <v>-113.30508848328211</v>
      </c>
      <c r="BZ96">
        <v>1.6486677660561531</v>
      </c>
      <c r="CA96">
        <v>0.99410670070291884</v>
      </c>
      <c r="CB96">
        <v>-6.9469873192436107E-3</v>
      </c>
      <c r="CC96">
        <v>289.99999999999989</v>
      </c>
      <c r="CD96">
        <v>1054.1400000000001</v>
      </c>
      <c r="CE96">
        <v>665</v>
      </c>
      <c r="CF96">
        <v>10170.799999999999</v>
      </c>
      <c r="CG96">
        <v>1057.48</v>
      </c>
      <c r="CH96">
        <v>-3.34</v>
      </c>
      <c r="CV96">
        <f t="shared" si="134"/>
        <v>1799.98</v>
      </c>
      <c r="CW96">
        <f t="shared" si="135"/>
        <v>1513.1675993025126</v>
      </c>
      <c r="CX96">
        <f t="shared" si="136"/>
        <v>0.84065800692369508</v>
      </c>
      <c r="CY96">
        <f t="shared" si="137"/>
        <v>0.19131601384739017</v>
      </c>
      <c r="CZ96">
        <v>6</v>
      </c>
      <c r="DA96">
        <v>0.5</v>
      </c>
      <c r="DB96" t="s">
        <v>418</v>
      </c>
      <c r="DC96">
        <v>2</v>
      </c>
      <c r="DD96">
        <v>1674593861.0999999</v>
      </c>
      <c r="DE96">
        <v>430.447</v>
      </c>
      <c r="DF96">
        <v>500.00799999999998</v>
      </c>
      <c r="DG96">
        <v>24.8447</v>
      </c>
      <c r="DH96">
        <v>17.748999999999999</v>
      </c>
      <c r="DI96">
        <v>433.91399999999999</v>
      </c>
      <c r="DJ96">
        <v>24.4939</v>
      </c>
      <c r="DK96">
        <v>500.07100000000003</v>
      </c>
      <c r="DL96">
        <v>99.531400000000005</v>
      </c>
      <c r="DM96">
        <v>9.96388E-2</v>
      </c>
      <c r="DN96">
        <v>27.994399999999999</v>
      </c>
      <c r="DO96">
        <v>27.8367</v>
      </c>
      <c r="DP96">
        <v>999.9</v>
      </c>
      <c r="DQ96">
        <v>0</v>
      </c>
      <c r="DR96">
        <v>0</v>
      </c>
      <c r="DS96">
        <v>10016.200000000001</v>
      </c>
      <c r="DT96">
        <v>0</v>
      </c>
      <c r="DU96">
        <v>366.02199999999999</v>
      </c>
      <c r="DV96">
        <v>-69.560500000000005</v>
      </c>
      <c r="DW96">
        <v>441.41399999999999</v>
      </c>
      <c r="DX96">
        <v>509.04300000000001</v>
      </c>
      <c r="DY96">
        <v>7.0956900000000003</v>
      </c>
      <c r="DZ96">
        <v>500.00799999999998</v>
      </c>
      <c r="EA96">
        <v>17.748999999999999</v>
      </c>
      <c r="EB96">
        <v>2.4728300000000001</v>
      </c>
      <c r="EC96">
        <v>1.76658</v>
      </c>
      <c r="ED96">
        <v>20.848700000000001</v>
      </c>
      <c r="EE96">
        <v>15.494199999999999</v>
      </c>
      <c r="EF96">
        <v>1799.98</v>
      </c>
      <c r="EG96">
        <v>0.97800699999999996</v>
      </c>
      <c r="EH96">
        <v>2.1992500000000002E-2</v>
      </c>
      <c r="EI96">
        <v>0</v>
      </c>
      <c r="EJ96">
        <v>755.59699999999998</v>
      </c>
      <c r="EK96">
        <v>5.0010599999999998</v>
      </c>
      <c r="EL96">
        <v>14065.7</v>
      </c>
      <c r="EM96">
        <v>16710.900000000001</v>
      </c>
      <c r="EN96">
        <v>48.875</v>
      </c>
      <c r="EO96">
        <v>49.686999999999998</v>
      </c>
      <c r="EP96">
        <v>49.875</v>
      </c>
      <c r="EQ96">
        <v>48.436999999999998</v>
      </c>
      <c r="ER96">
        <v>49.686999999999998</v>
      </c>
      <c r="ES96">
        <v>1755.5</v>
      </c>
      <c r="ET96">
        <v>39.479999999999997</v>
      </c>
      <c r="EU96">
        <v>0</v>
      </c>
      <c r="EV96">
        <v>108.7999999523163</v>
      </c>
      <c r="EW96">
        <v>0</v>
      </c>
      <c r="EX96">
        <v>755.21108000000004</v>
      </c>
      <c r="EY96">
        <v>3.268846162366672</v>
      </c>
      <c r="EZ96">
        <v>67.630769320719708</v>
      </c>
      <c r="FA96">
        <v>14058.736000000001</v>
      </c>
      <c r="FB96">
        <v>15</v>
      </c>
      <c r="FC96">
        <v>1674593827.5999999</v>
      </c>
      <c r="FD96" t="s">
        <v>828</v>
      </c>
      <c r="FE96">
        <v>1674593817.5</v>
      </c>
      <c r="FF96">
        <v>1674593827.5999999</v>
      </c>
      <c r="FG96">
        <v>89</v>
      </c>
      <c r="FH96">
        <v>-7.4999999999999997E-2</v>
      </c>
      <c r="FI96">
        <v>-4.0000000000000001E-3</v>
      </c>
      <c r="FJ96">
        <v>-3.5619999999999998</v>
      </c>
      <c r="FK96">
        <v>3.1E-2</v>
      </c>
      <c r="FL96">
        <v>500</v>
      </c>
      <c r="FM96">
        <v>18</v>
      </c>
      <c r="FN96">
        <v>0.02</v>
      </c>
      <c r="FO96">
        <v>0.01</v>
      </c>
      <c r="FP96">
        <v>55.32880687594016</v>
      </c>
      <c r="FQ96">
        <v>-0.2306599451557636</v>
      </c>
      <c r="FR96">
        <v>7.8161865059412097E-2</v>
      </c>
      <c r="FS96">
        <v>1</v>
      </c>
      <c r="FT96">
        <v>0.51055546023761467</v>
      </c>
      <c r="FU96">
        <v>-4.1382369415472277E-2</v>
      </c>
      <c r="FV96">
        <v>4.9003681682958343E-3</v>
      </c>
      <c r="FW96">
        <v>1</v>
      </c>
      <c r="FX96">
        <v>2</v>
      </c>
      <c r="FY96">
        <v>2</v>
      </c>
      <c r="FZ96" t="s">
        <v>420</v>
      </c>
      <c r="GA96">
        <v>2.9772699999999999</v>
      </c>
      <c r="GB96">
        <v>2.8061099999999999</v>
      </c>
      <c r="GC96">
        <v>0.103365</v>
      </c>
      <c r="GD96">
        <v>0.113537</v>
      </c>
      <c r="GE96">
        <v>0.121478</v>
      </c>
      <c r="GF96">
        <v>9.5948699999999998E-2</v>
      </c>
      <c r="GG96">
        <v>26471.3</v>
      </c>
      <c r="GH96">
        <v>24268.1</v>
      </c>
      <c r="GI96">
        <v>26542</v>
      </c>
      <c r="GJ96">
        <v>25858.2</v>
      </c>
      <c r="GK96">
        <v>31730.3</v>
      </c>
      <c r="GL96">
        <v>32997.300000000003</v>
      </c>
      <c r="GM96">
        <v>37603.800000000003</v>
      </c>
      <c r="GN96">
        <v>38367.1</v>
      </c>
      <c r="GO96">
        <v>1.9646300000000001</v>
      </c>
      <c r="GP96">
        <v>1.9034199999999999</v>
      </c>
      <c r="GQ96">
        <v>4.41521E-2</v>
      </c>
      <c r="GR96">
        <v>0</v>
      </c>
      <c r="GS96">
        <v>27.115300000000001</v>
      </c>
      <c r="GT96">
        <v>999.9</v>
      </c>
      <c r="GU96">
        <v>39.200000000000003</v>
      </c>
      <c r="GV96">
        <v>34.5</v>
      </c>
      <c r="GW96">
        <v>21.637799999999999</v>
      </c>
      <c r="GX96">
        <v>61.9741</v>
      </c>
      <c r="GY96">
        <v>12.2676</v>
      </c>
      <c r="GZ96">
        <v>1</v>
      </c>
      <c r="HA96">
        <v>0.45737800000000001</v>
      </c>
      <c r="HB96">
        <v>2.7861500000000001</v>
      </c>
      <c r="HC96">
        <v>20.2317</v>
      </c>
      <c r="HD96">
        <v>5.2050099999999997</v>
      </c>
      <c r="HE96">
        <v>11.9381</v>
      </c>
      <c r="HF96">
        <v>4.9862000000000002</v>
      </c>
      <c r="HG96">
        <v>3.2897500000000002</v>
      </c>
      <c r="HH96">
        <v>9999</v>
      </c>
      <c r="HI96">
        <v>9999</v>
      </c>
      <c r="HJ96">
        <v>9999</v>
      </c>
      <c r="HK96">
        <v>999.9</v>
      </c>
      <c r="HL96">
        <v>1.8702700000000001</v>
      </c>
      <c r="HM96">
        <v>1.87653</v>
      </c>
      <c r="HN96">
        <v>1.8742399999999999</v>
      </c>
      <c r="HO96">
        <v>1.8725499999999999</v>
      </c>
      <c r="HP96">
        <v>1.873</v>
      </c>
      <c r="HQ96">
        <v>1.87042</v>
      </c>
      <c r="HR96">
        <v>1.8763099999999999</v>
      </c>
      <c r="HS96">
        <v>1.8754500000000001</v>
      </c>
      <c r="HT96">
        <v>5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424</v>
      </c>
      <c r="IB96" t="s">
        <v>424</v>
      </c>
      <c r="IC96" t="s">
        <v>423</v>
      </c>
      <c r="ID96">
        <v>0</v>
      </c>
      <c r="IE96">
        <v>100</v>
      </c>
      <c r="IF96">
        <v>100</v>
      </c>
      <c r="IG96">
        <v>-3.4670000000000001</v>
      </c>
      <c r="IH96">
        <v>0.3508</v>
      </c>
      <c r="II96">
        <v>-2.625873852534792</v>
      </c>
      <c r="IJ96">
        <v>-2.536945948238235E-3</v>
      </c>
      <c r="IK96">
        <v>1.581473279927893E-6</v>
      </c>
      <c r="IL96">
        <v>-4.6698293441882044E-10</v>
      </c>
      <c r="IM96">
        <v>-0.15951394176286021</v>
      </c>
      <c r="IN96">
        <v>-1.5895243091576399E-2</v>
      </c>
      <c r="IO96">
        <v>1.559614309849521E-3</v>
      </c>
      <c r="IP96">
        <v>-2.4566050869858518E-6</v>
      </c>
      <c r="IQ96">
        <v>2</v>
      </c>
      <c r="IR96">
        <v>2224</v>
      </c>
      <c r="IS96">
        <v>2</v>
      </c>
      <c r="IT96">
        <v>25</v>
      </c>
      <c r="IU96">
        <v>0.7</v>
      </c>
      <c r="IV96">
        <v>0.6</v>
      </c>
      <c r="IW96">
        <v>1.11938</v>
      </c>
      <c r="IX96">
        <v>2.49878</v>
      </c>
      <c r="IY96">
        <v>1.65039</v>
      </c>
      <c r="IZ96">
        <v>2.2900399999999999</v>
      </c>
      <c r="JA96">
        <v>1.50024</v>
      </c>
      <c r="JB96">
        <v>2.2936999999999999</v>
      </c>
      <c r="JC96">
        <v>38.354500000000002</v>
      </c>
      <c r="JD96">
        <v>23.8598</v>
      </c>
      <c r="JE96">
        <v>18</v>
      </c>
      <c r="JF96">
        <v>504.82900000000001</v>
      </c>
      <c r="JG96">
        <v>457.99799999999999</v>
      </c>
      <c r="JH96">
        <v>24.598099999999999</v>
      </c>
      <c r="JI96">
        <v>32.959499999999998</v>
      </c>
      <c r="JJ96">
        <v>30.0002</v>
      </c>
      <c r="JK96">
        <v>32.944200000000002</v>
      </c>
      <c r="JL96">
        <v>32.915900000000001</v>
      </c>
      <c r="JM96">
        <v>22.436199999999999</v>
      </c>
      <c r="JN96">
        <v>29.951599999999999</v>
      </c>
      <c r="JO96">
        <v>36.944000000000003</v>
      </c>
      <c r="JP96">
        <v>24.607299999999999</v>
      </c>
      <c r="JQ96">
        <v>500</v>
      </c>
      <c r="JR96">
        <v>17.752300000000002</v>
      </c>
      <c r="JS96">
        <v>99.796499999999995</v>
      </c>
      <c r="JT96">
        <v>98.983599999999996</v>
      </c>
    </row>
    <row r="97" spans="1:280" x14ac:dyDescent="0.25">
      <c r="A97">
        <v>81</v>
      </c>
      <c r="B97">
        <v>1674593972.5999999</v>
      </c>
      <c r="C97">
        <v>19838</v>
      </c>
      <c r="D97" t="s">
        <v>829</v>
      </c>
      <c r="E97" t="s">
        <v>830</v>
      </c>
      <c r="F97" t="s">
        <v>412</v>
      </c>
      <c r="G97" t="s">
        <v>780</v>
      </c>
      <c r="H97" t="s">
        <v>494</v>
      </c>
      <c r="I97">
        <v>1674593972.5999999</v>
      </c>
      <c r="J97">
        <f t="shared" si="92"/>
        <v>5.5015928779720263E-3</v>
      </c>
      <c r="K97">
        <f t="shared" si="93"/>
        <v>5.5015928779720262</v>
      </c>
      <c r="L97">
        <f t="shared" si="94"/>
        <v>56.261942223186402</v>
      </c>
      <c r="M97">
        <f t="shared" si="95"/>
        <v>528.98599999999999</v>
      </c>
      <c r="N97">
        <f t="shared" si="96"/>
        <v>302.28233541027299</v>
      </c>
      <c r="O97">
        <f t="shared" si="97"/>
        <v>30.117280507532623</v>
      </c>
      <c r="P97">
        <f t="shared" si="98"/>
        <v>52.704435159713995</v>
      </c>
      <c r="Q97">
        <f t="shared" si="99"/>
        <v>0.44283066678557081</v>
      </c>
      <c r="R97">
        <f t="shared" si="100"/>
        <v>2.9233037092536569</v>
      </c>
      <c r="S97">
        <f t="shared" si="101"/>
        <v>0.40865624124834898</v>
      </c>
      <c r="T97">
        <f t="shared" si="102"/>
        <v>0.25826045779203483</v>
      </c>
      <c r="U97">
        <f t="shared" si="103"/>
        <v>344.36499860502533</v>
      </c>
      <c r="V97">
        <f t="shared" si="104"/>
        <v>28.597787280194765</v>
      </c>
      <c r="W97">
        <f t="shared" si="105"/>
        <v>27.862500000000001</v>
      </c>
      <c r="X97">
        <f t="shared" si="106"/>
        <v>3.7645272431719832</v>
      </c>
      <c r="Y97">
        <f t="shared" si="107"/>
        <v>64.971638561114261</v>
      </c>
      <c r="Z97">
        <f t="shared" si="108"/>
        <v>2.4651383507477997</v>
      </c>
      <c r="AA97">
        <f t="shared" si="109"/>
        <v>3.7941760517999206</v>
      </c>
      <c r="AB97">
        <f t="shared" si="110"/>
        <v>1.2993888924241834</v>
      </c>
      <c r="AC97">
        <f t="shared" si="111"/>
        <v>-242.62024591856635</v>
      </c>
      <c r="AD97">
        <f t="shared" si="112"/>
        <v>21.197354617606457</v>
      </c>
      <c r="AE97">
        <f t="shared" si="113"/>
        <v>1.5794807242717974</v>
      </c>
      <c r="AF97">
        <f t="shared" si="114"/>
        <v>124.52158802833722</v>
      </c>
      <c r="AG97">
        <v>0</v>
      </c>
      <c r="AH97">
        <v>0</v>
      </c>
      <c r="AI97">
        <f t="shared" si="115"/>
        <v>1</v>
      </c>
      <c r="AJ97">
        <f t="shared" si="116"/>
        <v>0</v>
      </c>
      <c r="AK97">
        <f t="shared" si="117"/>
        <v>52512.193902741106</v>
      </c>
      <c r="AL97" t="s">
        <v>415</v>
      </c>
      <c r="AM97">
        <v>10424.1</v>
      </c>
      <c r="AN97">
        <v>628.54280000000006</v>
      </c>
      <c r="AO97">
        <v>2663.98</v>
      </c>
      <c r="AP97">
        <f t="shared" si="118"/>
        <v>0.76405873917972356</v>
      </c>
      <c r="AQ97">
        <v>-3.1675626227050531</v>
      </c>
      <c r="AR97" t="s">
        <v>831</v>
      </c>
      <c r="AS97">
        <v>10218.4</v>
      </c>
      <c r="AT97">
        <v>759.85539999999992</v>
      </c>
      <c r="AU97">
        <v>1188.356105815207</v>
      </c>
      <c r="AV97">
        <f t="shared" si="119"/>
        <v>0.36058274427870884</v>
      </c>
      <c r="AW97">
        <v>0.5</v>
      </c>
      <c r="AX97">
        <f t="shared" si="120"/>
        <v>1513.1675993025126</v>
      </c>
      <c r="AY97">
        <f t="shared" si="121"/>
        <v>56.261942223186402</v>
      </c>
      <c r="AZ97">
        <f t="shared" si="122"/>
        <v>272.81106275506284</v>
      </c>
      <c r="BA97">
        <f t="shared" si="123"/>
        <v>3.9274899140904949E-2</v>
      </c>
      <c r="BB97">
        <f t="shared" si="124"/>
        <v>1.2417354418964521</v>
      </c>
      <c r="BC97">
        <f t="shared" si="125"/>
        <v>486.12077548385633</v>
      </c>
      <c r="BD97" t="s">
        <v>832</v>
      </c>
      <c r="BE97">
        <v>571.96</v>
      </c>
      <c r="BF97">
        <f t="shared" si="126"/>
        <v>571.96</v>
      </c>
      <c r="BG97">
        <f t="shared" si="127"/>
        <v>0.51869646042872142</v>
      </c>
      <c r="BH97">
        <f t="shared" si="128"/>
        <v>0.69517101385398739</v>
      </c>
      <c r="BI97">
        <f t="shared" si="129"/>
        <v>0.70535840679572515</v>
      </c>
      <c r="BJ97">
        <f t="shared" si="130"/>
        <v>0.76543501443078266</v>
      </c>
      <c r="BK97">
        <f t="shared" si="131"/>
        <v>0.72496655469635374</v>
      </c>
      <c r="BL97">
        <f t="shared" si="132"/>
        <v>0.52327062896957333</v>
      </c>
      <c r="BM97">
        <f t="shared" si="133"/>
        <v>0.47672937103042667</v>
      </c>
      <c r="BN97">
        <v>20325</v>
      </c>
      <c r="BO97">
        <v>290.00000000000011</v>
      </c>
      <c r="BP97">
        <v>1072.48</v>
      </c>
      <c r="BQ97">
        <v>135</v>
      </c>
      <c r="BR97">
        <v>10218.4</v>
      </c>
      <c r="BS97">
        <v>1070.81</v>
      </c>
      <c r="BT97">
        <v>1.67</v>
      </c>
      <c r="BU97">
        <v>300.00000000000011</v>
      </c>
      <c r="BV97">
        <v>24.2</v>
      </c>
      <c r="BW97">
        <v>1188.356105815207</v>
      </c>
      <c r="BX97">
        <v>2.303197365754881</v>
      </c>
      <c r="BY97">
        <v>-120.11409725538</v>
      </c>
      <c r="BZ97">
        <v>2.0909125872915229</v>
      </c>
      <c r="CA97">
        <v>0.99158658205141426</v>
      </c>
      <c r="CB97">
        <v>-6.9468611790878751E-3</v>
      </c>
      <c r="CC97">
        <v>289.99999999999989</v>
      </c>
      <c r="CD97">
        <v>1065.81</v>
      </c>
      <c r="CE97">
        <v>655</v>
      </c>
      <c r="CF97">
        <v>10171.5</v>
      </c>
      <c r="CG97">
        <v>1070.27</v>
      </c>
      <c r="CH97">
        <v>-4.46</v>
      </c>
      <c r="CV97">
        <f t="shared" si="134"/>
        <v>1799.98</v>
      </c>
      <c r="CW97">
        <f t="shared" si="135"/>
        <v>1513.1675993025126</v>
      </c>
      <c r="CX97">
        <f t="shared" si="136"/>
        <v>0.84065800692369508</v>
      </c>
      <c r="CY97">
        <f t="shared" si="137"/>
        <v>0.19131601384739017</v>
      </c>
      <c r="CZ97">
        <v>6</v>
      </c>
      <c r="DA97">
        <v>0.5</v>
      </c>
      <c r="DB97" t="s">
        <v>418</v>
      </c>
      <c r="DC97">
        <v>2</v>
      </c>
      <c r="DD97">
        <v>1674593972.5999999</v>
      </c>
      <c r="DE97">
        <v>528.98599999999999</v>
      </c>
      <c r="DF97">
        <v>599.98199999999997</v>
      </c>
      <c r="DG97">
        <v>24.7422</v>
      </c>
      <c r="DH97">
        <v>18.304600000000001</v>
      </c>
      <c r="DI97">
        <v>532.53200000000004</v>
      </c>
      <c r="DJ97">
        <v>24.3993</v>
      </c>
      <c r="DK97">
        <v>500.07499999999999</v>
      </c>
      <c r="DL97">
        <v>99.532899999999998</v>
      </c>
      <c r="DM97">
        <v>0.100049</v>
      </c>
      <c r="DN97">
        <v>27.997</v>
      </c>
      <c r="DO97">
        <v>27.862500000000001</v>
      </c>
      <c r="DP97">
        <v>999.9</v>
      </c>
      <c r="DQ97">
        <v>0</v>
      </c>
      <c r="DR97">
        <v>0</v>
      </c>
      <c r="DS97">
        <v>10011.200000000001</v>
      </c>
      <c r="DT97">
        <v>0</v>
      </c>
      <c r="DU97">
        <v>368.67899999999997</v>
      </c>
      <c r="DV97">
        <v>-70.996200000000002</v>
      </c>
      <c r="DW97">
        <v>542.40599999999995</v>
      </c>
      <c r="DX97">
        <v>611.16899999999998</v>
      </c>
      <c r="DY97">
        <v>6.43764</v>
      </c>
      <c r="DZ97">
        <v>599.98199999999997</v>
      </c>
      <c r="EA97">
        <v>18.304600000000001</v>
      </c>
      <c r="EB97">
        <v>2.4626600000000001</v>
      </c>
      <c r="EC97">
        <v>1.8219099999999999</v>
      </c>
      <c r="ED97">
        <v>20.7818</v>
      </c>
      <c r="EE97">
        <v>15.976000000000001</v>
      </c>
      <c r="EF97">
        <v>1799.98</v>
      </c>
      <c r="EG97">
        <v>0.97800699999999996</v>
      </c>
      <c r="EH97">
        <v>2.19928E-2</v>
      </c>
      <c r="EI97">
        <v>0</v>
      </c>
      <c r="EJ97">
        <v>759.69399999999996</v>
      </c>
      <c r="EK97">
        <v>5.0010599999999998</v>
      </c>
      <c r="EL97">
        <v>14140.8</v>
      </c>
      <c r="EM97">
        <v>16710.900000000001</v>
      </c>
      <c r="EN97">
        <v>48.875</v>
      </c>
      <c r="EO97">
        <v>49.686999999999998</v>
      </c>
      <c r="EP97">
        <v>49.875</v>
      </c>
      <c r="EQ97">
        <v>48.436999999999998</v>
      </c>
      <c r="ER97">
        <v>49.686999999999998</v>
      </c>
      <c r="ES97">
        <v>1755.5</v>
      </c>
      <c r="ET97">
        <v>39.479999999999997</v>
      </c>
      <c r="EU97">
        <v>0</v>
      </c>
      <c r="EV97">
        <v>109.7999999523163</v>
      </c>
      <c r="EW97">
        <v>0</v>
      </c>
      <c r="EX97">
        <v>759.85539999999992</v>
      </c>
      <c r="EY97">
        <v>0.65376921262530807</v>
      </c>
      <c r="EZ97">
        <v>3.500000000054051</v>
      </c>
      <c r="FA97">
        <v>14139.94</v>
      </c>
      <c r="FB97">
        <v>15</v>
      </c>
      <c r="FC97">
        <v>1674593933.0999999</v>
      </c>
      <c r="FD97" t="s">
        <v>833</v>
      </c>
      <c r="FE97">
        <v>1674593931.5999999</v>
      </c>
      <c r="FF97">
        <v>1674593933.0999999</v>
      </c>
      <c r="FG97">
        <v>90</v>
      </c>
      <c r="FH97">
        <v>5.2999999999999999E-2</v>
      </c>
      <c r="FI97">
        <v>-3.0000000000000001E-3</v>
      </c>
      <c r="FJ97">
        <v>-3.6309999999999998</v>
      </c>
      <c r="FK97">
        <v>3.6999999999999998E-2</v>
      </c>
      <c r="FL97">
        <v>600</v>
      </c>
      <c r="FM97">
        <v>18</v>
      </c>
      <c r="FN97">
        <v>0.03</v>
      </c>
      <c r="FO97">
        <v>0.02</v>
      </c>
      <c r="FP97">
        <v>56.269563945806908</v>
      </c>
      <c r="FQ97">
        <v>0.39552513405312972</v>
      </c>
      <c r="FR97">
        <v>5.0875853012012008E-2</v>
      </c>
      <c r="FS97">
        <v>1</v>
      </c>
      <c r="FT97">
        <v>0.45073271519772828</v>
      </c>
      <c r="FU97">
        <v>-4.7502727218509268E-2</v>
      </c>
      <c r="FV97">
        <v>4.6381859816040432E-3</v>
      </c>
      <c r="FW97">
        <v>1</v>
      </c>
      <c r="FX97">
        <v>2</v>
      </c>
      <c r="FY97">
        <v>2</v>
      </c>
      <c r="FZ97" t="s">
        <v>420</v>
      </c>
      <c r="GA97">
        <v>2.9772799999999999</v>
      </c>
      <c r="GB97">
        <v>2.80647</v>
      </c>
      <c r="GC97">
        <v>0.12028999999999999</v>
      </c>
      <c r="GD97">
        <v>0.12945999999999999</v>
      </c>
      <c r="GE97">
        <v>0.12114999999999999</v>
      </c>
      <c r="GF97">
        <v>9.8052899999999998E-2</v>
      </c>
      <c r="GG97">
        <v>25970.7</v>
      </c>
      <c r="GH97">
        <v>23832.400000000001</v>
      </c>
      <c r="GI97">
        <v>26541.5</v>
      </c>
      <c r="GJ97">
        <v>25859</v>
      </c>
      <c r="GK97">
        <v>31741.5</v>
      </c>
      <c r="GL97">
        <v>32921.5</v>
      </c>
      <c r="GM97">
        <v>37602.800000000003</v>
      </c>
      <c r="GN97">
        <v>38368.199999999997</v>
      </c>
      <c r="GO97">
        <v>1.9643699999999999</v>
      </c>
      <c r="GP97">
        <v>1.90473</v>
      </c>
      <c r="GQ97">
        <v>5.0030600000000001E-2</v>
      </c>
      <c r="GR97">
        <v>0</v>
      </c>
      <c r="GS97">
        <v>27.044899999999998</v>
      </c>
      <c r="GT97">
        <v>999.9</v>
      </c>
      <c r="GU97">
        <v>39.299999999999997</v>
      </c>
      <c r="GV97">
        <v>34.5</v>
      </c>
      <c r="GW97">
        <v>21.692499999999999</v>
      </c>
      <c r="GX97">
        <v>61.944099999999999</v>
      </c>
      <c r="GY97">
        <v>12.3277</v>
      </c>
      <c r="GZ97">
        <v>1</v>
      </c>
      <c r="HA97">
        <v>0.45624999999999999</v>
      </c>
      <c r="HB97">
        <v>2.6726200000000002</v>
      </c>
      <c r="HC97">
        <v>20.234000000000002</v>
      </c>
      <c r="HD97">
        <v>5.2096499999999999</v>
      </c>
      <c r="HE97">
        <v>11.9381</v>
      </c>
      <c r="HF97">
        <v>4.9874000000000001</v>
      </c>
      <c r="HG97">
        <v>3.2903799999999999</v>
      </c>
      <c r="HH97">
        <v>9999</v>
      </c>
      <c r="HI97">
        <v>9999</v>
      </c>
      <c r="HJ97">
        <v>9999</v>
      </c>
      <c r="HK97">
        <v>999.9</v>
      </c>
      <c r="HL97">
        <v>1.87029</v>
      </c>
      <c r="HM97">
        <v>1.87653</v>
      </c>
      <c r="HN97">
        <v>1.8742399999999999</v>
      </c>
      <c r="HO97">
        <v>1.87256</v>
      </c>
      <c r="HP97">
        <v>1.8730199999999999</v>
      </c>
      <c r="HQ97">
        <v>1.87042</v>
      </c>
      <c r="HR97">
        <v>1.87632</v>
      </c>
      <c r="HS97">
        <v>1.8754599999999999</v>
      </c>
      <c r="HT97">
        <v>5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424</v>
      </c>
      <c r="IB97" t="s">
        <v>424</v>
      </c>
      <c r="IC97" t="s">
        <v>423</v>
      </c>
      <c r="ID97">
        <v>0</v>
      </c>
      <c r="IE97">
        <v>100</v>
      </c>
      <c r="IF97">
        <v>100</v>
      </c>
      <c r="IG97">
        <v>-3.5459999999999998</v>
      </c>
      <c r="IH97">
        <v>0.34289999999999998</v>
      </c>
      <c r="II97">
        <v>-2.5733138192305218</v>
      </c>
      <c r="IJ97">
        <v>-2.536945948238235E-3</v>
      </c>
      <c r="IK97">
        <v>1.581473279927893E-6</v>
      </c>
      <c r="IL97">
        <v>-4.6698293441882044E-10</v>
      </c>
      <c r="IM97">
        <v>-0.16203565849613569</v>
      </c>
      <c r="IN97">
        <v>-1.5895243091576399E-2</v>
      </c>
      <c r="IO97">
        <v>1.559614309849521E-3</v>
      </c>
      <c r="IP97">
        <v>-2.4566050869858518E-6</v>
      </c>
      <c r="IQ97">
        <v>2</v>
      </c>
      <c r="IR97">
        <v>2224</v>
      </c>
      <c r="IS97">
        <v>2</v>
      </c>
      <c r="IT97">
        <v>25</v>
      </c>
      <c r="IU97">
        <v>0.7</v>
      </c>
      <c r="IV97">
        <v>0.7</v>
      </c>
      <c r="IW97">
        <v>1.2951699999999999</v>
      </c>
      <c r="IX97">
        <v>2.49146</v>
      </c>
      <c r="IY97">
        <v>1.65039</v>
      </c>
      <c r="IZ97">
        <v>2.2912599999999999</v>
      </c>
      <c r="JA97">
        <v>1.50024</v>
      </c>
      <c r="JB97">
        <v>2.32544</v>
      </c>
      <c r="JC97">
        <v>38.354500000000002</v>
      </c>
      <c r="JD97">
        <v>23.868600000000001</v>
      </c>
      <c r="JE97">
        <v>18</v>
      </c>
      <c r="JF97">
        <v>504.73599999999999</v>
      </c>
      <c r="JG97">
        <v>458.93599999999998</v>
      </c>
      <c r="JH97">
        <v>24.637</v>
      </c>
      <c r="JI97">
        <v>32.953600000000002</v>
      </c>
      <c r="JJ97">
        <v>30</v>
      </c>
      <c r="JK97">
        <v>32.953000000000003</v>
      </c>
      <c r="JL97">
        <v>32.927599999999998</v>
      </c>
      <c r="JM97">
        <v>25.9514</v>
      </c>
      <c r="JN97">
        <v>27.499700000000001</v>
      </c>
      <c r="JO97">
        <v>37.184100000000001</v>
      </c>
      <c r="JP97">
        <v>24.6416</v>
      </c>
      <c r="JQ97">
        <v>600</v>
      </c>
      <c r="JR97">
        <v>18.280899999999999</v>
      </c>
      <c r="JS97">
        <v>99.794200000000004</v>
      </c>
      <c r="JT97">
        <v>98.986599999999996</v>
      </c>
    </row>
    <row r="98" spans="1:280" x14ac:dyDescent="0.25">
      <c r="A98">
        <v>82</v>
      </c>
      <c r="B98">
        <v>1674594077.5999999</v>
      </c>
      <c r="C98">
        <v>19943</v>
      </c>
      <c r="D98" t="s">
        <v>834</v>
      </c>
      <c r="E98" t="s">
        <v>835</v>
      </c>
      <c r="F98" t="s">
        <v>412</v>
      </c>
      <c r="G98" t="s">
        <v>780</v>
      </c>
      <c r="H98" t="s">
        <v>494</v>
      </c>
      <c r="I98">
        <v>1674594077.5999999</v>
      </c>
      <c r="J98">
        <f t="shared" si="92"/>
        <v>4.9907504799697839E-3</v>
      </c>
      <c r="K98">
        <f t="shared" si="93"/>
        <v>4.9907504799697842</v>
      </c>
      <c r="L98">
        <f t="shared" si="94"/>
        <v>56.845101424759363</v>
      </c>
      <c r="M98">
        <f t="shared" si="95"/>
        <v>727.45699999999999</v>
      </c>
      <c r="N98">
        <f t="shared" si="96"/>
        <v>469.70180236967042</v>
      </c>
      <c r="O98">
        <f t="shared" si="97"/>
        <v>46.797360927043783</v>
      </c>
      <c r="P98">
        <f t="shared" si="98"/>
        <v>72.478043763416295</v>
      </c>
      <c r="Q98">
        <f t="shared" si="99"/>
        <v>0.39519434887494137</v>
      </c>
      <c r="R98">
        <f t="shared" si="100"/>
        <v>2.9207873167734979</v>
      </c>
      <c r="S98">
        <f t="shared" si="101"/>
        <v>0.36771072025388174</v>
      </c>
      <c r="T98">
        <f t="shared" si="102"/>
        <v>0.23212902167867761</v>
      </c>
      <c r="U98">
        <f t="shared" si="103"/>
        <v>344.36679860396532</v>
      </c>
      <c r="V98">
        <f t="shared" si="104"/>
        <v>28.745104558243632</v>
      </c>
      <c r="W98">
        <f t="shared" si="105"/>
        <v>27.920400000000001</v>
      </c>
      <c r="X98">
        <f t="shared" si="106"/>
        <v>3.7772656861782323</v>
      </c>
      <c r="Y98">
        <f t="shared" si="107"/>
        <v>64.979018104815651</v>
      </c>
      <c r="Z98">
        <f t="shared" si="108"/>
        <v>2.4673881120135004</v>
      </c>
      <c r="AA98">
        <f t="shared" si="109"/>
        <v>3.7972074432294938</v>
      </c>
      <c r="AB98">
        <f t="shared" si="110"/>
        <v>1.3098775741647319</v>
      </c>
      <c r="AC98">
        <f t="shared" si="111"/>
        <v>-220.09209616666746</v>
      </c>
      <c r="AD98">
        <f t="shared" si="112"/>
        <v>14.21913336971679</v>
      </c>
      <c r="AE98">
        <f t="shared" si="113"/>
        <v>1.0608030802397617</v>
      </c>
      <c r="AF98">
        <f t="shared" si="114"/>
        <v>139.55463888725438</v>
      </c>
      <c r="AG98">
        <v>0</v>
      </c>
      <c r="AH98">
        <v>0</v>
      </c>
      <c r="AI98">
        <f t="shared" si="115"/>
        <v>1</v>
      </c>
      <c r="AJ98">
        <f t="shared" si="116"/>
        <v>0</v>
      </c>
      <c r="AK98">
        <f t="shared" si="117"/>
        <v>52437.505696727872</v>
      </c>
      <c r="AL98" t="s">
        <v>415</v>
      </c>
      <c r="AM98">
        <v>10424.1</v>
      </c>
      <c r="AN98">
        <v>628.54280000000006</v>
      </c>
      <c r="AO98">
        <v>2663.98</v>
      </c>
      <c r="AP98">
        <f t="shared" si="118"/>
        <v>0.76405873917972356</v>
      </c>
      <c r="AQ98">
        <v>-3.1675626227050531</v>
      </c>
      <c r="AR98" t="s">
        <v>836</v>
      </c>
      <c r="AS98">
        <v>10223</v>
      </c>
      <c r="AT98">
        <v>761.93808000000001</v>
      </c>
      <c r="AU98">
        <v>1193.8049253686991</v>
      </c>
      <c r="AV98">
        <f t="shared" si="119"/>
        <v>0.36175662890259874</v>
      </c>
      <c r="AW98">
        <v>0.5</v>
      </c>
      <c r="AX98">
        <f t="shared" si="120"/>
        <v>1513.1684993019828</v>
      </c>
      <c r="AY98">
        <f t="shared" si="121"/>
        <v>56.845101424759363</v>
      </c>
      <c r="AZ98">
        <f t="shared" si="122"/>
        <v>273.69936763454484</v>
      </c>
      <c r="BA98">
        <f t="shared" si="123"/>
        <v>3.9660265248151784E-2</v>
      </c>
      <c r="BB98">
        <f t="shared" si="124"/>
        <v>1.2315036095007288</v>
      </c>
      <c r="BC98">
        <f t="shared" si="125"/>
        <v>487.03010743044308</v>
      </c>
      <c r="BD98" t="s">
        <v>837</v>
      </c>
      <c r="BE98">
        <v>573.28</v>
      </c>
      <c r="BF98">
        <f t="shared" si="126"/>
        <v>573.28</v>
      </c>
      <c r="BG98">
        <f t="shared" si="127"/>
        <v>0.5197875399760592</v>
      </c>
      <c r="BH98">
        <f t="shared" si="128"/>
        <v>0.69597018220032902</v>
      </c>
      <c r="BI98">
        <f t="shared" si="129"/>
        <v>0.70319752935921032</v>
      </c>
      <c r="BJ98">
        <f t="shared" si="130"/>
        <v>0.76401164342473626</v>
      </c>
      <c r="BK98">
        <f t="shared" si="131"/>
        <v>0.72228957721284703</v>
      </c>
      <c r="BL98">
        <f t="shared" si="132"/>
        <v>0.52364594515581186</v>
      </c>
      <c r="BM98">
        <f t="shared" si="133"/>
        <v>0.47635405484418814</v>
      </c>
      <c r="BN98">
        <v>20327</v>
      </c>
      <c r="BO98">
        <v>290.00000000000011</v>
      </c>
      <c r="BP98">
        <v>1079.76</v>
      </c>
      <c r="BQ98">
        <v>115</v>
      </c>
      <c r="BR98">
        <v>10223</v>
      </c>
      <c r="BS98">
        <v>1077.5</v>
      </c>
      <c r="BT98">
        <v>2.2599999999999998</v>
      </c>
      <c r="BU98">
        <v>300.00000000000011</v>
      </c>
      <c r="BV98">
        <v>24.2</v>
      </c>
      <c r="BW98">
        <v>1193.8049253686991</v>
      </c>
      <c r="BX98">
        <v>1.756124699222813</v>
      </c>
      <c r="BY98">
        <v>-118.8972499057634</v>
      </c>
      <c r="BZ98">
        <v>1.594259689340952</v>
      </c>
      <c r="CA98">
        <v>0.99499099238698652</v>
      </c>
      <c r="CB98">
        <v>-6.9469127919911059E-3</v>
      </c>
      <c r="CC98">
        <v>289.99999999999989</v>
      </c>
      <c r="CD98">
        <v>1072.6199999999999</v>
      </c>
      <c r="CE98">
        <v>685</v>
      </c>
      <c r="CF98">
        <v>10169.1</v>
      </c>
      <c r="CG98">
        <v>1076.8800000000001</v>
      </c>
      <c r="CH98">
        <v>-4.26</v>
      </c>
      <c r="CV98">
        <f t="shared" si="134"/>
        <v>1799.98</v>
      </c>
      <c r="CW98">
        <f t="shared" si="135"/>
        <v>1513.1684993019828</v>
      </c>
      <c r="CX98">
        <f t="shared" si="136"/>
        <v>0.84065850692895627</v>
      </c>
      <c r="CY98">
        <f t="shared" si="137"/>
        <v>0.1913170138579125</v>
      </c>
      <c r="CZ98">
        <v>6</v>
      </c>
      <c r="DA98">
        <v>0.5</v>
      </c>
      <c r="DB98" t="s">
        <v>418</v>
      </c>
      <c r="DC98">
        <v>2</v>
      </c>
      <c r="DD98">
        <v>1674594077.5999999</v>
      </c>
      <c r="DE98">
        <v>727.45699999999999</v>
      </c>
      <c r="DF98">
        <v>800.02300000000002</v>
      </c>
      <c r="DG98">
        <v>24.765000000000001</v>
      </c>
      <c r="DH98">
        <v>18.924800000000001</v>
      </c>
      <c r="DI98">
        <v>731.3</v>
      </c>
      <c r="DJ98">
        <v>24.428599999999999</v>
      </c>
      <c r="DK98">
        <v>500.03300000000002</v>
      </c>
      <c r="DL98">
        <v>99.532399999999996</v>
      </c>
      <c r="DM98">
        <v>9.9665900000000002E-2</v>
      </c>
      <c r="DN98">
        <v>28.0107</v>
      </c>
      <c r="DO98">
        <v>27.920400000000001</v>
      </c>
      <c r="DP98">
        <v>999.9</v>
      </c>
      <c r="DQ98">
        <v>0</v>
      </c>
      <c r="DR98">
        <v>0</v>
      </c>
      <c r="DS98">
        <v>9996.8799999999992</v>
      </c>
      <c r="DT98">
        <v>0</v>
      </c>
      <c r="DU98">
        <v>370.017</v>
      </c>
      <c r="DV98">
        <v>-72.566299999999998</v>
      </c>
      <c r="DW98">
        <v>745.93</v>
      </c>
      <c r="DX98">
        <v>815.45500000000004</v>
      </c>
      <c r="DY98">
        <v>5.8402200000000004</v>
      </c>
      <c r="DZ98">
        <v>800.02300000000002</v>
      </c>
      <c r="EA98">
        <v>18.924800000000001</v>
      </c>
      <c r="EB98">
        <v>2.4649200000000002</v>
      </c>
      <c r="EC98">
        <v>1.8836299999999999</v>
      </c>
      <c r="ED98">
        <v>20.796700000000001</v>
      </c>
      <c r="EE98">
        <v>16.4986</v>
      </c>
      <c r="EF98">
        <v>1799.98</v>
      </c>
      <c r="EG98">
        <v>0.97799000000000003</v>
      </c>
      <c r="EH98">
        <v>2.2010200000000001E-2</v>
      </c>
      <c r="EI98">
        <v>0</v>
      </c>
      <c r="EJ98">
        <v>762.23599999999999</v>
      </c>
      <c r="EK98">
        <v>5.0010599999999998</v>
      </c>
      <c r="EL98">
        <v>14185</v>
      </c>
      <c r="EM98">
        <v>16710.8</v>
      </c>
      <c r="EN98">
        <v>48.875</v>
      </c>
      <c r="EO98">
        <v>49.686999999999998</v>
      </c>
      <c r="EP98">
        <v>49.875</v>
      </c>
      <c r="EQ98">
        <v>48.375</v>
      </c>
      <c r="ER98">
        <v>49.686999999999998</v>
      </c>
      <c r="ES98">
        <v>1755.47</v>
      </c>
      <c r="ET98">
        <v>39.51</v>
      </c>
      <c r="EU98">
        <v>0</v>
      </c>
      <c r="EV98">
        <v>103.2000000476837</v>
      </c>
      <c r="EW98">
        <v>0</v>
      </c>
      <c r="EX98">
        <v>761.93808000000001</v>
      </c>
      <c r="EY98">
        <v>1.1009999901799079</v>
      </c>
      <c r="EZ98">
        <v>3.5461538846824339</v>
      </c>
      <c r="FA98">
        <v>14184.572</v>
      </c>
      <c r="FB98">
        <v>15</v>
      </c>
      <c r="FC98">
        <v>1674594045.0999999</v>
      </c>
      <c r="FD98" t="s">
        <v>838</v>
      </c>
      <c r="FE98">
        <v>1674594045.0999999</v>
      </c>
      <c r="FF98">
        <v>1674594043.0999999</v>
      </c>
      <c r="FG98">
        <v>91</v>
      </c>
      <c r="FH98">
        <v>-7.8E-2</v>
      </c>
      <c r="FI98">
        <v>-8.0000000000000002E-3</v>
      </c>
      <c r="FJ98">
        <v>-3.9119999999999999</v>
      </c>
      <c r="FK98">
        <v>5.0999999999999997E-2</v>
      </c>
      <c r="FL98">
        <v>800</v>
      </c>
      <c r="FM98">
        <v>18</v>
      </c>
      <c r="FN98">
        <v>0.04</v>
      </c>
      <c r="FO98">
        <v>0.01</v>
      </c>
      <c r="FP98">
        <v>56.731218915087069</v>
      </c>
      <c r="FQ98">
        <v>-0.42894032965082668</v>
      </c>
      <c r="FR98">
        <v>0.18769041229488759</v>
      </c>
      <c r="FS98">
        <v>1</v>
      </c>
      <c r="FT98">
        <v>0.40814333819277521</v>
      </c>
      <c r="FU98">
        <v>-3.9123467562193738E-2</v>
      </c>
      <c r="FV98">
        <v>6.2917385210787737E-3</v>
      </c>
      <c r="FW98">
        <v>1</v>
      </c>
      <c r="FX98">
        <v>2</v>
      </c>
      <c r="FY98">
        <v>2</v>
      </c>
      <c r="FZ98" t="s">
        <v>420</v>
      </c>
      <c r="GA98">
        <v>2.9771899999999998</v>
      </c>
      <c r="GB98">
        <v>2.8059599999999998</v>
      </c>
      <c r="GC98">
        <v>0.15024899999999999</v>
      </c>
      <c r="GD98">
        <v>0.15776499999999999</v>
      </c>
      <c r="GE98">
        <v>0.121255</v>
      </c>
      <c r="GF98">
        <v>0.10037500000000001</v>
      </c>
      <c r="GG98">
        <v>25087.599999999999</v>
      </c>
      <c r="GH98">
        <v>23057.200000000001</v>
      </c>
      <c r="GI98">
        <v>26544.2</v>
      </c>
      <c r="GJ98">
        <v>25860</v>
      </c>
      <c r="GK98">
        <v>31740.400000000001</v>
      </c>
      <c r="GL98">
        <v>32837.800000000003</v>
      </c>
      <c r="GM98">
        <v>37605.9</v>
      </c>
      <c r="GN98">
        <v>38369.1</v>
      </c>
      <c r="GO98">
        <v>1.96408</v>
      </c>
      <c r="GP98">
        <v>1.9070499999999999</v>
      </c>
      <c r="GQ98">
        <v>5.7607899999999997E-2</v>
      </c>
      <c r="GR98">
        <v>0</v>
      </c>
      <c r="GS98">
        <v>26.978999999999999</v>
      </c>
      <c r="GT98">
        <v>999.9</v>
      </c>
      <c r="GU98">
        <v>39.700000000000003</v>
      </c>
      <c r="GV98">
        <v>34.5</v>
      </c>
      <c r="GW98">
        <v>21.912400000000002</v>
      </c>
      <c r="GX98">
        <v>62.094099999999997</v>
      </c>
      <c r="GY98">
        <v>12.556100000000001</v>
      </c>
      <c r="GZ98">
        <v>1</v>
      </c>
      <c r="HA98">
        <v>0.45308900000000002</v>
      </c>
      <c r="HB98">
        <v>2.66919</v>
      </c>
      <c r="HC98">
        <v>20.2333</v>
      </c>
      <c r="HD98">
        <v>5.2032100000000003</v>
      </c>
      <c r="HE98">
        <v>11.9381</v>
      </c>
      <c r="HF98">
        <v>4.9860499999999996</v>
      </c>
      <c r="HG98">
        <v>3.2895300000000001</v>
      </c>
      <c r="HH98">
        <v>9999</v>
      </c>
      <c r="HI98">
        <v>9999</v>
      </c>
      <c r="HJ98">
        <v>9999</v>
      </c>
      <c r="HK98">
        <v>999.9</v>
      </c>
      <c r="HL98">
        <v>1.8702700000000001</v>
      </c>
      <c r="HM98">
        <v>1.87653</v>
      </c>
      <c r="HN98">
        <v>1.8742399999999999</v>
      </c>
      <c r="HO98">
        <v>1.87256</v>
      </c>
      <c r="HP98">
        <v>1.8730199999999999</v>
      </c>
      <c r="HQ98">
        <v>1.8704099999999999</v>
      </c>
      <c r="HR98">
        <v>1.8763399999999999</v>
      </c>
      <c r="HS98">
        <v>1.87544</v>
      </c>
      <c r="HT98">
        <v>5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424</v>
      </c>
      <c r="IB98" t="s">
        <v>424</v>
      </c>
      <c r="IC98" t="s">
        <v>423</v>
      </c>
      <c r="ID98">
        <v>0</v>
      </c>
      <c r="IE98">
        <v>100</v>
      </c>
      <c r="IF98">
        <v>100</v>
      </c>
      <c r="IG98">
        <v>-3.843</v>
      </c>
      <c r="IH98">
        <v>0.33639999999999998</v>
      </c>
      <c r="II98">
        <v>-2.6515122899035619</v>
      </c>
      <c r="IJ98">
        <v>-2.536945948238235E-3</v>
      </c>
      <c r="IK98">
        <v>1.581473279927893E-6</v>
      </c>
      <c r="IL98">
        <v>-4.6698293441882044E-10</v>
      </c>
      <c r="IM98">
        <v>-0.17018466993023551</v>
      </c>
      <c r="IN98">
        <v>-1.5895243091576399E-2</v>
      </c>
      <c r="IO98">
        <v>1.559614309849521E-3</v>
      </c>
      <c r="IP98">
        <v>-2.4566050869858518E-6</v>
      </c>
      <c r="IQ98">
        <v>2</v>
      </c>
      <c r="IR98">
        <v>2224</v>
      </c>
      <c r="IS98">
        <v>2</v>
      </c>
      <c r="IT98">
        <v>25</v>
      </c>
      <c r="IU98">
        <v>0.5</v>
      </c>
      <c r="IV98">
        <v>0.6</v>
      </c>
      <c r="IW98">
        <v>1.63574</v>
      </c>
      <c r="IX98">
        <v>2.4890099999999999</v>
      </c>
      <c r="IY98">
        <v>1.64917</v>
      </c>
      <c r="IZ98">
        <v>2.2900399999999999</v>
      </c>
      <c r="JA98">
        <v>1.50024</v>
      </c>
      <c r="JB98">
        <v>2.4023400000000001</v>
      </c>
      <c r="JC98">
        <v>38.354500000000002</v>
      </c>
      <c r="JD98">
        <v>23.877400000000002</v>
      </c>
      <c r="JE98">
        <v>18</v>
      </c>
      <c r="JF98">
        <v>504.42099999999999</v>
      </c>
      <c r="JG98">
        <v>460.35500000000002</v>
      </c>
      <c r="JH98">
        <v>24.6435</v>
      </c>
      <c r="JI98">
        <v>32.918500000000002</v>
      </c>
      <c r="JJ98">
        <v>29.9999</v>
      </c>
      <c r="JK98">
        <v>32.938299999999998</v>
      </c>
      <c r="JL98">
        <v>32.914000000000001</v>
      </c>
      <c r="JM98">
        <v>32.7532</v>
      </c>
      <c r="JN98">
        <v>26.563400000000001</v>
      </c>
      <c r="JO98">
        <v>39.059699999999999</v>
      </c>
      <c r="JP98">
        <v>24.6374</v>
      </c>
      <c r="JQ98">
        <v>800</v>
      </c>
      <c r="JR98">
        <v>18.869800000000001</v>
      </c>
      <c r="JS98">
        <v>99.803100000000001</v>
      </c>
      <c r="JT98">
        <v>98.989500000000007</v>
      </c>
    </row>
    <row r="99" spans="1:280" x14ac:dyDescent="0.25">
      <c r="A99">
        <v>83</v>
      </c>
      <c r="B99">
        <v>1674594203.0999999</v>
      </c>
      <c r="C99">
        <v>20068.5</v>
      </c>
      <c r="D99" t="s">
        <v>839</v>
      </c>
      <c r="E99" t="s">
        <v>840</v>
      </c>
      <c r="F99" t="s">
        <v>412</v>
      </c>
      <c r="G99" t="s">
        <v>780</v>
      </c>
      <c r="H99" t="s">
        <v>494</v>
      </c>
      <c r="I99">
        <v>1674594203.0999999</v>
      </c>
      <c r="J99">
        <f t="shared" si="92"/>
        <v>4.5569613650124803E-3</v>
      </c>
      <c r="K99">
        <f t="shared" si="93"/>
        <v>4.5569613650124801</v>
      </c>
      <c r="L99">
        <f t="shared" si="94"/>
        <v>55.780828482888914</v>
      </c>
      <c r="M99">
        <f t="shared" si="95"/>
        <v>1126.8599999999999</v>
      </c>
      <c r="N99">
        <f t="shared" si="96"/>
        <v>839.58358655586426</v>
      </c>
      <c r="O99">
        <f t="shared" si="97"/>
        <v>83.654361726816134</v>
      </c>
      <c r="P99">
        <f t="shared" si="98"/>
        <v>112.27798585508398</v>
      </c>
      <c r="Q99">
        <f t="shared" si="99"/>
        <v>0.35494785040840987</v>
      </c>
      <c r="R99">
        <f t="shared" si="100"/>
        <v>2.9203374238960897</v>
      </c>
      <c r="S99">
        <f t="shared" si="101"/>
        <v>0.33260414713519237</v>
      </c>
      <c r="T99">
        <f t="shared" si="102"/>
        <v>0.20976776855999463</v>
      </c>
      <c r="U99">
        <f t="shared" si="103"/>
        <v>344.37069860504857</v>
      </c>
      <c r="V99">
        <f t="shared" si="104"/>
        <v>28.849404135941199</v>
      </c>
      <c r="W99">
        <f t="shared" si="105"/>
        <v>27.950199999999999</v>
      </c>
      <c r="X99">
        <f t="shared" si="106"/>
        <v>3.7838365611618667</v>
      </c>
      <c r="Y99">
        <f t="shared" si="107"/>
        <v>64.857462899140145</v>
      </c>
      <c r="Z99">
        <f t="shared" si="108"/>
        <v>2.4614950160253604</v>
      </c>
      <c r="AA99">
        <f t="shared" si="109"/>
        <v>3.7952379047777924</v>
      </c>
      <c r="AB99">
        <f t="shared" si="110"/>
        <v>1.3223415451365064</v>
      </c>
      <c r="AC99">
        <f t="shared" si="111"/>
        <v>-200.96199619705038</v>
      </c>
      <c r="AD99">
        <f t="shared" si="112"/>
        <v>8.1239675297697218</v>
      </c>
      <c r="AE99">
        <f t="shared" si="113"/>
        <v>0.60623632358806356</v>
      </c>
      <c r="AF99">
        <f t="shared" si="114"/>
        <v>152.13890626135597</v>
      </c>
      <c r="AG99">
        <v>0</v>
      </c>
      <c r="AH99">
        <v>0</v>
      </c>
      <c r="AI99">
        <f t="shared" si="115"/>
        <v>1</v>
      </c>
      <c r="AJ99">
        <f t="shared" si="116"/>
        <v>0</v>
      </c>
      <c r="AK99">
        <f t="shared" si="117"/>
        <v>52426.256232537395</v>
      </c>
      <c r="AL99" t="s">
        <v>415</v>
      </c>
      <c r="AM99">
        <v>10424.1</v>
      </c>
      <c r="AN99">
        <v>628.54280000000006</v>
      </c>
      <c r="AO99">
        <v>2663.98</v>
      </c>
      <c r="AP99">
        <f t="shared" si="118"/>
        <v>0.76405873917972356</v>
      </c>
      <c r="AQ99">
        <v>-3.1675626227050531</v>
      </c>
      <c r="AR99" t="s">
        <v>841</v>
      </c>
      <c r="AS99">
        <v>10216.4</v>
      </c>
      <c r="AT99">
        <v>761.96199999999999</v>
      </c>
      <c r="AU99">
        <v>1200.905151287451</v>
      </c>
      <c r="AV99">
        <f t="shared" si="119"/>
        <v>0.36551025767261835</v>
      </c>
      <c r="AW99">
        <v>0.5</v>
      </c>
      <c r="AX99">
        <f t="shared" si="120"/>
        <v>1513.1927993025242</v>
      </c>
      <c r="AY99">
        <f t="shared" si="121"/>
        <v>55.780828482888914</v>
      </c>
      <c r="AZ99">
        <f t="shared" si="122"/>
        <v>276.54374499070815</v>
      </c>
      <c r="BA99">
        <f t="shared" si="123"/>
        <v>3.8956298981045273E-2</v>
      </c>
      <c r="BB99">
        <f t="shared" si="124"/>
        <v>1.2183100781473328</v>
      </c>
      <c r="BC99">
        <f t="shared" si="125"/>
        <v>488.20768769008754</v>
      </c>
      <c r="BD99" t="s">
        <v>842</v>
      </c>
      <c r="BE99">
        <v>573.85</v>
      </c>
      <c r="BF99">
        <f t="shared" si="126"/>
        <v>573.85</v>
      </c>
      <c r="BG99">
        <f t="shared" si="127"/>
        <v>0.52215210386532673</v>
      </c>
      <c r="BH99">
        <f t="shared" si="128"/>
        <v>0.70000724878222587</v>
      </c>
      <c r="BI99">
        <f t="shared" si="129"/>
        <v>0.69999227259191965</v>
      </c>
      <c r="BJ99">
        <f t="shared" si="130"/>
        <v>0.76689731653402482</v>
      </c>
      <c r="BK99">
        <f t="shared" si="131"/>
        <v>0.71880127213580902</v>
      </c>
      <c r="BL99">
        <f t="shared" si="132"/>
        <v>0.52719054193474257</v>
      </c>
      <c r="BM99">
        <f t="shared" si="133"/>
        <v>0.47280945806525743</v>
      </c>
      <c r="BN99">
        <v>20329</v>
      </c>
      <c r="BO99">
        <v>290.00000000000011</v>
      </c>
      <c r="BP99">
        <v>1082.69</v>
      </c>
      <c r="BQ99">
        <v>145</v>
      </c>
      <c r="BR99">
        <v>10216.4</v>
      </c>
      <c r="BS99">
        <v>1080.27</v>
      </c>
      <c r="BT99">
        <v>2.42</v>
      </c>
      <c r="BU99">
        <v>300.00000000000011</v>
      </c>
      <c r="BV99">
        <v>24.2</v>
      </c>
      <c r="BW99">
        <v>1200.905151287451</v>
      </c>
      <c r="BX99">
        <v>1.9263538689447981</v>
      </c>
      <c r="BY99">
        <v>-123.2503238111313</v>
      </c>
      <c r="BZ99">
        <v>1.7488553868381529</v>
      </c>
      <c r="CA99">
        <v>0.99439406298120037</v>
      </c>
      <c r="CB99">
        <v>-6.9470400444938858E-3</v>
      </c>
      <c r="CC99">
        <v>289.99999999999989</v>
      </c>
      <c r="CD99">
        <v>1074.95</v>
      </c>
      <c r="CE99">
        <v>655</v>
      </c>
      <c r="CF99">
        <v>10171.799999999999</v>
      </c>
      <c r="CG99">
        <v>1079.74</v>
      </c>
      <c r="CH99">
        <v>-4.79</v>
      </c>
      <c r="CV99">
        <f t="shared" si="134"/>
        <v>1800.01</v>
      </c>
      <c r="CW99">
        <f t="shared" si="135"/>
        <v>1513.1927993025242</v>
      </c>
      <c r="CX99">
        <f t="shared" si="136"/>
        <v>0.84065799595698032</v>
      </c>
      <c r="CY99">
        <f t="shared" si="137"/>
        <v>0.19131599191396079</v>
      </c>
      <c r="CZ99">
        <v>6</v>
      </c>
      <c r="DA99">
        <v>0.5</v>
      </c>
      <c r="DB99" t="s">
        <v>418</v>
      </c>
      <c r="DC99">
        <v>2</v>
      </c>
      <c r="DD99">
        <v>1674594203.0999999</v>
      </c>
      <c r="DE99">
        <v>1126.8599999999999</v>
      </c>
      <c r="DF99">
        <v>1199.95</v>
      </c>
      <c r="DG99">
        <v>24.7044</v>
      </c>
      <c r="DH99">
        <v>19.3718</v>
      </c>
      <c r="DI99">
        <v>1131.3699999999999</v>
      </c>
      <c r="DJ99">
        <v>24.378</v>
      </c>
      <c r="DK99">
        <v>500.06200000000001</v>
      </c>
      <c r="DL99">
        <v>99.537999999999997</v>
      </c>
      <c r="DM99">
        <v>9.9919400000000005E-2</v>
      </c>
      <c r="DN99">
        <v>28.001799999999999</v>
      </c>
      <c r="DO99">
        <v>27.950199999999999</v>
      </c>
      <c r="DP99">
        <v>999.9</v>
      </c>
      <c r="DQ99">
        <v>0</v>
      </c>
      <c r="DR99">
        <v>0</v>
      </c>
      <c r="DS99">
        <v>9993.75</v>
      </c>
      <c r="DT99">
        <v>0</v>
      </c>
      <c r="DU99">
        <v>363.54399999999998</v>
      </c>
      <c r="DV99">
        <v>-73.090900000000005</v>
      </c>
      <c r="DW99">
        <v>1155.4000000000001</v>
      </c>
      <c r="DX99">
        <v>1223.6500000000001</v>
      </c>
      <c r="DY99">
        <v>5.3325699999999996</v>
      </c>
      <c r="DZ99">
        <v>1199.95</v>
      </c>
      <c r="EA99">
        <v>19.3718</v>
      </c>
      <c r="EB99">
        <v>2.4590200000000002</v>
      </c>
      <c r="EC99">
        <v>1.9282300000000001</v>
      </c>
      <c r="ED99">
        <v>20.7578</v>
      </c>
      <c r="EE99">
        <v>16.867000000000001</v>
      </c>
      <c r="EF99">
        <v>1800.01</v>
      </c>
      <c r="EG99">
        <v>0.97800699999999996</v>
      </c>
      <c r="EH99">
        <v>2.1992500000000002E-2</v>
      </c>
      <c r="EI99">
        <v>0</v>
      </c>
      <c r="EJ99">
        <v>761.97900000000004</v>
      </c>
      <c r="EK99">
        <v>5.0010599999999998</v>
      </c>
      <c r="EL99">
        <v>14184.1</v>
      </c>
      <c r="EM99">
        <v>16711.2</v>
      </c>
      <c r="EN99">
        <v>48.75</v>
      </c>
      <c r="EO99">
        <v>49.625</v>
      </c>
      <c r="EP99">
        <v>49.75</v>
      </c>
      <c r="EQ99">
        <v>48.311999999999998</v>
      </c>
      <c r="ER99">
        <v>49.625</v>
      </c>
      <c r="ES99">
        <v>1755.53</v>
      </c>
      <c r="ET99">
        <v>39.479999999999997</v>
      </c>
      <c r="EU99">
        <v>0</v>
      </c>
      <c r="EV99">
        <v>123.5999999046326</v>
      </c>
      <c r="EW99">
        <v>0</v>
      </c>
      <c r="EX99">
        <v>761.96199999999999</v>
      </c>
      <c r="EY99">
        <v>-0.27418803292347838</v>
      </c>
      <c r="EZ99">
        <v>-0.91965812579935036</v>
      </c>
      <c r="FA99">
        <v>14184.82692307692</v>
      </c>
      <c r="FB99">
        <v>15</v>
      </c>
      <c r="FC99">
        <v>1674594168.0999999</v>
      </c>
      <c r="FD99" t="s">
        <v>843</v>
      </c>
      <c r="FE99">
        <v>1674594159.5999999</v>
      </c>
      <c r="FF99">
        <v>1674594168.0999999</v>
      </c>
      <c r="FG99">
        <v>92</v>
      </c>
      <c r="FH99">
        <v>-0.33900000000000002</v>
      </c>
      <c r="FI99">
        <v>-7.0000000000000001E-3</v>
      </c>
      <c r="FJ99">
        <v>-4.5679999999999996</v>
      </c>
      <c r="FK99">
        <v>7.0000000000000007E-2</v>
      </c>
      <c r="FL99">
        <v>1200</v>
      </c>
      <c r="FM99">
        <v>19</v>
      </c>
      <c r="FN99">
        <v>0.04</v>
      </c>
      <c r="FO99">
        <v>0.02</v>
      </c>
      <c r="FP99">
        <v>55.773780426717032</v>
      </c>
      <c r="FQ99">
        <v>-0.1759266796796233</v>
      </c>
      <c r="FR99">
        <v>9.7136858773242685E-2</v>
      </c>
      <c r="FS99">
        <v>1</v>
      </c>
      <c r="FT99">
        <v>0.36445934511695538</v>
      </c>
      <c r="FU99">
        <v>-4.3075423102421122E-2</v>
      </c>
      <c r="FV99">
        <v>4.8764662368883244E-3</v>
      </c>
      <c r="FW99">
        <v>1</v>
      </c>
      <c r="FX99">
        <v>2</v>
      </c>
      <c r="FY99">
        <v>2</v>
      </c>
      <c r="FZ99" t="s">
        <v>420</v>
      </c>
      <c r="GA99">
        <v>2.9773299999999998</v>
      </c>
      <c r="GB99">
        <v>2.80619</v>
      </c>
      <c r="GC99">
        <v>0.19996700000000001</v>
      </c>
      <c r="GD99">
        <v>0.20513899999999999</v>
      </c>
      <c r="GE99">
        <v>0.121099</v>
      </c>
      <c r="GF99">
        <v>0.10204299999999999</v>
      </c>
      <c r="GG99">
        <v>23618.799999999999</v>
      </c>
      <c r="GH99">
        <v>21759.7</v>
      </c>
      <c r="GI99">
        <v>26546.6</v>
      </c>
      <c r="GJ99">
        <v>25862.9</v>
      </c>
      <c r="GK99">
        <v>31749.5</v>
      </c>
      <c r="GL99">
        <v>32781.1</v>
      </c>
      <c r="GM99">
        <v>37609.800000000003</v>
      </c>
      <c r="GN99">
        <v>38373.699999999997</v>
      </c>
      <c r="GO99">
        <v>1.9644999999999999</v>
      </c>
      <c r="GP99">
        <v>1.9106000000000001</v>
      </c>
      <c r="GQ99">
        <v>6.4365599999999995E-2</v>
      </c>
      <c r="GR99">
        <v>0</v>
      </c>
      <c r="GS99">
        <v>26.898299999999999</v>
      </c>
      <c r="GT99">
        <v>999.9</v>
      </c>
      <c r="GU99">
        <v>40.5</v>
      </c>
      <c r="GV99">
        <v>34.5</v>
      </c>
      <c r="GW99">
        <v>22.352900000000002</v>
      </c>
      <c r="GX99">
        <v>62.094200000000001</v>
      </c>
      <c r="GY99">
        <v>11.806900000000001</v>
      </c>
      <c r="GZ99">
        <v>1</v>
      </c>
      <c r="HA99">
        <v>0.44738299999999998</v>
      </c>
      <c r="HB99">
        <v>2.5373399999999999</v>
      </c>
      <c r="HC99">
        <v>20.235299999999999</v>
      </c>
      <c r="HD99">
        <v>5.2071100000000001</v>
      </c>
      <c r="HE99">
        <v>11.9381</v>
      </c>
      <c r="HF99">
        <v>4.9867499999999998</v>
      </c>
      <c r="HG99">
        <v>3.2898999999999998</v>
      </c>
      <c r="HH99">
        <v>9999</v>
      </c>
      <c r="HI99">
        <v>9999</v>
      </c>
      <c r="HJ99">
        <v>9999</v>
      </c>
      <c r="HK99">
        <v>999.9</v>
      </c>
      <c r="HL99">
        <v>1.8702700000000001</v>
      </c>
      <c r="HM99">
        <v>1.87653</v>
      </c>
      <c r="HN99">
        <v>1.8742399999999999</v>
      </c>
      <c r="HO99">
        <v>1.87256</v>
      </c>
      <c r="HP99">
        <v>1.8730199999999999</v>
      </c>
      <c r="HQ99">
        <v>1.87042</v>
      </c>
      <c r="HR99">
        <v>1.87635</v>
      </c>
      <c r="HS99">
        <v>1.87544</v>
      </c>
      <c r="HT99">
        <v>5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424</v>
      </c>
      <c r="IB99" t="s">
        <v>424</v>
      </c>
      <c r="IC99" t="s">
        <v>423</v>
      </c>
      <c r="ID99">
        <v>0</v>
      </c>
      <c r="IE99">
        <v>100</v>
      </c>
      <c r="IF99">
        <v>100</v>
      </c>
      <c r="IG99">
        <v>-4.51</v>
      </c>
      <c r="IH99">
        <v>0.32640000000000002</v>
      </c>
      <c r="II99">
        <v>-2.990137092801282</v>
      </c>
      <c r="IJ99">
        <v>-2.536945948238235E-3</v>
      </c>
      <c r="IK99">
        <v>1.581473279927893E-6</v>
      </c>
      <c r="IL99">
        <v>-4.6698293441882044E-10</v>
      </c>
      <c r="IM99">
        <v>-0.17738735387621751</v>
      </c>
      <c r="IN99">
        <v>-1.5895243091576399E-2</v>
      </c>
      <c r="IO99">
        <v>1.559614309849521E-3</v>
      </c>
      <c r="IP99">
        <v>-2.4566050869858518E-6</v>
      </c>
      <c r="IQ99">
        <v>2</v>
      </c>
      <c r="IR99">
        <v>2224</v>
      </c>
      <c r="IS99">
        <v>2</v>
      </c>
      <c r="IT99">
        <v>25</v>
      </c>
      <c r="IU99">
        <v>0.7</v>
      </c>
      <c r="IV99">
        <v>0.6</v>
      </c>
      <c r="IW99">
        <v>2.2814899999999998</v>
      </c>
      <c r="IX99">
        <v>2.4841299999999999</v>
      </c>
      <c r="IY99">
        <v>1.65039</v>
      </c>
      <c r="IZ99">
        <v>2.2900399999999999</v>
      </c>
      <c r="JA99">
        <v>1.50024</v>
      </c>
      <c r="JB99">
        <v>2.35229</v>
      </c>
      <c r="JC99">
        <v>38.354500000000002</v>
      </c>
      <c r="JD99">
        <v>23.868600000000001</v>
      </c>
      <c r="JE99">
        <v>18</v>
      </c>
      <c r="JF99">
        <v>504.34500000000003</v>
      </c>
      <c r="JG99">
        <v>462.39</v>
      </c>
      <c r="JH99">
        <v>24.689699999999998</v>
      </c>
      <c r="JI99">
        <v>32.853999999999999</v>
      </c>
      <c r="JJ99">
        <v>29.999700000000001</v>
      </c>
      <c r="JK99">
        <v>32.893999999999998</v>
      </c>
      <c r="JL99">
        <v>32.875500000000002</v>
      </c>
      <c r="JM99">
        <v>45.673299999999998</v>
      </c>
      <c r="JN99">
        <v>26.795100000000001</v>
      </c>
      <c r="JO99">
        <v>42.113300000000002</v>
      </c>
      <c r="JP99">
        <v>24.696200000000001</v>
      </c>
      <c r="JQ99">
        <v>1200</v>
      </c>
      <c r="JR99">
        <v>19.439599999999999</v>
      </c>
      <c r="JS99">
        <v>99.813000000000002</v>
      </c>
      <c r="JT99">
        <v>99.001000000000005</v>
      </c>
    </row>
    <row r="100" spans="1:280" x14ac:dyDescent="0.25">
      <c r="A100">
        <v>84</v>
      </c>
      <c r="B100">
        <v>1674594322.0999999</v>
      </c>
      <c r="C100">
        <v>20187.5</v>
      </c>
      <c r="D100" t="s">
        <v>844</v>
      </c>
      <c r="E100" t="s">
        <v>845</v>
      </c>
      <c r="F100" t="s">
        <v>412</v>
      </c>
      <c r="G100" t="s">
        <v>780</v>
      </c>
      <c r="H100" t="s">
        <v>494</v>
      </c>
      <c r="I100">
        <v>1674594322.0999999</v>
      </c>
      <c r="J100">
        <f t="shared" si="92"/>
        <v>4.1380447250587513E-3</v>
      </c>
      <c r="K100">
        <f t="shared" si="93"/>
        <v>4.1380447250587515</v>
      </c>
      <c r="L100">
        <f t="shared" si="94"/>
        <v>54.854357753315888</v>
      </c>
      <c r="M100">
        <f t="shared" si="95"/>
        <v>1427.09</v>
      </c>
      <c r="N100">
        <f t="shared" si="96"/>
        <v>1108.7971079867093</v>
      </c>
      <c r="O100">
        <f t="shared" si="97"/>
        <v>110.47504786517057</v>
      </c>
      <c r="P100">
        <f t="shared" si="98"/>
        <v>142.188173942997</v>
      </c>
      <c r="Q100">
        <f t="shared" si="99"/>
        <v>0.31768734850177227</v>
      </c>
      <c r="R100">
        <f t="shared" si="100"/>
        <v>2.9207262095042466</v>
      </c>
      <c r="S100">
        <f t="shared" si="101"/>
        <v>0.29966288961074405</v>
      </c>
      <c r="T100">
        <f t="shared" si="102"/>
        <v>0.18882345913675247</v>
      </c>
      <c r="U100">
        <f t="shared" si="103"/>
        <v>344.35739860499439</v>
      </c>
      <c r="V100">
        <f t="shared" si="104"/>
        <v>28.977784400069496</v>
      </c>
      <c r="W100">
        <f t="shared" si="105"/>
        <v>28.041799999999999</v>
      </c>
      <c r="X100">
        <f t="shared" si="106"/>
        <v>3.804096767001365</v>
      </c>
      <c r="Y100">
        <f t="shared" si="107"/>
        <v>65.049239731381633</v>
      </c>
      <c r="Z100">
        <f t="shared" si="108"/>
        <v>2.4715668111084601</v>
      </c>
      <c r="AA100">
        <f t="shared" si="109"/>
        <v>3.7995322025510232</v>
      </c>
      <c r="AB100">
        <f t="shared" si="110"/>
        <v>1.3325299558929049</v>
      </c>
      <c r="AC100">
        <f t="shared" si="111"/>
        <v>-182.48777237509094</v>
      </c>
      <c r="AD100">
        <f t="shared" si="112"/>
        <v>-3.2437211429796475</v>
      </c>
      <c r="AE100">
        <f t="shared" si="113"/>
        <v>-0.24215849005024898</v>
      </c>
      <c r="AF100">
        <f t="shared" si="114"/>
        <v>158.38374659687355</v>
      </c>
      <c r="AG100">
        <v>0</v>
      </c>
      <c r="AH100">
        <v>0</v>
      </c>
      <c r="AI100">
        <f t="shared" si="115"/>
        <v>1</v>
      </c>
      <c r="AJ100">
        <f t="shared" si="116"/>
        <v>0</v>
      </c>
      <c r="AK100">
        <f t="shared" si="117"/>
        <v>52433.981924531035</v>
      </c>
      <c r="AL100" t="s">
        <v>415</v>
      </c>
      <c r="AM100">
        <v>10424.1</v>
      </c>
      <c r="AN100">
        <v>628.54280000000006</v>
      </c>
      <c r="AO100">
        <v>2663.98</v>
      </c>
      <c r="AP100">
        <f t="shared" si="118"/>
        <v>0.76405873917972356</v>
      </c>
      <c r="AQ100">
        <v>-3.1675626227050531</v>
      </c>
      <c r="AR100" t="s">
        <v>846</v>
      </c>
      <c r="AS100">
        <v>10227.9</v>
      </c>
      <c r="AT100">
        <v>760.83883999999989</v>
      </c>
      <c r="AU100">
        <v>1200.4474328945009</v>
      </c>
      <c r="AV100">
        <f t="shared" si="119"/>
        <v>0.36620395100060599</v>
      </c>
      <c r="AW100">
        <v>0.5</v>
      </c>
      <c r="AX100">
        <f t="shared" si="120"/>
        <v>1513.1339993024972</v>
      </c>
      <c r="AY100">
        <f t="shared" si="121"/>
        <v>54.854357753315888</v>
      </c>
      <c r="AZ100">
        <f t="shared" si="122"/>
        <v>277.05782446896131</v>
      </c>
      <c r="BA100">
        <f t="shared" si="123"/>
        <v>3.8345526835539386E-2</v>
      </c>
      <c r="BB100">
        <f t="shared" si="124"/>
        <v>1.2191558972113017</v>
      </c>
      <c r="BC100">
        <f t="shared" si="125"/>
        <v>488.13202384216328</v>
      </c>
      <c r="BD100" t="s">
        <v>847</v>
      </c>
      <c r="BE100">
        <v>573.70000000000005</v>
      </c>
      <c r="BF100">
        <f t="shared" si="126"/>
        <v>573.70000000000005</v>
      </c>
      <c r="BG100">
        <f t="shared" si="127"/>
        <v>0.52209485873387795</v>
      </c>
      <c r="BH100">
        <f t="shared" si="128"/>
        <v>0.70141267410424235</v>
      </c>
      <c r="BI100">
        <f t="shared" si="129"/>
        <v>0.70016101532115282</v>
      </c>
      <c r="BJ100">
        <f t="shared" si="130"/>
        <v>0.76867464890006498</v>
      </c>
      <c r="BK100">
        <f t="shared" si="131"/>
        <v>0.71902614686687416</v>
      </c>
      <c r="BL100">
        <f t="shared" si="132"/>
        <v>0.52889052185296426</v>
      </c>
      <c r="BM100">
        <f t="shared" si="133"/>
        <v>0.47110947814703574</v>
      </c>
      <c r="BN100">
        <v>20331</v>
      </c>
      <c r="BO100">
        <v>290.00000000000011</v>
      </c>
      <c r="BP100">
        <v>1080.57</v>
      </c>
      <c r="BQ100">
        <v>95</v>
      </c>
      <c r="BR100">
        <v>10227.9</v>
      </c>
      <c r="BS100">
        <v>1079.24</v>
      </c>
      <c r="BT100">
        <v>1.33</v>
      </c>
      <c r="BU100">
        <v>300.00000000000011</v>
      </c>
      <c r="BV100">
        <v>24.2</v>
      </c>
      <c r="BW100">
        <v>1200.4474328945009</v>
      </c>
      <c r="BX100">
        <v>2.1600422685687799</v>
      </c>
      <c r="BY100">
        <v>-123.9662442979934</v>
      </c>
      <c r="BZ100">
        <v>1.960971602637962</v>
      </c>
      <c r="CA100">
        <v>0.99304236678943547</v>
      </c>
      <c r="CB100">
        <v>-6.9469741935483916E-3</v>
      </c>
      <c r="CC100">
        <v>289.99999999999989</v>
      </c>
      <c r="CD100">
        <v>1073.1199999999999</v>
      </c>
      <c r="CE100">
        <v>655</v>
      </c>
      <c r="CF100">
        <v>10171.6</v>
      </c>
      <c r="CG100">
        <v>1078.57</v>
      </c>
      <c r="CH100">
        <v>-5.45</v>
      </c>
      <c r="CV100">
        <f t="shared" si="134"/>
        <v>1799.94</v>
      </c>
      <c r="CW100">
        <f t="shared" si="135"/>
        <v>1513.1339993024972</v>
      </c>
      <c r="CX100">
        <f t="shared" si="136"/>
        <v>0.84065802154654989</v>
      </c>
      <c r="CY100">
        <f t="shared" si="137"/>
        <v>0.19131604309309996</v>
      </c>
      <c r="CZ100">
        <v>6</v>
      </c>
      <c r="DA100">
        <v>0.5</v>
      </c>
      <c r="DB100" t="s">
        <v>418</v>
      </c>
      <c r="DC100">
        <v>2</v>
      </c>
      <c r="DD100">
        <v>1674594322.0999999</v>
      </c>
      <c r="DE100">
        <v>1427.09</v>
      </c>
      <c r="DF100">
        <v>1499.99</v>
      </c>
      <c r="DG100">
        <v>24.8062</v>
      </c>
      <c r="DH100">
        <v>19.964500000000001</v>
      </c>
      <c r="DI100">
        <v>1431.78</v>
      </c>
      <c r="DJ100">
        <v>24.479900000000001</v>
      </c>
      <c r="DK100">
        <v>500.08</v>
      </c>
      <c r="DL100">
        <v>99.535200000000003</v>
      </c>
      <c r="DM100">
        <v>9.9843299999999996E-2</v>
      </c>
      <c r="DN100">
        <v>28.0212</v>
      </c>
      <c r="DO100">
        <v>28.041799999999999</v>
      </c>
      <c r="DP100">
        <v>999.9</v>
      </c>
      <c r="DQ100">
        <v>0</v>
      </c>
      <c r="DR100">
        <v>0</v>
      </c>
      <c r="DS100">
        <v>9996.25</v>
      </c>
      <c r="DT100">
        <v>0</v>
      </c>
      <c r="DU100">
        <v>375.29300000000001</v>
      </c>
      <c r="DV100">
        <v>-72.904499999999999</v>
      </c>
      <c r="DW100">
        <v>1463.39</v>
      </c>
      <c r="DX100">
        <v>1530.55</v>
      </c>
      <c r="DY100">
        <v>4.8416300000000003</v>
      </c>
      <c r="DZ100">
        <v>1499.99</v>
      </c>
      <c r="EA100">
        <v>19.964500000000001</v>
      </c>
      <c r="EB100">
        <v>2.46909</v>
      </c>
      <c r="EC100">
        <v>1.9871700000000001</v>
      </c>
      <c r="ED100">
        <v>20.824200000000001</v>
      </c>
      <c r="EE100">
        <v>17.342500000000001</v>
      </c>
      <c r="EF100">
        <v>1799.94</v>
      </c>
      <c r="EG100">
        <v>0.97800699999999996</v>
      </c>
      <c r="EH100">
        <v>2.1992500000000002E-2</v>
      </c>
      <c r="EI100">
        <v>0</v>
      </c>
      <c r="EJ100">
        <v>760.65300000000002</v>
      </c>
      <c r="EK100">
        <v>5.0010599999999998</v>
      </c>
      <c r="EL100">
        <v>14162.9</v>
      </c>
      <c r="EM100">
        <v>16710.5</v>
      </c>
      <c r="EN100">
        <v>48.75</v>
      </c>
      <c r="EO100">
        <v>49.561999999999998</v>
      </c>
      <c r="EP100">
        <v>49.75</v>
      </c>
      <c r="EQ100">
        <v>48.311999999999998</v>
      </c>
      <c r="ER100">
        <v>49.625</v>
      </c>
      <c r="ES100">
        <v>1755.46</v>
      </c>
      <c r="ET100">
        <v>39.479999999999997</v>
      </c>
      <c r="EU100">
        <v>0</v>
      </c>
      <c r="EV100">
        <v>117.19999980926509</v>
      </c>
      <c r="EW100">
        <v>0</v>
      </c>
      <c r="EX100">
        <v>760.83883999999989</v>
      </c>
      <c r="EY100">
        <v>-9.5769234597270908E-2</v>
      </c>
      <c r="EZ100">
        <v>1.161538518198606</v>
      </c>
      <c r="FA100">
        <v>14163.748</v>
      </c>
      <c r="FB100">
        <v>15</v>
      </c>
      <c r="FC100">
        <v>1674594287.5999999</v>
      </c>
      <c r="FD100" t="s">
        <v>848</v>
      </c>
      <c r="FE100">
        <v>1674594287.5999999</v>
      </c>
      <c r="FF100">
        <v>1674594286.5999999</v>
      </c>
      <c r="FG100">
        <v>93</v>
      </c>
      <c r="FH100">
        <v>0.06</v>
      </c>
      <c r="FI100">
        <v>-6.0000000000000001E-3</v>
      </c>
      <c r="FJ100">
        <v>-4.758</v>
      </c>
      <c r="FK100">
        <v>8.1000000000000003E-2</v>
      </c>
      <c r="FL100">
        <v>1500</v>
      </c>
      <c r="FM100">
        <v>20</v>
      </c>
      <c r="FN100">
        <v>0.04</v>
      </c>
      <c r="FO100">
        <v>0.01</v>
      </c>
      <c r="FP100">
        <v>54.807308480490818</v>
      </c>
      <c r="FQ100">
        <v>-0.50786384328582157</v>
      </c>
      <c r="FR100">
        <v>0.15517336782430491</v>
      </c>
      <c r="FS100">
        <v>1</v>
      </c>
      <c r="FT100">
        <v>0.32567404947268741</v>
      </c>
      <c r="FU100">
        <v>-1.3582968139997801E-2</v>
      </c>
      <c r="FV100">
        <v>3.3824833019991509E-3</v>
      </c>
      <c r="FW100">
        <v>1</v>
      </c>
      <c r="FX100">
        <v>2</v>
      </c>
      <c r="FY100">
        <v>2</v>
      </c>
      <c r="FZ100" t="s">
        <v>420</v>
      </c>
      <c r="GA100">
        <v>2.97742</v>
      </c>
      <c r="GB100">
        <v>2.8061400000000001</v>
      </c>
      <c r="GC100">
        <v>0.23144300000000001</v>
      </c>
      <c r="GD100">
        <v>0.23541400000000001</v>
      </c>
      <c r="GE100">
        <v>0.121461</v>
      </c>
      <c r="GF100">
        <v>0.10421800000000001</v>
      </c>
      <c r="GG100">
        <v>22688.3</v>
      </c>
      <c r="GH100">
        <v>20929.599999999999</v>
      </c>
      <c r="GI100">
        <v>26548.400000000001</v>
      </c>
      <c r="GJ100">
        <v>25864.6</v>
      </c>
      <c r="GK100">
        <v>31738.2</v>
      </c>
      <c r="GL100">
        <v>32703.4</v>
      </c>
      <c r="GM100">
        <v>37611.9</v>
      </c>
      <c r="GN100">
        <v>38375.300000000003</v>
      </c>
      <c r="GO100">
        <v>1.9654499999999999</v>
      </c>
      <c r="GP100">
        <v>1.9135500000000001</v>
      </c>
      <c r="GQ100">
        <v>6.23837E-2</v>
      </c>
      <c r="GR100">
        <v>0</v>
      </c>
      <c r="GS100">
        <v>27.022500000000001</v>
      </c>
      <c r="GT100">
        <v>999.9</v>
      </c>
      <c r="GU100">
        <v>41.4</v>
      </c>
      <c r="GV100">
        <v>34.5</v>
      </c>
      <c r="GW100">
        <v>22.848400000000002</v>
      </c>
      <c r="GX100">
        <v>62.044199999999996</v>
      </c>
      <c r="GY100">
        <v>11.9832</v>
      </c>
      <c r="GZ100">
        <v>1</v>
      </c>
      <c r="HA100">
        <v>0.44450699999999999</v>
      </c>
      <c r="HB100">
        <v>2.9962</v>
      </c>
      <c r="HC100">
        <v>20.227799999999998</v>
      </c>
      <c r="HD100">
        <v>5.2066600000000003</v>
      </c>
      <c r="HE100">
        <v>11.9381</v>
      </c>
      <c r="HF100">
        <v>4.9866999999999999</v>
      </c>
      <c r="HG100">
        <v>3.28993</v>
      </c>
      <c r="HH100">
        <v>9999</v>
      </c>
      <c r="HI100">
        <v>9999</v>
      </c>
      <c r="HJ100">
        <v>9999</v>
      </c>
      <c r="HK100">
        <v>999.9</v>
      </c>
      <c r="HL100">
        <v>1.8702700000000001</v>
      </c>
      <c r="HM100">
        <v>1.87653</v>
      </c>
      <c r="HN100">
        <v>1.8742399999999999</v>
      </c>
      <c r="HO100">
        <v>1.87256</v>
      </c>
      <c r="HP100">
        <v>1.8730199999999999</v>
      </c>
      <c r="HQ100">
        <v>1.87042</v>
      </c>
      <c r="HR100">
        <v>1.8763300000000001</v>
      </c>
      <c r="HS100">
        <v>1.8754</v>
      </c>
      <c r="HT100">
        <v>5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424</v>
      </c>
      <c r="IB100" t="s">
        <v>424</v>
      </c>
      <c r="IC100" t="s">
        <v>423</v>
      </c>
      <c r="ID100">
        <v>0</v>
      </c>
      <c r="IE100">
        <v>100</v>
      </c>
      <c r="IF100">
        <v>100</v>
      </c>
      <c r="IG100">
        <v>-4.6900000000000004</v>
      </c>
      <c r="IH100">
        <v>0.32629999999999998</v>
      </c>
      <c r="II100">
        <v>-2.9300480208394442</v>
      </c>
      <c r="IJ100">
        <v>-2.536945948238235E-3</v>
      </c>
      <c r="IK100">
        <v>1.581473279927893E-6</v>
      </c>
      <c r="IL100">
        <v>-4.6698293441882044E-10</v>
      </c>
      <c r="IM100">
        <v>-0.18320033474892161</v>
      </c>
      <c r="IN100">
        <v>-1.5895243091576399E-2</v>
      </c>
      <c r="IO100">
        <v>1.559614309849521E-3</v>
      </c>
      <c r="IP100">
        <v>-2.4566050869858518E-6</v>
      </c>
      <c r="IQ100">
        <v>2</v>
      </c>
      <c r="IR100">
        <v>2224</v>
      </c>
      <c r="IS100">
        <v>2</v>
      </c>
      <c r="IT100">
        <v>25</v>
      </c>
      <c r="IU100">
        <v>0.6</v>
      </c>
      <c r="IV100">
        <v>0.6</v>
      </c>
      <c r="IW100">
        <v>2.7416999999999998</v>
      </c>
      <c r="IX100">
        <v>2.4719199999999999</v>
      </c>
      <c r="IY100">
        <v>1.65039</v>
      </c>
      <c r="IZ100">
        <v>2.2900399999999999</v>
      </c>
      <c r="JA100">
        <v>1.50024</v>
      </c>
      <c r="JB100">
        <v>2.4133300000000002</v>
      </c>
      <c r="JC100">
        <v>38.330100000000002</v>
      </c>
      <c r="JD100">
        <v>23.868600000000001</v>
      </c>
      <c r="JE100">
        <v>18</v>
      </c>
      <c r="JF100">
        <v>504.59</v>
      </c>
      <c r="JG100">
        <v>463.988</v>
      </c>
      <c r="JH100">
        <v>24.407900000000001</v>
      </c>
      <c r="JI100">
        <v>32.7986</v>
      </c>
      <c r="JJ100">
        <v>30.0001</v>
      </c>
      <c r="JK100">
        <v>32.847000000000001</v>
      </c>
      <c r="JL100">
        <v>32.830800000000004</v>
      </c>
      <c r="JM100">
        <v>54.879100000000001</v>
      </c>
      <c r="JN100">
        <v>26.8569</v>
      </c>
      <c r="JO100">
        <v>45.519500000000001</v>
      </c>
      <c r="JP100">
        <v>24.385200000000001</v>
      </c>
      <c r="JQ100">
        <v>1500</v>
      </c>
      <c r="JR100">
        <v>19.9682</v>
      </c>
      <c r="JS100">
        <v>99.819100000000006</v>
      </c>
      <c r="JT100">
        <v>99.006</v>
      </c>
    </row>
    <row r="101" spans="1:280" x14ac:dyDescent="0.25">
      <c r="A101">
        <v>85</v>
      </c>
      <c r="B101">
        <v>1674596049</v>
      </c>
      <c r="C101">
        <v>21914.400000095371</v>
      </c>
      <c r="D101" t="s">
        <v>849</v>
      </c>
      <c r="E101" t="s">
        <v>850</v>
      </c>
      <c r="F101" t="s">
        <v>412</v>
      </c>
      <c r="G101" t="s">
        <v>851</v>
      </c>
      <c r="H101" t="s">
        <v>566</v>
      </c>
      <c r="I101">
        <v>1674596049</v>
      </c>
      <c r="J101">
        <f t="shared" si="92"/>
        <v>5.7958778210416822E-3</v>
      </c>
      <c r="K101">
        <f t="shared" si="93"/>
        <v>5.7958778210416826</v>
      </c>
      <c r="L101">
        <f t="shared" si="94"/>
        <v>51.687290891277122</v>
      </c>
      <c r="M101">
        <f t="shared" si="95"/>
        <v>335.68200000000002</v>
      </c>
      <c r="N101">
        <f t="shared" si="96"/>
        <v>142.49575593383449</v>
      </c>
      <c r="O101">
        <f t="shared" si="97"/>
        <v>14.19327875486765</v>
      </c>
      <c r="P101">
        <f t="shared" si="98"/>
        <v>33.435579661781397</v>
      </c>
      <c r="Q101">
        <f t="shared" si="99"/>
        <v>0.47325963382325126</v>
      </c>
      <c r="R101">
        <f t="shared" si="100"/>
        <v>2.9193186792526333</v>
      </c>
      <c r="S101">
        <f t="shared" si="101"/>
        <v>0.43439935030246535</v>
      </c>
      <c r="T101">
        <f t="shared" si="102"/>
        <v>0.27472463721674723</v>
      </c>
      <c r="U101">
        <f t="shared" si="103"/>
        <v>344.41059860521131</v>
      </c>
      <c r="V101">
        <f t="shared" si="104"/>
        <v>28.51919081211399</v>
      </c>
      <c r="W101">
        <f t="shared" si="105"/>
        <v>27.875399999999999</v>
      </c>
      <c r="X101">
        <f t="shared" si="106"/>
        <v>3.7673620919761719</v>
      </c>
      <c r="Y101">
        <f t="shared" si="107"/>
        <v>65.376571610323836</v>
      </c>
      <c r="Z101">
        <f t="shared" si="108"/>
        <v>2.4800828912918398</v>
      </c>
      <c r="AA101">
        <f t="shared" si="109"/>
        <v>3.7935346412386695</v>
      </c>
      <c r="AB101">
        <f t="shared" si="110"/>
        <v>1.2872792006843321</v>
      </c>
      <c r="AC101">
        <f t="shared" si="111"/>
        <v>-255.59821190793818</v>
      </c>
      <c r="AD101">
        <f t="shared" si="112"/>
        <v>18.681754835077601</v>
      </c>
      <c r="AE101">
        <f t="shared" si="113"/>
        <v>1.3940052439475439</v>
      </c>
      <c r="AF101">
        <f t="shared" si="114"/>
        <v>108.88814677629829</v>
      </c>
      <c r="AG101">
        <v>0</v>
      </c>
      <c r="AH101">
        <v>0</v>
      </c>
      <c r="AI101">
        <f t="shared" si="115"/>
        <v>1</v>
      </c>
      <c r="AJ101">
        <f t="shared" si="116"/>
        <v>0</v>
      </c>
      <c r="AK101">
        <f t="shared" si="117"/>
        <v>52397.638677349387</v>
      </c>
      <c r="AL101" t="s">
        <v>415</v>
      </c>
      <c r="AM101">
        <v>10424.1</v>
      </c>
      <c r="AN101">
        <v>628.54280000000006</v>
      </c>
      <c r="AO101">
        <v>2663.98</v>
      </c>
      <c r="AP101">
        <f t="shared" si="118"/>
        <v>0.76405873917972356</v>
      </c>
      <c r="AQ101">
        <v>-3.1675626227050531</v>
      </c>
      <c r="AR101" t="s">
        <v>852</v>
      </c>
      <c r="AS101">
        <v>10220</v>
      </c>
      <c r="AT101">
        <v>776.8338</v>
      </c>
      <c r="AU101">
        <v>1194.994784403543</v>
      </c>
      <c r="AV101">
        <f t="shared" si="119"/>
        <v>0.34992703722322893</v>
      </c>
      <c r="AW101">
        <v>0.5</v>
      </c>
      <c r="AX101">
        <f t="shared" si="120"/>
        <v>1513.3691993026055</v>
      </c>
      <c r="AY101">
        <f t="shared" si="121"/>
        <v>51.687290891277122</v>
      </c>
      <c r="AZ101">
        <f t="shared" si="122"/>
        <v>264.7844000684255</v>
      </c>
      <c r="BA101">
        <f t="shared" si="123"/>
        <v>3.6246841510492303E-2</v>
      </c>
      <c r="BB101">
        <f t="shared" si="124"/>
        <v>1.2292816962625244</v>
      </c>
      <c r="BC101">
        <f t="shared" si="125"/>
        <v>487.22802493499842</v>
      </c>
      <c r="BD101" t="s">
        <v>853</v>
      </c>
      <c r="BE101">
        <v>564.65</v>
      </c>
      <c r="BF101">
        <f t="shared" si="126"/>
        <v>564.65</v>
      </c>
      <c r="BG101">
        <f t="shared" si="127"/>
        <v>0.52748747746055358</v>
      </c>
      <c r="BH101">
        <f t="shared" si="128"/>
        <v>0.6633845393029203</v>
      </c>
      <c r="BI101">
        <f t="shared" si="129"/>
        <v>0.69974001971888988</v>
      </c>
      <c r="BJ101">
        <f t="shared" si="130"/>
        <v>0.73821082089394396</v>
      </c>
      <c r="BK101">
        <f t="shared" si="131"/>
        <v>0.7217050054879891</v>
      </c>
      <c r="BL101">
        <f t="shared" si="132"/>
        <v>0.48218818506274308</v>
      </c>
      <c r="BM101">
        <f t="shared" si="133"/>
        <v>0.51781181493725692</v>
      </c>
      <c r="BN101">
        <v>20333</v>
      </c>
      <c r="BO101">
        <v>290.00000000000011</v>
      </c>
      <c r="BP101">
        <v>1098.3900000000001</v>
      </c>
      <c r="BQ101">
        <v>135</v>
      </c>
      <c r="BR101">
        <v>10220</v>
      </c>
      <c r="BS101">
        <v>1097.8699999999999</v>
      </c>
      <c r="BT101">
        <v>0.52</v>
      </c>
      <c r="BU101">
        <v>300.00000000000011</v>
      </c>
      <c r="BV101">
        <v>24.2</v>
      </c>
      <c r="BW101">
        <v>1194.994784403543</v>
      </c>
      <c r="BX101">
        <v>2.263429755404057</v>
      </c>
      <c r="BY101">
        <v>-99.264979519476825</v>
      </c>
      <c r="BZ101">
        <v>2.055213750228833</v>
      </c>
      <c r="CA101">
        <v>0.98813963026594698</v>
      </c>
      <c r="CB101">
        <v>-6.9473038932146907E-3</v>
      </c>
      <c r="CC101">
        <v>289.99999999999989</v>
      </c>
      <c r="CD101">
        <v>1098.9000000000001</v>
      </c>
      <c r="CE101">
        <v>685</v>
      </c>
      <c r="CF101">
        <v>10171.299999999999</v>
      </c>
      <c r="CG101">
        <v>1097.4000000000001</v>
      </c>
      <c r="CH101">
        <v>1.5</v>
      </c>
      <c r="CV101">
        <f t="shared" si="134"/>
        <v>1800.22</v>
      </c>
      <c r="CW101">
        <f t="shared" si="135"/>
        <v>1513.3691993026055</v>
      </c>
      <c r="CX101">
        <f t="shared" si="136"/>
        <v>0.84065791920021193</v>
      </c>
      <c r="CY101">
        <f t="shared" si="137"/>
        <v>0.19131583840042402</v>
      </c>
      <c r="CZ101">
        <v>6</v>
      </c>
      <c r="DA101">
        <v>0.5</v>
      </c>
      <c r="DB101" t="s">
        <v>418</v>
      </c>
      <c r="DC101">
        <v>2</v>
      </c>
      <c r="DD101">
        <v>1674596049</v>
      </c>
      <c r="DE101">
        <v>335.68200000000002</v>
      </c>
      <c r="DF101">
        <v>400.03500000000003</v>
      </c>
      <c r="DG101">
        <v>24.8992</v>
      </c>
      <c r="DH101">
        <v>18.117999999999999</v>
      </c>
      <c r="DI101">
        <v>338.92899999999997</v>
      </c>
      <c r="DJ101">
        <v>24.549700000000001</v>
      </c>
      <c r="DK101">
        <v>500.05</v>
      </c>
      <c r="DL101">
        <v>99.504999999999995</v>
      </c>
      <c r="DM101">
        <v>9.9922700000000003E-2</v>
      </c>
      <c r="DN101">
        <v>27.9941</v>
      </c>
      <c r="DO101">
        <v>27.875399999999999</v>
      </c>
      <c r="DP101">
        <v>999.9</v>
      </c>
      <c r="DQ101">
        <v>0</v>
      </c>
      <c r="DR101">
        <v>0</v>
      </c>
      <c r="DS101">
        <v>9991.25</v>
      </c>
      <c r="DT101">
        <v>0</v>
      </c>
      <c r="DU101">
        <v>372.87700000000001</v>
      </c>
      <c r="DV101">
        <v>-64.352400000000003</v>
      </c>
      <c r="DW101">
        <v>344.25400000000002</v>
      </c>
      <c r="DX101">
        <v>407.416</v>
      </c>
      <c r="DY101">
        <v>6.7812000000000001</v>
      </c>
      <c r="DZ101">
        <v>400.03500000000003</v>
      </c>
      <c r="EA101">
        <v>18.117999999999999</v>
      </c>
      <c r="EB101">
        <v>2.4775900000000002</v>
      </c>
      <c r="EC101">
        <v>1.8028299999999999</v>
      </c>
      <c r="ED101">
        <v>20.88</v>
      </c>
      <c r="EE101">
        <v>15.811299999999999</v>
      </c>
      <c r="EF101">
        <v>1800.22</v>
      </c>
      <c r="EG101">
        <v>0.97800699999999996</v>
      </c>
      <c r="EH101">
        <v>2.19927E-2</v>
      </c>
      <c r="EI101">
        <v>0</v>
      </c>
      <c r="EJ101">
        <v>776.76099999999997</v>
      </c>
      <c r="EK101">
        <v>5.0010599999999998</v>
      </c>
      <c r="EL101">
        <v>14473</v>
      </c>
      <c r="EM101">
        <v>16713.099999999999</v>
      </c>
      <c r="EN101">
        <v>48.75</v>
      </c>
      <c r="EO101">
        <v>49.625</v>
      </c>
      <c r="EP101">
        <v>49.75</v>
      </c>
      <c r="EQ101">
        <v>48.311999999999998</v>
      </c>
      <c r="ER101">
        <v>49.561999999999998</v>
      </c>
      <c r="ES101">
        <v>1755.74</v>
      </c>
      <c r="ET101">
        <v>39.479999999999997</v>
      </c>
      <c r="EU101">
        <v>0</v>
      </c>
      <c r="EV101">
        <v>1725</v>
      </c>
      <c r="EW101">
        <v>0</v>
      </c>
      <c r="EX101">
        <v>776.8338</v>
      </c>
      <c r="EY101">
        <v>1.453769223007271</v>
      </c>
      <c r="EZ101">
        <v>4.3923077382523381</v>
      </c>
      <c r="FA101">
        <v>14470.796</v>
      </c>
      <c r="FB101">
        <v>15</v>
      </c>
      <c r="FC101">
        <v>1674596015</v>
      </c>
      <c r="FD101" t="s">
        <v>854</v>
      </c>
      <c r="FE101">
        <v>1674595995.5</v>
      </c>
      <c r="FF101">
        <v>1674596015</v>
      </c>
      <c r="FG101">
        <v>96</v>
      </c>
      <c r="FH101">
        <v>2.9000000000000001E-2</v>
      </c>
      <c r="FI101">
        <v>1.7999999999999999E-2</v>
      </c>
      <c r="FJ101">
        <v>-3.347</v>
      </c>
      <c r="FK101">
        <v>4.7E-2</v>
      </c>
      <c r="FL101">
        <v>400</v>
      </c>
      <c r="FM101">
        <v>18</v>
      </c>
      <c r="FN101">
        <v>0.03</v>
      </c>
      <c r="FO101">
        <v>0.02</v>
      </c>
      <c r="FP101">
        <v>51.603408888227463</v>
      </c>
      <c r="FQ101">
        <v>-0.69602926867422987</v>
      </c>
      <c r="FR101">
        <v>9.4692824482641644E-2</v>
      </c>
      <c r="FS101">
        <v>1</v>
      </c>
      <c r="FT101">
        <v>0.47986190756546959</v>
      </c>
      <c r="FU101">
        <v>1.45816256756254E-2</v>
      </c>
      <c r="FV101">
        <v>4.0235172058822322E-3</v>
      </c>
      <c r="FW101">
        <v>1</v>
      </c>
      <c r="FX101">
        <v>2</v>
      </c>
      <c r="FY101">
        <v>2</v>
      </c>
      <c r="FZ101" t="s">
        <v>420</v>
      </c>
      <c r="GA101">
        <v>2.9771999999999998</v>
      </c>
      <c r="GB101">
        <v>2.8061699999999998</v>
      </c>
      <c r="GC101">
        <v>8.5232799999999997E-2</v>
      </c>
      <c r="GD101">
        <v>9.5960299999999998E-2</v>
      </c>
      <c r="GE101">
        <v>0.121623</v>
      </c>
      <c r="GF101">
        <v>9.7311400000000006E-2</v>
      </c>
      <c r="GG101">
        <v>27005.9</v>
      </c>
      <c r="GH101">
        <v>24743.7</v>
      </c>
      <c r="GI101">
        <v>26541</v>
      </c>
      <c r="GJ101">
        <v>25852</v>
      </c>
      <c r="GK101">
        <v>31721.9</v>
      </c>
      <c r="GL101">
        <v>32939</v>
      </c>
      <c r="GM101">
        <v>37600</v>
      </c>
      <c r="GN101">
        <v>38357.4</v>
      </c>
      <c r="GO101">
        <v>1.9659</v>
      </c>
      <c r="GP101">
        <v>1.90438</v>
      </c>
      <c r="GQ101">
        <v>5.1353099999999999E-2</v>
      </c>
      <c r="GR101">
        <v>0</v>
      </c>
      <c r="GS101">
        <v>27.036300000000001</v>
      </c>
      <c r="GT101">
        <v>999.9</v>
      </c>
      <c r="GU101">
        <v>42.8</v>
      </c>
      <c r="GV101">
        <v>34.4</v>
      </c>
      <c r="GW101">
        <v>23.4969</v>
      </c>
      <c r="GX101">
        <v>62.144500000000001</v>
      </c>
      <c r="GY101">
        <v>12.071300000000001</v>
      </c>
      <c r="GZ101">
        <v>1</v>
      </c>
      <c r="HA101">
        <v>0.45916200000000001</v>
      </c>
      <c r="HB101">
        <v>2.5797400000000001</v>
      </c>
      <c r="HC101">
        <v>20.2349</v>
      </c>
      <c r="HD101">
        <v>5.2065099999999997</v>
      </c>
      <c r="HE101">
        <v>11.9381</v>
      </c>
      <c r="HF101">
        <v>4.9864499999999996</v>
      </c>
      <c r="HG101">
        <v>3.2894999999999999</v>
      </c>
      <c r="HH101">
        <v>9999</v>
      </c>
      <c r="HI101">
        <v>9999</v>
      </c>
      <c r="HJ101">
        <v>9999</v>
      </c>
      <c r="HK101">
        <v>999.9</v>
      </c>
      <c r="HL101">
        <v>1.8702700000000001</v>
      </c>
      <c r="HM101">
        <v>1.87653</v>
      </c>
      <c r="HN101">
        <v>1.8742399999999999</v>
      </c>
      <c r="HO101">
        <v>1.87256</v>
      </c>
      <c r="HP101">
        <v>1.8730199999999999</v>
      </c>
      <c r="HQ101">
        <v>1.8704000000000001</v>
      </c>
      <c r="HR101">
        <v>1.87636</v>
      </c>
      <c r="HS101">
        <v>1.8754500000000001</v>
      </c>
      <c r="HT101">
        <v>5</v>
      </c>
      <c r="HU101">
        <v>0</v>
      </c>
      <c r="HV101">
        <v>0</v>
      </c>
      <c r="HW101">
        <v>0</v>
      </c>
      <c r="HX101" t="s">
        <v>421</v>
      </c>
      <c r="HY101" t="s">
        <v>422</v>
      </c>
      <c r="HZ101" t="s">
        <v>423</v>
      </c>
      <c r="IA101" t="s">
        <v>424</v>
      </c>
      <c r="IB101" t="s">
        <v>424</v>
      </c>
      <c r="IC101" t="s">
        <v>423</v>
      </c>
      <c r="ID101">
        <v>0</v>
      </c>
      <c r="IE101">
        <v>100</v>
      </c>
      <c r="IF101">
        <v>100</v>
      </c>
      <c r="IG101">
        <v>-3.2469999999999999</v>
      </c>
      <c r="IH101">
        <v>0.34949999999999998</v>
      </c>
      <c r="II101">
        <v>-2.549972274518272</v>
      </c>
      <c r="IJ101">
        <v>-2.536945948238235E-3</v>
      </c>
      <c r="IK101">
        <v>1.581473279927893E-6</v>
      </c>
      <c r="IL101">
        <v>-4.6698293441882044E-10</v>
      </c>
      <c r="IM101">
        <v>-0.16391196563472571</v>
      </c>
      <c r="IN101">
        <v>-1.5895243091576399E-2</v>
      </c>
      <c r="IO101">
        <v>1.559614309849521E-3</v>
      </c>
      <c r="IP101">
        <v>-2.4566050869858518E-6</v>
      </c>
      <c r="IQ101">
        <v>2</v>
      </c>
      <c r="IR101">
        <v>2224</v>
      </c>
      <c r="IS101">
        <v>2</v>
      </c>
      <c r="IT101">
        <v>25</v>
      </c>
      <c r="IU101">
        <v>0.9</v>
      </c>
      <c r="IV101">
        <v>0.6</v>
      </c>
      <c r="IW101">
        <v>0.9375</v>
      </c>
      <c r="IX101">
        <v>2.4902299999999999</v>
      </c>
      <c r="IY101">
        <v>1.65039</v>
      </c>
      <c r="IZ101">
        <v>2.2912599999999999</v>
      </c>
      <c r="JA101">
        <v>1.50024</v>
      </c>
      <c r="JB101">
        <v>2.3779300000000001</v>
      </c>
      <c r="JC101">
        <v>38.354500000000002</v>
      </c>
      <c r="JD101">
        <v>23.868600000000001</v>
      </c>
      <c r="JE101">
        <v>18</v>
      </c>
      <c r="JF101">
        <v>506.12</v>
      </c>
      <c r="JG101">
        <v>459.065</v>
      </c>
      <c r="JH101">
        <v>24.714300000000001</v>
      </c>
      <c r="JI101">
        <v>32.993099999999998</v>
      </c>
      <c r="JJ101">
        <v>29.9999</v>
      </c>
      <c r="JK101">
        <v>33.000399999999999</v>
      </c>
      <c r="JL101">
        <v>32.974699999999999</v>
      </c>
      <c r="JM101">
        <v>18.793399999999998</v>
      </c>
      <c r="JN101">
        <v>35.945</v>
      </c>
      <c r="JO101">
        <v>47.425199999999997</v>
      </c>
      <c r="JP101">
        <v>24.715199999999999</v>
      </c>
      <c r="JQ101">
        <v>400</v>
      </c>
      <c r="JR101">
        <v>18.1111</v>
      </c>
      <c r="JS101">
        <v>99.789100000000005</v>
      </c>
      <c r="JT101">
        <v>98.959000000000003</v>
      </c>
    </row>
    <row r="102" spans="1:280" x14ac:dyDescent="0.25">
      <c r="A102">
        <v>86</v>
      </c>
      <c r="B102">
        <v>1674596160</v>
      </c>
      <c r="C102">
        <v>22025.400000095371</v>
      </c>
      <c r="D102" t="s">
        <v>855</v>
      </c>
      <c r="E102" t="s">
        <v>856</v>
      </c>
      <c r="F102" t="s">
        <v>412</v>
      </c>
      <c r="G102" t="s">
        <v>851</v>
      </c>
      <c r="H102" t="s">
        <v>566</v>
      </c>
      <c r="I102">
        <v>1674596160</v>
      </c>
      <c r="J102">
        <f t="shared" si="92"/>
        <v>5.9422445362497123E-3</v>
      </c>
      <c r="K102">
        <f t="shared" si="93"/>
        <v>5.9422445362497127</v>
      </c>
      <c r="L102">
        <f t="shared" si="94"/>
        <v>45.494169567118412</v>
      </c>
      <c r="M102">
        <f t="shared" si="95"/>
        <v>243.673</v>
      </c>
      <c r="N102">
        <f t="shared" si="96"/>
        <v>80.940347682100153</v>
      </c>
      <c r="O102">
        <f t="shared" si="97"/>
        <v>8.0623693744242058</v>
      </c>
      <c r="P102">
        <f t="shared" si="98"/>
        <v>24.271970516980304</v>
      </c>
      <c r="Q102">
        <f t="shared" si="99"/>
        <v>0.49325714219434996</v>
      </c>
      <c r="R102">
        <f t="shared" si="100"/>
        <v>2.920923800114088</v>
      </c>
      <c r="S102">
        <f t="shared" si="101"/>
        <v>0.45122060173174361</v>
      </c>
      <c r="T102">
        <f t="shared" si="102"/>
        <v>0.28549055675802454</v>
      </c>
      <c r="U102">
        <f t="shared" si="103"/>
        <v>344.34599860494785</v>
      </c>
      <c r="V102">
        <f t="shared" si="104"/>
        <v>28.476098580486305</v>
      </c>
      <c r="W102">
        <f t="shared" si="105"/>
        <v>27.8626</v>
      </c>
      <c r="X102">
        <f t="shared" si="106"/>
        <v>3.7645492115840247</v>
      </c>
      <c r="Y102">
        <f t="shared" si="107"/>
        <v>65.759516423296859</v>
      </c>
      <c r="Z102">
        <f t="shared" si="108"/>
        <v>2.4939847394255805</v>
      </c>
      <c r="AA102">
        <f t="shared" si="109"/>
        <v>3.7925837583288975</v>
      </c>
      <c r="AB102">
        <f t="shared" si="110"/>
        <v>1.2705644721584441</v>
      </c>
      <c r="AC102">
        <f t="shared" si="111"/>
        <v>-262.0529840486123</v>
      </c>
      <c r="AD102">
        <f t="shared" si="112"/>
        <v>20.030545745574443</v>
      </c>
      <c r="AE102">
        <f t="shared" si="113"/>
        <v>1.4937013894771232</v>
      </c>
      <c r="AF102">
        <f t="shared" si="114"/>
        <v>103.8172616913871</v>
      </c>
      <c r="AG102">
        <v>0</v>
      </c>
      <c r="AH102">
        <v>0</v>
      </c>
      <c r="AI102">
        <f t="shared" si="115"/>
        <v>1</v>
      </c>
      <c r="AJ102">
        <f t="shared" si="116"/>
        <v>0</v>
      </c>
      <c r="AK102">
        <f t="shared" si="117"/>
        <v>52444.565269828323</v>
      </c>
      <c r="AL102" t="s">
        <v>415</v>
      </c>
      <c r="AM102">
        <v>10424.1</v>
      </c>
      <c r="AN102">
        <v>628.54280000000006</v>
      </c>
      <c r="AO102">
        <v>2663.98</v>
      </c>
      <c r="AP102">
        <f t="shared" si="118"/>
        <v>0.76405873917972356</v>
      </c>
      <c r="AQ102">
        <v>-3.1675626227050531</v>
      </c>
      <c r="AR102" t="s">
        <v>857</v>
      </c>
      <c r="AS102">
        <v>10214.799999999999</v>
      </c>
      <c r="AT102">
        <v>766.20730769230772</v>
      </c>
      <c r="AU102">
        <v>1144.253070046909</v>
      </c>
      <c r="AV102">
        <f t="shared" si="119"/>
        <v>0.33038649600398551</v>
      </c>
      <c r="AW102">
        <v>0.5</v>
      </c>
      <c r="AX102">
        <f t="shared" si="120"/>
        <v>1513.0835993024741</v>
      </c>
      <c r="AY102">
        <f t="shared" si="121"/>
        <v>45.494169567118412</v>
      </c>
      <c r="AZ102">
        <f t="shared" si="122"/>
        <v>249.95119426732143</v>
      </c>
      <c r="BA102">
        <f t="shared" si="123"/>
        <v>3.2160636869143479E-2</v>
      </c>
      <c r="BB102">
        <f t="shared" si="124"/>
        <v>1.3281388267464203</v>
      </c>
      <c r="BC102">
        <f t="shared" si="125"/>
        <v>478.57516921514849</v>
      </c>
      <c r="BD102" t="s">
        <v>858</v>
      </c>
      <c r="BE102">
        <v>560.6</v>
      </c>
      <c r="BF102">
        <f t="shared" si="126"/>
        <v>560.6</v>
      </c>
      <c r="BG102">
        <f t="shared" si="127"/>
        <v>0.51007341411195162</v>
      </c>
      <c r="BH102">
        <f t="shared" si="128"/>
        <v>0.64772341953794099</v>
      </c>
      <c r="BI102">
        <f t="shared" si="129"/>
        <v>0.7225165828110427</v>
      </c>
      <c r="BJ102">
        <f t="shared" si="130"/>
        <v>0.73305843282937588</v>
      </c>
      <c r="BK102">
        <f t="shared" si="131"/>
        <v>0.74663415307192538</v>
      </c>
      <c r="BL102">
        <f t="shared" si="132"/>
        <v>0.47391057922249469</v>
      </c>
      <c r="BM102">
        <f t="shared" si="133"/>
        <v>0.52608942077750531</v>
      </c>
      <c r="BN102">
        <v>20335</v>
      </c>
      <c r="BO102">
        <v>290.00000000000011</v>
      </c>
      <c r="BP102">
        <v>1047.68</v>
      </c>
      <c r="BQ102">
        <v>155</v>
      </c>
      <c r="BR102">
        <v>10214.799999999999</v>
      </c>
      <c r="BS102">
        <v>1045.47</v>
      </c>
      <c r="BT102">
        <v>2.21</v>
      </c>
      <c r="BU102">
        <v>300.00000000000011</v>
      </c>
      <c r="BV102">
        <v>24.2</v>
      </c>
      <c r="BW102">
        <v>1144.253070046909</v>
      </c>
      <c r="BX102">
        <v>1.590047927671552</v>
      </c>
      <c r="BY102">
        <v>-100.9027049464727</v>
      </c>
      <c r="BZ102">
        <v>1.4436614772033569</v>
      </c>
      <c r="CA102">
        <v>0.99430096909191257</v>
      </c>
      <c r="CB102">
        <v>-6.9467390433815392E-3</v>
      </c>
      <c r="CC102">
        <v>289.99999999999989</v>
      </c>
      <c r="CD102">
        <v>1044.9100000000001</v>
      </c>
      <c r="CE102">
        <v>685</v>
      </c>
      <c r="CF102">
        <v>10170.5</v>
      </c>
      <c r="CG102">
        <v>1045.04</v>
      </c>
      <c r="CH102">
        <v>-0.13</v>
      </c>
      <c r="CV102">
        <f t="shared" si="134"/>
        <v>1799.88</v>
      </c>
      <c r="CW102">
        <f t="shared" si="135"/>
        <v>1513.0835993024741</v>
      </c>
      <c r="CX102">
        <f t="shared" si="136"/>
        <v>0.84065804348205098</v>
      </c>
      <c r="CY102">
        <f t="shared" si="137"/>
        <v>0.19131608696410196</v>
      </c>
      <c r="CZ102">
        <v>6</v>
      </c>
      <c r="DA102">
        <v>0.5</v>
      </c>
      <c r="DB102" t="s">
        <v>418</v>
      </c>
      <c r="DC102">
        <v>2</v>
      </c>
      <c r="DD102">
        <v>1674596160</v>
      </c>
      <c r="DE102">
        <v>243.673</v>
      </c>
      <c r="DF102">
        <v>299.995</v>
      </c>
      <c r="DG102">
        <v>25.037800000000001</v>
      </c>
      <c r="DH102">
        <v>18.0867</v>
      </c>
      <c r="DI102">
        <v>246.565</v>
      </c>
      <c r="DJ102">
        <v>24.6798</v>
      </c>
      <c r="DK102">
        <v>500.07600000000002</v>
      </c>
      <c r="DL102">
        <v>99.509100000000004</v>
      </c>
      <c r="DM102">
        <v>9.9681099999999995E-2</v>
      </c>
      <c r="DN102">
        <v>27.989799999999999</v>
      </c>
      <c r="DO102">
        <v>27.8626</v>
      </c>
      <c r="DP102">
        <v>999.9</v>
      </c>
      <c r="DQ102">
        <v>0</v>
      </c>
      <c r="DR102">
        <v>0</v>
      </c>
      <c r="DS102">
        <v>10000</v>
      </c>
      <c r="DT102">
        <v>0</v>
      </c>
      <c r="DU102">
        <v>369.07299999999998</v>
      </c>
      <c r="DV102">
        <v>-56.321300000000001</v>
      </c>
      <c r="DW102">
        <v>249.93100000000001</v>
      </c>
      <c r="DX102">
        <v>305.52100000000002</v>
      </c>
      <c r="DY102">
        <v>6.9510699999999996</v>
      </c>
      <c r="DZ102">
        <v>299.995</v>
      </c>
      <c r="EA102">
        <v>18.0867</v>
      </c>
      <c r="EB102">
        <v>2.4914900000000002</v>
      </c>
      <c r="EC102">
        <v>1.79979</v>
      </c>
      <c r="ED102">
        <v>20.971</v>
      </c>
      <c r="EE102">
        <v>15.785</v>
      </c>
      <c r="EF102">
        <v>1799.88</v>
      </c>
      <c r="EG102">
        <v>0.97800399999999998</v>
      </c>
      <c r="EH102">
        <v>2.1996000000000002E-2</v>
      </c>
      <c r="EI102">
        <v>0</v>
      </c>
      <c r="EJ102">
        <v>766.07500000000005</v>
      </c>
      <c r="EK102">
        <v>5.0010599999999998</v>
      </c>
      <c r="EL102">
        <v>14253.7</v>
      </c>
      <c r="EM102">
        <v>16710</v>
      </c>
      <c r="EN102">
        <v>48.75</v>
      </c>
      <c r="EO102">
        <v>49.561999999999998</v>
      </c>
      <c r="EP102">
        <v>49.75</v>
      </c>
      <c r="EQ102">
        <v>48.311999999999998</v>
      </c>
      <c r="ER102">
        <v>49.561999999999998</v>
      </c>
      <c r="ES102">
        <v>1755.4</v>
      </c>
      <c r="ET102">
        <v>39.479999999999997</v>
      </c>
      <c r="EU102">
        <v>0</v>
      </c>
      <c r="EV102">
        <v>108.7999999523163</v>
      </c>
      <c r="EW102">
        <v>0</v>
      </c>
      <c r="EX102">
        <v>766.20730769230772</v>
      </c>
      <c r="EY102">
        <v>-1.7915897537900041</v>
      </c>
      <c r="EZ102">
        <v>-28.745299311737</v>
      </c>
      <c r="FA102">
        <v>14257.469230769229</v>
      </c>
      <c r="FB102">
        <v>15</v>
      </c>
      <c r="FC102">
        <v>1674596127</v>
      </c>
      <c r="FD102" t="s">
        <v>859</v>
      </c>
      <c r="FE102">
        <v>1674596120.5</v>
      </c>
      <c r="FF102">
        <v>1674596127</v>
      </c>
      <c r="FG102">
        <v>97</v>
      </c>
      <c r="FH102">
        <v>0.19400000000000001</v>
      </c>
      <c r="FI102">
        <v>1E-3</v>
      </c>
      <c r="FJ102">
        <v>-2.992</v>
      </c>
      <c r="FK102">
        <v>3.7999999999999999E-2</v>
      </c>
      <c r="FL102">
        <v>300</v>
      </c>
      <c r="FM102">
        <v>18</v>
      </c>
      <c r="FN102">
        <v>0.02</v>
      </c>
      <c r="FO102">
        <v>0.02</v>
      </c>
      <c r="FP102">
        <v>45.378575853054407</v>
      </c>
      <c r="FQ102">
        <v>-0.36440017070286412</v>
      </c>
      <c r="FR102">
        <v>8.4945579727477738E-2</v>
      </c>
      <c r="FS102">
        <v>1</v>
      </c>
      <c r="FT102">
        <v>0.49539254405208871</v>
      </c>
      <c r="FU102">
        <v>1.8321839914633601E-2</v>
      </c>
      <c r="FV102">
        <v>4.9581175663453558E-3</v>
      </c>
      <c r="FW102">
        <v>1</v>
      </c>
      <c r="FX102">
        <v>2</v>
      </c>
      <c r="FY102">
        <v>2</v>
      </c>
      <c r="FZ102" t="s">
        <v>420</v>
      </c>
      <c r="GA102">
        <v>2.9773000000000001</v>
      </c>
      <c r="GB102">
        <v>2.8060100000000001</v>
      </c>
      <c r="GC102">
        <v>6.5466499999999997E-2</v>
      </c>
      <c r="GD102">
        <v>7.6293600000000003E-2</v>
      </c>
      <c r="GE102">
        <v>0.122082</v>
      </c>
      <c r="GF102">
        <v>9.7200999999999996E-2</v>
      </c>
      <c r="GG102">
        <v>27591.7</v>
      </c>
      <c r="GH102">
        <v>25284.9</v>
      </c>
      <c r="GI102">
        <v>26542.9</v>
      </c>
      <c r="GJ102">
        <v>25854.5</v>
      </c>
      <c r="GK102">
        <v>31707</v>
      </c>
      <c r="GL102">
        <v>32945.9</v>
      </c>
      <c r="GM102">
        <v>37602.5</v>
      </c>
      <c r="GN102">
        <v>38360.9</v>
      </c>
      <c r="GO102">
        <v>1.9665299999999999</v>
      </c>
      <c r="GP102">
        <v>1.9045000000000001</v>
      </c>
      <c r="GQ102">
        <v>5.1178000000000001E-2</v>
      </c>
      <c r="GR102">
        <v>0</v>
      </c>
      <c r="GS102">
        <v>27.026299999999999</v>
      </c>
      <c r="GT102">
        <v>999.9</v>
      </c>
      <c r="GU102">
        <v>42.5</v>
      </c>
      <c r="GV102">
        <v>34.4</v>
      </c>
      <c r="GW102">
        <v>23.335100000000001</v>
      </c>
      <c r="GX102">
        <v>61.784500000000001</v>
      </c>
      <c r="GY102">
        <v>11.943099999999999</v>
      </c>
      <c r="GZ102">
        <v>1</v>
      </c>
      <c r="HA102">
        <v>0.45625500000000002</v>
      </c>
      <c r="HB102">
        <v>2.6547800000000001</v>
      </c>
      <c r="HC102">
        <v>20.233499999999999</v>
      </c>
      <c r="HD102">
        <v>5.2060599999999999</v>
      </c>
      <c r="HE102">
        <v>11.9381</v>
      </c>
      <c r="HF102">
        <v>4.9862000000000002</v>
      </c>
      <c r="HG102">
        <v>3.2894000000000001</v>
      </c>
      <c r="HH102">
        <v>9999</v>
      </c>
      <c r="HI102">
        <v>9999</v>
      </c>
      <c r="HJ102">
        <v>9999</v>
      </c>
      <c r="HK102">
        <v>999.9</v>
      </c>
      <c r="HL102">
        <v>1.8702799999999999</v>
      </c>
      <c r="HM102">
        <v>1.87653</v>
      </c>
      <c r="HN102">
        <v>1.8742399999999999</v>
      </c>
      <c r="HO102">
        <v>1.8725499999999999</v>
      </c>
      <c r="HP102">
        <v>1.8730199999999999</v>
      </c>
      <c r="HQ102">
        <v>1.8704099999999999</v>
      </c>
      <c r="HR102">
        <v>1.87635</v>
      </c>
      <c r="HS102">
        <v>1.8754200000000001</v>
      </c>
      <c r="HT102">
        <v>5</v>
      </c>
      <c r="HU102">
        <v>0</v>
      </c>
      <c r="HV102">
        <v>0</v>
      </c>
      <c r="HW102">
        <v>0</v>
      </c>
      <c r="HX102" t="s">
        <v>421</v>
      </c>
      <c r="HY102" t="s">
        <v>422</v>
      </c>
      <c r="HZ102" t="s">
        <v>423</v>
      </c>
      <c r="IA102" t="s">
        <v>424</v>
      </c>
      <c r="IB102" t="s">
        <v>424</v>
      </c>
      <c r="IC102" t="s">
        <v>423</v>
      </c>
      <c r="ID102">
        <v>0</v>
      </c>
      <c r="IE102">
        <v>100</v>
      </c>
      <c r="IF102">
        <v>100</v>
      </c>
      <c r="IG102">
        <v>-2.8919999999999999</v>
      </c>
      <c r="IH102">
        <v>0.35799999999999998</v>
      </c>
      <c r="II102">
        <v>-2.3555000000000001</v>
      </c>
      <c r="IJ102">
        <v>-2.5369500000000001E-3</v>
      </c>
      <c r="IK102">
        <v>1.58147E-6</v>
      </c>
      <c r="IL102">
        <v>-4.66983E-10</v>
      </c>
      <c r="IM102">
        <v>-0.16278920218236659</v>
      </c>
      <c r="IN102">
        <v>-1.5895243091576399E-2</v>
      </c>
      <c r="IO102">
        <v>1.559614309849521E-3</v>
      </c>
      <c r="IP102">
        <v>-2.4566050869858518E-6</v>
      </c>
      <c r="IQ102">
        <v>2</v>
      </c>
      <c r="IR102">
        <v>2224</v>
      </c>
      <c r="IS102">
        <v>2</v>
      </c>
      <c r="IT102">
        <v>25</v>
      </c>
      <c r="IU102">
        <v>0.7</v>
      </c>
      <c r="IV102">
        <v>0.6</v>
      </c>
      <c r="IW102">
        <v>0.74951199999999996</v>
      </c>
      <c r="IX102">
        <v>2.4865699999999999</v>
      </c>
      <c r="IY102">
        <v>1.65039</v>
      </c>
      <c r="IZ102">
        <v>2.2900399999999999</v>
      </c>
      <c r="JA102">
        <v>1.50024</v>
      </c>
      <c r="JB102">
        <v>2.4121100000000002</v>
      </c>
      <c r="JC102">
        <v>38.354500000000002</v>
      </c>
      <c r="JD102">
        <v>23.877400000000002</v>
      </c>
      <c r="JE102">
        <v>18</v>
      </c>
      <c r="JF102">
        <v>506.37</v>
      </c>
      <c r="JG102">
        <v>459.01299999999998</v>
      </c>
      <c r="JH102">
        <v>24.669599999999999</v>
      </c>
      <c r="JI102">
        <v>32.957700000000003</v>
      </c>
      <c r="JJ102">
        <v>30</v>
      </c>
      <c r="JK102">
        <v>32.9803</v>
      </c>
      <c r="JL102">
        <v>32.957000000000001</v>
      </c>
      <c r="JM102">
        <v>15.028700000000001</v>
      </c>
      <c r="JN102">
        <v>37.94</v>
      </c>
      <c r="JO102">
        <v>46.5398</v>
      </c>
      <c r="JP102">
        <v>24.670300000000001</v>
      </c>
      <c r="JQ102">
        <v>300</v>
      </c>
      <c r="JR102">
        <v>17.8263</v>
      </c>
      <c r="JS102">
        <v>99.795900000000003</v>
      </c>
      <c r="JT102">
        <v>98.968299999999999</v>
      </c>
    </row>
    <row r="103" spans="1:280" x14ac:dyDescent="0.25">
      <c r="A103">
        <v>87</v>
      </c>
      <c r="B103">
        <v>1674596321</v>
      </c>
      <c r="C103">
        <v>22186.400000095371</v>
      </c>
      <c r="D103" t="s">
        <v>860</v>
      </c>
      <c r="E103" t="s">
        <v>861</v>
      </c>
      <c r="F103" t="s">
        <v>412</v>
      </c>
      <c r="G103" t="s">
        <v>851</v>
      </c>
      <c r="H103" t="s">
        <v>566</v>
      </c>
      <c r="I103">
        <v>1674596321</v>
      </c>
      <c r="J103">
        <f t="shared" si="92"/>
        <v>6.9371901035278566E-3</v>
      </c>
      <c r="K103">
        <f t="shared" si="93"/>
        <v>6.9371901035278567</v>
      </c>
      <c r="L103">
        <f t="shared" si="94"/>
        <v>35.314954763594656</v>
      </c>
      <c r="M103">
        <f t="shared" si="95"/>
        <v>156.33799999999999</v>
      </c>
      <c r="N103">
        <f t="shared" si="96"/>
        <v>49.935915452176914</v>
      </c>
      <c r="O103">
        <f t="shared" si="97"/>
        <v>4.9744657650160571</v>
      </c>
      <c r="P103">
        <f t="shared" si="98"/>
        <v>15.573921529802998</v>
      </c>
      <c r="Q103">
        <f t="shared" si="99"/>
        <v>0.59374180545434807</v>
      </c>
      <c r="R103">
        <f t="shared" si="100"/>
        <v>2.9250024870130087</v>
      </c>
      <c r="S103">
        <f t="shared" si="101"/>
        <v>0.5340181851135124</v>
      </c>
      <c r="T103">
        <f t="shared" si="102"/>
        <v>0.33862527787081043</v>
      </c>
      <c r="U103">
        <f t="shared" si="103"/>
        <v>344.34979860496338</v>
      </c>
      <c r="V103">
        <f t="shared" si="104"/>
        <v>28.209542176415283</v>
      </c>
      <c r="W103">
        <f t="shared" si="105"/>
        <v>27.715199999999999</v>
      </c>
      <c r="X103">
        <f t="shared" si="106"/>
        <v>3.7322889471738447</v>
      </c>
      <c r="Y103">
        <f t="shared" si="107"/>
        <v>65.379234744289732</v>
      </c>
      <c r="Z103">
        <f t="shared" si="108"/>
        <v>2.4785504918747998</v>
      </c>
      <c r="AA103">
        <f t="shared" si="109"/>
        <v>3.791036254200387</v>
      </c>
      <c r="AB103">
        <f t="shared" si="110"/>
        <v>1.2537384552990449</v>
      </c>
      <c r="AC103">
        <f t="shared" si="111"/>
        <v>-305.93008356557846</v>
      </c>
      <c r="AD103">
        <f t="shared" si="112"/>
        <v>42.198575639766865</v>
      </c>
      <c r="AE103">
        <f t="shared" si="113"/>
        <v>3.1399921546008476</v>
      </c>
      <c r="AF103">
        <f t="shared" si="114"/>
        <v>83.758282833752645</v>
      </c>
      <c r="AG103">
        <v>0</v>
      </c>
      <c r="AH103">
        <v>0</v>
      </c>
      <c r="AI103">
        <f t="shared" si="115"/>
        <v>1</v>
      </c>
      <c r="AJ103">
        <f t="shared" si="116"/>
        <v>0</v>
      </c>
      <c r="AK103">
        <f t="shared" si="117"/>
        <v>52563.15319347936</v>
      </c>
      <c r="AL103" t="s">
        <v>415</v>
      </c>
      <c r="AM103">
        <v>10424.1</v>
      </c>
      <c r="AN103">
        <v>628.54280000000006</v>
      </c>
      <c r="AO103">
        <v>2663.98</v>
      </c>
      <c r="AP103">
        <f t="shared" si="118"/>
        <v>0.76405873917972356</v>
      </c>
      <c r="AQ103">
        <v>-3.1675626227050531</v>
      </c>
      <c r="AR103" t="s">
        <v>862</v>
      </c>
      <c r="AS103">
        <v>10221</v>
      </c>
      <c r="AT103">
        <v>767.37479999999982</v>
      </c>
      <c r="AU103">
        <v>1066.928659344886</v>
      </c>
      <c r="AV103">
        <f t="shared" si="119"/>
        <v>0.28076278270453225</v>
      </c>
      <c r="AW103">
        <v>0.5</v>
      </c>
      <c r="AX103">
        <f t="shared" si="120"/>
        <v>1513.1003993024817</v>
      </c>
      <c r="AY103">
        <f t="shared" si="121"/>
        <v>35.314954763594656</v>
      </c>
      <c r="AZ103">
        <f t="shared" si="122"/>
        <v>212.41113930975183</v>
      </c>
      <c r="BA103">
        <f t="shared" si="123"/>
        <v>2.5432890906670582E-2</v>
      </c>
      <c r="BB103">
        <f t="shared" si="124"/>
        <v>1.496867973942825</v>
      </c>
      <c r="BC103">
        <f t="shared" si="125"/>
        <v>464.49555121795305</v>
      </c>
      <c r="BD103" t="s">
        <v>863</v>
      </c>
      <c r="BE103">
        <v>551.74</v>
      </c>
      <c r="BF103">
        <f t="shared" si="126"/>
        <v>551.74</v>
      </c>
      <c r="BG103">
        <f t="shared" si="127"/>
        <v>0.48287076631836034</v>
      </c>
      <c r="BH103">
        <f t="shared" si="128"/>
        <v>0.58144497925439376</v>
      </c>
      <c r="BI103">
        <f t="shared" si="129"/>
        <v>0.7560936923148478</v>
      </c>
      <c r="BJ103">
        <f t="shared" si="130"/>
        <v>0.6833109530324103</v>
      </c>
      <c r="BK103">
        <f t="shared" si="131"/>
        <v>0.78462324490046376</v>
      </c>
      <c r="BL103">
        <f t="shared" si="132"/>
        <v>0.41805706006220078</v>
      </c>
      <c r="BM103">
        <f t="shared" si="133"/>
        <v>0.58194293993779922</v>
      </c>
      <c r="BN103">
        <v>20337</v>
      </c>
      <c r="BO103">
        <v>290.00000000000011</v>
      </c>
      <c r="BP103">
        <v>986.94</v>
      </c>
      <c r="BQ103">
        <v>125</v>
      </c>
      <c r="BR103">
        <v>10221</v>
      </c>
      <c r="BS103">
        <v>985.5</v>
      </c>
      <c r="BT103">
        <v>1.44</v>
      </c>
      <c r="BU103">
        <v>300.00000000000011</v>
      </c>
      <c r="BV103">
        <v>24.2</v>
      </c>
      <c r="BW103">
        <v>1066.928659344886</v>
      </c>
      <c r="BX103">
        <v>2.451594387010545</v>
      </c>
      <c r="BY103">
        <v>-83.230042901423047</v>
      </c>
      <c r="BZ103">
        <v>2.2258154535321411</v>
      </c>
      <c r="CA103">
        <v>0.98036796974353735</v>
      </c>
      <c r="CB103">
        <v>-6.9462222469410442E-3</v>
      </c>
      <c r="CC103">
        <v>289.99999999999989</v>
      </c>
      <c r="CD103">
        <v>983.73</v>
      </c>
      <c r="CE103">
        <v>735</v>
      </c>
      <c r="CF103">
        <v>10166.6</v>
      </c>
      <c r="CG103">
        <v>985.06</v>
      </c>
      <c r="CH103">
        <v>-1.33</v>
      </c>
      <c r="CV103">
        <f t="shared" si="134"/>
        <v>1799.9</v>
      </c>
      <c r="CW103">
        <f t="shared" si="135"/>
        <v>1513.1003993024817</v>
      </c>
      <c r="CX103">
        <f t="shared" si="136"/>
        <v>0.84065803617005475</v>
      </c>
      <c r="CY103">
        <f t="shared" si="137"/>
        <v>0.19131607234010964</v>
      </c>
      <c r="CZ103">
        <v>6</v>
      </c>
      <c r="DA103">
        <v>0.5</v>
      </c>
      <c r="DB103" t="s">
        <v>418</v>
      </c>
      <c r="DC103">
        <v>2</v>
      </c>
      <c r="DD103">
        <v>1674596321</v>
      </c>
      <c r="DE103">
        <v>156.33799999999999</v>
      </c>
      <c r="DF103">
        <v>200.005</v>
      </c>
      <c r="DG103">
        <v>24.880800000000001</v>
      </c>
      <c r="DH103">
        <v>16.765599999999999</v>
      </c>
      <c r="DI103">
        <v>158.84700000000001</v>
      </c>
      <c r="DJ103">
        <v>24.529299999999999</v>
      </c>
      <c r="DK103">
        <v>500.142</v>
      </c>
      <c r="DL103">
        <v>99.517099999999999</v>
      </c>
      <c r="DM103">
        <v>9.9893499999999996E-2</v>
      </c>
      <c r="DN103">
        <v>27.982800000000001</v>
      </c>
      <c r="DO103">
        <v>27.715199999999999</v>
      </c>
      <c r="DP103">
        <v>999.9</v>
      </c>
      <c r="DQ103">
        <v>0</v>
      </c>
      <c r="DR103">
        <v>0</v>
      </c>
      <c r="DS103">
        <v>10022.5</v>
      </c>
      <c r="DT103">
        <v>0</v>
      </c>
      <c r="DU103">
        <v>363.35500000000002</v>
      </c>
      <c r="DV103">
        <v>-43.667400000000001</v>
      </c>
      <c r="DW103">
        <v>160.327</v>
      </c>
      <c r="DX103">
        <v>203.416</v>
      </c>
      <c r="DY103">
        <v>8.1151499999999999</v>
      </c>
      <c r="DZ103">
        <v>200.005</v>
      </c>
      <c r="EA103">
        <v>16.765599999999999</v>
      </c>
      <c r="EB103">
        <v>2.4760599999999999</v>
      </c>
      <c r="EC103">
        <v>1.6684699999999999</v>
      </c>
      <c r="ED103">
        <v>20.87</v>
      </c>
      <c r="EE103">
        <v>14.6061</v>
      </c>
      <c r="EF103">
        <v>1799.9</v>
      </c>
      <c r="EG103">
        <v>0.97800399999999998</v>
      </c>
      <c r="EH103">
        <v>2.1996000000000002E-2</v>
      </c>
      <c r="EI103">
        <v>0</v>
      </c>
      <c r="EJ103">
        <v>766.97299999999996</v>
      </c>
      <c r="EK103">
        <v>5.0010599999999998</v>
      </c>
      <c r="EL103">
        <v>14242.5</v>
      </c>
      <c r="EM103">
        <v>16710.099999999999</v>
      </c>
      <c r="EN103">
        <v>48.625</v>
      </c>
      <c r="EO103">
        <v>49.5</v>
      </c>
      <c r="EP103">
        <v>49.625</v>
      </c>
      <c r="EQ103">
        <v>48.186999999999998</v>
      </c>
      <c r="ER103">
        <v>49.5</v>
      </c>
      <c r="ES103">
        <v>1755.42</v>
      </c>
      <c r="ET103">
        <v>39.479999999999997</v>
      </c>
      <c r="EU103">
        <v>0</v>
      </c>
      <c r="EV103">
        <v>159</v>
      </c>
      <c r="EW103">
        <v>0</v>
      </c>
      <c r="EX103">
        <v>767.37479999999982</v>
      </c>
      <c r="EY103">
        <v>-2.033769233243556</v>
      </c>
      <c r="EZ103">
        <v>-51.053846066210752</v>
      </c>
      <c r="FA103">
        <v>14249.856</v>
      </c>
      <c r="FB103">
        <v>15</v>
      </c>
      <c r="FC103">
        <v>1674596236</v>
      </c>
      <c r="FD103" t="s">
        <v>864</v>
      </c>
      <c r="FE103">
        <v>1674596235.5</v>
      </c>
      <c r="FF103">
        <v>1674596236</v>
      </c>
      <c r="FG103">
        <v>98</v>
      </c>
      <c r="FH103">
        <v>0.21199999999999999</v>
      </c>
      <c r="FI103">
        <v>2E-3</v>
      </c>
      <c r="FJ103">
        <v>-2.597</v>
      </c>
      <c r="FK103">
        <v>0.03</v>
      </c>
      <c r="FL103">
        <v>200</v>
      </c>
      <c r="FM103">
        <v>18</v>
      </c>
      <c r="FN103">
        <v>0.04</v>
      </c>
      <c r="FO103">
        <v>0.01</v>
      </c>
      <c r="FP103">
        <v>35.22099119356313</v>
      </c>
      <c r="FQ103">
        <v>0.66045369631692719</v>
      </c>
      <c r="FR103">
        <v>7.1881336971164306E-2</v>
      </c>
      <c r="FS103">
        <v>1</v>
      </c>
      <c r="FT103">
        <v>0.59280444302874968</v>
      </c>
      <c r="FU103">
        <v>-7.1084865751349291E-3</v>
      </c>
      <c r="FV103">
        <v>1.2489154732880101E-3</v>
      </c>
      <c r="FW103">
        <v>1</v>
      </c>
      <c r="FX103">
        <v>2</v>
      </c>
      <c r="FY103">
        <v>2</v>
      </c>
      <c r="FZ103" t="s">
        <v>420</v>
      </c>
      <c r="GA103">
        <v>2.97756</v>
      </c>
      <c r="GB103">
        <v>2.8064200000000001</v>
      </c>
      <c r="GC103">
        <v>4.4232500000000001E-2</v>
      </c>
      <c r="GD103">
        <v>5.3875100000000002E-2</v>
      </c>
      <c r="GE103">
        <v>0.121591</v>
      </c>
      <c r="GF103">
        <v>9.2146800000000001E-2</v>
      </c>
      <c r="GG103">
        <v>28223.1</v>
      </c>
      <c r="GH103">
        <v>25904.9</v>
      </c>
      <c r="GI103">
        <v>26546.9</v>
      </c>
      <c r="GJ103">
        <v>25860.400000000001</v>
      </c>
      <c r="GK103">
        <v>31729.200000000001</v>
      </c>
      <c r="GL103">
        <v>33137</v>
      </c>
      <c r="GM103">
        <v>37608.300000000003</v>
      </c>
      <c r="GN103">
        <v>38368.699999999997</v>
      </c>
      <c r="GO103">
        <v>1.9688699999999999</v>
      </c>
      <c r="GP103">
        <v>1.9031499999999999</v>
      </c>
      <c r="GQ103">
        <v>4.9695400000000001E-2</v>
      </c>
      <c r="GR103">
        <v>0</v>
      </c>
      <c r="GS103">
        <v>26.902899999999999</v>
      </c>
      <c r="GT103">
        <v>999.9</v>
      </c>
      <c r="GU103">
        <v>41.9</v>
      </c>
      <c r="GV103">
        <v>34.4</v>
      </c>
      <c r="GW103">
        <v>23.001200000000001</v>
      </c>
      <c r="GX103">
        <v>61.794499999999999</v>
      </c>
      <c r="GY103">
        <v>12.007199999999999</v>
      </c>
      <c r="GZ103">
        <v>1</v>
      </c>
      <c r="HA103">
        <v>0.44744200000000001</v>
      </c>
      <c r="HB103">
        <v>2.3236400000000001</v>
      </c>
      <c r="HC103">
        <v>20.2392</v>
      </c>
      <c r="HD103">
        <v>5.2102500000000003</v>
      </c>
      <c r="HE103">
        <v>11.9381</v>
      </c>
      <c r="HF103">
        <v>4.9874999999999998</v>
      </c>
      <c r="HG103">
        <v>3.2904800000000001</v>
      </c>
      <c r="HH103">
        <v>9999</v>
      </c>
      <c r="HI103">
        <v>9999</v>
      </c>
      <c r="HJ103">
        <v>9999</v>
      </c>
      <c r="HK103">
        <v>999.9</v>
      </c>
      <c r="HL103">
        <v>1.8702700000000001</v>
      </c>
      <c r="HM103">
        <v>1.87653</v>
      </c>
      <c r="HN103">
        <v>1.8742399999999999</v>
      </c>
      <c r="HO103">
        <v>1.87256</v>
      </c>
      <c r="HP103">
        <v>1.8730100000000001</v>
      </c>
      <c r="HQ103">
        <v>1.8703799999999999</v>
      </c>
      <c r="HR103">
        <v>1.87636</v>
      </c>
      <c r="HS103">
        <v>1.8753899999999999</v>
      </c>
      <c r="HT103">
        <v>5</v>
      </c>
      <c r="HU103">
        <v>0</v>
      </c>
      <c r="HV103">
        <v>0</v>
      </c>
      <c r="HW103">
        <v>0</v>
      </c>
      <c r="HX103" t="s">
        <v>421</v>
      </c>
      <c r="HY103" t="s">
        <v>422</v>
      </c>
      <c r="HZ103" t="s">
        <v>423</v>
      </c>
      <c r="IA103" t="s">
        <v>424</v>
      </c>
      <c r="IB103" t="s">
        <v>424</v>
      </c>
      <c r="IC103" t="s">
        <v>423</v>
      </c>
      <c r="ID103">
        <v>0</v>
      </c>
      <c r="IE103">
        <v>100</v>
      </c>
      <c r="IF103">
        <v>100</v>
      </c>
      <c r="IG103">
        <v>-2.5089999999999999</v>
      </c>
      <c r="IH103">
        <v>0.35149999999999998</v>
      </c>
      <c r="II103">
        <v>-2.1439200402781111</v>
      </c>
      <c r="IJ103">
        <v>-2.536945948238235E-3</v>
      </c>
      <c r="IK103">
        <v>1.581473279927893E-6</v>
      </c>
      <c r="IL103">
        <v>-4.6698293441882044E-10</v>
      </c>
      <c r="IM103">
        <v>-0.16071154187754769</v>
      </c>
      <c r="IN103">
        <v>-1.5895243091576399E-2</v>
      </c>
      <c r="IO103">
        <v>1.559614309849521E-3</v>
      </c>
      <c r="IP103">
        <v>-2.4566050869858518E-6</v>
      </c>
      <c r="IQ103">
        <v>2</v>
      </c>
      <c r="IR103">
        <v>2224</v>
      </c>
      <c r="IS103">
        <v>2</v>
      </c>
      <c r="IT103">
        <v>25</v>
      </c>
      <c r="IU103">
        <v>1.4</v>
      </c>
      <c r="IV103">
        <v>1.4</v>
      </c>
      <c r="IW103">
        <v>0.55175799999999997</v>
      </c>
      <c r="IX103">
        <v>2.49634</v>
      </c>
      <c r="IY103">
        <v>1.65039</v>
      </c>
      <c r="IZ103">
        <v>2.2912599999999999</v>
      </c>
      <c r="JA103">
        <v>1.50024</v>
      </c>
      <c r="JB103">
        <v>2.3791500000000001</v>
      </c>
      <c r="JC103">
        <v>38.330100000000002</v>
      </c>
      <c r="JD103">
        <v>23.877400000000002</v>
      </c>
      <c r="JE103">
        <v>18</v>
      </c>
      <c r="JF103">
        <v>507.38900000000001</v>
      </c>
      <c r="JG103">
        <v>457.68</v>
      </c>
      <c r="JH103">
        <v>24.8795</v>
      </c>
      <c r="JI103">
        <v>32.869799999999998</v>
      </c>
      <c r="JJ103">
        <v>29.9998</v>
      </c>
      <c r="JK103">
        <v>32.914700000000003</v>
      </c>
      <c r="JL103">
        <v>32.897500000000001</v>
      </c>
      <c r="JM103">
        <v>11.089399999999999</v>
      </c>
      <c r="JN103">
        <v>41.846499999999999</v>
      </c>
      <c r="JO103">
        <v>44.428699999999999</v>
      </c>
      <c r="JP103">
        <v>24.892499999999998</v>
      </c>
      <c r="JQ103">
        <v>200</v>
      </c>
      <c r="JR103">
        <v>16.758600000000001</v>
      </c>
      <c r="JS103">
        <v>99.811199999999999</v>
      </c>
      <c r="JT103">
        <v>98.989599999999996</v>
      </c>
    </row>
    <row r="104" spans="1:280" x14ac:dyDescent="0.25">
      <c r="A104">
        <v>88</v>
      </c>
      <c r="B104">
        <v>1674596432.5</v>
      </c>
      <c r="C104">
        <v>22297.900000095371</v>
      </c>
      <c r="D104" t="s">
        <v>865</v>
      </c>
      <c r="E104" t="s">
        <v>866</v>
      </c>
      <c r="F104" t="s">
        <v>412</v>
      </c>
      <c r="G104" t="s">
        <v>851</v>
      </c>
      <c r="H104" t="s">
        <v>566</v>
      </c>
      <c r="I104">
        <v>1674596432.5</v>
      </c>
      <c r="J104">
        <f t="shared" si="92"/>
        <v>7.3354024522554063E-3</v>
      </c>
      <c r="K104">
        <f t="shared" si="93"/>
        <v>7.3354024522554067</v>
      </c>
      <c r="L104">
        <f t="shared" si="94"/>
        <v>22.457196248690138</v>
      </c>
      <c r="M104">
        <f t="shared" si="95"/>
        <v>92.270099999999999</v>
      </c>
      <c r="N104">
        <f t="shared" si="96"/>
        <v>28.681703624677557</v>
      </c>
      <c r="O104">
        <f t="shared" si="97"/>
        <v>2.8572744270552217</v>
      </c>
      <c r="P104">
        <f t="shared" si="98"/>
        <v>9.1919573733058488</v>
      </c>
      <c r="Q104">
        <f t="shared" si="99"/>
        <v>0.63536428652592725</v>
      </c>
      <c r="R104">
        <f t="shared" si="100"/>
        <v>2.9224359906259818</v>
      </c>
      <c r="S104">
        <f t="shared" si="101"/>
        <v>0.56743210472914052</v>
      </c>
      <c r="T104">
        <f t="shared" si="102"/>
        <v>0.36014135648236179</v>
      </c>
      <c r="U104">
        <f t="shared" si="103"/>
        <v>344.39729860515712</v>
      </c>
      <c r="V104">
        <f t="shared" si="104"/>
        <v>28.138579609458457</v>
      </c>
      <c r="W104">
        <f t="shared" si="105"/>
        <v>27.7776</v>
      </c>
      <c r="X104">
        <f t="shared" si="106"/>
        <v>3.7459163726576943</v>
      </c>
      <c r="Y104">
        <f t="shared" si="107"/>
        <v>65.780226992719136</v>
      </c>
      <c r="Z104">
        <f t="shared" si="108"/>
        <v>2.4984523971582999</v>
      </c>
      <c r="AA104">
        <f t="shared" si="109"/>
        <v>3.7981814769882756</v>
      </c>
      <c r="AB104">
        <f t="shared" si="110"/>
        <v>1.2474639754993944</v>
      </c>
      <c r="AC104">
        <f t="shared" si="111"/>
        <v>-323.49124814446344</v>
      </c>
      <c r="AD104">
        <f t="shared" si="112"/>
        <v>37.419162667574248</v>
      </c>
      <c r="AE104">
        <f t="shared" si="113"/>
        <v>2.7881176234211567</v>
      </c>
      <c r="AF104">
        <f t="shared" si="114"/>
        <v>61.113330751689084</v>
      </c>
      <c r="AG104">
        <v>0</v>
      </c>
      <c r="AH104">
        <v>0</v>
      </c>
      <c r="AI104">
        <f t="shared" si="115"/>
        <v>1</v>
      </c>
      <c r="AJ104">
        <f t="shared" si="116"/>
        <v>0</v>
      </c>
      <c r="AK104">
        <f t="shared" si="117"/>
        <v>52483.835073912378</v>
      </c>
      <c r="AL104" t="s">
        <v>415</v>
      </c>
      <c r="AM104">
        <v>10424.1</v>
      </c>
      <c r="AN104">
        <v>628.54280000000006</v>
      </c>
      <c r="AO104">
        <v>2663.98</v>
      </c>
      <c r="AP104">
        <f t="shared" si="118"/>
        <v>0.76405873917972356</v>
      </c>
      <c r="AQ104">
        <v>-3.1675626227050531</v>
      </c>
      <c r="AR104" t="s">
        <v>867</v>
      </c>
      <c r="AS104">
        <v>10198.700000000001</v>
      </c>
      <c r="AT104">
        <v>790.55823076923093</v>
      </c>
      <c r="AU104">
        <v>987.78180759504028</v>
      </c>
      <c r="AV104">
        <f t="shared" si="119"/>
        <v>0.19966309898538326</v>
      </c>
      <c r="AW104">
        <v>0.5</v>
      </c>
      <c r="AX104">
        <f t="shared" si="120"/>
        <v>1513.3103993025786</v>
      </c>
      <c r="AY104">
        <f t="shared" si="121"/>
        <v>22.457196248690138</v>
      </c>
      <c r="AZ104">
        <f t="shared" si="122"/>
        <v>151.07612202578031</v>
      </c>
      <c r="BA104">
        <f t="shared" si="123"/>
        <v>1.6932916659533014E-2</v>
      </c>
      <c r="BB104">
        <f t="shared" si="124"/>
        <v>1.6969316295528989</v>
      </c>
      <c r="BC104">
        <f t="shared" si="125"/>
        <v>448.83853731244858</v>
      </c>
      <c r="BD104" t="s">
        <v>868</v>
      </c>
      <c r="BE104">
        <v>552.17999999999995</v>
      </c>
      <c r="BF104">
        <f t="shared" si="126"/>
        <v>552.17999999999995</v>
      </c>
      <c r="BG104">
        <f t="shared" si="127"/>
        <v>0.44098990712898767</v>
      </c>
      <c r="BH104">
        <f t="shared" si="128"/>
        <v>0.45276115339071171</v>
      </c>
      <c r="BI104">
        <f t="shared" si="129"/>
        <v>0.79372961095035488</v>
      </c>
      <c r="BJ104">
        <f t="shared" si="130"/>
        <v>0.5490037903905296</v>
      </c>
      <c r="BK104">
        <f t="shared" si="131"/>
        <v>0.82350769279688896</v>
      </c>
      <c r="BL104">
        <f t="shared" si="132"/>
        <v>0.31623939129192552</v>
      </c>
      <c r="BM104">
        <f t="shared" si="133"/>
        <v>0.68376060870807454</v>
      </c>
      <c r="BN104">
        <v>20339</v>
      </c>
      <c r="BO104">
        <v>290.00000000000011</v>
      </c>
      <c r="BP104">
        <v>944.36</v>
      </c>
      <c r="BQ104">
        <v>235</v>
      </c>
      <c r="BR104">
        <v>10198.700000000001</v>
      </c>
      <c r="BS104">
        <v>943.75</v>
      </c>
      <c r="BT104">
        <v>0.61</v>
      </c>
      <c r="BU104">
        <v>300.00000000000011</v>
      </c>
      <c r="BV104">
        <v>24.2</v>
      </c>
      <c r="BW104">
        <v>987.78180759504028</v>
      </c>
      <c r="BX104">
        <v>1.9942935713820451</v>
      </c>
      <c r="BY104">
        <v>-44.908768326161088</v>
      </c>
      <c r="BZ104">
        <v>1.8105366154940401</v>
      </c>
      <c r="CA104">
        <v>0.95647066599448261</v>
      </c>
      <c r="CB104">
        <v>-6.9457675194660867E-3</v>
      </c>
      <c r="CC104">
        <v>289.99999999999989</v>
      </c>
      <c r="CD104">
        <v>943.08</v>
      </c>
      <c r="CE104">
        <v>675</v>
      </c>
      <c r="CF104">
        <v>10170.4</v>
      </c>
      <c r="CG104">
        <v>943.63</v>
      </c>
      <c r="CH104">
        <v>-0.55000000000000004</v>
      </c>
      <c r="CV104">
        <f t="shared" si="134"/>
        <v>1800.15</v>
      </c>
      <c r="CW104">
        <f t="shared" si="135"/>
        <v>1513.3103993025786</v>
      </c>
      <c r="CX104">
        <f t="shared" si="136"/>
        <v>0.84065794478381162</v>
      </c>
      <c r="CY104">
        <f t="shared" si="137"/>
        <v>0.1913158895676233</v>
      </c>
      <c r="CZ104">
        <v>6</v>
      </c>
      <c r="DA104">
        <v>0.5</v>
      </c>
      <c r="DB104" t="s">
        <v>418</v>
      </c>
      <c r="DC104">
        <v>2</v>
      </c>
      <c r="DD104">
        <v>1674596432.5</v>
      </c>
      <c r="DE104">
        <v>92.270099999999999</v>
      </c>
      <c r="DF104">
        <v>120.027</v>
      </c>
      <c r="DG104">
        <v>25.079799999999999</v>
      </c>
      <c r="DH104">
        <v>16.499300000000002</v>
      </c>
      <c r="DI104">
        <v>94.471900000000005</v>
      </c>
      <c r="DJ104">
        <v>24.709</v>
      </c>
      <c r="DK104">
        <v>500.07100000000003</v>
      </c>
      <c r="DL104">
        <v>99.520399999999995</v>
      </c>
      <c r="DM104">
        <v>9.9708500000000005E-2</v>
      </c>
      <c r="DN104">
        <v>28.0151</v>
      </c>
      <c r="DO104">
        <v>27.7776</v>
      </c>
      <c r="DP104">
        <v>999.9</v>
      </c>
      <c r="DQ104">
        <v>0</v>
      </c>
      <c r="DR104">
        <v>0</v>
      </c>
      <c r="DS104">
        <v>10007.5</v>
      </c>
      <c r="DT104">
        <v>0</v>
      </c>
      <c r="DU104">
        <v>358.60500000000002</v>
      </c>
      <c r="DV104">
        <v>-27.756399999999999</v>
      </c>
      <c r="DW104">
        <v>94.643799999999999</v>
      </c>
      <c r="DX104">
        <v>122.04</v>
      </c>
      <c r="DY104">
        <v>8.5805100000000003</v>
      </c>
      <c r="DZ104">
        <v>120.027</v>
      </c>
      <c r="EA104">
        <v>16.499300000000002</v>
      </c>
      <c r="EB104">
        <v>2.4959500000000001</v>
      </c>
      <c r="EC104">
        <v>1.64202</v>
      </c>
      <c r="ED104">
        <v>21.0001</v>
      </c>
      <c r="EE104">
        <v>14.3589</v>
      </c>
      <c r="EF104">
        <v>1800.15</v>
      </c>
      <c r="EG104">
        <v>0.97800699999999996</v>
      </c>
      <c r="EH104">
        <v>2.1992500000000002E-2</v>
      </c>
      <c r="EI104">
        <v>0</v>
      </c>
      <c r="EJ104">
        <v>789.85599999999999</v>
      </c>
      <c r="EK104">
        <v>5.0010599999999998</v>
      </c>
      <c r="EL104">
        <v>14644.6</v>
      </c>
      <c r="EM104">
        <v>16712.5</v>
      </c>
      <c r="EN104">
        <v>48.686999999999998</v>
      </c>
      <c r="EO104">
        <v>49.436999999999998</v>
      </c>
      <c r="EP104">
        <v>49.625</v>
      </c>
      <c r="EQ104">
        <v>48.186999999999998</v>
      </c>
      <c r="ER104">
        <v>49.5</v>
      </c>
      <c r="ES104">
        <v>1755.67</v>
      </c>
      <c r="ET104">
        <v>39.479999999999997</v>
      </c>
      <c r="EU104">
        <v>0</v>
      </c>
      <c r="EV104">
        <v>109.3999998569489</v>
      </c>
      <c r="EW104">
        <v>0</v>
      </c>
      <c r="EX104">
        <v>790.55823076923093</v>
      </c>
      <c r="EY104">
        <v>-6.0458119602302736</v>
      </c>
      <c r="EZ104">
        <v>-104.3111113031942</v>
      </c>
      <c r="FA104">
        <v>14655.534615384609</v>
      </c>
      <c r="FB104">
        <v>15</v>
      </c>
      <c r="FC104">
        <v>1674596398.5</v>
      </c>
      <c r="FD104" t="s">
        <v>869</v>
      </c>
      <c r="FE104">
        <v>1674596389.5</v>
      </c>
      <c r="FF104">
        <v>1674596398.5</v>
      </c>
      <c r="FG104">
        <v>99</v>
      </c>
      <c r="FH104">
        <v>0.16800000000000001</v>
      </c>
      <c r="FI104">
        <v>8.9999999999999993E-3</v>
      </c>
      <c r="FJ104">
        <v>-2.2629999999999999</v>
      </c>
      <c r="FK104">
        <v>4.0000000000000001E-3</v>
      </c>
      <c r="FL104">
        <v>120</v>
      </c>
      <c r="FM104">
        <v>17</v>
      </c>
      <c r="FN104">
        <v>0.04</v>
      </c>
      <c r="FO104">
        <v>0.01</v>
      </c>
      <c r="FP104">
        <v>22.310151062193299</v>
      </c>
      <c r="FQ104">
        <v>0.17518013085417841</v>
      </c>
      <c r="FR104">
        <v>4.4601242059754888E-2</v>
      </c>
      <c r="FS104">
        <v>1</v>
      </c>
      <c r="FT104">
        <v>0.63798084429729041</v>
      </c>
      <c r="FU104">
        <v>2.5671262071088469E-2</v>
      </c>
      <c r="FV104">
        <v>5.6431618252050803E-3</v>
      </c>
      <c r="FW104">
        <v>1</v>
      </c>
      <c r="FX104">
        <v>2</v>
      </c>
      <c r="FY104">
        <v>2</v>
      </c>
      <c r="FZ104" t="s">
        <v>420</v>
      </c>
      <c r="GA104">
        <v>2.9774099999999999</v>
      </c>
      <c r="GB104">
        <v>2.8060999999999998</v>
      </c>
      <c r="GC104">
        <v>2.7002200000000001E-2</v>
      </c>
      <c r="GD104">
        <v>3.3582000000000001E-2</v>
      </c>
      <c r="GE104">
        <v>0.122225</v>
      </c>
      <c r="GF104">
        <v>9.1116500000000003E-2</v>
      </c>
      <c r="GG104">
        <v>28732.5</v>
      </c>
      <c r="GH104">
        <v>26463.3</v>
      </c>
      <c r="GI104">
        <v>26547.599999999999</v>
      </c>
      <c r="GJ104">
        <v>25863.1</v>
      </c>
      <c r="GK104">
        <v>31706.5</v>
      </c>
      <c r="GL104">
        <v>33177.199999999997</v>
      </c>
      <c r="GM104">
        <v>37609.199999999997</v>
      </c>
      <c r="GN104">
        <v>38371.800000000003</v>
      </c>
      <c r="GO104">
        <v>1.9693499999999999</v>
      </c>
      <c r="GP104">
        <v>1.9031</v>
      </c>
      <c r="GQ104">
        <v>4.6119100000000003E-2</v>
      </c>
      <c r="GR104">
        <v>0</v>
      </c>
      <c r="GS104">
        <v>27.023900000000001</v>
      </c>
      <c r="GT104">
        <v>999.9</v>
      </c>
      <c r="GU104">
        <v>41.4</v>
      </c>
      <c r="GV104">
        <v>34.4</v>
      </c>
      <c r="GW104">
        <v>22.726600000000001</v>
      </c>
      <c r="GX104">
        <v>61.944499999999998</v>
      </c>
      <c r="GY104">
        <v>12.071300000000001</v>
      </c>
      <c r="GZ104">
        <v>1</v>
      </c>
      <c r="HA104">
        <v>0.44711099999999998</v>
      </c>
      <c r="HB104">
        <v>3.0134300000000001</v>
      </c>
      <c r="HC104">
        <v>20.227399999999999</v>
      </c>
      <c r="HD104">
        <v>5.2062099999999996</v>
      </c>
      <c r="HE104">
        <v>11.9381</v>
      </c>
      <c r="HF104">
        <v>4.9863999999999997</v>
      </c>
      <c r="HG104">
        <v>3.2898800000000001</v>
      </c>
      <c r="HH104">
        <v>9999</v>
      </c>
      <c r="HI104">
        <v>9999</v>
      </c>
      <c r="HJ104">
        <v>9999</v>
      </c>
      <c r="HK104">
        <v>999.9</v>
      </c>
      <c r="HL104">
        <v>1.8702700000000001</v>
      </c>
      <c r="HM104">
        <v>1.87652</v>
      </c>
      <c r="HN104">
        <v>1.8742399999999999</v>
      </c>
      <c r="HO104">
        <v>1.87256</v>
      </c>
      <c r="HP104">
        <v>1.8730199999999999</v>
      </c>
      <c r="HQ104">
        <v>1.8704099999999999</v>
      </c>
      <c r="HR104">
        <v>1.8762799999999999</v>
      </c>
      <c r="HS104">
        <v>1.8754</v>
      </c>
      <c r="HT104">
        <v>5</v>
      </c>
      <c r="HU104">
        <v>0</v>
      </c>
      <c r="HV104">
        <v>0</v>
      </c>
      <c r="HW104">
        <v>0</v>
      </c>
      <c r="HX104" t="s">
        <v>421</v>
      </c>
      <c r="HY104" t="s">
        <v>422</v>
      </c>
      <c r="HZ104" t="s">
        <v>423</v>
      </c>
      <c r="IA104" t="s">
        <v>424</v>
      </c>
      <c r="IB104" t="s">
        <v>424</v>
      </c>
      <c r="IC104" t="s">
        <v>423</v>
      </c>
      <c r="ID104">
        <v>0</v>
      </c>
      <c r="IE104">
        <v>100</v>
      </c>
      <c r="IF104">
        <v>100</v>
      </c>
      <c r="IG104">
        <v>-2.202</v>
      </c>
      <c r="IH104">
        <v>0.37080000000000002</v>
      </c>
      <c r="II104">
        <v>-1.9758247349444029</v>
      </c>
      <c r="IJ104">
        <v>-2.536945948238235E-3</v>
      </c>
      <c r="IK104">
        <v>1.581473279927893E-6</v>
      </c>
      <c r="IL104">
        <v>-4.6698293441882044E-10</v>
      </c>
      <c r="IM104">
        <v>-0.1515236053587625</v>
      </c>
      <c r="IN104">
        <v>-1.5895243091576399E-2</v>
      </c>
      <c r="IO104">
        <v>1.559614309849521E-3</v>
      </c>
      <c r="IP104">
        <v>-2.4566050869858518E-6</v>
      </c>
      <c r="IQ104">
        <v>2</v>
      </c>
      <c r="IR104">
        <v>2224</v>
      </c>
      <c r="IS104">
        <v>2</v>
      </c>
      <c r="IT104">
        <v>25</v>
      </c>
      <c r="IU104">
        <v>0.7</v>
      </c>
      <c r="IV104">
        <v>0.6</v>
      </c>
      <c r="IW104">
        <v>0.390625</v>
      </c>
      <c r="IX104">
        <v>2.5134300000000001</v>
      </c>
      <c r="IY104">
        <v>1.65039</v>
      </c>
      <c r="IZ104">
        <v>2.2900399999999999</v>
      </c>
      <c r="JA104">
        <v>1.50024</v>
      </c>
      <c r="JB104">
        <v>2.4194300000000002</v>
      </c>
      <c r="JC104">
        <v>38.305599999999998</v>
      </c>
      <c r="JD104">
        <v>23.868600000000001</v>
      </c>
      <c r="JE104">
        <v>18</v>
      </c>
      <c r="JF104">
        <v>507.36900000000003</v>
      </c>
      <c r="JG104">
        <v>457.31900000000002</v>
      </c>
      <c r="JH104">
        <v>24.497900000000001</v>
      </c>
      <c r="JI104">
        <v>32.8249</v>
      </c>
      <c r="JJ104">
        <v>30.0001</v>
      </c>
      <c r="JK104">
        <v>32.873399999999997</v>
      </c>
      <c r="JL104">
        <v>32.854300000000002</v>
      </c>
      <c r="JM104">
        <v>7.8648499999999997</v>
      </c>
      <c r="JN104">
        <v>42.593699999999998</v>
      </c>
      <c r="JO104">
        <v>42.739100000000001</v>
      </c>
      <c r="JP104">
        <v>24.4818</v>
      </c>
      <c r="JQ104">
        <v>120</v>
      </c>
      <c r="JR104">
        <v>16.366399999999999</v>
      </c>
      <c r="JS104">
        <v>99.813599999999994</v>
      </c>
      <c r="JT104">
        <v>98.998400000000004</v>
      </c>
    </row>
    <row r="105" spans="1:280" x14ac:dyDescent="0.25">
      <c r="A105">
        <v>89</v>
      </c>
      <c r="B105">
        <v>1674596532</v>
      </c>
      <c r="C105">
        <v>22397.400000095371</v>
      </c>
      <c r="D105" t="s">
        <v>870</v>
      </c>
      <c r="E105" t="s">
        <v>871</v>
      </c>
      <c r="F105" t="s">
        <v>412</v>
      </c>
      <c r="G105" t="s">
        <v>851</v>
      </c>
      <c r="H105" t="s">
        <v>566</v>
      </c>
      <c r="I105">
        <v>1674596532</v>
      </c>
      <c r="J105">
        <f t="shared" si="92"/>
        <v>7.4186109311938026E-3</v>
      </c>
      <c r="K105">
        <f t="shared" si="93"/>
        <v>7.4186109311938022</v>
      </c>
      <c r="L105">
        <f t="shared" si="94"/>
        <v>13.739159607399483</v>
      </c>
      <c r="M105">
        <f t="shared" si="95"/>
        <v>53.015300000000003</v>
      </c>
      <c r="N105">
        <f t="shared" si="96"/>
        <v>12.72846662746468</v>
      </c>
      <c r="O105">
        <f t="shared" si="97"/>
        <v>1.2680742896545665</v>
      </c>
      <c r="P105">
        <f t="shared" si="98"/>
        <v>5.2816526024639003</v>
      </c>
      <c r="Q105">
        <f t="shared" si="99"/>
        <v>0.61010580512373269</v>
      </c>
      <c r="R105">
        <f t="shared" si="100"/>
        <v>2.9212036402574313</v>
      </c>
      <c r="S105">
        <f t="shared" si="101"/>
        <v>0.54715821549611654</v>
      </c>
      <c r="T105">
        <f t="shared" si="102"/>
        <v>0.34708668191857162</v>
      </c>
      <c r="U105">
        <f t="shared" si="103"/>
        <v>344.34979860496338</v>
      </c>
      <c r="V105">
        <f t="shared" si="104"/>
        <v>28.111165778627772</v>
      </c>
      <c r="W105">
        <f t="shared" si="105"/>
        <v>27.7484</v>
      </c>
      <c r="X105">
        <f t="shared" si="106"/>
        <v>3.7395340413316021</v>
      </c>
      <c r="Y105">
        <f t="shared" si="107"/>
        <v>64.014367649709641</v>
      </c>
      <c r="Z105">
        <f t="shared" si="108"/>
        <v>2.4306024745425003</v>
      </c>
      <c r="AA105">
        <f t="shared" si="109"/>
        <v>3.7969639688435239</v>
      </c>
      <c r="AB105">
        <f t="shared" si="110"/>
        <v>1.3089315667891017</v>
      </c>
      <c r="AC105">
        <f t="shared" si="111"/>
        <v>-327.16074206564667</v>
      </c>
      <c r="AD105">
        <f t="shared" si="112"/>
        <v>41.135847486709324</v>
      </c>
      <c r="AE105">
        <f t="shared" si="113"/>
        <v>3.0658121187525058</v>
      </c>
      <c r="AF105">
        <f t="shared" si="114"/>
        <v>61.390716144778523</v>
      </c>
      <c r="AG105">
        <v>0</v>
      </c>
      <c r="AH105">
        <v>0</v>
      </c>
      <c r="AI105">
        <f t="shared" si="115"/>
        <v>1</v>
      </c>
      <c r="AJ105">
        <f t="shared" si="116"/>
        <v>0</v>
      </c>
      <c r="AK105">
        <f t="shared" si="117"/>
        <v>52449.494809230906</v>
      </c>
      <c r="AL105" t="s">
        <v>415</v>
      </c>
      <c r="AM105">
        <v>10424.1</v>
      </c>
      <c r="AN105">
        <v>628.54280000000006</v>
      </c>
      <c r="AO105">
        <v>2663.98</v>
      </c>
      <c r="AP105">
        <f t="shared" si="118"/>
        <v>0.76405873917972356</v>
      </c>
      <c r="AQ105">
        <v>-3.1675626227050531</v>
      </c>
      <c r="AR105" t="s">
        <v>872</v>
      </c>
      <c r="AS105">
        <v>10207.4</v>
      </c>
      <c r="AT105">
        <v>810.31980769230779</v>
      </c>
      <c r="AU105">
        <v>940.22938712550001</v>
      </c>
      <c r="AV105">
        <f t="shared" si="119"/>
        <v>0.1381679632779359</v>
      </c>
      <c r="AW105">
        <v>0.5</v>
      </c>
      <c r="AX105">
        <f t="shared" si="120"/>
        <v>1513.1003993024817</v>
      </c>
      <c r="AY105">
        <f t="shared" si="121"/>
        <v>13.739159607399483</v>
      </c>
      <c r="AZ105">
        <f t="shared" si="122"/>
        <v>104.53100020332772</v>
      </c>
      <c r="BA105">
        <f t="shared" si="123"/>
        <v>1.1173562731130267E-2</v>
      </c>
      <c r="BB105">
        <f t="shared" si="124"/>
        <v>1.8333298623481729</v>
      </c>
      <c r="BC105">
        <f t="shared" si="125"/>
        <v>438.7555199444044</v>
      </c>
      <c r="BD105" t="s">
        <v>873</v>
      </c>
      <c r="BE105">
        <v>555.54</v>
      </c>
      <c r="BF105">
        <f t="shared" si="126"/>
        <v>555.54</v>
      </c>
      <c r="BG105">
        <f t="shared" si="127"/>
        <v>0.40914418586892398</v>
      </c>
      <c r="BH105">
        <f t="shared" si="128"/>
        <v>0.33769993085567201</v>
      </c>
      <c r="BI105">
        <f t="shared" si="129"/>
        <v>0.81754786139254609</v>
      </c>
      <c r="BJ105">
        <f t="shared" si="130"/>
        <v>0.416795540133026</v>
      </c>
      <c r="BK105">
        <f t="shared" si="131"/>
        <v>0.84686995642729734</v>
      </c>
      <c r="BL105">
        <f t="shared" si="132"/>
        <v>0.23152071294152188</v>
      </c>
      <c r="BM105">
        <f t="shared" si="133"/>
        <v>0.76847928705847812</v>
      </c>
      <c r="BN105">
        <v>20341</v>
      </c>
      <c r="BO105">
        <v>290.00000000000011</v>
      </c>
      <c r="BP105">
        <v>907.82</v>
      </c>
      <c r="BQ105">
        <v>185</v>
      </c>
      <c r="BR105">
        <v>10207.4</v>
      </c>
      <c r="BS105">
        <v>906.2</v>
      </c>
      <c r="BT105">
        <v>1.62</v>
      </c>
      <c r="BU105">
        <v>300.00000000000011</v>
      </c>
      <c r="BV105">
        <v>24.2</v>
      </c>
      <c r="BW105">
        <v>940.22938712550001</v>
      </c>
      <c r="BX105">
        <v>1.8821410431711949</v>
      </c>
      <c r="BY105">
        <v>-34.735734957849211</v>
      </c>
      <c r="BZ105">
        <v>1.7086570339441749</v>
      </c>
      <c r="CA105">
        <v>0.9365480589254489</v>
      </c>
      <c r="CB105">
        <v>-6.9454302558398344E-3</v>
      </c>
      <c r="CC105">
        <v>289.99999999999989</v>
      </c>
      <c r="CD105">
        <v>903.48</v>
      </c>
      <c r="CE105">
        <v>645</v>
      </c>
      <c r="CF105">
        <v>10172.4</v>
      </c>
      <c r="CG105">
        <v>906.08</v>
      </c>
      <c r="CH105">
        <v>-2.6</v>
      </c>
      <c r="CV105">
        <f t="shared" si="134"/>
        <v>1799.9</v>
      </c>
      <c r="CW105">
        <f t="shared" si="135"/>
        <v>1513.1003993024817</v>
      </c>
      <c r="CX105">
        <f t="shared" si="136"/>
        <v>0.84065803617005475</v>
      </c>
      <c r="CY105">
        <f t="shared" si="137"/>
        <v>0.19131607234010964</v>
      </c>
      <c r="CZ105">
        <v>6</v>
      </c>
      <c r="DA105">
        <v>0.5</v>
      </c>
      <c r="DB105" t="s">
        <v>418</v>
      </c>
      <c r="DC105">
        <v>2</v>
      </c>
      <c r="DD105">
        <v>1674596532</v>
      </c>
      <c r="DE105">
        <v>53.015300000000003</v>
      </c>
      <c r="DF105">
        <v>69.973200000000006</v>
      </c>
      <c r="DG105">
        <v>24.397500000000001</v>
      </c>
      <c r="DH105">
        <v>15.712899999999999</v>
      </c>
      <c r="DI105">
        <v>55.194299999999998</v>
      </c>
      <c r="DJ105">
        <v>24.415500000000002</v>
      </c>
      <c r="DK105">
        <v>500.03100000000001</v>
      </c>
      <c r="DL105">
        <v>99.525000000000006</v>
      </c>
      <c r="DM105">
        <v>0.100063</v>
      </c>
      <c r="DN105">
        <v>28.009599999999999</v>
      </c>
      <c r="DO105">
        <v>27.7484</v>
      </c>
      <c r="DP105">
        <v>999.9</v>
      </c>
      <c r="DQ105">
        <v>0</v>
      </c>
      <c r="DR105">
        <v>0</v>
      </c>
      <c r="DS105">
        <v>10000</v>
      </c>
      <c r="DT105">
        <v>0</v>
      </c>
      <c r="DU105">
        <v>355.245</v>
      </c>
      <c r="DV105">
        <v>-16.89</v>
      </c>
      <c r="DW105">
        <v>54.4315</v>
      </c>
      <c r="DX105">
        <v>71.090199999999996</v>
      </c>
      <c r="DY105">
        <v>9.0569799999999994</v>
      </c>
      <c r="DZ105">
        <v>69.973200000000006</v>
      </c>
      <c r="EA105">
        <v>15.712899999999999</v>
      </c>
      <c r="EB105">
        <v>2.46522</v>
      </c>
      <c r="EC105">
        <v>1.56382</v>
      </c>
      <c r="ED105">
        <v>20.7987</v>
      </c>
      <c r="EE105">
        <v>13.6069</v>
      </c>
      <c r="EF105">
        <v>1799.9</v>
      </c>
      <c r="EG105">
        <v>0.97800399999999998</v>
      </c>
      <c r="EH105">
        <v>2.1996000000000002E-2</v>
      </c>
      <c r="EI105">
        <v>0</v>
      </c>
      <c r="EJ105">
        <v>809.64700000000005</v>
      </c>
      <c r="EK105">
        <v>5.0010599999999998</v>
      </c>
      <c r="EL105">
        <v>14986</v>
      </c>
      <c r="EM105">
        <v>16710.099999999999</v>
      </c>
      <c r="EN105">
        <v>48.75</v>
      </c>
      <c r="EO105">
        <v>49.5</v>
      </c>
      <c r="EP105">
        <v>49.686999999999998</v>
      </c>
      <c r="EQ105">
        <v>48.25</v>
      </c>
      <c r="ER105">
        <v>49.561999999999998</v>
      </c>
      <c r="ES105">
        <v>1755.42</v>
      </c>
      <c r="ET105">
        <v>39.479999999999997</v>
      </c>
      <c r="EU105">
        <v>0</v>
      </c>
      <c r="EV105">
        <v>97.399999856948853</v>
      </c>
      <c r="EW105">
        <v>0</v>
      </c>
      <c r="EX105">
        <v>810.31980769230779</v>
      </c>
      <c r="EY105">
        <v>-6.2788718061934858</v>
      </c>
      <c r="EZ105">
        <v>-109.94871801875421</v>
      </c>
      <c r="FA105">
        <v>15000.71538461538</v>
      </c>
      <c r="FB105">
        <v>15</v>
      </c>
      <c r="FC105">
        <v>1674596566.5</v>
      </c>
      <c r="FD105" t="s">
        <v>874</v>
      </c>
      <c r="FE105">
        <v>1674596551.5</v>
      </c>
      <c r="FF105">
        <v>1674596566.5</v>
      </c>
      <c r="FG105">
        <v>100</v>
      </c>
      <c r="FH105">
        <v>-2.9000000000000001E-2</v>
      </c>
      <c r="FI105">
        <v>8.9999999999999993E-3</v>
      </c>
      <c r="FJ105">
        <v>-2.1789999999999998</v>
      </c>
      <c r="FK105">
        <v>-1.7999999999999999E-2</v>
      </c>
      <c r="FL105">
        <v>70</v>
      </c>
      <c r="FM105">
        <v>16</v>
      </c>
      <c r="FN105">
        <v>0.08</v>
      </c>
      <c r="FO105">
        <v>0.01</v>
      </c>
      <c r="FP105">
        <v>13.630320821145309</v>
      </c>
      <c r="FQ105">
        <v>0.26873600884710652</v>
      </c>
      <c r="FR105">
        <v>3.7817068311003149E-2</v>
      </c>
      <c r="FS105">
        <v>1</v>
      </c>
      <c r="FT105">
        <v>0.65815772518684523</v>
      </c>
      <c r="FU105">
        <v>1.293935257555179E-2</v>
      </c>
      <c r="FV105">
        <v>1.6270143716972359E-3</v>
      </c>
      <c r="FW105">
        <v>1</v>
      </c>
      <c r="FX105">
        <v>2</v>
      </c>
      <c r="FY105">
        <v>2</v>
      </c>
      <c r="FZ105" t="s">
        <v>420</v>
      </c>
      <c r="GA105">
        <v>2.9773000000000001</v>
      </c>
      <c r="GB105">
        <v>2.8063899999999999</v>
      </c>
      <c r="GC105">
        <v>1.5918499999999999E-2</v>
      </c>
      <c r="GD105">
        <v>1.9869999999999999E-2</v>
      </c>
      <c r="GE105">
        <v>0.121222</v>
      </c>
      <c r="GF105">
        <v>8.8003999999999999E-2</v>
      </c>
      <c r="GG105">
        <v>29059</v>
      </c>
      <c r="GH105">
        <v>26836.7</v>
      </c>
      <c r="GI105">
        <v>26547.1</v>
      </c>
      <c r="GJ105">
        <v>25861.3</v>
      </c>
      <c r="GK105">
        <v>31742.3</v>
      </c>
      <c r="GL105">
        <v>33289.1</v>
      </c>
      <c r="GM105">
        <v>37608.6</v>
      </c>
      <c r="GN105">
        <v>38370</v>
      </c>
      <c r="GO105">
        <v>1.9705299999999999</v>
      </c>
      <c r="GP105">
        <v>1.9016</v>
      </c>
      <c r="GQ105">
        <v>4.0642900000000003E-2</v>
      </c>
      <c r="GR105">
        <v>0</v>
      </c>
      <c r="GS105">
        <v>27.084199999999999</v>
      </c>
      <c r="GT105">
        <v>999.9</v>
      </c>
      <c r="GU105">
        <v>40.700000000000003</v>
      </c>
      <c r="GV105">
        <v>34.4</v>
      </c>
      <c r="GW105">
        <v>22.342500000000001</v>
      </c>
      <c r="GX105">
        <v>62.054600000000001</v>
      </c>
      <c r="GY105">
        <v>12.836499999999999</v>
      </c>
      <c r="GZ105">
        <v>1</v>
      </c>
      <c r="HA105">
        <v>0.446189</v>
      </c>
      <c r="HB105">
        <v>2.7431000000000001</v>
      </c>
      <c r="HC105">
        <v>20.232600000000001</v>
      </c>
      <c r="HD105">
        <v>5.2105499999999996</v>
      </c>
      <c r="HE105">
        <v>11.9381</v>
      </c>
      <c r="HF105">
        <v>4.9874000000000001</v>
      </c>
      <c r="HG105">
        <v>3.2905500000000001</v>
      </c>
      <c r="HH105">
        <v>9999</v>
      </c>
      <c r="HI105">
        <v>9999</v>
      </c>
      <c r="HJ105">
        <v>9999</v>
      </c>
      <c r="HK105">
        <v>999.9</v>
      </c>
      <c r="HL105">
        <v>1.8702700000000001</v>
      </c>
      <c r="HM105">
        <v>1.87653</v>
      </c>
      <c r="HN105">
        <v>1.8742399999999999</v>
      </c>
      <c r="HO105">
        <v>1.87256</v>
      </c>
      <c r="HP105">
        <v>1.8730199999999999</v>
      </c>
      <c r="HQ105">
        <v>1.87042</v>
      </c>
      <c r="HR105">
        <v>1.87629</v>
      </c>
      <c r="HS105">
        <v>1.8753899999999999</v>
      </c>
      <c r="HT105">
        <v>5</v>
      </c>
      <c r="HU105">
        <v>0</v>
      </c>
      <c r="HV105">
        <v>0</v>
      </c>
      <c r="HW105">
        <v>0</v>
      </c>
      <c r="HX105" t="s">
        <v>421</v>
      </c>
      <c r="HY105" t="s">
        <v>422</v>
      </c>
      <c r="HZ105" t="s">
        <v>423</v>
      </c>
      <c r="IA105" t="s">
        <v>424</v>
      </c>
      <c r="IB105" t="s">
        <v>424</v>
      </c>
      <c r="IC105" t="s">
        <v>423</v>
      </c>
      <c r="ID105">
        <v>0</v>
      </c>
      <c r="IE105">
        <v>100</v>
      </c>
      <c r="IF105">
        <v>100</v>
      </c>
      <c r="IG105">
        <v>-2.1789999999999998</v>
      </c>
      <c r="IH105">
        <v>-1.7999999999999999E-2</v>
      </c>
      <c r="II105">
        <v>-1.9758247349444029</v>
      </c>
      <c r="IJ105">
        <v>-2.536945948238235E-3</v>
      </c>
      <c r="IK105">
        <v>1.581473279927893E-6</v>
      </c>
      <c r="IL105">
        <v>-4.6698293441882044E-10</v>
      </c>
      <c r="IM105">
        <v>-0.1515236053587625</v>
      </c>
      <c r="IN105">
        <v>-1.5895243091576399E-2</v>
      </c>
      <c r="IO105">
        <v>1.559614309849521E-3</v>
      </c>
      <c r="IP105">
        <v>-2.4566050869858518E-6</v>
      </c>
      <c r="IQ105">
        <v>2</v>
      </c>
      <c r="IR105">
        <v>2224</v>
      </c>
      <c r="IS105">
        <v>2</v>
      </c>
      <c r="IT105">
        <v>25</v>
      </c>
      <c r="IU105">
        <v>2.4</v>
      </c>
      <c r="IV105">
        <v>2.2000000000000002</v>
      </c>
      <c r="IW105">
        <v>0.29052699999999998</v>
      </c>
      <c r="IX105">
        <v>2.5378400000000001</v>
      </c>
      <c r="IY105">
        <v>1.65039</v>
      </c>
      <c r="IZ105">
        <v>2.2900399999999999</v>
      </c>
      <c r="JA105">
        <v>1.50024</v>
      </c>
      <c r="JB105">
        <v>2.2607400000000002</v>
      </c>
      <c r="JC105">
        <v>38.281199999999998</v>
      </c>
      <c r="JD105">
        <v>23.851099999999999</v>
      </c>
      <c r="JE105">
        <v>18</v>
      </c>
      <c r="JF105">
        <v>508.04899999999998</v>
      </c>
      <c r="JG105">
        <v>456.25900000000001</v>
      </c>
      <c r="JH105">
        <v>24.6951</v>
      </c>
      <c r="JI105">
        <v>32.8307</v>
      </c>
      <c r="JJ105">
        <v>30</v>
      </c>
      <c r="JK105">
        <v>32.861699999999999</v>
      </c>
      <c r="JL105">
        <v>32.843299999999999</v>
      </c>
      <c r="JM105">
        <v>5.8507999999999996</v>
      </c>
      <c r="JN105">
        <v>43.534999999999997</v>
      </c>
      <c r="JO105">
        <v>40.1126</v>
      </c>
      <c r="JP105">
        <v>24.691500000000001</v>
      </c>
      <c r="JQ105">
        <v>70</v>
      </c>
      <c r="JR105">
        <v>15.6783</v>
      </c>
      <c r="JS105">
        <v>99.811800000000005</v>
      </c>
      <c r="JT105">
        <v>98.992800000000003</v>
      </c>
    </row>
    <row r="106" spans="1:280" x14ac:dyDescent="0.25">
      <c r="A106">
        <v>90</v>
      </c>
      <c r="B106">
        <v>1674596687.5</v>
      </c>
      <c r="C106">
        <v>22552.900000095371</v>
      </c>
      <c r="D106" t="s">
        <v>875</v>
      </c>
      <c r="E106" t="s">
        <v>876</v>
      </c>
      <c r="F106" t="s">
        <v>412</v>
      </c>
      <c r="G106" t="s">
        <v>851</v>
      </c>
      <c r="H106" t="s">
        <v>566</v>
      </c>
      <c r="I106">
        <v>1674596687.5</v>
      </c>
      <c r="J106">
        <f t="shared" si="92"/>
        <v>8.0544416125731318E-3</v>
      </c>
      <c r="K106">
        <f t="shared" si="93"/>
        <v>8.0544416125731324</v>
      </c>
      <c r="L106">
        <f t="shared" si="94"/>
        <v>6.2560586939782166</v>
      </c>
      <c r="M106">
        <f t="shared" si="95"/>
        <v>22.258700000000001</v>
      </c>
      <c r="N106">
        <f t="shared" si="96"/>
        <v>6.1696857246654551</v>
      </c>
      <c r="O106">
        <f t="shared" si="97"/>
        <v>0.61464637864691574</v>
      </c>
      <c r="P106">
        <f t="shared" si="98"/>
        <v>2.2174920991020097</v>
      </c>
      <c r="Q106">
        <f t="shared" si="99"/>
        <v>0.70558957415475598</v>
      </c>
      <c r="R106">
        <f t="shared" si="100"/>
        <v>2.9261067217399837</v>
      </c>
      <c r="S106">
        <f t="shared" si="101"/>
        <v>0.62294491570581101</v>
      </c>
      <c r="T106">
        <f t="shared" si="102"/>
        <v>0.3959562700012127</v>
      </c>
      <c r="U106">
        <f t="shared" si="103"/>
        <v>344.40109860517259</v>
      </c>
      <c r="V106">
        <f t="shared" si="104"/>
        <v>27.925885490790719</v>
      </c>
      <c r="W106">
        <f t="shared" si="105"/>
        <v>27.746300000000002</v>
      </c>
      <c r="X106">
        <f t="shared" si="106"/>
        <v>3.7390754040090708</v>
      </c>
      <c r="Y106">
        <f t="shared" si="107"/>
        <v>65.688380091278219</v>
      </c>
      <c r="Z106">
        <f t="shared" si="108"/>
        <v>2.4912577857024099</v>
      </c>
      <c r="AA106">
        <f t="shared" si="109"/>
        <v>3.7925395362781775</v>
      </c>
      <c r="AB106">
        <f t="shared" si="110"/>
        <v>1.2478176183066609</v>
      </c>
      <c r="AC106">
        <f t="shared" si="111"/>
        <v>-355.20087511447514</v>
      </c>
      <c r="AD106">
        <f t="shared" si="112"/>
        <v>38.38112621620877</v>
      </c>
      <c r="AE106">
        <f t="shared" si="113"/>
        <v>2.855397742835315</v>
      </c>
      <c r="AF106">
        <f t="shared" si="114"/>
        <v>30.436747449741517</v>
      </c>
      <c r="AG106">
        <v>0</v>
      </c>
      <c r="AH106">
        <v>0</v>
      </c>
      <c r="AI106">
        <f t="shared" si="115"/>
        <v>1</v>
      </c>
      <c r="AJ106">
        <f t="shared" si="116"/>
        <v>0</v>
      </c>
      <c r="AK106">
        <f t="shared" si="117"/>
        <v>52593.867753027858</v>
      </c>
      <c r="AL106" t="s">
        <v>415</v>
      </c>
      <c r="AM106">
        <v>10424.1</v>
      </c>
      <c r="AN106">
        <v>628.54280000000006</v>
      </c>
      <c r="AO106">
        <v>2663.98</v>
      </c>
      <c r="AP106">
        <f t="shared" si="118"/>
        <v>0.76405873917972356</v>
      </c>
      <c r="AQ106">
        <v>-3.1675626227050531</v>
      </c>
      <c r="AR106" t="s">
        <v>877</v>
      </c>
      <c r="AS106">
        <v>10224.6</v>
      </c>
      <c r="AT106">
        <v>829.56146153846146</v>
      </c>
      <c r="AU106">
        <v>912.88395574956871</v>
      </c>
      <c r="AV106">
        <f t="shared" si="119"/>
        <v>9.127391678462704E-2</v>
      </c>
      <c r="AW106">
        <v>0.5</v>
      </c>
      <c r="AX106">
        <f t="shared" si="120"/>
        <v>1513.3271993025865</v>
      </c>
      <c r="AY106">
        <f t="shared" si="121"/>
        <v>6.2560586939782166</v>
      </c>
      <c r="AZ106">
        <f t="shared" si="122"/>
        <v>69.06365042852849</v>
      </c>
      <c r="BA106">
        <f t="shared" si="123"/>
        <v>6.2270877844699587E-3</v>
      </c>
      <c r="BB106">
        <f t="shared" si="124"/>
        <v>1.9182022350393999</v>
      </c>
      <c r="BC106">
        <f t="shared" si="125"/>
        <v>432.70696180635218</v>
      </c>
      <c r="BD106" t="s">
        <v>878</v>
      </c>
      <c r="BE106">
        <v>572.09</v>
      </c>
      <c r="BF106">
        <f t="shared" si="126"/>
        <v>572.09</v>
      </c>
      <c r="BG106">
        <f t="shared" si="127"/>
        <v>0.37331574687359126</v>
      </c>
      <c r="BH106">
        <f t="shared" si="128"/>
        <v>0.24449522300899174</v>
      </c>
      <c r="BI106">
        <f t="shared" si="129"/>
        <v>0.83708801335176874</v>
      </c>
      <c r="BJ106">
        <f t="shared" si="130"/>
        <v>0.29303705259077206</v>
      </c>
      <c r="BK106">
        <f t="shared" si="131"/>
        <v>0.86030462853407186</v>
      </c>
      <c r="BL106">
        <f t="shared" si="132"/>
        <v>0.16861110190896816</v>
      </c>
      <c r="BM106">
        <f t="shared" si="133"/>
        <v>0.83138889809103178</v>
      </c>
      <c r="BN106">
        <v>20343</v>
      </c>
      <c r="BO106">
        <v>290.00000000000011</v>
      </c>
      <c r="BP106">
        <v>888</v>
      </c>
      <c r="BQ106">
        <v>105</v>
      </c>
      <c r="BR106">
        <v>10224.6</v>
      </c>
      <c r="BS106">
        <v>885.58</v>
      </c>
      <c r="BT106">
        <v>2.42</v>
      </c>
      <c r="BU106">
        <v>300.00000000000011</v>
      </c>
      <c r="BV106">
        <v>24.2</v>
      </c>
      <c r="BW106">
        <v>912.88395574956871</v>
      </c>
      <c r="BX106">
        <v>1.6661043627218179</v>
      </c>
      <c r="BY106">
        <v>-27.912562201901721</v>
      </c>
      <c r="BZ106">
        <v>1.512487858776062</v>
      </c>
      <c r="CA106">
        <v>0.92403220424835431</v>
      </c>
      <c r="CB106">
        <v>-6.9452200222469397E-3</v>
      </c>
      <c r="CC106">
        <v>289.99999999999989</v>
      </c>
      <c r="CD106">
        <v>881.88</v>
      </c>
      <c r="CE106">
        <v>705</v>
      </c>
      <c r="CF106">
        <v>10167.4</v>
      </c>
      <c r="CG106">
        <v>885.43</v>
      </c>
      <c r="CH106">
        <v>-3.55</v>
      </c>
      <c r="CV106">
        <f t="shared" si="134"/>
        <v>1800.17</v>
      </c>
      <c r="CW106">
        <f t="shared" si="135"/>
        <v>1513.3271993025865</v>
      </c>
      <c r="CX106">
        <f t="shared" si="136"/>
        <v>0.84065793747400874</v>
      </c>
      <c r="CY106">
        <f t="shared" si="137"/>
        <v>0.19131587494801744</v>
      </c>
      <c r="CZ106">
        <v>6</v>
      </c>
      <c r="DA106">
        <v>0.5</v>
      </c>
      <c r="DB106" t="s">
        <v>418</v>
      </c>
      <c r="DC106">
        <v>2</v>
      </c>
      <c r="DD106">
        <v>1674596687.5</v>
      </c>
      <c r="DE106">
        <v>22.258700000000001</v>
      </c>
      <c r="DF106">
        <v>29.981000000000002</v>
      </c>
      <c r="DG106">
        <v>25.006699999999999</v>
      </c>
      <c r="DH106">
        <v>15.5832</v>
      </c>
      <c r="DI106">
        <v>24.529399999999999</v>
      </c>
      <c r="DJ106">
        <v>24.629000000000001</v>
      </c>
      <c r="DK106">
        <v>500.00700000000001</v>
      </c>
      <c r="DL106">
        <v>99.524199999999993</v>
      </c>
      <c r="DM106">
        <v>9.9412299999999995E-2</v>
      </c>
      <c r="DN106">
        <v>27.989599999999999</v>
      </c>
      <c r="DO106">
        <v>27.746300000000002</v>
      </c>
      <c r="DP106">
        <v>999.9</v>
      </c>
      <c r="DQ106">
        <v>0</v>
      </c>
      <c r="DR106">
        <v>0</v>
      </c>
      <c r="DS106">
        <v>10028.1</v>
      </c>
      <c r="DT106">
        <v>0</v>
      </c>
      <c r="DU106">
        <v>349.38799999999998</v>
      </c>
      <c r="DV106">
        <v>-7.7223699999999997</v>
      </c>
      <c r="DW106">
        <v>22.829499999999999</v>
      </c>
      <c r="DX106">
        <v>30.4556</v>
      </c>
      <c r="DY106">
        <v>9.4235199999999999</v>
      </c>
      <c r="DZ106">
        <v>29.981000000000002</v>
      </c>
      <c r="EA106">
        <v>15.5832</v>
      </c>
      <c r="EB106">
        <v>2.4887700000000001</v>
      </c>
      <c r="EC106">
        <v>1.5508999999999999</v>
      </c>
      <c r="ED106">
        <v>20.953199999999999</v>
      </c>
      <c r="EE106">
        <v>13.4794</v>
      </c>
      <c r="EF106">
        <v>1800.17</v>
      </c>
      <c r="EG106">
        <v>0.97800699999999996</v>
      </c>
      <c r="EH106">
        <v>2.1992600000000001E-2</v>
      </c>
      <c r="EI106">
        <v>0</v>
      </c>
      <c r="EJ106">
        <v>829.55</v>
      </c>
      <c r="EK106">
        <v>5.0010599999999998</v>
      </c>
      <c r="EL106">
        <v>15336.1</v>
      </c>
      <c r="EM106">
        <v>16712.7</v>
      </c>
      <c r="EN106">
        <v>48.811999999999998</v>
      </c>
      <c r="EO106">
        <v>49.561999999999998</v>
      </c>
      <c r="EP106">
        <v>49.686999999999998</v>
      </c>
      <c r="EQ106">
        <v>48.311999999999998</v>
      </c>
      <c r="ER106">
        <v>49.561999999999998</v>
      </c>
      <c r="ES106">
        <v>1755.69</v>
      </c>
      <c r="ET106">
        <v>39.479999999999997</v>
      </c>
      <c r="EU106">
        <v>0</v>
      </c>
      <c r="EV106">
        <v>153.79999995231631</v>
      </c>
      <c r="EW106">
        <v>0</v>
      </c>
      <c r="EX106">
        <v>829.56146153846146</v>
      </c>
      <c r="EY106">
        <v>0.2125811918089188</v>
      </c>
      <c r="EZ106">
        <v>-18.307692297339099</v>
      </c>
      <c r="FA106">
        <v>15336.219230769229</v>
      </c>
      <c r="FB106">
        <v>15</v>
      </c>
      <c r="FC106">
        <v>1674596655</v>
      </c>
      <c r="FD106" t="s">
        <v>879</v>
      </c>
      <c r="FE106">
        <v>1674596636</v>
      </c>
      <c r="FF106">
        <v>1674596655</v>
      </c>
      <c r="FG106">
        <v>101</v>
      </c>
      <c r="FH106">
        <v>-0.20499999999999999</v>
      </c>
      <c r="FI106">
        <v>3.0000000000000001E-3</v>
      </c>
      <c r="FJ106">
        <v>-2.29</v>
      </c>
      <c r="FK106">
        <v>-1.6E-2</v>
      </c>
      <c r="FL106">
        <v>30</v>
      </c>
      <c r="FM106">
        <v>16</v>
      </c>
      <c r="FN106">
        <v>0.23</v>
      </c>
      <c r="FO106">
        <v>0.01</v>
      </c>
      <c r="FP106">
        <v>6.3026164034723973</v>
      </c>
      <c r="FQ106">
        <v>-0.60933328181018831</v>
      </c>
      <c r="FR106">
        <v>6.9742879068044675E-2</v>
      </c>
      <c r="FS106">
        <v>1</v>
      </c>
      <c r="FT106">
        <v>0.71044613507873522</v>
      </c>
      <c r="FU106">
        <v>2.9648703873569951E-2</v>
      </c>
      <c r="FV106">
        <v>8.2161095302557725E-3</v>
      </c>
      <c r="FW106">
        <v>1</v>
      </c>
      <c r="FX106">
        <v>2</v>
      </c>
      <c r="FY106">
        <v>2</v>
      </c>
      <c r="FZ106" t="s">
        <v>420</v>
      </c>
      <c r="GA106">
        <v>2.9772099999999999</v>
      </c>
      <c r="GB106">
        <v>2.8059799999999999</v>
      </c>
      <c r="GC106">
        <v>7.08809E-3</v>
      </c>
      <c r="GD106">
        <v>8.5472800000000008E-3</v>
      </c>
      <c r="GE106">
        <v>0.121952</v>
      </c>
      <c r="GF106">
        <v>8.7480699999999995E-2</v>
      </c>
      <c r="GG106">
        <v>29316.799999999999</v>
      </c>
      <c r="GH106">
        <v>27145</v>
      </c>
      <c r="GI106">
        <v>26544.799999999999</v>
      </c>
      <c r="GJ106">
        <v>25860.2</v>
      </c>
      <c r="GK106">
        <v>31713</v>
      </c>
      <c r="GL106">
        <v>33306.699999999997</v>
      </c>
      <c r="GM106">
        <v>37605.1</v>
      </c>
      <c r="GN106">
        <v>38368.300000000003</v>
      </c>
      <c r="GO106">
        <v>1.96963</v>
      </c>
      <c r="GP106">
        <v>1.9003300000000001</v>
      </c>
      <c r="GQ106">
        <v>3.5353000000000002E-2</v>
      </c>
      <c r="GR106">
        <v>0</v>
      </c>
      <c r="GS106">
        <v>27.168600000000001</v>
      </c>
      <c r="GT106">
        <v>999.9</v>
      </c>
      <c r="GU106">
        <v>40.1</v>
      </c>
      <c r="GV106">
        <v>34.4</v>
      </c>
      <c r="GW106">
        <v>22.012899999999998</v>
      </c>
      <c r="GX106">
        <v>62.0946</v>
      </c>
      <c r="GY106">
        <v>12.8085</v>
      </c>
      <c r="GZ106">
        <v>1</v>
      </c>
      <c r="HA106">
        <v>0.44948199999999999</v>
      </c>
      <c r="HB106">
        <v>2.7300900000000001</v>
      </c>
      <c r="HC106">
        <v>20.232299999999999</v>
      </c>
      <c r="HD106">
        <v>5.20261</v>
      </c>
      <c r="HE106">
        <v>11.9381</v>
      </c>
      <c r="HF106">
        <v>4.9866000000000001</v>
      </c>
      <c r="HG106">
        <v>3.2894299999999999</v>
      </c>
      <c r="HH106">
        <v>9999</v>
      </c>
      <c r="HI106">
        <v>9999</v>
      </c>
      <c r="HJ106">
        <v>9999</v>
      </c>
      <c r="HK106">
        <v>999.9</v>
      </c>
      <c r="HL106">
        <v>1.8702700000000001</v>
      </c>
      <c r="HM106">
        <v>1.87652</v>
      </c>
      <c r="HN106">
        <v>1.8742399999999999</v>
      </c>
      <c r="HO106">
        <v>1.87256</v>
      </c>
      <c r="HP106">
        <v>1.8730199999999999</v>
      </c>
      <c r="HQ106">
        <v>1.87042</v>
      </c>
      <c r="HR106">
        <v>1.8763399999999999</v>
      </c>
      <c r="HS106">
        <v>1.8754200000000001</v>
      </c>
      <c r="HT106">
        <v>5</v>
      </c>
      <c r="HU106">
        <v>0</v>
      </c>
      <c r="HV106">
        <v>0</v>
      </c>
      <c r="HW106">
        <v>0</v>
      </c>
      <c r="HX106" t="s">
        <v>421</v>
      </c>
      <c r="HY106" t="s">
        <v>422</v>
      </c>
      <c r="HZ106" t="s">
        <v>423</v>
      </c>
      <c r="IA106" t="s">
        <v>424</v>
      </c>
      <c r="IB106" t="s">
        <v>424</v>
      </c>
      <c r="IC106" t="s">
        <v>423</v>
      </c>
      <c r="ID106">
        <v>0</v>
      </c>
      <c r="IE106">
        <v>100</v>
      </c>
      <c r="IF106">
        <v>100</v>
      </c>
      <c r="IG106">
        <v>-2.2709999999999999</v>
      </c>
      <c r="IH106">
        <v>0.37769999999999998</v>
      </c>
      <c r="II106">
        <v>-2.2094714912029558</v>
      </c>
      <c r="IJ106">
        <v>-2.536945948238235E-3</v>
      </c>
      <c r="IK106">
        <v>1.581473279927893E-6</v>
      </c>
      <c r="IL106">
        <v>-4.6698293441882044E-10</v>
      </c>
      <c r="IM106">
        <v>-0.14018422929824911</v>
      </c>
      <c r="IN106">
        <v>-1.5895243091576399E-2</v>
      </c>
      <c r="IO106">
        <v>1.559614309849521E-3</v>
      </c>
      <c r="IP106">
        <v>-2.4566050869858518E-6</v>
      </c>
      <c r="IQ106">
        <v>2</v>
      </c>
      <c r="IR106">
        <v>2224</v>
      </c>
      <c r="IS106">
        <v>2</v>
      </c>
      <c r="IT106">
        <v>25</v>
      </c>
      <c r="IU106">
        <v>0.9</v>
      </c>
      <c r="IV106">
        <v>0.5</v>
      </c>
      <c r="IW106">
        <v>0.21240200000000001</v>
      </c>
      <c r="IX106">
        <v>2.5598100000000001</v>
      </c>
      <c r="IY106">
        <v>1.65039</v>
      </c>
      <c r="IZ106">
        <v>2.2900399999999999</v>
      </c>
      <c r="JA106">
        <v>1.50024</v>
      </c>
      <c r="JB106">
        <v>2.2778299999999998</v>
      </c>
      <c r="JC106">
        <v>38.305599999999998</v>
      </c>
      <c r="JD106">
        <v>23.8598</v>
      </c>
      <c r="JE106">
        <v>18</v>
      </c>
      <c r="JF106">
        <v>507.62099999999998</v>
      </c>
      <c r="JG106">
        <v>455.512</v>
      </c>
      <c r="JH106">
        <v>24.622800000000002</v>
      </c>
      <c r="JI106">
        <v>32.871400000000001</v>
      </c>
      <c r="JJ106">
        <v>30</v>
      </c>
      <c r="JK106">
        <v>32.882300000000001</v>
      </c>
      <c r="JL106">
        <v>32.854300000000002</v>
      </c>
      <c r="JM106">
        <v>4.2835400000000003</v>
      </c>
      <c r="JN106">
        <v>42.966000000000001</v>
      </c>
      <c r="JO106">
        <v>38.685499999999998</v>
      </c>
      <c r="JP106">
        <v>24.636800000000001</v>
      </c>
      <c r="JQ106">
        <v>30</v>
      </c>
      <c r="JR106">
        <v>15.573399999999999</v>
      </c>
      <c r="JS106">
        <v>99.802899999999994</v>
      </c>
      <c r="JT106">
        <v>98.988399999999999</v>
      </c>
    </row>
    <row r="107" spans="1:280" x14ac:dyDescent="0.25">
      <c r="A107">
        <v>91</v>
      </c>
      <c r="B107">
        <v>1674596830</v>
      </c>
      <c r="C107">
        <v>22695.400000095371</v>
      </c>
      <c r="D107" t="s">
        <v>880</v>
      </c>
      <c r="E107" t="s">
        <v>881</v>
      </c>
      <c r="F107" t="s">
        <v>412</v>
      </c>
      <c r="G107" t="s">
        <v>851</v>
      </c>
      <c r="H107" t="s">
        <v>566</v>
      </c>
      <c r="I107">
        <v>1674596830</v>
      </c>
      <c r="J107">
        <f t="shared" si="92"/>
        <v>8.0983817695338516E-3</v>
      </c>
      <c r="K107">
        <f t="shared" si="93"/>
        <v>8.0983817695338516</v>
      </c>
      <c r="L107">
        <f t="shared" si="94"/>
        <v>2.3393418713650127</v>
      </c>
      <c r="M107">
        <f t="shared" si="95"/>
        <v>7.1231499999999999</v>
      </c>
      <c r="N107">
        <f t="shared" si="96"/>
        <v>1.1338632461135032</v>
      </c>
      <c r="O107">
        <f t="shared" si="97"/>
        <v>0.11296208332818278</v>
      </c>
      <c r="P107">
        <f t="shared" si="98"/>
        <v>0.70964983353785993</v>
      </c>
      <c r="Q107">
        <f t="shared" si="99"/>
        <v>0.7062127173905135</v>
      </c>
      <c r="R107">
        <f t="shared" si="100"/>
        <v>2.9188099774095639</v>
      </c>
      <c r="S107">
        <f t="shared" si="101"/>
        <v>0.62325013393783446</v>
      </c>
      <c r="T107">
        <f t="shared" si="102"/>
        <v>0.39617006024913759</v>
      </c>
      <c r="U107">
        <f t="shared" si="103"/>
        <v>344.36309860501757</v>
      </c>
      <c r="V107">
        <f t="shared" si="104"/>
        <v>27.921954350488708</v>
      </c>
      <c r="W107">
        <f t="shared" si="105"/>
        <v>27.740500000000001</v>
      </c>
      <c r="X107">
        <f t="shared" si="106"/>
        <v>3.7378089463754622</v>
      </c>
      <c r="Y107">
        <f t="shared" si="107"/>
        <v>65.459264961675217</v>
      </c>
      <c r="Z107">
        <f t="shared" si="108"/>
        <v>2.4837121512297595</v>
      </c>
      <c r="AA107">
        <f t="shared" si="109"/>
        <v>3.794286649390139</v>
      </c>
      <c r="AB107">
        <f t="shared" si="110"/>
        <v>1.2540967951457027</v>
      </c>
      <c r="AC107">
        <f t="shared" si="111"/>
        <v>-357.13863603644285</v>
      </c>
      <c r="AD107">
        <f t="shared" si="112"/>
        <v>40.441233060040503</v>
      </c>
      <c r="AE107">
        <f t="shared" si="113"/>
        <v>3.0162142083370491</v>
      </c>
      <c r="AF107">
        <f t="shared" si="114"/>
        <v>30.681909836952258</v>
      </c>
      <c r="AG107">
        <v>0</v>
      </c>
      <c r="AH107">
        <v>0</v>
      </c>
      <c r="AI107">
        <f t="shared" si="115"/>
        <v>1</v>
      </c>
      <c r="AJ107">
        <f t="shared" si="116"/>
        <v>0</v>
      </c>
      <c r="AK107">
        <f t="shared" si="117"/>
        <v>52382.889893231331</v>
      </c>
      <c r="AL107" t="s">
        <v>415</v>
      </c>
      <c r="AM107">
        <v>10424.1</v>
      </c>
      <c r="AN107">
        <v>628.54280000000006</v>
      </c>
      <c r="AO107">
        <v>2663.98</v>
      </c>
      <c r="AP107">
        <f t="shared" si="118"/>
        <v>0.76405873917972356</v>
      </c>
      <c r="AQ107">
        <v>-3.1675626227050531</v>
      </c>
      <c r="AR107" t="s">
        <v>882</v>
      </c>
      <c r="AS107">
        <v>10227.299999999999</v>
      </c>
      <c r="AT107">
        <v>840.18039999999996</v>
      </c>
      <c r="AU107">
        <v>904.00493801541177</v>
      </c>
      <c r="AV107">
        <f t="shared" si="119"/>
        <v>7.060197940459001E-2</v>
      </c>
      <c r="AW107">
        <v>0.5</v>
      </c>
      <c r="AX107">
        <f t="shared" si="120"/>
        <v>1513.1591993025086</v>
      </c>
      <c r="AY107">
        <f t="shared" si="121"/>
        <v>2.3393418713650127</v>
      </c>
      <c r="AZ107">
        <f t="shared" si="122"/>
        <v>53.41601731251081</v>
      </c>
      <c r="BA107">
        <f t="shared" si="123"/>
        <v>3.639342441038904E-3</v>
      </c>
      <c r="BB107">
        <f t="shared" si="124"/>
        <v>1.9468644340022216</v>
      </c>
      <c r="BC107">
        <f t="shared" si="125"/>
        <v>430.70180141528766</v>
      </c>
      <c r="BD107" t="s">
        <v>883</v>
      </c>
      <c r="BE107">
        <v>586.65</v>
      </c>
      <c r="BF107">
        <f t="shared" si="126"/>
        <v>586.65</v>
      </c>
      <c r="BG107">
        <f t="shared" si="127"/>
        <v>0.35105442976020718</v>
      </c>
      <c r="BH107">
        <f t="shared" si="128"/>
        <v>0.20111405360364135</v>
      </c>
      <c r="BI107">
        <f t="shared" si="129"/>
        <v>0.8472294060089578</v>
      </c>
      <c r="BJ107">
        <f t="shared" si="130"/>
        <v>0.23169985710283317</v>
      </c>
      <c r="BK107">
        <f t="shared" si="131"/>
        <v>0.86466684503191171</v>
      </c>
      <c r="BL107">
        <f t="shared" si="132"/>
        <v>0.14042646025374572</v>
      </c>
      <c r="BM107">
        <f t="shared" si="133"/>
        <v>0.85957353974625428</v>
      </c>
      <c r="BN107">
        <v>20345</v>
      </c>
      <c r="BO107">
        <v>290.00000000000011</v>
      </c>
      <c r="BP107">
        <v>883.95</v>
      </c>
      <c r="BQ107">
        <v>95</v>
      </c>
      <c r="BR107">
        <v>10227.299999999999</v>
      </c>
      <c r="BS107">
        <v>880.8</v>
      </c>
      <c r="BT107">
        <v>3.15</v>
      </c>
      <c r="BU107">
        <v>300.00000000000011</v>
      </c>
      <c r="BV107">
        <v>24.2</v>
      </c>
      <c r="BW107">
        <v>904.00493801541177</v>
      </c>
      <c r="BX107">
        <v>2.4067063415042642</v>
      </c>
      <c r="BY107">
        <v>-23.730908511284959</v>
      </c>
      <c r="BZ107">
        <v>2.1848552732529312</v>
      </c>
      <c r="CA107">
        <v>0.80818397582867096</v>
      </c>
      <c r="CB107">
        <v>-6.9453139043381606E-3</v>
      </c>
      <c r="CC107">
        <v>289.99999999999989</v>
      </c>
      <c r="CD107">
        <v>878.11</v>
      </c>
      <c r="CE107">
        <v>665</v>
      </c>
      <c r="CF107">
        <v>10170.6</v>
      </c>
      <c r="CG107">
        <v>880.67</v>
      </c>
      <c r="CH107">
        <v>-2.56</v>
      </c>
      <c r="CV107">
        <f t="shared" si="134"/>
        <v>1799.97</v>
      </c>
      <c r="CW107">
        <f t="shared" si="135"/>
        <v>1513.1591993025086</v>
      </c>
      <c r="CX107">
        <f t="shared" si="136"/>
        <v>0.84065801057934775</v>
      </c>
      <c r="CY107">
        <f t="shared" si="137"/>
        <v>0.19131602115869573</v>
      </c>
      <c r="CZ107">
        <v>6</v>
      </c>
      <c r="DA107">
        <v>0.5</v>
      </c>
      <c r="DB107" t="s">
        <v>418</v>
      </c>
      <c r="DC107">
        <v>2</v>
      </c>
      <c r="DD107">
        <v>1674596830</v>
      </c>
      <c r="DE107">
        <v>7.1231499999999999</v>
      </c>
      <c r="DF107">
        <v>9.9997100000000003</v>
      </c>
      <c r="DG107">
        <v>24.930399999999999</v>
      </c>
      <c r="DH107">
        <v>15.4542</v>
      </c>
      <c r="DI107">
        <v>9.4773700000000005</v>
      </c>
      <c r="DJ107">
        <v>24.557600000000001</v>
      </c>
      <c r="DK107">
        <v>499.97800000000001</v>
      </c>
      <c r="DL107">
        <v>99.525899999999993</v>
      </c>
      <c r="DM107">
        <v>9.9944400000000003E-2</v>
      </c>
      <c r="DN107">
        <v>27.997499999999999</v>
      </c>
      <c r="DO107">
        <v>27.740500000000001</v>
      </c>
      <c r="DP107">
        <v>999.9</v>
      </c>
      <c r="DQ107">
        <v>0</v>
      </c>
      <c r="DR107">
        <v>0</v>
      </c>
      <c r="DS107">
        <v>9986.25</v>
      </c>
      <c r="DT107">
        <v>0</v>
      </c>
      <c r="DU107">
        <v>347.43200000000002</v>
      </c>
      <c r="DV107">
        <v>-2.87656</v>
      </c>
      <c r="DW107">
        <v>7.3052700000000002</v>
      </c>
      <c r="DX107">
        <v>10.156700000000001</v>
      </c>
      <c r="DY107">
        <v>9.4762500000000003</v>
      </c>
      <c r="DZ107">
        <v>9.9997100000000003</v>
      </c>
      <c r="EA107">
        <v>15.4542</v>
      </c>
      <c r="EB107">
        <v>2.48122</v>
      </c>
      <c r="EC107">
        <v>1.53809</v>
      </c>
      <c r="ED107">
        <v>20.9039</v>
      </c>
      <c r="EE107">
        <v>13.3522</v>
      </c>
      <c r="EF107">
        <v>1799.97</v>
      </c>
      <c r="EG107">
        <v>0.97800399999999998</v>
      </c>
      <c r="EH107">
        <v>2.1996000000000002E-2</v>
      </c>
      <c r="EI107">
        <v>0</v>
      </c>
      <c r="EJ107">
        <v>840.05499999999995</v>
      </c>
      <c r="EK107">
        <v>5.0010599999999998</v>
      </c>
      <c r="EL107">
        <v>15519</v>
      </c>
      <c r="EM107">
        <v>16710.8</v>
      </c>
      <c r="EN107">
        <v>48.75</v>
      </c>
      <c r="EO107">
        <v>49.561999999999998</v>
      </c>
      <c r="EP107">
        <v>49.75</v>
      </c>
      <c r="EQ107">
        <v>48.311999999999998</v>
      </c>
      <c r="ER107">
        <v>49.625</v>
      </c>
      <c r="ES107">
        <v>1755.49</v>
      </c>
      <c r="ET107">
        <v>39.479999999999997</v>
      </c>
      <c r="EU107">
        <v>0</v>
      </c>
      <c r="EV107">
        <v>140.39999985694891</v>
      </c>
      <c r="EW107">
        <v>0</v>
      </c>
      <c r="EX107">
        <v>840.18039999999996</v>
      </c>
      <c r="EY107">
        <v>-0.60938461655088338</v>
      </c>
      <c r="EZ107">
        <v>-10.31538466463468</v>
      </c>
      <c r="FA107">
        <v>15520.652</v>
      </c>
      <c r="FB107">
        <v>15</v>
      </c>
      <c r="FC107">
        <v>1674596796</v>
      </c>
      <c r="FD107" t="s">
        <v>884</v>
      </c>
      <c r="FE107">
        <v>1674596785.5</v>
      </c>
      <c r="FF107">
        <v>1674596796</v>
      </c>
      <c r="FG107">
        <v>102</v>
      </c>
      <c r="FH107">
        <v>-0.121</v>
      </c>
      <c r="FI107">
        <v>-1E-3</v>
      </c>
      <c r="FJ107">
        <v>-2.3610000000000002</v>
      </c>
      <c r="FK107">
        <v>-2.9000000000000001E-2</v>
      </c>
      <c r="FL107">
        <v>10</v>
      </c>
      <c r="FM107">
        <v>15</v>
      </c>
      <c r="FN107">
        <v>0.42</v>
      </c>
      <c r="FO107">
        <v>0.01</v>
      </c>
      <c r="FP107">
        <v>2.3753500082947259</v>
      </c>
      <c r="FQ107">
        <v>-0.67849178875665594</v>
      </c>
      <c r="FR107">
        <v>9.3444795958572413E-2</v>
      </c>
      <c r="FS107">
        <v>1</v>
      </c>
      <c r="FT107">
        <v>0.7150715109454876</v>
      </c>
      <c r="FU107">
        <v>1.2366315057682899E-2</v>
      </c>
      <c r="FV107">
        <v>8.0709600379016214E-3</v>
      </c>
      <c r="FW107">
        <v>1</v>
      </c>
      <c r="FX107">
        <v>2</v>
      </c>
      <c r="FY107">
        <v>2</v>
      </c>
      <c r="FZ107" t="s">
        <v>420</v>
      </c>
      <c r="GA107">
        <v>2.9771100000000001</v>
      </c>
      <c r="GB107">
        <v>2.8061500000000001</v>
      </c>
      <c r="GC107">
        <v>2.7361999999999998E-3</v>
      </c>
      <c r="GD107">
        <v>2.8474099999999999E-3</v>
      </c>
      <c r="GE107">
        <v>0.12170300000000001</v>
      </c>
      <c r="GF107">
        <v>8.69592E-2</v>
      </c>
      <c r="GG107">
        <v>29444.5</v>
      </c>
      <c r="GH107">
        <v>27299</v>
      </c>
      <c r="GI107">
        <v>26544.2</v>
      </c>
      <c r="GJ107">
        <v>25858.400000000001</v>
      </c>
      <c r="GK107">
        <v>31721.7</v>
      </c>
      <c r="GL107">
        <v>33323.599999999999</v>
      </c>
      <c r="GM107">
        <v>37604.6</v>
      </c>
      <c r="GN107">
        <v>38365.9</v>
      </c>
      <c r="GO107">
        <v>1.9691000000000001</v>
      </c>
      <c r="GP107">
        <v>1.8995500000000001</v>
      </c>
      <c r="GQ107">
        <v>4.0009599999999999E-2</v>
      </c>
      <c r="GR107">
        <v>0</v>
      </c>
      <c r="GS107">
        <v>27.086600000000001</v>
      </c>
      <c r="GT107">
        <v>999.9</v>
      </c>
      <c r="GU107">
        <v>39.200000000000003</v>
      </c>
      <c r="GV107">
        <v>34.4</v>
      </c>
      <c r="GW107">
        <v>21.517199999999999</v>
      </c>
      <c r="GX107">
        <v>62.104599999999998</v>
      </c>
      <c r="GY107">
        <v>12.488</v>
      </c>
      <c r="GZ107">
        <v>1</v>
      </c>
      <c r="HA107">
        <v>0.451822</v>
      </c>
      <c r="HB107">
        <v>2.6664300000000001</v>
      </c>
      <c r="HC107">
        <v>20.2332</v>
      </c>
      <c r="HD107">
        <v>5.2050099999999997</v>
      </c>
      <c r="HE107">
        <v>11.9381</v>
      </c>
      <c r="HF107">
        <v>4.9860499999999996</v>
      </c>
      <c r="HG107">
        <v>3.2896000000000001</v>
      </c>
      <c r="HH107">
        <v>9999</v>
      </c>
      <c r="HI107">
        <v>9999</v>
      </c>
      <c r="HJ107">
        <v>9999</v>
      </c>
      <c r="HK107">
        <v>999.9</v>
      </c>
      <c r="HL107">
        <v>1.8702700000000001</v>
      </c>
      <c r="HM107">
        <v>1.87653</v>
      </c>
      <c r="HN107">
        <v>1.8742399999999999</v>
      </c>
      <c r="HO107">
        <v>1.8725499999999999</v>
      </c>
      <c r="HP107">
        <v>1.8730199999999999</v>
      </c>
      <c r="HQ107">
        <v>1.87042</v>
      </c>
      <c r="HR107">
        <v>1.8763399999999999</v>
      </c>
      <c r="HS107">
        <v>1.8754200000000001</v>
      </c>
      <c r="HT107">
        <v>5</v>
      </c>
      <c r="HU107">
        <v>0</v>
      </c>
      <c r="HV107">
        <v>0</v>
      </c>
      <c r="HW107">
        <v>0</v>
      </c>
      <c r="HX107" t="s">
        <v>421</v>
      </c>
      <c r="HY107" t="s">
        <v>422</v>
      </c>
      <c r="HZ107" t="s">
        <v>423</v>
      </c>
      <c r="IA107" t="s">
        <v>424</v>
      </c>
      <c r="IB107" t="s">
        <v>424</v>
      </c>
      <c r="IC107" t="s">
        <v>423</v>
      </c>
      <c r="ID107">
        <v>0</v>
      </c>
      <c r="IE107">
        <v>100</v>
      </c>
      <c r="IF107">
        <v>100</v>
      </c>
      <c r="IG107">
        <v>-2.3540000000000001</v>
      </c>
      <c r="IH107">
        <v>0.37280000000000002</v>
      </c>
      <c r="II107">
        <v>-2.3303214174141682</v>
      </c>
      <c r="IJ107">
        <v>-2.536945948238235E-3</v>
      </c>
      <c r="IK107">
        <v>1.581473279927893E-6</v>
      </c>
      <c r="IL107">
        <v>-4.6698293441882044E-10</v>
      </c>
      <c r="IM107">
        <v>-0.1409610761139887</v>
      </c>
      <c r="IN107">
        <v>-1.5895243091576399E-2</v>
      </c>
      <c r="IO107">
        <v>1.559614309849521E-3</v>
      </c>
      <c r="IP107">
        <v>-2.4566050869858518E-6</v>
      </c>
      <c r="IQ107">
        <v>2</v>
      </c>
      <c r="IR107">
        <v>2224</v>
      </c>
      <c r="IS107">
        <v>2</v>
      </c>
      <c r="IT107">
        <v>25</v>
      </c>
      <c r="IU107">
        <v>0.7</v>
      </c>
      <c r="IV107">
        <v>0.6</v>
      </c>
      <c r="IW107">
        <v>0.17333999999999999</v>
      </c>
      <c r="IX107">
        <v>2.5598100000000001</v>
      </c>
      <c r="IY107">
        <v>1.65039</v>
      </c>
      <c r="IZ107">
        <v>2.2900399999999999</v>
      </c>
      <c r="JA107">
        <v>1.50024</v>
      </c>
      <c r="JB107">
        <v>2.3791500000000001</v>
      </c>
      <c r="JC107">
        <v>38.305599999999998</v>
      </c>
      <c r="JD107">
        <v>23.868600000000001</v>
      </c>
      <c r="JE107">
        <v>18</v>
      </c>
      <c r="JF107">
        <v>507.41899999999998</v>
      </c>
      <c r="JG107">
        <v>455.16399999999999</v>
      </c>
      <c r="JH107">
        <v>24.713799999999999</v>
      </c>
      <c r="JI107">
        <v>32.895000000000003</v>
      </c>
      <c r="JJ107">
        <v>30.0001</v>
      </c>
      <c r="JK107">
        <v>32.9</v>
      </c>
      <c r="JL107">
        <v>32.8748</v>
      </c>
      <c r="JM107">
        <v>3.5282900000000001</v>
      </c>
      <c r="JN107">
        <v>41.793599999999998</v>
      </c>
      <c r="JO107">
        <v>36.289000000000001</v>
      </c>
      <c r="JP107">
        <v>24.714600000000001</v>
      </c>
      <c r="JQ107">
        <v>10</v>
      </c>
      <c r="JR107">
        <v>15.409800000000001</v>
      </c>
      <c r="JS107">
        <v>99.801199999999994</v>
      </c>
      <c r="JT107">
        <v>98.982100000000003</v>
      </c>
    </row>
    <row r="108" spans="1:280" x14ac:dyDescent="0.25">
      <c r="A108">
        <v>92</v>
      </c>
      <c r="B108">
        <v>1674597019.5</v>
      </c>
      <c r="C108">
        <v>22884.900000095371</v>
      </c>
      <c r="D108" t="s">
        <v>885</v>
      </c>
      <c r="E108" t="s">
        <v>886</v>
      </c>
      <c r="F108" t="s">
        <v>412</v>
      </c>
      <c r="G108" t="s">
        <v>851</v>
      </c>
      <c r="H108" t="s">
        <v>566</v>
      </c>
      <c r="I108">
        <v>1674597019.5</v>
      </c>
      <c r="J108">
        <f t="shared" si="92"/>
        <v>7.4950853869366046E-3</v>
      </c>
      <c r="K108">
        <f t="shared" si="93"/>
        <v>7.495085386936605</v>
      </c>
      <c r="L108">
        <f t="shared" si="94"/>
        <v>44.064233266552264</v>
      </c>
      <c r="M108">
        <f t="shared" si="95"/>
        <v>344.00400000000002</v>
      </c>
      <c r="N108">
        <f t="shared" si="96"/>
        <v>216.29975919761134</v>
      </c>
      <c r="O108">
        <f t="shared" si="97"/>
        <v>21.550272486693441</v>
      </c>
      <c r="P108">
        <f t="shared" si="98"/>
        <v>34.273639342056001</v>
      </c>
      <c r="Q108">
        <f t="shared" si="99"/>
        <v>0.63799513581835932</v>
      </c>
      <c r="R108">
        <f t="shared" si="100"/>
        <v>2.9221936754259672</v>
      </c>
      <c r="S108">
        <f t="shared" si="101"/>
        <v>0.5695265514357597</v>
      </c>
      <c r="T108">
        <f t="shared" si="102"/>
        <v>0.36149148403686049</v>
      </c>
      <c r="U108">
        <f t="shared" si="103"/>
        <v>344.38781176444485</v>
      </c>
      <c r="V108">
        <f t="shared" si="104"/>
        <v>28.076938013487972</v>
      </c>
      <c r="W108">
        <f t="shared" si="105"/>
        <v>27.6934</v>
      </c>
      <c r="X108">
        <f t="shared" si="106"/>
        <v>3.7275382908353007</v>
      </c>
      <c r="Y108">
        <f t="shared" si="107"/>
        <v>64.765965648916108</v>
      </c>
      <c r="Z108">
        <f t="shared" si="108"/>
        <v>2.457062582511</v>
      </c>
      <c r="AA108">
        <f t="shared" si="109"/>
        <v>3.7937558066072321</v>
      </c>
      <c r="AB108">
        <f t="shared" si="110"/>
        <v>1.2704757083243008</v>
      </c>
      <c r="AC108">
        <f t="shared" si="111"/>
        <v>-330.53326556390425</v>
      </c>
      <c r="AD108">
        <f t="shared" si="112"/>
        <v>47.530211848099739</v>
      </c>
      <c r="AE108">
        <f t="shared" si="113"/>
        <v>3.5399507215907167</v>
      </c>
      <c r="AF108">
        <f t="shared" si="114"/>
        <v>64.924708770231078</v>
      </c>
      <c r="AG108">
        <v>0</v>
      </c>
      <c r="AH108">
        <v>0</v>
      </c>
      <c r="AI108">
        <f t="shared" si="115"/>
        <v>1</v>
      </c>
      <c r="AJ108">
        <f t="shared" si="116"/>
        <v>0</v>
      </c>
      <c r="AK108">
        <f t="shared" si="117"/>
        <v>52480.601029929509</v>
      </c>
      <c r="AL108" t="s">
        <v>415</v>
      </c>
      <c r="AM108">
        <v>10424.1</v>
      </c>
      <c r="AN108">
        <v>628.54280000000006</v>
      </c>
      <c r="AO108">
        <v>2663.98</v>
      </c>
      <c r="AP108">
        <f t="shared" si="118"/>
        <v>0.76405873917972356</v>
      </c>
      <c r="AQ108">
        <v>-3.1675626227050531</v>
      </c>
      <c r="AR108" t="s">
        <v>887</v>
      </c>
      <c r="AS108">
        <v>10192.9</v>
      </c>
      <c r="AT108">
        <v>741.44257692307679</v>
      </c>
      <c r="AU108">
        <v>1028.370506967143</v>
      </c>
      <c r="AV108">
        <f t="shared" si="119"/>
        <v>0.27901221213575089</v>
      </c>
      <c r="AW108">
        <v>0.5</v>
      </c>
      <c r="AX108">
        <f t="shared" si="120"/>
        <v>1513.2684058822224</v>
      </c>
      <c r="AY108">
        <f t="shared" si="121"/>
        <v>44.064233266552264</v>
      </c>
      <c r="AZ108">
        <f t="shared" si="122"/>
        <v>211.1101827401701</v>
      </c>
      <c r="BA108">
        <f t="shared" si="123"/>
        <v>3.1211776909940567E-2</v>
      </c>
      <c r="BB108">
        <f t="shared" si="124"/>
        <v>1.5904865823666758</v>
      </c>
      <c r="BC108">
        <f t="shared" si="125"/>
        <v>457.03514664931197</v>
      </c>
      <c r="BD108" t="s">
        <v>888</v>
      </c>
      <c r="BE108">
        <v>556.13</v>
      </c>
      <c r="BF108">
        <f t="shared" si="126"/>
        <v>556.13</v>
      </c>
      <c r="BG108">
        <f t="shared" si="127"/>
        <v>0.45921241786665834</v>
      </c>
      <c r="BH108">
        <f t="shared" si="128"/>
        <v>0.60758856093645042</v>
      </c>
      <c r="BI108">
        <f t="shared" si="129"/>
        <v>0.77596104705403945</v>
      </c>
      <c r="BJ108">
        <f t="shared" si="130"/>
        <v>0.71762893127275296</v>
      </c>
      <c r="BK108">
        <f t="shared" si="131"/>
        <v>0.80356667011532323</v>
      </c>
      <c r="BL108">
        <f t="shared" si="132"/>
        <v>0.4557308103290168</v>
      </c>
      <c r="BM108">
        <f t="shared" si="133"/>
        <v>0.54426918967098326</v>
      </c>
      <c r="BN108">
        <v>20347</v>
      </c>
      <c r="BO108">
        <v>290.00000000000011</v>
      </c>
      <c r="BP108">
        <v>968.97</v>
      </c>
      <c r="BQ108">
        <v>285</v>
      </c>
      <c r="BR108">
        <v>10192.9</v>
      </c>
      <c r="BS108">
        <v>970.42</v>
      </c>
      <c r="BT108">
        <v>-1.45</v>
      </c>
      <c r="BU108">
        <v>300.00000000000011</v>
      </c>
      <c r="BV108">
        <v>24.2</v>
      </c>
      <c r="BW108">
        <v>1028.370506967143</v>
      </c>
      <c r="BX108">
        <v>2.2294488867931319</v>
      </c>
      <c r="BY108">
        <v>-59.070315918123811</v>
      </c>
      <c r="BZ108">
        <v>2.0243857816270481</v>
      </c>
      <c r="CA108">
        <v>0.9681614140689575</v>
      </c>
      <c r="CB108">
        <v>-6.9471194660734219E-3</v>
      </c>
      <c r="CC108">
        <v>289.99999999999989</v>
      </c>
      <c r="CD108">
        <v>972.45</v>
      </c>
      <c r="CE108">
        <v>655</v>
      </c>
      <c r="CF108">
        <v>10173.799999999999</v>
      </c>
      <c r="CG108">
        <v>970.31</v>
      </c>
      <c r="CH108">
        <v>2.14</v>
      </c>
      <c r="CV108">
        <f t="shared" si="134"/>
        <v>1800.1</v>
      </c>
      <c r="CW108">
        <f t="shared" si="135"/>
        <v>1513.2684058822224</v>
      </c>
      <c r="CX108">
        <f t="shared" si="136"/>
        <v>0.84065796671419502</v>
      </c>
      <c r="CY108">
        <f t="shared" si="137"/>
        <v>0.19131593342839001</v>
      </c>
      <c r="CZ108">
        <v>6</v>
      </c>
      <c r="DA108">
        <v>0.5</v>
      </c>
      <c r="DB108" t="s">
        <v>418</v>
      </c>
      <c r="DC108">
        <v>2</v>
      </c>
      <c r="DD108">
        <v>1674597019.5</v>
      </c>
      <c r="DE108">
        <v>344.00400000000002</v>
      </c>
      <c r="DF108">
        <v>399.96300000000002</v>
      </c>
      <c r="DG108">
        <v>24.6615</v>
      </c>
      <c r="DH108">
        <v>15.8911</v>
      </c>
      <c r="DI108">
        <v>347.125</v>
      </c>
      <c r="DJ108">
        <v>24.301500000000001</v>
      </c>
      <c r="DK108">
        <v>500.108</v>
      </c>
      <c r="DL108">
        <v>99.531499999999994</v>
      </c>
      <c r="DM108">
        <v>0.10001400000000001</v>
      </c>
      <c r="DN108">
        <v>27.995100000000001</v>
      </c>
      <c r="DO108">
        <v>27.6934</v>
      </c>
      <c r="DP108">
        <v>999.9</v>
      </c>
      <c r="DQ108">
        <v>0</v>
      </c>
      <c r="DR108">
        <v>0</v>
      </c>
      <c r="DS108">
        <v>10005</v>
      </c>
      <c r="DT108">
        <v>0</v>
      </c>
      <c r="DU108">
        <v>345.149</v>
      </c>
      <c r="DV108">
        <v>-55.958300000000001</v>
      </c>
      <c r="DW108">
        <v>352.70299999999997</v>
      </c>
      <c r="DX108">
        <v>406.42099999999999</v>
      </c>
      <c r="DY108">
        <v>8.7704400000000007</v>
      </c>
      <c r="DZ108">
        <v>399.96300000000002</v>
      </c>
      <c r="EA108">
        <v>15.8911</v>
      </c>
      <c r="EB108">
        <v>2.4546000000000001</v>
      </c>
      <c r="EC108">
        <v>1.5816600000000001</v>
      </c>
      <c r="ED108">
        <v>20.7286</v>
      </c>
      <c r="EE108">
        <v>13.7813</v>
      </c>
      <c r="EF108">
        <v>1800.1</v>
      </c>
      <c r="EG108">
        <v>0.97800399999999998</v>
      </c>
      <c r="EH108">
        <v>2.1996000000000002E-2</v>
      </c>
      <c r="EI108">
        <v>0</v>
      </c>
      <c r="EJ108">
        <v>740.41499999999996</v>
      </c>
      <c r="EK108">
        <v>5.0010599999999998</v>
      </c>
      <c r="EL108">
        <v>13741.2</v>
      </c>
      <c r="EM108">
        <v>16712</v>
      </c>
      <c r="EN108">
        <v>48.686999999999998</v>
      </c>
      <c r="EO108">
        <v>49.5</v>
      </c>
      <c r="EP108">
        <v>49.686999999999998</v>
      </c>
      <c r="EQ108">
        <v>48.186999999999998</v>
      </c>
      <c r="ER108">
        <v>49.561999999999998</v>
      </c>
      <c r="ES108">
        <v>1755.61</v>
      </c>
      <c r="ET108">
        <v>39.479999999999997</v>
      </c>
      <c r="EU108">
        <v>0</v>
      </c>
      <c r="EV108">
        <v>187.39999985694891</v>
      </c>
      <c r="EW108">
        <v>0</v>
      </c>
      <c r="EX108">
        <v>741.44257692307679</v>
      </c>
      <c r="EY108">
        <v>-6.114427360815057</v>
      </c>
      <c r="EZ108">
        <v>-106.1401709856048</v>
      </c>
      <c r="FA108">
        <v>13753.47692307692</v>
      </c>
      <c r="FB108">
        <v>15</v>
      </c>
      <c r="FC108">
        <v>1674596919</v>
      </c>
      <c r="FD108" t="s">
        <v>889</v>
      </c>
      <c r="FE108">
        <v>1674596906</v>
      </c>
      <c r="FF108">
        <v>1674596919</v>
      </c>
      <c r="FG108">
        <v>103</v>
      </c>
      <c r="FH108">
        <v>-8.1000000000000003E-2</v>
      </c>
      <c r="FI108">
        <v>2E-3</v>
      </c>
      <c r="FJ108">
        <v>-3.2080000000000002</v>
      </c>
      <c r="FK108">
        <v>-2.4E-2</v>
      </c>
      <c r="FL108">
        <v>400</v>
      </c>
      <c r="FM108">
        <v>15</v>
      </c>
      <c r="FN108">
        <v>0.06</v>
      </c>
      <c r="FO108">
        <v>0.01</v>
      </c>
      <c r="FP108">
        <v>43.156639257295652</v>
      </c>
      <c r="FQ108">
        <v>4.9846486842466291</v>
      </c>
      <c r="FR108">
        <v>0.48021411448244827</v>
      </c>
      <c r="FS108">
        <v>0</v>
      </c>
      <c r="FT108">
        <v>0.645038683835641</v>
      </c>
      <c r="FU108">
        <v>-9.4101090588432409E-3</v>
      </c>
      <c r="FV108">
        <v>1.454013541429808E-3</v>
      </c>
      <c r="FW108">
        <v>1</v>
      </c>
      <c r="FX108">
        <v>1</v>
      </c>
      <c r="FY108">
        <v>2</v>
      </c>
      <c r="FZ108" t="s">
        <v>676</v>
      </c>
      <c r="GA108">
        <v>2.9774699999999998</v>
      </c>
      <c r="GB108">
        <v>2.8063899999999999</v>
      </c>
      <c r="GC108">
        <v>8.6923100000000003E-2</v>
      </c>
      <c r="GD108">
        <v>9.5979499999999995E-2</v>
      </c>
      <c r="GE108">
        <v>0.12082900000000001</v>
      </c>
      <c r="GF108">
        <v>8.8718500000000006E-2</v>
      </c>
      <c r="GG108">
        <v>26961.3</v>
      </c>
      <c r="GH108">
        <v>24750.9</v>
      </c>
      <c r="GI108">
        <v>26545.9</v>
      </c>
      <c r="GJ108">
        <v>25859.7</v>
      </c>
      <c r="GK108">
        <v>31755.599999999999</v>
      </c>
      <c r="GL108">
        <v>33262.800000000003</v>
      </c>
      <c r="GM108">
        <v>37606.6</v>
      </c>
      <c r="GN108">
        <v>38368.9</v>
      </c>
      <c r="GO108">
        <v>1.9694499999999999</v>
      </c>
      <c r="GP108">
        <v>1.9024700000000001</v>
      </c>
      <c r="GQ108">
        <v>4.5336799999999997E-2</v>
      </c>
      <c r="GR108">
        <v>0</v>
      </c>
      <c r="GS108">
        <v>26.952300000000001</v>
      </c>
      <c r="GT108">
        <v>999.9</v>
      </c>
      <c r="GU108">
        <v>38.299999999999997</v>
      </c>
      <c r="GV108">
        <v>34.4</v>
      </c>
      <c r="GW108">
        <v>21.0229</v>
      </c>
      <c r="GX108">
        <v>62.0747</v>
      </c>
      <c r="GY108">
        <v>12.1234</v>
      </c>
      <c r="GZ108">
        <v>1</v>
      </c>
      <c r="HA108">
        <v>0.44822200000000001</v>
      </c>
      <c r="HB108">
        <v>2.4039600000000001</v>
      </c>
      <c r="HC108">
        <v>20.238</v>
      </c>
      <c r="HD108">
        <v>5.2072599999999998</v>
      </c>
      <c r="HE108">
        <v>11.9381</v>
      </c>
      <c r="HF108">
        <v>4.9865500000000003</v>
      </c>
      <c r="HG108">
        <v>3.2904300000000002</v>
      </c>
      <c r="HH108">
        <v>9999</v>
      </c>
      <c r="HI108">
        <v>9999</v>
      </c>
      <c r="HJ108">
        <v>9999</v>
      </c>
      <c r="HK108">
        <v>999.9</v>
      </c>
      <c r="HL108">
        <v>1.8702700000000001</v>
      </c>
      <c r="HM108">
        <v>1.87653</v>
      </c>
      <c r="HN108">
        <v>1.8742399999999999</v>
      </c>
      <c r="HO108">
        <v>1.87256</v>
      </c>
      <c r="HP108">
        <v>1.8730199999999999</v>
      </c>
      <c r="HQ108">
        <v>1.87042</v>
      </c>
      <c r="HR108">
        <v>1.8763399999999999</v>
      </c>
      <c r="HS108">
        <v>1.8753599999999999</v>
      </c>
      <c r="HT108">
        <v>5</v>
      </c>
      <c r="HU108">
        <v>0</v>
      </c>
      <c r="HV108">
        <v>0</v>
      </c>
      <c r="HW108">
        <v>0</v>
      </c>
      <c r="HX108" t="s">
        <v>421</v>
      </c>
      <c r="HY108" t="s">
        <v>422</v>
      </c>
      <c r="HZ108" t="s">
        <v>423</v>
      </c>
      <c r="IA108" t="s">
        <v>424</v>
      </c>
      <c r="IB108" t="s">
        <v>424</v>
      </c>
      <c r="IC108" t="s">
        <v>423</v>
      </c>
      <c r="ID108">
        <v>0</v>
      </c>
      <c r="IE108">
        <v>100</v>
      </c>
      <c r="IF108">
        <v>100</v>
      </c>
      <c r="IG108">
        <v>-3.121</v>
      </c>
      <c r="IH108">
        <v>0.36</v>
      </c>
      <c r="II108">
        <v>-2.4112007884628168</v>
      </c>
      <c r="IJ108">
        <v>-2.536945948238235E-3</v>
      </c>
      <c r="IK108">
        <v>1.581473279927893E-6</v>
      </c>
      <c r="IL108">
        <v>-4.6698293441882044E-10</v>
      </c>
      <c r="IM108">
        <v>-0.13944988499074551</v>
      </c>
      <c r="IN108">
        <v>-1.5895243091576399E-2</v>
      </c>
      <c r="IO108">
        <v>1.559614309849521E-3</v>
      </c>
      <c r="IP108">
        <v>-2.4566050869858518E-6</v>
      </c>
      <c r="IQ108">
        <v>2</v>
      </c>
      <c r="IR108">
        <v>2224</v>
      </c>
      <c r="IS108">
        <v>2</v>
      </c>
      <c r="IT108">
        <v>25</v>
      </c>
      <c r="IU108">
        <v>1.9</v>
      </c>
      <c r="IV108">
        <v>1.7</v>
      </c>
      <c r="IW108">
        <v>0.93627899999999997</v>
      </c>
      <c r="IX108">
        <v>2.50366</v>
      </c>
      <c r="IY108">
        <v>1.65039</v>
      </c>
      <c r="IZ108">
        <v>2.2900399999999999</v>
      </c>
      <c r="JA108">
        <v>1.50024</v>
      </c>
      <c r="JB108">
        <v>2.4121100000000002</v>
      </c>
      <c r="JC108">
        <v>38.281199999999998</v>
      </c>
      <c r="JD108">
        <v>23.877400000000002</v>
      </c>
      <c r="JE108">
        <v>18</v>
      </c>
      <c r="JF108">
        <v>507.50599999999997</v>
      </c>
      <c r="JG108">
        <v>456.95499999999998</v>
      </c>
      <c r="JH108">
        <v>24.898599999999998</v>
      </c>
      <c r="JI108">
        <v>32.8628</v>
      </c>
      <c r="JJ108">
        <v>30</v>
      </c>
      <c r="JK108">
        <v>32.882300000000001</v>
      </c>
      <c r="JL108">
        <v>32.860100000000003</v>
      </c>
      <c r="JM108">
        <v>18.768899999999999</v>
      </c>
      <c r="JN108">
        <v>37.767200000000003</v>
      </c>
      <c r="JO108">
        <v>34.005000000000003</v>
      </c>
      <c r="JP108">
        <v>24.899699999999999</v>
      </c>
      <c r="JQ108">
        <v>400</v>
      </c>
      <c r="JR108">
        <v>15.956099999999999</v>
      </c>
      <c r="JS108">
        <v>99.806899999999999</v>
      </c>
      <c r="JT108">
        <v>98.988699999999994</v>
      </c>
    </row>
    <row r="109" spans="1:280" x14ac:dyDescent="0.25">
      <c r="A109">
        <v>93</v>
      </c>
      <c r="B109">
        <v>1674597209</v>
      </c>
      <c r="C109">
        <v>23074.400000095371</v>
      </c>
      <c r="D109" t="s">
        <v>890</v>
      </c>
      <c r="E109" t="s">
        <v>891</v>
      </c>
      <c r="F109" t="s">
        <v>412</v>
      </c>
      <c r="G109" t="s">
        <v>851</v>
      </c>
      <c r="H109" t="s">
        <v>566</v>
      </c>
      <c r="I109">
        <v>1674597209</v>
      </c>
      <c r="J109">
        <f t="shared" si="92"/>
        <v>7.0641510476730091E-3</v>
      </c>
      <c r="K109">
        <f t="shared" si="93"/>
        <v>7.0641510476730094</v>
      </c>
      <c r="L109">
        <f t="shared" si="94"/>
        <v>50.432576025274983</v>
      </c>
      <c r="M109">
        <f t="shared" si="95"/>
        <v>336.62700000000001</v>
      </c>
      <c r="N109">
        <f t="shared" si="96"/>
        <v>181.15845862664557</v>
      </c>
      <c r="O109">
        <f t="shared" si="97"/>
        <v>18.048878645690174</v>
      </c>
      <c r="P109">
        <f t="shared" si="98"/>
        <v>33.538262126552993</v>
      </c>
      <c r="Q109">
        <f t="shared" si="99"/>
        <v>0.58911273879813542</v>
      </c>
      <c r="R109">
        <f t="shared" si="100"/>
        <v>2.919104759113694</v>
      </c>
      <c r="S109">
        <f t="shared" si="101"/>
        <v>0.53016126368839689</v>
      </c>
      <c r="T109">
        <f t="shared" si="102"/>
        <v>0.33615439437862793</v>
      </c>
      <c r="U109">
        <f t="shared" si="103"/>
        <v>344.39029860477279</v>
      </c>
      <c r="V109">
        <f t="shared" si="104"/>
        <v>28.204598537878709</v>
      </c>
      <c r="W109">
        <f t="shared" si="105"/>
        <v>27.7958</v>
      </c>
      <c r="X109">
        <f t="shared" si="106"/>
        <v>3.7498992075433359</v>
      </c>
      <c r="Y109">
        <f t="shared" si="107"/>
        <v>64.885211063252243</v>
      </c>
      <c r="Z109">
        <f t="shared" si="108"/>
        <v>2.4637686161648999</v>
      </c>
      <c r="AA109">
        <f t="shared" si="109"/>
        <v>3.79711890551321</v>
      </c>
      <c r="AB109">
        <f t="shared" si="110"/>
        <v>1.286130591378436</v>
      </c>
      <c r="AC109">
        <f t="shared" si="111"/>
        <v>-311.52906120237969</v>
      </c>
      <c r="AD109">
        <f t="shared" si="112"/>
        <v>33.756889403381052</v>
      </c>
      <c r="AE109">
        <f t="shared" si="113"/>
        <v>2.5182785853037424</v>
      </c>
      <c r="AF109">
        <f t="shared" si="114"/>
        <v>69.136405391077886</v>
      </c>
      <c r="AG109">
        <v>0</v>
      </c>
      <c r="AH109">
        <v>0</v>
      </c>
      <c r="AI109">
        <f t="shared" si="115"/>
        <v>1</v>
      </c>
      <c r="AJ109">
        <f t="shared" si="116"/>
        <v>0</v>
      </c>
      <c r="AK109">
        <f t="shared" si="117"/>
        <v>52389.216430885528</v>
      </c>
      <c r="AL109" t="s">
        <v>415</v>
      </c>
      <c r="AM109">
        <v>10424.1</v>
      </c>
      <c r="AN109">
        <v>628.54280000000006</v>
      </c>
      <c r="AO109">
        <v>2663.98</v>
      </c>
      <c r="AP109">
        <f t="shared" si="118"/>
        <v>0.76405873917972356</v>
      </c>
      <c r="AQ109">
        <v>-3.1675626227050531</v>
      </c>
      <c r="AR109" t="s">
        <v>892</v>
      </c>
      <c r="AS109">
        <v>10193.700000000001</v>
      </c>
      <c r="AT109">
        <v>745.19972000000007</v>
      </c>
      <c r="AU109">
        <v>1103.032595658151</v>
      </c>
      <c r="AV109">
        <f t="shared" si="119"/>
        <v>0.3244082514575567</v>
      </c>
      <c r="AW109">
        <v>0.5</v>
      </c>
      <c r="AX109">
        <f t="shared" si="120"/>
        <v>1513.2770993023862</v>
      </c>
      <c r="AY109">
        <f t="shared" si="121"/>
        <v>50.432576025274983</v>
      </c>
      <c r="AZ109">
        <f t="shared" si="122"/>
        <v>245.45978887772526</v>
      </c>
      <c r="BA109">
        <f t="shared" si="123"/>
        <v>3.5419909990503033E-2</v>
      </c>
      <c r="BB109">
        <f t="shared" si="124"/>
        <v>1.4151416834698998</v>
      </c>
      <c r="BC109">
        <f t="shared" si="125"/>
        <v>471.21025908707014</v>
      </c>
      <c r="BD109" t="s">
        <v>893</v>
      </c>
      <c r="BE109">
        <v>565.03</v>
      </c>
      <c r="BF109">
        <f t="shared" si="126"/>
        <v>565.03</v>
      </c>
      <c r="BG109">
        <f t="shared" si="127"/>
        <v>0.48774859217749478</v>
      </c>
      <c r="BH109">
        <f t="shared" si="128"/>
        <v>0.66511366031683483</v>
      </c>
      <c r="BI109">
        <f t="shared" si="129"/>
        <v>0.74368012784575588</v>
      </c>
      <c r="BJ109">
        <f t="shared" si="130"/>
        <v>0.7541424050264588</v>
      </c>
      <c r="BK109">
        <f t="shared" si="131"/>
        <v>0.76688556362330862</v>
      </c>
      <c r="BL109">
        <f t="shared" si="132"/>
        <v>0.50430664612812937</v>
      </c>
      <c r="BM109">
        <f t="shared" si="133"/>
        <v>0.49569335387187063</v>
      </c>
      <c r="BN109">
        <v>20349</v>
      </c>
      <c r="BO109">
        <v>290.00000000000011</v>
      </c>
      <c r="BP109">
        <v>1031.99</v>
      </c>
      <c r="BQ109">
        <v>295</v>
      </c>
      <c r="BR109">
        <v>10193.700000000001</v>
      </c>
      <c r="BS109">
        <v>1032.01</v>
      </c>
      <c r="BT109">
        <v>-0.02</v>
      </c>
      <c r="BU109">
        <v>300.00000000000011</v>
      </c>
      <c r="BV109">
        <v>24.2</v>
      </c>
      <c r="BW109">
        <v>1103.032595658151</v>
      </c>
      <c r="BX109">
        <v>2.5410322988358849</v>
      </c>
      <c r="BY109">
        <v>-72.399984193018511</v>
      </c>
      <c r="BZ109">
        <v>2.307494599775886</v>
      </c>
      <c r="CA109">
        <v>0.97234443049806829</v>
      </c>
      <c r="CB109">
        <v>-6.9477733036707508E-3</v>
      </c>
      <c r="CC109">
        <v>289.99999999999989</v>
      </c>
      <c r="CD109">
        <v>1035.3599999999999</v>
      </c>
      <c r="CE109">
        <v>645</v>
      </c>
      <c r="CF109">
        <v>10175.4</v>
      </c>
      <c r="CG109">
        <v>1031.8800000000001</v>
      </c>
      <c r="CH109">
        <v>3.48</v>
      </c>
      <c r="CV109">
        <f t="shared" si="134"/>
        <v>1800.11</v>
      </c>
      <c r="CW109">
        <f t="shared" si="135"/>
        <v>1513.2770993023862</v>
      </c>
      <c r="CX109">
        <f t="shared" si="136"/>
        <v>0.84065812606028867</v>
      </c>
      <c r="CY109">
        <f t="shared" si="137"/>
        <v>0.19131625212057751</v>
      </c>
      <c r="CZ109">
        <v>6</v>
      </c>
      <c r="DA109">
        <v>0.5</v>
      </c>
      <c r="DB109" t="s">
        <v>418</v>
      </c>
      <c r="DC109">
        <v>2</v>
      </c>
      <c r="DD109">
        <v>1674597209</v>
      </c>
      <c r="DE109">
        <v>336.62700000000001</v>
      </c>
      <c r="DF109">
        <v>399.98700000000002</v>
      </c>
      <c r="DG109">
        <v>24.729099999999999</v>
      </c>
      <c r="DH109">
        <v>16.4634</v>
      </c>
      <c r="DI109">
        <v>339.84899999999999</v>
      </c>
      <c r="DJ109">
        <v>24.369800000000001</v>
      </c>
      <c r="DK109">
        <v>500.1</v>
      </c>
      <c r="DL109">
        <v>99.530199999999994</v>
      </c>
      <c r="DM109">
        <v>0.10013900000000001</v>
      </c>
      <c r="DN109">
        <v>28.010300000000001</v>
      </c>
      <c r="DO109">
        <v>27.7958</v>
      </c>
      <c r="DP109">
        <v>999.9</v>
      </c>
      <c r="DQ109">
        <v>0</v>
      </c>
      <c r="DR109">
        <v>0</v>
      </c>
      <c r="DS109">
        <v>9987.5</v>
      </c>
      <c r="DT109">
        <v>0</v>
      </c>
      <c r="DU109">
        <v>338.72300000000001</v>
      </c>
      <c r="DV109">
        <v>-63.359699999999997</v>
      </c>
      <c r="DW109">
        <v>345.16300000000001</v>
      </c>
      <c r="DX109">
        <v>406.68200000000002</v>
      </c>
      <c r="DY109">
        <v>8.2657399999999992</v>
      </c>
      <c r="DZ109">
        <v>399.98700000000002</v>
      </c>
      <c r="EA109">
        <v>16.4634</v>
      </c>
      <c r="EB109">
        <v>2.46129</v>
      </c>
      <c r="EC109">
        <v>1.6386000000000001</v>
      </c>
      <c r="ED109">
        <v>20.7728</v>
      </c>
      <c r="EE109">
        <v>14.326700000000001</v>
      </c>
      <c r="EF109">
        <v>1800.11</v>
      </c>
      <c r="EG109">
        <v>0.97800399999999998</v>
      </c>
      <c r="EH109">
        <v>2.1996000000000002E-2</v>
      </c>
      <c r="EI109">
        <v>0</v>
      </c>
      <c r="EJ109">
        <v>746.09299999999996</v>
      </c>
      <c r="EK109">
        <v>5.0010599999999998</v>
      </c>
      <c r="EL109">
        <v>13830</v>
      </c>
      <c r="EM109">
        <v>16712.099999999999</v>
      </c>
      <c r="EN109">
        <v>48.686999999999998</v>
      </c>
      <c r="EO109">
        <v>49.436999999999998</v>
      </c>
      <c r="EP109">
        <v>49.625</v>
      </c>
      <c r="EQ109">
        <v>48.186999999999998</v>
      </c>
      <c r="ER109">
        <v>49.5</v>
      </c>
      <c r="ES109">
        <v>1755.62</v>
      </c>
      <c r="ET109">
        <v>39.49</v>
      </c>
      <c r="EU109">
        <v>0</v>
      </c>
      <c r="EV109">
        <v>187.4000000953674</v>
      </c>
      <c r="EW109">
        <v>0</v>
      </c>
      <c r="EX109">
        <v>745.19972000000007</v>
      </c>
      <c r="EY109">
        <v>6.3552307687709577</v>
      </c>
      <c r="EZ109">
        <v>106.7076922823657</v>
      </c>
      <c r="FA109">
        <v>13816.744000000001</v>
      </c>
      <c r="FB109">
        <v>15</v>
      </c>
      <c r="FC109">
        <v>1674597090</v>
      </c>
      <c r="FD109" t="s">
        <v>894</v>
      </c>
      <c r="FE109">
        <v>1674597080.5</v>
      </c>
      <c r="FF109">
        <v>1674597090</v>
      </c>
      <c r="FG109">
        <v>104</v>
      </c>
      <c r="FH109">
        <v>-0.113</v>
      </c>
      <c r="FI109">
        <v>-5.0000000000000001E-3</v>
      </c>
      <c r="FJ109">
        <v>-3.3210000000000002</v>
      </c>
      <c r="FK109">
        <v>-3.0000000000000001E-3</v>
      </c>
      <c r="FL109">
        <v>400</v>
      </c>
      <c r="FM109">
        <v>16</v>
      </c>
      <c r="FN109">
        <v>0.04</v>
      </c>
      <c r="FO109">
        <v>0.01</v>
      </c>
      <c r="FP109">
        <v>50.240345809104852</v>
      </c>
      <c r="FQ109">
        <v>1.0277214715369529</v>
      </c>
      <c r="FR109">
        <v>0.1131932811191107</v>
      </c>
      <c r="FS109">
        <v>0</v>
      </c>
      <c r="FT109">
        <v>0.59352595010045883</v>
      </c>
      <c r="FU109">
        <v>-1.320073023617834E-2</v>
      </c>
      <c r="FV109">
        <v>1.349873869131456E-3</v>
      </c>
      <c r="FW109">
        <v>1</v>
      </c>
      <c r="FX109">
        <v>1</v>
      </c>
      <c r="FY109">
        <v>2</v>
      </c>
      <c r="FZ109" t="s">
        <v>676</v>
      </c>
      <c r="GA109">
        <v>2.97749</v>
      </c>
      <c r="GB109">
        <v>2.8063600000000002</v>
      </c>
      <c r="GC109">
        <v>8.5476800000000006E-2</v>
      </c>
      <c r="GD109">
        <v>9.6000000000000002E-2</v>
      </c>
      <c r="GE109">
        <v>0.12107999999999999</v>
      </c>
      <c r="GF109">
        <v>9.0993400000000002E-2</v>
      </c>
      <c r="GG109">
        <v>27005.7</v>
      </c>
      <c r="GH109">
        <v>24753.200000000001</v>
      </c>
      <c r="GI109">
        <v>26547.3</v>
      </c>
      <c r="GJ109">
        <v>25862.400000000001</v>
      </c>
      <c r="GK109">
        <v>31748.1</v>
      </c>
      <c r="GL109">
        <v>33182.6</v>
      </c>
      <c r="GM109">
        <v>37608.800000000003</v>
      </c>
      <c r="GN109">
        <v>38372.300000000003</v>
      </c>
      <c r="GO109">
        <v>1.97027</v>
      </c>
      <c r="GP109">
        <v>1.90455</v>
      </c>
      <c r="GQ109">
        <v>4.86001E-2</v>
      </c>
      <c r="GR109">
        <v>0</v>
      </c>
      <c r="GS109">
        <v>27.0016</v>
      </c>
      <c r="GT109">
        <v>999.9</v>
      </c>
      <c r="GU109">
        <v>37.9</v>
      </c>
      <c r="GV109">
        <v>34.4</v>
      </c>
      <c r="GW109">
        <v>20.805099999999999</v>
      </c>
      <c r="GX109">
        <v>62.094700000000003</v>
      </c>
      <c r="GY109">
        <v>12.696300000000001</v>
      </c>
      <c r="GZ109">
        <v>1</v>
      </c>
      <c r="HA109">
        <v>0.44354399999999999</v>
      </c>
      <c r="HB109">
        <v>2.68031</v>
      </c>
      <c r="HC109">
        <v>20.233899999999998</v>
      </c>
      <c r="HD109">
        <v>5.2096499999999999</v>
      </c>
      <c r="HE109">
        <v>11.9381</v>
      </c>
      <c r="HF109">
        <v>4.9871499999999997</v>
      </c>
      <c r="HG109">
        <v>3.2902999999999998</v>
      </c>
      <c r="HH109">
        <v>9999</v>
      </c>
      <c r="HI109">
        <v>9999</v>
      </c>
      <c r="HJ109">
        <v>9999</v>
      </c>
      <c r="HK109">
        <v>999.9</v>
      </c>
      <c r="HL109">
        <v>1.8702700000000001</v>
      </c>
      <c r="HM109">
        <v>1.87653</v>
      </c>
      <c r="HN109">
        <v>1.8742399999999999</v>
      </c>
      <c r="HO109">
        <v>1.87256</v>
      </c>
      <c r="HP109">
        <v>1.8730100000000001</v>
      </c>
      <c r="HQ109">
        <v>1.87042</v>
      </c>
      <c r="HR109">
        <v>1.8763399999999999</v>
      </c>
      <c r="HS109">
        <v>1.8754</v>
      </c>
      <c r="HT109">
        <v>5</v>
      </c>
      <c r="HU109">
        <v>0</v>
      </c>
      <c r="HV109">
        <v>0</v>
      </c>
      <c r="HW109">
        <v>0</v>
      </c>
      <c r="HX109" t="s">
        <v>421</v>
      </c>
      <c r="HY109" t="s">
        <v>422</v>
      </c>
      <c r="HZ109" t="s">
        <v>423</v>
      </c>
      <c r="IA109" t="s">
        <v>424</v>
      </c>
      <c r="IB109" t="s">
        <v>424</v>
      </c>
      <c r="IC109" t="s">
        <v>423</v>
      </c>
      <c r="ID109">
        <v>0</v>
      </c>
      <c r="IE109">
        <v>100</v>
      </c>
      <c r="IF109">
        <v>100</v>
      </c>
      <c r="IG109">
        <v>-3.222</v>
      </c>
      <c r="IH109">
        <v>0.35930000000000001</v>
      </c>
      <c r="II109">
        <v>-2.5242056815413298</v>
      </c>
      <c r="IJ109">
        <v>-2.536945948238235E-3</v>
      </c>
      <c r="IK109">
        <v>1.581473279927893E-6</v>
      </c>
      <c r="IL109">
        <v>-4.6698293441882044E-10</v>
      </c>
      <c r="IM109">
        <v>-0.1440130703696258</v>
      </c>
      <c r="IN109">
        <v>-1.5895243091576399E-2</v>
      </c>
      <c r="IO109">
        <v>1.559614309849521E-3</v>
      </c>
      <c r="IP109">
        <v>-2.4566050869858518E-6</v>
      </c>
      <c r="IQ109">
        <v>2</v>
      </c>
      <c r="IR109">
        <v>2224</v>
      </c>
      <c r="IS109">
        <v>2</v>
      </c>
      <c r="IT109">
        <v>25</v>
      </c>
      <c r="IU109">
        <v>2.1</v>
      </c>
      <c r="IV109">
        <v>2</v>
      </c>
      <c r="IW109">
        <v>0.93627899999999997</v>
      </c>
      <c r="IX109">
        <v>2.5109900000000001</v>
      </c>
      <c r="IY109">
        <v>1.65039</v>
      </c>
      <c r="IZ109">
        <v>2.2912599999999999</v>
      </c>
      <c r="JA109">
        <v>1.50024</v>
      </c>
      <c r="JB109">
        <v>2.2985799999999998</v>
      </c>
      <c r="JC109">
        <v>38.232399999999998</v>
      </c>
      <c r="JD109">
        <v>23.8598</v>
      </c>
      <c r="JE109">
        <v>18</v>
      </c>
      <c r="JF109">
        <v>507.59800000000001</v>
      </c>
      <c r="JG109">
        <v>457.93</v>
      </c>
      <c r="JH109">
        <v>24.738700000000001</v>
      </c>
      <c r="JI109">
        <v>32.7928</v>
      </c>
      <c r="JJ109">
        <v>30.0002</v>
      </c>
      <c r="JK109">
        <v>32.8264</v>
      </c>
      <c r="JL109">
        <v>32.810299999999998</v>
      </c>
      <c r="JM109">
        <v>18.775700000000001</v>
      </c>
      <c r="JN109">
        <v>34.047400000000003</v>
      </c>
      <c r="JO109">
        <v>33.234099999999998</v>
      </c>
      <c r="JP109">
        <v>24.7331</v>
      </c>
      <c r="JQ109">
        <v>400</v>
      </c>
      <c r="JR109">
        <v>16.547599999999999</v>
      </c>
      <c r="JS109">
        <v>99.8125</v>
      </c>
      <c r="JT109">
        <v>98.998000000000005</v>
      </c>
    </row>
    <row r="110" spans="1:280" x14ac:dyDescent="0.25">
      <c r="A110">
        <v>94</v>
      </c>
      <c r="B110">
        <v>1674597323.5999999</v>
      </c>
      <c r="C110">
        <v>23189</v>
      </c>
      <c r="D110" t="s">
        <v>895</v>
      </c>
      <c r="E110" t="s">
        <v>896</v>
      </c>
      <c r="F110" t="s">
        <v>412</v>
      </c>
      <c r="G110" t="s">
        <v>851</v>
      </c>
      <c r="H110" t="s">
        <v>566</v>
      </c>
      <c r="I110">
        <v>1674597323.5999999</v>
      </c>
      <c r="J110">
        <f t="shared" si="92"/>
        <v>6.9651449019420822E-3</v>
      </c>
      <c r="K110">
        <f t="shared" si="93"/>
        <v>6.9651449019420824</v>
      </c>
      <c r="L110">
        <f t="shared" si="94"/>
        <v>51.916523483429479</v>
      </c>
      <c r="M110">
        <f t="shared" si="95"/>
        <v>434.10899999999998</v>
      </c>
      <c r="N110">
        <f t="shared" si="96"/>
        <v>271.53600342173621</v>
      </c>
      <c r="O110">
        <f t="shared" si="97"/>
        <v>27.052730283390517</v>
      </c>
      <c r="P110">
        <f t="shared" si="98"/>
        <v>43.249637405734497</v>
      </c>
      <c r="Q110">
        <f t="shared" si="99"/>
        <v>0.58577953091474855</v>
      </c>
      <c r="R110">
        <f t="shared" si="100"/>
        <v>2.9234643330825429</v>
      </c>
      <c r="S110">
        <f t="shared" si="101"/>
        <v>0.52753571220332374</v>
      </c>
      <c r="T110">
        <f t="shared" si="102"/>
        <v>0.33445888602007395</v>
      </c>
      <c r="U110">
        <f t="shared" si="103"/>
        <v>344.37069860504857</v>
      </c>
      <c r="V110">
        <f t="shared" si="104"/>
        <v>28.201197567262689</v>
      </c>
      <c r="W110">
        <f t="shared" si="105"/>
        <v>27.8249</v>
      </c>
      <c r="X110">
        <f t="shared" si="106"/>
        <v>3.7562750438600174</v>
      </c>
      <c r="Y110">
        <f t="shared" si="107"/>
        <v>65.476384292017698</v>
      </c>
      <c r="Z110">
        <f t="shared" si="108"/>
        <v>2.4820453312164998</v>
      </c>
      <c r="AA110">
        <f t="shared" si="109"/>
        <v>3.7907489212398202</v>
      </c>
      <c r="AB110">
        <f t="shared" si="110"/>
        <v>1.2742297126435176</v>
      </c>
      <c r="AC110">
        <f t="shared" si="111"/>
        <v>-307.16289017564583</v>
      </c>
      <c r="AD110">
        <f t="shared" si="112"/>
        <v>24.681696108998029</v>
      </c>
      <c r="AE110">
        <f t="shared" si="113"/>
        <v>1.8385221110976675</v>
      </c>
      <c r="AF110">
        <f t="shared" si="114"/>
        <v>63.72802664949846</v>
      </c>
      <c r="AG110">
        <v>0</v>
      </c>
      <c r="AH110">
        <v>0</v>
      </c>
      <c r="AI110">
        <f t="shared" si="115"/>
        <v>1</v>
      </c>
      <c r="AJ110">
        <f t="shared" si="116"/>
        <v>0</v>
      </c>
      <c r="AK110">
        <f t="shared" si="117"/>
        <v>52519.431618535367</v>
      </c>
      <c r="AL110" t="s">
        <v>415</v>
      </c>
      <c r="AM110">
        <v>10424.1</v>
      </c>
      <c r="AN110">
        <v>628.54280000000006</v>
      </c>
      <c r="AO110">
        <v>2663.98</v>
      </c>
      <c r="AP110">
        <f t="shared" si="118"/>
        <v>0.76405873917972356</v>
      </c>
      <c r="AQ110">
        <v>-3.1675626227050531</v>
      </c>
      <c r="AR110" t="s">
        <v>897</v>
      </c>
      <c r="AS110">
        <v>10193.200000000001</v>
      </c>
      <c r="AT110">
        <v>753.23591999999985</v>
      </c>
      <c r="AU110">
        <v>1141.658504929062</v>
      </c>
      <c r="AV110">
        <f t="shared" si="119"/>
        <v>0.34022659425043844</v>
      </c>
      <c r="AW110">
        <v>0.5</v>
      </c>
      <c r="AX110">
        <f t="shared" si="120"/>
        <v>1513.1927993025242</v>
      </c>
      <c r="AY110">
        <f t="shared" si="121"/>
        <v>51.916523483429479</v>
      </c>
      <c r="AZ110">
        <f t="shared" si="122"/>
        <v>257.41421627549255</v>
      </c>
      <c r="BA110">
        <f t="shared" si="123"/>
        <v>3.6402556324299479E-2</v>
      </c>
      <c r="BB110">
        <f t="shared" si="124"/>
        <v>1.3334298202994852</v>
      </c>
      <c r="BC110">
        <f t="shared" si="125"/>
        <v>478.1207109664532</v>
      </c>
      <c r="BD110" t="s">
        <v>898</v>
      </c>
      <c r="BE110">
        <v>567.11</v>
      </c>
      <c r="BF110">
        <f t="shared" si="126"/>
        <v>567.11</v>
      </c>
      <c r="BG110">
        <f t="shared" si="127"/>
        <v>0.50325776267462929</v>
      </c>
      <c r="BH110">
        <f t="shared" si="128"/>
        <v>0.67604837815567842</v>
      </c>
      <c r="BI110">
        <f t="shared" si="129"/>
        <v>0.72599707901345245</v>
      </c>
      <c r="BJ110">
        <f t="shared" si="130"/>
        <v>0.75698829951572311</v>
      </c>
      <c r="BK110">
        <f t="shared" si="131"/>
        <v>0.74790884978958727</v>
      </c>
      <c r="BL110">
        <f t="shared" si="132"/>
        <v>0.50899563543898285</v>
      </c>
      <c r="BM110">
        <f t="shared" si="133"/>
        <v>0.49100436456101715</v>
      </c>
      <c r="BN110">
        <v>20351</v>
      </c>
      <c r="BO110">
        <v>290.00000000000011</v>
      </c>
      <c r="BP110">
        <v>1052.99</v>
      </c>
      <c r="BQ110">
        <v>285</v>
      </c>
      <c r="BR110">
        <v>10193.200000000001</v>
      </c>
      <c r="BS110">
        <v>1053.8900000000001</v>
      </c>
      <c r="BT110">
        <v>-0.9</v>
      </c>
      <c r="BU110">
        <v>300.00000000000011</v>
      </c>
      <c r="BV110">
        <v>24.2</v>
      </c>
      <c r="BW110">
        <v>1141.658504929062</v>
      </c>
      <c r="BX110">
        <v>2.3256706294900269</v>
      </c>
      <c r="BY110">
        <v>-89.464154498396113</v>
      </c>
      <c r="BZ110">
        <v>2.1118214770249688</v>
      </c>
      <c r="CA110">
        <v>0.98463789050390715</v>
      </c>
      <c r="CB110">
        <v>-6.9476195773081296E-3</v>
      </c>
      <c r="CC110">
        <v>289.99999999999989</v>
      </c>
      <c r="CD110">
        <v>1055.06</v>
      </c>
      <c r="CE110">
        <v>655</v>
      </c>
      <c r="CF110">
        <v>10174.1</v>
      </c>
      <c r="CG110">
        <v>1053.73</v>
      </c>
      <c r="CH110">
        <v>1.33</v>
      </c>
      <c r="CV110">
        <f t="shared" si="134"/>
        <v>1800.01</v>
      </c>
      <c r="CW110">
        <f t="shared" si="135"/>
        <v>1513.1927993025242</v>
      </c>
      <c r="CX110">
        <f t="shared" si="136"/>
        <v>0.84065799595698032</v>
      </c>
      <c r="CY110">
        <f t="shared" si="137"/>
        <v>0.19131599191396079</v>
      </c>
      <c r="CZ110">
        <v>6</v>
      </c>
      <c r="DA110">
        <v>0.5</v>
      </c>
      <c r="DB110" t="s">
        <v>418</v>
      </c>
      <c r="DC110">
        <v>2</v>
      </c>
      <c r="DD110">
        <v>1674597323.5999999</v>
      </c>
      <c r="DE110">
        <v>434.10899999999998</v>
      </c>
      <c r="DF110">
        <v>500.036</v>
      </c>
      <c r="DG110">
        <v>24.913</v>
      </c>
      <c r="DH110">
        <v>16.763200000000001</v>
      </c>
      <c r="DI110">
        <v>437.53500000000003</v>
      </c>
      <c r="DJ110">
        <v>24.547799999999999</v>
      </c>
      <c r="DK110">
        <v>500.00900000000001</v>
      </c>
      <c r="DL110">
        <v>99.5291</v>
      </c>
      <c r="DM110">
        <v>9.9420499999999995E-2</v>
      </c>
      <c r="DN110">
        <v>27.9815</v>
      </c>
      <c r="DO110">
        <v>27.8249</v>
      </c>
      <c r="DP110">
        <v>999.9</v>
      </c>
      <c r="DQ110">
        <v>0</v>
      </c>
      <c r="DR110">
        <v>0</v>
      </c>
      <c r="DS110">
        <v>10012.5</v>
      </c>
      <c r="DT110">
        <v>0</v>
      </c>
      <c r="DU110">
        <v>337.22399999999999</v>
      </c>
      <c r="DV110">
        <v>-65.926400000000001</v>
      </c>
      <c r="DW110">
        <v>445.20100000000002</v>
      </c>
      <c r="DX110">
        <v>508.56099999999998</v>
      </c>
      <c r="DY110">
        <v>8.1497899999999994</v>
      </c>
      <c r="DZ110">
        <v>500.036</v>
      </c>
      <c r="EA110">
        <v>16.763200000000001</v>
      </c>
      <c r="EB110">
        <v>2.4795699999999998</v>
      </c>
      <c r="EC110">
        <v>1.6684300000000001</v>
      </c>
      <c r="ED110">
        <v>20.893000000000001</v>
      </c>
      <c r="EE110">
        <v>14.6058</v>
      </c>
      <c r="EF110">
        <v>1800.01</v>
      </c>
      <c r="EG110">
        <v>0.97800399999999998</v>
      </c>
      <c r="EH110">
        <v>2.1996000000000002E-2</v>
      </c>
      <c r="EI110">
        <v>0</v>
      </c>
      <c r="EJ110">
        <v>754.06299999999999</v>
      </c>
      <c r="EK110">
        <v>5.0010599999999998</v>
      </c>
      <c r="EL110">
        <v>13980</v>
      </c>
      <c r="EM110">
        <v>16711.2</v>
      </c>
      <c r="EN110">
        <v>48.75</v>
      </c>
      <c r="EO110">
        <v>49.5</v>
      </c>
      <c r="EP110">
        <v>49.686999999999998</v>
      </c>
      <c r="EQ110">
        <v>48.311999999999998</v>
      </c>
      <c r="ER110">
        <v>49.561999999999998</v>
      </c>
      <c r="ES110">
        <v>1755.53</v>
      </c>
      <c r="ET110">
        <v>39.479999999999997</v>
      </c>
      <c r="EU110">
        <v>0</v>
      </c>
      <c r="EV110">
        <v>112.3999998569489</v>
      </c>
      <c r="EW110">
        <v>0</v>
      </c>
      <c r="EX110">
        <v>753.23591999999985</v>
      </c>
      <c r="EY110">
        <v>5.3165384560505977</v>
      </c>
      <c r="EZ110">
        <v>97.523077020037235</v>
      </c>
      <c r="FA110">
        <v>13969.175999999999</v>
      </c>
      <c r="FB110">
        <v>15</v>
      </c>
      <c r="FC110">
        <v>1674597290.5999999</v>
      </c>
      <c r="FD110" t="s">
        <v>899</v>
      </c>
      <c r="FE110">
        <v>1674597290.5999999</v>
      </c>
      <c r="FF110">
        <v>1674597282.5</v>
      </c>
      <c r="FG110">
        <v>105</v>
      </c>
      <c r="FH110">
        <v>-5.5E-2</v>
      </c>
      <c r="FI110">
        <v>-4.0000000000000001E-3</v>
      </c>
      <c r="FJ110">
        <v>-3.5150000000000001</v>
      </c>
      <c r="FK110">
        <v>7.0000000000000001E-3</v>
      </c>
      <c r="FL110">
        <v>500</v>
      </c>
      <c r="FM110">
        <v>17</v>
      </c>
      <c r="FN110">
        <v>0.04</v>
      </c>
      <c r="FO110">
        <v>0.01</v>
      </c>
      <c r="FP110">
        <v>51.762412170359468</v>
      </c>
      <c r="FQ110">
        <v>0.15279512848935761</v>
      </c>
      <c r="FR110">
        <v>7.5707594125802843E-2</v>
      </c>
      <c r="FS110">
        <v>1</v>
      </c>
      <c r="FT110">
        <v>0.59631973763332036</v>
      </c>
      <c r="FU110">
        <v>-2.392445841548942E-2</v>
      </c>
      <c r="FV110">
        <v>4.4075147440533584E-3</v>
      </c>
      <c r="FW110">
        <v>1</v>
      </c>
      <c r="FX110">
        <v>2</v>
      </c>
      <c r="FY110">
        <v>2</v>
      </c>
      <c r="FZ110" t="s">
        <v>420</v>
      </c>
      <c r="GA110">
        <v>2.97722</v>
      </c>
      <c r="GB110">
        <v>2.80585</v>
      </c>
      <c r="GC110">
        <v>0.10404099999999999</v>
      </c>
      <c r="GD110">
        <v>0.113554</v>
      </c>
      <c r="GE110">
        <v>0.12168900000000001</v>
      </c>
      <c r="GF110">
        <v>9.2165300000000006E-2</v>
      </c>
      <c r="GG110">
        <v>26455.200000000001</v>
      </c>
      <c r="GH110">
        <v>24270</v>
      </c>
      <c r="GI110">
        <v>26545.4</v>
      </c>
      <c r="GJ110">
        <v>25860.2</v>
      </c>
      <c r="GK110">
        <v>31723.599999999999</v>
      </c>
      <c r="GL110">
        <v>33137.199999999997</v>
      </c>
      <c r="GM110">
        <v>37605.599999999999</v>
      </c>
      <c r="GN110">
        <v>38369.1</v>
      </c>
      <c r="GO110">
        <v>1.9694</v>
      </c>
      <c r="GP110">
        <v>1.9046700000000001</v>
      </c>
      <c r="GQ110">
        <v>4.2840799999999998E-2</v>
      </c>
      <c r="GR110">
        <v>0</v>
      </c>
      <c r="GS110">
        <v>27.1248</v>
      </c>
      <c r="GT110">
        <v>999.9</v>
      </c>
      <c r="GU110">
        <v>37.799999999999997</v>
      </c>
      <c r="GV110">
        <v>34.4</v>
      </c>
      <c r="GW110">
        <v>20.751300000000001</v>
      </c>
      <c r="GX110">
        <v>61.8384</v>
      </c>
      <c r="GY110">
        <v>12.3117</v>
      </c>
      <c r="GZ110">
        <v>1</v>
      </c>
      <c r="HA110">
        <v>0.44675100000000001</v>
      </c>
      <c r="HB110">
        <v>2.7046999999999999</v>
      </c>
      <c r="HC110">
        <v>20.232800000000001</v>
      </c>
      <c r="HD110">
        <v>5.2060599999999999</v>
      </c>
      <c r="HE110">
        <v>11.9381</v>
      </c>
      <c r="HF110">
        <v>4.9865000000000004</v>
      </c>
      <c r="HG110">
        <v>3.2892800000000002</v>
      </c>
      <c r="HH110">
        <v>9999</v>
      </c>
      <c r="HI110">
        <v>9999</v>
      </c>
      <c r="HJ110">
        <v>9999</v>
      </c>
      <c r="HK110">
        <v>999.9</v>
      </c>
      <c r="HL110">
        <v>1.8702700000000001</v>
      </c>
      <c r="HM110">
        <v>1.87653</v>
      </c>
      <c r="HN110">
        <v>1.8742399999999999</v>
      </c>
      <c r="HO110">
        <v>1.87256</v>
      </c>
      <c r="HP110">
        <v>1.873</v>
      </c>
      <c r="HQ110">
        <v>1.8704099999999999</v>
      </c>
      <c r="HR110">
        <v>1.8763000000000001</v>
      </c>
      <c r="HS110">
        <v>1.8754500000000001</v>
      </c>
      <c r="HT110">
        <v>5</v>
      </c>
      <c r="HU110">
        <v>0</v>
      </c>
      <c r="HV110">
        <v>0</v>
      </c>
      <c r="HW110">
        <v>0</v>
      </c>
      <c r="HX110" t="s">
        <v>421</v>
      </c>
      <c r="HY110" t="s">
        <v>422</v>
      </c>
      <c r="HZ110" t="s">
        <v>423</v>
      </c>
      <c r="IA110" t="s">
        <v>424</v>
      </c>
      <c r="IB110" t="s">
        <v>424</v>
      </c>
      <c r="IC110" t="s">
        <v>423</v>
      </c>
      <c r="ID110">
        <v>0</v>
      </c>
      <c r="IE110">
        <v>100</v>
      </c>
      <c r="IF110">
        <v>100</v>
      </c>
      <c r="IG110">
        <v>-3.4260000000000002</v>
      </c>
      <c r="IH110">
        <v>0.36520000000000002</v>
      </c>
      <c r="II110">
        <v>-2.5789128617307382</v>
      </c>
      <c r="IJ110">
        <v>-2.536945948238235E-3</v>
      </c>
      <c r="IK110">
        <v>1.581473279927893E-6</v>
      </c>
      <c r="IL110">
        <v>-4.6698293441882044E-10</v>
      </c>
      <c r="IM110">
        <v>-0.14805707999744991</v>
      </c>
      <c r="IN110">
        <v>-1.5895243091576399E-2</v>
      </c>
      <c r="IO110">
        <v>1.559614309849521E-3</v>
      </c>
      <c r="IP110">
        <v>-2.4566050869858518E-6</v>
      </c>
      <c r="IQ110">
        <v>2</v>
      </c>
      <c r="IR110">
        <v>2224</v>
      </c>
      <c r="IS110">
        <v>2</v>
      </c>
      <c r="IT110">
        <v>25</v>
      </c>
      <c r="IU110">
        <v>0.6</v>
      </c>
      <c r="IV110">
        <v>0.7</v>
      </c>
      <c r="IW110">
        <v>1.11816</v>
      </c>
      <c r="IX110">
        <v>2.50244</v>
      </c>
      <c r="IY110">
        <v>1.65039</v>
      </c>
      <c r="IZ110">
        <v>2.2900399999999999</v>
      </c>
      <c r="JA110">
        <v>1.50024</v>
      </c>
      <c r="JB110">
        <v>2.2912599999999999</v>
      </c>
      <c r="JC110">
        <v>38.232399999999998</v>
      </c>
      <c r="JD110">
        <v>23.851099999999999</v>
      </c>
      <c r="JE110">
        <v>18</v>
      </c>
      <c r="JF110">
        <v>507.16399999999999</v>
      </c>
      <c r="JG110">
        <v>458.07900000000001</v>
      </c>
      <c r="JH110">
        <v>24.652000000000001</v>
      </c>
      <c r="JI110">
        <v>32.8262</v>
      </c>
      <c r="JJ110">
        <v>30.000399999999999</v>
      </c>
      <c r="JK110">
        <v>32.844000000000001</v>
      </c>
      <c r="JL110">
        <v>32.819099999999999</v>
      </c>
      <c r="JM110">
        <v>22.4039</v>
      </c>
      <c r="JN110">
        <v>33.518799999999999</v>
      </c>
      <c r="JO110">
        <v>33.361400000000003</v>
      </c>
      <c r="JP110">
        <v>24.651399999999999</v>
      </c>
      <c r="JQ110">
        <v>500</v>
      </c>
      <c r="JR110">
        <v>16.690200000000001</v>
      </c>
      <c r="JS110">
        <v>99.804599999999994</v>
      </c>
      <c r="JT110">
        <v>98.989699999999999</v>
      </c>
    </row>
    <row r="111" spans="1:280" x14ac:dyDescent="0.25">
      <c r="A111">
        <v>95</v>
      </c>
      <c r="B111">
        <v>1674597437.0999999</v>
      </c>
      <c r="C111">
        <v>23302.5</v>
      </c>
      <c r="D111" t="s">
        <v>900</v>
      </c>
      <c r="E111" t="s">
        <v>901</v>
      </c>
      <c r="F111" t="s">
        <v>412</v>
      </c>
      <c r="G111" t="s">
        <v>851</v>
      </c>
      <c r="H111" t="s">
        <v>566</v>
      </c>
      <c r="I111">
        <v>1674597437.0999999</v>
      </c>
      <c r="J111">
        <f t="shared" si="92"/>
        <v>6.7707010528035043E-3</v>
      </c>
      <c r="K111">
        <f t="shared" si="93"/>
        <v>6.7707010528035045</v>
      </c>
      <c r="L111">
        <f t="shared" si="94"/>
        <v>52.64779176570493</v>
      </c>
      <c r="M111">
        <f t="shared" si="95"/>
        <v>532.51</v>
      </c>
      <c r="N111">
        <f t="shared" si="96"/>
        <v>358.58660878647453</v>
      </c>
      <c r="O111">
        <f t="shared" si="97"/>
        <v>35.724858301748796</v>
      </c>
      <c r="P111">
        <f t="shared" si="98"/>
        <v>53.052299857611999</v>
      </c>
      <c r="Q111">
        <f t="shared" si="99"/>
        <v>0.55833545297878484</v>
      </c>
      <c r="R111">
        <f t="shared" si="100"/>
        <v>2.9205836804266672</v>
      </c>
      <c r="S111">
        <f t="shared" si="101"/>
        <v>0.50510942098028844</v>
      </c>
      <c r="T111">
        <f t="shared" si="102"/>
        <v>0.32005163739589171</v>
      </c>
      <c r="U111">
        <f t="shared" si="103"/>
        <v>344.35739860499439</v>
      </c>
      <c r="V111">
        <f t="shared" si="104"/>
        <v>28.281893352838406</v>
      </c>
      <c r="W111">
        <f t="shared" si="105"/>
        <v>27.900400000000001</v>
      </c>
      <c r="X111">
        <f t="shared" si="106"/>
        <v>3.7728612880149943</v>
      </c>
      <c r="Y111">
        <f t="shared" si="107"/>
        <v>65.290688030567196</v>
      </c>
      <c r="Z111">
        <f t="shared" si="108"/>
        <v>2.47932403050932</v>
      </c>
      <c r="AA111">
        <f t="shared" si="109"/>
        <v>3.7973623885669157</v>
      </c>
      <c r="AB111">
        <f t="shared" si="110"/>
        <v>1.2935372575056743</v>
      </c>
      <c r="AC111">
        <f t="shared" si="111"/>
        <v>-298.58791642863451</v>
      </c>
      <c r="AD111">
        <f t="shared" si="112"/>
        <v>17.477450319086579</v>
      </c>
      <c r="AE111">
        <f t="shared" si="113"/>
        <v>1.3038517971834351</v>
      </c>
      <c r="AF111">
        <f t="shared" si="114"/>
        <v>64.550784292629885</v>
      </c>
      <c r="AG111">
        <v>0</v>
      </c>
      <c r="AH111">
        <v>0</v>
      </c>
      <c r="AI111">
        <f t="shared" si="115"/>
        <v>1</v>
      </c>
      <c r="AJ111">
        <f t="shared" si="116"/>
        <v>0</v>
      </c>
      <c r="AK111">
        <f t="shared" si="117"/>
        <v>52431.421888372817</v>
      </c>
      <c r="AL111" t="s">
        <v>415</v>
      </c>
      <c r="AM111">
        <v>10424.1</v>
      </c>
      <c r="AN111">
        <v>628.54280000000006</v>
      </c>
      <c r="AO111">
        <v>2663.98</v>
      </c>
      <c r="AP111">
        <f t="shared" si="118"/>
        <v>0.76405873917972356</v>
      </c>
      <c r="AQ111">
        <v>-3.1675626227050531</v>
      </c>
      <c r="AR111" t="s">
        <v>902</v>
      </c>
      <c r="AS111">
        <v>10194.200000000001</v>
      </c>
      <c r="AT111">
        <v>757.79584615384613</v>
      </c>
      <c r="AU111">
        <v>1156.602397580217</v>
      </c>
      <c r="AV111">
        <f t="shared" si="119"/>
        <v>0.344808684696429</v>
      </c>
      <c r="AW111">
        <v>0.5</v>
      </c>
      <c r="AX111">
        <f t="shared" si="120"/>
        <v>1513.1339993024972</v>
      </c>
      <c r="AY111">
        <f t="shared" si="121"/>
        <v>52.64779176570493</v>
      </c>
      <c r="AZ111">
        <f t="shared" si="122"/>
        <v>260.87087203447066</v>
      </c>
      <c r="BA111">
        <f t="shared" si="123"/>
        <v>3.688725150194163E-2</v>
      </c>
      <c r="BB111">
        <f t="shared" si="124"/>
        <v>1.3032807173609873</v>
      </c>
      <c r="BC111">
        <f t="shared" si="125"/>
        <v>480.72191797187924</v>
      </c>
      <c r="BD111" t="s">
        <v>903</v>
      </c>
      <c r="BE111">
        <v>570.75</v>
      </c>
      <c r="BF111">
        <f t="shared" si="126"/>
        <v>570.75</v>
      </c>
      <c r="BG111">
        <f t="shared" si="127"/>
        <v>0.50652877670486141</v>
      </c>
      <c r="BH111">
        <f t="shared" si="128"/>
        <v>0.68072871780261834</v>
      </c>
      <c r="BI111">
        <f t="shared" si="129"/>
        <v>0.72012038926433453</v>
      </c>
      <c r="BJ111">
        <f t="shared" si="130"/>
        <v>0.75523019230000576</v>
      </c>
      <c r="BK111">
        <f t="shared" si="131"/>
        <v>0.74056699092449674</v>
      </c>
      <c r="BL111">
        <f t="shared" si="132"/>
        <v>0.51270525915098075</v>
      </c>
      <c r="BM111">
        <f t="shared" si="133"/>
        <v>0.48729474084901925</v>
      </c>
      <c r="BN111">
        <v>20353</v>
      </c>
      <c r="BO111">
        <v>290.00000000000011</v>
      </c>
      <c r="BP111">
        <v>1063.18</v>
      </c>
      <c r="BQ111">
        <v>275</v>
      </c>
      <c r="BR111">
        <v>10194.200000000001</v>
      </c>
      <c r="BS111">
        <v>1063.97</v>
      </c>
      <c r="BT111">
        <v>-0.79</v>
      </c>
      <c r="BU111">
        <v>300.00000000000011</v>
      </c>
      <c r="BV111">
        <v>24.2</v>
      </c>
      <c r="BW111">
        <v>1156.602397580217</v>
      </c>
      <c r="BX111">
        <v>1.877671893818295</v>
      </c>
      <c r="BY111">
        <v>-94.430263519551431</v>
      </c>
      <c r="BZ111">
        <v>1.7049327338040789</v>
      </c>
      <c r="CA111">
        <v>0.99095509311431684</v>
      </c>
      <c r="CB111">
        <v>-6.9474195773081187E-3</v>
      </c>
      <c r="CC111">
        <v>289.99999999999989</v>
      </c>
      <c r="CD111">
        <v>1064.6199999999999</v>
      </c>
      <c r="CE111">
        <v>645</v>
      </c>
      <c r="CF111">
        <v>10174.4</v>
      </c>
      <c r="CG111">
        <v>1063.79</v>
      </c>
      <c r="CH111">
        <v>0.83</v>
      </c>
      <c r="CV111">
        <f t="shared" si="134"/>
        <v>1799.94</v>
      </c>
      <c r="CW111">
        <f t="shared" si="135"/>
        <v>1513.1339993024972</v>
      </c>
      <c r="CX111">
        <f t="shared" si="136"/>
        <v>0.84065802154654989</v>
      </c>
      <c r="CY111">
        <f t="shared" si="137"/>
        <v>0.19131604309309996</v>
      </c>
      <c r="CZ111">
        <v>6</v>
      </c>
      <c r="DA111">
        <v>0.5</v>
      </c>
      <c r="DB111" t="s">
        <v>418</v>
      </c>
      <c r="DC111">
        <v>2</v>
      </c>
      <c r="DD111">
        <v>1674597437.0999999</v>
      </c>
      <c r="DE111">
        <v>532.51</v>
      </c>
      <c r="DF111">
        <v>600.005</v>
      </c>
      <c r="DG111">
        <v>24.886099999999999</v>
      </c>
      <c r="DH111">
        <v>16.964500000000001</v>
      </c>
      <c r="DI111">
        <v>536.04600000000005</v>
      </c>
      <c r="DJ111">
        <v>24.524000000000001</v>
      </c>
      <c r="DK111">
        <v>500.06599999999997</v>
      </c>
      <c r="DL111">
        <v>99.527100000000004</v>
      </c>
      <c r="DM111">
        <v>9.9761199999999994E-2</v>
      </c>
      <c r="DN111">
        <v>28.011399999999998</v>
      </c>
      <c r="DO111">
        <v>27.900400000000001</v>
      </c>
      <c r="DP111">
        <v>999.9</v>
      </c>
      <c r="DQ111">
        <v>0</v>
      </c>
      <c r="DR111">
        <v>0</v>
      </c>
      <c r="DS111">
        <v>9996.25</v>
      </c>
      <c r="DT111">
        <v>0</v>
      </c>
      <c r="DU111">
        <v>335.72899999999998</v>
      </c>
      <c r="DV111">
        <v>-67.494399999999999</v>
      </c>
      <c r="DW111">
        <v>546.1</v>
      </c>
      <c r="DX111">
        <v>610.35900000000004</v>
      </c>
      <c r="DY111">
        <v>7.9216100000000003</v>
      </c>
      <c r="DZ111">
        <v>600.005</v>
      </c>
      <c r="EA111">
        <v>16.964500000000001</v>
      </c>
      <c r="EB111">
        <v>2.4768400000000002</v>
      </c>
      <c r="EC111">
        <v>1.6884300000000001</v>
      </c>
      <c r="ED111">
        <v>20.8751</v>
      </c>
      <c r="EE111">
        <v>14.7905</v>
      </c>
      <c r="EF111">
        <v>1799.94</v>
      </c>
      <c r="EG111">
        <v>0.97800399999999998</v>
      </c>
      <c r="EH111">
        <v>2.1996000000000002E-2</v>
      </c>
      <c r="EI111">
        <v>0</v>
      </c>
      <c r="EJ111">
        <v>758.02599999999995</v>
      </c>
      <c r="EK111">
        <v>5.0010599999999998</v>
      </c>
      <c r="EL111">
        <v>14060.9</v>
      </c>
      <c r="EM111">
        <v>16710.5</v>
      </c>
      <c r="EN111">
        <v>48.75</v>
      </c>
      <c r="EO111">
        <v>49.561999999999998</v>
      </c>
      <c r="EP111">
        <v>49.75</v>
      </c>
      <c r="EQ111">
        <v>48.311999999999998</v>
      </c>
      <c r="ER111">
        <v>49.625</v>
      </c>
      <c r="ES111">
        <v>1755.46</v>
      </c>
      <c r="ET111">
        <v>39.479999999999997</v>
      </c>
      <c r="EU111">
        <v>0</v>
      </c>
      <c r="EV111">
        <v>111.5999999046326</v>
      </c>
      <c r="EW111">
        <v>0</v>
      </c>
      <c r="EX111">
        <v>757.79584615384613</v>
      </c>
      <c r="EY111">
        <v>4.6685811862629336</v>
      </c>
      <c r="EZ111">
        <v>81.210256477668025</v>
      </c>
      <c r="FA111">
        <v>14052.553846153851</v>
      </c>
      <c r="FB111">
        <v>15</v>
      </c>
      <c r="FC111">
        <v>1674597403.0999999</v>
      </c>
      <c r="FD111" t="s">
        <v>904</v>
      </c>
      <c r="FE111">
        <v>1674597400.0999999</v>
      </c>
      <c r="FF111">
        <v>1674597403.0999999</v>
      </c>
      <c r="FG111">
        <v>106</v>
      </c>
      <c r="FH111">
        <v>0.02</v>
      </c>
      <c r="FI111">
        <v>-2E-3</v>
      </c>
      <c r="FJ111">
        <v>-3.617</v>
      </c>
      <c r="FK111">
        <v>8.0000000000000002E-3</v>
      </c>
      <c r="FL111">
        <v>600</v>
      </c>
      <c r="FM111">
        <v>17</v>
      </c>
      <c r="FN111">
        <v>0.03</v>
      </c>
      <c r="FO111">
        <v>0.01</v>
      </c>
      <c r="FP111">
        <v>52.583155183048682</v>
      </c>
      <c r="FQ111">
        <v>-0.1182866852631143</v>
      </c>
      <c r="FR111">
        <v>6.951963008133534E-2</v>
      </c>
      <c r="FS111">
        <v>1</v>
      </c>
      <c r="FT111">
        <v>0.56502104287661281</v>
      </c>
      <c r="FU111">
        <v>-1.9339830749809151E-2</v>
      </c>
      <c r="FV111">
        <v>3.5203793411760979E-3</v>
      </c>
      <c r="FW111">
        <v>1</v>
      </c>
      <c r="FX111">
        <v>2</v>
      </c>
      <c r="FY111">
        <v>2</v>
      </c>
      <c r="FZ111" t="s">
        <v>420</v>
      </c>
      <c r="GA111">
        <v>2.9773299999999998</v>
      </c>
      <c r="GB111">
        <v>2.8060499999999999</v>
      </c>
      <c r="GC111">
        <v>0.120883</v>
      </c>
      <c r="GD111">
        <v>0.12945999999999999</v>
      </c>
      <c r="GE111">
        <v>0.121597</v>
      </c>
      <c r="GF111">
        <v>9.29421E-2</v>
      </c>
      <c r="GG111">
        <v>25954.9</v>
      </c>
      <c r="GH111">
        <v>23831.1</v>
      </c>
      <c r="GI111">
        <v>26543</v>
      </c>
      <c r="GJ111">
        <v>25857.3</v>
      </c>
      <c r="GK111">
        <v>31724.7</v>
      </c>
      <c r="GL111">
        <v>33105.5</v>
      </c>
      <c r="GM111">
        <v>37602.6</v>
      </c>
      <c r="GN111">
        <v>38365.1</v>
      </c>
      <c r="GO111">
        <v>1.96852</v>
      </c>
      <c r="GP111">
        <v>1.9046000000000001</v>
      </c>
      <c r="GQ111">
        <v>4.4867400000000002E-2</v>
      </c>
      <c r="GR111">
        <v>0</v>
      </c>
      <c r="GS111">
        <v>27.167300000000001</v>
      </c>
      <c r="GT111">
        <v>999.9</v>
      </c>
      <c r="GU111">
        <v>37.799999999999997</v>
      </c>
      <c r="GV111">
        <v>34.4</v>
      </c>
      <c r="GW111">
        <v>20.749400000000001</v>
      </c>
      <c r="GX111">
        <v>62.048400000000001</v>
      </c>
      <c r="GY111">
        <v>12.287699999999999</v>
      </c>
      <c r="GZ111">
        <v>1</v>
      </c>
      <c r="HA111">
        <v>0.45147399999999999</v>
      </c>
      <c r="HB111">
        <v>2.9355799999999999</v>
      </c>
      <c r="HC111">
        <v>20.228999999999999</v>
      </c>
      <c r="HD111">
        <v>5.2065099999999997</v>
      </c>
      <c r="HE111">
        <v>11.9381</v>
      </c>
      <c r="HF111">
        <v>4.98665</v>
      </c>
      <c r="HG111">
        <v>3.2894999999999999</v>
      </c>
      <c r="HH111">
        <v>9999</v>
      </c>
      <c r="HI111">
        <v>9999</v>
      </c>
      <c r="HJ111">
        <v>9999</v>
      </c>
      <c r="HK111">
        <v>999.9</v>
      </c>
      <c r="HL111">
        <v>1.8702700000000001</v>
      </c>
      <c r="HM111">
        <v>1.87653</v>
      </c>
      <c r="HN111">
        <v>1.8742399999999999</v>
      </c>
      <c r="HO111">
        <v>1.87256</v>
      </c>
      <c r="HP111">
        <v>1.873</v>
      </c>
      <c r="HQ111">
        <v>1.8704099999999999</v>
      </c>
      <c r="HR111">
        <v>1.8763300000000001</v>
      </c>
      <c r="HS111">
        <v>1.8754</v>
      </c>
      <c r="HT111">
        <v>5</v>
      </c>
      <c r="HU111">
        <v>0</v>
      </c>
      <c r="HV111">
        <v>0</v>
      </c>
      <c r="HW111">
        <v>0</v>
      </c>
      <c r="HX111" t="s">
        <v>421</v>
      </c>
      <c r="HY111" t="s">
        <v>422</v>
      </c>
      <c r="HZ111" t="s">
        <v>423</v>
      </c>
      <c r="IA111" t="s">
        <v>424</v>
      </c>
      <c r="IB111" t="s">
        <v>424</v>
      </c>
      <c r="IC111" t="s">
        <v>423</v>
      </c>
      <c r="ID111">
        <v>0</v>
      </c>
      <c r="IE111">
        <v>100</v>
      </c>
      <c r="IF111">
        <v>100</v>
      </c>
      <c r="IG111">
        <v>-3.536</v>
      </c>
      <c r="IH111">
        <v>0.36209999999999998</v>
      </c>
      <c r="II111">
        <v>-2.5585306205963101</v>
      </c>
      <c r="IJ111">
        <v>-2.536945948238235E-3</v>
      </c>
      <c r="IK111">
        <v>1.581473279927893E-6</v>
      </c>
      <c r="IL111">
        <v>-4.6698293441882044E-10</v>
      </c>
      <c r="IM111">
        <v>-0.1497576229111334</v>
      </c>
      <c r="IN111">
        <v>-1.5895243091576399E-2</v>
      </c>
      <c r="IO111">
        <v>1.559614309849521E-3</v>
      </c>
      <c r="IP111">
        <v>-2.4566050869858518E-6</v>
      </c>
      <c r="IQ111">
        <v>2</v>
      </c>
      <c r="IR111">
        <v>2224</v>
      </c>
      <c r="IS111">
        <v>2</v>
      </c>
      <c r="IT111">
        <v>25</v>
      </c>
      <c r="IU111">
        <v>0.6</v>
      </c>
      <c r="IV111">
        <v>0.6</v>
      </c>
      <c r="IW111">
        <v>1.2939499999999999</v>
      </c>
      <c r="IX111">
        <v>2.49634</v>
      </c>
      <c r="IY111">
        <v>1.65039</v>
      </c>
      <c r="IZ111">
        <v>2.2900399999999999</v>
      </c>
      <c r="JA111">
        <v>1.50024</v>
      </c>
      <c r="JB111">
        <v>2.3803700000000001</v>
      </c>
      <c r="JC111">
        <v>38.232399999999998</v>
      </c>
      <c r="JD111">
        <v>23.8598</v>
      </c>
      <c r="JE111">
        <v>18</v>
      </c>
      <c r="JF111">
        <v>506.80099999999999</v>
      </c>
      <c r="JG111">
        <v>458.20800000000003</v>
      </c>
      <c r="JH111">
        <v>24.559200000000001</v>
      </c>
      <c r="JI111">
        <v>32.868699999999997</v>
      </c>
      <c r="JJ111">
        <v>30.0002</v>
      </c>
      <c r="JK111">
        <v>32.8705</v>
      </c>
      <c r="JL111">
        <v>32.842500000000001</v>
      </c>
      <c r="JM111">
        <v>25.912199999999999</v>
      </c>
      <c r="JN111">
        <v>32.699800000000003</v>
      </c>
      <c r="JO111">
        <v>33.296500000000002</v>
      </c>
      <c r="JP111">
        <v>24.550699999999999</v>
      </c>
      <c r="JQ111">
        <v>600</v>
      </c>
      <c r="JR111">
        <v>16.9541</v>
      </c>
      <c r="JS111">
        <v>99.796199999999999</v>
      </c>
      <c r="JT111">
        <v>98.979200000000006</v>
      </c>
    </row>
    <row r="112" spans="1:280" x14ac:dyDescent="0.25">
      <c r="A112">
        <v>96</v>
      </c>
      <c r="B112">
        <v>1674597543.5999999</v>
      </c>
      <c r="C112">
        <v>23409</v>
      </c>
      <c r="D112" t="s">
        <v>905</v>
      </c>
      <c r="E112" t="s">
        <v>906</v>
      </c>
      <c r="F112" t="s">
        <v>412</v>
      </c>
      <c r="G112" t="s">
        <v>851</v>
      </c>
      <c r="H112" t="s">
        <v>566</v>
      </c>
      <c r="I112">
        <v>1674597543.5999999</v>
      </c>
      <c r="J112">
        <f t="shared" si="92"/>
        <v>6.5562897421777011E-3</v>
      </c>
      <c r="K112">
        <f t="shared" si="93"/>
        <v>6.5562897421777011</v>
      </c>
      <c r="L112">
        <f t="shared" si="94"/>
        <v>52.800453436206574</v>
      </c>
      <c r="M112">
        <f t="shared" si="95"/>
        <v>730.99400000000003</v>
      </c>
      <c r="N112">
        <f t="shared" si="96"/>
        <v>545.5226528258421</v>
      </c>
      <c r="O112">
        <f t="shared" si="97"/>
        <v>54.35038698758887</v>
      </c>
      <c r="P112">
        <f t="shared" si="98"/>
        <v>72.828885436384013</v>
      </c>
      <c r="Q112">
        <f t="shared" si="99"/>
        <v>0.53405096462744617</v>
      </c>
      <c r="R112">
        <f t="shared" si="100"/>
        <v>2.9221655134589239</v>
      </c>
      <c r="S112">
        <f t="shared" si="101"/>
        <v>0.48516134408965805</v>
      </c>
      <c r="T112">
        <f t="shared" si="102"/>
        <v>0.30724454651757083</v>
      </c>
      <c r="U112">
        <f t="shared" si="103"/>
        <v>344.38779860511829</v>
      </c>
      <c r="V112">
        <f t="shared" si="104"/>
        <v>28.329991625083597</v>
      </c>
      <c r="W112">
        <f t="shared" si="105"/>
        <v>27.941700000000001</v>
      </c>
      <c r="X112">
        <f t="shared" si="106"/>
        <v>3.7819613024638432</v>
      </c>
      <c r="Y112">
        <f t="shared" si="107"/>
        <v>65.282762350549078</v>
      </c>
      <c r="Z112">
        <f t="shared" si="108"/>
        <v>2.4778961382560003</v>
      </c>
      <c r="AA112">
        <f t="shared" si="109"/>
        <v>3.7956361664820988</v>
      </c>
      <c r="AB112">
        <f t="shared" si="110"/>
        <v>1.3040651642078429</v>
      </c>
      <c r="AC112">
        <f t="shared" si="111"/>
        <v>-289.13237763003661</v>
      </c>
      <c r="AD112">
        <f t="shared" si="112"/>
        <v>9.7517128253025476</v>
      </c>
      <c r="AE112">
        <f t="shared" si="113"/>
        <v>0.72722433177761725</v>
      </c>
      <c r="AF112">
        <f t="shared" si="114"/>
        <v>65.734358132161844</v>
      </c>
      <c r="AG112">
        <v>0</v>
      </c>
      <c r="AH112">
        <v>0</v>
      </c>
      <c r="AI112">
        <f t="shared" si="115"/>
        <v>1</v>
      </c>
      <c r="AJ112">
        <f t="shared" si="116"/>
        <v>0</v>
      </c>
      <c r="AK112">
        <f t="shared" si="117"/>
        <v>52478.275419070123</v>
      </c>
      <c r="AL112" t="s">
        <v>415</v>
      </c>
      <c r="AM112">
        <v>10424.1</v>
      </c>
      <c r="AN112">
        <v>628.54280000000006</v>
      </c>
      <c r="AO112">
        <v>2663.98</v>
      </c>
      <c r="AP112">
        <f t="shared" si="118"/>
        <v>0.76405873917972356</v>
      </c>
      <c r="AQ112">
        <v>-3.1675626227050531</v>
      </c>
      <c r="AR112" t="s">
        <v>907</v>
      </c>
      <c r="AS112">
        <v>10193.5</v>
      </c>
      <c r="AT112">
        <v>760.9032692307693</v>
      </c>
      <c r="AU112">
        <v>1163.244313913852</v>
      </c>
      <c r="AV112">
        <f t="shared" si="119"/>
        <v>0.34587836782916737</v>
      </c>
      <c r="AW112">
        <v>0.5</v>
      </c>
      <c r="AX112">
        <f t="shared" si="120"/>
        <v>1513.2683993025589</v>
      </c>
      <c r="AY112">
        <f t="shared" si="121"/>
        <v>52.800453436206574</v>
      </c>
      <c r="AZ112">
        <f t="shared" si="122"/>
        <v>261.7034020191129</v>
      </c>
      <c r="BA112">
        <f t="shared" si="123"/>
        <v>3.6984857467919366E-2</v>
      </c>
      <c r="BB112">
        <f t="shared" si="124"/>
        <v>1.290129397698728</v>
      </c>
      <c r="BC112">
        <f t="shared" si="125"/>
        <v>481.86547574236295</v>
      </c>
      <c r="BD112" t="s">
        <v>908</v>
      </c>
      <c r="BE112">
        <v>574.97</v>
      </c>
      <c r="BF112">
        <f t="shared" si="126"/>
        <v>574.97</v>
      </c>
      <c r="BG112">
        <f t="shared" si="127"/>
        <v>0.50571862409070722</v>
      </c>
      <c r="BH112">
        <f t="shared" si="128"/>
        <v>0.6839344080931643</v>
      </c>
      <c r="BI112">
        <f t="shared" si="129"/>
        <v>0.71839564486821406</v>
      </c>
      <c r="BJ112">
        <f t="shared" si="130"/>
        <v>0.75245914629653654</v>
      </c>
      <c r="BK112">
        <f t="shared" si="131"/>
        <v>0.73730385102824503</v>
      </c>
      <c r="BL112">
        <f t="shared" si="132"/>
        <v>0.51680914318960958</v>
      </c>
      <c r="BM112">
        <f t="shared" si="133"/>
        <v>0.48319085681039042</v>
      </c>
      <c r="BN112">
        <v>20355</v>
      </c>
      <c r="BO112">
        <v>290.00000000000011</v>
      </c>
      <c r="BP112">
        <v>1069.1500000000001</v>
      </c>
      <c r="BQ112">
        <v>275</v>
      </c>
      <c r="BR112">
        <v>10193.5</v>
      </c>
      <c r="BS112">
        <v>1069.5</v>
      </c>
      <c r="BT112">
        <v>-0.35</v>
      </c>
      <c r="BU112">
        <v>300.00000000000011</v>
      </c>
      <c r="BV112">
        <v>24.2</v>
      </c>
      <c r="BW112">
        <v>1163.244313913852</v>
      </c>
      <c r="BX112">
        <v>1.940943771583562</v>
      </c>
      <c r="BY112">
        <v>-95.55849104007487</v>
      </c>
      <c r="BZ112">
        <v>1.7622593608383961</v>
      </c>
      <c r="CA112">
        <v>0.99056714762727993</v>
      </c>
      <c r="CB112">
        <v>-6.9470051167964423E-3</v>
      </c>
      <c r="CC112">
        <v>289.99999999999989</v>
      </c>
      <c r="CD112">
        <v>1069.79</v>
      </c>
      <c r="CE112">
        <v>655</v>
      </c>
      <c r="CF112">
        <v>10172.9</v>
      </c>
      <c r="CG112">
        <v>1069.31</v>
      </c>
      <c r="CH112">
        <v>0.48</v>
      </c>
      <c r="CV112">
        <f t="shared" si="134"/>
        <v>1800.1</v>
      </c>
      <c r="CW112">
        <f t="shared" si="135"/>
        <v>1513.2683993025589</v>
      </c>
      <c r="CX112">
        <f t="shared" si="136"/>
        <v>0.84065796305902951</v>
      </c>
      <c r="CY112">
        <f t="shared" si="137"/>
        <v>0.19131592611805917</v>
      </c>
      <c r="CZ112">
        <v>6</v>
      </c>
      <c r="DA112">
        <v>0.5</v>
      </c>
      <c r="DB112" t="s">
        <v>418</v>
      </c>
      <c r="DC112">
        <v>2</v>
      </c>
      <c r="DD112">
        <v>1674597543.5999999</v>
      </c>
      <c r="DE112">
        <v>730.99400000000003</v>
      </c>
      <c r="DF112">
        <v>800.096</v>
      </c>
      <c r="DG112">
        <v>24.870999999999999</v>
      </c>
      <c r="DH112">
        <v>17.200199999999999</v>
      </c>
      <c r="DI112">
        <v>734.75900000000001</v>
      </c>
      <c r="DJ112">
        <v>24.5139</v>
      </c>
      <c r="DK112">
        <v>500.07</v>
      </c>
      <c r="DL112">
        <v>99.529899999999998</v>
      </c>
      <c r="DM112">
        <v>0.100036</v>
      </c>
      <c r="DN112">
        <v>28.003599999999999</v>
      </c>
      <c r="DO112">
        <v>27.941700000000001</v>
      </c>
      <c r="DP112">
        <v>999.9</v>
      </c>
      <c r="DQ112">
        <v>0</v>
      </c>
      <c r="DR112">
        <v>0</v>
      </c>
      <c r="DS112">
        <v>10005</v>
      </c>
      <c r="DT112">
        <v>0</v>
      </c>
      <c r="DU112">
        <v>331.77</v>
      </c>
      <c r="DV112">
        <v>-69.102000000000004</v>
      </c>
      <c r="DW112">
        <v>749.63800000000003</v>
      </c>
      <c r="DX112">
        <v>814.09799999999996</v>
      </c>
      <c r="DY112">
        <v>7.6707700000000001</v>
      </c>
      <c r="DZ112">
        <v>800.096</v>
      </c>
      <c r="EA112">
        <v>17.200199999999999</v>
      </c>
      <c r="EB112">
        <v>2.4754100000000001</v>
      </c>
      <c r="EC112">
        <v>1.71194</v>
      </c>
      <c r="ED112">
        <v>20.8657</v>
      </c>
      <c r="EE112">
        <v>15.005100000000001</v>
      </c>
      <c r="EF112">
        <v>1800.1</v>
      </c>
      <c r="EG112">
        <v>0.97800699999999996</v>
      </c>
      <c r="EH112">
        <v>2.1992500000000002E-2</v>
      </c>
      <c r="EI112">
        <v>0</v>
      </c>
      <c r="EJ112">
        <v>761.41700000000003</v>
      </c>
      <c r="EK112">
        <v>5.0010599999999998</v>
      </c>
      <c r="EL112">
        <v>14112.3</v>
      </c>
      <c r="EM112">
        <v>16712</v>
      </c>
      <c r="EN112">
        <v>48.811999999999998</v>
      </c>
      <c r="EO112">
        <v>49.561999999999998</v>
      </c>
      <c r="EP112">
        <v>49.75</v>
      </c>
      <c r="EQ112">
        <v>48.436999999999998</v>
      </c>
      <c r="ER112">
        <v>49.625</v>
      </c>
      <c r="ES112">
        <v>1755.62</v>
      </c>
      <c r="ET112">
        <v>39.479999999999997</v>
      </c>
      <c r="EU112">
        <v>0</v>
      </c>
      <c r="EV112">
        <v>104.5999999046326</v>
      </c>
      <c r="EW112">
        <v>0</v>
      </c>
      <c r="EX112">
        <v>760.9032692307693</v>
      </c>
      <c r="EY112">
        <v>3.0636239308916902</v>
      </c>
      <c r="EZ112">
        <v>61.53504274244073</v>
      </c>
      <c r="FA112">
        <v>14107.03461538462</v>
      </c>
      <c r="FB112">
        <v>15</v>
      </c>
      <c r="FC112">
        <v>1674597509.5999999</v>
      </c>
      <c r="FD112" t="s">
        <v>909</v>
      </c>
      <c r="FE112">
        <v>1674597509.5999999</v>
      </c>
      <c r="FF112">
        <v>1674597509.5999999</v>
      </c>
      <c r="FG112">
        <v>107</v>
      </c>
      <c r="FH112">
        <v>-1.2E-2</v>
      </c>
      <c r="FI112">
        <v>-5.0000000000000001E-3</v>
      </c>
      <c r="FJ112">
        <v>-3.83</v>
      </c>
      <c r="FK112">
        <v>1.4E-2</v>
      </c>
      <c r="FL112">
        <v>800</v>
      </c>
      <c r="FM112">
        <v>17</v>
      </c>
      <c r="FN112">
        <v>0.03</v>
      </c>
      <c r="FO112">
        <v>0.01</v>
      </c>
      <c r="FP112">
        <v>52.562706869613393</v>
      </c>
      <c r="FQ112">
        <v>0.60662969883593776</v>
      </c>
      <c r="FR112">
        <v>9.1968627079986057E-2</v>
      </c>
      <c r="FS112">
        <v>1</v>
      </c>
      <c r="FT112">
        <v>0.54550288295730909</v>
      </c>
      <c r="FU112">
        <v>-3.7487389236700988E-2</v>
      </c>
      <c r="FV112">
        <v>4.2646368917097846E-3</v>
      </c>
      <c r="FW112">
        <v>1</v>
      </c>
      <c r="FX112">
        <v>2</v>
      </c>
      <c r="FY112">
        <v>2</v>
      </c>
      <c r="FZ112" t="s">
        <v>420</v>
      </c>
      <c r="GA112">
        <v>2.9773000000000001</v>
      </c>
      <c r="GB112">
        <v>2.8064</v>
      </c>
      <c r="GC112">
        <v>0.15074199999999999</v>
      </c>
      <c r="GD112">
        <v>0.157747</v>
      </c>
      <c r="GE112">
        <v>0.121556</v>
      </c>
      <c r="GF112">
        <v>9.3850500000000003E-2</v>
      </c>
      <c r="GG112">
        <v>25071.1</v>
      </c>
      <c r="GH112">
        <v>23053.200000000001</v>
      </c>
      <c r="GI112">
        <v>26542.2</v>
      </c>
      <c r="GJ112">
        <v>25855.1</v>
      </c>
      <c r="GK112">
        <v>31724.9</v>
      </c>
      <c r="GL112">
        <v>33069.599999999999</v>
      </c>
      <c r="GM112">
        <v>37600.5</v>
      </c>
      <c r="GN112">
        <v>38361.699999999997</v>
      </c>
      <c r="GO112">
        <v>1.9679800000000001</v>
      </c>
      <c r="GP112">
        <v>1.9049199999999999</v>
      </c>
      <c r="GQ112">
        <v>4.4293699999999998E-2</v>
      </c>
      <c r="GR112">
        <v>0</v>
      </c>
      <c r="GS112">
        <v>27.218</v>
      </c>
      <c r="GT112">
        <v>999.9</v>
      </c>
      <c r="GU112">
        <v>37.9</v>
      </c>
      <c r="GV112">
        <v>34.4</v>
      </c>
      <c r="GW112">
        <v>20.804300000000001</v>
      </c>
      <c r="GX112">
        <v>62.128399999999999</v>
      </c>
      <c r="GY112">
        <v>12.636200000000001</v>
      </c>
      <c r="GZ112">
        <v>1</v>
      </c>
      <c r="HA112">
        <v>0.45513199999999998</v>
      </c>
      <c r="HB112">
        <v>2.9552900000000002</v>
      </c>
      <c r="HC112">
        <v>20.228899999999999</v>
      </c>
      <c r="HD112">
        <v>5.2030599999999998</v>
      </c>
      <c r="HE112">
        <v>11.9381</v>
      </c>
      <c r="HF112">
        <v>4.9863499999999998</v>
      </c>
      <c r="HG112">
        <v>3.2896800000000002</v>
      </c>
      <c r="HH112">
        <v>9999</v>
      </c>
      <c r="HI112">
        <v>9999</v>
      </c>
      <c r="HJ112">
        <v>9999</v>
      </c>
      <c r="HK112">
        <v>999.9</v>
      </c>
      <c r="HL112">
        <v>1.8702700000000001</v>
      </c>
      <c r="HM112">
        <v>1.8765099999999999</v>
      </c>
      <c r="HN112">
        <v>1.8742399999999999</v>
      </c>
      <c r="HO112">
        <v>1.87256</v>
      </c>
      <c r="HP112">
        <v>1.8730199999999999</v>
      </c>
      <c r="HQ112">
        <v>1.87042</v>
      </c>
      <c r="HR112">
        <v>1.8763399999999999</v>
      </c>
      <c r="HS112">
        <v>1.8754200000000001</v>
      </c>
      <c r="HT112">
        <v>5</v>
      </c>
      <c r="HU112">
        <v>0</v>
      </c>
      <c r="HV112">
        <v>0</v>
      </c>
      <c r="HW112">
        <v>0</v>
      </c>
      <c r="HX112" t="s">
        <v>421</v>
      </c>
      <c r="HY112" t="s">
        <v>422</v>
      </c>
      <c r="HZ112" t="s">
        <v>423</v>
      </c>
      <c r="IA112" t="s">
        <v>424</v>
      </c>
      <c r="IB112" t="s">
        <v>424</v>
      </c>
      <c r="IC112" t="s">
        <v>423</v>
      </c>
      <c r="ID112">
        <v>0</v>
      </c>
      <c r="IE112">
        <v>100</v>
      </c>
      <c r="IF112">
        <v>100</v>
      </c>
      <c r="IG112">
        <v>-3.7650000000000001</v>
      </c>
      <c r="IH112">
        <v>0.35709999999999997</v>
      </c>
      <c r="II112">
        <v>-2.5701315392311641</v>
      </c>
      <c r="IJ112">
        <v>-2.536945948238235E-3</v>
      </c>
      <c r="IK112">
        <v>1.581473279927893E-6</v>
      </c>
      <c r="IL112">
        <v>-4.6698293441882044E-10</v>
      </c>
      <c r="IM112">
        <v>-0.1542664538088277</v>
      </c>
      <c r="IN112">
        <v>-1.5895243091576399E-2</v>
      </c>
      <c r="IO112">
        <v>1.559614309849521E-3</v>
      </c>
      <c r="IP112">
        <v>-2.4566050869858518E-6</v>
      </c>
      <c r="IQ112">
        <v>2</v>
      </c>
      <c r="IR112">
        <v>2224</v>
      </c>
      <c r="IS112">
        <v>2</v>
      </c>
      <c r="IT112">
        <v>25</v>
      </c>
      <c r="IU112">
        <v>0.6</v>
      </c>
      <c r="IV112">
        <v>0.6</v>
      </c>
      <c r="IW112">
        <v>1.63208</v>
      </c>
      <c r="IX112">
        <v>2.49146</v>
      </c>
      <c r="IY112">
        <v>1.65039</v>
      </c>
      <c r="IZ112">
        <v>2.2900399999999999</v>
      </c>
      <c r="JA112">
        <v>1.50024</v>
      </c>
      <c r="JB112">
        <v>2.4072300000000002</v>
      </c>
      <c r="JC112">
        <v>38.256799999999998</v>
      </c>
      <c r="JD112">
        <v>23.8598</v>
      </c>
      <c r="JE112">
        <v>18</v>
      </c>
      <c r="JF112">
        <v>506.70100000000002</v>
      </c>
      <c r="JG112">
        <v>458.66500000000002</v>
      </c>
      <c r="JH112">
        <v>24.505800000000001</v>
      </c>
      <c r="JI112">
        <v>32.9146</v>
      </c>
      <c r="JJ112">
        <v>30.0002</v>
      </c>
      <c r="JK112">
        <v>32.902900000000002</v>
      </c>
      <c r="JL112">
        <v>32.8748</v>
      </c>
      <c r="JM112">
        <v>32.688899999999997</v>
      </c>
      <c r="JN112">
        <v>31.764900000000001</v>
      </c>
      <c r="JO112">
        <v>33.846200000000003</v>
      </c>
      <c r="JP112">
        <v>24.506599999999999</v>
      </c>
      <c r="JQ112">
        <v>800</v>
      </c>
      <c r="JR112">
        <v>17.191400000000002</v>
      </c>
      <c r="JS112">
        <v>99.791700000000006</v>
      </c>
      <c r="JT112">
        <v>98.970600000000005</v>
      </c>
    </row>
    <row r="113" spans="1:280" x14ac:dyDescent="0.25">
      <c r="A113">
        <v>97</v>
      </c>
      <c r="B113">
        <v>1674597669.5999999</v>
      </c>
      <c r="C113">
        <v>23535</v>
      </c>
      <c r="D113" t="s">
        <v>910</v>
      </c>
      <c r="E113" t="s">
        <v>911</v>
      </c>
      <c r="F113" t="s">
        <v>412</v>
      </c>
      <c r="G113" t="s">
        <v>851</v>
      </c>
      <c r="H113" t="s">
        <v>566</v>
      </c>
      <c r="I113">
        <v>1674597669.5999999</v>
      </c>
      <c r="J113">
        <f t="shared" ref="J113:J144" si="138">(K113)/1000</f>
        <v>6.2824700442853697E-3</v>
      </c>
      <c r="K113">
        <f t="shared" ref="K113:K128" si="139">1000*DK113*AI113*(DG113-DH113)/(100*CZ113*(1000-AI113*DG113))</f>
        <v>6.28247004428537</v>
      </c>
      <c r="L113">
        <f t="shared" ref="L113:L128" si="140">DK113*AI113*(DF113-DE113*(1000-AI113*DH113)/(1000-AI113*DG113))/(100*CZ113)</f>
        <v>51.732302531984196</v>
      </c>
      <c r="M113">
        <f t="shared" ref="M113:M144" si="141">DE113 - IF(AI113&gt;1, L113*CZ113*100/(AK113*DS113), 0)</f>
        <v>1129.4000000000001</v>
      </c>
      <c r="N113">
        <f t="shared" ref="N113:N144" si="142">((T113-J113/2)*M113-L113)/(T113+J113/2)</f>
        <v>929.5548130197468</v>
      </c>
      <c r="O113">
        <f t="shared" ref="O113:O144" si="143">N113*(DL113+DM113)/1000</f>
        <v>92.619520671898272</v>
      </c>
      <c r="P113">
        <f t="shared" ref="P113:P128" si="144">(DE113 - IF(AI113&gt;1, L113*CZ113*100/(AK113*DS113), 0))*(DL113+DM113)/1000</f>
        <v>112.5318111226</v>
      </c>
      <c r="Q113">
        <f t="shared" ref="Q113:Q144" si="145">2/((1/S113-1/R113)+SIGN(S113)*SQRT((1/S113-1/R113)*(1/S113-1/R113) + 4*DA113/((DA113+1)*(DA113+1))*(2*1/S113*1/R113-1/R113*1/R113)))</f>
        <v>0.50398578550862982</v>
      </c>
      <c r="R113">
        <f t="shared" ref="R113:R128" si="146">IF(LEFT(DB113,1)&lt;&gt;"0",IF(LEFT(DB113,1)="1",3,DC113),$D$5+$E$5*(DS113*DL113/($K$5*1000))+$F$5*(DS113*DL113/($K$5*1000))*MAX(MIN(CZ113,$J$5),$I$5)*MAX(MIN(CZ113,$J$5),$I$5)+$G$5*MAX(MIN(CZ113,$J$5),$I$5)*(DS113*DL113/($K$5*1000))+$H$5*(DS113*DL113/($K$5*1000))*(DS113*DL113/($K$5*1000)))</f>
        <v>2.9196872422499487</v>
      </c>
      <c r="S113">
        <f t="shared" ref="S113:S128" si="147">J113*(1000-(1000*0.61365*EXP(17.502*W113/(240.97+W113))/(DL113+DM113)+DG113)/2)/(1000*0.61365*EXP(17.502*W113/(240.97+W113))/(DL113+DM113)-DG113)</f>
        <v>0.46017077038559862</v>
      </c>
      <c r="T113">
        <f t="shared" ref="T113:T128" si="148">1/((DA113+1)/(Q113/1.6)+1/(R113/1.37)) + DA113/((DA113+1)/(Q113/1.6) + DA113/(R113/1.37))</f>
        <v>0.29122524479612238</v>
      </c>
      <c r="U113">
        <f t="shared" ref="U113:U128" si="149">(CV113*CY113)</f>
        <v>344.37449860506399</v>
      </c>
      <c r="V113">
        <f t="shared" ref="V113:V144" si="150">(DN113+(U113+2*0.95*0.0000000567*(((DN113+$B$7)+273)^4-(DN113+273)^4)-44100*J113)/(1.84*29.3*R113+8*0.95*0.0000000567*(DN113+273)^3))</f>
        <v>28.384461055773496</v>
      </c>
      <c r="W113">
        <f t="shared" ref="W113:W144" si="151">($C$7*DO113+$D$7*DP113+$E$7*V113)</f>
        <v>27.972799999999999</v>
      </c>
      <c r="X113">
        <f t="shared" ref="X113:X144" si="152">0.61365*EXP(17.502*W113/(240.97+W113))</f>
        <v>3.7888264896681707</v>
      </c>
      <c r="Y113">
        <f t="shared" ref="Y113:Y144" si="153">(Z113/AA113*100)</f>
        <v>65.172496123080577</v>
      </c>
      <c r="Z113">
        <f t="shared" ref="Z113:Z128" si="154">DG113*(DL113+DM113)/1000</f>
        <v>2.4712460002158996</v>
      </c>
      <c r="AA113">
        <f t="shared" ref="AA113:AA128" si="155">0.61365*EXP(17.502*DN113/(240.97+DN113))</f>
        <v>3.7918541520166165</v>
      </c>
      <c r="AB113">
        <f t="shared" ref="AB113:AB128" si="156">(X113-DG113*(DL113+DM113)/1000)</f>
        <v>1.3175804894522711</v>
      </c>
      <c r="AC113">
        <f t="shared" ref="AC113:AC128" si="157">(-J113*44100)</f>
        <v>-277.05692895298478</v>
      </c>
      <c r="AD113">
        <f t="shared" ref="AD113:AD128" si="158">2*29.3*R113*0.92*(DN113-W113)</f>
        <v>2.156464646877263</v>
      </c>
      <c r="AE113">
        <f t="shared" ref="AE113:AE128" si="159">2*0.95*0.0000000567*(((DN113+$B$7)+273)^4-(W113+273)^4)</f>
        <v>0.16096394855618348</v>
      </c>
      <c r="AF113">
        <f t="shared" ref="AF113:AF144" si="160">U113+AE113+AC113+AD113</f>
        <v>69.634998247512655</v>
      </c>
      <c r="AG113">
        <v>0</v>
      </c>
      <c r="AH113">
        <v>0</v>
      </c>
      <c r="AI113">
        <f t="shared" ref="AI113:AI128" si="161">IF(AG113*$H$13&gt;=AK113,1,(AK113/(AK113-AG113*$H$13)))</f>
        <v>1</v>
      </c>
      <c r="AJ113">
        <f t="shared" ref="AJ113:AJ144" si="162">(AI113-1)*100</f>
        <v>0</v>
      </c>
      <c r="AK113">
        <f t="shared" ref="AK113:AK128" si="163">MAX(0,($B$13+$C$13*DS113)/(1+$D$13*DS113)*DL113/(DN113+273)*$E$13)</f>
        <v>52410.258780342025</v>
      </c>
      <c r="AL113" t="s">
        <v>415</v>
      </c>
      <c r="AM113">
        <v>10424.1</v>
      </c>
      <c r="AN113">
        <v>628.54280000000006</v>
      </c>
      <c r="AO113">
        <v>2663.98</v>
      </c>
      <c r="AP113">
        <f t="shared" ref="AP113:AP144" si="164">1-AN113/AO113</f>
        <v>0.76405873917972356</v>
      </c>
      <c r="AQ113">
        <v>-3.1675626227050531</v>
      </c>
      <c r="AR113" t="s">
        <v>912</v>
      </c>
      <c r="AS113">
        <v>10194.5</v>
      </c>
      <c r="AT113">
        <v>764.57053846153838</v>
      </c>
      <c r="AU113">
        <v>1171.0177143375499</v>
      </c>
      <c r="AV113">
        <f t="shared" ref="AV113:AV144" si="165">1-AT113/AU113</f>
        <v>0.3470888364023943</v>
      </c>
      <c r="AW113">
        <v>0.5</v>
      </c>
      <c r="AX113">
        <f t="shared" ref="AX113:AX128" si="166">CW113</f>
        <v>1513.2095993025318</v>
      </c>
      <c r="AY113">
        <f t="shared" ref="AY113:AY128" si="167">L113</f>
        <v>51.732302531984196</v>
      </c>
      <c r="AZ113">
        <f t="shared" ref="AZ113:AZ128" si="168">AV113*AW113*AX113</f>
        <v>262.60907952742457</v>
      </c>
      <c r="BA113">
        <f t="shared" ref="BA113:BA128" si="169">(AY113-AQ113)/AX113</f>
        <v>3.6280410314601282E-2</v>
      </c>
      <c r="BB113">
        <f t="shared" ref="BB113:BB128" si="170">(AO113-AU113)/AU113</f>
        <v>1.2749271572779115</v>
      </c>
      <c r="BC113">
        <f t="shared" ref="BC113:BC128" si="171">AN113/(AP113+AN113/AU113)</f>
        <v>483.19416716401383</v>
      </c>
      <c r="BD113" t="s">
        <v>913</v>
      </c>
      <c r="BE113">
        <v>574.46</v>
      </c>
      <c r="BF113">
        <f t="shared" ref="BF113:BF144" si="172">IF(BE113&lt;&gt;0, BE113, BC113)</f>
        <v>574.46</v>
      </c>
      <c r="BG113">
        <f t="shared" ref="BG113:BG144" si="173">1-BF113/AU113</f>
        <v>0.50943526048623888</v>
      </c>
      <c r="BH113">
        <f t="shared" ref="BH113:BH128" si="174">(AU113-AT113)/(AU113-BF113)</f>
        <v>0.68132079446387273</v>
      </c>
      <c r="BI113">
        <f t="shared" ref="BI113:BI128" si="175">(AO113-AU113)/(AO113-BF113)</f>
        <v>0.71450011756884357</v>
      </c>
      <c r="BJ113">
        <f t="shared" ref="BJ113:BJ128" si="176">(AU113-AT113)/(AU113-AN113)</f>
        <v>0.74924602987835798</v>
      </c>
      <c r="BK113">
        <f t="shared" ref="BK113:BK128" si="177">(AO113-AU113)/(AO113-AN113)</f>
        <v>0.73348481872221372</v>
      </c>
      <c r="BL113">
        <f t="shared" ref="BL113:BL128" si="178">(BH113*BF113/AT113)</f>
        <v>0.51191031291275058</v>
      </c>
      <c r="BM113">
        <f t="shared" ref="BM113:BM144" si="179">(1-BL113)</f>
        <v>0.48808968708724942</v>
      </c>
      <c r="BN113">
        <v>20357</v>
      </c>
      <c r="BO113">
        <v>290.00000000000011</v>
      </c>
      <c r="BP113">
        <v>1075.2</v>
      </c>
      <c r="BQ113">
        <v>265</v>
      </c>
      <c r="BR113">
        <v>10194.5</v>
      </c>
      <c r="BS113">
        <v>1074.96</v>
      </c>
      <c r="BT113">
        <v>0.24</v>
      </c>
      <c r="BU113">
        <v>300.00000000000011</v>
      </c>
      <c r="BV113">
        <v>24.2</v>
      </c>
      <c r="BW113">
        <v>1171.0177143375499</v>
      </c>
      <c r="BX113">
        <v>2.0783296407420342</v>
      </c>
      <c r="BY113">
        <v>-97.927006686095197</v>
      </c>
      <c r="BZ113">
        <v>1.886902792721501</v>
      </c>
      <c r="CA113">
        <v>0.98971129645744704</v>
      </c>
      <c r="CB113">
        <v>-6.9466480533926546E-3</v>
      </c>
      <c r="CC113">
        <v>289.99999999999989</v>
      </c>
      <c r="CD113">
        <v>1076.1099999999999</v>
      </c>
      <c r="CE113">
        <v>675</v>
      </c>
      <c r="CF113">
        <v>10170.700000000001</v>
      </c>
      <c r="CG113">
        <v>1074.73</v>
      </c>
      <c r="CH113">
        <v>1.38</v>
      </c>
      <c r="CV113">
        <f t="shared" ref="CV113:CV128" si="180">$B$11*DT113+$C$11*DU113+$F$11*EF113*(1-EI113)</f>
        <v>1800.03</v>
      </c>
      <c r="CW113">
        <f t="shared" ref="CW113:CW144" si="181">CV113*CX113</f>
        <v>1513.2095993025318</v>
      </c>
      <c r="CX113">
        <f t="shared" ref="CX113:CX128" si="182">($B$11*$D$9+$C$11*$D$9+$F$11*((ES113+EK113)/MAX(ES113+EK113+ET113, 0.1)*$I$9+ET113/MAX(ES113+EK113+ET113, 0.1)*$J$9))/($B$11+$C$11+$F$11)</f>
        <v>0.84065798864604024</v>
      </c>
      <c r="CY113">
        <f t="shared" ref="CY113:CY128" si="183">($B$11*$K$9+$C$11*$K$9+$F$11*((ES113+EK113)/MAX(ES113+EK113+ET113, 0.1)*$P$9+ET113/MAX(ES113+EK113+ET113, 0.1)*$Q$9))/($B$11+$C$11+$F$11)</f>
        <v>0.19131597729208069</v>
      </c>
      <c r="CZ113">
        <v>6</v>
      </c>
      <c r="DA113">
        <v>0.5</v>
      </c>
      <c r="DB113" t="s">
        <v>418</v>
      </c>
      <c r="DC113">
        <v>2</v>
      </c>
      <c r="DD113">
        <v>1674597669.5999999</v>
      </c>
      <c r="DE113">
        <v>1129.4000000000001</v>
      </c>
      <c r="DF113">
        <v>1199.98</v>
      </c>
      <c r="DG113">
        <v>24.802099999999999</v>
      </c>
      <c r="DH113">
        <v>17.451499999999999</v>
      </c>
      <c r="DI113">
        <v>1133.8699999999999</v>
      </c>
      <c r="DJ113">
        <v>24.4528</v>
      </c>
      <c r="DK113">
        <v>500.09399999999999</v>
      </c>
      <c r="DL113">
        <v>99.538399999999996</v>
      </c>
      <c r="DM113">
        <v>0.100179</v>
      </c>
      <c r="DN113">
        <v>27.986499999999999</v>
      </c>
      <c r="DO113">
        <v>27.972799999999999</v>
      </c>
      <c r="DP113">
        <v>999.9</v>
      </c>
      <c r="DQ113">
        <v>0</v>
      </c>
      <c r="DR113">
        <v>0</v>
      </c>
      <c r="DS113">
        <v>9990</v>
      </c>
      <c r="DT113">
        <v>0</v>
      </c>
      <c r="DU113">
        <v>329.15899999999999</v>
      </c>
      <c r="DV113">
        <v>-70.5792</v>
      </c>
      <c r="DW113">
        <v>1158.1199999999999</v>
      </c>
      <c r="DX113">
        <v>1221.29</v>
      </c>
      <c r="DY113">
        <v>7.3506099999999996</v>
      </c>
      <c r="DZ113">
        <v>1199.98</v>
      </c>
      <c r="EA113">
        <v>17.451499999999999</v>
      </c>
      <c r="EB113">
        <v>2.4687600000000001</v>
      </c>
      <c r="EC113">
        <v>1.73709</v>
      </c>
      <c r="ED113">
        <v>20.821999999999999</v>
      </c>
      <c r="EE113">
        <v>15.2319</v>
      </c>
      <c r="EF113">
        <v>1800.03</v>
      </c>
      <c r="EG113">
        <v>0.97800699999999996</v>
      </c>
      <c r="EH113">
        <v>2.1992500000000002E-2</v>
      </c>
      <c r="EI113">
        <v>0</v>
      </c>
      <c r="EJ113">
        <v>764.77200000000005</v>
      </c>
      <c r="EK113">
        <v>5.0010599999999998</v>
      </c>
      <c r="EL113">
        <v>14176.2</v>
      </c>
      <c r="EM113">
        <v>16711.400000000001</v>
      </c>
      <c r="EN113">
        <v>48.875</v>
      </c>
      <c r="EO113">
        <v>49.625</v>
      </c>
      <c r="EP113">
        <v>49.811999999999998</v>
      </c>
      <c r="EQ113">
        <v>48.436999999999998</v>
      </c>
      <c r="ER113">
        <v>49.686999999999998</v>
      </c>
      <c r="ES113">
        <v>1755.55</v>
      </c>
      <c r="ET113">
        <v>39.479999999999997</v>
      </c>
      <c r="EU113">
        <v>0</v>
      </c>
      <c r="EV113">
        <v>123.7999999523163</v>
      </c>
      <c r="EW113">
        <v>0</v>
      </c>
      <c r="EX113">
        <v>764.57053846153838</v>
      </c>
      <c r="EY113">
        <v>1.9835213564853069</v>
      </c>
      <c r="EZ113">
        <v>31.829059852795432</v>
      </c>
      <c r="FA113">
        <v>14172.223076923079</v>
      </c>
      <c r="FB113">
        <v>15</v>
      </c>
      <c r="FC113">
        <v>1674597624.0999999</v>
      </c>
      <c r="FD113" t="s">
        <v>914</v>
      </c>
      <c r="FE113">
        <v>1674597624.0999999</v>
      </c>
      <c r="FF113">
        <v>1674597617.0999999</v>
      </c>
      <c r="FG113">
        <v>108</v>
      </c>
      <c r="FH113">
        <v>-0.374</v>
      </c>
      <c r="FI113">
        <v>-4.0000000000000001E-3</v>
      </c>
      <c r="FJ113">
        <v>-4.5229999999999997</v>
      </c>
      <c r="FK113">
        <v>1.7000000000000001E-2</v>
      </c>
      <c r="FL113">
        <v>1201</v>
      </c>
      <c r="FM113">
        <v>17</v>
      </c>
      <c r="FN113">
        <v>7.0000000000000007E-2</v>
      </c>
      <c r="FO113">
        <v>0.01</v>
      </c>
      <c r="FP113">
        <v>51.681781748765907</v>
      </c>
      <c r="FQ113">
        <v>0.33056229047999708</v>
      </c>
      <c r="FR113">
        <v>7.6123571374754367E-2</v>
      </c>
      <c r="FS113">
        <v>1</v>
      </c>
      <c r="FT113">
        <v>0.51049546528717316</v>
      </c>
      <c r="FU113">
        <v>-4.4962336487068807E-2</v>
      </c>
      <c r="FV113">
        <v>4.3824114170735876E-3</v>
      </c>
      <c r="FW113">
        <v>1</v>
      </c>
      <c r="FX113">
        <v>2</v>
      </c>
      <c r="FY113">
        <v>2</v>
      </c>
      <c r="FZ113" t="s">
        <v>420</v>
      </c>
      <c r="GA113">
        <v>2.9773299999999998</v>
      </c>
      <c r="GB113">
        <v>2.8064200000000001</v>
      </c>
      <c r="GC113">
        <v>0.20022899999999999</v>
      </c>
      <c r="GD113">
        <v>0.205067</v>
      </c>
      <c r="GE113">
        <v>0.12134399999999999</v>
      </c>
      <c r="GF113">
        <v>9.4817200000000004E-2</v>
      </c>
      <c r="GG113">
        <v>23605.3</v>
      </c>
      <c r="GH113">
        <v>21751.3</v>
      </c>
      <c r="GI113">
        <v>26540.7</v>
      </c>
      <c r="GJ113">
        <v>25851.4</v>
      </c>
      <c r="GK113">
        <v>31731.200000000001</v>
      </c>
      <c r="GL113">
        <v>33030.400000000001</v>
      </c>
      <c r="GM113">
        <v>37598.199999999997</v>
      </c>
      <c r="GN113">
        <v>38356.800000000003</v>
      </c>
      <c r="GO113">
        <v>1.9671000000000001</v>
      </c>
      <c r="GP113">
        <v>1.9058999999999999</v>
      </c>
      <c r="GQ113">
        <v>4.6458100000000002E-2</v>
      </c>
      <c r="GR113">
        <v>0</v>
      </c>
      <c r="GS113">
        <v>27.213799999999999</v>
      </c>
      <c r="GT113">
        <v>999.9</v>
      </c>
      <c r="GU113">
        <v>38</v>
      </c>
      <c r="GV113">
        <v>34.4</v>
      </c>
      <c r="GW113">
        <v>20.8569</v>
      </c>
      <c r="GX113">
        <v>62.218400000000003</v>
      </c>
      <c r="GY113">
        <v>11.959099999999999</v>
      </c>
      <c r="GZ113">
        <v>1</v>
      </c>
      <c r="HA113">
        <v>0.45823700000000001</v>
      </c>
      <c r="HB113">
        <v>2.8409800000000001</v>
      </c>
      <c r="HC113">
        <v>20.231300000000001</v>
      </c>
      <c r="HD113">
        <v>5.2096499999999999</v>
      </c>
      <c r="HE113">
        <v>11.9381</v>
      </c>
      <c r="HF113">
        <v>4.9870999999999999</v>
      </c>
      <c r="HG113">
        <v>3.2901500000000001</v>
      </c>
      <c r="HH113">
        <v>9999</v>
      </c>
      <c r="HI113">
        <v>9999</v>
      </c>
      <c r="HJ113">
        <v>9999</v>
      </c>
      <c r="HK113">
        <v>999.9</v>
      </c>
      <c r="HL113">
        <v>1.8702700000000001</v>
      </c>
      <c r="HM113">
        <v>1.87653</v>
      </c>
      <c r="HN113">
        <v>1.8742399999999999</v>
      </c>
      <c r="HO113">
        <v>1.87256</v>
      </c>
      <c r="HP113">
        <v>1.8730199999999999</v>
      </c>
      <c r="HQ113">
        <v>1.87042</v>
      </c>
      <c r="HR113">
        <v>1.8763300000000001</v>
      </c>
      <c r="HS113">
        <v>1.87544</v>
      </c>
      <c r="HT113">
        <v>5</v>
      </c>
      <c r="HU113">
        <v>0</v>
      </c>
      <c r="HV113">
        <v>0</v>
      </c>
      <c r="HW113">
        <v>0</v>
      </c>
      <c r="HX113" t="s">
        <v>421</v>
      </c>
      <c r="HY113" t="s">
        <v>422</v>
      </c>
      <c r="HZ113" t="s">
        <v>423</v>
      </c>
      <c r="IA113" t="s">
        <v>424</v>
      </c>
      <c r="IB113" t="s">
        <v>424</v>
      </c>
      <c r="IC113" t="s">
        <v>423</v>
      </c>
      <c r="ID113">
        <v>0</v>
      </c>
      <c r="IE113">
        <v>100</v>
      </c>
      <c r="IF113">
        <v>100</v>
      </c>
      <c r="IG113">
        <v>-4.47</v>
      </c>
      <c r="IH113">
        <v>0.3493</v>
      </c>
      <c r="II113">
        <v>-2.9451887360327169</v>
      </c>
      <c r="IJ113">
        <v>-2.536945948238235E-3</v>
      </c>
      <c r="IK113">
        <v>1.581473279927893E-6</v>
      </c>
      <c r="IL113">
        <v>-4.6698293441882044E-10</v>
      </c>
      <c r="IM113">
        <v>-0.15859899602312219</v>
      </c>
      <c r="IN113">
        <v>-1.5895243091576399E-2</v>
      </c>
      <c r="IO113">
        <v>1.559614309849521E-3</v>
      </c>
      <c r="IP113">
        <v>-2.4566050869858518E-6</v>
      </c>
      <c r="IQ113">
        <v>2</v>
      </c>
      <c r="IR113">
        <v>2224</v>
      </c>
      <c r="IS113">
        <v>2</v>
      </c>
      <c r="IT113">
        <v>25</v>
      </c>
      <c r="IU113">
        <v>0.8</v>
      </c>
      <c r="IV113">
        <v>0.9</v>
      </c>
      <c r="IW113">
        <v>2.2766099999999998</v>
      </c>
      <c r="IX113">
        <v>2.4877899999999999</v>
      </c>
      <c r="IY113">
        <v>1.65039</v>
      </c>
      <c r="IZ113">
        <v>2.2900399999999999</v>
      </c>
      <c r="JA113">
        <v>1.50024</v>
      </c>
      <c r="JB113">
        <v>2.2692899999999998</v>
      </c>
      <c r="JC113">
        <v>38.281199999999998</v>
      </c>
      <c r="JD113">
        <v>23.851099999999999</v>
      </c>
      <c r="JE113">
        <v>18</v>
      </c>
      <c r="JF113">
        <v>506.45800000000003</v>
      </c>
      <c r="JG113">
        <v>459.60500000000002</v>
      </c>
      <c r="JH113">
        <v>24.545200000000001</v>
      </c>
      <c r="JI113">
        <v>32.962400000000002</v>
      </c>
      <c r="JJ113">
        <v>30.0001</v>
      </c>
      <c r="JK113">
        <v>32.944200000000002</v>
      </c>
      <c r="JL113">
        <v>32.914499999999997</v>
      </c>
      <c r="JM113">
        <v>45.5837</v>
      </c>
      <c r="JN113">
        <v>30.960899999999999</v>
      </c>
      <c r="JO113">
        <v>34.289200000000001</v>
      </c>
      <c r="JP113">
        <v>24.549600000000002</v>
      </c>
      <c r="JQ113">
        <v>1200</v>
      </c>
      <c r="JR113">
        <v>17.456800000000001</v>
      </c>
      <c r="JS113">
        <v>99.785700000000006</v>
      </c>
      <c r="JT113">
        <v>98.9572</v>
      </c>
    </row>
    <row r="114" spans="1:280" x14ac:dyDescent="0.25">
      <c r="A114">
        <v>98</v>
      </c>
      <c r="B114">
        <v>1674597788.5999999</v>
      </c>
      <c r="C114">
        <v>23654</v>
      </c>
      <c r="D114" t="s">
        <v>915</v>
      </c>
      <c r="E114" t="s">
        <v>916</v>
      </c>
      <c r="F114" t="s">
        <v>412</v>
      </c>
      <c r="G114" t="s">
        <v>851</v>
      </c>
      <c r="H114" t="s">
        <v>566</v>
      </c>
      <c r="I114">
        <v>1674597788.5999999</v>
      </c>
      <c r="J114">
        <f t="shared" si="138"/>
        <v>6.0180064149511379E-3</v>
      </c>
      <c r="K114">
        <f t="shared" si="139"/>
        <v>6.0180064149511381</v>
      </c>
      <c r="L114">
        <f t="shared" si="140"/>
        <v>50.61861128989392</v>
      </c>
      <c r="M114">
        <f t="shared" si="141"/>
        <v>1428.97</v>
      </c>
      <c r="N114">
        <f t="shared" si="142"/>
        <v>1217.9153907968803</v>
      </c>
      <c r="O114">
        <f t="shared" si="143"/>
        <v>121.36143664392351</v>
      </c>
      <c r="P114">
        <f t="shared" si="144"/>
        <v>142.392364388792</v>
      </c>
      <c r="Q114">
        <f t="shared" si="145"/>
        <v>0.47850514803167449</v>
      </c>
      <c r="R114">
        <f t="shared" si="146"/>
        <v>2.9224664786339383</v>
      </c>
      <c r="S114">
        <f t="shared" si="147"/>
        <v>0.43885627475271477</v>
      </c>
      <c r="T114">
        <f t="shared" si="148"/>
        <v>0.27757317474285176</v>
      </c>
      <c r="U114">
        <f t="shared" si="149"/>
        <v>344.36689860503304</v>
      </c>
      <c r="V114">
        <f t="shared" si="150"/>
        <v>28.464246519916635</v>
      </c>
      <c r="W114">
        <f t="shared" si="151"/>
        <v>28.008299999999998</v>
      </c>
      <c r="X114">
        <f t="shared" si="152"/>
        <v>3.7966762439472643</v>
      </c>
      <c r="Y114">
        <f t="shared" si="153"/>
        <v>65.181467589417736</v>
      </c>
      <c r="Z114">
        <f t="shared" si="154"/>
        <v>2.4732149769812799</v>
      </c>
      <c r="AA114">
        <f t="shared" si="155"/>
        <v>3.7943530092943298</v>
      </c>
      <c r="AB114">
        <f t="shared" si="156"/>
        <v>1.3234612669659844</v>
      </c>
      <c r="AC114">
        <f t="shared" si="157"/>
        <v>-265.39408289934516</v>
      </c>
      <c r="AD114">
        <f t="shared" si="158"/>
        <v>-1.6543381343586883</v>
      </c>
      <c r="AE114">
        <f t="shared" si="159"/>
        <v>-0.12339530593411203</v>
      </c>
      <c r="AF114">
        <f t="shared" si="160"/>
        <v>77.195082265395058</v>
      </c>
      <c r="AG114">
        <v>0</v>
      </c>
      <c r="AH114">
        <v>0</v>
      </c>
      <c r="AI114">
        <f t="shared" si="161"/>
        <v>1</v>
      </c>
      <c r="AJ114">
        <f t="shared" si="162"/>
        <v>0</v>
      </c>
      <c r="AK114">
        <f t="shared" si="163"/>
        <v>52488.302979602006</v>
      </c>
      <c r="AL114" t="s">
        <v>415</v>
      </c>
      <c r="AM114">
        <v>10424.1</v>
      </c>
      <c r="AN114">
        <v>628.54280000000006</v>
      </c>
      <c r="AO114">
        <v>2663.98</v>
      </c>
      <c r="AP114">
        <f t="shared" si="164"/>
        <v>0.76405873917972356</v>
      </c>
      <c r="AQ114">
        <v>-3.1675626227050531</v>
      </c>
      <c r="AR114" t="s">
        <v>917</v>
      </c>
      <c r="AS114">
        <v>10192.700000000001</v>
      </c>
      <c r="AT114">
        <v>766.91500000000008</v>
      </c>
      <c r="AU114">
        <v>1178.7050670317369</v>
      </c>
      <c r="AV114">
        <f t="shared" si="165"/>
        <v>0.34935801885430373</v>
      </c>
      <c r="AW114">
        <v>0.5</v>
      </c>
      <c r="AX114">
        <f t="shared" si="166"/>
        <v>1513.1759993025164</v>
      </c>
      <c r="AY114">
        <f t="shared" si="167"/>
        <v>50.61861128989392</v>
      </c>
      <c r="AZ114">
        <f t="shared" si="168"/>
        <v>264.32008464710418</v>
      </c>
      <c r="BA114">
        <f t="shared" si="169"/>
        <v>3.5545220078425234E-2</v>
      </c>
      <c r="BB114">
        <f t="shared" si="170"/>
        <v>1.2600903945450432</v>
      </c>
      <c r="BC114">
        <f t="shared" si="171"/>
        <v>484.49799984672853</v>
      </c>
      <c r="BD114" t="s">
        <v>918</v>
      </c>
      <c r="BE114">
        <v>576.75</v>
      </c>
      <c r="BF114">
        <f t="shared" si="172"/>
        <v>576.75</v>
      </c>
      <c r="BG114">
        <f t="shared" si="173"/>
        <v>0.51069184639004284</v>
      </c>
      <c r="BH114">
        <f t="shared" si="174"/>
        <v>0.6840877161517871</v>
      </c>
      <c r="BI114">
        <f t="shared" si="175"/>
        <v>0.71160098933431537</v>
      </c>
      <c r="BJ114">
        <f t="shared" si="176"/>
        <v>0.74848838553295793</v>
      </c>
      <c r="BK114">
        <f t="shared" si="177"/>
        <v>0.72970806123041443</v>
      </c>
      <c r="BL114">
        <f t="shared" si="178"/>
        <v>0.51446065116804751</v>
      </c>
      <c r="BM114">
        <f t="shared" si="179"/>
        <v>0.48553934883195249</v>
      </c>
      <c r="BN114">
        <v>20359</v>
      </c>
      <c r="BO114">
        <v>290.00000000000011</v>
      </c>
      <c r="BP114">
        <v>1078.3599999999999</v>
      </c>
      <c r="BQ114">
        <v>275</v>
      </c>
      <c r="BR114">
        <v>10192.700000000001</v>
      </c>
      <c r="BS114">
        <v>1078.54</v>
      </c>
      <c r="BT114">
        <v>-0.18</v>
      </c>
      <c r="BU114">
        <v>300.00000000000011</v>
      </c>
      <c r="BV114">
        <v>24.2</v>
      </c>
      <c r="BW114">
        <v>1178.7050670317369</v>
      </c>
      <c r="BX114">
        <v>2.2016027852322209</v>
      </c>
      <c r="BY114">
        <v>-102.09553270714591</v>
      </c>
      <c r="BZ114">
        <v>1.9987700424442849</v>
      </c>
      <c r="CA114">
        <v>0.98938220561997969</v>
      </c>
      <c r="CB114">
        <v>-6.9464200222469413E-3</v>
      </c>
      <c r="CC114">
        <v>289.99999999999989</v>
      </c>
      <c r="CD114">
        <v>1078.29</v>
      </c>
      <c r="CE114">
        <v>635</v>
      </c>
      <c r="CF114">
        <v>10173.799999999999</v>
      </c>
      <c r="CG114">
        <v>1078.3499999999999</v>
      </c>
      <c r="CH114">
        <v>-0.06</v>
      </c>
      <c r="CV114">
        <f t="shared" si="180"/>
        <v>1799.99</v>
      </c>
      <c r="CW114">
        <f t="shared" si="181"/>
        <v>1513.1759993025164</v>
      </c>
      <c r="CX114">
        <f t="shared" si="182"/>
        <v>0.84065800326808282</v>
      </c>
      <c r="CY114">
        <f t="shared" si="183"/>
        <v>0.19131600653616579</v>
      </c>
      <c r="CZ114">
        <v>6</v>
      </c>
      <c r="DA114">
        <v>0.5</v>
      </c>
      <c r="DB114" t="s">
        <v>418</v>
      </c>
      <c r="DC114">
        <v>2</v>
      </c>
      <c r="DD114">
        <v>1674597788.5999999</v>
      </c>
      <c r="DE114">
        <v>1428.97</v>
      </c>
      <c r="DF114">
        <v>1500.02</v>
      </c>
      <c r="DG114">
        <v>24.819800000000001</v>
      </c>
      <c r="DH114">
        <v>17.778600000000001</v>
      </c>
      <c r="DI114">
        <v>1433.58</v>
      </c>
      <c r="DJ114">
        <v>24.468900000000001</v>
      </c>
      <c r="DK114">
        <v>500.08300000000003</v>
      </c>
      <c r="DL114">
        <v>99.546999999999997</v>
      </c>
      <c r="DM114">
        <v>9.9853600000000001E-2</v>
      </c>
      <c r="DN114">
        <v>27.997800000000002</v>
      </c>
      <c r="DO114">
        <v>28.008299999999998</v>
      </c>
      <c r="DP114">
        <v>999.9</v>
      </c>
      <c r="DQ114">
        <v>0</v>
      </c>
      <c r="DR114">
        <v>0</v>
      </c>
      <c r="DS114">
        <v>10005</v>
      </c>
      <c r="DT114">
        <v>0</v>
      </c>
      <c r="DU114">
        <v>328.16800000000001</v>
      </c>
      <c r="DV114">
        <v>-71.050799999999995</v>
      </c>
      <c r="DW114">
        <v>1465.34</v>
      </c>
      <c r="DX114">
        <v>1527.17</v>
      </c>
      <c r="DY114">
        <v>7.0411599999999996</v>
      </c>
      <c r="DZ114">
        <v>1500.02</v>
      </c>
      <c r="EA114">
        <v>17.778600000000001</v>
      </c>
      <c r="EB114">
        <v>2.4707300000000001</v>
      </c>
      <c r="EC114">
        <v>1.7698100000000001</v>
      </c>
      <c r="ED114">
        <v>20.835000000000001</v>
      </c>
      <c r="EE114">
        <v>15.5227</v>
      </c>
      <c r="EF114">
        <v>1799.99</v>
      </c>
      <c r="EG114">
        <v>0.97800699999999996</v>
      </c>
      <c r="EH114">
        <v>2.1992500000000002E-2</v>
      </c>
      <c r="EI114">
        <v>0</v>
      </c>
      <c r="EJ114">
        <v>767.42700000000002</v>
      </c>
      <c r="EK114">
        <v>5.0010599999999998</v>
      </c>
      <c r="EL114">
        <v>14217.5</v>
      </c>
      <c r="EM114">
        <v>16711</v>
      </c>
      <c r="EN114">
        <v>48.875</v>
      </c>
      <c r="EO114">
        <v>49.625</v>
      </c>
      <c r="EP114">
        <v>49.811999999999998</v>
      </c>
      <c r="EQ114">
        <v>48.375</v>
      </c>
      <c r="ER114">
        <v>49.686999999999998</v>
      </c>
      <c r="ES114">
        <v>1755.51</v>
      </c>
      <c r="ET114">
        <v>39.479999999999997</v>
      </c>
      <c r="EU114">
        <v>0</v>
      </c>
      <c r="EV114">
        <v>117</v>
      </c>
      <c r="EW114">
        <v>0</v>
      </c>
      <c r="EX114">
        <v>766.91500000000008</v>
      </c>
      <c r="EY114">
        <v>1.8835555421931971</v>
      </c>
      <c r="EZ114">
        <v>35.81538464282427</v>
      </c>
      <c r="FA114">
        <v>14213.176923076921</v>
      </c>
      <c r="FB114">
        <v>15</v>
      </c>
      <c r="FC114">
        <v>1674597755.0999999</v>
      </c>
      <c r="FD114" t="s">
        <v>919</v>
      </c>
      <c r="FE114">
        <v>1674597755.0999999</v>
      </c>
      <c r="FF114">
        <v>1674597750.5999999</v>
      </c>
      <c r="FG114">
        <v>109</v>
      </c>
      <c r="FH114">
        <v>0.1</v>
      </c>
      <c r="FI114">
        <v>1E-3</v>
      </c>
      <c r="FJ114">
        <v>-4.673</v>
      </c>
      <c r="FK114">
        <v>0.03</v>
      </c>
      <c r="FL114">
        <v>1500</v>
      </c>
      <c r="FM114">
        <v>18</v>
      </c>
      <c r="FN114">
        <v>0.06</v>
      </c>
      <c r="FO114">
        <v>0.01</v>
      </c>
      <c r="FP114">
        <v>50.458582029085044</v>
      </c>
      <c r="FQ114">
        <v>3.7069260740321623E-2</v>
      </c>
      <c r="FR114">
        <v>0.15153790647162849</v>
      </c>
      <c r="FS114">
        <v>1</v>
      </c>
      <c r="FT114">
        <v>0.48842171607178131</v>
      </c>
      <c r="FU114">
        <v>-3.4446368772315702E-2</v>
      </c>
      <c r="FV114">
        <v>4.6009743853842652E-3</v>
      </c>
      <c r="FW114">
        <v>1</v>
      </c>
      <c r="FX114">
        <v>2</v>
      </c>
      <c r="FY114">
        <v>2</v>
      </c>
      <c r="FZ114" t="s">
        <v>420</v>
      </c>
      <c r="GA114">
        <v>2.9772699999999999</v>
      </c>
      <c r="GB114">
        <v>2.8062200000000002</v>
      </c>
      <c r="GC114">
        <v>0.23159099999999999</v>
      </c>
      <c r="GD114">
        <v>0.23530999999999999</v>
      </c>
      <c r="GE114">
        <v>0.121403</v>
      </c>
      <c r="GF114">
        <v>9.6071199999999995E-2</v>
      </c>
      <c r="GG114">
        <v>22675.599999999999</v>
      </c>
      <c r="GH114">
        <v>20919.599999999999</v>
      </c>
      <c r="GI114">
        <v>26539.599999999999</v>
      </c>
      <c r="GJ114">
        <v>25849.9</v>
      </c>
      <c r="GK114">
        <v>31727.7</v>
      </c>
      <c r="GL114">
        <v>32983.1</v>
      </c>
      <c r="GM114">
        <v>37596.1</v>
      </c>
      <c r="GN114">
        <v>38354.699999999997</v>
      </c>
      <c r="GO114">
        <v>1.9662299999999999</v>
      </c>
      <c r="GP114">
        <v>1.90737</v>
      </c>
      <c r="GQ114">
        <v>5.1956599999999999E-2</v>
      </c>
      <c r="GR114">
        <v>0</v>
      </c>
      <c r="GS114">
        <v>27.159400000000002</v>
      </c>
      <c r="GT114">
        <v>999.9</v>
      </c>
      <c r="GU114">
        <v>38.200000000000003</v>
      </c>
      <c r="GV114">
        <v>34.5</v>
      </c>
      <c r="GW114">
        <v>21.082100000000001</v>
      </c>
      <c r="GX114">
        <v>61.898499999999999</v>
      </c>
      <c r="GY114">
        <v>12.319699999999999</v>
      </c>
      <c r="GZ114">
        <v>1</v>
      </c>
      <c r="HA114">
        <v>0.46049299999999999</v>
      </c>
      <c r="HB114">
        <v>2.8841700000000001</v>
      </c>
      <c r="HC114">
        <v>20.229900000000001</v>
      </c>
      <c r="HD114">
        <v>5.2054600000000004</v>
      </c>
      <c r="HE114">
        <v>11.9381</v>
      </c>
      <c r="HF114">
        <v>4.9862500000000001</v>
      </c>
      <c r="HG114">
        <v>3.2896299999999998</v>
      </c>
      <c r="HH114">
        <v>9999</v>
      </c>
      <c r="HI114">
        <v>9999</v>
      </c>
      <c r="HJ114">
        <v>9999</v>
      </c>
      <c r="HK114">
        <v>999.9</v>
      </c>
      <c r="HL114">
        <v>1.8702700000000001</v>
      </c>
      <c r="HM114">
        <v>1.87653</v>
      </c>
      <c r="HN114">
        <v>1.8742399999999999</v>
      </c>
      <c r="HO114">
        <v>1.8725499999999999</v>
      </c>
      <c r="HP114">
        <v>1.8729899999999999</v>
      </c>
      <c r="HQ114">
        <v>1.87042</v>
      </c>
      <c r="HR114">
        <v>1.8762799999999999</v>
      </c>
      <c r="HS114">
        <v>1.87541</v>
      </c>
      <c r="HT114">
        <v>5</v>
      </c>
      <c r="HU114">
        <v>0</v>
      </c>
      <c r="HV114">
        <v>0</v>
      </c>
      <c r="HW114">
        <v>0</v>
      </c>
      <c r="HX114" t="s">
        <v>421</v>
      </c>
      <c r="HY114" t="s">
        <v>422</v>
      </c>
      <c r="HZ114" t="s">
        <v>423</v>
      </c>
      <c r="IA114" t="s">
        <v>424</v>
      </c>
      <c r="IB114" t="s">
        <v>424</v>
      </c>
      <c r="IC114" t="s">
        <v>423</v>
      </c>
      <c r="ID114">
        <v>0</v>
      </c>
      <c r="IE114">
        <v>100</v>
      </c>
      <c r="IF114">
        <v>100</v>
      </c>
      <c r="IG114">
        <v>-4.6100000000000003</v>
      </c>
      <c r="IH114">
        <v>0.35089999999999999</v>
      </c>
      <c r="II114">
        <v>-2.8448982200272201</v>
      </c>
      <c r="IJ114">
        <v>-2.536945948238235E-3</v>
      </c>
      <c r="IK114">
        <v>1.581473279927893E-6</v>
      </c>
      <c r="IL114">
        <v>-4.6698293441882044E-10</v>
      </c>
      <c r="IM114">
        <v>-0.15794151442215509</v>
      </c>
      <c r="IN114">
        <v>-1.5895243091576399E-2</v>
      </c>
      <c r="IO114">
        <v>1.559614309849521E-3</v>
      </c>
      <c r="IP114">
        <v>-2.4566050869858518E-6</v>
      </c>
      <c r="IQ114">
        <v>2</v>
      </c>
      <c r="IR114">
        <v>2224</v>
      </c>
      <c r="IS114">
        <v>2</v>
      </c>
      <c r="IT114">
        <v>25</v>
      </c>
      <c r="IU114">
        <v>0.6</v>
      </c>
      <c r="IV114">
        <v>0.6</v>
      </c>
      <c r="IW114">
        <v>2.7355999999999998</v>
      </c>
      <c r="IX114">
        <v>2.47559</v>
      </c>
      <c r="IY114">
        <v>1.65039</v>
      </c>
      <c r="IZ114">
        <v>2.2900399999999999</v>
      </c>
      <c r="JA114">
        <v>1.50024</v>
      </c>
      <c r="JB114">
        <v>2.3999000000000001</v>
      </c>
      <c r="JC114">
        <v>38.305599999999998</v>
      </c>
      <c r="JD114">
        <v>23.8598</v>
      </c>
      <c r="JE114">
        <v>18</v>
      </c>
      <c r="JF114">
        <v>506.072</v>
      </c>
      <c r="JG114">
        <v>460.76100000000002</v>
      </c>
      <c r="JH114">
        <v>24.5425</v>
      </c>
      <c r="JI114">
        <v>32.9801</v>
      </c>
      <c r="JJ114">
        <v>30.0001</v>
      </c>
      <c r="JK114">
        <v>32.967799999999997</v>
      </c>
      <c r="JL114">
        <v>32.939399999999999</v>
      </c>
      <c r="JM114">
        <v>54.769599999999997</v>
      </c>
      <c r="JN114">
        <v>30.209099999999999</v>
      </c>
      <c r="JO114">
        <v>34.947899999999997</v>
      </c>
      <c r="JP114">
        <v>24.542899999999999</v>
      </c>
      <c r="JQ114">
        <v>1500</v>
      </c>
      <c r="JR114">
        <v>17.8004</v>
      </c>
      <c r="JS114">
        <v>99.780799999999999</v>
      </c>
      <c r="JT114">
        <v>98.951599999999999</v>
      </c>
    </row>
    <row r="115" spans="1:280" x14ac:dyDescent="0.25">
      <c r="A115">
        <v>99</v>
      </c>
      <c r="B115">
        <v>1674599078.0999999</v>
      </c>
      <c r="C115">
        <v>24943.5</v>
      </c>
      <c r="D115" t="s">
        <v>920</v>
      </c>
      <c r="E115" t="s">
        <v>921</v>
      </c>
      <c r="F115" t="s">
        <v>412</v>
      </c>
      <c r="G115" t="s">
        <v>922</v>
      </c>
      <c r="H115" t="s">
        <v>637</v>
      </c>
      <c r="I115">
        <v>1674599078.0999999</v>
      </c>
      <c r="J115">
        <f t="shared" si="138"/>
        <v>6.0262407201143089E-3</v>
      </c>
      <c r="K115">
        <f t="shared" si="139"/>
        <v>6.0262407201143091</v>
      </c>
      <c r="L115">
        <f t="shared" si="140"/>
        <v>46.281838365295684</v>
      </c>
      <c r="M115">
        <f t="shared" si="141"/>
        <v>342.03500000000003</v>
      </c>
      <c r="N115">
        <f t="shared" si="142"/>
        <v>161.35082067024044</v>
      </c>
      <c r="O115">
        <f t="shared" si="143"/>
        <v>16.076364244470653</v>
      </c>
      <c r="P115">
        <f t="shared" si="144"/>
        <v>34.079028675010008</v>
      </c>
      <c r="Q115">
        <f t="shared" si="145"/>
        <v>0.45437740897240209</v>
      </c>
      <c r="R115">
        <f t="shared" si="146"/>
        <v>2.9243627948961435</v>
      </c>
      <c r="S115">
        <f t="shared" si="147"/>
        <v>0.41848684075112841</v>
      </c>
      <c r="T115">
        <f t="shared" si="148"/>
        <v>0.26454225603939518</v>
      </c>
      <c r="U115">
        <f t="shared" si="149"/>
        <v>344.38519860439618</v>
      </c>
      <c r="V115">
        <f t="shared" si="150"/>
        <v>28.462329405247313</v>
      </c>
      <c r="W115">
        <f t="shared" si="151"/>
        <v>28.334</v>
      </c>
      <c r="X115">
        <f t="shared" si="152"/>
        <v>3.8693598080030087</v>
      </c>
      <c r="Y115">
        <f t="shared" si="153"/>
        <v>65.366954270083795</v>
      </c>
      <c r="Z115">
        <f t="shared" si="154"/>
        <v>2.4803108340582001</v>
      </c>
      <c r="AA115">
        <f t="shared" si="155"/>
        <v>3.7944414907416801</v>
      </c>
      <c r="AB115">
        <f t="shared" si="156"/>
        <v>1.3890489739448086</v>
      </c>
      <c r="AC115">
        <f t="shared" si="157"/>
        <v>-265.75721575704102</v>
      </c>
      <c r="AD115">
        <f t="shared" si="158"/>
        <v>-52.941639342076293</v>
      </c>
      <c r="AE115">
        <f t="shared" si="159"/>
        <v>-3.952717104208316</v>
      </c>
      <c r="AF115">
        <f t="shared" si="160"/>
        <v>21.733626401070545</v>
      </c>
      <c r="AG115">
        <v>0</v>
      </c>
      <c r="AH115">
        <v>0</v>
      </c>
      <c r="AI115">
        <f t="shared" si="161"/>
        <v>1</v>
      </c>
      <c r="AJ115">
        <f t="shared" si="162"/>
        <v>0</v>
      </c>
      <c r="AK115">
        <f t="shared" si="163"/>
        <v>52542.49797990502</v>
      </c>
      <c r="AL115" t="s">
        <v>415</v>
      </c>
      <c r="AM115">
        <v>10424.1</v>
      </c>
      <c r="AN115">
        <v>628.54280000000006</v>
      </c>
      <c r="AO115">
        <v>2663.98</v>
      </c>
      <c r="AP115">
        <f t="shared" si="164"/>
        <v>0.76405873917972356</v>
      </c>
      <c r="AQ115">
        <v>-3.1675626227050531</v>
      </c>
      <c r="AR115" t="s">
        <v>923</v>
      </c>
      <c r="AS115">
        <v>10204.799999999999</v>
      </c>
      <c r="AT115">
        <v>766.32434615384614</v>
      </c>
      <c r="AU115">
        <v>1097.6597581811541</v>
      </c>
      <c r="AV115">
        <f t="shared" si="165"/>
        <v>0.3018562077709197</v>
      </c>
      <c r="AW115">
        <v>0.5</v>
      </c>
      <c r="AX115">
        <f t="shared" si="166"/>
        <v>1513.2521993021981</v>
      </c>
      <c r="AY115">
        <f t="shared" si="167"/>
        <v>46.281838365295684</v>
      </c>
      <c r="AZ115">
        <f t="shared" si="168"/>
        <v>228.39228514118275</v>
      </c>
      <c r="BA115">
        <f t="shared" si="169"/>
        <v>3.2677567566598092E-2</v>
      </c>
      <c r="BB115">
        <f t="shared" si="170"/>
        <v>1.4269633464692852</v>
      </c>
      <c r="BC115">
        <f t="shared" si="171"/>
        <v>470.22699560448456</v>
      </c>
      <c r="BD115" t="s">
        <v>924</v>
      </c>
      <c r="BE115">
        <v>550.71</v>
      </c>
      <c r="BF115">
        <f t="shared" si="172"/>
        <v>550.71</v>
      </c>
      <c r="BG115">
        <f t="shared" si="173"/>
        <v>0.4982871551084842</v>
      </c>
      <c r="BH115">
        <f t="shared" si="174"/>
        <v>0.60578765612611729</v>
      </c>
      <c r="BI115">
        <f t="shared" si="175"/>
        <v>0.74118320982119934</v>
      </c>
      <c r="BJ115">
        <f t="shared" si="176"/>
        <v>0.70629595935297562</v>
      </c>
      <c r="BK115">
        <f t="shared" si="177"/>
        <v>0.76952521149699238</v>
      </c>
      <c r="BL115">
        <f t="shared" si="178"/>
        <v>0.43534219130529667</v>
      </c>
      <c r="BM115">
        <f t="shared" si="179"/>
        <v>0.56465780869470339</v>
      </c>
      <c r="BN115">
        <v>20361</v>
      </c>
      <c r="BO115">
        <v>290.00000000000011</v>
      </c>
      <c r="BP115">
        <v>1021.02</v>
      </c>
      <c r="BQ115">
        <v>145</v>
      </c>
      <c r="BR115">
        <v>10204.799999999999</v>
      </c>
      <c r="BS115">
        <v>1022.54</v>
      </c>
      <c r="BT115">
        <v>-1.52</v>
      </c>
      <c r="BU115">
        <v>300.00000000000011</v>
      </c>
      <c r="BV115">
        <v>24.2</v>
      </c>
      <c r="BW115">
        <v>1097.6597581811541</v>
      </c>
      <c r="BX115">
        <v>2.2592661721543541</v>
      </c>
      <c r="BY115">
        <v>-76.663070797223568</v>
      </c>
      <c r="BZ115">
        <v>2.0487748251177691</v>
      </c>
      <c r="CA115">
        <v>0.98039463231564639</v>
      </c>
      <c r="CB115">
        <v>-6.9386473859844294E-3</v>
      </c>
      <c r="CC115">
        <v>289.99999999999989</v>
      </c>
      <c r="CD115">
        <v>1025.21</v>
      </c>
      <c r="CE115">
        <v>695</v>
      </c>
      <c r="CF115">
        <v>10157.200000000001</v>
      </c>
      <c r="CG115">
        <v>1022.18</v>
      </c>
      <c r="CH115">
        <v>3.03</v>
      </c>
      <c r="CV115">
        <f t="shared" si="180"/>
        <v>1800.08</v>
      </c>
      <c r="CW115">
        <f t="shared" si="181"/>
        <v>1513.2521993021981</v>
      </c>
      <c r="CX115">
        <f t="shared" si="182"/>
        <v>0.84065830368772398</v>
      </c>
      <c r="CY115">
        <f t="shared" si="183"/>
        <v>0.19131660737544787</v>
      </c>
      <c r="CZ115">
        <v>6</v>
      </c>
      <c r="DA115">
        <v>0.5</v>
      </c>
      <c r="DB115" t="s">
        <v>418</v>
      </c>
      <c r="DC115">
        <v>2</v>
      </c>
      <c r="DD115">
        <v>1674599078.0999999</v>
      </c>
      <c r="DE115">
        <v>342.03500000000003</v>
      </c>
      <c r="DF115">
        <v>400.03699999999998</v>
      </c>
      <c r="DG115">
        <v>24.893699999999999</v>
      </c>
      <c r="DH115">
        <v>17.843399999999999</v>
      </c>
      <c r="DI115">
        <v>345.33699999999999</v>
      </c>
      <c r="DJ115">
        <v>24.540299999999998</v>
      </c>
      <c r="DK115">
        <v>500.08300000000003</v>
      </c>
      <c r="DL115">
        <v>99.5364</v>
      </c>
      <c r="DM115">
        <v>9.9685999999999997E-2</v>
      </c>
      <c r="DN115">
        <v>27.998200000000001</v>
      </c>
      <c r="DO115">
        <v>28.334</v>
      </c>
      <c r="DP115">
        <v>999.9</v>
      </c>
      <c r="DQ115">
        <v>0</v>
      </c>
      <c r="DR115">
        <v>0</v>
      </c>
      <c r="DS115">
        <v>10016.9</v>
      </c>
      <c r="DT115">
        <v>0</v>
      </c>
      <c r="DU115">
        <v>252.38200000000001</v>
      </c>
      <c r="DV115">
        <v>-58.001800000000003</v>
      </c>
      <c r="DW115">
        <v>350.767</v>
      </c>
      <c r="DX115">
        <v>407.30500000000001</v>
      </c>
      <c r="DY115">
        <v>7.0502500000000001</v>
      </c>
      <c r="DZ115">
        <v>400.03699999999998</v>
      </c>
      <c r="EA115">
        <v>17.843399999999999</v>
      </c>
      <c r="EB115">
        <v>2.47783</v>
      </c>
      <c r="EC115">
        <v>1.77607</v>
      </c>
      <c r="ED115">
        <v>20.881599999999999</v>
      </c>
      <c r="EE115">
        <v>15.5778</v>
      </c>
      <c r="EF115">
        <v>1800.08</v>
      </c>
      <c r="EG115">
        <v>0.97799700000000001</v>
      </c>
      <c r="EH115">
        <v>2.2003499999999999E-2</v>
      </c>
      <c r="EI115">
        <v>0</v>
      </c>
      <c r="EJ115">
        <v>766.63199999999995</v>
      </c>
      <c r="EK115">
        <v>5.0010599999999998</v>
      </c>
      <c r="EL115">
        <v>14310.3</v>
      </c>
      <c r="EM115">
        <v>16711.7</v>
      </c>
      <c r="EN115">
        <v>48.686999999999998</v>
      </c>
      <c r="EO115">
        <v>49.5</v>
      </c>
      <c r="EP115">
        <v>49.686999999999998</v>
      </c>
      <c r="EQ115">
        <v>48.25</v>
      </c>
      <c r="ER115">
        <v>49.5</v>
      </c>
      <c r="ES115">
        <v>1755.58</v>
      </c>
      <c r="ET115">
        <v>39.5</v>
      </c>
      <c r="EU115">
        <v>0</v>
      </c>
      <c r="EV115">
        <v>1287.7999999523161</v>
      </c>
      <c r="EW115">
        <v>0</v>
      </c>
      <c r="EX115">
        <v>766.32434615384614</v>
      </c>
      <c r="EY115">
        <v>0.88167521189535769</v>
      </c>
      <c r="EZ115">
        <v>15.664957254352441</v>
      </c>
      <c r="FA115">
        <v>14308.446153846149</v>
      </c>
      <c r="FB115">
        <v>15</v>
      </c>
      <c r="FC115">
        <v>1674599044.0999999</v>
      </c>
      <c r="FD115" t="s">
        <v>925</v>
      </c>
      <c r="FE115">
        <v>1674599034.0999999</v>
      </c>
      <c r="FF115">
        <v>1674599044.0999999</v>
      </c>
      <c r="FG115">
        <v>111</v>
      </c>
      <c r="FH115">
        <v>0.14499999999999999</v>
      </c>
      <c r="FI115">
        <v>-3.0000000000000001E-3</v>
      </c>
      <c r="FJ115">
        <v>-3.3919999999999999</v>
      </c>
      <c r="FK115">
        <v>3.9E-2</v>
      </c>
      <c r="FL115">
        <v>400</v>
      </c>
      <c r="FM115">
        <v>18</v>
      </c>
      <c r="FN115">
        <v>0.03</v>
      </c>
      <c r="FO115">
        <v>0.02</v>
      </c>
      <c r="FP115">
        <v>46.285168656073651</v>
      </c>
      <c r="FQ115">
        <v>-0.4450546180363732</v>
      </c>
      <c r="FR115">
        <v>8.0783269712790914E-2</v>
      </c>
      <c r="FS115">
        <v>1</v>
      </c>
      <c r="FT115">
        <v>0.45605751750272022</v>
      </c>
      <c r="FU115">
        <v>3.8031419418486027E-2</v>
      </c>
      <c r="FV115">
        <v>4.3884832536188268E-3</v>
      </c>
      <c r="FW115">
        <v>1</v>
      </c>
      <c r="FX115">
        <v>2</v>
      </c>
      <c r="FY115">
        <v>2</v>
      </c>
      <c r="FZ115" t="s">
        <v>420</v>
      </c>
      <c r="GA115">
        <v>2.9773000000000001</v>
      </c>
      <c r="GB115">
        <v>2.8061600000000002</v>
      </c>
      <c r="GC115">
        <v>8.6555400000000005E-2</v>
      </c>
      <c r="GD115">
        <v>9.6000299999999997E-2</v>
      </c>
      <c r="GE115">
        <v>0.121641</v>
      </c>
      <c r="GF115">
        <v>9.6311800000000003E-2</v>
      </c>
      <c r="GG115">
        <v>26965.200000000001</v>
      </c>
      <c r="GH115">
        <v>24739</v>
      </c>
      <c r="GI115">
        <v>26539.3</v>
      </c>
      <c r="GJ115">
        <v>25848.1</v>
      </c>
      <c r="GK115">
        <v>31717.5</v>
      </c>
      <c r="GL115">
        <v>32969.9</v>
      </c>
      <c r="GM115">
        <v>37595.699999999997</v>
      </c>
      <c r="GN115">
        <v>38350.9</v>
      </c>
      <c r="GO115">
        <v>1.9670700000000001</v>
      </c>
      <c r="GP115">
        <v>1.9035</v>
      </c>
      <c r="GQ115">
        <v>7.0765599999999998E-2</v>
      </c>
      <c r="GR115">
        <v>0</v>
      </c>
      <c r="GS115">
        <v>27.1782</v>
      </c>
      <c r="GT115">
        <v>999.9</v>
      </c>
      <c r="GU115">
        <v>42.2</v>
      </c>
      <c r="GV115">
        <v>34.299999999999997</v>
      </c>
      <c r="GW115">
        <v>23.0352</v>
      </c>
      <c r="GX115">
        <v>62.0486</v>
      </c>
      <c r="GY115">
        <v>12.4359</v>
      </c>
      <c r="GZ115">
        <v>1</v>
      </c>
      <c r="HA115">
        <v>0.45952199999999999</v>
      </c>
      <c r="HB115">
        <v>2.9130199999999999</v>
      </c>
      <c r="HC115">
        <v>20.228999999999999</v>
      </c>
      <c r="HD115">
        <v>5.2059100000000003</v>
      </c>
      <c r="HE115">
        <v>11.9381</v>
      </c>
      <c r="HF115">
        <v>4.9863499999999998</v>
      </c>
      <c r="HG115">
        <v>3.2895799999999999</v>
      </c>
      <c r="HH115">
        <v>9999</v>
      </c>
      <c r="HI115">
        <v>9999</v>
      </c>
      <c r="HJ115">
        <v>9999</v>
      </c>
      <c r="HK115">
        <v>999.9</v>
      </c>
      <c r="HL115">
        <v>1.8702700000000001</v>
      </c>
      <c r="HM115">
        <v>1.87653</v>
      </c>
      <c r="HN115">
        <v>1.8742399999999999</v>
      </c>
      <c r="HO115">
        <v>1.8725499999999999</v>
      </c>
      <c r="HP115">
        <v>1.8730199999999999</v>
      </c>
      <c r="HQ115">
        <v>1.87042</v>
      </c>
      <c r="HR115">
        <v>1.8763300000000001</v>
      </c>
      <c r="HS115">
        <v>1.8753599999999999</v>
      </c>
      <c r="HT115">
        <v>5</v>
      </c>
      <c r="HU115">
        <v>0</v>
      </c>
      <c r="HV115">
        <v>0</v>
      </c>
      <c r="HW115">
        <v>0</v>
      </c>
      <c r="HX115" t="s">
        <v>421</v>
      </c>
      <c r="HY115" t="s">
        <v>422</v>
      </c>
      <c r="HZ115" t="s">
        <v>423</v>
      </c>
      <c r="IA115" t="s">
        <v>424</v>
      </c>
      <c r="IB115" t="s">
        <v>424</v>
      </c>
      <c r="IC115" t="s">
        <v>423</v>
      </c>
      <c r="ID115">
        <v>0</v>
      </c>
      <c r="IE115">
        <v>100</v>
      </c>
      <c r="IF115">
        <v>100</v>
      </c>
      <c r="IG115">
        <v>-3.302</v>
      </c>
      <c r="IH115">
        <v>0.35339999999999999</v>
      </c>
      <c r="II115">
        <v>-2.595497781411674</v>
      </c>
      <c r="IJ115">
        <v>-2.536945948238235E-3</v>
      </c>
      <c r="IK115">
        <v>1.581473279927893E-6</v>
      </c>
      <c r="IL115">
        <v>-4.6698293441882044E-10</v>
      </c>
      <c r="IM115">
        <v>-0.15945061002139019</v>
      </c>
      <c r="IN115">
        <v>-1.5895243091576399E-2</v>
      </c>
      <c r="IO115">
        <v>1.559614309849521E-3</v>
      </c>
      <c r="IP115">
        <v>-2.4566050869858518E-6</v>
      </c>
      <c r="IQ115">
        <v>2</v>
      </c>
      <c r="IR115">
        <v>2224</v>
      </c>
      <c r="IS115">
        <v>2</v>
      </c>
      <c r="IT115">
        <v>25</v>
      </c>
      <c r="IU115">
        <v>0.7</v>
      </c>
      <c r="IV115">
        <v>0.6</v>
      </c>
      <c r="IW115">
        <v>0.93627899999999997</v>
      </c>
      <c r="IX115">
        <v>2.4853499999999999</v>
      </c>
      <c r="IY115">
        <v>1.65039</v>
      </c>
      <c r="IZ115">
        <v>2.2900399999999999</v>
      </c>
      <c r="JA115">
        <v>1.50024</v>
      </c>
      <c r="JB115">
        <v>2.32422</v>
      </c>
      <c r="JC115">
        <v>38.330100000000002</v>
      </c>
      <c r="JD115">
        <v>23.851099999999999</v>
      </c>
      <c r="JE115">
        <v>18</v>
      </c>
      <c r="JF115">
        <v>506.53699999999998</v>
      </c>
      <c r="JG115">
        <v>458.10500000000002</v>
      </c>
      <c r="JH115">
        <v>24.673400000000001</v>
      </c>
      <c r="JI115">
        <v>32.971299999999999</v>
      </c>
      <c r="JJ115">
        <v>30.000399999999999</v>
      </c>
      <c r="JK115">
        <v>32.956000000000003</v>
      </c>
      <c r="JL115">
        <v>32.9236</v>
      </c>
      <c r="JM115">
        <v>18.774699999999999</v>
      </c>
      <c r="JN115">
        <v>39.4574</v>
      </c>
      <c r="JO115">
        <v>44.528700000000001</v>
      </c>
      <c r="JP115">
        <v>24.596900000000002</v>
      </c>
      <c r="JQ115">
        <v>400</v>
      </c>
      <c r="JR115">
        <v>17.864699999999999</v>
      </c>
      <c r="JS115">
        <v>99.779700000000005</v>
      </c>
      <c r="JT115">
        <v>98.942999999999998</v>
      </c>
    </row>
    <row r="116" spans="1:280" x14ac:dyDescent="0.25">
      <c r="A116">
        <v>100</v>
      </c>
      <c r="B116">
        <v>1674599192.5</v>
      </c>
      <c r="C116">
        <v>25057.900000095371</v>
      </c>
      <c r="D116" t="s">
        <v>926</v>
      </c>
      <c r="E116" t="s">
        <v>927</v>
      </c>
      <c r="F116" t="s">
        <v>412</v>
      </c>
      <c r="G116" t="s">
        <v>922</v>
      </c>
      <c r="H116" t="s">
        <v>637</v>
      </c>
      <c r="I116">
        <v>1674599192.5</v>
      </c>
      <c r="J116">
        <f t="shared" si="138"/>
        <v>6.0514857512317883E-3</v>
      </c>
      <c r="K116">
        <f t="shared" si="139"/>
        <v>6.0514857512317883</v>
      </c>
      <c r="L116">
        <f t="shared" si="140"/>
        <v>42.896266940675446</v>
      </c>
      <c r="M116">
        <f t="shared" si="141"/>
        <v>246.71199999999999</v>
      </c>
      <c r="N116">
        <f t="shared" si="142"/>
        <v>83.372891920103271</v>
      </c>
      <c r="O116">
        <f t="shared" si="143"/>
        <v>8.3067852352265295</v>
      </c>
      <c r="P116">
        <f t="shared" si="144"/>
        <v>24.580934543054397</v>
      </c>
      <c r="Q116">
        <f t="shared" si="145"/>
        <v>0.4621837743827108</v>
      </c>
      <c r="R116">
        <f t="shared" si="146"/>
        <v>2.9185193945794823</v>
      </c>
      <c r="S116">
        <f t="shared" si="147"/>
        <v>0.42503541953523494</v>
      </c>
      <c r="T116">
        <f t="shared" si="148"/>
        <v>0.26873551268126222</v>
      </c>
      <c r="U116">
        <f t="shared" si="149"/>
        <v>344.37569860435741</v>
      </c>
      <c r="V116">
        <f t="shared" si="150"/>
        <v>28.449256307386513</v>
      </c>
      <c r="W116">
        <f t="shared" si="151"/>
        <v>28.294499999999999</v>
      </c>
      <c r="X116">
        <f t="shared" si="152"/>
        <v>3.8604807641856751</v>
      </c>
      <c r="Y116">
        <f t="shared" si="153"/>
        <v>65.57422427562058</v>
      </c>
      <c r="Z116">
        <f t="shared" si="154"/>
        <v>2.4871168752674997</v>
      </c>
      <c r="AA116">
        <f t="shared" si="155"/>
        <v>3.7928269876494278</v>
      </c>
      <c r="AB116">
        <f t="shared" si="156"/>
        <v>1.3733638889181754</v>
      </c>
      <c r="AC116">
        <f t="shared" si="157"/>
        <v>-266.87052162932184</v>
      </c>
      <c r="AD116">
        <f t="shared" si="158"/>
        <v>-47.769400863532674</v>
      </c>
      <c r="AE116">
        <f t="shared" si="159"/>
        <v>-3.5728562933522241</v>
      </c>
      <c r="AF116">
        <f t="shared" si="160"/>
        <v>26.162919818150662</v>
      </c>
      <c r="AG116">
        <v>0</v>
      </c>
      <c r="AH116">
        <v>0</v>
      </c>
      <c r="AI116">
        <f t="shared" si="161"/>
        <v>1</v>
      </c>
      <c r="AJ116">
        <f t="shared" si="162"/>
        <v>0</v>
      </c>
      <c r="AK116">
        <f t="shared" si="163"/>
        <v>52375.875841677633</v>
      </c>
      <c r="AL116" t="s">
        <v>415</v>
      </c>
      <c r="AM116">
        <v>10424.1</v>
      </c>
      <c r="AN116">
        <v>628.54280000000006</v>
      </c>
      <c r="AO116">
        <v>2663.98</v>
      </c>
      <c r="AP116">
        <f t="shared" si="164"/>
        <v>0.76405873917972356</v>
      </c>
      <c r="AQ116">
        <v>-3.1675626227050531</v>
      </c>
      <c r="AR116" t="s">
        <v>928</v>
      </c>
      <c r="AS116">
        <v>10179.200000000001</v>
      </c>
      <c r="AT116">
        <v>763.97288461538471</v>
      </c>
      <c r="AU116">
        <v>1077.0761901549531</v>
      </c>
      <c r="AV116">
        <f t="shared" si="165"/>
        <v>0.29069745334777475</v>
      </c>
      <c r="AW116">
        <v>0.5</v>
      </c>
      <c r="AX116">
        <f t="shared" si="166"/>
        <v>1513.2101993021786</v>
      </c>
      <c r="AY116">
        <f t="shared" si="167"/>
        <v>42.896266940675446</v>
      </c>
      <c r="AZ116">
        <f t="shared" si="168"/>
        <v>219.943175658511</v>
      </c>
      <c r="BA116">
        <f t="shared" si="169"/>
        <v>3.0441130772593902E-2</v>
      </c>
      <c r="BB116">
        <f t="shared" si="170"/>
        <v>1.4733440627043735</v>
      </c>
      <c r="BC116">
        <f t="shared" si="171"/>
        <v>466.40860281308932</v>
      </c>
      <c r="BD116" t="s">
        <v>929</v>
      </c>
      <c r="BE116">
        <v>550.54999999999995</v>
      </c>
      <c r="BF116">
        <f t="shared" si="172"/>
        <v>550.54999999999995</v>
      </c>
      <c r="BG116">
        <f t="shared" si="173"/>
        <v>0.48884767388573014</v>
      </c>
      <c r="BH116">
        <f t="shared" si="174"/>
        <v>0.59465855904988163</v>
      </c>
      <c r="BI116">
        <f t="shared" si="175"/>
        <v>0.75086651076451394</v>
      </c>
      <c r="BJ116">
        <f t="shared" si="176"/>
        <v>0.6980601944292304</v>
      </c>
      <c r="BK116">
        <f t="shared" si="177"/>
        <v>0.77963781434526547</v>
      </c>
      <c r="BL116">
        <f t="shared" si="178"/>
        <v>0.42853519578739169</v>
      </c>
      <c r="BM116">
        <f t="shared" si="179"/>
        <v>0.57146480421260826</v>
      </c>
      <c r="BN116">
        <v>20363</v>
      </c>
      <c r="BO116">
        <v>290.00000000000011</v>
      </c>
      <c r="BP116">
        <v>1001.56</v>
      </c>
      <c r="BQ116">
        <v>295</v>
      </c>
      <c r="BR116">
        <v>10179.200000000001</v>
      </c>
      <c r="BS116">
        <v>1002.69</v>
      </c>
      <c r="BT116">
        <v>-1.1299999999999999</v>
      </c>
      <c r="BU116">
        <v>300.00000000000011</v>
      </c>
      <c r="BV116">
        <v>24.2</v>
      </c>
      <c r="BW116">
        <v>1077.0761901549531</v>
      </c>
      <c r="BX116">
        <v>2.3080864504680321</v>
      </c>
      <c r="BY116">
        <v>-75.715710320126149</v>
      </c>
      <c r="BZ116">
        <v>2.0929413993694341</v>
      </c>
      <c r="CA116">
        <v>0.97905373020885289</v>
      </c>
      <c r="CB116">
        <v>-6.9383110122358234E-3</v>
      </c>
      <c r="CC116">
        <v>289.99999999999989</v>
      </c>
      <c r="CD116">
        <v>1005.59</v>
      </c>
      <c r="CE116">
        <v>755</v>
      </c>
      <c r="CF116">
        <v>10152.6</v>
      </c>
      <c r="CG116">
        <v>1002.5</v>
      </c>
      <c r="CH116">
        <v>3.09</v>
      </c>
      <c r="CV116">
        <f t="shared" si="180"/>
        <v>1800.03</v>
      </c>
      <c r="CW116">
        <f t="shared" si="181"/>
        <v>1513.2101993021786</v>
      </c>
      <c r="CX116">
        <f t="shared" si="182"/>
        <v>0.84065832197362189</v>
      </c>
      <c r="CY116">
        <f t="shared" si="183"/>
        <v>0.1913166439472439</v>
      </c>
      <c r="CZ116">
        <v>6</v>
      </c>
      <c r="DA116">
        <v>0.5</v>
      </c>
      <c r="DB116" t="s">
        <v>418</v>
      </c>
      <c r="DC116">
        <v>2</v>
      </c>
      <c r="DD116">
        <v>1674599192.5</v>
      </c>
      <c r="DE116">
        <v>246.71199999999999</v>
      </c>
      <c r="DF116">
        <v>299.976</v>
      </c>
      <c r="DG116">
        <v>24.962499999999999</v>
      </c>
      <c r="DH116">
        <v>17.882400000000001</v>
      </c>
      <c r="DI116">
        <v>249.61</v>
      </c>
      <c r="DJ116">
        <v>24.605599999999999</v>
      </c>
      <c r="DK116">
        <v>500.029</v>
      </c>
      <c r="DL116">
        <v>99.534300000000002</v>
      </c>
      <c r="DM116">
        <v>9.9826200000000004E-2</v>
      </c>
      <c r="DN116">
        <v>27.9909</v>
      </c>
      <c r="DO116">
        <v>28.294499999999999</v>
      </c>
      <c r="DP116">
        <v>999.9</v>
      </c>
      <c r="DQ116">
        <v>0</v>
      </c>
      <c r="DR116">
        <v>0</v>
      </c>
      <c r="DS116">
        <v>9983.75</v>
      </c>
      <c r="DT116">
        <v>0</v>
      </c>
      <c r="DU116">
        <v>252.86600000000001</v>
      </c>
      <c r="DV116">
        <v>-53.264600000000002</v>
      </c>
      <c r="DW116">
        <v>253.02799999999999</v>
      </c>
      <c r="DX116">
        <v>305.43799999999999</v>
      </c>
      <c r="DY116">
        <v>7.0800700000000001</v>
      </c>
      <c r="DZ116">
        <v>299.976</v>
      </c>
      <c r="EA116">
        <v>17.882400000000001</v>
      </c>
      <c r="EB116">
        <v>2.4846200000000001</v>
      </c>
      <c r="EC116">
        <v>1.7799100000000001</v>
      </c>
      <c r="ED116">
        <v>20.926100000000002</v>
      </c>
      <c r="EE116">
        <v>15.611499999999999</v>
      </c>
      <c r="EF116">
        <v>1800.03</v>
      </c>
      <c r="EG116">
        <v>0.97799700000000001</v>
      </c>
      <c r="EH116">
        <v>2.2003499999999999E-2</v>
      </c>
      <c r="EI116">
        <v>0</v>
      </c>
      <c r="EJ116">
        <v>764.16899999999998</v>
      </c>
      <c r="EK116">
        <v>5.0010599999999998</v>
      </c>
      <c r="EL116">
        <v>14266</v>
      </c>
      <c r="EM116">
        <v>16711.3</v>
      </c>
      <c r="EN116">
        <v>48.686999999999998</v>
      </c>
      <c r="EO116">
        <v>49.436999999999998</v>
      </c>
      <c r="EP116">
        <v>49.625</v>
      </c>
      <c r="EQ116">
        <v>48.186999999999998</v>
      </c>
      <c r="ER116">
        <v>49.561999999999998</v>
      </c>
      <c r="ES116">
        <v>1755.53</v>
      </c>
      <c r="ET116">
        <v>39.5</v>
      </c>
      <c r="EU116">
        <v>0</v>
      </c>
      <c r="EV116">
        <v>112.7999999523163</v>
      </c>
      <c r="EW116">
        <v>0</v>
      </c>
      <c r="EX116">
        <v>763.97288461538471</v>
      </c>
      <c r="EY116">
        <v>1.0346324808233831</v>
      </c>
      <c r="EZ116">
        <v>23.45299145553405</v>
      </c>
      <c r="FA116">
        <v>14262.915384615389</v>
      </c>
      <c r="FB116">
        <v>15</v>
      </c>
      <c r="FC116">
        <v>1674599159</v>
      </c>
      <c r="FD116" t="s">
        <v>930</v>
      </c>
      <c r="FE116">
        <v>1674599155</v>
      </c>
      <c r="FF116">
        <v>1674599159</v>
      </c>
      <c r="FG116">
        <v>112</v>
      </c>
      <c r="FH116">
        <v>0.23899999999999999</v>
      </c>
      <c r="FI116">
        <v>0</v>
      </c>
      <c r="FJ116">
        <v>-2.9929999999999999</v>
      </c>
      <c r="FK116">
        <v>3.5999999999999997E-2</v>
      </c>
      <c r="FL116">
        <v>300</v>
      </c>
      <c r="FM116">
        <v>18</v>
      </c>
      <c r="FN116">
        <v>0.04</v>
      </c>
      <c r="FO116">
        <v>0.01</v>
      </c>
      <c r="FP116">
        <v>42.944943504420522</v>
      </c>
      <c r="FQ116">
        <v>-0.66799643767191996</v>
      </c>
      <c r="FR116">
        <v>8.560526618141534E-2</v>
      </c>
      <c r="FS116">
        <v>1</v>
      </c>
      <c r="FT116">
        <v>0.46451505779609598</v>
      </c>
      <c r="FU116">
        <v>3.3986018980631832E-2</v>
      </c>
      <c r="FV116">
        <v>4.8677181579377896E-3</v>
      </c>
      <c r="FW116">
        <v>1</v>
      </c>
      <c r="FX116">
        <v>2</v>
      </c>
      <c r="FY116">
        <v>2</v>
      </c>
      <c r="FZ116" t="s">
        <v>420</v>
      </c>
      <c r="GA116">
        <v>2.9771700000000001</v>
      </c>
      <c r="GB116">
        <v>2.8060100000000001</v>
      </c>
      <c r="GC116">
        <v>6.6178399999999998E-2</v>
      </c>
      <c r="GD116">
        <v>7.6312699999999997E-2</v>
      </c>
      <c r="GE116">
        <v>0.121863</v>
      </c>
      <c r="GF116">
        <v>9.6456200000000006E-2</v>
      </c>
      <c r="GG116">
        <v>27567.599999999999</v>
      </c>
      <c r="GH116">
        <v>25278.3</v>
      </c>
      <c r="GI116">
        <v>26540</v>
      </c>
      <c r="GJ116">
        <v>25848.3</v>
      </c>
      <c r="GK116">
        <v>31709.599999999999</v>
      </c>
      <c r="GL116">
        <v>32965.1</v>
      </c>
      <c r="GM116">
        <v>37596.199999999997</v>
      </c>
      <c r="GN116">
        <v>38351.599999999999</v>
      </c>
      <c r="GO116">
        <v>1.9670000000000001</v>
      </c>
      <c r="GP116">
        <v>1.9033</v>
      </c>
      <c r="GQ116">
        <v>7.3045499999999999E-2</v>
      </c>
      <c r="GR116">
        <v>0</v>
      </c>
      <c r="GS116">
        <v>27.101299999999998</v>
      </c>
      <c r="GT116">
        <v>999.9</v>
      </c>
      <c r="GU116">
        <v>42.1</v>
      </c>
      <c r="GV116">
        <v>34.4</v>
      </c>
      <c r="GW116">
        <v>23.107099999999999</v>
      </c>
      <c r="GX116">
        <v>62.2286</v>
      </c>
      <c r="GY116">
        <v>12.507999999999999</v>
      </c>
      <c r="GZ116">
        <v>1</v>
      </c>
      <c r="HA116">
        <v>0.45784599999999998</v>
      </c>
      <c r="HB116">
        <v>2.6688000000000001</v>
      </c>
      <c r="HC116">
        <v>20.2331</v>
      </c>
      <c r="HD116">
        <v>5.2059100000000003</v>
      </c>
      <c r="HE116">
        <v>11.9381</v>
      </c>
      <c r="HF116">
        <v>4.9863999999999997</v>
      </c>
      <c r="HG116">
        <v>3.2894999999999999</v>
      </c>
      <c r="HH116">
        <v>9999</v>
      </c>
      <c r="HI116">
        <v>9999</v>
      </c>
      <c r="HJ116">
        <v>9999</v>
      </c>
      <c r="HK116">
        <v>999.9</v>
      </c>
      <c r="HL116">
        <v>1.8702700000000001</v>
      </c>
      <c r="HM116">
        <v>1.87653</v>
      </c>
      <c r="HN116">
        <v>1.8742399999999999</v>
      </c>
      <c r="HO116">
        <v>1.87256</v>
      </c>
      <c r="HP116">
        <v>1.8730100000000001</v>
      </c>
      <c r="HQ116">
        <v>1.87042</v>
      </c>
      <c r="HR116">
        <v>1.87632</v>
      </c>
      <c r="HS116">
        <v>1.8753899999999999</v>
      </c>
      <c r="HT116">
        <v>5</v>
      </c>
      <c r="HU116">
        <v>0</v>
      </c>
      <c r="HV116">
        <v>0</v>
      </c>
      <c r="HW116">
        <v>0</v>
      </c>
      <c r="HX116" t="s">
        <v>421</v>
      </c>
      <c r="HY116" t="s">
        <v>422</v>
      </c>
      <c r="HZ116" t="s">
        <v>423</v>
      </c>
      <c r="IA116" t="s">
        <v>424</v>
      </c>
      <c r="IB116" t="s">
        <v>424</v>
      </c>
      <c r="IC116" t="s">
        <v>423</v>
      </c>
      <c r="ID116">
        <v>0</v>
      </c>
      <c r="IE116">
        <v>100</v>
      </c>
      <c r="IF116">
        <v>100</v>
      </c>
      <c r="IG116">
        <v>-2.8980000000000001</v>
      </c>
      <c r="IH116">
        <v>0.3569</v>
      </c>
      <c r="II116">
        <v>-2.3563911448428021</v>
      </c>
      <c r="IJ116">
        <v>-2.536945948238235E-3</v>
      </c>
      <c r="IK116">
        <v>1.581473279927893E-6</v>
      </c>
      <c r="IL116">
        <v>-4.6698293441882044E-10</v>
      </c>
      <c r="IM116">
        <v>-0.1596198180047991</v>
      </c>
      <c r="IN116">
        <v>-1.5895243091576399E-2</v>
      </c>
      <c r="IO116">
        <v>1.559614309849521E-3</v>
      </c>
      <c r="IP116">
        <v>-2.4566050869858518E-6</v>
      </c>
      <c r="IQ116">
        <v>2</v>
      </c>
      <c r="IR116">
        <v>2224</v>
      </c>
      <c r="IS116">
        <v>2</v>
      </c>
      <c r="IT116">
        <v>25</v>
      </c>
      <c r="IU116">
        <v>0.6</v>
      </c>
      <c r="IV116">
        <v>0.6</v>
      </c>
      <c r="IW116">
        <v>0.74829100000000004</v>
      </c>
      <c r="IX116">
        <v>2.4939</v>
      </c>
      <c r="IY116">
        <v>1.65039</v>
      </c>
      <c r="IZ116">
        <v>2.2900399999999999</v>
      </c>
      <c r="JA116">
        <v>1.50024</v>
      </c>
      <c r="JB116">
        <v>2.3120099999999999</v>
      </c>
      <c r="JC116">
        <v>38.354500000000002</v>
      </c>
      <c r="JD116">
        <v>23.851099999999999</v>
      </c>
      <c r="JE116">
        <v>18</v>
      </c>
      <c r="JF116">
        <v>506.50400000000002</v>
      </c>
      <c r="JG116">
        <v>458.02800000000002</v>
      </c>
      <c r="JH116">
        <v>24.638300000000001</v>
      </c>
      <c r="JI116">
        <v>32.956600000000002</v>
      </c>
      <c r="JJ116">
        <v>29.9998</v>
      </c>
      <c r="JK116">
        <v>32.958100000000002</v>
      </c>
      <c r="JL116">
        <v>32.930599999999998</v>
      </c>
      <c r="JM116">
        <v>15.0139</v>
      </c>
      <c r="JN116">
        <v>39.187100000000001</v>
      </c>
      <c r="JO116">
        <v>43.897599999999997</v>
      </c>
      <c r="JP116">
        <v>24.649699999999999</v>
      </c>
      <c r="JQ116">
        <v>300</v>
      </c>
      <c r="JR116">
        <v>17.795400000000001</v>
      </c>
      <c r="JS116">
        <v>99.781499999999994</v>
      </c>
      <c r="JT116">
        <v>98.944400000000002</v>
      </c>
    </row>
    <row r="117" spans="1:280" x14ac:dyDescent="0.25">
      <c r="A117">
        <v>101</v>
      </c>
      <c r="B117">
        <v>1674599306</v>
      </c>
      <c r="C117">
        <v>25171.400000095371</v>
      </c>
      <c r="D117" t="s">
        <v>931</v>
      </c>
      <c r="E117" t="s">
        <v>932</v>
      </c>
      <c r="F117" t="s">
        <v>412</v>
      </c>
      <c r="G117" t="s">
        <v>922</v>
      </c>
      <c r="H117" t="s">
        <v>637</v>
      </c>
      <c r="I117">
        <v>1674599306</v>
      </c>
      <c r="J117">
        <f t="shared" si="138"/>
        <v>6.3644752285561329E-3</v>
      </c>
      <c r="K117">
        <f t="shared" si="139"/>
        <v>6.3644752285561328</v>
      </c>
      <c r="L117">
        <f t="shared" si="140"/>
        <v>33.03250173715692</v>
      </c>
      <c r="M117">
        <f t="shared" si="141"/>
        <v>159.12100000000001</v>
      </c>
      <c r="N117">
        <f t="shared" si="142"/>
        <v>41.504181983249609</v>
      </c>
      <c r="O117">
        <f t="shared" si="143"/>
        <v>4.1352653535163331</v>
      </c>
      <c r="P117">
        <f t="shared" si="144"/>
        <v>15.854006195868001</v>
      </c>
      <c r="Q117">
        <f t="shared" si="145"/>
        <v>0.49474374170882723</v>
      </c>
      <c r="R117">
        <f t="shared" si="146"/>
        <v>2.9194048037327693</v>
      </c>
      <c r="S117">
        <f t="shared" si="147"/>
        <v>0.45244507231585618</v>
      </c>
      <c r="T117">
        <f t="shared" si="148"/>
        <v>0.28627656576154059</v>
      </c>
      <c r="U117">
        <f t="shared" si="149"/>
        <v>344.38139860438065</v>
      </c>
      <c r="V117">
        <f t="shared" si="150"/>
        <v>28.372554070892438</v>
      </c>
      <c r="W117">
        <f t="shared" si="151"/>
        <v>28.223199999999999</v>
      </c>
      <c r="X117">
        <f t="shared" si="152"/>
        <v>3.8444985164210843</v>
      </c>
      <c r="Y117">
        <f t="shared" si="153"/>
        <v>65.564818329842325</v>
      </c>
      <c r="Z117">
        <f t="shared" si="154"/>
        <v>2.4874851131280002</v>
      </c>
      <c r="AA117">
        <f t="shared" si="155"/>
        <v>3.7939327470016071</v>
      </c>
      <c r="AB117">
        <f t="shared" si="156"/>
        <v>1.3570134032930841</v>
      </c>
      <c r="AC117">
        <f t="shared" si="157"/>
        <v>-280.67335757932545</v>
      </c>
      <c r="AD117">
        <f t="shared" si="158"/>
        <v>-35.774963339330512</v>
      </c>
      <c r="AE117">
        <f t="shared" si="159"/>
        <v>-2.6740513220449578</v>
      </c>
      <c r="AF117">
        <f t="shared" si="160"/>
        <v>25.259026363679752</v>
      </c>
      <c r="AG117">
        <v>0</v>
      </c>
      <c r="AH117">
        <v>0</v>
      </c>
      <c r="AI117">
        <f t="shared" si="161"/>
        <v>1</v>
      </c>
      <c r="AJ117">
        <f t="shared" si="162"/>
        <v>0</v>
      </c>
      <c r="AK117">
        <f t="shared" si="163"/>
        <v>52400.435491712204</v>
      </c>
      <c r="AL117" t="s">
        <v>415</v>
      </c>
      <c r="AM117">
        <v>10424.1</v>
      </c>
      <c r="AN117">
        <v>628.54280000000006</v>
      </c>
      <c r="AO117">
        <v>2663.98</v>
      </c>
      <c r="AP117">
        <f t="shared" si="164"/>
        <v>0.76405873917972356</v>
      </c>
      <c r="AQ117">
        <v>-3.1675626227050531</v>
      </c>
      <c r="AR117" t="s">
        <v>933</v>
      </c>
      <c r="AS117">
        <v>10184.9</v>
      </c>
      <c r="AT117">
        <v>775.90750000000003</v>
      </c>
      <c r="AU117">
        <v>1025.659475668725</v>
      </c>
      <c r="AV117">
        <f t="shared" si="165"/>
        <v>0.24350379594152138</v>
      </c>
      <c r="AW117">
        <v>0.5</v>
      </c>
      <c r="AX117">
        <f t="shared" si="166"/>
        <v>1513.2353993021902</v>
      </c>
      <c r="AY117">
        <f t="shared" si="167"/>
        <v>33.03250173715692</v>
      </c>
      <c r="AZ117">
        <f t="shared" si="168"/>
        <v>184.23928194158358</v>
      </c>
      <c r="BA117">
        <f t="shared" si="169"/>
        <v>2.3922295484598885E-2</v>
      </c>
      <c r="BB117">
        <f t="shared" si="170"/>
        <v>1.5973337771418705</v>
      </c>
      <c r="BC117">
        <f t="shared" si="171"/>
        <v>456.49889202662712</v>
      </c>
      <c r="BD117" t="s">
        <v>934</v>
      </c>
      <c r="BE117">
        <v>546.29</v>
      </c>
      <c r="BF117">
        <f t="shared" si="172"/>
        <v>546.29</v>
      </c>
      <c r="BG117">
        <f t="shared" si="173"/>
        <v>0.46737683123941154</v>
      </c>
      <c r="BH117">
        <f t="shared" si="174"/>
        <v>0.52100099890657114</v>
      </c>
      <c r="BI117">
        <f t="shared" si="175"/>
        <v>0.77363567109977138</v>
      </c>
      <c r="BJ117">
        <f t="shared" si="176"/>
        <v>0.62891334202512383</v>
      </c>
      <c r="BK117">
        <f t="shared" si="177"/>
        <v>0.80489858607834974</v>
      </c>
      <c r="BL117">
        <f t="shared" si="178"/>
        <v>0.3668190289340813</v>
      </c>
      <c r="BM117">
        <f t="shared" si="179"/>
        <v>0.63318097106591864</v>
      </c>
      <c r="BN117">
        <v>20365</v>
      </c>
      <c r="BO117">
        <v>290.00000000000011</v>
      </c>
      <c r="BP117">
        <v>964.39</v>
      </c>
      <c r="BQ117">
        <v>245</v>
      </c>
      <c r="BR117">
        <v>10184.9</v>
      </c>
      <c r="BS117">
        <v>963.92</v>
      </c>
      <c r="BT117">
        <v>0.47</v>
      </c>
      <c r="BU117">
        <v>300.00000000000011</v>
      </c>
      <c r="BV117">
        <v>24.2</v>
      </c>
      <c r="BW117">
        <v>1025.659475668725</v>
      </c>
      <c r="BX117">
        <v>1.6839187857633511</v>
      </c>
      <c r="BY117">
        <v>-62.880588395448633</v>
      </c>
      <c r="BZ117">
        <v>1.526911812759314</v>
      </c>
      <c r="CA117">
        <v>0.98375794413465534</v>
      </c>
      <c r="CB117">
        <v>-6.9380035595105749E-3</v>
      </c>
      <c r="CC117">
        <v>289.99999999999989</v>
      </c>
      <c r="CD117">
        <v>965</v>
      </c>
      <c r="CE117">
        <v>725</v>
      </c>
      <c r="CF117">
        <v>10154.299999999999</v>
      </c>
      <c r="CG117">
        <v>963.73</v>
      </c>
      <c r="CH117">
        <v>1.27</v>
      </c>
      <c r="CV117">
        <f t="shared" si="180"/>
        <v>1800.06</v>
      </c>
      <c r="CW117">
        <f t="shared" si="181"/>
        <v>1513.2353993021902</v>
      </c>
      <c r="CX117">
        <f t="shared" si="182"/>
        <v>0.8406583110019612</v>
      </c>
      <c r="CY117">
        <f t="shared" si="183"/>
        <v>0.19131662200392247</v>
      </c>
      <c r="CZ117">
        <v>6</v>
      </c>
      <c r="DA117">
        <v>0.5</v>
      </c>
      <c r="DB117" t="s">
        <v>418</v>
      </c>
      <c r="DC117">
        <v>2</v>
      </c>
      <c r="DD117">
        <v>1674599306</v>
      </c>
      <c r="DE117">
        <v>159.12100000000001</v>
      </c>
      <c r="DF117">
        <v>199.97200000000001</v>
      </c>
      <c r="DG117">
        <v>24.966000000000001</v>
      </c>
      <c r="DH117">
        <v>17.5199</v>
      </c>
      <c r="DI117">
        <v>161.63399999999999</v>
      </c>
      <c r="DJ117">
        <v>24.604700000000001</v>
      </c>
      <c r="DK117">
        <v>500.04</v>
      </c>
      <c r="DL117">
        <v>99.534800000000004</v>
      </c>
      <c r="DM117">
        <v>0.100108</v>
      </c>
      <c r="DN117">
        <v>27.995899999999999</v>
      </c>
      <c r="DO117">
        <v>28.223199999999999</v>
      </c>
      <c r="DP117">
        <v>999.9</v>
      </c>
      <c r="DQ117">
        <v>0</v>
      </c>
      <c r="DR117">
        <v>0</v>
      </c>
      <c r="DS117">
        <v>9988.75</v>
      </c>
      <c r="DT117">
        <v>0</v>
      </c>
      <c r="DU117">
        <v>252.53399999999999</v>
      </c>
      <c r="DV117">
        <v>-40.850999999999999</v>
      </c>
      <c r="DW117">
        <v>163.19499999999999</v>
      </c>
      <c r="DX117">
        <v>203.53800000000001</v>
      </c>
      <c r="DY117">
        <v>7.4460899999999999</v>
      </c>
      <c r="DZ117">
        <v>199.97200000000001</v>
      </c>
      <c r="EA117">
        <v>17.5199</v>
      </c>
      <c r="EB117">
        <v>2.4849899999999998</v>
      </c>
      <c r="EC117">
        <v>1.7438400000000001</v>
      </c>
      <c r="ED117">
        <v>20.9285</v>
      </c>
      <c r="EE117">
        <v>15.292299999999999</v>
      </c>
      <c r="EF117">
        <v>1800.06</v>
      </c>
      <c r="EG117">
        <v>0.97799700000000001</v>
      </c>
      <c r="EH117">
        <v>2.2003499999999999E-2</v>
      </c>
      <c r="EI117">
        <v>0</v>
      </c>
      <c r="EJ117">
        <v>775.22</v>
      </c>
      <c r="EK117">
        <v>5.0010599999999998</v>
      </c>
      <c r="EL117">
        <v>14463.9</v>
      </c>
      <c r="EM117">
        <v>16711.599999999999</v>
      </c>
      <c r="EN117">
        <v>48.686999999999998</v>
      </c>
      <c r="EO117">
        <v>49.375</v>
      </c>
      <c r="EP117">
        <v>49.625</v>
      </c>
      <c r="EQ117">
        <v>48.125</v>
      </c>
      <c r="ER117">
        <v>49.5</v>
      </c>
      <c r="ES117">
        <v>1755.56</v>
      </c>
      <c r="ET117">
        <v>39.5</v>
      </c>
      <c r="EU117">
        <v>0</v>
      </c>
      <c r="EV117">
        <v>111.5999999046326</v>
      </c>
      <c r="EW117">
        <v>0</v>
      </c>
      <c r="EX117">
        <v>775.90750000000003</v>
      </c>
      <c r="EY117">
        <v>-5.5533333245037682</v>
      </c>
      <c r="EZ117">
        <v>-85.353846128685717</v>
      </c>
      <c r="FA117">
        <v>14473.869230769231</v>
      </c>
      <c r="FB117">
        <v>15</v>
      </c>
      <c r="FC117">
        <v>1674599272</v>
      </c>
      <c r="FD117" t="s">
        <v>935</v>
      </c>
      <c r="FE117">
        <v>1674599263</v>
      </c>
      <c r="FF117">
        <v>1674599272</v>
      </c>
      <c r="FG117">
        <v>113</v>
      </c>
      <c r="FH117">
        <v>0.214</v>
      </c>
      <c r="FI117">
        <v>4.0000000000000001E-3</v>
      </c>
      <c r="FJ117">
        <v>-2.5950000000000002</v>
      </c>
      <c r="FK117">
        <v>3.4000000000000002E-2</v>
      </c>
      <c r="FL117">
        <v>200</v>
      </c>
      <c r="FM117">
        <v>18</v>
      </c>
      <c r="FN117">
        <v>0.04</v>
      </c>
      <c r="FO117">
        <v>0.01</v>
      </c>
      <c r="FP117">
        <v>32.898889787701663</v>
      </c>
      <c r="FQ117">
        <v>0.33181769602768318</v>
      </c>
      <c r="FR117">
        <v>5.2346871635735821E-2</v>
      </c>
      <c r="FS117">
        <v>1</v>
      </c>
      <c r="FT117">
        <v>0.49610171544752663</v>
      </c>
      <c r="FU117">
        <v>3.0159978549429999E-2</v>
      </c>
      <c r="FV117">
        <v>4.1737605504601526E-3</v>
      </c>
      <c r="FW117">
        <v>1</v>
      </c>
      <c r="FX117">
        <v>2</v>
      </c>
      <c r="FY117">
        <v>2</v>
      </c>
      <c r="FZ117" t="s">
        <v>420</v>
      </c>
      <c r="GA117">
        <v>2.9772500000000002</v>
      </c>
      <c r="GB117">
        <v>2.8063400000000001</v>
      </c>
      <c r="GC117">
        <v>4.4952899999999997E-2</v>
      </c>
      <c r="GD117">
        <v>5.3876199999999999E-2</v>
      </c>
      <c r="GE117">
        <v>0.121866</v>
      </c>
      <c r="GF117">
        <v>9.5077400000000006E-2</v>
      </c>
      <c r="GG117">
        <v>28196</v>
      </c>
      <c r="GH117">
        <v>25895.200000000001</v>
      </c>
      <c r="GI117">
        <v>26541.599999999999</v>
      </c>
      <c r="GJ117">
        <v>25850.9</v>
      </c>
      <c r="GK117">
        <v>31710.9</v>
      </c>
      <c r="GL117">
        <v>33017.5</v>
      </c>
      <c r="GM117">
        <v>37598.300000000003</v>
      </c>
      <c r="GN117">
        <v>38354.199999999997</v>
      </c>
      <c r="GO117">
        <v>1.9678199999999999</v>
      </c>
      <c r="GP117">
        <v>1.903</v>
      </c>
      <c r="GQ117">
        <v>7.3991699999999994E-2</v>
      </c>
      <c r="GR117">
        <v>0</v>
      </c>
      <c r="GS117">
        <v>27.014399999999998</v>
      </c>
      <c r="GT117">
        <v>999.9</v>
      </c>
      <c r="GU117">
        <v>41.9</v>
      </c>
      <c r="GV117">
        <v>34.4</v>
      </c>
      <c r="GW117">
        <v>22.999700000000001</v>
      </c>
      <c r="GX117">
        <v>62.4086</v>
      </c>
      <c r="GY117">
        <v>12.5321</v>
      </c>
      <c r="GZ117">
        <v>1</v>
      </c>
      <c r="HA117">
        <v>0.453681</v>
      </c>
      <c r="HB117">
        <v>2.5674700000000001</v>
      </c>
      <c r="HC117">
        <v>20.234500000000001</v>
      </c>
      <c r="HD117">
        <v>5.2029100000000001</v>
      </c>
      <c r="HE117">
        <v>11.9381</v>
      </c>
      <c r="HF117">
        <v>4.9865500000000003</v>
      </c>
      <c r="HG117">
        <v>3.2897500000000002</v>
      </c>
      <c r="HH117">
        <v>9999</v>
      </c>
      <c r="HI117">
        <v>9999</v>
      </c>
      <c r="HJ117">
        <v>9999</v>
      </c>
      <c r="HK117">
        <v>999.9</v>
      </c>
      <c r="HL117">
        <v>1.8702700000000001</v>
      </c>
      <c r="HM117">
        <v>1.87653</v>
      </c>
      <c r="HN117">
        <v>1.8742399999999999</v>
      </c>
      <c r="HO117">
        <v>1.87256</v>
      </c>
      <c r="HP117">
        <v>1.8730199999999999</v>
      </c>
      <c r="HQ117">
        <v>1.8704099999999999</v>
      </c>
      <c r="HR117">
        <v>1.87635</v>
      </c>
      <c r="HS117">
        <v>1.8754299999999999</v>
      </c>
      <c r="HT117">
        <v>5</v>
      </c>
      <c r="HU117">
        <v>0</v>
      </c>
      <c r="HV117">
        <v>0</v>
      </c>
      <c r="HW117">
        <v>0</v>
      </c>
      <c r="HX117" t="s">
        <v>421</v>
      </c>
      <c r="HY117" t="s">
        <v>422</v>
      </c>
      <c r="HZ117" t="s">
        <v>423</v>
      </c>
      <c r="IA117" t="s">
        <v>424</v>
      </c>
      <c r="IB117" t="s">
        <v>424</v>
      </c>
      <c r="IC117" t="s">
        <v>423</v>
      </c>
      <c r="ID117">
        <v>0</v>
      </c>
      <c r="IE117">
        <v>100</v>
      </c>
      <c r="IF117">
        <v>100</v>
      </c>
      <c r="IG117">
        <v>-2.5129999999999999</v>
      </c>
      <c r="IH117">
        <v>0.36130000000000001</v>
      </c>
      <c r="II117">
        <v>-2.142099366622578</v>
      </c>
      <c r="IJ117">
        <v>-2.536945948238235E-3</v>
      </c>
      <c r="IK117">
        <v>1.581473279927893E-6</v>
      </c>
      <c r="IL117">
        <v>-4.6698293441882044E-10</v>
      </c>
      <c r="IM117">
        <v>-0.1551510979280781</v>
      </c>
      <c r="IN117">
        <v>-1.5895243091576399E-2</v>
      </c>
      <c r="IO117">
        <v>1.559614309849521E-3</v>
      </c>
      <c r="IP117">
        <v>-2.4566050869858518E-6</v>
      </c>
      <c r="IQ117">
        <v>2</v>
      </c>
      <c r="IR117">
        <v>2224</v>
      </c>
      <c r="IS117">
        <v>2</v>
      </c>
      <c r="IT117">
        <v>25</v>
      </c>
      <c r="IU117">
        <v>0.7</v>
      </c>
      <c r="IV117">
        <v>0.6</v>
      </c>
      <c r="IW117">
        <v>0.55175799999999997</v>
      </c>
      <c r="IX117">
        <v>2.50732</v>
      </c>
      <c r="IY117">
        <v>1.65039</v>
      </c>
      <c r="IZ117">
        <v>2.2900399999999999</v>
      </c>
      <c r="JA117">
        <v>1.50024</v>
      </c>
      <c r="JB117">
        <v>2.2790499999999998</v>
      </c>
      <c r="JC117">
        <v>38.378999999999998</v>
      </c>
      <c r="JD117">
        <v>23.8598</v>
      </c>
      <c r="JE117">
        <v>18</v>
      </c>
      <c r="JF117">
        <v>506.86399999999998</v>
      </c>
      <c r="JG117">
        <v>457.67599999999999</v>
      </c>
      <c r="JH117">
        <v>24.725200000000001</v>
      </c>
      <c r="JI117">
        <v>32.912599999999998</v>
      </c>
      <c r="JJ117">
        <v>29.999600000000001</v>
      </c>
      <c r="JK117">
        <v>32.935299999999998</v>
      </c>
      <c r="JL117">
        <v>32.909999999999997</v>
      </c>
      <c r="JM117">
        <v>11.089399999999999</v>
      </c>
      <c r="JN117">
        <v>40.412399999999998</v>
      </c>
      <c r="JO117">
        <v>43.067799999999998</v>
      </c>
      <c r="JP117">
        <v>24.734200000000001</v>
      </c>
      <c r="JQ117">
        <v>200</v>
      </c>
      <c r="JR117">
        <v>17.4038</v>
      </c>
      <c r="JS117">
        <v>99.787300000000002</v>
      </c>
      <c r="JT117">
        <v>98.952399999999997</v>
      </c>
    </row>
    <row r="118" spans="1:280" x14ac:dyDescent="0.25">
      <c r="A118">
        <v>102</v>
      </c>
      <c r="B118">
        <v>1674599428</v>
      </c>
      <c r="C118">
        <v>25293.400000095371</v>
      </c>
      <c r="D118" t="s">
        <v>936</v>
      </c>
      <c r="E118" t="s">
        <v>937</v>
      </c>
      <c r="F118" t="s">
        <v>412</v>
      </c>
      <c r="G118" t="s">
        <v>922</v>
      </c>
      <c r="H118" t="s">
        <v>637</v>
      </c>
      <c r="I118">
        <v>1674599428</v>
      </c>
      <c r="J118">
        <f t="shared" si="138"/>
        <v>6.968311792122036E-3</v>
      </c>
      <c r="K118">
        <f t="shared" si="139"/>
        <v>6.9683117921220363</v>
      </c>
      <c r="L118">
        <f t="shared" si="140"/>
        <v>21.702998968972626</v>
      </c>
      <c r="M118">
        <f t="shared" si="141"/>
        <v>93.215400000000002</v>
      </c>
      <c r="N118">
        <f t="shared" si="142"/>
        <v>24.108251622983438</v>
      </c>
      <c r="O118">
        <f t="shared" si="143"/>
        <v>2.4020142062689098</v>
      </c>
      <c r="P118">
        <f t="shared" si="144"/>
        <v>9.2874721296496201</v>
      </c>
      <c r="Q118">
        <f t="shared" si="145"/>
        <v>0.55804234119557217</v>
      </c>
      <c r="R118">
        <f t="shared" si="146"/>
        <v>2.9279433398065189</v>
      </c>
      <c r="S118">
        <f t="shared" si="147"/>
        <v>0.5049894056191907</v>
      </c>
      <c r="T118">
        <f t="shared" si="148"/>
        <v>0.31996361274944624</v>
      </c>
      <c r="U118">
        <f t="shared" si="149"/>
        <v>344.34339860422557</v>
      </c>
      <c r="V118">
        <f t="shared" si="150"/>
        <v>28.227196222218097</v>
      </c>
      <c r="W118">
        <f t="shared" si="151"/>
        <v>28.1541</v>
      </c>
      <c r="X118">
        <f t="shared" si="152"/>
        <v>3.8290645158318277</v>
      </c>
      <c r="Y118">
        <f t="shared" si="153"/>
        <v>65.788981632382615</v>
      </c>
      <c r="Z118">
        <f t="shared" si="154"/>
        <v>2.4978674396285903</v>
      </c>
      <c r="AA118">
        <f t="shared" si="155"/>
        <v>3.7967869051176972</v>
      </c>
      <c r="AB118">
        <f t="shared" si="156"/>
        <v>1.3311970762032375</v>
      </c>
      <c r="AC118">
        <f t="shared" si="157"/>
        <v>-307.30255003258179</v>
      </c>
      <c r="AD118">
        <f t="shared" si="158"/>
        <v>-22.935791178069628</v>
      </c>
      <c r="AE118">
        <f t="shared" si="159"/>
        <v>-1.7088907047685771</v>
      </c>
      <c r="AF118">
        <f t="shared" si="160"/>
        <v>12.396166688805572</v>
      </c>
      <c r="AG118">
        <v>0</v>
      </c>
      <c r="AH118">
        <v>0</v>
      </c>
      <c r="AI118">
        <f t="shared" si="161"/>
        <v>1</v>
      </c>
      <c r="AJ118">
        <f t="shared" si="162"/>
        <v>0</v>
      </c>
      <c r="AK118">
        <f t="shared" si="163"/>
        <v>52643.572759672359</v>
      </c>
      <c r="AL118" t="s">
        <v>415</v>
      </c>
      <c r="AM118">
        <v>10424.1</v>
      </c>
      <c r="AN118">
        <v>628.54280000000006</v>
      </c>
      <c r="AO118">
        <v>2663.98</v>
      </c>
      <c r="AP118">
        <f t="shared" si="164"/>
        <v>0.76405873917972356</v>
      </c>
      <c r="AQ118">
        <v>-3.1675626227050531</v>
      </c>
      <c r="AR118" t="s">
        <v>938</v>
      </c>
      <c r="AS118">
        <v>10179</v>
      </c>
      <c r="AT118">
        <v>800.37672000000009</v>
      </c>
      <c r="AU118">
        <v>979.22389791597129</v>
      </c>
      <c r="AV118">
        <f t="shared" si="165"/>
        <v>0.18264176180401837</v>
      </c>
      <c r="AW118">
        <v>0.5</v>
      </c>
      <c r="AX118">
        <f t="shared" si="166"/>
        <v>1513.0673993021126</v>
      </c>
      <c r="AY118">
        <f t="shared" si="167"/>
        <v>21.702998968972626</v>
      </c>
      <c r="AZ118">
        <f t="shared" si="168"/>
        <v>138.17464776838099</v>
      </c>
      <c r="BA118">
        <f t="shared" si="169"/>
        <v>1.6437180262524314E-2</v>
      </c>
      <c r="BB118">
        <f t="shared" si="170"/>
        <v>1.7205014151202835</v>
      </c>
      <c r="BC118">
        <f t="shared" si="171"/>
        <v>447.06318838978842</v>
      </c>
      <c r="BD118" t="s">
        <v>939</v>
      </c>
      <c r="BE118">
        <v>547.27</v>
      </c>
      <c r="BF118">
        <f t="shared" si="172"/>
        <v>547.27</v>
      </c>
      <c r="BG118">
        <f t="shared" si="173"/>
        <v>0.44111862346831521</v>
      </c>
      <c r="BH118">
        <f t="shared" si="174"/>
        <v>0.41404228270388854</v>
      </c>
      <c r="BI118">
        <f t="shared" si="175"/>
        <v>0.79593147010409016</v>
      </c>
      <c r="BJ118">
        <f t="shared" si="176"/>
        <v>0.50999948094957148</v>
      </c>
      <c r="BK118">
        <f t="shared" si="177"/>
        <v>0.82771215053160507</v>
      </c>
      <c r="BL118">
        <f t="shared" si="178"/>
        <v>0.28310783458988792</v>
      </c>
      <c r="BM118">
        <f t="shared" si="179"/>
        <v>0.71689216541011214</v>
      </c>
      <c r="BN118">
        <v>20367</v>
      </c>
      <c r="BO118">
        <v>290.00000000000011</v>
      </c>
      <c r="BP118">
        <v>939.95</v>
      </c>
      <c r="BQ118">
        <v>285</v>
      </c>
      <c r="BR118">
        <v>10179</v>
      </c>
      <c r="BS118">
        <v>940.72</v>
      </c>
      <c r="BT118">
        <v>-0.77</v>
      </c>
      <c r="BU118">
        <v>300.00000000000011</v>
      </c>
      <c r="BV118">
        <v>24.2</v>
      </c>
      <c r="BW118">
        <v>979.22389791597129</v>
      </c>
      <c r="BX118">
        <v>1.9017211017437681</v>
      </c>
      <c r="BY118">
        <v>-39.195509258937932</v>
      </c>
      <c r="BZ118">
        <v>1.7244345710430511</v>
      </c>
      <c r="CA118">
        <v>0.94858890086024361</v>
      </c>
      <c r="CB118">
        <v>-6.9378840934371487E-3</v>
      </c>
      <c r="CC118">
        <v>289.99999999999989</v>
      </c>
      <c r="CD118">
        <v>941.58</v>
      </c>
      <c r="CE118">
        <v>685</v>
      </c>
      <c r="CF118">
        <v>10157.299999999999</v>
      </c>
      <c r="CG118">
        <v>940.64</v>
      </c>
      <c r="CH118">
        <v>0.94</v>
      </c>
      <c r="CV118">
        <f t="shared" si="180"/>
        <v>1799.86</v>
      </c>
      <c r="CW118">
        <f t="shared" si="181"/>
        <v>1513.0673993021126</v>
      </c>
      <c r="CX118">
        <f t="shared" si="182"/>
        <v>0.84065838415327454</v>
      </c>
      <c r="CY118">
        <f t="shared" si="183"/>
        <v>0.19131676830654917</v>
      </c>
      <c r="CZ118">
        <v>6</v>
      </c>
      <c r="DA118">
        <v>0.5</v>
      </c>
      <c r="DB118" t="s">
        <v>418</v>
      </c>
      <c r="DC118">
        <v>2</v>
      </c>
      <c r="DD118">
        <v>1674599428</v>
      </c>
      <c r="DE118">
        <v>93.215400000000002</v>
      </c>
      <c r="DF118">
        <v>120.039</v>
      </c>
      <c r="DG118">
        <v>25.0703</v>
      </c>
      <c r="DH118">
        <v>16.9178</v>
      </c>
      <c r="DI118">
        <v>95.428799999999995</v>
      </c>
      <c r="DJ118">
        <v>24.697700000000001</v>
      </c>
      <c r="DK118">
        <v>499.99</v>
      </c>
      <c r="DL118">
        <v>99.535200000000003</v>
      </c>
      <c r="DM118">
        <v>9.9325300000000005E-2</v>
      </c>
      <c r="DN118">
        <v>28.008800000000001</v>
      </c>
      <c r="DO118">
        <v>28.1541</v>
      </c>
      <c r="DP118">
        <v>999.9</v>
      </c>
      <c r="DQ118">
        <v>0</v>
      </c>
      <c r="DR118">
        <v>0</v>
      </c>
      <c r="DS118">
        <v>10037.5</v>
      </c>
      <c r="DT118">
        <v>0</v>
      </c>
      <c r="DU118">
        <v>252.02600000000001</v>
      </c>
      <c r="DV118">
        <v>-26.823499999999999</v>
      </c>
      <c r="DW118">
        <v>95.612399999999994</v>
      </c>
      <c r="DX118">
        <v>122.105</v>
      </c>
      <c r="DY118">
        <v>8.15245</v>
      </c>
      <c r="DZ118">
        <v>120.039</v>
      </c>
      <c r="EA118">
        <v>16.9178</v>
      </c>
      <c r="EB118">
        <v>2.4953699999999999</v>
      </c>
      <c r="EC118">
        <v>1.6839200000000001</v>
      </c>
      <c r="ED118">
        <v>20.996400000000001</v>
      </c>
      <c r="EE118">
        <v>14.749000000000001</v>
      </c>
      <c r="EF118">
        <v>1799.86</v>
      </c>
      <c r="EG118">
        <v>0.977993</v>
      </c>
      <c r="EH118">
        <v>2.2006899999999999E-2</v>
      </c>
      <c r="EI118">
        <v>0</v>
      </c>
      <c r="EJ118">
        <v>800.274</v>
      </c>
      <c r="EK118">
        <v>5.0010599999999998</v>
      </c>
      <c r="EL118">
        <v>14903.3</v>
      </c>
      <c r="EM118">
        <v>16709.7</v>
      </c>
      <c r="EN118">
        <v>48.625</v>
      </c>
      <c r="EO118">
        <v>49.311999999999998</v>
      </c>
      <c r="EP118">
        <v>49.561999999999998</v>
      </c>
      <c r="EQ118">
        <v>48.061999999999998</v>
      </c>
      <c r="ER118">
        <v>49.436999999999998</v>
      </c>
      <c r="ES118">
        <v>1755.36</v>
      </c>
      <c r="ET118">
        <v>39.5</v>
      </c>
      <c r="EU118">
        <v>0</v>
      </c>
      <c r="EV118">
        <v>120.2000000476837</v>
      </c>
      <c r="EW118">
        <v>0</v>
      </c>
      <c r="EX118">
        <v>800.37672000000009</v>
      </c>
      <c r="EY118">
        <v>-4.3242307781760321</v>
      </c>
      <c r="EZ118">
        <v>-68.230769445417494</v>
      </c>
      <c r="FA118">
        <v>14912.48</v>
      </c>
      <c r="FB118">
        <v>15</v>
      </c>
      <c r="FC118">
        <v>1674599395.5</v>
      </c>
      <c r="FD118" t="s">
        <v>940</v>
      </c>
      <c r="FE118">
        <v>1674599373.5</v>
      </c>
      <c r="FF118">
        <v>1674599395.5</v>
      </c>
      <c r="FG118">
        <v>114</v>
      </c>
      <c r="FH118">
        <v>0.157</v>
      </c>
      <c r="FI118">
        <v>6.0000000000000001E-3</v>
      </c>
      <c r="FJ118">
        <v>-2.2730000000000001</v>
      </c>
      <c r="FK118">
        <v>2.5999999999999999E-2</v>
      </c>
      <c r="FL118">
        <v>120</v>
      </c>
      <c r="FM118">
        <v>17</v>
      </c>
      <c r="FN118">
        <v>0.05</v>
      </c>
      <c r="FO118">
        <v>0.01</v>
      </c>
      <c r="FP118">
        <v>21.620631840946441</v>
      </c>
      <c r="FQ118">
        <v>-2.4840573162770899E-2</v>
      </c>
      <c r="FR118">
        <v>5.6340045901172149E-2</v>
      </c>
      <c r="FS118">
        <v>1</v>
      </c>
      <c r="FT118">
        <v>0.56152292877865118</v>
      </c>
      <c r="FU118">
        <v>3.8867290100389217E-2</v>
      </c>
      <c r="FV118">
        <v>6.655976792698832E-3</v>
      </c>
      <c r="FW118">
        <v>1</v>
      </c>
      <c r="FX118">
        <v>2</v>
      </c>
      <c r="FY118">
        <v>2</v>
      </c>
      <c r="FZ118" t="s">
        <v>420</v>
      </c>
      <c r="GA118">
        <v>2.9771899999999998</v>
      </c>
      <c r="GB118">
        <v>2.8059799999999999</v>
      </c>
      <c r="GC118">
        <v>2.7270599999999999E-2</v>
      </c>
      <c r="GD118">
        <v>3.35897E-2</v>
      </c>
      <c r="GE118">
        <v>0.122201</v>
      </c>
      <c r="GF118">
        <v>9.2763700000000004E-2</v>
      </c>
      <c r="GG118">
        <v>28721.3</v>
      </c>
      <c r="GH118">
        <v>26455.3</v>
      </c>
      <c r="GI118">
        <v>26544.6</v>
      </c>
      <c r="GJ118">
        <v>25855.5</v>
      </c>
      <c r="GK118">
        <v>31701.9</v>
      </c>
      <c r="GL118">
        <v>33107.1</v>
      </c>
      <c r="GM118">
        <v>37602.6</v>
      </c>
      <c r="GN118">
        <v>38360.300000000003</v>
      </c>
      <c r="GO118">
        <v>1.96895</v>
      </c>
      <c r="GP118">
        <v>1.9025000000000001</v>
      </c>
      <c r="GQ118">
        <v>7.1317000000000005E-2</v>
      </c>
      <c r="GR118">
        <v>0</v>
      </c>
      <c r="GS118">
        <v>26.988900000000001</v>
      </c>
      <c r="GT118">
        <v>999.9</v>
      </c>
      <c r="GU118">
        <v>41.6</v>
      </c>
      <c r="GV118">
        <v>34.4</v>
      </c>
      <c r="GW118">
        <v>22.834599999999998</v>
      </c>
      <c r="GX118">
        <v>61.9086</v>
      </c>
      <c r="GY118">
        <v>12.496</v>
      </c>
      <c r="GZ118">
        <v>1</v>
      </c>
      <c r="HA118">
        <v>0.44751800000000003</v>
      </c>
      <c r="HB118">
        <v>2.5675400000000002</v>
      </c>
      <c r="HC118">
        <v>20.234400000000001</v>
      </c>
      <c r="HD118">
        <v>5.2050099999999997</v>
      </c>
      <c r="HE118">
        <v>11.9381</v>
      </c>
      <c r="HF118">
        <v>4.9859499999999999</v>
      </c>
      <c r="HG118">
        <v>3.2896000000000001</v>
      </c>
      <c r="HH118">
        <v>9999</v>
      </c>
      <c r="HI118">
        <v>9999</v>
      </c>
      <c r="HJ118">
        <v>9999</v>
      </c>
      <c r="HK118">
        <v>999.9</v>
      </c>
      <c r="HL118">
        <v>1.8702700000000001</v>
      </c>
      <c r="HM118">
        <v>1.87652</v>
      </c>
      <c r="HN118">
        <v>1.8742399999999999</v>
      </c>
      <c r="HO118">
        <v>1.87256</v>
      </c>
      <c r="HP118">
        <v>1.8729800000000001</v>
      </c>
      <c r="HQ118">
        <v>1.8704000000000001</v>
      </c>
      <c r="HR118">
        <v>1.87632</v>
      </c>
      <c r="HS118">
        <v>1.87534</v>
      </c>
      <c r="HT118">
        <v>5</v>
      </c>
      <c r="HU118">
        <v>0</v>
      </c>
      <c r="HV118">
        <v>0</v>
      </c>
      <c r="HW118">
        <v>0</v>
      </c>
      <c r="HX118" t="s">
        <v>421</v>
      </c>
      <c r="HY118" t="s">
        <v>422</v>
      </c>
      <c r="HZ118" t="s">
        <v>423</v>
      </c>
      <c r="IA118" t="s">
        <v>424</v>
      </c>
      <c r="IB118" t="s">
        <v>424</v>
      </c>
      <c r="IC118" t="s">
        <v>423</v>
      </c>
      <c r="ID118">
        <v>0</v>
      </c>
      <c r="IE118">
        <v>100</v>
      </c>
      <c r="IF118">
        <v>100</v>
      </c>
      <c r="IG118">
        <v>-2.2130000000000001</v>
      </c>
      <c r="IH118">
        <v>0.37259999999999999</v>
      </c>
      <c r="II118">
        <v>-1.985272672189246</v>
      </c>
      <c r="IJ118">
        <v>-2.536945948238235E-3</v>
      </c>
      <c r="IK118">
        <v>1.581473279927893E-6</v>
      </c>
      <c r="IL118">
        <v>-4.6698293441882044E-10</v>
      </c>
      <c r="IM118">
        <v>-0.1491344111091594</v>
      </c>
      <c r="IN118">
        <v>-1.5895243091576399E-2</v>
      </c>
      <c r="IO118">
        <v>1.559614309849521E-3</v>
      </c>
      <c r="IP118">
        <v>-2.4566050869858518E-6</v>
      </c>
      <c r="IQ118">
        <v>2</v>
      </c>
      <c r="IR118">
        <v>2224</v>
      </c>
      <c r="IS118">
        <v>2</v>
      </c>
      <c r="IT118">
        <v>25</v>
      </c>
      <c r="IU118">
        <v>0.9</v>
      </c>
      <c r="IV118">
        <v>0.5</v>
      </c>
      <c r="IW118">
        <v>0.390625</v>
      </c>
      <c r="IX118">
        <v>2.51953</v>
      </c>
      <c r="IY118">
        <v>1.65039</v>
      </c>
      <c r="IZ118">
        <v>2.2900399999999999</v>
      </c>
      <c r="JA118">
        <v>1.50024</v>
      </c>
      <c r="JB118">
        <v>2.2729499999999998</v>
      </c>
      <c r="JC118">
        <v>38.378999999999998</v>
      </c>
      <c r="JD118">
        <v>23.8598</v>
      </c>
      <c r="JE118">
        <v>18</v>
      </c>
      <c r="JF118">
        <v>507.19600000000003</v>
      </c>
      <c r="JG118">
        <v>456.98099999999999</v>
      </c>
      <c r="JH118">
        <v>24.7593</v>
      </c>
      <c r="JI118">
        <v>32.840800000000002</v>
      </c>
      <c r="JJ118">
        <v>29.9999</v>
      </c>
      <c r="JK118">
        <v>32.884700000000002</v>
      </c>
      <c r="JL118">
        <v>32.861199999999997</v>
      </c>
      <c r="JM118">
        <v>7.8589700000000002</v>
      </c>
      <c r="JN118">
        <v>42.428199999999997</v>
      </c>
      <c r="JO118">
        <v>41.558399999999999</v>
      </c>
      <c r="JP118">
        <v>24.753799999999998</v>
      </c>
      <c r="JQ118">
        <v>120</v>
      </c>
      <c r="JR118">
        <v>16.774899999999999</v>
      </c>
      <c r="JS118">
        <v>99.798699999999997</v>
      </c>
      <c r="JT118">
        <v>98.968900000000005</v>
      </c>
    </row>
    <row r="119" spans="1:280" x14ac:dyDescent="0.25">
      <c r="A119">
        <v>103</v>
      </c>
      <c r="B119">
        <v>1674599580.5</v>
      </c>
      <c r="C119">
        <v>25445.900000095371</v>
      </c>
      <c r="D119" t="s">
        <v>941</v>
      </c>
      <c r="E119" t="s">
        <v>942</v>
      </c>
      <c r="F119" t="s">
        <v>412</v>
      </c>
      <c r="G119" t="s">
        <v>922</v>
      </c>
      <c r="H119" t="s">
        <v>637</v>
      </c>
      <c r="I119">
        <v>1674599580.5</v>
      </c>
      <c r="J119">
        <f t="shared" si="138"/>
        <v>7.4265049234325123E-3</v>
      </c>
      <c r="K119">
        <f t="shared" si="139"/>
        <v>7.4265049234325122</v>
      </c>
      <c r="L119">
        <f t="shared" si="140"/>
        <v>13.360775428009875</v>
      </c>
      <c r="M119">
        <f t="shared" si="141"/>
        <v>53.487099999999998</v>
      </c>
      <c r="N119">
        <f t="shared" si="142"/>
        <v>13.565410246748696</v>
      </c>
      <c r="O119">
        <f t="shared" si="143"/>
        <v>1.3516467738773554</v>
      </c>
      <c r="P119">
        <f t="shared" si="144"/>
        <v>5.3294124426781</v>
      </c>
      <c r="Q119">
        <f t="shared" si="145"/>
        <v>0.59822561127670804</v>
      </c>
      <c r="R119">
        <f t="shared" si="146"/>
        <v>2.9203620552883702</v>
      </c>
      <c r="S119">
        <f t="shared" si="147"/>
        <v>0.53755987931394555</v>
      </c>
      <c r="T119">
        <f t="shared" si="148"/>
        <v>0.34091137952494771</v>
      </c>
      <c r="U119">
        <f t="shared" si="149"/>
        <v>344.33769860420233</v>
      </c>
      <c r="V119">
        <f t="shared" si="150"/>
        <v>28.103964316408099</v>
      </c>
      <c r="W119">
        <f t="shared" si="151"/>
        <v>28.133600000000001</v>
      </c>
      <c r="X119">
        <f t="shared" si="152"/>
        <v>3.8244960971505177</v>
      </c>
      <c r="Y119">
        <f t="shared" si="153"/>
        <v>65.640046789228975</v>
      </c>
      <c r="Z119">
        <f t="shared" si="154"/>
        <v>2.4915880741871002</v>
      </c>
      <c r="AA119">
        <f t="shared" si="155"/>
        <v>3.7958353110070457</v>
      </c>
      <c r="AB119">
        <f t="shared" si="156"/>
        <v>1.3329080229634176</v>
      </c>
      <c r="AC119">
        <f t="shared" si="157"/>
        <v>-327.50886712337382</v>
      </c>
      <c r="AD119">
        <f t="shared" si="158"/>
        <v>-20.325834382999798</v>
      </c>
      <c r="AE119">
        <f t="shared" si="159"/>
        <v>-1.5181729529290307</v>
      </c>
      <c r="AF119">
        <f t="shared" si="160"/>
        <v>-5.0151758551003205</v>
      </c>
      <c r="AG119">
        <v>0</v>
      </c>
      <c r="AH119">
        <v>0</v>
      </c>
      <c r="AI119">
        <f t="shared" si="161"/>
        <v>1</v>
      </c>
      <c r="AJ119">
        <f t="shared" si="162"/>
        <v>0</v>
      </c>
      <c r="AK119">
        <f t="shared" si="163"/>
        <v>52426.523338466366</v>
      </c>
      <c r="AL119" t="s">
        <v>415</v>
      </c>
      <c r="AM119">
        <v>10424.1</v>
      </c>
      <c r="AN119">
        <v>628.54280000000006</v>
      </c>
      <c r="AO119">
        <v>2663.98</v>
      </c>
      <c r="AP119">
        <f t="shared" si="164"/>
        <v>0.76405873917972356</v>
      </c>
      <c r="AQ119">
        <v>-3.1675626227050531</v>
      </c>
      <c r="AR119" t="s">
        <v>943</v>
      </c>
      <c r="AS119">
        <v>10186.299999999999</v>
      </c>
      <c r="AT119">
        <v>818.2316800000001</v>
      </c>
      <c r="AU119">
        <v>940.86883143768353</v>
      </c>
      <c r="AV119">
        <f t="shared" si="165"/>
        <v>0.13034457869147309</v>
      </c>
      <c r="AW119">
        <v>0.5</v>
      </c>
      <c r="AX119">
        <f t="shared" si="166"/>
        <v>1513.0421993021009</v>
      </c>
      <c r="AY119">
        <f t="shared" si="167"/>
        <v>13.360775428009875</v>
      </c>
      <c r="AZ119">
        <f t="shared" si="168"/>
        <v>98.608424005226098</v>
      </c>
      <c r="BA119">
        <f t="shared" si="169"/>
        <v>1.0923910819102545E-2</v>
      </c>
      <c r="BB119">
        <f t="shared" si="170"/>
        <v>1.8314042414704468</v>
      </c>
      <c r="BC119">
        <f t="shared" si="171"/>
        <v>438.89471466712104</v>
      </c>
      <c r="BD119" t="s">
        <v>944</v>
      </c>
      <c r="BE119">
        <v>552.98</v>
      </c>
      <c r="BF119">
        <f t="shared" si="172"/>
        <v>552.98</v>
      </c>
      <c r="BG119">
        <f t="shared" si="173"/>
        <v>0.4122666395962703</v>
      </c>
      <c r="BH119">
        <f t="shared" si="174"/>
        <v>0.31616571939732624</v>
      </c>
      <c r="BI119">
        <f t="shared" si="175"/>
        <v>0.81625351424079406</v>
      </c>
      <c r="BJ119">
        <f t="shared" si="176"/>
        <v>0.39265747678208657</v>
      </c>
      <c r="BK119">
        <f t="shared" si="177"/>
        <v>0.84655580067138225</v>
      </c>
      <c r="BL119">
        <f t="shared" si="178"/>
        <v>0.21367214663740891</v>
      </c>
      <c r="BM119">
        <f t="shared" si="179"/>
        <v>0.78632785336259103</v>
      </c>
      <c r="BN119">
        <v>20369</v>
      </c>
      <c r="BO119">
        <v>290.00000000000011</v>
      </c>
      <c r="BP119">
        <v>909.72</v>
      </c>
      <c r="BQ119">
        <v>235</v>
      </c>
      <c r="BR119">
        <v>10186.299999999999</v>
      </c>
      <c r="BS119">
        <v>909.62</v>
      </c>
      <c r="BT119">
        <v>0.1</v>
      </c>
      <c r="BU119">
        <v>300.00000000000011</v>
      </c>
      <c r="BV119">
        <v>24.2</v>
      </c>
      <c r="BW119">
        <v>940.86883143768353</v>
      </c>
      <c r="BX119">
        <v>1.8635485879067299</v>
      </c>
      <c r="BY119">
        <v>-31.83477520802839</v>
      </c>
      <c r="BZ119">
        <v>1.689747677127414</v>
      </c>
      <c r="CA119">
        <v>0.92688226262697138</v>
      </c>
      <c r="CB119">
        <v>-6.9376789766407163E-3</v>
      </c>
      <c r="CC119">
        <v>289.99999999999989</v>
      </c>
      <c r="CD119">
        <v>907.53</v>
      </c>
      <c r="CE119">
        <v>685</v>
      </c>
      <c r="CF119">
        <v>10156.799999999999</v>
      </c>
      <c r="CG119">
        <v>909.53</v>
      </c>
      <c r="CH119">
        <v>-2</v>
      </c>
      <c r="CV119">
        <f t="shared" si="180"/>
        <v>1799.83</v>
      </c>
      <c r="CW119">
        <f t="shared" si="181"/>
        <v>1513.0421993021009</v>
      </c>
      <c r="CX119">
        <f t="shared" si="182"/>
        <v>0.84065839512737373</v>
      </c>
      <c r="CY119">
        <f t="shared" si="183"/>
        <v>0.19131679025474757</v>
      </c>
      <c r="CZ119">
        <v>6</v>
      </c>
      <c r="DA119">
        <v>0.5</v>
      </c>
      <c r="DB119" t="s">
        <v>418</v>
      </c>
      <c r="DC119">
        <v>2</v>
      </c>
      <c r="DD119">
        <v>1674599580.5</v>
      </c>
      <c r="DE119">
        <v>53.487099999999998</v>
      </c>
      <c r="DF119">
        <v>69.996399999999994</v>
      </c>
      <c r="DG119">
        <v>25.0061</v>
      </c>
      <c r="DH119">
        <v>16.317299999999999</v>
      </c>
      <c r="DI119">
        <v>55.637500000000003</v>
      </c>
      <c r="DJ119">
        <v>24.633700000000001</v>
      </c>
      <c r="DK119">
        <v>500.00900000000001</v>
      </c>
      <c r="DL119">
        <v>99.539400000000001</v>
      </c>
      <c r="DM119">
        <v>9.9810999999999997E-2</v>
      </c>
      <c r="DN119">
        <v>28.0045</v>
      </c>
      <c r="DO119">
        <v>28.133600000000001</v>
      </c>
      <c r="DP119">
        <v>999.9</v>
      </c>
      <c r="DQ119">
        <v>0</v>
      </c>
      <c r="DR119">
        <v>0</v>
      </c>
      <c r="DS119">
        <v>9993.75</v>
      </c>
      <c r="DT119">
        <v>0</v>
      </c>
      <c r="DU119">
        <v>250.364</v>
      </c>
      <c r="DV119">
        <v>-16.5092</v>
      </c>
      <c r="DW119">
        <v>54.859000000000002</v>
      </c>
      <c r="DX119">
        <v>71.157399999999996</v>
      </c>
      <c r="DY119">
        <v>8.6888000000000005</v>
      </c>
      <c r="DZ119">
        <v>69.996399999999994</v>
      </c>
      <c r="EA119">
        <v>16.317299999999999</v>
      </c>
      <c r="EB119">
        <v>2.48909</v>
      </c>
      <c r="EC119">
        <v>1.6242099999999999</v>
      </c>
      <c r="ED119">
        <v>20.955400000000001</v>
      </c>
      <c r="EE119">
        <v>14.1905</v>
      </c>
      <c r="EF119">
        <v>1799.83</v>
      </c>
      <c r="EG119">
        <v>0.977993</v>
      </c>
      <c r="EH119">
        <v>2.2006899999999999E-2</v>
      </c>
      <c r="EI119">
        <v>0</v>
      </c>
      <c r="EJ119">
        <v>818.178</v>
      </c>
      <c r="EK119">
        <v>5.0010599999999998</v>
      </c>
      <c r="EL119">
        <v>15227.7</v>
      </c>
      <c r="EM119">
        <v>16709.5</v>
      </c>
      <c r="EN119">
        <v>48.686999999999998</v>
      </c>
      <c r="EO119">
        <v>49.375</v>
      </c>
      <c r="EP119">
        <v>49.625</v>
      </c>
      <c r="EQ119">
        <v>48.186999999999998</v>
      </c>
      <c r="ER119">
        <v>49.5</v>
      </c>
      <c r="ES119">
        <v>1755.33</v>
      </c>
      <c r="ET119">
        <v>39.5</v>
      </c>
      <c r="EU119">
        <v>0</v>
      </c>
      <c r="EV119">
        <v>150.5999999046326</v>
      </c>
      <c r="EW119">
        <v>0</v>
      </c>
      <c r="EX119">
        <v>818.2316800000001</v>
      </c>
      <c r="EY119">
        <v>-0.95299998871764302</v>
      </c>
      <c r="EZ119">
        <v>-26.70000004002323</v>
      </c>
      <c r="FA119">
        <v>15232.832</v>
      </c>
      <c r="FB119">
        <v>15</v>
      </c>
      <c r="FC119">
        <v>1674599546.5</v>
      </c>
      <c r="FD119" t="s">
        <v>945</v>
      </c>
      <c r="FE119">
        <v>1674599542.5</v>
      </c>
      <c r="FF119">
        <v>1674599546.5</v>
      </c>
      <c r="FG119">
        <v>115</v>
      </c>
      <c r="FH119">
        <v>-2.9000000000000001E-2</v>
      </c>
      <c r="FI119">
        <v>3.0000000000000001E-3</v>
      </c>
      <c r="FJ119">
        <v>-2.1890000000000001</v>
      </c>
      <c r="FK119">
        <v>-2E-3</v>
      </c>
      <c r="FL119">
        <v>70</v>
      </c>
      <c r="FM119">
        <v>16</v>
      </c>
      <c r="FN119">
        <v>0.06</v>
      </c>
      <c r="FO119">
        <v>0.01</v>
      </c>
      <c r="FP119">
        <v>13.385605733742111</v>
      </c>
      <c r="FQ119">
        <v>-0.65033171240509258</v>
      </c>
      <c r="FR119">
        <v>8.3953557319044247E-2</v>
      </c>
      <c r="FS119">
        <v>1</v>
      </c>
      <c r="FT119">
        <v>0.60133847001607477</v>
      </c>
      <c r="FU119">
        <v>4.9019423895730893E-3</v>
      </c>
      <c r="FV119">
        <v>6.4728860421632397E-3</v>
      </c>
      <c r="FW119">
        <v>1</v>
      </c>
      <c r="FX119">
        <v>2</v>
      </c>
      <c r="FY119">
        <v>2</v>
      </c>
      <c r="FZ119" t="s">
        <v>420</v>
      </c>
      <c r="GA119">
        <v>2.9772500000000002</v>
      </c>
      <c r="GB119">
        <v>2.8060800000000001</v>
      </c>
      <c r="GC119">
        <v>1.6048E-2</v>
      </c>
      <c r="GD119">
        <v>1.9880100000000001E-2</v>
      </c>
      <c r="GE119">
        <v>0.12199500000000001</v>
      </c>
      <c r="GF119">
        <v>9.0421899999999999E-2</v>
      </c>
      <c r="GG119">
        <v>29053</v>
      </c>
      <c r="GH119">
        <v>26831</v>
      </c>
      <c r="GI119">
        <v>26545.1</v>
      </c>
      <c r="GJ119">
        <v>25856.1</v>
      </c>
      <c r="GK119">
        <v>31709.7</v>
      </c>
      <c r="GL119">
        <v>33193</v>
      </c>
      <c r="GM119">
        <v>37603.199999999997</v>
      </c>
      <c r="GN119">
        <v>38360.9</v>
      </c>
      <c r="GO119">
        <v>1.96987</v>
      </c>
      <c r="GP119">
        <v>1.9009499999999999</v>
      </c>
      <c r="GQ119">
        <v>5.9153900000000002E-2</v>
      </c>
      <c r="GR119">
        <v>0</v>
      </c>
      <c r="GS119">
        <v>27.167300000000001</v>
      </c>
      <c r="GT119">
        <v>999.9</v>
      </c>
      <c r="GU119">
        <v>40.9</v>
      </c>
      <c r="GV119">
        <v>34.4</v>
      </c>
      <c r="GW119">
        <v>22.447199999999999</v>
      </c>
      <c r="GX119">
        <v>62.1586</v>
      </c>
      <c r="GY119">
        <v>12.243600000000001</v>
      </c>
      <c r="GZ119">
        <v>1</v>
      </c>
      <c r="HA119">
        <v>0.44713399999999998</v>
      </c>
      <c r="HB119">
        <v>2.8647100000000001</v>
      </c>
      <c r="HC119">
        <v>20.2303</v>
      </c>
      <c r="HD119">
        <v>5.2053099999999999</v>
      </c>
      <c r="HE119">
        <v>11.9381</v>
      </c>
      <c r="HF119">
        <v>4.9861000000000004</v>
      </c>
      <c r="HG119">
        <v>3.2896299999999998</v>
      </c>
      <c r="HH119">
        <v>9999</v>
      </c>
      <c r="HI119">
        <v>9999</v>
      </c>
      <c r="HJ119">
        <v>9999</v>
      </c>
      <c r="HK119">
        <v>999.9</v>
      </c>
      <c r="HL119">
        <v>1.8702700000000001</v>
      </c>
      <c r="HM119">
        <v>1.87653</v>
      </c>
      <c r="HN119">
        <v>1.8742399999999999</v>
      </c>
      <c r="HO119">
        <v>1.87256</v>
      </c>
      <c r="HP119">
        <v>1.8730199999999999</v>
      </c>
      <c r="HQ119">
        <v>1.8704099999999999</v>
      </c>
      <c r="HR119">
        <v>1.87632</v>
      </c>
      <c r="HS119">
        <v>1.87544</v>
      </c>
      <c r="HT119">
        <v>5</v>
      </c>
      <c r="HU119">
        <v>0</v>
      </c>
      <c r="HV119">
        <v>0</v>
      </c>
      <c r="HW119">
        <v>0</v>
      </c>
      <c r="HX119" t="s">
        <v>421</v>
      </c>
      <c r="HY119" t="s">
        <v>422</v>
      </c>
      <c r="HZ119" t="s">
        <v>423</v>
      </c>
      <c r="IA119" t="s">
        <v>424</v>
      </c>
      <c r="IB119" t="s">
        <v>424</v>
      </c>
      <c r="IC119" t="s">
        <v>423</v>
      </c>
      <c r="ID119">
        <v>0</v>
      </c>
      <c r="IE119">
        <v>100</v>
      </c>
      <c r="IF119">
        <v>100</v>
      </c>
      <c r="IG119">
        <v>-2.15</v>
      </c>
      <c r="IH119">
        <v>0.37240000000000001</v>
      </c>
      <c r="II119">
        <v>-2.0139782451611699</v>
      </c>
      <c r="IJ119">
        <v>-2.536945948238235E-3</v>
      </c>
      <c r="IK119">
        <v>1.581473279927893E-6</v>
      </c>
      <c r="IL119">
        <v>-4.6698293441882044E-10</v>
      </c>
      <c r="IM119">
        <v>-0.14569602556457231</v>
      </c>
      <c r="IN119">
        <v>-1.5895243091576399E-2</v>
      </c>
      <c r="IO119">
        <v>1.559614309849521E-3</v>
      </c>
      <c r="IP119">
        <v>-2.4566050869858518E-6</v>
      </c>
      <c r="IQ119">
        <v>2</v>
      </c>
      <c r="IR119">
        <v>2224</v>
      </c>
      <c r="IS119">
        <v>2</v>
      </c>
      <c r="IT119">
        <v>25</v>
      </c>
      <c r="IU119">
        <v>0.6</v>
      </c>
      <c r="IV119">
        <v>0.6</v>
      </c>
      <c r="IW119">
        <v>0.28930699999999998</v>
      </c>
      <c r="IX119">
        <v>2.5305200000000001</v>
      </c>
      <c r="IY119">
        <v>1.65039</v>
      </c>
      <c r="IZ119">
        <v>2.2900399999999999</v>
      </c>
      <c r="JA119">
        <v>1.50024</v>
      </c>
      <c r="JB119">
        <v>2.4011200000000001</v>
      </c>
      <c r="JC119">
        <v>38.378999999999998</v>
      </c>
      <c r="JD119">
        <v>23.868600000000001</v>
      </c>
      <c r="JE119">
        <v>18</v>
      </c>
      <c r="JF119">
        <v>507.548</v>
      </c>
      <c r="JG119">
        <v>455.74099999999999</v>
      </c>
      <c r="JH119">
        <v>24.593</v>
      </c>
      <c r="JI119">
        <v>32.822000000000003</v>
      </c>
      <c r="JJ119">
        <v>30.0001</v>
      </c>
      <c r="JK119">
        <v>32.852899999999998</v>
      </c>
      <c r="JL119">
        <v>32.830800000000004</v>
      </c>
      <c r="JM119">
        <v>5.8476800000000004</v>
      </c>
      <c r="JN119">
        <v>43.401800000000001</v>
      </c>
      <c r="JO119">
        <v>39.2654</v>
      </c>
      <c r="JP119">
        <v>24.592700000000001</v>
      </c>
      <c r="JQ119">
        <v>70</v>
      </c>
      <c r="JR119">
        <v>16.2256</v>
      </c>
      <c r="JS119">
        <v>99.800399999999996</v>
      </c>
      <c r="JT119">
        <v>98.970799999999997</v>
      </c>
    </row>
    <row r="120" spans="1:280" x14ac:dyDescent="0.25">
      <c r="A120">
        <v>104</v>
      </c>
      <c r="B120">
        <v>1674599702</v>
      </c>
      <c r="C120">
        <v>25567.400000095371</v>
      </c>
      <c r="D120" t="s">
        <v>946</v>
      </c>
      <c r="E120" t="s">
        <v>947</v>
      </c>
      <c r="F120" t="s">
        <v>412</v>
      </c>
      <c r="G120" t="s">
        <v>922</v>
      </c>
      <c r="H120" t="s">
        <v>637</v>
      </c>
      <c r="I120">
        <v>1674599702</v>
      </c>
      <c r="J120">
        <f t="shared" si="138"/>
        <v>7.6550720523685329E-3</v>
      </c>
      <c r="K120">
        <f t="shared" si="139"/>
        <v>7.6550720523685332</v>
      </c>
      <c r="L120">
        <f t="shared" si="140"/>
        <v>6.058614384739756</v>
      </c>
      <c r="M120">
        <f t="shared" si="141"/>
        <v>22.5474</v>
      </c>
      <c r="N120">
        <f t="shared" si="142"/>
        <v>4.9893324043267135</v>
      </c>
      <c r="O120">
        <f t="shared" si="143"/>
        <v>0.49715239951439477</v>
      </c>
      <c r="P120">
        <f t="shared" si="144"/>
        <v>2.2466921632822201</v>
      </c>
      <c r="Q120">
        <f t="shared" si="145"/>
        <v>0.61776998890553048</v>
      </c>
      <c r="R120">
        <f t="shared" si="146"/>
        <v>2.9221912248825546</v>
      </c>
      <c r="S120">
        <f t="shared" si="147"/>
        <v>0.55333953772280997</v>
      </c>
      <c r="T120">
        <f t="shared" si="148"/>
        <v>0.35106438601362183</v>
      </c>
      <c r="U120">
        <f t="shared" si="149"/>
        <v>344.39089860441942</v>
      </c>
      <c r="V120">
        <f t="shared" si="150"/>
        <v>28.054279834855205</v>
      </c>
      <c r="W120">
        <f t="shared" si="151"/>
        <v>28.122800000000002</v>
      </c>
      <c r="X120">
        <f t="shared" si="152"/>
        <v>3.8220912334327002</v>
      </c>
      <c r="Y120">
        <f t="shared" si="153"/>
        <v>65.488853032127892</v>
      </c>
      <c r="Z120">
        <f t="shared" si="154"/>
        <v>2.4872404992934505</v>
      </c>
      <c r="AA120">
        <f t="shared" si="155"/>
        <v>3.7979600865405994</v>
      </c>
      <c r="AB120">
        <f t="shared" si="156"/>
        <v>1.3348507341392497</v>
      </c>
      <c r="AC120">
        <f t="shared" si="157"/>
        <v>-337.58867750945228</v>
      </c>
      <c r="AD120">
        <f t="shared" si="158"/>
        <v>-17.124725539435271</v>
      </c>
      <c r="AE120">
        <f t="shared" si="159"/>
        <v>-1.278268095591617</v>
      </c>
      <c r="AF120">
        <f t="shared" si="160"/>
        <v>-11.600772540059747</v>
      </c>
      <c r="AG120">
        <v>0</v>
      </c>
      <c r="AH120">
        <v>0</v>
      </c>
      <c r="AI120">
        <f t="shared" si="161"/>
        <v>1</v>
      </c>
      <c r="AJ120">
        <f t="shared" si="162"/>
        <v>0</v>
      </c>
      <c r="AK120">
        <f t="shared" si="163"/>
        <v>52477.472990475726</v>
      </c>
      <c r="AL120" t="s">
        <v>415</v>
      </c>
      <c r="AM120">
        <v>10424.1</v>
      </c>
      <c r="AN120">
        <v>628.54280000000006</v>
      </c>
      <c r="AO120">
        <v>2663.98</v>
      </c>
      <c r="AP120">
        <f t="shared" si="164"/>
        <v>0.76405873917972356</v>
      </c>
      <c r="AQ120">
        <v>-3.1675626227050531</v>
      </c>
      <c r="AR120" t="s">
        <v>948</v>
      </c>
      <c r="AS120">
        <v>10210.1</v>
      </c>
      <c r="AT120">
        <v>835.441423076923</v>
      </c>
      <c r="AU120">
        <v>920.26951241376526</v>
      </c>
      <c r="AV120">
        <f t="shared" si="165"/>
        <v>9.21774417087311E-2</v>
      </c>
      <c r="AW120">
        <v>0.5</v>
      </c>
      <c r="AX120">
        <f t="shared" si="166"/>
        <v>1513.2773993022097</v>
      </c>
      <c r="AY120">
        <f t="shared" si="167"/>
        <v>6.058614384739756</v>
      </c>
      <c r="AZ120">
        <f t="shared" si="168"/>
        <v>69.745019631659815</v>
      </c>
      <c r="BA120">
        <f t="shared" si="169"/>
        <v>6.0968180795531006E-3</v>
      </c>
      <c r="BB120">
        <f t="shared" si="170"/>
        <v>1.8947824132657343</v>
      </c>
      <c r="BC120">
        <f t="shared" si="171"/>
        <v>434.35928736327685</v>
      </c>
      <c r="BD120" t="s">
        <v>949</v>
      </c>
      <c r="BE120">
        <v>567.83000000000004</v>
      </c>
      <c r="BF120">
        <f t="shared" si="172"/>
        <v>567.83000000000004</v>
      </c>
      <c r="BG120">
        <f t="shared" si="173"/>
        <v>0.3829742348949009</v>
      </c>
      <c r="BH120">
        <f t="shared" si="174"/>
        <v>0.24068836310627334</v>
      </c>
      <c r="BI120">
        <f t="shared" si="175"/>
        <v>0.83186341034097488</v>
      </c>
      <c r="BJ120">
        <f t="shared" si="176"/>
        <v>0.29077930037660693</v>
      </c>
      <c r="BK120">
        <f t="shared" si="177"/>
        <v>0.85667614190515673</v>
      </c>
      <c r="BL120">
        <f t="shared" si="178"/>
        <v>0.16359025234741245</v>
      </c>
      <c r="BM120">
        <f t="shared" si="179"/>
        <v>0.83640974765258758</v>
      </c>
      <c r="BN120">
        <v>20371</v>
      </c>
      <c r="BO120">
        <v>290.00000000000011</v>
      </c>
      <c r="BP120">
        <v>894.61</v>
      </c>
      <c r="BQ120">
        <v>115</v>
      </c>
      <c r="BR120">
        <v>10210.1</v>
      </c>
      <c r="BS120">
        <v>893.42</v>
      </c>
      <c r="BT120">
        <v>1.19</v>
      </c>
      <c r="BU120">
        <v>300.00000000000011</v>
      </c>
      <c r="BV120">
        <v>24.2</v>
      </c>
      <c r="BW120">
        <v>920.26951241376526</v>
      </c>
      <c r="BX120">
        <v>1.8928155018166071</v>
      </c>
      <c r="BY120">
        <v>-27.416782933777661</v>
      </c>
      <c r="BZ120">
        <v>1.716207030319131</v>
      </c>
      <c r="CA120">
        <v>0.90113260297178288</v>
      </c>
      <c r="CB120">
        <v>-6.9373942157953386E-3</v>
      </c>
      <c r="CC120">
        <v>289.99999999999989</v>
      </c>
      <c r="CD120">
        <v>890.46</v>
      </c>
      <c r="CE120">
        <v>635</v>
      </c>
      <c r="CF120">
        <v>10160.4</v>
      </c>
      <c r="CG120">
        <v>893.29</v>
      </c>
      <c r="CH120">
        <v>-2.83</v>
      </c>
      <c r="CV120">
        <f t="shared" si="180"/>
        <v>1800.11</v>
      </c>
      <c r="CW120">
        <f t="shared" si="181"/>
        <v>1513.2773993022097</v>
      </c>
      <c r="CX120">
        <f t="shared" si="182"/>
        <v>0.84065829271667269</v>
      </c>
      <c r="CY120">
        <f t="shared" si="183"/>
        <v>0.19131658543334543</v>
      </c>
      <c r="CZ120">
        <v>6</v>
      </c>
      <c r="DA120">
        <v>0.5</v>
      </c>
      <c r="DB120" t="s">
        <v>418</v>
      </c>
      <c r="DC120">
        <v>2</v>
      </c>
      <c r="DD120">
        <v>1674599702</v>
      </c>
      <c r="DE120">
        <v>22.5474</v>
      </c>
      <c r="DF120">
        <v>30.023199999999999</v>
      </c>
      <c r="DG120">
        <v>24.961500000000001</v>
      </c>
      <c r="DH120">
        <v>16.006699999999999</v>
      </c>
      <c r="DI120">
        <v>24.822600000000001</v>
      </c>
      <c r="DJ120">
        <v>24.584800000000001</v>
      </c>
      <c r="DK120">
        <v>500.11099999999999</v>
      </c>
      <c r="DL120">
        <v>99.543300000000002</v>
      </c>
      <c r="DM120">
        <v>9.9770300000000006E-2</v>
      </c>
      <c r="DN120">
        <v>28.014099999999999</v>
      </c>
      <c r="DO120">
        <v>28.122800000000002</v>
      </c>
      <c r="DP120">
        <v>999.9</v>
      </c>
      <c r="DQ120">
        <v>0</v>
      </c>
      <c r="DR120">
        <v>0</v>
      </c>
      <c r="DS120">
        <v>10003.799999999999</v>
      </c>
      <c r="DT120">
        <v>0</v>
      </c>
      <c r="DU120">
        <v>247.869</v>
      </c>
      <c r="DV120">
        <v>-7.4757400000000001</v>
      </c>
      <c r="DW120">
        <v>23.124700000000001</v>
      </c>
      <c r="DX120">
        <v>30.511600000000001</v>
      </c>
      <c r="DY120">
        <v>8.9547799999999995</v>
      </c>
      <c r="DZ120">
        <v>30.023199999999999</v>
      </c>
      <c r="EA120">
        <v>16.006699999999999</v>
      </c>
      <c r="EB120">
        <v>2.48475</v>
      </c>
      <c r="EC120">
        <v>1.5933600000000001</v>
      </c>
      <c r="ED120">
        <v>20.927</v>
      </c>
      <c r="EE120">
        <v>13.8948</v>
      </c>
      <c r="EF120">
        <v>1800.11</v>
      </c>
      <c r="EG120">
        <v>0.97799700000000001</v>
      </c>
      <c r="EH120">
        <v>2.2003499999999999E-2</v>
      </c>
      <c r="EI120">
        <v>0</v>
      </c>
      <c r="EJ120">
        <v>835.46500000000003</v>
      </c>
      <c r="EK120">
        <v>5.0010599999999998</v>
      </c>
      <c r="EL120">
        <v>15536.4</v>
      </c>
      <c r="EM120">
        <v>16712.099999999999</v>
      </c>
      <c r="EN120">
        <v>48.75</v>
      </c>
      <c r="EO120">
        <v>49.436999999999998</v>
      </c>
      <c r="EP120">
        <v>49.686999999999998</v>
      </c>
      <c r="EQ120">
        <v>48.25</v>
      </c>
      <c r="ER120">
        <v>49.561999999999998</v>
      </c>
      <c r="ES120">
        <v>1755.61</v>
      </c>
      <c r="ET120">
        <v>39.5</v>
      </c>
      <c r="EU120">
        <v>0</v>
      </c>
      <c r="EV120">
        <v>119.6000001430511</v>
      </c>
      <c r="EW120">
        <v>0</v>
      </c>
      <c r="EX120">
        <v>835.441423076923</v>
      </c>
      <c r="EY120">
        <v>-1.4811965847802699</v>
      </c>
      <c r="EZ120">
        <v>-22.365811948129039</v>
      </c>
      <c r="FA120">
        <v>15538.24615384615</v>
      </c>
      <c r="FB120">
        <v>15</v>
      </c>
      <c r="FC120">
        <v>1674599667.5</v>
      </c>
      <c r="FD120" t="s">
        <v>950</v>
      </c>
      <c r="FE120">
        <v>1674599648</v>
      </c>
      <c r="FF120">
        <v>1674599667.5</v>
      </c>
      <c r="FG120">
        <v>116</v>
      </c>
      <c r="FH120">
        <v>-0.19900000000000001</v>
      </c>
      <c r="FI120">
        <v>7.0000000000000001E-3</v>
      </c>
      <c r="FJ120">
        <v>-2.2930000000000001</v>
      </c>
      <c r="FK120">
        <v>-4.0000000000000001E-3</v>
      </c>
      <c r="FL120">
        <v>30</v>
      </c>
      <c r="FM120">
        <v>16</v>
      </c>
      <c r="FN120">
        <v>0.25</v>
      </c>
      <c r="FO120">
        <v>0.02</v>
      </c>
      <c r="FP120">
        <v>6.1019436886286318</v>
      </c>
      <c r="FQ120">
        <v>-0.48206308977843371</v>
      </c>
      <c r="FR120">
        <v>6.1913572060632492E-2</v>
      </c>
      <c r="FS120">
        <v>1</v>
      </c>
      <c r="FT120">
        <v>0.62091958238756839</v>
      </c>
      <c r="FU120">
        <v>-9.1249225961616918E-3</v>
      </c>
      <c r="FV120">
        <v>5.1831280859107364E-3</v>
      </c>
      <c r="FW120">
        <v>1</v>
      </c>
      <c r="FX120">
        <v>2</v>
      </c>
      <c r="FY120">
        <v>2</v>
      </c>
      <c r="FZ120" t="s">
        <v>420</v>
      </c>
      <c r="GA120">
        <v>2.9774699999999998</v>
      </c>
      <c r="GB120">
        <v>2.80613</v>
      </c>
      <c r="GC120">
        <v>7.1743299999999996E-3</v>
      </c>
      <c r="GD120">
        <v>8.5610700000000005E-3</v>
      </c>
      <c r="GE120">
        <v>0.121824</v>
      </c>
      <c r="GF120">
        <v>8.9191599999999996E-2</v>
      </c>
      <c r="GG120">
        <v>29312.6</v>
      </c>
      <c r="GH120">
        <v>27138.3</v>
      </c>
      <c r="GI120">
        <v>26543.200000000001</v>
      </c>
      <c r="GJ120">
        <v>25854</v>
      </c>
      <c r="GK120">
        <v>31713.5</v>
      </c>
      <c r="GL120">
        <v>33235.5</v>
      </c>
      <c r="GM120">
        <v>37600.199999999997</v>
      </c>
      <c r="GN120">
        <v>38358.300000000003</v>
      </c>
      <c r="GO120">
        <v>1.9698500000000001</v>
      </c>
      <c r="GP120">
        <v>1.8994200000000001</v>
      </c>
      <c r="GQ120">
        <v>5.4947999999999997E-2</v>
      </c>
      <c r="GR120">
        <v>0</v>
      </c>
      <c r="GS120">
        <v>27.225200000000001</v>
      </c>
      <c r="GT120">
        <v>999.9</v>
      </c>
      <c r="GU120">
        <v>40.299999999999997</v>
      </c>
      <c r="GV120">
        <v>34.4</v>
      </c>
      <c r="GW120">
        <v>22.118099999999998</v>
      </c>
      <c r="GX120">
        <v>62.378700000000002</v>
      </c>
      <c r="GY120">
        <v>12.1394</v>
      </c>
      <c r="GZ120">
        <v>1</v>
      </c>
      <c r="HA120">
        <v>0.45187500000000003</v>
      </c>
      <c r="HB120">
        <v>2.9735900000000002</v>
      </c>
      <c r="HC120">
        <v>20.228300000000001</v>
      </c>
      <c r="HD120">
        <v>5.2051600000000002</v>
      </c>
      <c r="HE120">
        <v>11.9381</v>
      </c>
      <c r="HF120">
        <v>4.9860499999999996</v>
      </c>
      <c r="HG120">
        <v>3.28938</v>
      </c>
      <c r="HH120">
        <v>9999</v>
      </c>
      <c r="HI120">
        <v>9999</v>
      </c>
      <c r="HJ120">
        <v>9999</v>
      </c>
      <c r="HK120">
        <v>999.9</v>
      </c>
      <c r="HL120">
        <v>1.8702700000000001</v>
      </c>
      <c r="HM120">
        <v>1.87653</v>
      </c>
      <c r="HN120">
        <v>1.8742399999999999</v>
      </c>
      <c r="HO120">
        <v>1.87256</v>
      </c>
      <c r="HP120">
        <v>1.8730199999999999</v>
      </c>
      <c r="HQ120">
        <v>1.8704099999999999</v>
      </c>
      <c r="HR120">
        <v>1.8763000000000001</v>
      </c>
      <c r="HS120">
        <v>1.8754299999999999</v>
      </c>
      <c r="HT120">
        <v>5</v>
      </c>
      <c r="HU120">
        <v>0</v>
      </c>
      <c r="HV120">
        <v>0</v>
      </c>
      <c r="HW120">
        <v>0</v>
      </c>
      <c r="HX120" t="s">
        <v>421</v>
      </c>
      <c r="HY120" t="s">
        <v>422</v>
      </c>
      <c r="HZ120" t="s">
        <v>423</v>
      </c>
      <c r="IA120" t="s">
        <v>424</v>
      </c>
      <c r="IB120" t="s">
        <v>424</v>
      </c>
      <c r="IC120" t="s">
        <v>423</v>
      </c>
      <c r="ID120">
        <v>0</v>
      </c>
      <c r="IE120">
        <v>100</v>
      </c>
      <c r="IF120">
        <v>100</v>
      </c>
      <c r="IG120">
        <v>-2.2749999999999999</v>
      </c>
      <c r="IH120">
        <v>0.37669999999999998</v>
      </c>
      <c r="II120">
        <v>-2.2131742848949458</v>
      </c>
      <c r="IJ120">
        <v>-2.536945948238235E-3</v>
      </c>
      <c r="IK120">
        <v>1.581473279927893E-6</v>
      </c>
      <c r="IL120">
        <v>-4.6698293441882044E-10</v>
      </c>
      <c r="IM120">
        <v>-0.13867986252889139</v>
      </c>
      <c r="IN120">
        <v>-1.5895243091576399E-2</v>
      </c>
      <c r="IO120">
        <v>1.559614309849521E-3</v>
      </c>
      <c r="IP120">
        <v>-2.4566050869858518E-6</v>
      </c>
      <c r="IQ120">
        <v>2</v>
      </c>
      <c r="IR120">
        <v>2224</v>
      </c>
      <c r="IS120">
        <v>2</v>
      </c>
      <c r="IT120">
        <v>25</v>
      </c>
      <c r="IU120">
        <v>0.9</v>
      </c>
      <c r="IV120">
        <v>0.6</v>
      </c>
      <c r="IW120">
        <v>0.21118200000000001</v>
      </c>
      <c r="IX120">
        <v>2.5512700000000001</v>
      </c>
      <c r="IY120">
        <v>1.65039</v>
      </c>
      <c r="IZ120">
        <v>2.2900399999999999</v>
      </c>
      <c r="JA120">
        <v>1.50024</v>
      </c>
      <c r="JB120">
        <v>2.32178</v>
      </c>
      <c r="JC120">
        <v>38.403399999999998</v>
      </c>
      <c r="JD120">
        <v>23.8598</v>
      </c>
      <c r="JE120">
        <v>18</v>
      </c>
      <c r="JF120">
        <v>507.72300000000001</v>
      </c>
      <c r="JG120">
        <v>454.88400000000001</v>
      </c>
      <c r="JH120">
        <v>24.559000000000001</v>
      </c>
      <c r="JI120">
        <v>32.867400000000004</v>
      </c>
      <c r="JJ120">
        <v>30.000399999999999</v>
      </c>
      <c r="JK120">
        <v>32.876399999999997</v>
      </c>
      <c r="JL120">
        <v>32.848399999999998</v>
      </c>
      <c r="JM120">
        <v>4.2771100000000004</v>
      </c>
      <c r="JN120">
        <v>43.205399999999997</v>
      </c>
      <c r="JO120">
        <v>37.737699999999997</v>
      </c>
      <c r="JP120">
        <v>24.5473</v>
      </c>
      <c r="JQ120">
        <v>30</v>
      </c>
      <c r="JR120">
        <v>15.998200000000001</v>
      </c>
      <c r="JS120">
        <v>99.792900000000003</v>
      </c>
      <c r="JT120">
        <v>98.9636</v>
      </c>
    </row>
    <row r="121" spans="1:280" x14ac:dyDescent="0.25">
      <c r="A121">
        <v>105</v>
      </c>
      <c r="B121">
        <v>1674599840</v>
      </c>
      <c r="C121">
        <v>25705.400000095371</v>
      </c>
      <c r="D121" t="s">
        <v>951</v>
      </c>
      <c r="E121" t="s">
        <v>952</v>
      </c>
      <c r="F121" t="s">
        <v>412</v>
      </c>
      <c r="G121" t="s">
        <v>922</v>
      </c>
      <c r="H121" t="s">
        <v>637</v>
      </c>
      <c r="I121">
        <v>1674599840</v>
      </c>
      <c r="J121">
        <f t="shared" si="138"/>
        <v>7.7740341860566249E-3</v>
      </c>
      <c r="K121">
        <f t="shared" si="139"/>
        <v>7.7740341860566247</v>
      </c>
      <c r="L121">
        <f t="shared" si="140"/>
        <v>2.2328441688045797</v>
      </c>
      <c r="M121">
        <f t="shared" si="141"/>
        <v>7.2431700000000001</v>
      </c>
      <c r="N121">
        <f t="shared" si="142"/>
        <v>0.9348866598278357</v>
      </c>
      <c r="O121">
        <f t="shared" si="143"/>
        <v>9.316290715687188E-2</v>
      </c>
      <c r="P121">
        <f t="shared" si="144"/>
        <v>0.72179313624574204</v>
      </c>
      <c r="Q121">
        <f t="shared" si="145"/>
        <v>0.6331889885388744</v>
      </c>
      <c r="R121">
        <f t="shared" si="146"/>
        <v>2.9199212018516043</v>
      </c>
      <c r="S121">
        <f t="shared" si="147"/>
        <v>0.56564328098954475</v>
      </c>
      <c r="T121">
        <f t="shared" si="148"/>
        <v>0.35899345237198532</v>
      </c>
      <c r="U121">
        <f t="shared" si="149"/>
        <v>344.34149860421786</v>
      </c>
      <c r="V121">
        <f t="shared" si="150"/>
        <v>28.004205790742226</v>
      </c>
      <c r="W121">
        <f t="shared" si="151"/>
        <v>28.084199999999999</v>
      </c>
      <c r="X121">
        <f t="shared" si="152"/>
        <v>3.8135068523262308</v>
      </c>
      <c r="Y121">
        <f t="shared" si="153"/>
        <v>65.560203615214519</v>
      </c>
      <c r="Z121">
        <f t="shared" si="154"/>
        <v>2.4872230316539197</v>
      </c>
      <c r="AA121">
        <f t="shared" si="155"/>
        <v>3.7938000410308539</v>
      </c>
      <c r="AB121">
        <f t="shared" si="156"/>
        <v>1.3262838206723111</v>
      </c>
      <c r="AC121">
        <f t="shared" si="157"/>
        <v>-342.83490760509716</v>
      </c>
      <c r="AD121">
        <f t="shared" si="158"/>
        <v>-13.994530594062308</v>
      </c>
      <c r="AE121">
        <f t="shared" si="159"/>
        <v>-1.0451291370548312</v>
      </c>
      <c r="AF121">
        <f t="shared" si="160"/>
        <v>-13.533068731996462</v>
      </c>
      <c r="AG121">
        <v>0</v>
      </c>
      <c r="AH121">
        <v>0</v>
      </c>
      <c r="AI121">
        <f t="shared" si="161"/>
        <v>1</v>
      </c>
      <c r="AJ121">
        <f t="shared" si="162"/>
        <v>0</v>
      </c>
      <c r="AK121">
        <f t="shared" si="163"/>
        <v>52415.729181376679</v>
      </c>
      <c r="AL121" t="s">
        <v>415</v>
      </c>
      <c r="AM121">
        <v>10424.1</v>
      </c>
      <c r="AN121">
        <v>628.54280000000006</v>
      </c>
      <c r="AO121">
        <v>2663.98</v>
      </c>
      <c r="AP121">
        <f t="shared" si="164"/>
        <v>0.76405873917972356</v>
      </c>
      <c r="AQ121">
        <v>-3.1675626227050531</v>
      </c>
      <c r="AR121" t="s">
        <v>953</v>
      </c>
      <c r="AS121">
        <v>10212.5</v>
      </c>
      <c r="AT121">
        <v>842.98127999999997</v>
      </c>
      <c r="AU121">
        <v>908.85030166452839</v>
      </c>
      <c r="AV121">
        <f t="shared" si="165"/>
        <v>7.2475105684502217E-2</v>
      </c>
      <c r="AW121">
        <v>0.5</v>
      </c>
      <c r="AX121">
        <f t="shared" si="166"/>
        <v>1513.0589993021085</v>
      </c>
      <c r="AY121">
        <f t="shared" si="167"/>
        <v>2.2328441688045797</v>
      </c>
      <c r="AZ121">
        <f t="shared" si="168"/>
        <v>54.829555440653742</v>
      </c>
      <c r="BA121">
        <f t="shared" si="169"/>
        <v>3.5691977602991991E-3</v>
      </c>
      <c r="BB121">
        <f t="shared" si="170"/>
        <v>1.9311537831048868</v>
      </c>
      <c r="BC121">
        <f t="shared" si="171"/>
        <v>431.79858545455528</v>
      </c>
      <c r="BD121" t="s">
        <v>954</v>
      </c>
      <c r="BE121">
        <v>574.49</v>
      </c>
      <c r="BF121">
        <f t="shared" si="172"/>
        <v>574.49</v>
      </c>
      <c r="BG121">
        <f t="shared" si="173"/>
        <v>0.36789370158337287</v>
      </c>
      <c r="BH121">
        <f t="shared" si="174"/>
        <v>0.19700012632066702</v>
      </c>
      <c r="BI121">
        <f t="shared" si="175"/>
        <v>0.83997994646323826</v>
      </c>
      <c r="BJ121">
        <f t="shared" si="176"/>
        <v>0.23498843688942861</v>
      </c>
      <c r="BK121">
        <f t="shared" si="177"/>
        <v>0.86228634238161306</v>
      </c>
      <c r="BL121">
        <f t="shared" si="178"/>
        <v>0.13425517891685568</v>
      </c>
      <c r="BM121">
        <f t="shared" si="179"/>
        <v>0.86574482108314432</v>
      </c>
      <c r="BN121">
        <v>20373</v>
      </c>
      <c r="BO121">
        <v>290.00000000000011</v>
      </c>
      <c r="BP121">
        <v>889.6</v>
      </c>
      <c r="BQ121">
        <v>105</v>
      </c>
      <c r="BR121">
        <v>10212.5</v>
      </c>
      <c r="BS121">
        <v>886.71</v>
      </c>
      <c r="BT121">
        <v>2.89</v>
      </c>
      <c r="BU121">
        <v>300.00000000000011</v>
      </c>
      <c r="BV121">
        <v>24.2</v>
      </c>
      <c r="BW121">
        <v>908.85030166452839</v>
      </c>
      <c r="BX121">
        <v>1.3659026365598479</v>
      </c>
      <c r="BY121">
        <v>-22.607647704300771</v>
      </c>
      <c r="BZ121">
        <v>1.238447950459364</v>
      </c>
      <c r="CA121">
        <v>0.9224888927784205</v>
      </c>
      <c r="CB121">
        <v>-6.9374874304783197E-3</v>
      </c>
      <c r="CC121">
        <v>289.99999999999989</v>
      </c>
      <c r="CD121">
        <v>884.13</v>
      </c>
      <c r="CE121">
        <v>665</v>
      </c>
      <c r="CF121">
        <v>10157.799999999999</v>
      </c>
      <c r="CG121">
        <v>886.59</v>
      </c>
      <c r="CH121">
        <v>-2.46</v>
      </c>
      <c r="CV121">
        <f t="shared" si="180"/>
        <v>1799.85</v>
      </c>
      <c r="CW121">
        <f t="shared" si="181"/>
        <v>1513.0589993021085</v>
      </c>
      <c r="CX121">
        <f t="shared" si="182"/>
        <v>0.84065838781126689</v>
      </c>
      <c r="CY121">
        <f t="shared" si="183"/>
        <v>0.19131677562253402</v>
      </c>
      <c r="CZ121">
        <v>6</v>
      </c>
      <c r="DA121">
        <v>0.5</v>
      </c>
      <c r="DB121" t="s">
        <v>418</v>
      </c>
      <c r="DC121">
        <v>2</v>
      </c>
      <c r="DD121">
        <v>1674599840</v>
      </c>
      <c r="DE121">
        <v>7.2431700000000001</v>
      </c>
      <c r="DF121">
        <v>9.9896700000000003</v>
      </c>
      <c r="DG121">
        <v>24.959199999999999</v>
      </c>
      <c r="DH121">
        <v>15.864800000000001</v>
      </c>
      <c r="DI121">
        <v>9.5873699999999999</v>
      </c>
      <c r="DJ121">
        <v>24.5825</v>
      </c>
      <c r="DK121">
        <v>500.08800000000002</v>
      </c>
      <c r="DL121">
        <v>99.551699999999997</v>
      </c>
      <c r="DM121">
        <v>9.98526E-2</v>
      </c>
      <c r="DN121">
        <v>27.9953</v>
      </c>
      <c r="DO121">
        <v>28.084199999999999</v>
      </c>
      <c r="DP121">
        <v>999.9</v>
      </c>
      <c r="DQ121">
        <v>0</v>
      </c>
      <c r="DR121">
        <v>0</v>
      </c>
      <c r="DS121">
        <v>9990</v>
      </c>
      <c r="DT121">
        <v>0</v>
      </c>
      <c r="DU121">
        <v>245.32599999999999</v>
      </c>
      <c r="DV121">
        <v>-2.7465000000000002</v>
      </c>
      <c r="DW121">
        <v>7.4285800000000002</v>
      </c>
      <c r="DX121">
        <v>10.150700000000001</v>
      </c>
      <c r="DY121">
        <v>9.0943900000000006</v>
      </c>
      <c r="DZ121">
        <v>9.9896700000000003</v>
      </c>
      <c r="EA121">
        <v>15.864800000000001</v>
      </c>
      <c r="EB121">
        <v>2.4847299999999999</v>
      </c>
      <c r="EC121">
        <v>1.5793699999999999</v>
      </c>
      <c r="ED121">
        <v>20.9268</v>
      </c>
      <c r="EE121">
        <v>13.758900000000001</v>
      </c>
      <c r="EF121">
        <v>1799.85</v>
      </c>
      <c r="EG121">
        <v>0.977993</v>
      </c>
      <c r="EH121">
        <v>2.2006899999999999E-2</v>
      </c>
      <c r="EI121">
        <v>0</v>
      </c>
      <c r="EJ121">
        <v>842.84500000000003</v>
      </c>
      <c r="EK121">
        <v>5.0010599999999998</v>
      </c>
      <c r="EL121">
        <v>15663.3</v>
      </c>
      <c r="EM121">
        <v>16709.599999999999</v>
      </c>
      <c r="EN121">
        <v>48.811999999999998</v>
      </c>
      <c r="EO121">
        <v>49.5</v>
      </c>
      <c r="EP121">
        <v>49.75</v>
      </c>
      <c r="EQ121">
        <v>48.311999999999998</v>
      </c>
      <c r="ER121">
        <v>49.625</v>
      </c>
      <c r="ES121">
        <v>1755.35</v>
      </c>
      <c r="ET121">
        <v>39.5</v>
      </c>
      <c r="EU121">
        <v>0</v>
      </c>
      <c r="EV121">
        <v>135.80000019073489</v>
      </c>
      <c r="EW121">
        <v>0</v>
      </c>
      <c r="EX121">
        <v>842.98127999999997</v>
      </c>
      <c r="EY121">
        <v>-1.0284615406220341</v>
      </c>
      <c r="EZ121">
        <v>-19.676922979492439</v>
      </c>
      <c r="FA121">
        <v>15666.82</v>
      </c>
      <c r="FB121">
        <v>15</v>
      </c>
      <c r="FC121">
        <v>1674599806.5</v>
      </c>
      <c r="FD121" t="s">
        <v>955</v>
      </c>
      <c r="FE121">
        <v>1674599783.5</v>
      </c>
      <c r="FF121">
        <v>1674599806.5</v>
      </c>
      <c r="FG121">
        <v>117</v>
      </c>
      <c r="FH121">
        <v>-0.107</v>
      </c>
      <c r="FI121">
        <v>0</v>
      </c>
      <c r="FJ121">
        <v>-2.351</v>
      </c>
      <c r="FK121">
        <v>-0.01</v>
      </c>
      <c r="FL121">
        <v>10</v>
      </c>
      <c r="FM121">
        <v>16</v>
      </c>
      <c r="FN121">
        <v>0.37</v>
      </c>
      <c r="FO121">
        <v>0.01</v>
      </c>
      <c r="FP121">
        <v>2.313990285558027</v>
      </c>
      <c r="FQ121">
        <v>-0.64483810739317482</v>
      </c>
      <c r="FR121">
        <v>7.7080946872491785E-2</v>
      </c>
      <c r="FS121">
        <v>1</v>
      </c>
      <c r="FT121">
        <v>0.64191754274202517</v>
      </c>
      <c r="FU121">
        <v>-5.3426202278135807E-3</v>
      </c>
      <c r="FV121">
        <v>6.8644171722587128E-3</v>
      </c>
      <c r="FW121">
        <v>1</v>
      </c>
      <c r="FX121">
        <v>2</v>
      </c>
      <c r="FY121">
        <v>2</v>
      </c>
      <c r="FZ121" t="s">
        <v>420</v>
      </c>
      <c r="GA121">
        <v>2.97736</v>
      </c>
      <c r="GB121">
        <v>2.8060900000000002</v>
      </c>
      <c r="GC121">
        <v>2.7684699999999999E-3</v>
      </c>
      <c r="GD121">
        <v>2.8451000000000001E-3</v>
      </c>
      <c r="GE121">
        <v>0.121813</v>
      </c>
      <c r="GF121">
        <v>8.8624700000000001E-2</v>
      </c>
      <c r="GG121">
        <v>29439.599999999999</v>
      </c>
      <c r="GH121">
        <v>27290.400000000001</v>
      </c>
      <c r="GI121">
        <v>26540.799999999999</v>
      </c>
      <c r="GJ121">
        <v>25850.3</v>
      </c>
      <c r="GK121">
        <v>31711.1</v>
      </c>
      <c r="GL121">
        <v>33251.9</v>
      </c>
      <c r="GM121">
        <v>37596.6</v>
      </c>
      <c r="GN121">
        <v>38353.4</v>
      </c>
      <c r="GO121">
        <v>1.9688699999999999</v>
      </c>
      <c r="GP121">
        <v>1.8978299999999999</v>
      </c>
      <c r="GQ121">
        <v>5.2876800000000002E-2</v>
      </c>
      <c r="GR121">
        <v>0</v>
      </c>
      <c r="GS121">
        <v>27.220400000000001</v>
      </c>
      <c r="GT121">
        <v>999.9</v>
      </c>
      <c r="GU121">
        <v>39.799999999999997</v>
      </c>
      <c r="GV121">
        <v>34.4</v>
      </c>
      <c r="GW121">
        <v>21.841799999999999</v>
      </c>
      <c r="GX121">
        <v>62.228700000000003</v>
      </c>
      <c r="GY121">
        <v>12.3718</v>
      </c>
      <c r="GZ121">
        <v>1</v>
      </c>
      <c r="HA121">
        <v>0.45655699999999999</v>
      </c>
      <c r="HB121">
        <v>2.7878799999999999</v>
      </c>
      <c r="HC121">
        <v>20.231200000000001</v>
      </c>
      <c r="HD121">
        <v>5.2051600000000002</v>
      </c>
      <c r="HE121">
        <v>11.9381</v>
      </c>
      <c r="HF121">
        <v>4.9860499999999996</v>
      </c>
      <c r="HG121">
        <v>3.28938</v>
      </c>
      <c r="HH121">
        <v>9999</v>
      </c>
      <c r="HI121">
        <v>9999</v>
      </c>
      <c r="HJ121">
        <v>9999</v>
      </c>
      <c r="HK121">
        <v>999.9</v>
      </c>
      <c r="HL121">
        <v>1.8702700000000001</v>
      </c>
      <c r="HM121">
        <v>1.87653</v>
      </c>
      <c r="HN121">
        <v>1.8742399999999999</v>
      </c>
      <c r="HO121">
        <v>1.87256</v>
      </c>
      <c r="HP121">
        <v>1.8730199999999999</v>
      </c>
      <c r="HQ121">
        <v>1.87042</v>
      </c>
      <c r="HR121">
        <v>1.87635</v>
      </c>
      <c r="HS121">
        <v>1.8754500000000001</v>
      </c>
      <c r="HT121">
        <v>5</v>
      </c>
      <c r="HU121">
        <v>0</v>
      </c>
      <c r="HV121">
        <v>0</v>
      </c>
      <c r="HW121">
        <v>0</v>
      </c>
      <c r="HX121" t="s">
        <v>421</v>
      </c>
      <c r="HY121" t="s">
        <v>422</v>
      </c>
      <c r="HZ121" t="s">
        <v>423</v>
      </c>
      <c r="IA121" t="s">
        <v>424</v>
      </c>
      <c r="IB121" t="s">
        <v>424</v>
      </c>
      <c r="IC121" t="s">
        <v>423</v>
      </c>
      <c r="ID121">
        <v>0</v>
      </c>
      <c r="IE121">
        <v>100</v>
      </c>
      <c r="IF121">
        <v>100</v>
      </c>
      <c r="IG121">
        <v>-2.3439999999999999</v>
      </c>
      <c r="IH121">
        <v>0.37669999999999998</v>
      </c>
      <c r="II121">
        <v>-2.3200264123463858</v>
      </c>
      <c r="IJ121">
        <v>-2.536945948238235E-3</v>
      </c>
      <c r="IK121">
        <v>1.581473279927893E-6</v>
      </c>
      <c r="IL121">
        <v>-4.6698293441882044E-10</v>
      </c>
      <c r="IM121">
        <v>-0.13850723933416281</v>
      </c>
      <c r="IN121">
        <v>-1.5895243091576399E-2</v>
      </c>
      <c r="IO121">
        <v>1.559614309849521E-3</v>
      </c>
      <c r="IP121">
        <v>-2.4566050869858518E-6</v>
      </c>
      <c r="IQ121">
        <v>2</v>
      </c>
      <c r="IR121">
        <v>2224</v>
      </c>
      <c r="IS121">
        <v>2</v>
      </c>
      <c r="IT121">
        <v>25</v>
      </c>
      <c r="IU121">
        <v>0.9</v>
      </c>
      <c r="IV121">
        <v>0.6</v>
      </c>
      <c r="IW121">
        <v>0.17333999999999999</v>
      </c>
      <c r="IX121">
        <v>2.5695800000000002</v>
      </c>
      <c r="IY121">
        <v>1.65039</v>
      </c>
      <c r="IZ121">
        <v>2.2912599999999999</v>
      </c>
      <c r="JA121">
        <v>1.50024</v>
      </c>
      <c r="JB121">
        <v>2.2961399999999998</v>
      </c>
      <c r="JC121">
        <v>38.427900000000001</v>
      </c>
      <c r="JD121">
        <v>23.851099999999999</v>
      </c>
      <c r="JE121">
        <v>18</v>
      </c>
      <c r="JF121">
        <v>507.46100000000001</v>
      </c>
      <c r="JG121">
        <v>454.16800000000001</v>
      </c>
      <c r="JH121">
        <v>24.6435</v>
      </c>
      <c r="JI121">
        <v>32.933100000000003</v>
      </c>
      <c r="JJ121">
        <v>30.000299999999999</v>
      </c>
      <c r="JK121">
        <v>32.923499999999997</v>
      </c>
      <c r="JL121">
        <v>32.891300000000001</v>
      </c>
      <c r="JM121">
        <v>3.5221399999999998</v>
      </c>
      <c r="JN121">
        <v>42.849499999999999</v>
      </c>
      <c r="JO121">
        <v>35.888500000000001</v>
      </c>
      <c r="JP121">
        <v>24.643799999999999</v>
      </c>
      <c r="JQ121">
        <v>10</v>
      </c>
      <c r="JR121">
        <v>15.7882</v>
      </c>
      <c r="JS121">
        <v>99.7834</v>
      </c>
      <c r="JT121">
        <v>98.950299999999999</v>
      </c>
    </row>
    <row r="122" spans="1:280" x14ac:dyDescent="0.25">
      <c r="A122">
        <v>106</v>
      </c>
      <c r="B122">
        <v>1674600029.5</v>
      </c>
      <c r="C122">
        <v>25894.900000095371</v>
      </c>
      <c r="D122" t="s">
        <v>956</v>
      </c>
      <c r="E122" t="s">
        <v>957</v>
      </c>
      <c r="F122" t="s">
        <v>412</v>
      </c>
      <c r="G122" t="s">
        <v>922</v>
      </c>
      <c r="H122" t="s">
        <v>637</v>
      </c>
      <c r="I122">
        <v>1674600029.5</v>
      </c>
      <c r="J122">
        <f t="shared" si="138"/>
        <v>7.4444609760859698E-3</v>
      </c>
      <c r="K122">
        <f t="shared" si="139"/>
        <v>7.4444609760859697</v>
      </c>
      <c r="L122">
        <f t="shared" si="140"/>
        <v>36.018648723508868</v>
      </c>
      <c r="M122">
        <f t="shared" si="141"/>
        <v>353.62099999999998</v>
      </c>
      <c r="N122">
        <f t="shared" si="142"/>
        <v>241.22409612905702</v>
      </c>
      <c r="O122">
        <f t="shared" si="143"/>
        <v>24.039831126853745</v>
      </c>
      <c r="P122">
        <f t="shared" si="144"/>
        <v>35.241044569448995</v>
      </c>
      <c r="Q122">
        <f t="shared" si="145"/>
        <v>0.59685830797789774</v>
      </c>
      <c r="R122">
        <f t="shared" si="146"/>
        <v>2.9162938452986049</v>
      </c>
      <c r="S122">
        <f t="shared" si="147"/>
        <v>0.5363794757850604</v>
      </c>
      <c r="T122">
        <f t="shared" si="148"/>
        <v>0.34015882964074512</v>
      </c>
      <c r="U122">
        <f t="shared" si="149"/>
        <v>344.39469860443501</v>
      </c>
      <c r="V122">
        <f t="shared" si="150"/>
        <v>28.08754529373768</v>
      </c>
      <c r="W122">
        <f t="shared" si="151"/>
        <v>28.008900000000001</v>
      </c>
      <c r="X122">
        <f t="shared" si="152"/>
        <v>3.7968090376894601</v>
      </c>
      <c r="Y122">
        <f t="shared" si="153"/>
        <v>64.77620346221849</v>
      </c>
      <c r="Z122">
        <f t="shared" si="154"/>
        <v>2.4570498634281002</v>
      </c>
      <c r="AA122">
        <f t="shared" si="155"/>
        <v>3.7931365719221328</v>
      </c>
      <c r="AB122">
        <f t="shared" si="156"/>
        <v>1.3397591742613599</v>
      </c>
      <c r="AC122">
        <f t="shared" si="157"/>
        <v>-328.30072904539128</v>
      </c>
      <c r="AD122">
        <f t="shared" si="158"/>
        <v>-2.6099056808765195</v>
      </c>
      <c r="AE122">
        <f t="shared" si="159"/>
        <v>-0.195077339256922</v>
      </c>
      <c r="AF122">
        <f t="shared" si="160"/>
        <v>13.288986538910311</v>
      </c>
      <c r="AG122">
        <v>0</v>
      </c>
      <c r="AH122">
        <v>0</v>
      </c>
      <c r="AI122">
        <f t="shared" si="161"/>
        <v>1</v>
      </c>
      <c r="AJ122">
        <f t="shared" si="162"/>
        <v>0</v>
      </c>
      <c r="AK122">
        <f t="shared" si="163"/>
        <v>52312.247726539987</v>
      </c>
      <c r="AL122" t="s">
        <v>415</v>
      </c>
      <c r="AM122">
        <v>10424.1</v>
      </c>
      <c r="AN122">
        <v>628.54280000000006</v>
      </c>
      <c r="AO122">
        <v>2663.98</v>
      </c>
      <c r="AP122">
        <f t="shared" si="164"/>
        <v>0.76405873917972356</v>
      </c>
      <c r="AQ122">
        <v>-3.1675626227050531</v>
      </c>
      <c r="AR122" t="s">
        <v>958</v>
      </c>
      <c r="AS122">
        <v>10179.200000000001</v>
      </c>
      <c r="AT122">
        <v>753.73328000000004</v>
      </c>
      <c r="AU122">
        <v>981.75801977039532</v>
      </c>
      <c r="AV122">
        <f t="shared" si="165"/>
        <v>0.2322616522386276</v>
      </c>
      <c r="AW122">
        <v>0.5</v>
      </c>
      <c r="AX122">
        <f t="shared" si="166"/>
        <v>1513.2941993022175</v>
      </c>
      <c r="AY122">
        <f t="shared" si="167"/>
        <v>36.018648723508868</v>
      </c>
      <c r="AZ122">
        <f t="shared" si="168"/>
        <v>175.74010552653203</v>
      </c>
      <c r="BA122">
        <f t="shared" si="169"/>
        <v>2.5894641877490014E-2</v>
      </c>
      <c r="BB122">
        <f t="shared" si="170"/>
        <v>1.713479234550106</v>
      </c>
      <c r="BC122">
        <f t="shared" si="171"/>
        <v>447.5906501135737</v>
      </c>
      <c r="BD122" t="s">
        <v>959</v>
      </c>
      <c r="BE122">
        <v>545.98</v>
      </c>
      <c r="BF122">
        <f t="shared" si="172"/>
        <v>545.98</v>
      </c>
      <c r="BG122">
        <f t="shared" si="173"/>
        <v>0.44387518206605647</v>
      </c>
      <c r="BH122">
        <f t="shared" si="174"/>
        <v>0.52325892868699064</v>
      </c>
      <c r="BI122">
        <f t="shared" si="175"/>
        <v>0.7942502267373015</v>
      </c>
      <c r="BJ122">
        <f t="shared" si="176"/>
        <v>0.64556884020632221</v>
      </c>
      <c r="BK122">
        <f t="shared" si="177"/>
        <v>0.82646714928350762</v>
      </c>
      <c r="BL122">
        <f t="shared" si="178"/>
        <v>0.37903183720973971</v>
      </c>
      <c r="BM122">
        <f t="shared" si="179"/>
        <v>0.62096816279026035</v>
      </c>
      <c r="BN122">
        <v>20375</v>
      </c>
      <c r="BO122">
        <v>290.00000000000011</v>
      </c>
      <c r="BP122">
        <v>929.42</v>
      </c>
      <c r="BQ122">
        <v>285</v>
      </c>
      <c r="BR122">
        <v>10179.200000000001</v>
      </c>
      <c r="BS122">
        <v>931.08</v>
      </c>
      <c r="BT122">
        <v>-1.66</v>
      </c>
      <c r="BU122">
        <v>300.00000000000011</v>
      </c>
      <c r="BV122">
        <v>24.2</v>
      </c>
      <c r="BW122">
        <v>981.75801977039532</v>
      </c>
      <c r="BX122">
        <v>2.1869710726578502</v>
      </c>
      <c r="BY122">
        <v>-51.585921961975487</v>
      </c>
      <c r="BZ122">
        <v>1.9831178896269499</v>
      </c>
      <c r="CA122">
        <v>0.96026407003097369</v>
      </c>
      <c r="CB122">
        <v>-6.9383337041156873E-3</v>
      </c>
      <c r="CC122">
        <v>289.99999999999989</v>
      </c>
      <c r="CD122">
        <v>932.14</v>
      </c>
      <c r="CE122">
        <v>645</v>
      </c>
      <c r="CF122">
        <v>10160.6</v>
      </c>
      <c r="CG122">
        <v>930.99</v>
      </c>
      <c r="CH122">
        <v>1.1499999999999999</v>
      </c>
      <c r="CV122">
        <f t="shared" si="180"/>
        <v>1800.13</v>
      </c>
      <c r="CW122">
        <f t="shared" si="181"/>
        <v>1513.2941993022175</v>
      </c>
      <c r="CX122">
        <f t="shared" si="182"/>
        <v>0.84065828540284171</v>
      </c>
      <c r="CY122">
        <f t="shared" si="183"/>
        <v>0.19131657080568346</v>
      </c>
      <c r="CZ122">
        <v>6</v>
      </c>
      <c r="DA122">
        <v>0.5</v>
      </c>
      <c r="DB122" t="s">
        <v>418</v>
      </c>
      <c r="DC122">
        <v>2</v>
      </c>
      <c r="DD122">
        <v>1674600029.5</v>
      </c>
      <c r="DE122">
        <v>353.62099999999998</v>
      </c>
      <c r="DF122">
        <v>399.99599999999998</v>
      </c>
      <c r="DG122">
        <v>24.654900000000001</v>
      </c>
      <c r="DH122">
        <v>15.943</v>
      </c>
      <c r="DI122">
        <v>356.78800000000001</v>
      </c>
      <c r="DJ122">
        <v>24.2942</v>
      </c>
      <c r="DK122">
        <v>500.06900000000002</v>
      </c>
      <c r="DL122">
        <v>99.557400000000001</v>
      </c>
      <c r="DM122">
        <v>0.100269</v>
      </c>
      <c r="DN122">
        <v>27.9923</v>
      </c>
      <c r="DO122">
        <v>28.008900000000001</v>
      </c>
      <c r="DP122">
        <v>999.9</v>
      </c>
      <c r="DQ122">
        <v>0</v>
      </c>
      <c r="DR122">
        <v>0</v>
      </c>
      <c r="DS122">
        <v>9968.75</v>
      </c>
      <c r="DT122">
        <v>0</v>
      </c>
      <c r="DU122">
        <v>242.113</v>
      </c>
      <c r="DV122">
        <v>-46.3752</v>
      </c>
      <c r="DW122">
        <v>362.56</v>
      </c>
      <c r="DX122">
        <v>406.476</v>
      </c>
      <c r="DY122">
        <v>8.7119099999999996</v>
      </c>
      <c r="DZ122">
        <v>399.99599999999998</v>
      </c>
      <c r="EA122">
        <v>15.943</v>
      </c>
      <c r="EB122">
        <v>2.45458</v>
      </c>
      <c r="EC122">
        <v>1.58725</v>
      </c>
      <c r="ED122">
        <v>20.728400000000001</v>
      </c>
      <c r="EE122">
        <v>13.835599999999999</v>
      </c>
      <c r="EF122">
        <v>1800.13</v>
      </c>
      <c r="EG122">
        <v>0.97799700000000001</v>
      </c>
      <c r="EH122">
        <v>2.2003499999999999E-2</v>
      </c>
      <c r="EI122">
        <v>0</v>
      </c>
      <c r="EJ122">
        <v>752.55700000000002</v>
      </c>
      <c r="EK122">
        <v>5.0010599999999998</v>
      </c>
      <c r="EL122">
        <v>14027.8</v>
      </c>
      <c r="EM122">
        <v>16712.2</v>
      </c>
      <c r="EN122">
        <v>48.811999999999998</v>
      </c>
      <c r="EO122">
        <v>49.5</v>
      </c>
      <c r="EP122">
        <v>49.75</v>
      </c>
      <c r="EQ122">
        <v>48.311999999999998</v>
      </c>
      <c r="ER122">
        <v>49.625</v>
      </c>
      <c r="ES122">
        <v>1755.63</v>
      </c>
      <c r="ET122">
        <v>39.5</v>
      </c>
      <c r="EU122">
        <v>0</v>
      </c>
      <c r="EV122">
        <v>187.79999995231631</v>
      </c>
      <c r="EW122">
        <v>0</v>
      </c>
      <c r="EX122">
        <v>753.73328000000004</v>
      </c>
      <c r="EY122">
        <v>-9.6933846297378725</v>
      </c>
      <c r="EZ122">
        <v>-178.81538501830039</v>
      </c>
      <c r="FA122">
        <v>14047.784</v>
      </c>
      <c r="FB122">
        <v>15</v>
      </c>
      <c r="FC122">
        <v>1674599932</v>
      </c>
      <c r="FD122" t="s">
        <v>960</v>
      </c>
      <c r="FE122">
        <v>1674599919</v>
      </c>
      <c r="FF122">
        <v>1674599932</v>
      </c>
      <c r="FG122">
        <v>118</v>
      </c>
      <c r="FH122">
        <v>-0.122</v>
      </c>
      <c r="FI122">
        <v>0</v>
      </c>
      <c r="FJ122">
        <v>-3.2389999999999999</v>
      </c>
      <c r="FK122">
        <v>-1.0999999999999999E-2</v>
      </c>
      <c r="FL122">
        <v>400</v>
      </c>
      <c r="FM122">
        <v>16</v>
      </c>
      <c r="FN122">
        <v>0.1</v>
      </c>
      <c r="FO122">
        <v>0.01</v>
      </c>
      <c r="FP122">
        <v>35.205919100063362</v>
      </c>
      <c r="FQ122">
        <v>4.3014274341352552</v>
      </c>
      <c r="FR122">
        <v>0.41405393620904002</v>
      </c>
      <c r="FS122">
        <v>0</v>
      </c>
      <c r="FT122">
        <v>0.60244531327849515</v>
      </c>
      <c r="FU122">
        <v>-1.7088603246709771E-2</v>
      </c>
      <c r="FV122">
        <v>1.734246374709371E-3</v>
      </c>
      <c r="FW122">
        <v>1</v>
      </c>
      <c r="FX122">
        <v>1</v>
      </c>
      <c r="FY122">
        <v>2</v>
      </c>
      <c r="FZ122" t="s">
        <v>676</v>
      </c>
      <c r="GA122">
        <v>2.9772799999999999</v>
      </c>
      <c r="GB122">
        <v>2.8063199999999999</v>
      </c>
      <c r="GC122">
        <v>8.8844900000000004E-2</v>
      </c>
      <c r="GD122">
        <v>9.5994099999999999E-2</v>
      </c>
      <c r="GE122">
        <v>0.12081500000000001</v>
      </c>
      <c r="GF122">
        <v>8.8934100000000002E-2</v>
      </c>
      <c r="GG122">
        <v>26898.6</v>
      </c>
      <c r="GH122">
        <v>24739.8</v>
      </c>
      <c r="GI122">
        <v>26540.3</v>
      </c>
      <c r="GJ122">
        <v>25848.9</v>
      </c>
      <c r="GK122">
        <v>31747.5</v>
      </c>
      <c r="GL122">
        <v>33240.1</v>
      </c>
      <c r="GM122">
        <v>37595.800000000003</v>
      </c>
      <c r="GN122">
        <v>38352</v>
      </c>
      <c r="GO122">
        <v>1.96878</v>
      </c>
      <c r="GP122">
        <v>1.8989799999999999</v>
      </c>
      <c r="GQ122">
        <v>5.4247700000000003E-2</v>
      </c>
      <c r="GR122">
        <v>0</v>
      </c>
      <c r="GS122">
        <v>27.122599999999998</v>
      </c>
      <c r="GT122">
        <v>999.9</v>
      </c>
      <c r="GU122">
        <v>39.1</v>
      </c>
      <c r="GV122">
        <v>34.5</v>
      </c>
      <c r="GW122">
        <v>21.5749</v>
      </c>
      <c r="GX122">
        <v>62.078699999999998</v>
      </c>
      <c r="GY122">
        <v>11.943099999999999</v>
      </c>
      <c r="GZ122">
        <v>1</v>
      </c>
      <c r="HA122">
        <v>0.45724900000000002</v>
      </c>
      <c r="HB122">
        <v>2.5860300000000001</v>
      </c>
      <c r="HC122">
        <v>20.285900000000002</v>
      </c>
      <c r="HD122">
        <v>5.2095000000000002</v>
      </c>
      <c r="HE122">
        <v>11.9381</v>
      </c>
      <c r="HF122">
        <v>4.9873000000000003</v>
      </c>
      <c r="HG122">
        <v>3.2901799999999999</v>
      </c>
      <c r="HH122">
        <v>9999</v>
      </c>
      <c r="HI122">
        <v>9999</v>
      </c>
      <c r="HJ122">
        <v>9999</v>
      </c>
      <c r="HK122">
        <v>999.9</v>
      </c>
      <c r="HL122">
        <v>1.87018</v>
      </c>
      <c r="HM122">
        <v>1.8763700000000001</v>
      </c>
      <c r="HN122">
        <v>1.87412</v>
      </c>
      <c r="HO122">
        <v>1.87243</v>
      </c>
      <c r="HP122">
        <v>1.87286</v>
      </c>
      <c r="HQ122">
        <v>1.8702700000000001</v>
      </c>
      <c r="HR122">
        <v>1.87622</v>
      </c>
      <c r="HS122">
        <v>1.87531</v>
      </c>
      <c r="HT122">
        <v>5</v>
      </c>
      <c r="HU122">
        <v>0</v>
      </c>
      <c r="HV122">
        <v>0</v>
      </c>
      <c r="HW122">
        <v>0</v>
      </c>
      <c r="HX122" t="s">
        <v>421</v>
      </c>
      <c r="HY122" t="s">
        <v>422</v>
      </c>
      <c r="HZ122" t="s">
        <v>423</v>
      </c>
      <c r="IA122" t="s">
        <v>424</v>
      </c>
      <c r="IB122" t="s">
        <v>424</v>
      </c>
      <c r="IC122" t="s">
        <v>423</v>
      </c>
      <c r="ID122">
        <v>0</v>
      </c>
      <c r="IE122">
        <v>100</v>
      </c>
      <c r="IF122">
        <v>100</v>
      </c>
      <c r="IG122">
        <v>-3.1669999999999998</v>
      </c>
      <c r="IH122">
        <v>0.36070000000000002</v>
      </c>
      <c r="II122">
        <v>-2.4422083750740651</v>
      </c>
      <c r="IJ122">
        <v>-2.536945948238235E-3</v>
      </c>
      <c r="IK122">
        <v>1.581473279927893E-6</v>
      </c>
      <c r="IL122">
        <v>-4.6698293441882044E-10</v>
      </c>
      <c r="IM122">
        <v>-0.1383850750155893</v>
      </c>
      <c r="IN122">
        <v>-1.5895243091576399E-2</v>
      </c>
      <c r="IO122">
        <v>1.559614309849521E-3</v>
      </c>
      <c r="IP122">
        <v>-2.4566050869858518E-6</v>
      </c>
      <c r="IQ122">
        <v>2</v>
      </c>
      <c r="IR122">
        <v>2224</v>
      </c>
      <c r="IS122">
        <v>2</v>
      </c>
      <c r="IT122">
        <v>25</v>
      </c>
      <c r="IU122">
        <v>1.8</v>
      </c>
      <c r="IV122">
        <v>1.6</v>
      </c>
      <c r="IW122">
        <v>0.93505899999999997</v>
      </c>
      <c r="IX122">
        <v>2.50488</v>
      </c>
      <c r="IY122">
        <v>1.65039</v>
      </c>
      <c r="IZ122">
        <v>2.2900399999999999</v>
      </c>
      <c r="JA122">
        <v>1.50024</v>
      </c>
      <c r="JB122">
        <v>2.3828100000000001</v>
      </c>
      <c r="JC122">
        <v>38.452399999999997</v>
      </c>
      <c r="JD122">
        <v>16.321000000000002</v>
      </c>
      <c r="JE122">
        <v>18</v>
      </c>
      <c r="JF122">
        <v>507.65699999999998</v>
      </c>
      <c r="JG122">
        <v>455.18900000000002</v>
      </c>
      <c r="JH122">
        <v>24.7499</v>
      </c>
      <c r="JI122">
        <v>32.962400000000002</v>
      </c>
      <c r="JJ122">
        <v>29.9998</v>
      </c>
      <c r="JK122">
        <v>32.956000000000003</v>
      </c>
      <c r="JL122">
        <v>32.927599999999998</v>
      </c>
      <c r="JM122">
        <v>18.738900000000001</v>
      </c>
      <c r="JN122">
        <v>39.700200000000002</v>
      </c>
      <c r="JO122">
        <v>33.561700000000002</v>
      </c>
      <c r="JP122">
        <v>24.755199999999999</v>
      </c>
      <c r="JQ122">
        <v>400</v>
      </c>
      <c r="JR122">
        <v>16.126100000000001</v>
      </c>
      <c r="JS122">
        <v>99.781499999999994</v>
      </c>
      <c r="JT122">
        <v>98.945999999999998</v>
      </c>
    </row>
    <row r="123" spans="1:280" x14ac:dyDescent="0.25">
      <c r="A123">
        <v>107</v>
      </c>
      <c r="B123">
        <v>1674600132</v>
      </c>
      <c r="C123">
        <v>25997.400000095371</v>
      </c>
      <c r="D123" t="s">
        <v>961</v>
      </c>
      <c r="E123" t="s">
        <v>962</v>
      </c>
      <c r="F123" t="s">
        <v>412</v>
      </c>
      <c r="G123" t="s">
        <v>922</v>
      </c>
      <c r="H123" t="s">
        <v>637</v>
      </c>
      <c r="I123">
        <v>1674600132</v>
      </c>
      <c r="J123">
        <f t="shared" si="138"/>
        <v>7.2296628399610751E-3</v>
      </c>
      <c r="K123">
        <f t="shared" si="139"/>
        <v>7.2296628399610752</v>
      </c>
      <c r="L123">
        <f t="shared" si="140"/>
        <v>41.459009586781505</v>
      </c>
      <c r="M123">
        <f t="shared" si="141"/>
        <v>347.23899999999998</v>
      </c>
      <c r="N123">
        <f t="shared" si="142"/>
        <v>216.84771132475737</v>
      </c>
      <c r="O123">
        <f t="shared" si="143"/>
        <v>21.612225381195174</v>
      </c>
      <c r="P123">
        <f t="shared" si="144"/>
        <v>34.607732234266997</v>
      </c>
      <c r="Q123">
        <f t="shared" si="145"/>
        <v>0.58424320605788727</v>
      </c>
      <c r="R123">
        <f t="shared" si="146"/>
        <v>2.917312050353706</v>
      </c>
      <c r="S123">
        <f t="shared" si="147"/>
        <v>0.52617910887593455</v>
      </c>
      <c r="T123">
        <f t="shared" si="148"/>
        <v>0.33359657992804781</v>
      </c>
      <c r="U123">
        <f t="shared" si="149"/>
        <v>344.39659860444272</v>
      </c>
      <c r="V123">
        <f t="shared" si="150"/>
        <v>28.156665553307384</v>
      </c>
      <c r="W123">
        <f t="shared" si="151"/>
        <v>28.065000000000001</v>
      </c>
      <c r="X123">
        <f t="shared" si="152"/>
        <v>3.809243168777289</v>
      </c>
      <c r="Y123">
        <f t="shared" si="153"/>
        <v>65.412342425025258</v>
      </c>
      <c r="Z123">
        <f t="shared" si="154"/>
        <v>2.4830750625873002</v>
      </c>
      <c r="AA123">
        <f t="shared" si="155"/>
        <v>3.7960344646476574</v>
      </c>
      <c r="AB123">
        <f t="shared" si="156"/>
        <v>1.3261681061899888</v>
      </c>
      <c r="AC123">
        <f t="shared" si="157"/>
        <v>-318.8281312422834</v>
      </c>
      <c r="AD123">
        <f t="shared" si="158"/>
        <v>-9.3737763846166189</v>
      </c>
      <c r="AE123">
        <f t="shared" si="159"/>
        <v>-0.70063972408540565</v>
      </c>
      <c r="AF123">
        <f t="shared" si="160"/>
        <v>15.494051253457272</v>
      </c>
      <c r="AG123">
        <v>0</v>
      </c>
      <c r="AH123">
        <v>0</v>
      </c>
      <c r="AI123">
        <f t="shared" si="161"/>
        <v>1</v>
      </c>
      <c r="AJ123">
        <f t="shared" si="162"/>
        <v>0</v>
      </c>
      <c r="AK123">
        <f t="shared" si="163"/>
        <v>52339.359020615091</v>
      </c>
      <c r="AL123" t="s">
        <v>415</v>
      </c>
      <c r="AM123">
        <v>10424.1</v>
      </c>
      <c r="AN123">
        <v>628.54280000000006</v>
      </c>
      <c r="AO123">
        <v>2663.98</v>
      </c>
      <c r="AP123">
        <f t="shared" si="164"/>
        <v>0.76405873917972356</v>
      </c>
      <c r="AQ123">
        <v>-3.1675626227050531</v>
      </c>
      <c r="AR123" t="s">
        <v>963</v>
      </c>
      <c r="AS123">
        <v>10179.5</v>
      </c>
      <c r="AT123">
        <v>740.08188461538464</v>
      </c>
      <c r="AU123">
        <v>1002.899341727226</v>
      </c>
      <c r="AV123">
        <f t="shared" si="165"/>
        <v>0.26205766239631645</v>
      </c>
      <c r="AW123">
        <v>0.5</v>
      </c>
      <c r="AX123">
        <f t="shared" si="166"/>
        <v>1513.3025993022216</v>
      </c>
      <c r="AY123">
        <f t="shared" si="167"/>
        <v>41.459009586781505</v>
      </c>
      <c r="AZ123">
        <f t="shared" si="168"/>
        <v>198.28627083570487</v>
      </c>
      <c r="BA123">
        <f t="shared" si="169"/>
        <v>2.9489523265250263E-2</v>
      </c>
      <c r="BB123">
        <f t="shared" si="170"/>
        <v>1.6562785407875598</v>
      </c>
      <c r="BC123">
        <f t="shared" si="171"/>
        <v>451.9340155644573</v>
      </c>
      <c r="BD123" t="s">
        <v>964</v>
      </c>
      <c r="BE123">
        <v>548.80999999999995</v>
      </c>
      <c r="BF123">
        <f t="shared" si="172"/>
        <v>548.80999999999995</v>
      </c>
      <c r="BG123">
        <f t="shared" si="173"/>
        <v>0.4527765876734734</v>
      </c>
      <c r="BH123">
        <f t="shared" si="174"/>
        <v>0.57877918057305389</v>
      </c>
      <c r="BI123">
        <f t="shared" si="175"/>
        <v>0.78531780342609536</v>
      </c>
      <c r="BJ123">
        <f t="shared" si="176"/>
        <v>0.70205119402813243</v>
      </c>
      <c r="BK123">
        <f t="shared" si="177"/>
        <v>0.81608052475054216</v>
      </c>
      <c r="BL123">
        <f t="shared" si="178"/>
        <v>0.42919548322058021</v>
      </c>
      <c r="BM123">
        <f t="shared" si="179"/>
        <v>0.57080451677941979</v>
      </c>
      <c r="BN123">
        <v>20377</v>
      </c>
      <c r="BO123">
        <v>290.00000000000011</v>
      </c>
      <c r="BP123">
        <v>948.29</v>
      </c>
      <c r="BQ123">
        <v>295</v>
      </c>
      <c r="BR123">
        <v>10179.5</v>
      </c>
      <c r="BS123">
        <v>949.57</v>
      </c>
      <c r="BT123">
        <v>-1.28</v>
      </c>
      <c r="BU123">
        <v>300.00000000000011</v>
      </c>
      <c r="BV123">
        <v>24.2</v>
      </c>
      <c r="BW123">
        <v>1002.899341727226</v>
      </c>
      <c r="BX123">
        <v>2.7376858895775862</v>
      </c>
      <c r="BY123">
        <v>-54.287066522069154</v>
      </c>
      <c r="BZ123">
        <v>2.482578685293702</v>
      </c>
      <c r="CA123">
        <v>0.94468314343628434</v>
      </c>
      <c r="CB123">
        <v>-6.9385410456062292E-3</v>
      </c>
      <c r="CC123">
        <v>289.99999999999989</v>
      </c>
      <c r="CD123">
        <v>952.25</v>
      </c>
      <c r="CE123">
        <v>675</v>
      </c>
      <c r="CF123">
        <v>10158.5</v>
      </c>
      <c r="CG123">
        <v>949.46</v>
      </c>
      <c r="CH123">
        <v>2.79</v>
      </c>
      <c r="CV123">
        <f t="shared" si="180"/>
        <v>1800.14</v>
      </c>
      <c r="CW123">
        <f t="shared" si="181"/>
        <v>1513.3025993022216</v>
      </c>
      <c r="CX123">
        <f t="shared" si="182"/>
        <v>0.84065828174598722</v>
      </c>
      <c r="CY123">
        <f t="shared" si="183"/>
        <v>0.19131656349197435</v>
      </c>
      <c r="CZ123">
        <v>6</v>
      </c>
      <c r="DA123">
        <v>0.5</v>
      </c>
      <c r="DB123" t="s">
        <v>418</v>
      </c>
      <c r="DC123">
        <v>2</v>
      </c>
      <c r="DD123">
        <v>1674600132</v>
      </c>
      <c r="DE123">
        <v>347.23899999999998</v>
      </c>
      <c r="DF123">
        <v>400.00200000000001</v>
      </c>
      <c r="DG123">
        <v>24.914100000000001</v>
      </c>
      <c r="DH123">
        <v>16.454699999999999</v>
      </c>
      <c r="DI123">
        <v>350.50099999999998</v>
      </c>
      <c r="DJ123">
        <v>24.544599999999999</v>
      </c>
      <c r="DK123">
        <v>500.00299999999999</v>
      </c>
      <c r="DL123">
        <v>99.565399999999997</v>
      </c>
      <c r="DM123">
        <v>0.100053</v>
      </c>
      <c r="DN123">
        <v>28.005400000000002</v>
      </c>
      <c r="DO123">
        <v>28.065000000000001</v>
      </c>
      <c r="DP123">
        <v>999.9</v>
      </c>
      <c r="DQ123">
        <v>0</v>
      </c>
      <c r="DR123">
        <v>0</v>
      </c>
      <c r="DS123">
        <v>9973.75</v>
      </c>
      <c r="DT123">
        <v>0</v>
      </c>
      <c r="DU123">
        <v>242.93299999999999</v>
      </c>
      <c r="DV123">
        <v>-52.763100000000001</v>
      </c>
      <c r="DW123">
        <v>356.11099999999999</v>
      </c>
      <c r="DX123">
        <v>406.69400000000002</v>
      </c>
      <c r="DY123">
        <v>8.4594199999999997</v>
      </c>
      <c r="DZ123">
        <v>400.00200000000001</v>
      </c>
      <c r="EA123">
        <v>16.454699999999999</v>
      </c>
      <c r="EB123">
        <v>2.4805799999999998</v>
      </c>
      <c r="EC123">
        <v>1.63832</v>
      </c>
      <c r="ED123">
        <v>20.899699999999999</v>
      </c>
      <c r="EE123">
        <v>14.324</v>
      </c>
      <c r="EF123">
        <v>1800.14</v>
      </c>
      <c r="EG123">
        <v>0.97799700000000001</v>
      </c>
      <c r="EH123">
        <v>2.2003499999999999E-2</v>
      </c>
      <c r="EI123">
        <v>0</v>
      </c>
      <c r="EJ123">
        <v>739.78399999999999</v>
      </c>
      <c r="EK123">
        <v>5.0010599999999998</v>
      </c>
      <c r="EL123">
        <v>13790.5</v>
      </c>
      <c r="EM123">
        <v>16712.3</v>
      </c>
      <c r="EN123">
        <v>48.811999999999998</v>
      </c>
      <c r="EO123">
        <v>49.5</v>
      </c>
      <c r="EP123">
        <v>49.75</v>
      </c>
      <c r="EQ123">
        <v>48.25</v>
      </c>
      <c r="ER123">
        <v>49.625</v>
      </c>
      <c r="ES123">
        <v>1755.64</v>
      </c>
      <c r="ET123">
        <v>39.5</v>
      </c>
      <c r="EU123">
        <v>0</v>
      </c>
      <c r="EV123">
        <v>100.7999999523163</v>
      </c>
      <c r="EW123">
        <v>0</v>
      </c>
      <c r="EX123">
        <v>740.08188461538464</v>
      </c>
      <c r="EY123">
        <v>-2.996205124604185</v>
      </c>
      <c r="EZ123">
        <v>-38.331623986809461</v>
      </c>
      <c r="FA123">
        <v>13794.23076923077</v>
      </c>
      <c r="FB123">
        <v>15</v>
      </c>
      <c r="FC123">
        <v>1674600100</v>
      </c>
      <c r="FD123" t="s">
        <v>965</v>
      </c>
      <c r="FE123">
        <v>1674600093.5</v>
      </c>
      <c r="FF123">
        <v>1674600100</v>
      </c>
      <c r="FG123">
        <v>119</v>
      </c>
      <c r="FH123">
        <v>-0.104</v>
      </c>
      <c r="FI123">
        <v>-5.0000000000000001E-3</v>
      </c>
      <c r="FJ123">
        <v>-3.343</v>
      </c>
      <c r="FK123">
        <v>0</v>
      </c>
      <c r="FL123">
        <v>400</v>
      </c>
      <c r="FM123">
        <v>16</v>
      </c>
      <c r="FN123">
        <v>0.03</v>
      </c>
      <c r="FO123">
        <v>0.01</v>
      </c>
      <c r="FP123">
        <v>41.236268122785397</v>
      </c>
      <c r="FQ123">
        <v>0.68064247252885801</v>
      </c>
      <c r="FR123">
        <v>0.13393478931368691</v>
      </c>
      <c r="FS123">
        <v>1</v>
      </c>
      <c r="FT123">
        <v>0.59148327140115176</v>
      </c>
      <c r="FU123">
        <v>9.2665039724404482E-3</v>
      </c>
      <c r="FV123">
        <v>6.2646930546333629E-3</v>
      </c>
      <c r="FW123">
        <v>1</v>
      </c>
      <c r="FX123">
        <v>2</v>
      </c>
      <c r="FY123">
        <v>2</v>
      </c>
      <c r="FZ123" t="s">
        <v>420</v>
      </c>
      <c r="GA123">
        <v>2.9771100000000001</v>
      </c>
      <c r="GB123">
        <v>2.8061500000000001</v>
      </c>
      <c r="GC123">
        <v>8.7609099999999995E-2</v>
      </c>
      <c r="GD123">
        <v>9.6007300000000004E-2</v>
      </c>
      <c r="GE123">
        <v>0.12169000000000001</v>
      </c>
      <c r="GF123">
        <v>9.0965900000000002E-2</v>
      </c>
      <c r="GG123">
        <v>26934.799999999999</v>
      </c>
      <c r="GH123">
        <v>24738.799999999999</v>
      </c>
      <c r="GI123">
        <v>26540</v>
      </c>
      <c r="GJ123">
        <v>25848.2</v>
      </c>
      <c r="GK123">
        <v>31715.7</v>
      </c>
      <c r="GL123">
        <v>33164.9</v>
      </c>
      <c r="GM123">
        <v>37595.800000000003</v>
      </c>
      <c r="GN123">
        <v>38350.699999999997</v>
      </c>
      <c r="GO123">
        <v>1.9681500000000001</v>
      </c>
      <c r="GP123">
        <v>1.9002699999999999</v>
      </c>
      <c r="GQ123">
        <v>5.8047500000000002E-2</v>
      </c>
      <c r="GR123">
        <v>0</v>
      </c>
      <c r="GS123">
        <v>27.116599999999998</v>
      </c>
      <c r="GT123">
        <v>999.9</v>
      </c>
      <c r="GU123">
        <v>38.799999999999997</v>
      </c>
      <c r="GV123">
        <v>34.5</v>
      </c>
      <c r="GW123">
        <v>21.409800000000001</v>
      </c>
      <c r="GX123">
        <v>62.368699999999997</v>
      </c>
      <c r="GY123">
        <v>12.6843</v>
      </c>
      <c r="GZ123">
        <v>1</v>
      </c>
      <c r="HA123">
        <v>0.45662900000000001</v>
      </c>
      <c r="HB123">
        <v>2.81019</v>
      </c>
      <c r="HC123">
        <v>20.2821</v>
      </c>
      <c r="HD123">
        <v>5.2062099999999996</v>
      </c>
      <c r="HE123">
        <v>11.9381</v>
      </c>
      <c r="HF123">
        <v>4.9861000000000004</v>
      </c>
      <c r="HG123">
        <v>3.2894999999999999</v>
      </c>
      <c r="HH123">
        <v>9999</v>
      </c>
      <c r="HI123">
        <v>9999</v>
      </c>
      <c r="HJ123">
        <v>9999</v>
      </c>
      <c r="HK123">
        <v>999.9</v>
      </c>
      <c r="HL123">
        <v>1.8701099999999999</v>
      </c>
      <c r="HM123">
        <v>1.8763700000000001</v>
      </c>
      <c r="HN123">
        <v>1.87408</v>
      </c>
      <c r="HO123">
        <v>1.8723799999999999</v>
      </c>
      <c r="HP123">
        <v>1.8728100000000001</v>
      </c>
      <c r="HQ123">
        <v>1.87016</v>
      </c>
      <c r="HR123">
        <v>1.87609</v>
      </c>
      <c r="HS123">
        <v>1.87517</v>
      </c>
      <c r="HT123">
        <v>5</v>
      </c>
      <c r="HU123">
        <v>0</v>
      </c>
      <c r="HV123">
        <v>0</v>
      </c>
      <c r="HW123">
        <v>0</v>
      </c>
      <c r="HX123" t="s">
        <v>421</v>
      </c>
      <c r="HY123" t="s">
        <v>422</v>
      </c>
      <c r="HZ123" t="s">
        <v>423</v>
      </c>
      <c r="IA123" t="s">
        <v>424</v>
      </c>
      <c r="IB123" t="s">
        <v>424</v>
      </c>
      <c r="IC123" t="s">
        <v>423</v>
      </c>
      <c r="ID123">
        <v>0</v>
      </c>
      <c r="IE123">
        <v>100</v>
      </c>
      <c r="IF123">
        <v>100</v>
      </c>
      <c r="IG123">
        <v>-3.262</v>
      </c>
      <c r="IH123">
        <v>0.3695</v>
      </c>
      <c r="II123">
        <v>-2.546715835892353</v>
      </c>
      <c r="IJ123">
        <v>-2.536945948238235E-3</v>
      </c>
      <c r="IK123">
        <v>1.581473279927893E-6</v>
      </c>
      <c r="IL123">
        <v>-4.6698293441882044E-10</v>
      </c>
      <c r="IM123">
        <v>-0.1436227113977297</v>
      </c>
      <c r="IN123">
        <v>-1.5895243091576399E-2</v>
      </c>
      <c r="IO123">
        <v>1.559614309849521E-3</v>
      </c>
      <c r="IP123">
        <v>-2.4566050869858518E-6</v>
      </c>
      <c r="IQ123">
        <v>2</v>
      </c>
      <c r="IR123">
        <v>2224</v>
      </c>
      <c r="IS123">
        <v>2</v>
      </c>
      <c r="IT123">
        <v>25</v>
      </c>
      <c r="IU123">
        <v>0.6</v>
      </c>
      <c r="IV123">
        <v>0.5</v>
      </c>
      <c r="IW123">
        <v>0.93505899999999997</v>
      </c>
      <c r="IX123">
        <v>2.50488</v>
      </c>
      <c r="IY123">
        <v>1.64917</v>
      </c>
      <c r="IZ123">
        <v>2.2900399999999999</v>
      </c>
      <c r="JA123">
        <v>1.50024</v>
      </c>
      <c r="JB123">
        <v>2.4182100000000002</v>
      </c>
      <c r="JC123">
        <v>38.330100000000002</v>
      </c>
      <c r="JD123">
        <v>16.2422</v>
      </c>
      <c r="JE123">
        <v>18</v>
      </c>
      <c r="JF123">
        <v>507.245</v>
      </c>
      <c r="JG123">
        <v>456.03399999999999</v>
      </c>
      <c r="JH123">
        <v>24.603999999999999</v>
      </c>
      <c r="JI123">
        <v>32.947800000000001</v>
      </c>
      <c r="JJ123">
        <v>30</v>
      </c>
      <c r="JK123">
        <v>32.956000000000003</v>
      </c>
      <c r="JL123">
        <v>32.927599999999998</v>
      </c>
      <c r="JM123">
        <v>18.749199999999998</v>
      </c>
      <c r="JN123">
        <v>37.6297</v>
      </c>
      <c r="JO123">
        <v>32.8172</v>
      </c>
      <c r="JP123">
        <v>24.6004</v>
      </c>
      <c r="JQ123">
        <v>400</v>
      </c>
      <c r="JR123">
        <v>16.413799999999998</v>
      </c>
      <c r="JS123">
        <v>99.781000000000006</v>
      </c>
      <c r="JT123">
        <v>98.942800000000005</v>
      </c>
    </row>
    <row r="124" spans="1:280" x14ac:dyDescent="0.25">
      <c r="A124">
        <v>108</v>
      </c>
      <c r="B124">
        <v>1674600251</v>
      </c>
      <c r="C124">
        <v>26116.400000095371</v>
      </c>
      <c r="D124" t="s">
        <v>966</v>
      </c>
      <c r="E124" t="s">
        <v>967</v>
      </c>
      <c r="F124" t="s">
        <v>412</v>
      </c>
      <c r="G124" t="s">
        <v>922</v>
      </c>
      <c r="H124" t="s">
        <v>637</v>
      </c>
      <c r="I124">
        <v>1674600251</v>
      </c>
      <c r="J124">
        <f t="shared" si="138"/>
        <v>7.118757681597975E-3</v>
      </c>
      <c r="K124">
        <f t="shared" si="139"/>
        <v>7.118757681597975</v>
      </c>
      <c r="L124">
        <f t="shared" si="140"/>
        <v>44.65762899236357</v>
      </c>
      <c r="M124">
        <f t="shared" si="141"/>
        <v>442.63400000000001</v>
      </c>
      <c r="N124">
        <f t="shared" si="142"/>
        <v>297.59693428016237</v>
      </c>
      <c r="O124">
        <f t="shared" si="143"/>
        <v>29.661569290690288</v>
      </c>
      <c r="P124">
        <f t="shared" si="144"/>
        <v>44.117454009305597</v>
      </c>
      <c r="Q124">
        <f t="shared" si="145"/>
        <v>0.56980155093301377</v>
      </c>
      <c r="R124">
        <f t="shared" si="146"/>
        <v>2.9203605588119763</v>
      </c>
      <c r="S124">
        <f t="shared" si="147"/>
        <v>0.5144789253225861</v>
      </c>
      <c r="T124">
        <f t="shared" si="148"/>
        <v>0.32607107074613656</v>
      </c>
      <c r="U124">
        <f t="shared" si="149"/>
        <v>344.39659860444272</v>
      </c>
      <c r="V124">
        <f t="shared" si="150"/>
        <v>28.176926716612087</v>
      </c>
      <c r="W124">
        <f t="shared" si="151"/>
        <v>28.084199999999999</v>
      </c>
      <c r="X124">
        <f t="shared" si="152"/>
        <v>3.8135068523262308</v>
      </c>
      <c r="Y124">
        <f t="shared" si="153"/>
        <v>65.308703925450743</v>
      </c>
      <c r="Z124">
        <f t="shared" si="154"/>
        <v>2.4779127583302403</v>
      </c>
      <c r="AA124">
        <f t="shared" si="155"/>
        <v>3.7941539326193858</v>
      </c>
      <c r="AB124">
        <f t="shared" si="156"/>
        <v>1.3355940939959905</v>
      </c>
      <c r="AC124">
        <f t="shared" si="157"/>
        <v>-313.9372137584707</v>
      </c>
      <c r="AD124">
        <f t="shared" si="158"/>
        <v>-13.744728368394252</v>
      </c>
      <c r="AE124">
        <f t="shared" si="159"/>
        <v>-1.0263273452531116</v>
      </c>
      <c r="AF124">
        <f t="shared" si="160"/>
        <v>15.688329132324665</v>
      </c>
      <c r="AG124">
        <v>0</v>
      </c>
      <c r="AH124">
        <v>0</v>
      </c>
      <c r="AI124">
        <f t="shared" si="161"/>
        <v>1</v>
      </c>
      <c r="AJ124">
        <f t="shared" si="162"/>
        <v>0</v>
      </c>
      <c r="AK124">
        <f t="shared" si="163"/>
        <v>52428.470432665963</v>
      </c>
      <c r="AL124" t="s">
        <v>415</v>
      </c>
      <c r="AM124">
        <v>10424.1</v>
      </c>
      <c r="AN124">
        <v>628.54280000000006</v>
      </c>
      <c r="AO124">
        <v>2663.98</v>
      </c>
      <c r="AP124">
        <f t="shared" si="164"/>
        <v>0.76405873917972356</v>
      </c>
      <c r="AQ124">
        <v>-3.1675626227050531</v>
      </c>
      <c r="AR124" t="s">
        <v>968</v>
      </c>
      <c r="AS124">
        <v>10189.1</v>
      </c>
      <c r="AT124">
        <v>737.86008000000004</v>
      </c>
      <c r="AU124">
        <v>1028.546852954302</v>
      </c>
      <c r="AV124">
        <f t="shared" si="165"/>
        <v>0.28261889297445264</v>
      </c>
      <c r="AW124">
        <v>0.5</v>
      </c>
      <c r="AX124">
        <f t="shared" si="166"/>
        <v>1513.3025993022216</v>
      </c>
      <c r="AY124">
        <f t="shared" si="167"/>
        <v>44.65762899236357</v>
      </c>
      <c r="AZ124">
        <f t="shared" si="168"/>
        <v>213.84395267507776</v>
      </c>
      <c r="BA124">
        <f t="shared" si="169"/>
        <v>3.1603191349252061E-2</v>
      </c>
      <c r="BB124">
        <f t="shared" si="170"/>
        <v>1.5900424393387937</v>
      </c>
      <c r="BC124">
        <f t="shared" si="171"/>
        <v>457.06997430007328</v>
      </c>
      <c r="BD124" t="s">
        <v>969</v>
      </c>
      <c r="BE124">
        <v>552.07000000000005</v>
      </c>
      <c r="BF124">
        <f t="shared" si="172"/>
        <v>552.07000000000005</v>
      </c>
      <c r="BG124">
        <f t="shared" si="173"/>
        <v>0.46325245328952624</v>
      </c>
      <c r="BH124">
        <f t="shared" si="174"/>
        <v>0.61007532926721464</v>
      </c>
      <c r="BI124">
        <f t="shared" si="175"/>
        <v>0.77438581523156669</v>
      </c>
      <c r="BJ124">
        <f t="shared" si="176"/>
        <v>0.72670956908406925</v>
      </c>
      <c r="BK124">
        <f t="shared" si="177"/>
        <v>0.80348003222388686</v>
      </c>
      <c r="BL124">
        <f t="shared" si="178"/>
        <v>0.45646091468798694</v>
      </c>
      <c r="BM124">
        <f t="shared" si="179"/>
        <v>0.543539085312013</v>
      </c>
      <c r="BN124">
        <v>20379</v>
      </c>
      <c r="BO124">
        <v>290.00000000000011</v>
      </c>
      <c r="BP124">
        <v>962.14</v>
      </c>
      <c r="BQ124">
        <v>225</v>
      </c>
      <c r="BR124">
        <v>10189.1</v>
      </c>
      <c r="BS124">
        <v>964.68</v>
      </c>
      <c r="BT124">
        <v>-2.54</v>
      </c>
      <c r="BU124">
        <v>300.00000000000011</v>
      </c>
      <c r="BV124">
        <v>24.2</v>
      </c>
      <c r="BW124">
        <v>1028.546852954302</v>
      </c>
      <c r="BX124">
        <v>2.2914866882442859</v>
      </c>
      <c r="BY124">
        <v>-65.079474542211813</v>
      </c>
      <c r="BZ124">
        <v>2.0779979204056902</v>
      </c>
      <c r="CA124">
        <v>0.97224533181287143</v>
      </c>
      <c r="CB124">
        <v>-6.9388616240267124E-3</v>
      </c>
      <c r="CC124">
        <v>289.99999999999989</v>
      </c>
      <c r="CD124">
        <v>967.05</v>
      </c>
      <c r="CE124">
        <v>675</v>
      </c>
      <c r="CF124">
        <v>10158.700000000001</v>
      </c>
      <c r="CG124">
        <v>964.48</v>
      </c>
      <c r="CH124">
        <v>2.57</v>
      </c>
      <c r="CV124">
        <f t="shared" si="180"/>
        <v>1800.14</v>
      </c>
      <c r="CW124">
        <f t="shared" si="181"/>
        <v>1513.3025993022216</v>
      </c>
      <c r="CX124">
        <f t="shared" si="182"/>
        <v>0.84065828174598722</v>
      </c>
      <c r="CY124">
        <f t="shared" si="183"/>
        <v>0.19131656349197435</v>
      </c>
      <c r="CZ124">
        <v>6</v>
      </c>
      <c r="DA124">
        <v>0.5</v>
      </c>
      <c r="DB124" t="s">
        <v>418</v>
      </c>
      <c r="DC124">
        <v>2</v>
      </c>
      <c r="DD124">
        <v>1674600251</v>
      </c>
      <c r="DE124">
        <v>442.63400000000001</v>
      </c>
      <c r="DF124">
        <v>500</v>
      </c>
      <c r="DG124">
        <v>24.8611</v>
      </c>
      <c r="DH124">
        <v>16.531600000000001</v>
      </c>
      <c r="DI124">
        <v>446.12200000000001</v>
      </c>
      <c r="DJ124">
        <v>24.496200000000002</v>
      </c>
      <c r="DK124">
        <v>500.03800000000001</v>
      </c>
      <c r="DL124">
        <v>99.570499999999996</v>
      </c>
      <c r="DM124">
        <v>9.9778400000000003E-2</v>
      </c>
      <c r="DN124">
        <v>27.9969</v>
      </c>
      <c r="DO124">
        <v>28.084199999999999</v>
      </c>
      <c r="DP124">
        <v>999.9</v>
      </c>
      <c r="DQ124">
        <v>0</v>
      </c>
      <c r="DR124">
        <v>0</v>
      </c>
      <c r="DS124">
        <v>9990.6200000000008</v>
      </c>
      <c r="DT124">
        <v>0</v>
      </c>
      <c r="DU124">
        <v>241.07400000000001</v>
      </c>
      <c r="DV124">
        <v>-57.366399999999999</v>
      </c>
      <c r="DW124">
        <v>453.91899999999998</v>
      </c>
      <c r="DX124">
        <v>508.40499999999997</v>
      </c>
      <c r="DY124">
        <v>8.32958</v>
      </c>
      <c r="DZ124">
        <v>500</v>
      </c>
      <c r="EA124">
        <v>16.531600000000001</v>
      </c>
      <c r="EB124">
        <v>2.4754399999999999</v>
      </c>
      <c r="EC124">
        <v>1.6460600000000001</v>
      </c>
      <c r="ED124">
        <v>20.8659</v>
      </c>
      <c r="EE124">
        <v>14.396800000000001</v>
      </c>
      <c r="EF124">
        <v>1800.14</v>
      </c>
      <c r="EG124">
        <v>0.97799700000000001</v>
      </c>
      <c r="EH124">
        <v>2.2003499999999999E-2</v>
      </c>
      <c r="EI124">
        <v>0</v>
      </c>
      <c r="EJ124">
        <v>738.09299999999996</v>
      </c>
      <c r="EK124">
        <v>5.0010599999999998</v>
      </c>
      <c r="EL124">
        <v>13757</v>
      </c>
      <c r="EM124">
        <v>16712.3</v>
      </c>
      <c r="EN124">
        <v>48.811999999999998</v>
      </c>
      <c r="EO124">
        <v>49.436999999999998</v>
      </c>
      <c r="EP124">
        <v>49.75</v>
      </c>
      <c r="EQ124">
        <v>48.25</v>
      </c>
      <c r="ER124">
        <v>49.625</v>
      </c>
      <c r="ES124">
        <v>1755.64</v>
      </c>
      <c r="ET124">
        <v>39.5</v>
      </c>
      <c r="EU124">
        <v>0</v>
      </c>
      <c r="EV124">
        <v>117</v>
      </c>
      <c r="EW124">
        <v>0</v>
      </c>
      <c r="EX124">
        <v>737.86008000000004</v>
      </c>
      <c r="EY124">
        <v>2.4241538484287339</v>
      </c>
      <c r="EZ124">
        <v>37.953846168591703</v>
      </c>
      <c r="FA124">
        <v>13751.512000000001</v>
      </c>
      <c r="FB124">
        <v>15</v>
      </c>
      <c r="FC124">
        <v>1674600218.5</v>
      </c>
      <c r="FD124" t="s">
        <v>970</v>
      </c>
      <c r="FE124">
        <v>1674600218.5</v>
      </c>
      <c r="FF124">
        <v>1674600211.5</v>
      </c>
      <c r="FG124">
        <v>120</v>
      </c>
      <c r="FH124">
        <v>-8.2000000000000003E-2</v>
      </c>
      <c r="FI124">
        <v>-2E-3</v>
      </c>
      <c r="FJ124">
        <v>-3.5649999999999999</v>
      </c>
      <c r="FK124">
        <v>-1E-3</v>
      </c>
      <c r="FL124">
        <v>500</v>
      </c>
      <c r="FM124">
        <v>16</v>
      </c>
      <c r="FN124">
        <v>0.03</v>
      </c>
      <c r="FO124">
        <v>0.01</v>
      </c>
      <c r="FP124">
        <v>44.611296464109181</v>
      </c>
      <c r="FQ124">
        <v>-0.34947293751299308</v>
      </c>
      <c r="FR124">
        <v>0.13329297750090841</v>
      </c>
      <c r="FS124">
        <v>1</v>
      </c>
      <c r="FT124">
        <v>0.5769555876498057</v>
      </c>
      <c r="FU124">
        <v>-3.3104229021192859E-3</v>
      </c>
      <c r="FV124">
        <v>3.8324845698041732E-3</v>
      </c>
      <c r="FW124">
        <v>1</v>
      </c>
      <c r="FX124">
        <v>2</v>
      </c>
      <c r="FY124">
        <v>2</v>
      </c>
      <c r="FZ124" t="s">
        <v>420</v>
      </c>
      <c r="GA124">
        <v>2.97722</v>
      </c>
      <c r="GB124">
        <v>2.8060200000000002</v>
      </c>
      <c r="GC124">
        <v>0.10559499999999999</v>
      </c>
      <c r="GD124">
        <v>0.113565</v>
      </c>
      <c r="GE124">
        <v>0.121533</v>
      </c>
      <c r="GF124">
        <v>9.1275599999999998E-2</v>
      </c>
      <c r="GG124">
        <v>26404.6</v>
      </c>
      <c r="GH124">
        <v>24260</v>
      </c>
      <c r="GI124">
        <v>26541.1</v>
      </c>
      <c r="GJ124">
        <v>25850.3</v>
      </c>
      <c r="GK124">
        <v>31722.5</v>
      </c>
      <c r="GL124">
        <v>33156.1</v>
      </c>
      <c r="GM124">
        <v>37597.1</v>
      </c>
      <c r="GN124">
        <v>38353.5</v>
      </c>
      <c r="GO124">
        <v>1.9679500000000001</v>
      </c>
      <c r="GP124">
        <v>1.9014</v>
      </c>
      <c r="GQ124">
        <v>6.2815800000000005E-2</v>
      </c>
      <c r="GR124">
        <v>0</v>
      </c>
      <c r="GS124">
        <v>27.0579</v>
      </c>
      <c r="GT124">
        <v>999.9</v>
      </c>
      <c r="GU124">
        <v>38.6</v>
      </c>
      <c r="GV124">
        <v>34.5</v>
      </c>
      <c r="GW124">
        <v>21.296800000000001</v>
      </c>
      <c r="GX124">
        <v>62.288699999999999</v>
      </c>
      <c r="GY124">
        <v>11.963100000000001</v>
      </c>
      <c r="GZ124">
        <v>1</v>
      </c>
      <c r="HA124">
        <v>0.45368700000000001</v>
      </c>
      <c r="HB124">
        <v>2.6440800000000002</v>
      </c>
      <c r="HC124">
        <v>20.284600000000001</v>
      </c>
      <c r="HD124">
        <v>5.2063600000000001</v>
      </c>
      <c r="HE124">
        <v>11.9381</v>
      </c>
      <c r="HF124">
        <v>4.9863</v>
      </c>
      <c r="HG124">
        <v>3.2896800000000002</v>
      </c>
      <c r="HH124">
        <v>9999</v>
      </c>
      <c r="HI124">
        <v>9999</v>
      </c>
      <c r="HJ124">
        <v>9999</v>
      </c>
      <c r="HK124">
        <v>999.9</v>
      </c>
      <c r="HL124">
        <v>1.86999</v>
      </c>
      <c r="HM124">
        <v>1.87625</v>
      </c>
      <c r="HN124">
        <v>1.87401</v>
      </c>
      <c r="HO124">
        <v>1.8722799999999999</v>
      </c>
      <c r="HP124">
        <v>1.8727199999999999</v>
      </c>
      <c r="HQ124">
        <v>1.87012</v>
      </c>
      <c r="HR124">
        <v>1.8760699999999999</v>
      </c>
      <c r="HS124">
        <v>1.8751500000000001</v>
      </c>
      <c r="HT124">
        <v>5</v>
      </c>
      <c r="HU124">
        <v>0</v>
      </c>
      <c r="HV124">
        <v>0</v>
      </c>
      <c r="HW124">
        <v>0</v>
      </c>
      <c r="HX124" t="s">
        <v>421</v>
      </c>
      <c r="HY124" t="s">
        <v>422</v>
      </c>
      <c r="HZ124" t="s">
        <v>423</v>
      </c>
      <c r="IA124" t="s">
        <v>424</v>
      </c>
      <c r="IB124" t="s">
        <v>424</v>
      </c>
      <c r="IC124" t="s">
        <v>423</v>
      </c>
      <c r="ID124">
        <v>0</v>
      </c>
      <c r="IE124">
        <v>100</v>
      </c>
      <c r="IF124">
        <v>100</v>
      </c>
      <c r="IG124">
        <v>-3.488</v>
      </c>
      <c r="IH124">
        <v>0.3649</v>
      </c>
      <c r="II124">
        <v>-2.6291009420120361</v>
      </c>
      <c r="IJ124">
        <v>-2.536945948238235E-3</v>
      </c>
      <c r="IK124">
        <v>1.581473279927893E-6</v>
      </c>
      <c r="IL124">
        <v>-4.6698293441882044E-10</v>
      </c>
      <c r="IM124">
        <v>-0.14548840514976541</v>
      </c>
      <c r="IN124">
        <v>-1.5895243091576399E-2</v>
      </c>
      <c r="IO124">
        <v>1.559614309849521E-3</v>
      </c>
      <c r="IP124">
        <v>-2.4566050869858518E-6</v>
      </c>
      <c r="IQ124">
        <v>2</v>
      </c>
      <c r="IR124">
        <v>2224</v>
      </c>
      <c r="IS124">
        <v>2</v>
      </c>
      <c r="IT124">
        <v>25</v>
      </c>
      <c r="IU124">
        <v>0.5</v>
      </c>
      <c r="IV124">
        <v>0.7</v>
      </c>
      <c r="IW124">
        <v>1.11572</v>
      </c>
      <c r="IX124">
        <v>2.49878</v>
      </c>
      <c r="IY124">
        <v>1.65039</v>
      </c>
      <c r="IZ124">
        <v>2.2900399999999999</v>
      </c>
      <c r="JA124">
        <v>1.50024</v>
      </c>
      <c r="JB124">
        <v>2.33521</v>
      </c>
      <c r="JC124">
        <v>38.110599999999998</v>
      </c>
      <c r="JD124">
        <v>16.180900000000001</v>
      </c>
      <c r="JE124">
        <v>18</v>
      </c>
      <c r="JF124">
        <v>506.98899999999998</v>
      </c>
      <c r="JG124">
        <v>456.65499999999997</v>
      </c>
      <c r="JH124">
        <v>24.700700000000001</v>
      </c>
      <c r="JI124">
        <v>32.921399999999998</v>
      </c>
      <c r="JJ124">
        <v>29.9999</v>
      </c>
      <c r="JK124">
        <v>32.940600000000003</v>
      </c>
      <c r="JL124">
        <v>32.9129</v>
      </c>
      <c r="JM124">
        <v>22.3749</v>
      </c>
      <c r="JN124">
        <v>36.6372</v>
      </c>
      <c r="JO124">
        <v>32.186999999999998</v>
      </c>
      <c r="JP124">
        <v>24.709800000000001</v>
      </c>
      <c r="JQ124">
        <v>500</v>
      </c>
      <c r="JR124">
        <v>16.5928</v>
      </c>
      <c r="JS124">
        <v>99.784599999999998</v>
      </c>
      <c r="JT124">
        <v>98.950500000000005</v>
      </c>
    </row>
    <row r="125" spans="1:280" x14ac:dyDescent="0.25">
      <c r="A125">
        <v>109</v>
      </c>
      <c r="B125">
        <v>1674600381.5</v>
      </c>
      <c r="C125">
        <v>26246.900000095371</v>
      </c>
      <c r="D125" t="s">
        <v>971</v>
      </c>
      <c r="E125" t="s">
        <v>972</v>
      </c>
      <c r="F125" t="s">
        <v>412</v>
      </c>
      <c r="G125" t="s">
        <v>922</v>
      </c>
      <c r="H125" t="s">
        <v>637</v>
      </c>
      <c r="I125">
        <v>1674600381.5</v>
      </c>
      <c r="J125">
        <f t="shared" si="138"/>
        <v>6.632238781763381E-3</v>
      </c>
      <c r="K125">
        <f t="shared" si="139"/>
        <v>6.6322387817633812</v>
      </c>
      <c r="L125">
        <f t="shared" si="140"/>
        <v>45.366833165739195</v>
      </c>
      <c r="M125">
        <f t="shared" si="141"/>
        <v>541.26800000000003</v>
      </c>
      <c r="N125">
        <f t="shared" si="142"/>
        <v>379.00336538173701</v>
      </c>
      <c r="O125">
        <f t="shared" si="143"/>
        <v>37.77641267078473</v>
      </c>
      <c r="P125">
        <f t="shared" si="144"/>
        <v>53.949819978235993</v>
      </c>
      <c r="Q125">
        <f t="shared" si="145"/>
        <v>0.51739511487235057</v>
      </c>
      <c r="R125">
        <f t="shared" si="146"/>
        <v>2.9215016319432427</v>
      </c>
      <c r="S125">
        <f t="shared" si="147"/>
        <v>0.4713574284220115</v>
      </c>
      <c r="T125">
        <f t="shared" si="148"/>
        <v>0.29839257949991504</v>
      </c>
      <c r="U125">
        <f t="shared" si="149"/>
        <v>344.38709860440389</v>
      </c>
      <c r="V125">
        <f t="shared" si="150"/>
        <v>28.304169123592398</v>
      </c>
      <c r="W125">
        <f t="shared" si="151"/>
        <v>28.148800000000001</v>
      </c>
      <c r="X125">
        <f t="shared" si="152"/>
        <v>3.8278829564107499</v>
      </c>
      <c r="Y125">
        <f t="shared" si="153"/>
        <v>65.090973888695629</v>
      </c>
      <c r="Z125">
        <f t="shared" si="154"/>
        <v>2.4697381322167997</v>
      </c>
      <c r="AA125">
        <f t="shared" si="155"/>
        <v>3.794286649390139</v>
      </c>
      <c r="AB125">
        <f t="shared" si="156"/>
        <v>1.3581448241939502</v>
      </c>
      <c r="AC125">
        <f t="shared" si="157"/>
        <v>-292.48173027576507</v>
      </c>
      <c r="AD125">
        <f t="shared" si="158"/>
        <v>-23.830354591974757</v>
      </c>
      <c r="AE125">
        <f t="shared" si="159"/>
        <v>-1.7793102718119553</v>
      </c>
      <c r="AF125">
        <f t="shared" si="160"/>
        <v>26.295703464852121</v>
      </c>
      <c r="AG125">
        <v>0</v>
      </c>
      <c r="AH125">
        <v>0</v>
      </c>
      <c r="AI125">
        <f t="shared" si="161"/>
        <v>1</v>
      </c>
      <c r="AJ125">
        <f t="shared" si="162"/>
        <v>0</v>
      </c>
      <c r="AK125">
        <f t="shared" si="163"/>
        <v>52461.195884114721</v>
      </c>
      <c r="AL125" t="s">
        <v>415</v>
      </c>
      <c r="AM125">
        <v>10424.1</v>
      </c>
      <c r="AN125">
        <v>628.54280000000006</v>
      </c>
      <c r="AO125">
        <v>2663.98</v>
      </c>
      <c r="AP125">
        <f t="shared" si="164"/>
        <v>0.76405873917972356</v>
      </c>
      <c r="AQ125">
        <v>-3.1675626227050531</v>
      </c>
      <c r="AR125" t="s">
        <v>973</v>
      </c>
      <c r="AS125">
        <v>10179.700000000001</v>
      </c>
      <c r="AT125">
        <v>740.55042307692315</v>
      </c>
      <c r="AU125">
        <v>1039.323233003063</v>
      </c>
      <c r="AV125">
        <f t="shared" si="165"/>
        <v>0.2874686146126586</v>
      </c>
      <c r="AW125">
        <v>0.5</v>
      </c>
      <c r="AX125">
        <f t="shared" si="166"/>
        <v>1513.2605993022019</v>
      </c>
      <c r="AY125">
        <f t="shared" si="167"/>
        <v>45.366833165739195</v>
      </c>
      <c r="AZ125">
        <f t="shared" si="168"/>
        <v>217.50746401466273</v>
      </c>
      <c r="BA125">
        <f t="shared" si="169"/>
        <v>3.2072728128139029E-2</v>
      </c>
      <c r="BB125">
        <f t="shared" si="170"/>
        <v>1.5631871927875483</v>
      </c>
      <c r="BC125">
        <f t="shared" si="171"/>
        <v>459.18574830525313</v>
      </c>
      <c r="BD125" t="s">
        <v>974</v>
      </c>
      <c r="BE125">
        <v>550.42999999999995</v>
      </c>
      <c r="BF125">
        <f t="shared" si="172"/>
        <v>550.42999999999995</v>
      </c>
      <c r="BG125">
        <f t="shared" si="173"/>
        <v>0.47039575127213795</v>
      </c>
      <c r="BH125">
        <f t="shared" si="174"/>
        <v>0.61112077189308933</v>
      </c>
      <c r="BI125">
        <f t="shared" si="175"/>
        <v>0.7686862231775623</v>
      </c>
      <c r="BJ125">
        <f t="shared" si="176"/>
        <v>0.72732970200630775</v>
      </c>
      <c r="BK125">
        <f t="shared" si="177"/>
        <v>0.79818565121878338</v>
      </c>
      <c r="BL125">
        <f t="shared" si="178"/>
        <v>0.45422863317731499</v>
      </c>
      <c r="BM125">
        <f t="shared" si="179"/>
        <v>0.54577136682268501</v>
      </c>
      <c r="BN125">
        <v>20381</v>
      </c>
      <c r="BO125">
        <v>290.00000000000011</v>
      </c>
      <c r="BP125">
        <v>972.19</v>
      </c>
      <c r="BQ125">
        <v>295</v>
      </c>
      <c r="BR125">
        <v>10179.700000000001</v>
      </c>
      <c r="BS125">
        <v>972.82</v>
      </c>
      <c r="BT125">
        <v>-0.63</v>
      </c>
      <c r="BU125">
        <v>300.00000000000011</v>
      </c>
      <c r="BV125">
        <v>24.2</v>
      </c>
      <c r="BW125">
        <v>1039.323233003063</v>
      </c>
      <c r="BX125">
        <v>2.2324138822307429</v>
      </c>
      <c r="BY125">
        <v>-67.697981593830178</v>
      </c>
      <c r="BZ125">
        <v>2.0244162158702448</v>
      </c>
      <c r="CA125">
        <v>0.97557322798238921</v>
      </c>
      <c r="CB125">
        <v>-6.9387737486095681E-3</v>
      </c>
      <c r="CC125">
        <v>289.99999999999989</v>
      </c>
      <c r="CD125">
        <v>975.98</v>
      </c>
      <c r="CE125">
        <v>655</v>
      </c>
      <c r="CF125">
        <v>10160.200000000001</v>
      </c>
      <c r="CG125">
        <v>972.69</v>
      </c>
      <c r="CH125">
        <v>3.29</v>
      </c>
      <c r="CV125">
        <f t="shared" si="180"/>
        <v>1800.09</v>
      </c>
      <c r="CW125">
        <f t="shared" si="181"/>
        <v>1513.2605993022019</v>
      </c>
      <c r="CX125">
        <f t="shared" si="182"/>
        <v>0.84065830003066622</v>
      </c>
      <c r="CY125">
        <f t="shared" si="183"/>
        <v>0.19131660006133244</v>
      </c>
      <c r="CZ125">
        <v>6</v>
      </c>
      <c r="DA125">
        <v>0.5</v>
      </c>
      <c r="DB125" t="s">
        <v>418</v>
      </c>
      <c r="DC125">
        <v>2</v>
      </c>
      <c r="DD125">
        <v>1674600381.5</v>
      </c>
      <c r="DE125">
        <v>541.26800000000003</v>
      </c>
      <c r="DF125">
        <v>600.00400000000002</v>
      </c>
      <c r="DG125">
        <v>24.778400000000001</v>
      </c>
      <c r="DH125">
        <v>17.0185</v>
      </c>
      <c r="DI125">
        <v>544.73299999999995</v>
      </c>
      <c r="DJ125">
        <v>24.416599999999999</v>
      </c>
      <c r="DK125">
        <v>500.10199999999998</v>
      </c>
      <c r="DL125">
        <v>99.572999999999993</v>
      </c>
      <c r="DM125">
        <v>0.100027</v>
      </c>
      <c r="DN125">
        <v>27.997499999999999</v>
      </c>
      <c r="DO125">
        <v>28.148800000000001</v>
      </c>
      <c r="DP125">
        <v>999.9</v>
      </c>
      <c r="DQ125">
        <v>0</v>
      </c>
      <c r="DR125">
        <v>0</v>
      </c>
      <c r="DS125">
        <v>9996.8799999999992</v>
      </c>
      <c r="DT125">
        <v>0</v>
      </c>
      <c r="DU125">
        <v>240.11699999999999</v>
      </c>
      <c r="DV125">
        <v>-58.735700000000001</v>
      </c>
      <c r="DW125">
        <v>555.02099999999996</v>
      </c>
      <c r="DX125">
        <v>610.39200000000005</v>
      </c>
      <c r="DY125">
        <v>7.7599499999999999</v>
      </c>
      <c r="DZ125">
        <v>600.00400000000002</v>
      </c>
      <c r="EA125">
        <v>17.0185</v>
      </c>
      <c r="EB125">
        <v>2.46726</v>
      </c>
      <c r="EC125">
        <v>1.69458</v>
      </c>
      <c r="ED125">
        <v>20.812100000000001</v>
      </c>
      <c r="EE125">
        <v>14.8469</v>
      </c>
      <c r="EF125">
        <v>1800.09</v>
      </c>
      <c r="EG125">
        <v>0.97799700000000001</v>
      </c>
      <c r="EH125">
        <v>2.2003499999999999E-2</v>
      </c>
      <c r="EI125">
        <v>0</v>
      </c>
      <c r="EJ125">
        <v>741.17499999999995</v>
      </c>
      <c r="EK125">
        <v>5.0010599999999998</v>
      </c>
      <c r="EL125">
        <v>13804.3</v>
      </c>
      <c r="EM125">
        <v>16711.8</v>
      </c>
      <c r="EN125">
        <v>48.75</v>
      </c>
      <c r="EO125">
        <v>49.436999999999998</v>
      </c>
      <c r="EP125">
        <v>49.686999999999998</v>
      </c>
      <c r="EQ125">
        <v>48.186999999999998</v>
      </c>
      <c r="ER125">
        <v>49.561999999999998</v>
      </c>
      <c r="ES125">
        <v>1755.59</v>
      </c>
      <c r="ET125">
        <v>39.5</v>
      </c>
      <c r="EU125">
        <v>0</v>
      </c>
      <c r="EV125">
        <v>128.5999999046326</v>
      </c>
      <c r="EW125">
        <v>0</v>
      </c>
      <c r="EX125">
        <v>740.55042307692315</v>
      </c>
      <c r="EY125">
        <v>2.278393136284842</v>
      </c>
      <c r="EZ125">
        <v>41.305982853418783</v>
      </c>
      <c r="FA125">
        <v>13798.26923076923</v>
      </c>
      <c r="FB125">
        <v>15</v>
      </c>
      <c r="FC125">
        <v>1674600336.5</v>
      </c>
      <c r="FD125" t="s">
        <v>975</v>
      </c>
      <c r="FE125">
        <v>1674600323.5</v>
      </c>
      <c r="FF125">
        <v>1674600336.5</v>
      </c>
      <c r="FG125">
        <v>121</v>
      </c>
      <c r="FH125">
        <v>0.152</v>
      </c>
      <c r="FI125">
        <v>1E-3</v>
      </c>
      <c r="FJ125">
        <v>-3.5339999999999998</v>
      </c>
      <c r="FK125">
        <v>0.01</v>
      </c>
      <c r="FL125">
        <v>600</v>
      </c>
      <c r="FM125">
        <v>17</v>
      </c>
      <c r="FN125">
        <v>0.02</v>
      </c>
      <c r="FO125">
        <v>0.01</v>
      </c>
      <c r="FP125">
        <v>45.380634820933963</v>
      </c>
      <c r="FQ125">
        <v>0.12697859488590629</v>
      </c>
      <c r="FR125">
        <v>3.3371295677737722E-2</v>
      </c>
      <c r="FS125">
        <v>1</v>
      </c>
      <c r="FT125">
        <v>0.52422455941005386</v>
      </c>
      <c r="FU125">
        <v>-4.9692992462139783E-2</v>
      </c>
      <c r="FV125">
        <v>5.0822696707980104E-3</v>
      </c>
      <c r="FW125">
        <v>1</v>
      </c>
      <c r="FX125">
        <v>2</v>
      </c>
      <c r="FY125">
        <v>2</v>
      </c>
      <c r="FZ125" t="s">
        <v>420</v>
      </c>
      <c r="GA125">
        <v>2.97743</v>
      </c>
      <c r="GB125">
        <v>2.80633</v>
      </c>
      <c r="GC125">
        <v>0.122338</v>
      </c>
      <c r="GD125">
        <v>0.12950800000000001</v>
      </c>
      <c r="GE125">
        <v>0.121272</v>
      </c>
      <c r="GF125">
        <v>9.3185299999999999E-2</v>
      </c>
      <c r="GG125">
        <v>25912</v>
      </c>
      <c r="GH125">
        <v>23826</v>
      </c>
      <c r="GI125">
        <v>26543.1</v>
      </c>
      <c r="GJ125">
        <v>25853.200000000001</v>
      </c>
      <c r="GK125">
        <v>31734.6</v>
      </c>
      <c r="GL125">
        <v>33090.300000000003</v>
      </c>
      <c r="GM125">
        <v>37600.300000000003</v>
      </c>
      <c r="GN125">
        <v>38357.800000000003</v>
      </c>
      <c r="GO125">
        <v>1.9688699999999999</v>
      </c>
      <c r="GP125">
        <v>1.9036999999999999</v>
      </c>
      <c r="GQ125">
        <v>6.9383500000000001E-2</v>
      </c>
      <c r="GR125">
        <v>0</v>
      </c>
      <c r="GS125">
        <v>27.0152</v>
      </c>
      <c r="GT125">
        <v>999.9</v>
      </c>
      <c r="GU125">
        <v>38.5</v>
      </c>
      <c r="GV125">
        <v>34.5</v>
      </c>
      <c r="GW125">
        <v>21.240200000000002</v>
      </c>
      <c r="GX125">
        <v>62.248699999999999</v>
      </c>
      <c r="GY125">
        <v>11.887</v>
      </c>
      <c r="GZ125">
        <v>1</v>
      </c>
      <c r="HA125">
        <v>0.44858999999999999</v>
      </c>
      <c r="HB125">
        <v>2.5386099999999998</v>
      </c>
      <c r="HC125">
        <v>20.286799999999999</v>
      </c>
      <c r="HD125">
        <v>5.2108499999999998</v>
      </c>
      <c r="HE125">
        <v>11.9381</v>
      </c>
      <c r="HF125">
        <v>4.9874999999999998</v>
      </c>
      <c r="HG125">
        <v>3.2907999999999999</v>
      </c>
      <c r="HH125">
        <v>9999</v>
      </c>
      <c r="HI125">
        <v>9999</v>
      </c>
      <c r="HJ125">
        <v>9999</v>
      </c>
      <c r="HK125">
        <v>999.9</v>
      </c>
      <c r="HL125">
        <v>1.8699600000000001</v>
      </c>
      <c r="HM125">
        <v>1.87622</v>
      </c>
      <c r="HN125">
        <v>1.8739300000000001</v>
      </c>
      <c r="HO125">
        <v>1.87225</v>
      </c>
      <c r="HP125">
        <v>1.8727100000000001</v>
      </c>
      <c r="HQ125">
        <v>1.87012</v>
      </c>
      <c r="HR125">
        <v>1.8760699999999999</v>
      </c>
      <c r="HS125">
        <v>1.8751500000000001</v>
      </c>
      <c r="HT125">
        <v>5</v>
      </c>
      <c r="HU125">
        <v>0</v>
      </c>
      <c r="HV125">
        <v>0</v>
      </c>
      <c r="HW125">
        <v>0</v>
      </c>
      <c r="HX125" t="s">
        <v>421</v>
      </c>
      <c r="HY125" t="s">
        <v>422</v>
      </c>
      <c r="HZ125" t="s">
        <v>423</v>
      </c>
      <c r="IA125" t="s">
        <v>424</v>
      </c>
      <c r="IB125" t="s">
        <v>424</v>
      </c>
      <c r="IC125" t="s">
        <v>423</v>
      </c>
      <c r="ID125">
        <v>0</v>
      </c>
      <c r="IE125">
        <v>100</v>
      </c>
      <c r="IF125">
        <v>100</v>
      </c>
      <c r="IG125">
        <v>-3.4649999999999999</v>
      </c>
      <c r="IH125">
        <v>0.36180000000000001</v>
      </c>
      <c r="II125">
        <v>-2.4765999617418619</v>
      </c>
      <c r="IJ125">
        <v>-2.536945948238235E-3</v>
      </c>
      <c r="IK125">
        <v>1.581473279927893E-6</v>
      </c>
      <c r="IL125">
        <v>-4.6698293441882044E-10</v>
      </c>
      <c r="IM125">
        <v>-0.14412463793421421</v>
      </c>
      <c r="IN125">
        <v>-1.5895243091576399E-2</v>
      </c>
      <c r="IO125">
        <v>1.559614309849521E-3</v>
      </c>
      <c r="IP125">
        <v>-2.4566050869858518E-6</v>
      </c>
      <c r="IQ125">
        <v>2</v>
      </c>
      <c r="IR125">
        <v>2224</v>
      </c>
      <c r="IS125">
        <v>2</v>
      </c>
      <c r="IT125">
        <v>25</v>
      </c>
      <c r="IU125">
        <v>1</v>
      </c>
      <c r="IV125">
        <v>0.8</v>
      </c>
      <c r="IW125">
        <v>1.2915000000000001</v>
      </c>
      <c r="IX125">
        <v>2.4939</v>
      </c>
      <c r="IY125">
        <v>1.65039</v>
      </c>
      <c r="IZ125">
        <v>2.2900399999999999</v>
      </c>
      <c r="JA125">
        <v>1.50024</v>
      </c>
      <c r="JB125">
        <v>2.3852500000000001</v>
      </c>
      <c r="JC125">
        <v>37.940600000000003</v>
      </c>
      <c r="JD125">
        <v>16.1371</v>
      </c>
      <c r="JE125">
        <v>18</v>
      </c>
      <c r="JF125">
        <v>507.274</v>
      </c>
      <c r="JG125">
        <v>457.90300000000002</v>
      </c>
      <c r="JH125">
        <v>24.733000000000001</v>
      </c>
      <c r="JI125">
        <v>32.868699999999997</v>
      </c>
      <c r="JJ125">
        <v>29.9998</v>
      </c>
      <c r="JK125">
        <v>32.900399999999998</v>
      </c>
      <c r="JL125">
        <v>32.8797</v>
      </c>
      <c r="JM125">
        <v>25.8842</v>
      </c>
      <c r="JN125">
        <v>34.283900000000003</v>
      </c>
      <c r="JO125">
        <v>32.164099999999998</v>
      </c>
      <c r="JP125">
        <v>24.737100000000002</v>
      </c>
      <c r="JQ125">
        <v>600</v>
      </c>
      <c r="JR125">
        <v>17.006699999999999</v>
      </c>
      <c r="JS125">
        <v>99.7928</v>
      </c>
      <c r="JT125">
        <v>98.961500000000001</v>
      </c>
    </row>
    <row r="126" spans="1:280" x14ac:dyDescent="0.25">
      <c r="A126">
        <v>110</v>
      </c>
      <c r="B126">
        <v>1674600504.5</v>
      </c>
      <c r="C126">
        <v>26369.900000095371</v>
      </c>
      <c r="D126" t="s">
        <v>976</v>
      </c>
      <c r="E126" t="s">
        <v>977</v>
      </c>
      <c r="F126" t="s">
        <v>412</v>
      </c>
      <c r="G126" t="s">
        <v>922</v>
      </c>
      <c r="H126" t="s">
        <v>637</v>
      </c>
      <c r="I126">
        <v>1674600504.5</v>
      </c>
      <c r="J126">
        <f t="shared" si="138"/>
        <v>6.2551721237732614E-3</v>
      </c>
      <c r="K126">
        <f t="shared" si="139"/>
        <v>6.2551721237732618</v>
      </c>
      <c r="L126">
        <f t="shared" si="140"/>
        <v>45.008628106695078</v>
      </c>
      <c r="M126">
        <f t="shared" si="141"/>
        <v>740.43600000000004</v>
      </c>
      <c r="N126">
        <f t="shared" si="142"/>
        <v>563.62222887337509</v>
      </c>
      <c r="O126">
        <f t="shared" si="143"/>
        <v>56.176709448814982</v>
      </c>
      <c r="P126">
        <f t="shared" si="144"/>
        <v>73.79988919278</v>
      </c>
      <c r="Q126">
        <f t="shared" si="145"/>
        <v>0.47866164373365405</v>
      </c>
      <c r="R126">
        <f t="shared" si="146"/>
        <v>2.9170787861146952</v>
      </c>
      <c r="S126">
        <f t="shared" si="147"/>
        <v>0.43892121972829712</v>
      </c>
      <c r="T126">
        <f t="shared" si="148"/>
        <v>0.27762081049701887</v>
      </c>
      <c r="U126">
        <f t="shared" si="149"/>
        <v>344.37699860471849</v>
      </c>
      <c r="V126">
        <f t="shared" si="150"/>
        <v>28.415223067558689</v>
      </c>
      <c r="W126">
        <f t="shared" si="151"/>
        <v>28.2438</v>
      </c>
      <c r="X126">
        <f t="shared" si="152"/>
        <v>3.8491101683387052</v>
      </c>
      <c r="Y126">
        <f t="shared" si="153"/>
        <v>65.149475496416926</v>
      </c>
      <c r="Z126">
        <f t="shared" si="154"/>
        <v>2.4737309502449998</v>
      </c>
      <c r="AA126">
        <f t="shared" si="155"/>
        <v>3.7970082359006083</v>
      </c>
      <c r="AB126">
        <f t="shared" si="156"/>
        <v>1.3753792180937054</v>
      </c>
      <c r="AC126">
        <f t="shared" si="157"/>
        <v>-275.85309065840084</v>
      </c>
      <c r="AD126">
        <f t="shared" si="158"/>
        <v>-36.800139054981898</v>
      </c>
      <c r="AE126">
        <f t="shared" si="159"/>
        <v>-2.7533460676890735</v>
      </c>
      <c r="AF126">
        <f t="shared" si="160"/>
        <v>28.9704228236467</v>
      </c>
      <c r="AG126">
        <v>0</v>
      </c>
      <c r="AH126">
        <v>0</v>
      </c>
      <c r="AI126">
        <f t="shared" si="161"/>
        <v>1</v>
      </c>
      <c r="AJ126">
        <f t="shared" si="162"/>
        <v>0</v>
      </c>
      <c r="AK126">
        <f t="shared" si="163"/>
        <v>52332.013603124389</v>
      </c>
      <c r="AL126" t="s">
        <v>415</v>
      </c>
      <c r="AM126">
        <v>10424.1</v>
      </c>
      <c r="AN126">
        <v>628.54280000000006</v>
      </c>
      <c r="AO126">
        <v>2663.98</v>
      </c>
      <c r="AP126">
        <f t="shared" si="164"/>
        <v>0.76405873917972356</v>
      </c>
      <c r="AQ126">
        <v>-3.1675626227050531</v>
      </c>
      <c r="AR126" t="s">
        <v>978</v>
      </c>
      <c r="AS126">
        <v>10180.700000000001</v>
      </c>
      <c r="AT126">
        <v>743.6956923076923</v>
      </c>
      <c r="AU126">
        <v>1042.37303102697</v>
      </c>
      <c r="AV126">
        <f t="shared" si="165"/>
        <v>0.2865359423439936</v>
      </c>
      <c r="AW126">
        <v>0.5</v>
      </c>
      <c r="AX126">
        <f t="shared" si="166"/>
        <v>1513.2182993023591</v>
      </c>
      <c r="AY126">
        <f t="shared" si="167"/>
        <v>45.008628106695078</v>
      </c>
      <c r="AZ126">
        <f t="shared" si="168"/>
        <v>216.7957156813884</v>
      </c>
      <c r="BA126">
        <f t="shared" si="169"/>
        <v>3.1836907306507505E-2</v>
      </c>
      <c r="BB126">
        <f t="shared" si="170"/>
        <v>1.5556877631181472</v>
      </c>
      <c r="BC126">
        <f t="shared" si="171"/>
        <v>459.78008950626668</v>
      </c>
      <c r="BD126" t="s">
        <v>979</v>
      </c>
      <c r="BE126">
        <v>552.91</v>
      </c>
      <c r="BF126">
        <f t="shared" si="172"/>
        <v>552.91</v>
      </c>
      <c r="BG126">
        <f t="shared" si="173"/>
        <v>0.46956609242349612</v>
      </c>
      <c r="BH126">
        <f t="shared" si="174"/>
        <v>0.61021429563864282</v>
      </c>
      <c r="BI126">
        <f t="shared" si="175"/>
        <v>0.76814457548685255</v>
      </c>
      <c r="BJ126">
        <f t="shared" si="176"/>
        <v>0.72173881056991329</v>
      </c>
      <c r="BK126">
        <f t="shared" si="177"/>
        <v>0.79668730087719242</v>
      </c>
      <c r="BL126">
        <f t="shared" si="178"/>
        <v>0.45367156175750811</v>
      </c>
      <c r="BM126">
        <f t="shared" si="179"/>
        <v>0.54632843824249189</v>
      </c>
      <c r="BN126">
        <v>20383</v>
      </c>
      <c r="BO126">
        <v>290.00000000000011</v>
      </c>
      <c r="BP126">
        <v>975.92</v>
      </c>
      <c r="BQ126">
        <v>265</v>
      </c>
      <c r="BR126">
        <v>10180.700000000001</v>
      </c>
      <c r="BS126">
        <v>976.23</v>
      </c>
      <c r="BT126">
        <v>-0.31</v>
      </c>
      <c r="BU126">
        <v>300.00000000000011</v>
      </c>
      <c r="BV126">
        <v>24.2</v>
      </c>
      <c r="BW126">
        <v>1042.37303102697</v>
      </c>
      <c r="BX126">
        <v>2.597703561162974</v>
      </c>
      <c r="BY126">
        <v>-67.342944440549218</v>
      </c>
      <c r="BZ126">
        <v>2.355218733014028</v>
      </c>
      <c r="CA126">
        <v>0.96688600365255928</v>
      </c>
      <c r="CB126">
        <v>-6.9376286985539607E-3</v>
      </c>
      <c r="CC126">
        <v>289.99999999999989</v>
      </c>
      <c r="CD126">
        <v>977.89</v>
      </c>
      <c r="CE126">
        <v>715</v>
      </c>
      <c r="CF126">
        <v>10153.700000000001</v>
      </c>
      <c r="CG126">
        <v>976.05</v>
      </c>
      <c r="CH126">
        <v>1.84</v>
      </c>
      <c r="CV126">
        <f t="shared" si="180"/>
        <v>1800.04</v>
      </c>
      <c r="CW126">
        <f t="shared" si="181"/>
        <v>1513.2182993023591</v>
      </c>
      <c r="CX126">
        <f t="shared" si="182"/>
        <v>0.84065815165349611</v>
      </c>
      <c r="CY126">
        <f t="shared" si="183"/>
        <v>0.19131630330699234</v>
      </c>
      <c r="CZ126">
        <v>6</v>
      </c>
      <c r="DA126">
        <v>0.5</v>
      </c>
      <c r="DB126" t="s">
        <v>418</v>
      </c>
      <c r="DC126">
        <v>2</v>
      </c>
      <c r="DD126">
        <v>1674600504.5</v>
      </c>
      <c r="DE126">
        <v>740.43600000000004</v>
      </c>
      <c r="DF126">
        <v>799.99599999999998</v>
      </c>
      <c r="DG126">
        <v>24.818999999999999</v>
      </c>
      <c r="DH126">
        <v>17.5001</v>
      </c>
      <c r="DI126">
        <v>744.20100000000002</v>
      </c>
      <c r="DJ126">
        <v>24.4617</v>
      </c>
      <c r="DK126">
        <v>500.06900000000002</v>
      </c>
      <c r="DL126">
        <v>99.570800000000006</v>
      </c>
      <c r="DM126">
        <v>0.10005500000000001</v>
      </c>
      <c r="DN126">
        <v>28.009799999999998</v>
      </c>
      <c r="DO126">
        <v>28.2438</v>
      </c>
      <c r="DP126">
        <v>999.9</v>
      </c>
      <c r="DQ126">
        <v>0</v>
      </c>
      <c r="DR126">
        <v>0</v>
      </c>
      <c r="DS126">
        <v>9971.8799999999992</v>
      </c>
      <c r="DT126">
        <v>0</v>
      </c>
      <c r="DU126">
        <v>230.17</v>
      </c>
      <c r="DV126">
        <v>-59.560400000000001</v>
      </c>
      <c r="DW126">
        <v>759.28</v>
      </c>
      <c r="DX126">
        <v>814.24599999999998</v>
      </c>
      <c r="DY126">
        <v>7.3188599999999999</v>
      </c>
      <c r="DZ126">
        <v>799.99599999999998</v>
      </c>
      <c r="EA126">
        <v>17.5001</v>
      </c>
      <c r="EB126">
        <v>2.4712399999999999</v>
      </c>
      <c r="EC126">
        <v>1.7424999999999999</v>
      </c>
      <c r="ED126">
        <v>20.8383</v>
      </c>
      <c r="EE126">
        <v>15.2803</v>
      </c>
      <c r="EF126">
        <v>1800.04</v>
      </c>
      <c r="EG126">
        <v>0.97799999999999998</v>
      </c>
      <c r="EH126">
        <v>2.1999999999999999E-2</v>
      </c>
      <c r="EI126">
        <v>0</v>
      </c>
      <c r="EJ126">
        <v>744.17100000000005</v>
      </c>
      <c r="EK126">
        <v>5.0010599999999998</v>
      </c>
      <c r="EL126">
        <v>13868.2</v>
      </c>
      <c r="EM126">
        <v>16711.400000000001</v>
      </c>
      <c r="EN126">
        <v>48.936999999999998</v>
      </c>
      <c r="EO126">
        <v>49.686999999999998</v>
      </c>
      <c r="EP126">
        <v>49.875</v>
      </c>
      <c r="EQ126">
        <v>48.5</v>
      </c>
      <c r="ER126">
        <v>49.75</v>
      </c>
      <c r="ES126">
        <v>1755.55</v>
      </c>
      <c r="ET126">
        <v>39.49</v>
      </c>
      <c r="EU126">
        <v>0</v>
      </c>
      <c r="EV126">
        <v>120.80000019073491</v>
      </c>
      <c r="EW126">
        <v>0</v>
      </c>
      <c r="EX126">
        <v>743.6956923076923</v>
      </c>
      <c r="EY126">
        <v>2.7245128008012971</v>
      </c>
      <c r="EZ126">
        <v>40.475213749531271</v>
      </c>
      <c r="FA126">
        <v>13862.91153846154</v>
      </c>
      <c r="FB126">
        <v>15</v>
      </c>
      <c r="FC126">
        <v>1674600457</v>
      </c>
      <c r="FD126" t="s">
        <v>980</v>
      </c>
      <c r="FE126">
        <v>1674600457</v>
      </c>
      <c r="FF126">
        <v>1674600456</v>
      </c>
      <c r="FG126">
        <v>122</v>
      </c>
      <c r="FH126">
        <v>-8.4000000000000005E-2</v>
      </c>
      <c r="FI126">
        <v>-7.0000000000000001E-3</v>
      </c>
      <c r="FJ126">
        <v>-3.8210000000000002</v>
      </c>
      <c r="FK126">
        <v>2.1000000000000001E-2</v>
      </c>
      <c r="FL126">
        <v>800</v>
      </c>
      <c r="FM126">
        <v>17</v>
      </c>
      <c r="FN126">
        <v>0.04</v>
      </c>
      <c r="FO126">
        <v>0.01</v>
      </c>
      <c r="FP126">
        <v>45.098711380727337</v>
      </c>
      <c r="FQ126">
        <v>1.3024714054614091E-2</v>
      </c>
      <c r="FR126">
        <v>3.1954584221518298E-2</v>
      </c>
      <c r="FS126">
        <v>1</v>
      </c>
      <c r="FT126">
        <v>0.48467682077770191</v>
      </c>
      <c r="FU126">
        <v>-4.9775521554008897E-2</v>
      </c>
      <c r="FV126">
        <v>5.0531901635737578E-3</v>
      </c>
      <c r="FW126">
        <v>1</v>
      </c>
      <c r="FX126">
        <v>2</v>
      </c>
      <c r="FY126">
        <v>2</v>
      </c>
      <c r="FZ126" t="s">
        <v>420</v>
      </c>
      <c r="GA126">
        <v>2.9773800000000001</v>
      </c>
      <c r="GB126">
        <v>2.8061400000000001</v>
      </c>
      <c r="GC126">
        <v>0.15212700000000001</v>
      </c>
      <c r="GD126">
        <v>0.15781400000000001</v>
      </c>
      <c r="GE126">
        <v>0.121437</v>
      </c>
      <c r="GF126">
        <v>9.5049800000000004E-2</v>
      </c>
      <c r="GG126">
        <v>25034.6</v>
      </c>
      <c r="GH126">
        <v>23052.7</v>
      </c>
      <c r="GI126">
        <v>26546.6</v>
      </c>
      <c r="GJ126">
        <v>25856.2</v>
      </c>
      <c r="GK126">
        <v>31732.7</v>
      </c>
      <c r="GL126">
        <v>33025.9</v>
      </c>
      <c r="GM126">
        <v>37605.1</v>
      </c>
      <c r="GN126">
        <v>38361.699999999997</v>
      </c>
      <c r="GO126">
        <v>1.9691000000000001</v>
      </c>
      <c r="GP126">
        <v>1.9057500000000001</v>
      </c>
      <c r="GQ126">
        <v>7.63461E-2</v>
      </c>
      <c r="GR126">
        <v>0</v>
      </c>
      <c r="GS126">
        <v>26.996600000000001</v>
      </c>
      <c r="GT126">
        <v>999.9</v>
      </c>
      <c r="GU126">
        <v>38.5</v>
      </c>
      <c r="GV126">
        <v>34.5</v>
      </c>
      <c r="GW126">
        <v>21.241199999999999</v>
      </c>
      <c r="GX126">
        <v>62.158700000000003</v>
      </c>
      <c r="GY126">
        <v>11.9391</v>
      </c>
      <c r="GZ126">
        <v>1</v>
      </c>
      <c r="HA126">
        <v>0.44431100000000001</v>
      </c>
      <c r="HB126">
        <v>2.7188699999999999</v>
      </c>
      <c r="HC126">
        <v>20.284300000000002</v>
      </c>
      <c r="HD126">
        <v>5.2103999999999999</v>
      </c>
      <c r="HE126">
        <v>11.9381</v>
      </c>
      <c r="HF126">
        <v>4.9874499999999999</v>
      </c>
      <c r="HG126">
        <v>3.2907500000000001</v>
      </c>
      <c r="HH126">
        <v>9999</v>
      </c>
      <c r="HI126">
        <v>9999</v>
      </c>
      <c r="HJ126">
        <v>9999</v>
      </c>
      <c r="HK126">
        <v>999.9</v>
      </c>
      <c r="HL126">
        <v>1.8699600000000001</v>
      </c>
      <c r="HM126">
        <v>1.87622</v>
      </c>
      <c r="HN126">
        <v>1.8739300000000001</v>
      </c>
      <c r="HO126">
        <v>1.87225</v>
      </c>
      <c r="HP126">
        <v>1.8727100000000001</v>
      </c>
      <c r="HQ126">
        <v>1.87012</v>
      </c>
      <c r="HR126">
        <v>1.8760600000000001</v>
      </c>
      <c r="HS126">
        <v>1.87513</v>
      </c>
      <c r="HT126">
        <v>5</v>
      </c>
      <c r="HU126">
        <v>0</v>
      </c>
      <c r="HV126">
        <v>0</v>
      </c>
      <c r="HW126">
        <v>0</v>
      </c>
      <c r="HX126" t="s">
        <v>421</v>
      </c>
      <c r="HY126" t="s">
        <v>422</v>
      </c>
      <c r="HZ126" t="s">
        <v>423</v>
      </c>
      <c r="IA126" t="s">
        <v>424</v>
      </c>
      <c r="IB126" t="s">
        <v>424</v>
      </c>
      <c r="IC126" t="s">
        <v>423</v>
      </c>
      <c r="ID126">
        <v>0</v>
      </c>
      <c r="IE126">
        <v>100</v>
      </c>
      <c r="IF126">
        <v>100</v>
      </c>
      <c r="IG126">
        <v>-3.7650000000000001</v>
      </c>
      <c r="IH126">
        <v>0.35730000000000001</v>
      </c>
      <c r="II126">
        <v>-2.56038796979947</v>
      </c>
      <c r="IJ126">
        <v>-2.536945948238235E-3</v>
      </c>
      <c r="IK126">
        <v>1.581473279927893E-6</v>
      </c>
      <c r="IL126">
        <v>-4.6698293441882044E-10</v>
      </c>
      <c r="IM126">
        <v>-0.15121199180816791</v>
      </c>
      <c r="IN126">
        <v>-1.5895243091576399E-2</v>
      </c>
      <c r="IO126">
        <v>1.559614309849521E-3</v>
      </c>
      <c r="IP126">
        <v>-2.4566050869858518E-6</v>
      </c>
      <c r="IQ126">
        <v>2</v>
      </c>
      <c r="IR126">
        <v>2224</v>
      </c>
      <c r="IS126">
        <v>2</v>
      </c>
      <c r="IT126">
        <v>25</v>
      </c>
      <c r="IU126">
        <v>0.8</v>
      </c>
      <c r="IV126">
        <v>0.8</v>
      </c>
      <c r="IW126">
        <v>1.63208</v>
      </c>
      <c r="IX126">
        <v>2.4890099999999999</v>
      </c>
      <c r="IY126">
        <v>1.65039</v>
      </c>
      <c r="IZ126">
        <v>2.2900399999999999</v>
      </c>
      <c r="JA126">
        <v>1.50024</v>
      </c>
      <c r="JB126">
        <v>2.4084500000000002</v>
      </c>
      <c r="JC126">
        <v>37.843699999999998</v>
      </c>
      <c r="JD126">
        <v>16.1021</v>
      </c>
      <c r="JE126">
        <v>18</v>
      </c>
      <c r="JF126">
        <v>507.096</v>
      </c>
      <c r="JG126">
        <v>458.959</v>
      </c>
      <c r="JH126">
        <v>24.601299999999998</v>
      </c>
      <c r="JI126">
        <v>32.822000000000003</v>
      </c>
      <c r="JJ126">
        <v>29.9999</v>
      </c>
      <c r="JK126">
        <v>32.86</v>
      </c>
      <c r="JL126">
        <v>32.842500000000001</v>
      </c>
      <c r="JM126">
        <v>32.671199999999999</v>
      </c>
      <c r="JN126">
        <v>32.364100000000001</v>
      </c>
      <c r="JO126">
        <v>32.216299999999997</v>
      </c>
      <c r="JP126">
        <v>24.5991</v>
      </c>
      <c r="JQ126">
        <v>800</v>
      </c>
      <c r="JR126">
        <v>17.438400000000001</v>
      </c>
      <c r="JS126">
        <v>99.805599999999998</v>
      </c>
      <c r="JT126">
        <v>98.972200000000001</v>
      </c>
    </row>
    <row r="127" spans="1:280" x14ac:dyDescent="0.25">
      <c r="A127">
        <v>111</v>
      </c>
      <c r="B127">
        <v>1674600618</v>
      </c>
      <c r="C127">
        <v>26483.400000095371</v>
      </c>
      <c r="D127" t="s">
        <v>981</v>
      </c>
      <c r="E127" t="s">
        <v>982</v>
      </c>
      <c r="F127" t="s">
        <v>412</v>
      </c>
      <c r="G127" t="s">
        <v>922</v>
      </c>
      <c r="H127" t="s">
        <v>637</v>
      </c>
      <c r="I127">
        <v>1674600618</v>
      </c>
      <c r="J127">
        <f t="shared" si="138"/>
        <v>6.0265677234381983E-3</v>
      </c>
      <c r="K127">
        <f t="shared" si="139"/>
        <v>6.0265677234381982</v>
      </c>
      <c r="L127">
        <f t="shared" si="140"/>
        <v>43.323846997941381</v>
      </c>
      <c r="M127">
        <f t="shared" si="141"/>
        <v>1139.69</v>
      </c>
      <c r="N127">
        <f t="shared" si="142"/>
        <v>952.14574733000313</v>
      </c>
      <c r="O127">
        <f t="shared" si="143"/>
        <v>94.900439951603957</v>
      </c>
      <c r="P127">
        <f t="shared" si="144"/>
        <v>113.59299005613001</v>
      </c>
      <c r="Q127">
        <f t="shared" si="145"/>
        <v>0.45454580475523448</v>
      </c>
      <c r="R127">
        <f t="shared" si="146"/>
        <v>2.9214488567676953</v>
      </c>
      <c r="S127">
        <f t="shared" si="147"/>
        <v>0.4185969652885046</v>
      </c>
      <c r="T127">
        <f t="shared" si="148"/>
        <v>0.26461563705746838</v>
      </c>
      <c r="U127">
        <f t="shared" si="149"/>
        <v>344.36879860504081</v>
      </c>
      <c r="V127">
        <f t="shared" si="150"/>
        <v>28.477273375469274</v>
      </c>
      <c r="W127">
        <f t="shared" si="151"/>
        <v>28.314299999999999</v>
      </c>
      <c r="X127">
        <f t="shared" si="152"/>
        <v>3.8649293012329791</v>
      </c>
      <c r="Y127">
        <f t="shared" si="153"/>
        <v>65.187323079764809</v>
      </c>
      <c r="Z127">
        <f t="shared" si="154"/>
        <v>2.4756153395337002</v>
      </c>
      <c r="AA127">
        <f t="shared" si="155"/>
        <v>3.7976944328646183</v>
      </c>
      <c r="AB127">
        <f t="shared" si="156"/>
        <v>1.3893139616992789</v>
      </c>
      <c r="AC127">
        <f t="shared" si="157"/>
        <v>-265.77163660362453</v>
      </c>
      <c r="AD127">
        <f t="shared" si="158"/>
        <v>-47.470846840890637</v>
      </c>
      <c r="AE127">
        <f t="shared" si="159"/>
        <v>-3.5477045714143087</v>
      </c>
      <c r="AF127">
        <f t="shared" si="160"/>
        <v>27.578610589111314</v>
      </c>
      <c r="AG127">
        <v>0</v>
      </c>
      <c r="AH127">
        <v>0</v>
      </c>
      <c r="AI127">
        <f t="shared" si="161"/>
        <v>1</v>
      </c>
      <c r="AJ127">
        <f t="shared" si="162"/>
        <v>0</v>
      </c>
      <c r="AK127">
        <f t="shared" si="163"/>
        <v>52456.931433845522</v>
      </c>
      <c r="AL127" t="s">
        <v>415</v>
      </c>
      <c r="AM127">
        <v>10424.1</v>
      </c>
      <c r="AN127">
        <v>628.54280000000006</v>
      </c>
      <c r="AO127">
        <v>2663.98</v>
      </c>
      <c r="AP127">
        <f t="shared" si="164"/>
        <v>0.76405873917972356</v>
      </c>
      <c r="AQ127">
        <v>-3.1675626227050531</v>
      </c>
      <c r="AR127" t="s">
        <v>983</v>
      </c>
      <c r="AS127">
        <v>10175.9</v>
      </c>
      <c r="AT127">
        <v>747.06057692307695</v>
      </c>
      <c r="AU127">
        <v>1048.4961063609769</v>
      </c>
      <c r="AV127">
        <f t="shared" si="165"/>
        <v>0.2874932273082963</v>
      </c>
      <c r="AW127">
        <v>0.5</v>
      </c>
      <c r="AX127">
        <f t="shared" si="166"/>
        <v>1513.1843993025204</v>
      </c>
      <c r="AY127">
        <f t="shared" si="167"/>
        <v>43.323846997941381</v>
      </c>
      <c r="AZ127">
        <f t="shared" si="168"/>
        <v>217.51513323402364</v>
      </c>
      <c r="BA127">
        <f t="shared" si="169"/>
        <v>3.0724219495043666E-2</v>
      </c>
      <c r="BB127">
        <f t="shared" si="170"/>
        <v>1.5407628925260342</v>
      </c>
      <c r="BC127">
        <f t="shared" si="171"/>
        <v>460.96749780438125</v>
      </c>
      <c r="BD127" t="s">
        <v>984</v>
      </c>
      <c r="BE127">
        <v>554.03</v>
      </c>
      <c r="BF127">
        <f t="shared" si="172"/>
        <v>554.03</v>
      </c>
      <c r="BG127">
        <f t="shared" si="173"/>
        <v>0.47159555801988051</v>
      </c>
      <c r="BH127">
        <f t="shared" si="174"/>
        <v>0.60961818324882688</v>
      </c>
      <c r="BI127">
        <f t="shared" si="175"/>
        <v>0.76565032045262837</v>
      </c>
      <c r="BJ127">
        <f t="shared" si="176"/>
        <v>0.71778344133049099</v>
      </c>
      <c r="BK127">
        <f t="shared" si="177"/>
        <v>0.79367906493947504</v>
      </c>
      <c r="BL127">
        <f t="shared" si="178"/>
        <v>0.45210090386033647</v>
      </c>
      <c r="BM127">
        <f t="shared" si="179"/>
        <v>0.54789909613966348</v>
      </c>
      <c r="BN127">
        <v>20385</v>
      </c>
      <c r="BO127">
        <v>290.00000000000011</v>
      </c>
      <c r="BP127">
        <v>976.83</v>
      </c>
      <c r="BQ127">
        <v>285</v>
      </c>
      <c r="BR127">
        <v>10175.9</v>
      </c>
      <c r="BS127">
        <v>977.72</v>
      </c>
      <c r="BT127">
        <v>-0.89</v>
      </c>
      <c r="BU127">
        <v>300.00000000000011</v>
      </c>
      <c r="BV127">
        <v>24.2</v>
      </c>
      <c r="BW127">
        <v>1048.4961063609769</v>
      </c>
      <c r="BX127">
        <v>2.5008450312763082</v>
      </c>
      <c r="BY127">
        <v>-72.026053198138769</v>
      </c>
      <c r="BZ127">
        <v>2.2669729031710801</v>
      </c>
      <c r="CA127">
        <v>0.97301085419157352</v>
      </c>
      <c r="CB127">
        <v>-6.9367601779755216E-3</v>
      </c>
      <c r="CC127">
        <v>289.99999999999989</v>
      </c>
      <c r="CD127">
        <v>979.5</v>
      </c>
      <c r="CE127">
        <v>655</v>
      </c>
      <c r="CF127">
        <v>10156.299999999999</v>
      </c>
      <c r="CG127">
        <v>977.58</v>
      </c>
      <c r="CH127">
        <v>1.92</v>
      </c>
      <c r="CV127">
        <f t="shared" si="180"/>
        <v>1800</v>
      </c>
      <c r="CW127">
        <f t="shared" si="181"/>
        <v>1513.1843993025204</v>
      </c>
      <c r="CX127">
        <f t="shared" si="182"/>
        <v>0.84065799961251131</v>
      </c>
      <c r="CY127">
        <f t="shared" si="183"/>
        <v>0.19131599922502268</v>
      </c>
      <c r="CZ127">
        <v>6</v>
      </c>
      <c r="DA127">
        <v>0.5</v>
      </c>
      <c r="DB127" t="s">
        <v>418</v>
      </c>
      <c r="DC127">
        <v>2</v>
      </c>
      <c r="DD127">
        <v>1674600618</v>
      </c>
      <c r="DE127">
        <v>1139.69</v>
      </c>
      <c r="DF127">
        <v>1199.9100000000001</v>
      </c>
      <c r="DG127">
        <v>24.838100000000001</v>
      </c>
      <c r="DH127">
        <v>17.787099999999999</v>
      </c>
      <c r="DI127">
        <v>1144.0899999999999</v>
      </c>
      <c r="DJ127">
        <v>24.480399999999999</v>
      </c>
      <c r="DK127">
        <v>500.089</v>
      </c>
      <c r="DL127">
        <v>99.57</v>
      </c>
      <c r="DM127">
        <v>0.100077</v>
      </c>
      <c r="DN127">
        <v>28.012899999999998</v>
      </c>
      <c r="DO127">
        <v>28.314299999999999</v>
      </c>
      <c r="DP127">
        <v>999.9</v>
      </c>
      <c r="DQ127">
        <v>0</v>
      </c>
      <c r="DR127">
        <v>0</v>
      </c>
      <c r="DS127">
        <v>9996.8799999999992</v>
      </c>
      <c r="DT127">
        <v>0</v>
      </c>
      <c r="DU127">
        <v>235.63200000000001</v>
      </c>
      <c r="DV127">
        <v>-60.224600000000002</v>
      </c>
      <c r="DW127">
        <v>1168.72</v>
      </c>
      <c r="DX127">
        <v>1221.6400000000001</v>
      </c>
      <c r="DY127">
        <v>7.0509899999999996</v>
      </c>
      <c r="DZ127">
        <v>1199.9100000000001</v>
      </c>
      <c r="EA127">
        <v>17.787099999999999</v>
      </c>
      <c r="EB127">
        <v>2.4731299999999998</v>
      </c>
      <c r="EC127">
        <v>1.7710699999999999</v>
      </c>
      <c r="ED127">
        <v>20.8508</v>
      </c>
      <c r="EE127">
        <v>15.5337</v>
      </c>
      <c r="EF127">
        <v>1800</v>
      </c>
      <c r="EG127">
        <v>0.97800399999999998</v>
      </c>
      <c r="EH127">
        <v>2.1996499999999999E-2</v>
      </c>
      <c r="EI127">
        <v>0</v>
      </c>
      <c r="EJ127">
        <v>747.298</v>
      </c>
      <c r="EK127">
        <v>5.0010599999999998</v>
      </c>
      <c r="EL127">
        <v>13938.8</v>
      </c>
      <c r="EM127">
        <v>16711.099999999999</v>
      </c>
      <c r="EN127">
        <v>49.125</v>
      </c>
      <c r="EO127">
        <v>50.061999999999998</v>
      </c>
      <c r="EP127">
        <v>50.061999999999998</v>
      </c>
      <c r="EQ127">
        <v>48.875</v>
      </c>
      <c r="ER127">
        <v>49.936999999999998</v>
      </c>
      <c r="ES127">
        <v>1755.52</v>
      </c>
      <c r="ET127">
        <v>39.479999999999997</v>
      </c>
      <c r="EU127">
        <v>0</v>
      </c>
      <c r="EV127">
        <v>111.5999999046326</v>
      </c>
      <c r="EW127">
        <v>0</v>
      </c>
      <c r="EX127">
        <v>747.06057692307695</v>
      </c>
      <c r="EY127">
        <v>2.298632477089221</v>
      </c>
      <c r="EZ127">
        <v>49.08717949015287</v>
      </c>
      <c r="FA127">
        <v>13933.723076923079</v>
      </c>
      <c r="FB127">
        <v>15</v>
      </c>
      <c r="FC127">
        <v>1674600584</v>
      </c>
      <c r="FD127" t="s">
        <v>985</v>
      </c>
      <c r="FE127">
        <v>1674600572.5</v>
      </c>
      <c r="FF127">
        <v>1674600584</v>
      </c>
      <c r="FG127">
        <v>123</v>
      </c>
      <c r="FH127">
        <v>-0.313</v>
      </c>
      <c r="FI127">
        <v>-1E-3</v>
      </c>
      <c r="FJ127">
        <v>-4.45</v>
      </c>
      <c r="FK127">
        <v>3.2000000000000001E-2</v>
      </c>
      <c r="FL127">
        <v>1200</v>
      </c>
      <c r="FM127">
        <v>17</v>
      </c>
      <c r="FN127">
        <v>7.0000000000000007E-2</v>
      </c>
      <c r="FO127">
        <v>0.01</v>
      </c>
      <c r="FP127">
        <v>43.34450570950402</v>
      </c>
      <c r="FQ127">
        <v>-0.24414520349879629</v>
      </c>
      <c r="FR127">
        <v>0.1281962920669627</v>
      </c>
      <c r="FS127">
        <v>1</v>
      </c>
      <c r="FT127">
        <v>0.4635196660937968</v>
      </c>
      <c r="FU127">
        <v>-4.3800179020856138E-2</v>
      </c>
      <c r="FV127">
        <v>4.7194256381254667E-3</v>
      </c>
      <c r="FW127">
        <v>1</v>
      </c>
      <c r="FX127">
        <v>2</v>
      </c>
      <c r="FY127">
        <v>2</v>
      </c>
      <c r="FZ127" t="s">
        <v>420</v>
      </c>
      <c r="GA127">
        <v>2.97742</v>
      </c>
      <c r="GB127">
        <v>2.8063699999999998</v>
      </c>
      <c r="GC127">
        <v>0.201464</v>
      </c>
      <c r="GD127">
        <v>0.20516400000000001</v>
      </c>
      <c r="GE127">
        <v>0.1215</v>
      </c>
      <c r="GF127">
        <v>9.6146800000000004E-2</v>
      </c>
      <c r="GG127">
        <v>23574.400000000001</v>
      </c>
      <c r="GH127">
        <v>21751.5</v>
      </c>
      <c r="GI127">
        <v>26546.5</v>
      </c>
      <c r="GJ127">
        <v>25854.1</v>
      </c>
      <c r="GK127">
        <v>31730.2</v>
      </c>
      <c r="GL127">
        <v>32983.599999999999</v>
      </c>
      <c r="GM127">
        <v>37604.300000000003</v>
      </c>
      <c r="GN127">
        <v>38358.800000000003</v>
      </c>
      <c r="GO127">
        <v>1.96878</v>
      </c>
      <c r="GP127">
        <v>1.90737</v>
      </c>
      <c r="GQ127">
        <v>7.7493500000000007E-2</v>
      </c>
      <c r="GR127">
        <v>0</v>
      </c>
      <c r="GS127">
        <v>27.048400000000001</v>
      </c>
      <c r="GT127">
        <v>999.9</v>
      </c>
      <c r="GU127">
        <v>38.6</v>
      </c>
      <c r="GV127">
        <v>34.5</v>
      </c>
      <c r="GW127">
        <v>21.2988</v>
      </c>
      <c r="GX127">
        <v>62.278700000000001</v>
      </c>
      <c r="GY127">
        <v>11.834899999999999</v>
      </c>
      <c r="GZ127">
        <v>1</v>
      </c>
      <c r="HA127">
        <v>0.44536599999999998</v>
      </c>
      <c r="HB127">
        <v>2.8624800000000001</v>
      </c>
      <c r="HC127">
        <v>20.281400000000001</v>
      </c>
      <c r="HD127">
        <v>5.2062099999999996</v>
      </c>
      <c r="HE127">
        <v>11.9381</v>
      </c>
      <c r="HF127">
        <v>4.9863499999999998</v>
      </c>
      <c r="HG127">
        <v>3.2896800000000002</v>
      </c>
      <c r="HH127">
        <v>9999</v>
      </c>
      <c r="HI127">
        <v>9999</v>
      </c>
      <c r="HJ127">
        <v>9999</v>
      </c>
      <c r="HK127">
        <v>999.9</v>
      </c>
      <c r="HL127">
        <v>1.8699600000000001</v>
      </c>
      <c r="HM127">
        <v>1.87622</v>
      </c>
      <c r="HN127">
        <v>1.8739300000000001</v>
      </c>
      <c r="HO127">
        <v>1.87225</v>
      </c>
      <c r="HP127">
        <v>1.8727100000000001</v>
      </c>
      <c r="HQ127">
        <v>1.87012</v>
      </c>
      <c r="HR127">
        <v>1.8760699999999999</v>
      </c>
      <c r="HS127">
        <v>1.87513</v>
      </c>
      <c r="HT127">
        <v>5</v>
      </c>
      <c r="HU127">
        <v>0</v>
      </c>
      <c r="HV127">
        <v>0</v>
      </c>
      <c r="HW127">
        <v>0</v>
      </c>
      <c r="HX127" t="s">
        <v>421</v>
      </c>
      <c r="HY127" t="s">
        <v>422</v>
      </c>
      <c r="HZ127" t="s">
        <v>423</v>
      </c>
      <c r="IA127" t="s">
        <v>424</v>
      </c>
      <c r="IB127" t="s">
        <v>424</v>
      </c>
      <c r="IC127" t="s">
        <v>423</v>
      </c>
      <c r="ID127">
        <v>0</v>
      </c>
      <c r="IE127">
        <v>100</v>
      </c>
      <c r="IF127">
        <v>100</v>
      </c>
      <c r="IG127">
        <v>-4.4000000000000004</v>
      </c>
      <c r="IH127">
        <v>0.35770000000000002</v>
      </c>
      <c r="II127">
        <v>-2.8723610295486859</v>
      </c>
      <c r="IJ127">
        <v>-2.536945948238235E-3</v>
      </c>
      <c r="IK127">
        <v>1.581473279927893E-6</v>
      </c>
      <c r="IL127">
        <v>-4.6698293441882044E-10</v>
      </c>
      <c r="IM127">
        <v>-0.1517402820369452</v>
      </c>
      <c r="IN127">
        <v>-1.5895243091576399E-2</v>
      </c>
      <c r="IO127">
        <v>1.559614309849521E-3</v>
      </c>
      <c r="IP127">
        <v>-2.4566050869858518E-6</v>
      </c>
      <c r="IQ127">
        <v>2</v>
      </c>
      <c r="IR127">
        <v>2224</v>
      </c>
      <c r="IS127">
        <v>2</v>
      </c>
      <c r="IT127">
        <v>25</v>
      </c>
      <c r="IU127">
        <v>0.8</v>
      </c>
      <c r="IV127">
        <v>0.6</v>
      </c>
      <c r="IW127">
        <v>2.2753899999999998</v>
      </c>
      <c r="IX127">
        <v>2.48291</v>
      </c>
      <c r="IY127">
        <v>1.65039</v>
      </c>
      <c r="IZ127">
        <v>2.2900399999999999</v>
      </c>
      <c r="JA127">
        <v>1.50024</v>
      </c>
      <c r="JB127">
        <v>2.3120099999999999</v>
      </c>
      <c r="JC127">
        <v>37.819499999999998</v>
      </c>
      <c r="JD127">
        <v>16.058299999999999</v>
      </c>
      <c r="JE127">
        <v>18</v>
      </c>
      <c r="JF127">
        <v>506.89499999999998</v>
      </c>
      <c r="JG127">
        <v>460.02199999999999</v>
      </c>
      <c r="JH127">
        <v>24.527799999999999</v>
      </c>
      <c r="JI127">
        <v>32.833599999999997</v>
      </c>
      <c r="JJ127">
        <v>30.0002</v>
      </c>
      <c r="JK127">
        <v>32.861699999999999</v>
      </c>
      <c r="JL127">
        <v>32.842500000000001</v>
      </c>
      <c r="JM127">
        <v>45.558300000000003</v>
      </c>
      <c r="JN127">
        <v>31.469000000000001</v>
      </c>
      <c r="JO127">
        <v>32.540500000000002</v>
      </c>
      <c r="JP127">
        <v>24.520199999999999</v>
      </c>
      <c r="JQ127">
        <v>1200</v>
      </c>
      <c r="JR127">
        <v>17.735700000000001</v>
      </c>
      <c r="JS127">
        <v>99.804299999999998</v>
      </c>
      <c r="JT127">
        <v>98.964299999999994</v>
      </c>
    </row>
    <row r="128" spans="1:280" x14ac:dyDescent="0.25">
      <c r="A128">
        <v>112</v>
      </c>
      <c r="B128">
        <v>1674600727</v>
      </c>
      <c r="C128">
        <v>26592.400000095371</v>
      </c>
      <c r="D128" t="s">
        <v>986</v>
      </c>
      <c r="E128" t="s">
        <v>987</v>
      </c>
      <c r="F128" t="s">
        <v>412</v>
      </c>
      <c r="G128" t="s">
        <v>922</v>
      </c>
      <c r="H128" t="s">
        <v>637</v>
      </c>
      <c r="I128">
        <v>1674600727</v>
      </c>
      <c r="J128">
        <f t="shared" si="138"/>
        <v>5.901851961164154E-3</v>
      </c>
      <c r="K128">
        <f t="shared" si="139"/>
        <v>5.9018519611641542</v>
      </c>
      <c r="L128">
        <f t="shared" si="140"/>
        <v>41.930001157463025</v>
      </c>
      <c r="M128">
        <f t="shared" si="141"/>
        <v>1439.47</v>
      </c>
      <c r="N128">
        <f t="shared" si="142"/>
        <v>1244.2007203538524</v>
      </c>
      <c r="O128">
        <f t="shared" si="143"/>
        <v>124.00791536751923</v>
      </c>
      <c r="P128">
        <f t="shared" si="144"/>
        <v>143.47015800096602</v>
      </c>
      <c r="Q128">
        <f t="shared" si="145"/>
        <v>0.43736289630399933</v>
      </c>
      <c r="R128">
        <f t="shared" si="146"/>
        <v>2.923937393417773</v>
      </c>
      <c r="S128">
        <f t="shared" si="147"/>
        <v>0.40399976634687318</v>
      </c>
      <c r="T128">
        <f t="shared" si="148"/>
        <v>0.25528498338200356</v>
      </c>
      <c r="U128">
        <f t="shared" si="149"/>
        <v>344.38779860511829</v>
      </c>
      <c r="V128">
        <f t="shared" si="150"/>
        <v>28.49809120705142</v>
      </c>
      <c r="W128">
        <f t="shared" si="151"/>
        <v>28.4223</v>
      </c>
      <c r="X128">
        <f t="shared" si="152"/>
        <v>3.8892728504443941</v>
      </c>
      <c r="Y128">
        <f t="shared" si="153"/>
        <v>65.340343900484314</v>
      </c>
      <c r="Z128">
        <f t="shared" si="154"/>
        <v>2.4797781302115598</v>
      </c>
      <c r="AA128">
        <f t="shared" si="155"/>
        <v>3.7951715313717216</v>
      </c>
      <c r="AB128">
        <f t="shared" si="156"/>
        <v>1.4094947202328343</v>
      </c>
      <c r="AC128">
        <f t="shared" si="157"/>
        <v>-260.27167148733918</v>
      </c>
      <c r="AD128">
        <f t="shared" si="158"/>
        <v>-66.332939606857508</v>
      </c>
      <c r="AE128">
        <f t="shared" si="159"/>
        <v>-4.9555170068439987</v>
      </c>
      <c r="AF128">
        <f t="shared" si="160"/>
        <v>12.827670504077616</v>
      </c>
      <c r="AG128">
        <v>0</v>
      </c>
      <c r="AH128">
        <v>0</v>
      </c>
      <c r="AI128">
        <f t="shared" si="161"/>
        <v>1</v>
      </c>
      <c r="AJ128">
        <f t="shared" si="162"/>
        <v>0</v>
      </c>
      <c r="AK128">
        <f t="shared" si="163"/>
        <v>52530.401663288823</v>
      </c>
      <c r="AL128" t="s">
        <v>415</v>
      </c>
      <c r="AM128">
        <v>10424.1</v>
      </c>
      <c r="AN128">
        <v>628.54280000000006</v>
      </c>
      <c r="AO128">
        <v>2663.98</v>
      </c>
      <c r="AP128">
        <f t="shared" si="164"/>
        <v>0.76405873917972356</v>
      </c>
      <c r="AQ128">
        <v>-3.1675626227050531</v>
      </c>
      <c r="AR128" t="s">
        <v>988</v>
      </c>
      <c r="AS128">
        <v>10175.9</v>
      </c>
      <c r="AT128">
        <v>749.36407692307694</v>
      </c>
      <c r="AU128">
        <v>1043.6477669108749</v>
      </c>
      <c r="AV128">
        <f t="shared" si="165"/>
        <v>0.28197606445214496</v>
      </c>
      <c r="AW128">
        <v>0.5</v>
      </c>
      <c r="AX128">
        <f t="shared" si="166"/>
        <v>1513.2683993025589</v>
      </c>
      <c r="AY128">
        <f t="shared" si="167"/>
        <v>41.930001157463025</v>
      </c>
      <c r="AZ128">
        <f t="shared" si="168"/>
        <v>213.3527338475663</v>
      </c>
      <c r="BA128">
        <f t="shared" si="169"/>
        <v>2.9801430995950767E-2</v>
      </c>
      <c r="BB128">
        <f t="shared" si="170"/>
        <v>1.5525661860851734</v>
      </c>
      <c r="BC128">
        <f t="shared" si="171"/>
        <v>460.02793296439501</v>
      </c>
      <c r="BD128" t="s">
        <v>989</v>
      </c>
      <c r="BE128">
        <v>556.32000000000005</v>
      </c>
      <c r="BF128">
        <f t="shared" si="172"/>
        <v>556.32000000000005</v>
      </c>
      <c r="BG128">
        <f t="shared" si="173"/>
        <v>0.46694659094929247</v>
      </c>
      <c r="BH128">
        <f t="shared" si="174"/>
        <v>0.60387219848611284</v>
      </c>
      <c r="BI128">
        <f t="shared" si="175"/>
        <v>0.76878255178213051</v>
      </c>
      <c r="BJ128">
        <f t="shared" si="176"/>
        <v>0.70893801193899508</v>
      </c>
      <c r="BK128">
        <f t="shared" si="177"/>
        <v>0.79606102958574465</v>
      </c>
      <c r="BL128">
        <f t="shared" si="178"/>
        <v>0.44830836145923175</v>
      </c>
      <c r="BM128">
        <f t="shared" si="179"/>
        <v>0.55169163854076819</v>
      </c>
      <c r="BN128">
        <v>20387</v>
      </c>
      <c r="BO128">
        <v>290.00000000000011</v>
      </c>
      <c r="BP128">
        <v>976.93</v>
      </c>
      <c r="BQ128">
        <v>275</v>
      </c>
      <c r="BR128">
        <v>10175.9</v>
      </c>
      <c r="BS128">
        <v>977.11</v>
      </c>
      <c r="BT128">
        <v>-0.18</v>
      </c>
      <c r="BU128">
        <v>300.00000000000011</v>
      </c>
      <c r="BV128">
        <v>24.2</v>
      </c>
      <c r="BW128">
        <v>1043.6477669108749</v>
      </c>
      <c r="BX128">
        <v>2.1216599865035</v>
      </c>
      <c r="BY128">
        <v>-67.712267243070912</v>
      </c>
      <c r="BZ128">
        <v>1.922957288041089</v>
      </c>
      <c r="CA128">
        <v>0.97791667582567798</v>
      </c>
      <c r="CB128">
        <v>-6.9358598442714218E-3</v>
      </c>
      <c r="CC128">
        <v>289.99999999999989</v>
      </c>
      <c r="CD128">
        <v>979.53</v>
      </c>
      <c r="CE128">
        <v>655</v>
      </c>
      <c r="CF128">
        <v>10154.700000000001</v>
      </c>
      <c r="CG128">
        <v>976.97</v>
      </c>
      <c r="CH128">
        <v>2.56</v>
      </c>
      <c r="CV128">
        <f t="shared" si="180"/>
        <v>1800.1</v>
      </c>
      <c r="CW128">
        <f t="shared" si="181"/>
        <v>1513.2683993025589</v>
      </c>
      <c r="CX128">
        <f t="shared" si="182"/>
        <v>0.84065796305902951</v>
      </c>
      <c r="CY128">
        <f t="shared" si="183"/>
        <v>0.19131592611805917</v>
      </c>
      <c r="CZ128">
        <v>6</v>
      </c>
      <c r="DA128">
        <v>0.5</v>
      </c>
      <c r="DB128" t="s">
        <v>418</v>
      </c>
      <c r="DC128">
        <v>2</v>
      </c>
      <c r="DD128">
        <v>1674600727</v>
      </c>
      <c r="DE128">
        <v>1439.47</v>
      </c>
      <c r="DF128">
        <v>1499.97</v>
      </c>
      <c r="DG128">
        <v>24.880199999999999</v>
      </c>
      <c r="DH128">
        <v>17.9754</v>
      </c>
      <c r="DI128">
        <v>1444</v>
      </c>
      <c r="DJ128">
        <v>24.5273</v>
      </c>
      <c r="DK128">
        <v>500.08800000000002</v>
      </c>
      <c r="DL128">
        <v>99.568899999999999</v>
      </c>
      <c r="DM128">
        <v>9.9837800000000004E-2</v>
      </c>
      <c r="DN128">
        <v>28.0015</v>
      </c>
      <c r="DO128">
        <v>28.4223</v>
      </c>
      <c r="DP128">
        <v>999.9</v>
      </c>
      <c r="DQ128">
        <v>0</v>
      </c>
      <c r="DR128">
        <v>0</v>
      </c>
      <c r="DS128">
        <v>10011.200000000001</v>
      </c>
      <c r="DT128">
        <v>0</v>
      </c>
      <c r="DU128">
        <v>236.69900000000001</v>
      </c>
      <c r="DV128">
        <v>-60.4983</v>
      </c>
      <c r="DW128">
        <v>1476.2</v>
      </c>
      <c r="DX128">
        <v>1527.43</v>
      </c>
      <c r="DY128">
        <v>6.9048100000000003</v>
      </c>
      <c r="DZ128">
        <v>1499.97</v>
      </c>
      <c r="EA128">
        <v>17.9754</v>
      </c>
      <c r="EB128">
        <v>2.4773000000000001</v>
      </c>
      <c r="EC128">
        <v>1.78979</v>
      </c>
      <c r="ED128">
        <v>20.8781</v>
      </c>
      <c r="EE128">
        <v>15.697900000000001</v>
      </c>
      <c r="EF128">
        <v>1800.1</v>
      </c>
      <c r="EG128">
        <v>0.97800699999999996</v>
      </c>
      <c r="EH128">
        <v>2.1993100000000002E-2</v>
      </c>
      <c r="EI128">
        <v>0</v>
      </c>
      <c r="EJ128">
        <v>749.86</v>
      </c>
      <c r="EK128">
        <v>5.0010599999999998</v>
      </c>
      <c r="EL128">
        <v>13991.6</v>
      </c>
      <c r="EM128">
        <v>16712.099999999999</v>
      </c>
      <c r="EN128">
        <v>49.311999999999998</v>
      </c>
      <c r="EO128">
        <v>50.311999999999998</v>
      </c>
      <c r="EP128">
        <v>50.311999999999998</v>
      </c>
      <c r="EQ128">
        <v>49.125</v>
      </c>
      <c r="ER128">
        <v>50.125</v>
      </c>
      <c r="ES128">
        <v>1755.62</v>
      </c>
      <c r="ET128">
        <v>39.479999999999997</v>
      </c>
      <c r="EU128">
        <v>0</v>
      </c>
      <c r="EV128">
        <v>107</v>
      </c>
      <c r="EW128">
        <v>0</v>
      </c>
      <c r="EX128">
        <v>749.36407692307694</v>
      </c>
      <c r="EY128">
        <v>3.0841709413462639</v>
      </c>
      <c r="EZ128">
        <v>47.418803295416588</v>
      </c>
      <c r="FA128">
        <v>13985.7</v>
      </c>
      <c r="FB128">
        <v>15</v>
      </c>
      <c r="FC128">
        <v>1674600693.5</v>
      </c>
      <c r="FD128" t="s">
        <v>990</v>
      </c>
      <c r="FE128">
        <v>1674600693.5</v>
      </c>
      <c r="FF128">
        <v>1674600685.5</v>
      </c>
      <c r="FG128">
        <v>124</v>
      </c>
      <c r="FH128">
        <v>0.123</v>
      </c>
      <c r="FI128">
        <v>-7.0000000000000001E-3</v>
      </c>
      <c r="FJ128">
        <v>-4.577</v>
      </c>
      <c r="FK128">
        <v>3.4000000000000002E-2</v>
      </c>
      <c r="FL128">
        <v>1500</v>
      </c>
      <c r="FM128">
        <v>18</v>
      </c>
      <c r="FN128">
        <v>0.03</v>
      </c>
      <c r="FO128">
        <v>0.01</v>
      </c>
      <c r="FP128">
        <v>41.876994567189897</v>
      </c>
      <c r="FQ128">
        <v>-0.40946389387442222</v>
      </c>
      <c r="FR128">
        <v>0.1609598925934595</v>
      </c>
      <c r="FS128">
        <v>1</v>
      </c>
      <c r="FT128">
        <v>0.44445574881165217</v>
      </c>
      <c r="FU128">
        <v>-1.477765648961408E-2</v>
      </c>
      <c r="FV128">
        <v>3.7802967801139451E-3</v>
      </c>
      <c r="FW128">
        <v>1</v>
      </c>
      <c r="FX128">
        <v>2</v>
      </c>
      <c r="FY128">
        <v>2</v>
      </c>
      <c r="FZ128" t="s">
        <v>420</v>
      </c>
      <c r="GA128">
        <v>2.9773399999999999</v>
      </c>
      <c r="GB128">
        <v>2.80626</v>
      </c>
      <c r="GC128">
        <v>0.23269100000000001</v>
      </c>
      <c r="GD128">
        <v>0.23538799999999999</v>
      </c>
      <c r="GE128">
        <v>0.12164700000000001</v>
      </c>
      <c r="GF128">
        <v>9.6851999999999994E-2</v>
      </c>
      <c r="GG128">
        <v>22645.599999999999</v>
      </c>
      <c r="GH128">
        <v>20916.900000000001</v>
      </c>
      <c r="GI128">
        <v>26542.2</v>
      </c>
      <c r="GJ128">
        <v>25848.9</v>
      </c>
      <c r="GK128">
        <v>31720.400000000001</v>
      </c>
      <c r="GL128">
        <v>32951.9</v>
      </c>
      <c r="GM128">
        <v>37598.199999999997</v>
      </c>
      <c r="GN128">
        <v>38351.599999999999</v>
      </c>
      <c r="GO128">
        <v>1.9675800000000001</v>
      </c>
      <c r="GP128">
        <v>1.9067700000000001</v>
      </c>
      <c r="GQ128">
        <v>6.7688499999999999E-2</v>
      </c>
      <c r="GR128">
        <v>0</v>
      </c>
      <c r="GS128">
        <v>27.3169</v>
      </c>
      <c r="GT128">
        <v>999.9</v>
      </c>
      <c r="GU128">
        <v>39</v>
      </c>
      <c r="GV128">
        <v>34.5</v>
      </c>
      <c r="GW128">
        <v>21.5182</v>
      </c>
      <c r="GX128">
        <v>61.968800000000002</v>
      </c>
      <c r="GY128">
        <v>11.963100000000001</v>
      </c>
      <c r="GZ128">
        <v>1</v>
      </c>
      <c r="HA128">
        <v>0.45604699999999998</v>
      </c>
      <c r="HB128">
        <v>3.4852300000000001</v>
      </c>
      <c r="HC128">
        <v>20.270600000000002</v>
      </c>
      <c r="HD128">
        <v>5.2057599999999997</v>
      </c>
      <c r="HE128">
        <v>11.9381</v>
      </c>
      <c r="HF128">
        <v>4.9865000000000004</v>
      </c>
      <c r="HG128">
        <v>3.2896800000000002</v>
      </c>
      <c r="HH128">
        <v>9999</v>
      </c>
      <c r="HI128">
        <v>9999</v>
      </c>
      <c r="HJ128">
        <v>9999</v>
      </c>
      <c r="HK128">
        <v>999.9</v>
      </c>
      <c r="HL128">
        <v>1.8699600000000001</v>
      </c>
      <c r="HM128">
        <v>1.87622</v>
      </c>
      <c r="HN128">
        <v>1.8739300000000001</v>
      </c>
      <c r="HO128">
        <v>1.87225</v>
      </c>
      <c r="HP128">
        <v>1.8727100000000001</v>
      </c>
      <c r="HQ128">
        <v>1.87012</v>
      </c>
      <c r="HR128">
        <v>1.8760699999999999</v>
      </c>
      <c r="HS128">
        <v>1.87514</v>
      </c>
      <c r="HT128">
        <v>5</v>
      </c>
      <c r="HU128">
        <v>0</v>
      </c>
      <c r="HV128">
        <v>0</v>
      </c>
      <c r="HW128">
        <v>0</v>
      </c>
      <c r="HX128" t="s">
        <v>421</v>
      </c>
      <c r="HY128" t="s">
        <v>422</v>
      </c>
      <c r="HZ128" t="s">
        <v>423</v>
      </c>
      <c r="IA128" t="s">
        <v>424</v>
      </c>
      <c r="IB128" t="s">
        <v>424</v>
      </c>
      <c r="IC128" t="s">
        <v>423</v>
      </c>
      <c r="ID128">
        <v>0</v>
      </c>
      <c r="IE128">
        <v>100</v>
      </c>
      <c r="IF128">
        <v>100</v>
      </c>
      <c r="IG128">
        <v>-4.53</v>
      </c>
      <c r="IH128">
        <v>0.35289999999999999</v>
      </c>
      <c r="II128">
        <v>-2.7491406354140451</v>
      </c>
      <c r="IJ128">
        <v>-2.536945948238235E-3</v>
      </c>
      <c r="IK128">
        <v>1.581473279927893E-6</v>
      </c>
      <c r="IL128">
        <v>-4.6698293441882044E-10</v>
      </c>
      <c r="IM128">
        <v>-0.15919645420162951</v>
      </c>
      <c r="IN128">
        <v>-1.5895243091576399E-2</v>
      </c>
      <c r="IO128">
        <v>1.559614309849521E-3</v>
      </c>
      <c r="IP128">
        <v>-2.4566050869858518E-6</v>
      </c>
      <c r="IQ128">
        <v>2</v>
      </c>
      <c r="IR128">
        <v>2224</v>
      </c>
      <c r="IS128">
        <v>2</v>
      </c>
      <c r="IT128">
        <v>25</v>
      </c>
      <c r="IU128">
        <v>0.6</v>
      </c>
      <c r="IV128">
        <v>0.7</v>
      </c>
      <c r="IW128">
        <v>2.7343799999999998</v>
      </c>
      <c r="IX128">
        <v>2.4841299999999999</v>
      </c>
      <c r="IY128">
        <v>1.65039</v>
      </c>
      <c r="IZ128">
        <v>2.2900399999999999</v>
      </c>
      <c r="JA128">
        <v>1.50024</v>
      </c>
      <c r="JB128">
        <v>2.2705099999999998</v>
      </c>
      <c r="JC128">
        <v>37.843699999999998</v>
      </c>
      <c r="JD128">
        <v>16.0321</v>
      </c>
      <c r="JE128">
        <v>18</v>
      </c>
      <c r="JF128">
        <v>506.52499999999998</v>
      </c>
      <c r="JG128">
        <v>459.98399999999998</v>
      </c>
      <c r="JH128">
        <v>24.0656</v>
      </c>
      <c r="JI128">
        <v>32.9193</v>
      </c>
      <c r="JJ128">
        <v>30.000499999999999</v>
      </c>
      <c r="JK128">
        <v>32.913800000000002</v>
      </c>
      <c r="JL128">
        <v>32.889200000000002</v>
      </c>
      <c r="JM128">
        <v>54.729900000000001</v>
      </c>
      <c r="JN128">
        <v>31.709499999999998</v>
      </c>
      <c r="JO128">
        <v>33.191899999999997</v>
      </c>
      <c r="JP128">
        <v>24.064399999999999</v>
      </c>
      <c r="JQ128">
        <v>1500</v>
      </c>
      <c r="JR128">
        <v>17.959900000000001</v>
      </c>
      <c r="JS128">
        <v>99.788200000000003</v>
      </c>
      <c r="JT128">
        <v>98.945300000000003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2023-01-24T22:53:44Z</dcterms:created>
  <dcterms:modified xsi:type="dcterms:W3CDTF">2023-01-24T23:48:37Z</dcterms:modified>
</cp:coreProperties>
</file>