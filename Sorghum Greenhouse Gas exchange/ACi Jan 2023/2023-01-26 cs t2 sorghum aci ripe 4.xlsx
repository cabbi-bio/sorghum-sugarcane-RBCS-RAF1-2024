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ACi 28C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30" i="1" l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<sst xmlns="http://schemas.openxmlformats.org/spreadsheetml/2006/main" count="1076" uniqueCount="490">
  <si>
    <t>File opened</t>
  </si>
  <si>
    <t>2023-01-26 12:21:07</t>
  </si>
  <si>
    <t>Console s/n</t>
  </si>
  <si>
    <t>68C-831540</t>
  </si>
  <si>
    <t>Console ver</t>
  </si>
  <si>
    <t>Bluestem v.2.1.08</t>
  </si>
  <si>
    <t>Scripts ver</t>
  </si>
  <si>
    <t>2022.05  2.1.08, Aug 2022</t>
  </si>
  <si>
    <t>Head s/n</t>
  </si>
  <si>
    <t>68H-891540</t>
  </si>
  <si>
    <t>Head ver</t>
  </si>
  <si>
    <t>1.4.22</t>
  </si>
  <si>
    <t>Head cal</t>
  </si>
  <si>
    <t>{"oxygen": "21", "co2azero": "0.905808", "co2aspan1": "0.998494", "co2aspan2": "-0.0249079", "co2aspan2a": "0.287451", "co2aspan2b": "0.28496", "co2aspanconc1": "2490", "co2aspanconc2": "303.6", "co2bzero": "0.909913", "co2bspan1": "0.99808", "co2bspan2": "-0.0242159", "co2bspan2a": "0.290845", "co2bspan2b": "0.288238", "co2bspanconc1": "2490", "co2bspanconc2": "303.6", "h2oazero": "1.09429", "h2oaspan1": "1.00722", "h2oaspan2": "0", "h2oaspan2a": "0.0713796", "h2oaspan2b": "0.0718949", "h2oaspanconc1": "12.71", "h2oaspanconc2": "0", "h2obzero": "1.10648", "h2obspan1": "0.994645", "h2obspan2": "0", "h2obspan2a": "0.0725303", "h2obspan2b": "0.0721418", "h2obspanconc1": "12.71", "h2obspanconc2": "0", "tazero": "0.00155258", "tbzero": "0.0849667", "flowmeterzero": "1.00324", "flowazero": "0.256", "flowbzero": "0.32457", "chamberpressurezero": "2.59653", "ssa_ref": "35718.6", "ssb_ref": "36468.4"}</t>
  </si>
  <si>
    <t>CO2 rangematch</t>
  </si>
  <si>
    <t>Thu Dec 15 10:48</t>
  </si>
  <si>
    <t>H2O rangematch</t>
  </si>
  <si>
    <t>Thu Dec 15 09:14</t>
  </si>
  <si>
    <t>Chamber type</t>
  </si>
  <si>
    <t>6800-01A</t>
  </si>
  <si>
    <t>Chamber s/n</t>
  </si>
  <si>
    <t>MPF-651415</t>
  </si>
  <si>
    <t>Chamber rev</t>
  </si>
  <si>
    <t>0</t>
  </si>
  <si>
    <t>Chamber cal</t>
  </si>
  <si>
    <t>Fluorometer</t>
  </si>
  <si>
    <t>Flr. Version</t>
  </si>
  <si>
    <t>12:21:07</t>
  </si>
  <si>
    <t>Stability Definition:	A (GasEx): Slp&lt;0.7 Std&lt;0.2 Per=20	gsw (GasEx): Slp&lt;0.05 Std&lt;0.05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</si>
  <si>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</si>
  <si>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</si>
  <si>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</si>
  <si>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</si>
  <si>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</si>
  <si>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</si>
  <si>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</si>
  <si>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</si>
  <si>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</si>
  <si>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</si>
  <si>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</si>
  <si>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</si>
  <si>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</si>
  <si>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</si>
  <si>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</si>
  <si>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</si>
  <si>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</si>
  <si>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</si>
  <si>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</si>
  <si>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</si>
  <si>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</si>
  <si>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</si>
  <si>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</si>
  <si>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</si>
  <si>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</si>
  <si>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</si>
  <si>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</si>
  <si>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</si>
  <si>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</si>
  <si>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</si>
  <si>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</si>
  <si>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</si>
  <si>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</si>
  <si>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</si>
  <si>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</si>
  <si>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</si>
  <si>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</si>
  <si>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</si>
  <si>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</si>
  <si>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</si>
  <si>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</si>
  <si>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</si>
  <si>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</si>
  <si>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</si>
  <si>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</si>
  <si>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</si>
  <si>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</si>
  <si>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</si>
  <si>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</si>
  <si>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</si>
  <si>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</si>
  <si>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</si>
  <si>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5.76132 64.6437 385.931 668.72 932.484 1182.2 1352.76 1602.54</t>
  </si>
  <si>
    <t>Fs_true</t>
  </si>
  <si>
    <t>0.0660037 100.159 403.294 601.563 800.998 1002.36 1200.46 1401.66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</si>
  <si>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</si>
  <si>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</si>
  <si>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</si>
  <si>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</si>
  <si>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</si>
  <si>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</si>
  <si>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</si>
  <si>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</si>
  <si>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</si>
  <si>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</si>
  <si>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</si>
  <si>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</si>
  <si>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</si>
  <si>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</si>
  <si>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</si>
  <si>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</si>
  <si>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</si>
  <si>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</si>
  <si>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</si>
  <si>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</si>
  <si>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</si>
  <si>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</si>
  <si>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</si>
  <si>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</si>
  <si>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</si>
  <si>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</si>
  <si>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</si>
  <si>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</si>
  <si>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</si>
  <si>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</si>
  <si>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</si>
  <si>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</si>
  <si>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</si>
  <si>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</si>
  <si>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</si>
  <si>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</si>
  <si>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</si>
  <si>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</si>
  <si>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</si>
  <si>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</si>
  <si>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</si>
  <si>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</si>
  <si>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</si>
  <si>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</si>
  <si>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</si>
  <si>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</si>
  <si>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</si>
  <si>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</si>
  <si>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</si>
  <si>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</si>
  <si>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</si>
  <si>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</si>
  <si>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</si>
  <si>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</si>
  <si>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</si>
  <si>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</si>
  <si>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</si>
  <si>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</si>
  <si>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</si>
  <si>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</si>
  <si>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</si>
  <si>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</si>
  <si>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</si>
  <si>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</si>
  <si>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</si>
  <si>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</si>
  <si>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</si>
  <si>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</si>
  <si>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</si>
  <si>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</si>
  <si>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</si>
  <si>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</si>
  <si>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</si>
  <si>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</si>
  <si>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</si>
  <si>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</si>
  <si>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</si>
  <si>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</si>
  <si>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</si>
  <si>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</si>
  <si>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</si>
  <si>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</si>
  <si>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</si>
  <si>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</si>
  <si>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</si>
  <si>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</si>
  <si>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</si>
  <si>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</si>
  <si>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</si>
  <si>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</si>
  <si>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</si>
  <si>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</si>
  <si>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</si>
  <si>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</si>
  <si>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</si>
  <si>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</si>
  <si>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</si>
  <si>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</si>
  <si>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</si>
  <si>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</si>
  <si>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</si>
  <si>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</si>
  <si>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</si>
  <si>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</si>
  <si>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</si>
  <si>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</si>
  <si>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</si>
  <si>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</si>
  <si>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</si>
  <si>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</si>
  <si>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</si>
  <si>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</si>
  <si>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</si>
  <si>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</si>
  <si>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</si>
  <si>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</si>
  <si>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</si>
  <si>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</si>
  <si>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</si>
  <si>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</si>
  <si>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</si>
  <si>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</si>
  <si>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</si>
  <si>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</si>
  <si>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</si>
  <si>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</si>
  <si>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</si>
  <si>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</si>
  <si>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</si>
  <si>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</si>
  <si>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</si>
  <si>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</si>
  <si>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</si>
  <si>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</si>
  <si>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</si>
  <si>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</si>
  <si>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</si>
  <si>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</si>
  <si>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</si>
  <si>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</si>
  <si>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</si>
  <si>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</si>
  <si>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</si>
  <si>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</si>
  <si>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</si>
  <si>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</si>
  <si>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</si>
  <si>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</si>
  <si>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</si>
  <si>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</si>
  <si>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</si>
  <si>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</si>
  <si>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</si>
  <si>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</si>
  <si>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</si>
  <si>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</si>
  <si>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</si>
  <si>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</si>
  <si>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</si>
  <si>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</si>
  <si>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</si>
  <si>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</si>
  <si>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</si>
  <si>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</si>
  <si>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</si>
  <si>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</si>
  <si>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</si>
  <si>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</si>
  <si>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</si>
  <si>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</si>
  <si>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</si>
  <si>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</si>
  <si>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</si>
  <si>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</si>
  <si>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</si>
  <si>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</si>
  <si>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</si>
  <si>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</si>
  <si>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</si>
  <si>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</si>
  <si>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</si>
  <si>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</si>
  <si>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</si>
  <si>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</si>
  <si>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</si>
  <si>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</si>
  <si>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</si>
  <si>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</si>
  <si>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</si>
  <si>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</si>
  <si>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</si>
  <si>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</si>
  <si>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</si>
  <si>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</si>
  <si>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</si>
  <si>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</si>
  <si>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</si>
  <si>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</si>
  <si>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</si>
  <si>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</si>
  <si>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</si>
  <si>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</si>
  <si>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</si>
  <si>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</si>
  <si>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</si>
  <si>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</si>
  <si>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</si>
  <si>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</si>
  <si>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</si>
  <si>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</si>
  <si>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</si>
  <si>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</si>
  <si>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</si>
  <si>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</si>
  <si>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</si>
  <si>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</si>
  <si>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</si>
  <si>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</si>
  <si>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</si>
  <si>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</si>
  <si>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</si>
  <si>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</si>
  <si>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</si>
  <si>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</si>
  <si>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</si>
  <si>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</si>
  <si>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</si>
  <si>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</si>
  <si>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</si>
  <si>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</si>
  <si>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</si>
  <si>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</si>
  <si>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</si>
  <si>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</si>
  <si>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</si>
  <si>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</si>
  <si>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</si>
  <si>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</si>
  <si>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</si>
  <si>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</si>
  <si>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</si>
  <si>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</si>
  <si>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</si>
  <si>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</si>
  <si>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</si>
  <si>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</si>
  <si>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</si>
  <si>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</si>
  <si>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</si>
  <si>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</si>
  <si>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</si>
  <si>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</si>
  <si>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</si>
  <si>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</si>
  <si>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</si>
  <si>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</si>
  <si>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</si>
  <si>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</si>
  <si>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</si>
  <si>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</si>
  <si>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</si>
  <si>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</si>
  <si>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</si>
  <si>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</si>
  <si>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</si>
  <si>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</si>
  <si>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</si>
  <si>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</si>
  <si>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</si>
  <si>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</si>
  <si>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</si>
  <si>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</si>
  <si>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</si>
  <si>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</si>
  <si>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</si>
  <si>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</si>
  <si>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</si>
  <si>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</si>
  <si>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</si>
  <si>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</si>
  <si>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</si>
  <si>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</si>
  <si>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</si>
  <si>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</si>
  <si>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</si>
  <si>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</si>
  <si>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</si>
  <si>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</si>
  <si>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</si>
  <si>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</si>
  <si>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</si>
  <si>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</si>
  <si>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</si>
  <si>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</si>
  <si>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</si>
  <si>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</si>
  <si>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</si>
  <si>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</si>
  <si>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</si>
  <si>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</si>
  <si>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</si>
  <si>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</si>
  <si>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</si>
  <si>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</si>
  <si>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</si>
  <si>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</si>
  <si>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</si>
  <si>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</si>
  <si>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</si>
  <si>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</si>
  <si>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</si>
  <si>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</si>
  <si>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</si>
  <si>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</si>
  <si>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</si>
  <si>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</si>
  <si>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</si>
  <si>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</si>
  <si>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</si>
  <si>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</si>
  <si>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</si>
  <si>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</si>
  <si>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</si>
  <si>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</si>
  <si>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</si>
  <si>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</si>
  <si>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20211216 12:48:02</t>
  </si>
  <si>
    <t>12:48:02</t>
  </si>
  <si>
    <t>none</t>
  </si>
  <si>
    <t>9</t>
  </si>
  <si>
    <t>zg5b</t>
  </si>
  <si>
    <t>RECT-4870-20220929-11_57_27</t>
  </si>
  <si>
    <t>MPF-5096-20230126-13_18_55</t>
  </si>
  <si>
    <t>DARK-5097-20230126-13_19_03</t>
  </si>
  <si>
    <t>0: Broadleaf</t>
  </si>
  <si>
    <t>12:47:21</t>
  </si>
  <si>
    <t>2/2</t>
  </si>
  <si>
    <t>00000000</t>
  </si>
  <si>
    <t>iiiiiiii</t>
  </si>
  <si>
    <t>off</t>
  </si>
  <si>
    <t>20211216 12:50:07</t>
  </si>
  <si>
    <t>12:50:07</t>
  </si>
  <si>
    <t>MPF-5098-20230126-13_21_00</t>
  </si>
  <si>
    <t>DARK-5099-20230126-13_21_07</t>
  </si>
  <si>
    <t>12:49:24</t>
  </si>
  <si>
    <t>20211216 12:52:11</t>
  </si>
  <si>
    <t>12:52:11</t>
  </si>
  <si>
    <t>MPF-5100-20230126-13_23_04</t>
  </si>
  <si>
    <t>DARK-5101-20230126-13_23_11</t>
  </si>
  <si>
    <t>12:51:28</t>
  </si>
  <si>
    <t>20211216 12:54:21</t>
  </si>
  <si>
    <t>12:54:21</t>
  </si>
  <si>
    <t>MPF-5102-20230126-13_25_14</t>
  </si>
  <si>
    <t>DARK-5103-20230126-13_25_21</t>
  </si>
  <si>
    <t>12:53:38</t>
  </si>
  <si>
    <t>20211216 12:56:21</t>
  </si>
  <si>
    <t>12:56:21</t>
  </si>
  <si>
    <t>MPF-5104-20230126-13_27_14</t>
  </si>
  <si>
    <t>DARK-5105-20230126-13_27_21</t>
  </si>
  <si>
    <t>12:55:40</t>
  </si>
  <si>
    <t>20211216 12:58:26</t>
  </si>
  <si>
    <t>12:58:26</t>
  </si>
  <si>
    <t>MPF-5106-20230126-13_29_19</t>
  </si>
  <si>
    <t>DARK-5107-20230126-13_29_26</t>
  </si>
  <si>
    <t>12:57:47</t>
  </si>
  <si>
    <t>20211216 13:00:40</t>
  </si>
  <si>
    <t>13:00:40</t>
  </si>
  <si>
    <t>MPF-5108-20230126-13_31_33</t>
  </si>
  <si>
    <t>DARK-5109-20230126-13_31_40</t>
  </si>
  <si>
    <t>13:00:01</t>
  </si>
  <si>
    <t>20211216 13:03:49</t>
  </si>
  <si>
    <t>13:03:49</t>
  </si>
  <si>
    <t>MPF-5110-20230126-13_34_42</t>
  </si>
  <si>
    <t>DARK-5111-20230126-13_34_50</t>
  </si>
  <si>
    <t>13:02:14</t>
  </si>
  <si>
    <t>1/2</t>
  </si>
  <si>
    <t>20211216 13:06:57</t>
  </si>
  <si>
    <t>13:06:57</t>
  </si>
  <si>
    <t>MPF-5112-20230126-13_37_51</t>
  </si>
  <si>
    <t>DARK-5113-20230126-13_37_58</t>
  </si>
  <si>
    <t>13:05:33</t>
  </si>
  <si>
    <t>20211216 13:09:16</t>
  </si>
  <si>
    <t>13:09:16</t>
  </si>
  <si>
    <t>MPF-5114-20230126-13_40_10</t>
  </si>
  <si>
    <t>DARK-5115-20230126-13_40_17</t>
  </si>
  <si>
    <t>13:08:34</t>
  </si>
  <si>
    <t>20211216 13:11:39</t>
  </si>
  <si>
    <t>13:11:39</t>
  </si>
  <si>
    <t>MPF-5116-20230126-13_42_32</t>
  </si>
  <si>
    <t>DARK-5117-20230126-13_42_39</t>
  </si>
  <si>
    <t>13:10:55</t>
  </si>
  <si>
    <t>20211216 13:13:39</t>
  </si>
  <si>
    <t>13:13:39</t>
  </si>
  <si>
    <t>MPF-5118-20230126-13_44_32</t>
  </si>
  <si>
    <t>DARK-5119-20230126-13_44_39</t>
  </si>
  <si>
    <t>13:12:57</t>
  </si>
  <si>
    <t>20211216 13:15:44</t>
  </si>
  <si>
    <t>13:15:44</t>
  </si>
  <si>
    <t>MPF-5120-20230126-13_46_37</t>
  </si>
  <si>
    <t>DARK-5121-20230126-13_46_44</t>
  </si>
  <si>
    <t>13:15:02</t>
  </si>
  <si>
    <t>20211216 13:17:45</t>
  </si>
  <si>
    <t>13:17:45</t>
  </si>
  <si>
    <t>MPF-5122-20230126-13_48_39</t>
  </si>
  <si>
    <t>DARK-5123-20230126-13_48_46</t>
  </si>
  <si>
    <t>13:17:03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</si>
</sst>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30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1639680482.5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1639680482.5</v>
      </c>
      <c r="J17">
        <f t="shared" ref="J17:J30" si="0">(K17)/1000</f>
        <v>6.5094466043636228E-3</v>
      </c>
      <c r="K17">
        <f t="shared" ref="K17:K30" si="1">1000*DK17*AI17*(DG17-DH17)/(100*CZ17*(1000-AI17*DG17))</f>
        <v>6.5094466043636228</v>
      </c>
      <c r="L17">
        <f t="shared" ref="L17:L30" si="2">DK17*AI17*(DF17-DE17*(1000-AI17*DH17)/(1000-AI17*DG17))/(100*CZ17)</f>
        <v>51.710293449410969</v>
      </c>
      <c r="M17">
        <f t="shared" ref="M17:M30" si="3">DE17 - IF(AI17&gt;1, L17*CZ17*100/(AK17*DS17), 0)</f>
        <v>335.41899999999998</v>
      </c>
      <c r="N17">
        <f t="shared" ref="N17:N30" si="4">((T17-J17/2)*M17-L17)/(T17+J17/2)</f>
        <v>168.0961372106579</v>
      </c>
      <c r="O17">
        <f t="shared" ref="O17:O30" si="5">N17*(DL17+DM17)/1000</f>
        <v>16.660391586237285</v>
      </c>
      <c r="P17">
        <f t="shared" ref="P17:P30" si="6">(DE17 - IF(AI17&gt;1, L17*CZ17*100/(AK17*DS17), 0))*(DL17+DM17)/1000</f>
        <v>33.244142180738997</v>
      </c>
      <c r="Q17">
        <f t="shared" ref="Q17:Q30" si="7">2/((1/S17-1/R17)+SIGN(S17)*SQRT((1/S17-1/R17)*(1/S17-1/R17) + 4*DA17/((DA17+1)*(DA17+1))*(2*1/S17*1/R17-1/R17*1/R17)))</f>
        <v>0.55618262896279003</v>
      </c>
      <c r="R17">
        <f t="shared" ref="R17:R3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2.9117259519588288</v>
      </c>
      <c r="S17">
        <f t="shared" ref="S17:S30" si="9">J17*(1000-(1000*0.61365*EXP(17.502*W17/(240.97+W17))/(DL17+DM17)+DG17)/2)/(1000*0.61365*EXP(17.502*W17/(240.97+W17))/(DL17+DM17)-DG17)</f>
        <v>0.50320113348224227</v>
      </c>
      <c r="T17">
        <f t="shared" ref="T17:T30" si="10">1/((DA17+1)/(Q17/1.6)+1/(R17/1.37)) + DA17/((DA17+1)/(Q17/1.6) + DA17/(R17/1.37))</f>
        <v>0.31883924892354837</v>
      </c>
      <c r="U17">
        <f t="shared" ref="U17:U30" si="11">(CV17*CY17)</f>
        <v>289.56704984752997</v>
      </c>
      <c r="V17">
        <f t="shared" ref="V17:V30" si="12">(DN17+(U17+2*0.95*0.0000000567*(((DN17+$B$7)+273)^4-(DN17+273)^4)-44100*J17)/(1.84*29.3*R17+8*0.95*0.0000000567*(DN17+273)^3))</f>
        <v>28.01531938761298</v>
      </c>
      <c r="W17">
        <f t="shared" ref="W17:W30" si="13">($C$7*DO17+$D$7*DP17+$E$7*V17)</f>
        <v>27.687899999999999</v>
      </c>
      <c r="X17">
        <f t="shared" ref="X17:X30" si="14">0.61365*EXP(17.502*W17/(240.97+W17))</f>
        <v>3.7263405646206222</v>
      </c>
      <c r="Y17">
        <f t="shared" ref="Y17:Y30" si="15">(Z17/AA17*100)</f>
        <v>65.465629006711794</v>
      </c>
      <c r="Z17">
        <f t="shared" ref="Z17:Z30" si="16">DG17*(DL17+DM17)/1000</f>
        <v>2.4843880804584004</v>
      </c>
      <c r="AA17">
        <f t="shared" ref="AA17:AA30" si="17">0.61365*EXP(17.502*DN17/(240.97+DN17))</f>
        <v>3.7949502939988413</v>
      </c>
      <c r="AB17">
        <f t="shared" ref="AB17:AB30" si="18">(X17-DG17*(DL17+DM17)/1000)</f>
        <v>1.2419524841622218</v>
      </c>
      <c r="AC17">
        <f t="shared" ref="AC17:AC30" si="19">(-J17*44100)</f>
        <v>-287.06659525243577</v>
      </c>
      <c r="AD17">
        <f t="shared" ref="AD17:AD30" si="20">2*29.3*R17*0.92*(DN17-W17)</f>
        <v>49.071000672578535</v>
      </c>
      <c r="AE17">
        <f t="shared" ref="AE17:AE30" si="21">2*0.95*0.0000000567*(((DN17+$B$7)+273)^4-(W17+273)^4)</f>
        <v>3.6678424404856309</v>
      </c>
      <c r="AF17">
        <f t="shared" ref="AF17:AF30" si="22">U17+AE17+AC17+AD17</f>
        <v>55.239297708158361</v>
      </c>
      <c r="AG17">
        <v>0</v>
      </c>
      <c r="AH17">
        <v>0</v>
      </c>
      <c r="AI17">
        <f t="shared" ref="AI17:AI30" si="23">IF(AG17*$H$13&gt;=AK17,1,(AK17/(AK17-AG17*$H$13)))</f>
        <v>1</v>
      </c>
      <c r="AJ17">
        <f t="shared" ref="AJ17:AJ30" si="24">(AI17-1)*100</f>
        <v>0</v>
      </c>
      <c r="AK17">
        <f t="shared" ref="AK17:AK30" si="25">MAX(0,($B$13+$C$13*DS17)/(1+$D$13*DS17)*DL17/(DN17+273)*$E$13)</f>
        <v>52168.315176843484</v>
      </c>
      <c r="AL17" t="s">
        <v>415</v>
      </c>
      <c r="AM17">
        <v>10204.299999999999</v>
      </c>
      <c r="AN17">
        <v>862.72538461538477</v>
      </c>
      <c r="AO17">
        <v>3252.56</v>
      </c>
      <c r="AP17">
        <f t="shared" ref="AP17:AP30" si="26">1-AN17/AO17</f>
        <v>0.73475496697512588</v>
      </c>
      <c r="AQ17">
        <v>-6.6684750346205304</v>
      </c>
      <c r="AR17" t="s">
        <v>416</v>
      </c>
      <c r="AS17">
        <v>10075.6</v>
      </c>
      <c r="AT17">
        <v>777.76873076923084</v>
      </c>
      <c r="AU17">
        <v>1211.6903055017669</v>
      </c>
      <c r="AV17">
        <f t="shared" ref="AV17:AV30" si="27">1-AT17/AU17</f>
        <v>0.35811260745611651</v>
      </c>
      <c r="AW17">
        <v>0.5</v>
      </c>
      <c r="AX17">
        <f t="shared" ref="AX17:AX30" si="28">CW17</f>
        <v>1513.1849999209999</v>
      </c>
      <c r="AY17">
        <f t="shared" ref="AY17:AY30" si="29">L17</f>
        <v>51.710293449410969</v>
      </c>
      <c r="AZ17">
        <f t="shared" ref="AZ17:AZ30" si="30">AV17*AW17*AX17</f>
        <v>270.94531294259633</v>
      </c>
      <c r="BA17">
        <f t="shared" ref="BA17:BA30" si="31">(AY17-AQ17)/AX17</f>
        <v>3.8580060261685999E-2</v>
      </c>
      <c r="BB17">
        <f t="shared" ref="BB17:BB30" si="32">(AO17-AU17)/AU17</f>
        <v>1.6843162689604079</v>
      </c>
      <c r="BC17">
        <f t="shared" ref="BC17:BC30" si="33">AN17/(AP17+AN17/AU17)</f>
        <v>596.31691309101018</v>
      </c>
      <c r="BD17" t="s">
        <v>417</v>
      </c>
      <c r="BE17">
        <v>575.05999999999995</v>
      </c>
      <c r="BF17">
        <f t="shared" ref="BF17:BF30" si="34">IF(BE17&lt;&gt;0, BE17, BC17)</f>
        <v>575.05999999999995</v>
      </c>
      <c r="BG17">
        <f t="shared" ref="BG17:BG30" si="35">1-BF17/AU17</f>
        <v>0.52540678307906008</v>
      </c>
      <c r="BH17">
        <f t="shared" ref="BH17:BH30" si="36">(AU17-AT17)/(AU17-BF17)</f>
        <v>0.68159113850311626</v>
      </c>
      <c r="BI17">
        <f t="shared" ref="BI17:BI30" si="37">(AO17-AU17)/(AO17-BF17)</f>
        <v>0.76222957777711786</v>
      </c>
      <c r="BJ17">
        <f t="shared" ref="BJ17:BJ30" si="38">(AU17-AT17)/(AU17-AN17)</f>
        <v>1.2434532778548666</v>
      </c>
      <c r="BK17">
        <f t="shared" ref="BK17:BK30" si="39">(AO17-AU17)/(AO17-AN17)</f>
        <v>0.85397946843688999</v>
      </c>
      <c r="BL17">
        <f t="shared" ref="BL17:BL30" si="40">(BH17*BF17/AT17)</f>
        <v>0.50394903343561892</v>
      </c>
      <c r="BM17">
        <f t="shared" ref="BM17:BM30" si="41">(1-BL17)</f>
        <v>0.49605096656438108</v>
      </c>
      <c r="BN17">
        <v>5096</v>
      </c>
      <c r="BO17">
        <v>290.00000000000011</v>
      </c>
      <c r="BP17">
        <v>1091.76</v>
      </c>
      <c r="BQ17">
        <v>155</v>
      </c>
      <c r="BR17">
        <v>10075.6</v>
      </c>
      <c r="BS17">
        <v>1087.8599999999999</v>
      </c>
      <c r="BT17">
        <v>3.9</v>
      </c>
      <c r="BU17">
        <v>300.00000000000011</v>
      </c>
      <c r="BV17">
        <v>24.1</v>
      </c>
      <c r="BW17">
        <v>1211.6903055017669</v>
      </c>
      <c r="BX17">
        <v>2.0618376747187561</v>
      </c>
      <c r="BY17">
        <v>-124.7643798646033</v>
      </c>
      <c r="BZ17">
        <v>1.8496426796286061</v>
      </c>
      <c r="CA17">
        <v>0.99388371019351751</v>
      </c>
      <c r="CB17">
        <v>-6.8600224694104588E-3</v>
      </c>
      <c r="CC17">
        <v>289.99999999999989</v>
      </c>
      <c r="CD17">
        <v>1083.4000000000001</v>
      </c>
      <c r="CE17">
        <v>685</v>
      </c>
      <c r="CF17">
        <v>10055.6</v>
      </c>
      <c r="CG17">
        <v>1087.6199999999999</v>
      </c>
      <c r="CH17">
        <v>-4.22</v>
      </c>
      <c r="CV17">
        <f t="shared" ref="CV17:CV30" si="42">$B$11*DT17+$C$11*DU17+$F$11*EF17*(1-EI17)</f>
        <v>1800</v>
      </c>
      <c r="CW17">
        <f t="shared" ref="CW17:CW30" si="43">CV17*CX17</f>
        <v>1513.1849999209999</v>
      </c>
      <c r="CX17">
        <f t="shared" ref="CX17:CX30" si="44">($B$11*$D$9+$C$11*$D$9+$F$11*((ES17+EK17)/MAX(ES17+EK17+ET17, 0.1)*$I$9+ET17/MAX(ES17+EK17+ET17, 0.1)*$J$9))/($B$11+$C$11+$F$11)</f>
        <v>0.84065833328944439</v>
      </c>
      <c r="CY17">
        <f t="shared" ref="CY17:CY30" si="45">($B$11*$K$9+$C$11*$K$9+$F$11*((ES17+EK17)/MAX(ES17+EK17+ET17, 0.1)*$P$9+ET17/MAX(ES17+EK17+ET17, 0.1)*$Q$9))/($B$11+$C$11+$F$11)</f>
        <v>0.16087058324862777</v>
      </c>
      <c r="CZ17">
        <v>6</v>
      </c>
      <c r="DA17">
        <v>0.5</v>
      </c>
      <c r="DB17" t="s">
        <v>418</v>
      </c>
      <c r="DC17">
        <v>2</v>
      </c>
      <c r="DD17">
        <v>1639680482.5</v>
      </c>
      <c r="DE17">
        <v>335.41899999999998</v>
      </c>
      <c r="DF17">
        <v>400.07499999999999</v>
      </c>
      <c r="DG17">
        <v>25.066400000000002</v>
      </c>
      <c r="DH17">
        <v>17.4528</v>
      </c>
      <c r="DI17">
        <v>336.50900000000001</v>
      </c>
      <c r="DJ17">
        <v>25.031099999999999</v>
      </c>
      <c r="DK17">
        <v>500.12700000000001</v>
      </c>
      <c r="DL17">
        <v>99.012200000000007</v>
      </c>
      <c r="DM17">
        <v>0.100081</v>
      </c>
      <c r="DN17">
        <v>28.000499999999999</v>
      </c>
      <c r="DO17">
        <v>27.687899999999999</v>
      </c>
      <c r="DP17">
        <v>999.9</v>
      </c>
      <c r="DQ17">
        <v>0</v>
      </c>
      <c r="DR17">
        <v>0</v>
      </c>
      <c r="DS17">
        <v>9997.5</v>
      </c>
      <c r="DT17">
        <v>0</v>
      </c>
      <c r="DU17">
        <v>350.08800000000002</v>
      </c>
      <c r="DV17">
        <v>-64.656000000000006</v>
      </c>
      <c r="DW17">
        <v>344.04300000000001</v>
      </c>
      <c r="DX17">
        <v>407.18200000000002</v>
      </c>
      <c r="DY17">
        <v>7.6136200000000001</v>
      </c>
      <c r="DZ17">
        <v>400.07499999999999</v>
      </c>
      <c r="EA17">
        <v>17.4528</v>
      </c>
      <c r="EB17">
        <v>2.4818799999999999</v>
      </c>
      <c r="EC17">
        <v>1.72804</v>
      </c>
      <c r="ED17">
        <v>20.908200000000001</v>
      </c>
      <c r="EE17">
        <v>15.150600000000001</v>
      </c>
      <c r="EF17">
        <v>1800</v>
      </c>
      <c r="EG17">
        <v>0.97799199999999997</v>
      </c>
      <c r="EH17">
        <v>2.20079E-2</v>
      </c>
      <c r="EI17">
        <v>0</v>
      </c>
      <c r="EJ17">
        <v>778.32600000000002</v>
      </c>
      <c r="EK17">
        <v>5.0001199999999999</v>
      </c>
      <c r="EL17">
        <v>13843.7</v>
      </c>
      <c r="EM17">
        <v>15629.9</v>
      </c>
      <c r="EN17">
        <v>46.686999999999998</v>
      </c>
      <c r="EO17">
        <v>47.311999999999998</v>
      </c>
      <c r="EP17">
        <v>47.436999999999998</v>
      </c>
      <c r="EQ17">
        <v>47.25</v>
      </c>
      <c r="ER17">
        <v>48.25</v>
      </c>
      <c r="ES17">
        <v>1755.5</v>
      </c>
      <c r="ET17">
        <v>39.5</v>
      </c>
      <c r="EU17">
        <v>0</v>
      </c>
      <c r="EV17">
        <v>1638994994.2</v>
      </c>
      <c r="EW17">
        <v>0</v>
      </c>
      <c r="EX17">
        <v>777.76873076923084</v>
      </c>
      <c r="EY17">
        <v>1.4833162412857479</v>
      </c>
      <c r="EZ17">
        <v>26.07521373538772</v>
      </c>
      <c r="FA17">
        <v>13840.45</v>
      </c>
      <c r="FB17">
        <v>15</v>
      </c>
      <c r="FC17">
        <v>1639680441</v>
      </c>
      <c r="FD17" t="s">
        <v>419</v>
      </c>
      <c r="FE17">
        <v>1639680437.5</v>
      </c>
      <c r="FF17">
        <v>1639680441</v>
      </c>
      <c r="FG17">
        <v>6</v>
      </c>
      <c r="FH17">
        <v>4.1000000000000002E-2</v>
      </c>
      <c r="FI17">
        <v>1E-3</v>
      </c>
      <c r="FJ17">
        <v>-1.1890000000000001</v>
      </c>
      <c r="FK17">
        <v>-7.9000000000000001E-2</v>
      </c>
      <c r="FL17">
        <v>400</v>
      </c>
      <c r="FM17">
        <v>17</v>
      </c>
      <c r="FN17">
        <v>0.04</v>
      </c>
      <c r="FO17">
        <v>0.02</v>
      </c>
      <c r="FP17">
        <v>51.713138534901887</v>
      </c>
      <c r="FQ17">
        <v>-0.16315744717340941</v>
      </c>
      <c r="FR17">
        <v>3.5309189950223571E-2</v>
      </c>
      <c r="FS17">
        <v>1</v>
      </c>
      <c r="FT17">
        <v>0.55478279756188176</v>
      </c>
      <c r="FU17">
        <v>4.8562648109681188E-2</v>
      </c>
      <c r="FV17">
        <v>5.6023993242163986E-3</v>
      </c>
      <c r="FW17">
        <v>1</v>
      </c>
      <c r="FX17">
        <v>2</v>
      </c>
      <c r="FY17">
        <v>2</v>
      </c>
      <c r="FZ17" t="s">
        <v>420</v>
      </c>
      <c r="GA17">
        <v>2.9199099999999998</v>
      </c>
      <c r="GB17">
        <v>2.7450399999999999</v>
      </c>
      <c r="GC17">
        <v>7.9644900000000005E-2</v>
      </c>
      <c r="GD17">
        <v>9.2697000000000002E-2</v>
      </c>
      <c r="GE17">
        <v>0.119563</v>
      </c>
      <c r="GF17">
        <v>9.3951699999999999E-2</v>
      </c>
      <c r="GG17">
        <v>28666.6</v>
      </c>
      <c r="GH17">
        <v>27978.9</v>
      </c>
      <c r="GI17">
        <v>28358.7</v>
      </c>
      <c r="GJ17">
        <v>28201.3</v>
      </c>
      <c r="GK17">
        <v>34271.9</v>
      </c>
      <c r="GL17">
        <v>35882.9</v>
      </c>
      <c r="GM17">
        <v>42680.6</v>
      </c>
      <c r="GN17">
        <v>43874.8</v>
      </c>
      <c r="GO17">
        <v>1.7910999999999999</v>
      </c>
      <c r="GP17">
        <v>1.96627</v>
      </c>
      <c r="GQ17">
        <v>2.1383200000000002E-2</v>
      </c>
      <c r="GR17">
        <v>0</v>
      </c>
      <c r="GS17">
        <v>27.3385</v>
      </c>
      <c r="GT17">
        <v>999.9</v>
      </c>
      <c r="GU17">
        <v>35.1</v>
      </c>
      <c r="GV17">
        <v>36.200000000000003</v>
      </c>
      <c r="GW17">
        <v>21.393699999999999</v>
      </c>
      <c r="GX17">
        <v>61.094900000000003</v>
      </c>
      <c r="GY17">
        <v>31.073699999999999</v>
      </c>
      <c r="GZ17">
        <v>1</v>
      </c>
      <c r="HA17">
        <v>0.37683899999999998</v>
      </c>
      <c r="HB17">
        <v>2.4786100000000002</v>
      </c>
      <c r="HC17">
        <v>20.2545</v>
      </c>
      <c r="HD17">
        <v>5.2750899999999996</v>
      </c>
      <c r="HE17">
        <v>12.0878</v>
      </c>
      <c r="HF17">
        <v>5.0130499999999998</v>
      </c>
      <c r="HG17">
        <v>3.2919499999999999</v>
      </c>
      <c r="HH17">
        <v>9999</v>
      </c>
      <c r="HI17">
        <v>9999</v>
      </c>
      <c r="HJ17">
        <v>9999</v>
      </c>
      <c r="HK17">
        <v>999.9</v>
      </c>
      <c r="HL17">
        <v>1.8752899999999999</v>
      </c>
      <c r="HM17">
        <v>1.8757299999999999</v>
      </c>
      <c r="HN17">
        <v>1.87547</v>
      </c>
      <c r="HO17">
        <v>1.8794299999999999</v>
      </c>
      <c r="HP17">
        <v>1.87286</v>
      </c>
      <c r="HQ17">
        <v>1.87608</v>
      </c>
      <c r="HR17">
        <v>1.8757999999999999</v>
      </c>
      <c r="HS17">
        <v>1.8771899999999999</v>
      </c>
      <c r="HT17">
        <v>0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-1.0900000000000001</v>
      </c>
      <c r="IH17">
        <v>3.5299999999999998E-2</v>
      </c>
      <c r="II17">
        <v>-0.56917381778780651</v>
      </c>
      <c r="IJ17">
        <v>-1.5404112972462821E-3</v>
      </c>
      <c r="IK17">
        <v>-5.8697186733976997E-8</v>
      </c>
      <c r="IL17">
        <v>1.160237123038427E-10</v>
      </c>
      <c r="IM17">
        <v>-0.14749312768306791</v>
      </c>
      <c r="IN17">
        <v>-3.128848753924141E-3</v>
      </c>
      <c r="IO17">
        <v>3.6841110403368089E-4</v>
      </c>
      <c r="IP17">
        <v>1.9296040270694169E-6</v>
      </c>
      <c r="IQ17">
        <v>1</v>
      </c>
      <c r="IR17">
        <v>1992</v>
      </c>
      <c r="IS17">
        <v>2</v>
      </c>
      <c r="IT17">
        <v>27</v>
      </c>
      <c r="IU17">
        <v>0.8</v>
      </c>
      <c r="IV17">
        <v>0.7</v>
      </c>
      <c r="IW17">
        <v>1.0449200000000001</v>
      </c>
      <c r="IX17">
        <v>2.6709000000000001</v>
      </c>
      <c r="IY17">
        <v>1.69434</v>
      </c>
      <c r="IZ17">
        <v>2.34985</v>
      </c>
      <c r="JA17">
        <v>1.5466299999999999</v>
      </c>
      <c r="JB17">
        <v>2.4365199999999998</v>
      </c>
      <c r="JC17">
        <v>40.019399999999997</v>
      </c>
      <c r="JD17">
        <v>24.026199999999999</v>
      </c>
      <c r="JE17">
        <v>18</v>
      </c>
      <c r="JF17">
        <v>531.86400000000003</v>
      </c>
      <c r="JG17">
        <v>531.65599999999995</v>
      </c>
      <c r="JH17">
        <v>25.160399999999999</v>
      </c>
      <c r="JI17">
        <v>31.852599999999999</v>
      </c>
      <c r="JJ17">
        <v>29.9999</v>
      </c>
      <c r="JK17">
        <v>31.820499999999999</v>
      </c>
      <c r="JL17">
        <v>31.7715</v>
      </c>
      <c r="JM17">
        <v>21.0076</v>
      </c>
      <c r="JN17">
        <v>16.762699999999999</v>
      </c>
      <c r="JO17">
        <v>33.655700000000003</v>
      </c>
      <c r="JP17">
        <v>25.1568</v>
      </c>
      <c r="JQ17">
        <v>400</v>
      </c>
      <c r="JR17">
        <v>17.348199999999999</v>
      </c>
      <c r="JS17">
        <v>99.442999999999998</v>
      </c>
      <c r="JT17">
        <v>98.82</v>
      </c>
    </row>
    <row r="18" spans="1:280" x14ac:dyDescent="0.25">
      <c r="A18">
        <v>2</v>
      </c>
      <c r="B18">
        <v>1639680607</v>
      </c>
      <c r="C18">
        <v>124.5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1639680607</v>
      </c>
      <c r="J18">
        <f t="shared" si="0"/>
        <v>6.6873576308509935E-3</v>
      </c>
      <c r="K18">
        <f t="shared" si="1"/>
        <v>6.6873576308509932</v>
      </c>
      <c r="L18">
        <f t="shared" si="2"/>
        <v>47.531653101579963</v>
      </c>
      <c r="M18">
        <f t="shared" si="3"/>
        <v>241.05699999999999</v>
      </c>
      <c r="N18">
        <f t="shared" si="4"/>
        <v>93.141704176319621</v>
      </c>
      <c r="O18">
        <f t="shared" si="5"/>
        <v>9.2317892720832582</v>
      </c>
      <c r="P18">
        <f t="shared" si="6"/>
        <v>23.892492050047299</v>
      </c>
      <c r="Q18">
        <f t="shared" si="7"/>
        <v>0.5752953707634948</v>
      </c>
      <c r="R18">
        <f t="shared" si="8"/>
        <v>2.9150579200377771</v>
      </c>
      <c r="S18">
        <f t="shared" si="9"/>
        <v>0.5188654290461312</v>
      </c>
      <c r="T18">
        <f t="shared" si="10"/>
        <v>0.32889841417663956</v>
      </c>
      <c r="U18">
        <f t="shared" si="11"/>
        <v>289.56066584752659</v>
      </c>
      <c r="V18">
        <f t="shared" si="12"/>
        <v>27.946914825784969</v>
      </c>
      <c r="W18">
        <f t="shared" si="13"/>
        <v>27.665099999999999</v>
      </c>
      <c r="X18">
        <f t="shared" si="14"/>
        <v>3.721379025862479</v>
      </c>
      <c r="Y18">
        <f t="shared" si="15"/>
        <v>65.53703344618161</v>
      </c>
      <c r="Z18">
        <f t="shared" si="16"/>
        <v>2.4839243582100101</v>
      </c>
      <c r="AA18">
        <f t="shared" si="17"/>
        <v>3.7901080161795622</v>
      </c>
      <c r="AB18">
        <f t="shared" si="18"/>
        <v>1.2374546676524689</v>
      </c>
      <c r="AC18">
        <f t="shared" si="19"/>
        <v>-294.91247152052881</v>
      </c>
      <c r="AD18">
        <f t="shared" si="20"/>
        <v>49.268594910421726</v>
      </c>
      <c r="AE18">
        <f t="shared" si="21"/>
        <v>3.6775826983037723</v>
      </c>
      <c r="AF18">
        <f t="shared" si="22"/>
        <v>47.59437193572326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52267.589380285215</v>
      </c>
      <c r="AL18" t="s">
        <v>415</v>
      </c>
      <c r="AM18">
        <v>10204.299999999999</v>
      </c>
      <c r="AN18">
        <v>862.72538461538477</v>
      </c>
      <c r="AO18">
        <v>3252.56</v>
      </c>
      <c r="AP18">
        <f t="shared" si="26"/>
        <v>0.73475496697512588</v>
      </c>
      <c r="AQ18">
        <v>-6.6684750346205304</v>
      </c>
      <c r="AR18" t="s">
        <v>426</v>
      </c>
      <c r="AS18">
        <v>10079.1</v>
      </c>
      <c r="AT18">
        <v>769.13368000000003</v>
      </c>
      <c r="AU18">
        <v>1170.182026967721</v>
      </c>
      <c r="AV18">
        <f t="shared" si="27"/>
        <v>0.34272304455654035</v>
      </c>
      <c r="AW18">
        <v>0.5</v>
      </c>
      <c r="AX18">
        <f t="shared" si="28"/>
        <v>1513.1513999209983</v>
      </c>
      <c r="AY18">
        <f t="shared" si="29"/>
        <v>47.531653101579963</v>
      </c>
      <c r="AZ18">
        <f t="shared" si="30"/>
        <v>259.29592732795783</v>
      </c>
      <c r="BA18">
        <f t="shared" si="31"/>
        <v>3.5819368860928444E-2</v>
      </c>
      <c r="BB18">
        <f t="shared" si="32"/>
        <v>1.7795333760409231</v>
      </c>
      <c r="BC18">
        <f t="shared" si="33"/>
        <v>586.0856817548347</v>
      </c>
      <c r="BD18" t="s">
        <v>427</v>
      </c>
      <c r="BE18">
        <v>570.80999999999995</v>
      </c>
      <c r="BF18">
        <f t="shared" si="34"/>
        <v>570.80999999999995</v>
      </c>
      <c r="BG18">
        <f t="shared" si="35"/>
        <v>0.5122040957344618</v>
      </c>
      <c r="BH18">
        <f t="shared" si="36"/>
        <v>0.66911422109013319</v>
      </c>
      <c r="BI18">
        <f t="shared" si="37"/>
        <v>0.77649966366450229</v>
      </c>
      <c r="BJ18">
        <f t="shared" si="38"/>
        <v>1.3044061884606526</v>
      </c>
      <c r="BK18">
        <f t="shared" si="39"/>
        <v>0.87134815088329676</v>
      </c>
      <c r="BL18">
        <f t="shared" si="40"/>
        <v>0.49658089155640522</v>
      </c>
      <c r="BM18">
        <f t="shared" si="41"/>
        <v>0.50341910844359483</v>
      </c>
      <c r="BN18">
        <v>5098</v>
      </c>
      <c r="BO18">
        <v>290.00000000000011</v>
      </c>
      <c r="BP18">
        <v>1057.03</v>
      </c>
      <c r="BQ18">
        <v>115</v>
      </c>
      <c r="BR18">
        <v>10079.1</v>
      </c>
      <c r="BS18">
        <v>1053.24</v>
      </c>
      <c r="BT18">
        <v>3.79</v>
      </c>
      <c r="BU18">
        <v>300.00000000000011</v>
      </c>
      <c r="BV18">
        <v>24.1</v>
      </c>
      <c r="BW18">
        <v>1170.182026967721</v>
      </c>
      <c r="BX18">
        <v>2.1493983727479149</v>
      </c>
      <c r="BY18">
        <v>-117.8664562763192</v>
      </c>
      <c r="BZ18">
        <v>1.9281142443848069</v>
      </c>
      <c r="CA18">
        <v>0.99256294212365614</v>
      </c>
      <c r="CB18">
        <v>-6.8596785317018918E-3</v>
      </c>
      <c r="CC18">
        <v>289.99999999999989</v>
      </c>
      <c r="CD18">
        <v>1048.22</v>
      </c>
      <c r="CE18">
        <v>665</v>
      </c>
      <c r="CF18">
        <v>10056.1</v>
      </c>
      <c r="CG18">
        <v>1052.97</v>
      </c>
      <c r="CH18">
        <v>-4.75</v>
      </c>
      <c r="CV18">
        <f t="shared" si="42"/>
        <v>1799.96</v>
      </c>
      <c r="CW18">
        <f t="shared" si="43"/>
        <v>1513.1513999209983</v>
      </c>
      <c r="CX18">
        <f t="shared" si="44"/>
        <v>0.8406583479193972</v>
      </c>
      <c r="CY18">
        <f t="shared" si="45"/>
        <v>0.16087061148443665</v>
      </c>
      <c r="CZ18">
        <v>6</v>
      </c>
      <c r="DA18">
        <v>0.5</v>
      </c>
      <c r="DB18" t="s">
        <v>418</v>
      </c>
      <c r="DC18">
        <v>2</v>
      </c>
      <c r="DD18">
        <v>1639680607</v>
      </c>
      <c r="DE18">
        <v>241.05699999999999</v>
      </c>
      <c r="DF18">
        <v>300.024</v>
      </c>
      <c r="DG18">
        <v>25.0609</v>
      </c>
      <c r="DH18">
        <v>17.2379</v>
      </c>
      <c r="DI18">
        <v>242.09800000000001</v>
      </c>
      <c r="DJ18">
        <v>25.025200000000002</v>
      </c>
      <c r="DK18">
        <v>500.04599999999999</v>
      </c>
      <c r="DL18">
        <v>99.015799999999999</v>
      </c>
      <c r="DM18">
        <v>9.9728899999999995E-2</v>
      </c>
      <c r="DN18">
        <v>27.9786</v>
      </c>
      <c r="DO18">
        <v>27.665099999999999</v>
      </c>
      <c r="DP18">
        <v>999.9</v>
      </c>
      <c r="DQ18">
        <v>0</v>
      </c>
      <c r="DR18">
        <v>0</v>
      </c>
      <c r="DS18">
        <v>10016.200000000001</v>
      </c>
      <c r="DT18">
        <v>0</v>
      </c>
      <c r="DU18">
        <v>342.786</v>
      </c>
      <c r="DV18">
        <v>-58.967300000000002</v>
      </c>
      <c r="DW18">
        <v>247.25399999999999</v>
      </c>
      <c r="DX18">
        <v>305.28699999999998</v>
      </c>
      <c r="DY18">
        <v>7.8230500000000003</v>
      </c>
      <c r="DZ18">
        <v>300.024</v>
      </c>
      <c r="EA18">
        <v>17.2379</v>
      </c>
      <c r="EB18">
        <v>2.48143</v>
      </c>
      <c r="EC18">
        <v>1.70682</v>
      </c>
      <c r="ED18">
        <v>20.905200000000001</v>
      </c>
      <c r="EE18">
        <v>14.958600000000001</v>
      </c>
      <c r="EF18">
        <v>1799.96</v>
      </c>
      <c r="EG18">
        <v>0.97799199999999997</v>
      </c>
      <c r="EH18">
        <v>2.20079E-2</v>
      </c>
      <c r="EI18">
        <v>0</v>
      </c>
      <c r="EJ18">
        <v>769.36300000000006</v>
      </c>
      <c r="EK18">
        <v>5.0001199999999999</v>
      </c>
      <c r="EL18">
        <v>13678.7</v>
      </c>
      <c r="EM18">
        <v>15629.6</v>
      </c>
      <c r="EN18">
        <v>46.686999999999998</v>
      </c>
      <c r="EO18">
        <v>47.25</v>
      </c>
      <c r="EP18">
        <v>47.375</v>
      </c>
      <c r="EQ18">
        <v>47.186999999999998</v>
      </c>
      <c r="ER18">
        <v>48.25</v>
      </c>
      <c r="ES18">
        <v>1755.46</v>
      </c>
      <c r="ET18">
        <v>39.5</v>
      </c>
      <c r="EU18">
        <v>0</v>
      </c>
      <c r="EV18">
        <v>122.6000001430511</v>
      </c>
      <c r="EW18">
        <v>0</v>
      </c>
      <c r="EX18">
        <v>769.13368000000003</v>
      </c>
      <c r="EY18">
        <v>1.6991538445634751</v>
      </c>
      <c r="EZ18">
        <v>23.546153856737359</v>
      </c>
      <c r="FA18">
        <v>13676.608</v>
      </c>
      <c r="FB18">
        <v>15</v>
      </c>
      <c r="FC18">
        <v>1639680564.5</v>
      </c>
      <c r="FD18" t="s">
        <v>428</v>
      </c>
      <c r="FE18">
        <v>1639680563.5</v>
      </c>
      <c r="FF18">
        <v>1639680564.5</v>
      </c>
      <c r="FG18">
        <v>7</v>
      </c>
      <c r="FH18">
        <v>-9.7000000000000003E-2</v>
      </c>
      <c r="FI18">
        <v>1E-3</v>
      </c>
      <c r="FJ18">
        <v>-1.1319999999999999</v>
      </c>
      <c r="FK18">
        <v>-7.9000000000000001E-2</v>
      </c>
      <c r="FL18">
        <v>300</v>
      </c>
      <c r="FM18">
        <v>17</v>
      </c>
      <c r="FN18">
        <v>0.04</v>
      </c>
      <c r="FO18">
        <v>0.01</v>
      </c>
      <c r="FP18">
        <v>47.478864483023678</v>
      </c>
      <c r="FQ18">
        <v>-0.24317783718027319</v>
      </c>
      <c r="FR18">
        <v>4.3394001918687392E-2</v>
      </c>
      <c r="FS18">
        <v>1</v>
      </c>
      <c r="FT18">
        <v>0.58191182272159958</v>
      </c>
      <c r="FU18">
        <v>2.3888966468177109E-2</v>
      </c>
      <c r="FV18">
        <v>7.6936704891598694E-3</v>
      </c>
      <c r="FW18">
        <v>1</v>
      </c>
      <c r="FX18">
        <v>2</v>
      </c>
      <c r="FY18">
        <v>2</v>
      </c>
      <c r="FZ18" t="s">
        <v>420</v>
      </c>
      <c r="GA18">
        <v>2.9197700000000002</v>
      </c>
      <c r="GB18">
        <v>2.7448399999999999</v>
      </c>
      <c r="GC18">
        <v>6.0703899999999998E-2</v>
      </c>
      <c r="GD18">
        <v>7.3866399999999999E-2</v>
      </c>
      <c r="GE18">
        <v>0.119556</v>
      </c>
      <c r="GF18">
        <v>9.3128000000000002E-2</v>
      </c>
      <c r="GG18">
        <v>29259.200000000001</v>
      </c>
      <c r="GH18">
        <v>28561.7</v>
      </c>
      <c r="GI18">
        <v>28361.5</v>
      </c>
      <c r="GJ18">
        <v>28203.5</v>
      </c>
      <c r="GK18">
        <v>34275.1</v>
      </c>
      <c r="GL18">
        <v>35918.1</v>
      </c>
      <c r="GM18">
        <v>42684.2</v>
      </c>
      <c r="GN18">
        <v>43878</v>
      </c>
      <c r="GO18">
        <v>1.7919</v>
      </c>
      <c r="GP18">
        <v>1.9663999999999999</v>
      </c>
      <c r="GQ18">
        <v>1.6190099999999999E-2</v>
      </c>
      <c r="GR18">
        <v>0</v>
      </c>
      <c r="GS18">
        <v>27.400600000000001</v>
      </c>
      <c r="GT18">
        <v>999.9</v>
      </c>
      <c r="GU18">
        <v>35.200000000000003</v>
      </c>
      <c r="GV18">
        <v>36.200000000000003</v>
      </c>
      <c r="GW18">
        <v>21.4544</v>
      </c>
      <c r="GX18">
        <v>60.8949</v>
      </c>
      <c r="GY18">
        <v>30.973600000000001</v>
      </c>
      <c r="GZ18">
        <v>1</v>
      </c>
      <c r="HA18">
        <v>0.37307699999999999</v>
      </c>
      <c r="HB18">
        <v>2.3327300000000002</v>
      </c>
      <c r="HC18">
        <v>20.257000000000001</v>
      </c>
      <c r="HD18">
        <v>5.27569</v>
      </c>
      <c r="HE18">
        <v>12.0878</v>
      </c>
      <c r="HF18">
        <v>5.0137</v>
      </c>
      <c r="HG18">
        <v>3.2919499999999999</v>
      </c>
      <c r="HH18">
        <v>9999</v>
      </c>
      <c r="HI18">
        <v>9999</v>
      </c>
      <c r="HJ18">
        <v>9999</v>
      </c>
      <c r="HK18">
        <v>999.9</v>
      </c>
      <c r="HL18">
        <v>1.8752899999999999</v>
      </c>
      <c r="HM18">
        <v>1.87575</v>
      </c>
      <c r="HN18">
        <v>1.87547</v>
      </c>
      <c r="HO18">
        <v>1.8794299999999999</v>
      </c>
      <c r="HP18">
        <v>1.87286</v>
      </c>
      <c r="HQ18">
        <v>1.8760699999999999</v>
      </c>
      <c r="HR18">
        <v>1.87582</v>
      </c>
      <c r="HS18">
        <v>1.8771599999999999</v>
      </c>
      <c r="HT18">
        <v>0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-1.0409999999999999</v>
      </c>
      <c r="IH18">
        <v>3.5700000000000003E-2</v>
      </c>
      <c r="II18">
        <v>-0.66594740543991415</v>
      </c>
      <c r="IJ18">
        <v>-1.5404112972462821E-3</v>
      </c>
      <c r="IK18">
        <v>-5.8697186733976997E-8</v>
      </c>
      <c r="IL18">
        <v>1.160237123038427E-10</v>
      </c>
      <c r="IM18">
        <v>-0.14690770042565179</v>
      </c>
      <c r="IN18">
        <v>-3.128848753924141E-3</v>
      </c>
      <c r="IO18">
        <v>3.6841110403368089E-4</v>
      </c>
      <c r="IP18">
        <v>1.9296040270694169E-6</v>
      </c>
      <c r="IQ18">
        <v>1</v>
      </c>
      <c r="IR18">
        <v>1992</v>
      </c>
      <c r="IS18">
        <v>2</v>
      </c>
      <c r="IT18">
        <v>27</v>
      </c>
      <c r="IU18">
        <v>0.7</v>
      </c>
      <c r="IV18">
        <v>0.7</v>
      </c>
      <c r="IW18">
        <v>0.83252000000000004</v>
      </c>
      <c r="IX18">
        <v>2.65991</v>
      </c>
      <c r="IY18">
        <v>1.69434</v>
      </c>
      <c r="IZ18">
        <v>2.34985</v>
      </c>
      <c r="JA18">
        <v>1.5466299999999999</v>
      </c>
      <c r="JB18">
        <v>2.4719199999999999</v>
      </c>
      <c r="JC18">
        <v>39.994199999999999</v>
      </c>
      <c r="JD18">
        <v>24.026199999999999</v>
      </c>
      <c r="JE18">
        <v>18</v>
      </c>
      <c r="JF18">
        <v>532.21400000000006</v>
      </c>
      <c r="JG18">
        <v>531.47900000000004</v>
      </c>
      <c r="JH18">
        <v>25.0945</v>
      </c>
      <c r="JI18">
        <v>31.818899999999999</v>
      </c>
      <c r="JJ18">
        <v>29.999400000000001</v>
      </c>
      <c r="JK18">
        <v>31.7881</v>
      </c>
      <c r="JL18">
        <v>31.742100000000001</v>
      </c>
      <c r="JM18">
        <v>16.754999999999999</v>
      </c>
      <c r="JN18">
        <v>18.829499999999999</v>
      </c>
      <c r="JO18">
        <v>33.739100000000001</v>
      </c>
      <c r="JP18">
        <v>25.111499999999999</v>
      </c>
      <c r="JQ18">
        <v>300</v>
      </c>
      <c r="JR18">
        <v>17.155200000000001</v>
      </c>
      <c r="JS18">
        <v>99.451899999999995</v>
      </c>
      <c r="JT18">
        <v>98.827299999999994</v>
      </c>
    </row>
    <row r="19" spans="1:280" x14ac:dyDescent="0.25">
      <c r="A19">
        <v>3</v>
      </c>
      <c r="B19">
        <v>1639680731</v>
      </c>
      <c r="C19">
        <v>248.5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1639680731</v>
      </c>
      <c r="J19">
        <f t="shared" si="0"/>
        <v>7.1281593109099785E-3</v>
      </c>
      <c r="K19">
        <f t="shared" si="1"/>
        <v>7.1281593109099788</v>
      </c>
      <c r="L19">
        <f t="shared" si="2"/>
        <v>35.979070158089989</v>
      </c>
      <c r="M19">
        <f t="shared" si="3"/>
        <v>155.58199999999999</v>
      </c>
      <c r="N19">
        <f t="shared" si="4"/>
        <v>51.176985862391071</v>
      </c>
      <c r="O19">
        <f t="shared" si="5"/>
        <v>5.0723744358940737</v>
      </c>
      <c r="P19">
        <f t="shared" si="6"/>
        <v>15.420411073197199</v>
      </c>
      <c r="Q19">
        <f t="shared" si="7"/>
        <v>0.61913111248842134</v>
      </c>
      <c r="R19">
        <f t="shared" si="8"/>
        <v>2.9130796739489178</v>
      </c>
      <c r="S19">
        <f t="shared" si="9"/>
        <v>0.55425259124079673</v>
      </c>
      <c r="T19">
        <f t="shared" si="10"/>
        <v>0.35166870055485927</v>
      </c>
      <c r="U19">
        <f t="shared" si="11"/>
        <v>289.55108984752155</v>
      </c>
      <c r="V19">
        <f t="shared" si="12"/>
        <v>27.860478294330484</v>
      </c>
      <c r="W19">
        <f t="shared" si="13"/>
        <v>27.669</v>
      </c>
      <c r="X19">
        <f t="shared" si="14"/>
        <v>3.7222273012059137</v>
      </c>
      <c r="Y19">
        <f t="shared" si="15"/>
        <v>65.520303613249737</v>
      </c>
      <c r="Z19">
        <f t="shared" si="16"/>
        <v>2.4874632969297403</v>
      </c>
      <c r="AA19">
        <f t="shared" si="17"/>
        <v>3.7964770609315628</v>
      </c>
      <c r="AB19">
        <f t="shared" si="18"/>
        <v>1.2347640042761734</v>
      </c>
      <c r="AC19">
        <f t="shared" si="19"/>
        <v>-314.35182561113004</v>
      </c>
      <c r="AD19">
        <f t="shared" si="20"/>
        <v>53.145703547646498</v>
      </c>
      <c r="AE19">
        <f t="shared" si="21"/>
        <v>3.9703252656440764</v>
      </c>
      <c r="AF19">
        <f t="shared" si="22"/>
        <v>32.31529304968209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52205.918544297303</v>
      </c>
      <c r="AL19" t="s">
        <v>415</v>
      </c>
      <c r="AM19">
        <v>10204.299999999999</v>
      </c>
      <c r="AN19">
        <v>862.72538461538477</v>
      </c>
      <c r="AO19">
        <v>3252.56</v>
      </c>
      <c r="AP19">
        <f t="shared" si="26"/>
        <v>0.73475496697512588</v>
      </c>
      <c r="AQ19">
        <v>-6.6684750346205304</v>
      </c>
      <c r="AR19" t="s">
        <v>431</v>
      </c>
      <c r="AS19">
        <v>10077.200000000001</v>
      </c>
      <c r="AT19">
        <v>755.38</v>
      </c>
      <c r="AU19">
        <v>1060.819401545082</v>
      </c>
      <c r="AV19">
        <f t="shared" si="27"/>
        <v>0.28792780477073654</v>
      </c>
      <c r="AW19">
        <v>0.5</v>
      </c>
      <c r="AX19">
        <f t="shared" si="28"/>
        <v>1513.1009999209957</v>
      </c>
      <c r="AY19">
        <f t="shared" si="29"/>
        <v>35.979070158089989</v>
      </c>
      <c r="AZ19">
        <f t="shared" si="30"/>
        <v>217.83192465182935</v>
      </c>
      <c r="BA19">
        <f t="shared" si="31"/>
        <v>2.8185524426285684E-2</v>
      </c>
      <c r="BB19">
        <f t="shared" si="32"/>
        <v>2.0660826859526238</v>
      </c>
      <c r="BC19">
        <f t="shared" si="33"/>
        <v>557.30959828865252</v>
      </c>
      <c r="BD19" t="s">
        <v>432</v>
      </c>
      <c r="BE19">
        <v>559.24</v>
      </c>
      <c r="BF19">
        <f t="shared" si="34"/>
        <v>559.24</v>
      </c>
      <c r="BG19">
        <f t="shared" si="35"/>
        <v>0.47282261317480834</v>
      </c>
      <c r="BH19">
        <f t="shared" si="36"/>
        <v>0.60895523341707458</v>
      </c>
      <c r="BI19">
        <f t="shared" si="37"/>
        <v>0.81376910224366872</v>
      </c>
      <c r="BJ19">
        <f t="shared" si="38"/>
        <v>1.5418910993837902</v>
      </c>
      <c r="BK19">
        <f t="shared" si="39"/>
        <v>0.91710973819926178</v>
      </c>
      <c r="BL19">
        <f t="shared" si="40"/>
        <v>0.45083550628314861</v>
      </c>
      <c r="BM19">
        <f t="shared" si="41"/>
        <v>0.54916449371685139</v>
      </c>
      <c r="BN19">
        <v>5100</v>
      </c>
      <c r="BO19">
        <v>290.00000000000011</v>
      </c>
      <c r="BP19">
        <v>975.03</v>
      </c>
      <c r="BQ19">
        <v>125</v>
      </c>
      <c r="BR19">
        <v>10077.200000000001</v>
      </c>
      <c r="BS19">
        <v>971.31</v>
      </c>
      <c r="BT19">
        <v>3.72</v>
      </c>
      <c r="BU19">
        <v>300.00000000000011</v>
      </c>
      <c r="BV19">
        <v>24.1</v>
      </c>
      <c r="BW19">
        <v>1060.819401545082</v>
      </c>
      <c r="BX19">
        <v>1.44392031467134</v>
      </c>
      <c r="BY19">
        <v>-90.203426585651897</v>
      </c>
      <c r="BZ19">
        <v>1.295150849337263</v>
      </c>
      <c r="CA19">
        <v>0.99426077861663509</v>
      </c>
      <c r="CB19">
        <v>-6.8589481646273553E-3</v>
      </c>
      <c r="CC19">
        <v>289.99999999999989</v>
      </c>
      <c r="CD19">
        <v>967.75</v>
      </c>
      <c r="CE19">
        <v>655</v>
      </c>
      <c r="CF19">
        <v>10055.6</v>
      </c>
      <c r="CG19">
        <v>971.11</v>
      </c>
      <c r="CH19">
        <v>-3.36</v>
      </c>
      <c r="CV19">
        <f t="shared" si="42"/>
        <v>1799.9</v>
      </c>
      <c r="CW19">
        <f t="shared" si="43"/>
        <v>1513.1009999209957</v>
      </c>
      <c r="CX19">
        <f t="shared" si="44"/>
        <v>0.84065836986554565</v>
      </c>
      <c r="CY19">
        <f t="shared" si="45"/>
        <v>0.16087065384050311</v>
      </c>
      <c r="CZ19">
        <v>6</v>
      </c>
      <c r="DA19">
        <v>0.5</v>
      </c>
      <c r="DB19" t="s">
        <v>418</v>
      </c>
      <c r="DC19">
        <v>2</v>
      </c>
      <c r="DD19">
        <v>1639680731</v>
      </c>
      <c r="DE19">
        <v>155.58199999999999</v>
      </c>
      <c r="DF19">
        <v>200.078</v>
      </c>
      <c r="DG19">
        <v>25.096900000000002</v>
      </c>
      <c r="DH19">
        <v>16.759599999999999</v>
      </c>
      <c r="DI19">
        <v>156.52099999999999</v>
      </c>
      <c r="DJ19">
        <v>25.064599999999999</v>
      </c>
      <c r="DK19">
        <v>500.10899999999998</v>
      </c>
      <c r="DL19">
        <v>99.014600000000002</v>
      </c>
      <c r="DM19">
        <v>9.9764599999999995E-2</v>
      </c>
      <c r="DN19">
        <v>28.007400000000001</v>
      </c>
      <c r="DO19">
        <v>27.669</v>
      </c>
      <c r="DP19">
        <v>999.9</v>
      </c>
      <c r="DQ19">
        <v>0</v>
      </c>
      <c r="DR19">
        <v>0</v>
      </c>
      <c r="DS19">
        <v>10005</v>
      </c>
      <c r="DT19">
        <v>0</v>
      </c>
      <c r="DU19">
        <v>333.23599999999999</v>
      </c>
      <c r="DV19">
        <v>-44.495699999999999</v>
      </c>
      <c r="DW19">
        <v>159.58799999999999</v>
      </c>
      <c r="DX19">
        <v>203.488</v>
      </c>
      <c r="DY19">
        <v>8.3373399999999993</v>
      </c>
      <c r="DZ19">
        <v>200.078</v>
      </c>
      <c r="EA19">
        <v>16.759599999999999</v>
      </c>
      <c r="EB19">
        <v>2.4849600000000001</v>
      </c>
      <c r="EC19">
        <v>1.65944</v>
      </c>
      <c r="ED19">
        <v>20.9283</v>
      </c>
      <c r="EE19">
        <v>14.5221</v>
      </c>
      <c r="EF19">
        <v>1799.9</v>
      </c>
      <c r="EG19">
        <v>0.97799199999999997</v>
      </c>
      <c r="EH19">
        <v>2.20079E-2</v>
      </c>
      <c r="EI19">
        <v>0</v>
      </c>
      <c r="EJ19">
        <v>754.38900000000001</v>
      </c>
      <c r="EK19">
        <v>5.0001199999999999</v>
      </c>
      <c r="EL19">
        <v>13400.1</v>
      </c>
      <c r="EM19">
        <v>15629</v>
      </c>
      <c r="EN19">
        <v>46.686999999999998</v>
      </c>
      <c r="EO19">
        <v>47.25</v>
      </c>
      <c r="EP19">
        <v>47.375</v>
      </c>
      <c r="EQ19">
        <v>47.186999999999998</v>
      </c>
      <c r="ER19">
        <v>48.25</v>
      </c>
      <c r="ES19">
        <v>1755.4</v>
      </c>
      <c r="ET19">
        <v>39.5</v>
      </c>
      <c r="EU19">
        <v>0</v>
      </c>
      <c r="EV19">
        <v>121.7999999523163</v>
      </c>
      <c r="EW19">
        <v>0</v>
      </c>
      <c r="EX19">
        <v>755.38</v>
      </c>
      <c r="EY19">
        <v>-7.1314615264931973</v>
      </c>
      <c r="EZ19">
        <v>-102.7384614176693</v>
      </c>
      <c r="FA19">
        <v>13412.492</v>
      </c>
      <c r="FB19">
        <v>15</v>
      </c>
      <c r="FC19">
        <v>1639680688.5</v>
      </c>
      <c r="FD19" t="s">
        <v>433</v>
      </c>
      <c r="FE19">
        <v>1639680688.5</v>
      </c>
      <c r="FF19">
        <v>1639680687.5</v>
      </c>
      <c r="FG19">
        <v>8</v>
      </c>
      <c r="FH19">
        <v>-3.1E-2</v>
      </c>
      <c r="FI19">
        <v>-4.0000000000000001E-3</v>
      </c>
      <c r="FJ19">
        <v>-1.008</v>
      </c>
      <c r="FK19">
        <v>-8.6999999999999994E-2</v>
      </c>
      <c r="FL19">
        <v>200</v>
      </c>
      <c r="FM19">
        <v>17</v>
      </c>
      <c r="FN19">
        <v>0.05</v>
      </c>
      <c r="FO19">
        <v>0.01</v>
      </c>
      <c r="FP19">
        <v>35.890660166382872</v>
      </c>
      <c r="FQ19">
        <v>0.1114177609664018</v>
      </c>
      <c r="FR19">
        <v>2.3615785963646461E-2</v>
      </c>
      <c r="FS19">
        <v>1</v>
      </c>
      <c r="FT19">
        <v>0.61944026676648589</v>
      </c>
      <c r="FU19">
        <v>4.4044128431588107E-2</v>
      </c>
      <c r="FV19">
        <v>7.3585738535059614E-3</v>
      </c>
      <c r="FW19">
        <v>1</v>
      </c>
      <c r="FX19">
        <v>2</v>
      </c>
      <c r="FY19">
        <v>2</v>
      </c>
      <c r="FZ19" t="s">
        <v>420</v>
      </c>
      <c r="GA19">
        <v>2.9199600000000001</v>
      </c>
      <c r="GB19">
        <v>2.74478</v>
      </c>
      <c r="GC19">
        <v>4.13035E-2</v>
      </c>
      <c r="GD19">
        <v>5.2441799999999997E-2</v>
      </c>
      <c r="GE19">
        <v>0.119689</v>
      </c>
      <c r="GF19">
        <v>9.12607E-2</v>
      </c>
      <c r="GG19">
        <v>29863.7</v>
      </c>
      <c r="GH19">
        <v>29222.6</v>
      </c>
      <c r="GI19">
        <v>28362.1</v>
      </c>
      <c r="GJ19">
        <v>28204.1</v>
      </c>
      <c r="GK19">
        <v>34270.699999999997</v>
      </c>
      <c r="GL19">
        <v>35992.6</v>
      </c>
      <c r="GM19">
        <v>42685.1</v>
      </c>
      <c r="GN19">
        <v>43878.400000000001</v>
      </c>
      <c r="GO19">
        <v>1.7920700000000001</v>
      </c>
      <c r="GP19">
        <v>1.9655499999999999</v>
      </c>
      <c r="GQ19">
        <v>1.6875600000000001E-2</v>
      </c>
      <c r="GR19">
        <v>0</v>
      </c>
      <c r="GS19">
        <v>27.3933</v>
      </c>
      <c r="GT19">
        <v>999.9</v>
      </c>
      <c r="GU19">
        <v>35.1</v>
      </c>
      <c r="GV19">
        <v>36.200000000000003</v>
      </c>
      <c r="GW19">
        <v>21.3903</v>
      </c>
      <c r="GX19">
        <v>60.944899999999997</v>
      </c>
      <c r="GY19">
        <v>30.9054</v>
      </c>
      <c r="GZ19">
        <v>1</v>
      </c>
      <c r="HA19">
        <v>0.37397900000000001</v>
      </c>
      <c r="HB19">
        <v>2.67944</v>
      </c>
      <c r="HC19">
        <v>20.251300000000001</v>
      </c>
      <c r="HD19">
        <v>5.2753899999999998</v>
      </c>
      <c r="HE19">
        <v>12.0878</v>
      </c>
      <c r="HF19">
        <v>5.0133000000000001</v>
      </c>
      <c r="HG19">
        <v>3.2919999999999998</v>
      </c>
      <c r="HH19">
        <v>9999</v>
      </c>
      <c r="HI19">
        <v>9999</v>
      </c>
      <c r="HJ19">
        <v>9999</v>
      </c>
      <c r="HK19">
        <v>999.9</v>
      </c>
      <c r="HL19">
        <v>1.8753</v>
      </c>
      <c r="HM19">
        <v>1.8757600000000001</v>
      </c>
      <c r="HN19">
        <v>1.8754900000000001</v>
      </c>
      <c r="HO19">
        <v>1.8794299999999999</v>
      </c>
      <c r="HP19">
        <v>1.87286</v>
      </c>
      <c r="HQ19">
        <v>1.87608</v>
      </c>
      <c r="HR19">
        <v>1.87585</v>
      </c>
      <c r="HS19">
        <v>1.8772</v>
      </c>
      <c r="HT19">
        <v>0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-0.93899999999999995</v>
      </c>
      <c r="IH19">
        <v>3.2300000000000002E-2</v>
      </c>
      <c r="II19">
        <v>-0.69694371814462763</v>
      </c>
      <c r="IJ19">
        <v>-1.5404112972462821E-3</v>
      </c>
      <c r="IK19">
        <v>-5.8697186733976997E-8</v>
      </c>
      <c r="IL19">
        <v>1.160237123038427E-10</v>
      </c>
      <c r="IM19">
        <v>-0.15108084548858569</v>
      </c>
      <c r="IN19">
        <v>-3.128848753924141E-3</v>
      </c>
      <c r="IO19">
        <v>3.6841110403368089E-4</v>
      </c>
      <c r="IP19">
        <v>1.9296040270694169E-6</v>
      </c>
      <c r="IQ19">
        <v>1</v>
      </c>
      <c r="IR19">
        <v>1992</v>
      </c>
      <c r="IS19">
        <v>2</v>
      </c>
      <c r="IT19">
        <v>27</v>
      </c>
      <c r="IU19">
        <v>0.7</v>
      </c>
      <c r="IV19">
        <v>0.7</v>
      </c>
      <c r="IW19">
        <v>0.611572</v>
      </c>
      <c r="IX19">
        <v>2.6843300000000001</v>
      </c>
      <c r="IY19">
        <v>1.69434</v>
      </c>
      <c r="IZ19">
        <v>2.34985</v>
      </c>
      <c r="JA19">
        <v>1.5466299999999999</v>
      </c>
      <c r="JB19">
        <v>2.3950200000000001</v>
      </c>
      <c r="JC19">
        <v>39.994199999999999</v>
      </c>
      <c r="JD19">
        <v>24.026199999999999</v>
      </c>
      <c r="JE19">
        <v>18</v>
      </c>
      <c r="JF19">
        <v>532.22400000000005</v>
      </c>
      <c r="JG19">
        <v>530.69299999999998</v>
      </c>
      <c r="JH19">
        <v>25.053799999999999</v>
      </c>
      <c r="JI19">
        <v>31.807700000000001</v>
      </c>
      <c r="JJ19">
        <v>30.0001</v>
      </c>
      <c r="JK19">
        <v>31.774100000000001</v>
      </c>
      <c r="JL19">
        <v>31.7255</v>
      </c>
      <c r="JM19">
        <v>12.3249</v>
      </c>
      <c r="JN19">
        <v>21.677600000000002</v>
      </c>
      <c r="JO19">
        <v>33.251800000000003</v>
      </c>
      <c r="JP19">
        <v>25.047999999999998</v>
      </c>
      <c r="JQ19">
        <v>200</v>
      </c>
      <c r="JR19">
        <v>16.735299999999999</v>
      </c>
      <c r="JS19">
        <v>99.453999999999994</v>
      </c>
      <c r="JT19">
        <v>98.828800000000001</v>
      </c>
    </row>
    <row r="20" spans="1:280" x14ac:dyDescent="0.25">
      <c r="A20">
        <v>4</v>
      </c>
      <c r="B20">
        <v>1639680861</v>
      </c>
      <c r="C20">
        <v>378.5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1639680861</v>
      </c>
      <c r="J20">
        <f t="shared" si="0"/>
        <v>7.4173396818871121E-3</v>
      </c>
      <c r="K20">
        <f t="shared" si="1"/>
        <v>7.4173396818871122</v>
      </c>
      <c r="L20">
        <f t="shared" si="2"/>
        <v>22.826271712651653</v>
      </c>
      <c r="M20">
        <f t="shared" si="3"/>
        <v>91.802800000000005</v>
      </c>
      <c r="N20">
        <f t="shared" si="4"/>
        <v>29.09809675836355</v>
      </c>
      <c r="O20">
        <f t="shared" si="5"/>
        <v>2.8840127290571309</v>
      </c>
      <c r="P20">
        <f t="shared" si="6"/>
        <v>9.0988921358571986</v>
      </c>
      <c r="Q20">
        <f t="shared" si="7"/>
        <v>0.65717105591483083</v>
      </c>
      <c r="R20">
        <f t="shared" si="8"/>
        <v>2.9104369133298573</v>
      </c>
      <c r="S20">
        <f t="shared" si="9"/>
        <v>0.58451610957764344</v>
      </c>
      <c r="T20">
        <f t="shared" si="10"/>
        <v>0.37117874766924752</v>
      </c>
      <c r="U20">
        <f t="shared" si="11"/>
        <v>289.56704984752997</v>
      </c>
      <c r="V20">
        <f t="shared" si="12"/>
        <v>27.755131385591657</v>
      </c>
      <c r="W20">
        <f t="shared" si="13"/>
        <v>27.595400000000001</v>
      </c>
      <c r="X20">
        <f t="shared" si="14"/>
        <v>3.7062472442574017</v>
      </c>
      <c r="Y20">
        <f t="shared" si="15"/>
        <v>65.643443491834091</v>
      </c>
      <c r="Z20">
        <f t="shared" si="16"/>
        <v>2.4878268606591996</v>
      </c>
      <c r="AA20">
        <f t="shared" si="17"/>
        <v>3.7899091338325048</v>
      </c>
      <c r="AB20">
        <f t="shared" si="18"/>
        <v>1.2184203835982022</v>
      </c>
      <c r="AC20">
        <f t="shared" si="19"/>
        <v>-327.10467997122163</v>
      </c>
      <c r="AD20">
        <f t="shared" si="20"/>
        <v>59.985727643350792</v>
      </c>
      <c r="AE20">
        <f t="shared" si="21"/>
        <v>4.4830786882260973</v>
      </c>
      <c r="AF20">
        <f t="shared" si="22"/>
        <v>26.931176207885237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52135.405867679103</v>
      </c>
      <c r="AL20" t="s">
        <v>415</v>
      </c>
      <c r="AM20">
        <v>10204.299999999999</v>
      </c>
      <c r="AN20">
        <v>862.72538461538477</v>
      </c>
      <c r="AO20">
        <v>3252.56</v>
      </c>
      <c r="AP20">
        <f t="shared" si="26"/>
        <v>0.73475496697512588</v>
      </c>
      <c r="AQ20">
        <v>-6.6684750346205304</v>
      </c>
      <c r="AR20" t="s">
        <v>436</v>
      </c>
      <c r="AS20">
        <v>10079</v>
      </c>
      <c r="AT20">
        <v>765.42711999999995</v>
      </c>
      <c r="AU20">
        <v>962.73594767484872</v>
      </c>
      <c r="AV20">
        <f t="shared" si="27"/>
        <v>0.20494594405805566</v>
      </c>
      <c r="AW20">
        <v>0.5</v>
      </c>
      <c r="AX20">
        <f t="shared" si="28"/>
        <v>1513.1849999209999</v>
      </c>
      <c r="AY20">
        <f t="shared" si="29"/>
        <v>22.826271712651653</v>
      </c>
      <c r="AZ20">
        <f t="shared" si="30"/>
        <v>155.0605641716491</v>
      </c>
      <c r="BA20">
        <f t="shared" si="31"/>
        <v>1.9491831302062897E-2</v>
      </c>
      <c r="BB20">
        <f t="shared" si="32"/>
        <v>2.3784549209525401</v>
      </c>
      <c r="BC20">
        <f t="shared" si="33"/>
        <v>528.99594102120489</v>
      </c>
      <c r="BD20" t="s">
        <v>437</v>
      </c>
      <c r="BE20">
        <v>549.14</v>
      </c>
      <c r="BF20">
        <f t="shared" si="34"/>
        <v>549.14</v>
      </c>
      <c r="BG20">
        <f t="shared" si="35"/>
        <v>0.42960476200535025</v>
      </c>
      <c r="BH20">
        <f t="shared" si="36"/>
        <v>0.47705696534039654</v>
      </c>
      <c r="BI20">
        <f t="shared" si="37"/>
        <v>0.8470101028790018</v>
      </c>
      <c r="BJ20">
        <f t="shared" si="38"/>
        <v>1.9728798802735821</v>
      </c>
      <c r="BK20">
        <f t="shared" si="39"/>
        <v>0.9581516802812865</v>
      </c>
      <c r="BL20">
        <f t="shared" si="40"/>
        <v>0.34225474261615579</v>
      </c>
      <c r="BM20">
        <f t="shared" si="41"/>
        <v>0.65774525738384426</v>
      </c>
      <c r="BN20">
        <v>5102</v>
      </c>
      <c r="BO20">
        <v>290.00000000000011</v>
      </c>
      <c r="BP20">
        <v>912.63</v>
      </c>
      <c r="BQ20">
        <v>105</v>
      </c>
      <c r="BR20">
        <v>10079</v>
      </c>
      <c r="BS20">
        <v>912.33</v>
      </c>
      <c r="BT20">
        <v>0.3</v>
      </c>
      <c r="BU20">
        <v>300.00000000000011</v>
      </c>
      <c r="BV20">
        <v>24.1</v>
      </c>
      <c r="BW20">
        <v>962.73594767484872</v>
      </c>
      <c r="BX20">
        <v>1.756623862751737</v>
      </c>
      <c r="BY20">
        <v>-50.799594703773721</v>
      </c>
      <c r="BZ20">
        <v>1.5756062057432589</v>
      </c>
      <c r="CA20">
        <v>0.97377052918913576</v>
      </c>
      <c r="CB20">
        <v>-6.8585830923248168E-3</v>
      </c>
      <c r="CC20">
        <v>289.99999999999989</v>
      </c>
      <c r="CD20">
        <v>911.09</v>
      </c>
      <c r="CE20">
        <v>695</v>
      </c>
      <c r="CF20">
        <v>10053.700000000001</v>
      </c>
      <c r="CG20">
        <v>912.21</v>
      </c>
      <c r="CH20">
        <v>-1.1200000000000001</v>
      </c>
      <c r="CV20">
        <f t="shared" si="42"/>
        <v>1800</v>
      </c>
      <c r="CW20">
        <f t="shared" si="43"/>
        <v>1513.1849999209999</v>
      </c>
      <c r="CX20">
        <f t="shared" si="44"/>
        <v>0.84065833328944439</v>
      </c>
      <c r="CY20">
        <f t="shared" si="45"/>
        <v>0.16087058324862777</v>
      </c>
      <c r="CZ20">
        <v>6</v>
      </c>
      <c r="DA20">
        <v>0.5</v>
      </c>
      <c r="DB20" t="s">
        <v>418</v>
      </c>
      <c r="DC20">
        <v>2</v>
      </c>
      <c r="DD20">
        <v>1639680861</v>
      </c>
      <c r="DE20">
        <v>91.802800000000005</v>
      </c>
      <c r="DF20">
        <v>120.004</v>
      </c>
      <c r="DG20">
        <v>25.1008</v>
      </c>
      <c r="DH20">
        <v>16.425699999999999</v>
      </c>
      <c r="DI20">
        <v>92.572299999999998</v>
      </c>
      <c r="DJ20">
        <v>25.066299999999998</v>
      </c>
      <c r="DK20">
        <v>500.13200000000001</v>
      </c>
      <c r="DL20">
        <v>99.013499999999993</v>
      </c>
      <c r="DM20">
        <v>9.9948999999999996E-2</v>
      </c>
      <c r="DN20">
        <v>27.977699999999999</v>
      </c>
      <c r="DO20">
        <v>27.595400000000001</v>
      </c>
      <c r="DP20">
        <v>999.9</v>
      </c>
      <c r="DQ20">
        <v>0</v>
      </c>
      <c r="DR20">
        <v>0</v>
      </c>
      <c r="DS20">
        <v>9990</v>
      </c>
      <c r="DT20">
        <v>0</v>
      </c>
      <c r="DU20">
        <v>335.24700000000001</v>
      </c>
      <c r="DV20">
        <v>-28.2014</v>
      </c>
      <c r="DW20">
        <v>94.166399999999996</v>
      </c>
      <c r="DX20">
        <v>122.008</v>
      </c>
      <c r="DY20">
        <v>8.6751100000000001</v>
      </c>
      <c r="DZ20">
        <v>120.004</v>
      </c>
      <c r="EA20">
        <v>16.425699999999999</v>
      </c>
      <c r="EB20">
        <v>2.4853200000000002</v>
      </c>
      <c r="EC20">
        <v>1.6263700000000001</v>
      </c>
      <c r="ED20">
        <v>20.930700000000002</v>
      </c>
      <c r="EE20">
        <v>14.210900000000001</v>
      </c>
      <c r="EF20">
        <v>1800</v>
      </c>
      <c r="EG20">
        <v>0.97799199999999997</v>
      </c>
      <c r="EH20">
        <v>2.20079E-2</v>
      </c>
      <c r="EI20">
        <v>0</v>
      </c>
      <c r="EJ20">
        <v>764.95100000000002</v>
      </c>
      <c r="EK20">
        <v>5.0001199999999999</v>
      </c>
      <c r="EL20">
        <v>13570.5</v>
      </c>
      <c r="EM20">
        <v>15629.9</v>
      </c>
      <c r="EN20">
        <v>46.686999999999998</v>
      </c>
      <c r="EO20">
        <v>47.25</v>
      </c>
      <c r="EP20">
        <v>47.375</v>
      </c>
      <c r="EQ20">
        <v>47.186999999999998</v>
      </c>
      <c r="ER20">
        <v>48.25</v>
      </c>
      <c r="ES20">
        <v>1755.5</v>
      </c>
      <c r="ET20">
        <v>39.5</v>
      </c>
      <c r="EU20">
        <v>0</v>
      </c>
      <c r="EV20">
        <v>127.7999999523163</v>
      </c>
      <c r="EW20">
        <v>0</v>
      </c>
      <c r="EX20">
        <v>765.42711999999995</v>
      </c>
      <c r="EY20">
        <v>-3.1913076759155592</v>
      </c>
      <c r="EZ20">
        <v>-60.453846071199287</v>
      </c>
      <c r="FA20">
        <v>13577.76</v>
      </c>
      <c r="FB20">
        <v>15</v>
      </c>
      <c r="FC20">
        <v>1639680818.5</v>
      </c>
      <c r="FD20" t="s">
        <v>438</v>
      </c>
      <c r="FE20">
        <v>1639680804</v>
      </c>
      <c r="FF20">
        <v>1639680818.5</v>
      </c>
      <c r="FG20">
        <v>9</v>
      </c>
      <c r="FH20">
        <v>7.0000000000000007E-2</v>
      </c>
      <c r="FI20">
        <v>2E-3</v>
      </c>
      <c r="FJ20">
        <v>-0.81299999999999994</v>
      </c>
      <c r="FK20">
        <v>-8.7999999999999995E-2</v>
      </c>
      <c r="FL20">
        <v>120</v>
      </c>
      <c r="FM20">
        <v>17</v>
      </c>
      <c r="FN20">
        <v>0.05</v>
      </c>
      <c r="FO20">
        <v>0.01</v>
      </c>
      <c r="FP20">
        <v>22.842182913372479</v>
      </c>
      <c r="FQ20">
        <v>8.5886448191137971E-2</v>
      </c>
      <c r="FR20">
        <v>1.888163533755749E-2</v>
      </c>
      <c r="FS20">
        <v>1</v>
      </c>
      <c r="FT20">
        <v>0.65784994610851633</v>
      </c>
      <c r="FU20">
        <v>4.7433226131795743E-2</v>
      </c>
      <c r="FV20">
        <v>5.1034888203681014E-3</v>
      </c>
      <c r="FW20">
        <v>1</v>
      </c>
      <c r="FX20">
        <v>2</v>
      </c>
      <c r="FY20">
        <v>2</v>
      </c>
      <c r="FZ20" t="s">
        <v>420</v>
      </c>
      <c r="GA20">
        <v>2.9200300000000001</v>
      </c>
      <c r="GB20">
        <v>2.7448399999999999</v>
      </c>
      <c r="GC20">
        <v>2.5251200000000001E-2</v>
      </c>
      <c r="GD20">
        <v>3.2967200000000002E-2</v>
      </c>
      <c r="GE20">
        <v>0.119695</v>
      </c>
      <c r="GF20">
        <v>8.9943700000000001E-2</v>
      </c>
      <c r="GG20">
        <v>30364</v>
      </c>
      <c r="GH20">
        <v>29821.3</v>
      </c>
      <c r="GI20">
        <v>28362.9</v>
      </c>
      <c r="GJ20">
        <v>28202.9</v>
      </c>
      <c r="GK20">
        <v>34272.1</v>
      </c>
      <c r="GL20">
        <v>36043.9</v>
      </c>
      <c r="GM20">
        <v>42686.9</v>
      </c>
      <c r="GN20">
        <v>43877.2</v>
      </c>
      <c r="GO20">
        <v>1.7927200000000001</v>
      </c>
      <c r="GP20">
        <v>1.9644299999999999</v>
      </c>
      <c r="GQ20">
        <v>1.6935200000000001E-2</v>
      </c>
      <c r="GR20">
        <v>0</v>
      </c>
      <c r="GS20">
        <v>27.3187</v>
      </c>
      <c r="GT20">
        <v>999.9</v>
      </c>
      <c r="GU20">
        <v>34.9</v>
      </c>
      <c r="GV20">
        <v>36.200000000000003</v>
      </c>
      <c r="GW20">
        <v>21.271799999999999</v>
      </c>
      <c r="GX20">
        <v>60.904899999999998</v>
      </c>
      <c r="GY20">
        <v>30.9816</v>
      </c>
      <c r="GZ20">
        <v>1</v>
      </c>
      <c r="HA20">
        <v>0.37313800000000003</v>
      </c>
      <c r="HB20">
        <v>2.3532799999999998</v>
      </c>
      <c r="HC20">
        <v>20.256499999999999</v>
      </c>
      <c r="HD20">
        <v>5.2752400000000002</v>
      </c>
      <c r="HE20">
        <v>12.0878</v>
      </c>
      <c r="HF20">
        <v>5.01335</v>
      </c>
      <c r="HG20">
        <v>3.2919999999999998</v>
      </c>
      <c r="HH20">
        <v>9999</v>
      </c>
      <c r="HI20">
        <v>9999</v>
      </c>
      <c r="HJ20">
        <v>9999</v>
      </c>
      <c r="HK20">
        <v>999.9</v>
      </c>
      <c r="HL20">
        <v>1.8752899999999999</v>
      </c>
      <c r="HM20">
        <v>1.87574</v>
      </c>
      <c r="HN20">
        <v>1.8754900000000001</v>
      </c>
      <c r="HO20">
        <v>1.8794299999999999</v>
      </c>
      <c r="HP20">
        <v>1.87286</v>
      </c>
      <c r="HQ20">
        <v>1.8760699999999999</v>
      </c>
      <c r="HR20">
        <v>1.87582</v>
      </c>
      <c r="HS20">
        <v>1.8772500000000001</v>
      </c>
      <c r="HT20">
        <v>0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-0.76900000000000002</v>
      </c>
      <c r="IH20">
        <v>3.4500000000000003E-2</v>
      </c>
      <c r="II20">
        <v>-0.62655167919130617</v>
      </c>
      <c r="IJ20">
        <v>-1.5404112972462821E-3</v>
      </c>
      <c r="IK20">
        <v>-5.8697186733976997E-8</v>
      </c>
      <c r="IL20">
        <v>1.160237123038427E-10</v>
      </c>
      <c r="IM20">
        <v>-0.14890663194485329</v>
      </c>
      <c r="IN20">
        <v>-3.128848753924141E-3</v>
      </c>
      <c r="IO20">
        <v>3.6841110403368089E-4</v>
      </c>
      <c r="IP20">
        <v>1.9296040270694169E-6</v>
      </c>
      <c r="IQ20">
        <v>1</v>
      </c>
      <c r="IR20">
        <v>1992</v>
      </c>
      <c r="IS20">
        <v>2</v>
      </c>
      <c r="IT20">
        <v>27</v>
      </c>
      <c r="IU20">
        <v>0.9</v>
      </c>
      <c r="IV20">
        <v>0.7</v>
      </c>
      <c r="IW20">
        <v>0.42968800000000001</v>
      </c>
      <c r="IX20">
        <v>2.6928700000000001</v>
      </c>
      <c r="IY20">
        <v>1.69434</v>
      </c>
      <c r="IZ20">
        <v>2.34985</v>
      </c>
      <c r="JA20">
        <v>1.5466299999999999</v>
      </c>
      <c r="JB20">
        <v>2.4121100000000002</v>
      </c>
      <c r="JC20">
        <v>40.044699999999999</v>
      </c>
      <c r="JD20">
        <v>24.026199999999999</v>
      </c>
      <c r="JE20">
        <v>18</v>
      </c>
      <c r="JF20">
        <v>532.70699999999999</v>
      </c>
      <c r="JG20">
        <v>529.779</v>
      </c>
      <c r="JH20">
        <v>25.2012</v>
      </c>
      <c r="JI20">
        <v>31.807700000000001</v>
      </c>
      <c r="JJ20">
        <v>29.9999</v>
      </c>
      <c r="JK20">
        <v>31.767900000000001</v>
      </c>
      <c r="JL20">
        <v>31.717099999999999</v>
      </c>
      <c r="JM20">
        <v>8.6725100000000008</v>
      </c>
      <c r="JN20">
        <v>22.9694</v>
      </c>
      <c r="JO20">
        <v>32.851399999999998</v>
      </c>
      <c r="JP20">
        <v>25.209800000000001</v>
      </c>
      <c r="JQ20">
        <v>120</v>
      </c>
      <c r="JR20">
        <v>16.391999999999999</v>
      </c>
      <c r="JS20">
        <v>99.457700000000003</v>
      </c>
      <c r="JT20">
        <v>98.825400000000002</v>
      </c>
    </row>
    <row r="21" spans="1:280" x14ac:dyDescent="0.25">
      <c r="A21">
        <v>5</v>
      </c>
      <c r="B21">
        <v>1639680981</v>
      </c>
      <c r="C21">
        <v>498.5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1639680981</v>
      </c>
      <c r="J21">
        <f t="shared" si="0"/>
        <v>7.6839322596511652E-3</v>
      </c>
      <c r="K21">
        <f t="shared" si="1"/>
        <v>7.683932259651165</v>
      </c>
      <c r="L21">
        <f t="shared" si="2"/>
        <v>13.888222440969621</v>
      </c>
      <c r="M21">
        <f t="shared" si="3"/>
        <v>52.898600000000002</v>
      </c>
      <c r="N21">
        <f t="shared" si="4"/>
        <v>16.596375701154297</v>
      </c>
      <c r="O21">
        <f t="shared" si="5"/>
        <v>1.6449786387172523</v>
      </c>
      <c r="P21">
        <f t="shared" si="6"/>
        <v>5.2431367296653999</v>
      </c>
      <c r="Q21">
        <f t="shared" si="7"/>
        <v>0.69396279110948034</v>
      </c>
      <c r="R21">
        <f t="shared" si="8"/>
        <v>2.9144274572852646</v>
      </c>
      <c r="S21">
        <f t="shared" si="9"/>
        <v>0.61357307394069616</v>
      </c>
      <c r="T21">
        <f t="shared" si="10"/>
        <v>0.38992706527507731</v>
      </c>
      <c r="U21">
        <f t="shared" si="11"/>
        <v>289.57720484749649</v>
      </c>
      <c r="V21">
        <f t="shared" si="12"/>
        <v>27.706059786515613</v>
      </c>
      <c r="W21">
        <f t="shared" si="13"/>
        <v>27.536000000000001</v>
      </c>
      <c r="X21">
        <f t="shared" si="14"/>
        <v>3.693393984699286</v>
      </c>
      <c r="Y21">
        <f t="shared" si="15"/>
        <v>65.64593969853469</v>
      </c>
      <c r="Z21">
        <f t="shared" si="16"/>
        <v>2.4908532094394999</v>
      </c>
      <c r="AA21">
        <f t="shared" si="17"/>
        <v>3.7943751294874057</v>
      </c>
      <c r="AB21">
        <f t="shared" si="18"/>
        <v>1.2025407752597861</v>
      </c>
      <c r="AC21">
        <f t="shared" si="19"/>
        <v>-338.86141265061639</v>
      </c>
      <c r="AD21">
        <f t="shared" si="20"/>
        <v>72.574934980341666</v>
      </c>
      <c r="AE21">
        <f t="shared" si="21"/>
        <v>5.4154581598554987</v>
      </c>
      <c r="AF21">
        <f t="shared" si="22"/>
        <v>28.706185337077287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52246.202006425636</v>
      </c>
      <c r="AL21" t="s">
        <v>415</v>
      </c>
      <c r="AM21">
        <v>10204.299999999999</v>
      </c>
      <c r="AN21">
        <v>862.72538461538477</v>
      </c>
      <c r="AO21">
        <v>3252.56</v>
      </c>
      <c r="AP21">
        <f t="shared" si="26"/>
        <v>0.73475496697512588</v>
      </c>
      <c r="AQ21">
        <v>-6.6684750346205304</v>
      </c>
      <c r="AR21" t="s">
        <v>441</v>
      </c>
      <c r="AS21">
        <v>10073.1</v>
      </c>
      <c r="AT21">
        <v>780.74607999999989</v>
      </c>
      <c r="AU21">
        <v>904.99919900178395</v>
      </c>
      <c r="AV21">
        <f t="shared" si="27"/>
        <v>0.13729638560877788</v>
      </c>
      <c r="AW21">
        <v>0.5</v>
      </c>
      <c r="AX21">
        <f t="shared" si="28"/>
        <v>1513.2356999209826</v>
      </c>
      <c r="AY21">
        <f t="shared" si="29"/>
        <v>13.888222440969621</v>
      </c>
      <c r="AZ21">
        <f t="shared" si="30"/>
        <v>103.88089608666006</v>
      </c>
      <c r="BA21">
        <f t="shared" si="31"/>
        <v>1.3584597215531969E-2</v>
      </c>
      <c r="BB21">
        <f t="shared" si="32"/>
        <v>2.5939921312500394</v>
      </c>
      <c r="BC21">
        <f t="shared" si="33"/>
        <v>511.08005809065043</v>
      </c>
      <c r="BD21" t="s">
        <v>442</v>
      </c>
      <c r="BE21">
        <v>546.6</v>
      </c>
      <c r="BF21">
        <f t="shared" si="34"/>
        <v>546.6</v>
      </c>
      <c r="BG21">
        <f t="shared" si="35"/>
        <v>0.39602156487773577</v>
      </c>
      <c r="BH21">
        <f t="shared" si="36"/>
        <v>0.34668916489728424</v>
      </c>
      <c r="BI21">
        <f t="shared" si="37"/>
        <v>0.867551922791991</v>
      </c>
      <c r="BJ21">
        <f t="shared" si="38"/>
        <v>2.9392455070664312</v>
      </c>
      <c r="BK21">
        <f t="shared" si="39"/>
        <v>0.98231098749919332</v>
      </c>
      <c r="BL21">
        <f t="shared" si="40"/>
        <v>0.24271693753858564</v>
      </c>
      <c r="BM21">
        <f t="shared" si="41"/>
        <v>0.75728306246141441</v>
      </c>
      <c r="BN21">
        <v>5104</v>
      </c>
      <c r="BO21">
        <v>290.00000000000011</v>
      </c>
      <c r="BP21">
        <v>870.64</v>
      </c>
      <c r="BQ21">
        <v>165</v>
      </c>
      <c r="BR21">
        <v>10073.1</v>
      </c>
      <c r="BS21">
        <v>870.11</v>
      </c>
      <c r="BT21">
        <v>0.53</v>
      </c>
      <c r="BU21">
        <v>300.00000000000011</v>
      </c>
      <c r="BV21">
        <v>24.1</v>
      </c>
      <c r="BW21">
        <v>904.99919900178395</v>
      </c>
      <c r="BX21">
        <v>2.196135490822178</v>
      </c>
      <c r="BY21">
        <v>-35.147331855793247</v>
      </c>
      <c r="BZ21">
        <v>1.969836349749728</v>
      </c>
      <c r="CA21">
        <v>0.91916027140633583</v>
      </c>
      <c r="CB21">
        <v>-6.8584867630700746E-3</v>
      </c>
      <c r="CC21">
        <v>289.99999999999989</v>
      </c>
      <c r="CD21">
        <v>867.91</v>
      </c>
      <c r="CE21">
        <v>645</v>
      </c>
      <c r="CF21">
        <v>10055.799999999999</v>
      </c>
      <c r="CG21">
        <v>870.05</v>
      </c>
      <c r="CH21">
        <v>-2.14</v>
      </c>
      <c r="CV21">
        <f t="shared" si="42"/>
        <v>1800.06</v>
      </c>
      <c r="CW21">
        <f t="shared" si="43"/>
        <v>1513.2356999209826</v>
      </c>
      <c r="CX21">
        <f t="shared" si="44"/>
        <v>0.84065847800683458</v>
      </c>
      <c r="CY21">
        <f t="shared" si="45"/>
        <v>0.16087086255319072</v>
      </c>
      <c r="CZ21">
        <v>6</v>
      </c>
      <c r="DA21">
        <v>0.5</v>
      </c>
      <c r="DB21" t="s">
        <v>418</v>
      </c>
      <c r="DC21">
        <v>2</v>
      </c>
      <c r="DD21">
        <v>1639680981</v>
      </c>
      <c r="DE21">
        <v>52.898600000000002</v>
      </c>
      <c r="DF21">
        <v>70.0488</v>
      </c>
      <c r="DG21">
        <v>25.130500000000001</v>
      </c>
      <c r="DH21">
        <v>16.1433</v>
      </c>
      <c r="DI21">
        <v>53.677999999999997</v>
      </c>
      <c r="DJ21">
        <v>25.0977</v>
      </c>
      <c r="DK21">
        <v>500.1</v>
      </c>
      <c r="DL21">
        <v>99.0167</v>
      </c>
      <c r="DM21">
        <v>0.100039</v>
      </c>
      <c r="DN21">
        <v>27.997900000000001</v>
      </c>
      <c r="DO21">
        <v>27.536000000000001</v>
      </c>
      <c r="DP21">
        <v>999.9</v>
      </c>
      <c r="DQ21">
        <v>0</v>
      </c>
      <c r="DR21">
        <v>0</v>
      </c>
      <c r="DS21">
        <v>10012.5</v>
      </c>
      <c r="DT21">
        <v>0</v>
      </c>
      <c r="DU21">
        <v>353.33499999999998</v>
      </c>
      <c r="DV21">
        <v>-17.150300000000001</v>
      </c>
      <c r="DW21">
        <v>54.2622</v>
      </c>
      <c r="DX21">
        <v>71.1982</v>
      </c>
      <c r="DY21">
        <v>8.9872599999999991</v>
      </c>
      <c r="DZ21">
        <v>70.0488</v>
      </c>
      <c r="EA21">
        <v>16.1433</v>
      </c>
      <c r="EB21">
        <v>2.48834</v>
      </c>
      <c r="EC21">
        <v>1.5984499999999999</v>
      </c>
      <c r="ED21">
        <v>20.950500000000002</v>
      </c>
      <c r="EE21">
        <v>13.943899999999999</v>
      </c>
      <c r="EF21">
        <v>1800.06</v>
      </c>
      <c r="EG21">
        <v>0.97799199999999997</v>
      </c>
      <c r="EH21">
        <v>2.2008E-2</v>
      </c>
      <c r="EI21">
        <v>0</v>
      </c>
      <c r="EJ21">
        <v>779.67899999999997</v>
      </c>
      <c r="EK21">
        <v>5.0001199999999999</v>
      </c>
      <c r="EL21">
        <v>13838.7</v>
      </c>
      <c r="EM21">
        <v>15630.5</v>
      </c>
      <c r="EN21">
        <v>46.686999999999998</v>
      </c>
      <c r="EO21">
        <v>47.25</v>
      </c>
      <c r="EP21">
        <v>47.375</v>
      </c>
      <c r="EQ21">
        <v>47.125</v>
      </c>
      <c r="ER21">
        <v>48.25</v>
      </c>
      <c r="ES21">
        <v>1755.55</v>
      </c>
      <c r="ET21">
        <v>39.51</v>
      </c>
      <c r="EU21">
        <v>0</v>
      </c>
      <c r="EV21">
        <v>118.2000000476837</v>
      </c>
      <c r="EW21">
        <v>0</v>
      </c>
      <c r="EX21">
        <v>780.74607999999989</v>
      </c>
      <c r="EY21">
        <v>-2.670615414366063</v>
      </c>
      <c r="EZ21">
        <v>-59.353846036565393</v>
      </c>
      <c r="FA21">
        <v>13845.191999999999</v>
      </c>
      <c r="FB21">
        <v>15</v>
      </c>
      <c r="FC21">
        <v>1639680940.5</v>
      </c>
      <c r="FD21" t="s">
        <v>443</v>
      </c>
      <c r="FE21">
        <v>1639680934</v>
      </c>
      <c r="FF21">
        <v>1639680940.5</v>
      </c>
      <c r="FG21">
        <v>10</v>
      </c>
      <c r="FH21">
        <v>-7.0000000000000007E-2</v>
      </c>
      <c r="FI21">
        <v>-2E-3</v>
      </c>
      <c r="FJ21">
        <v>-0.80600000000000005</v>
      </c>
      <c r="FK21">
        <v>-9.7000000000000003E-2</v>
      </c>
      <c r="FL21">
        <v>70</v>
      </c>
      <c r="FM21">
        <v>16</v>
      </c>
      <c r="FN21">
        <v>0.15</v>
      </c>
      <c r="FO21">
        <v>0.01</v>
      </c>
      <c r="FP21">
        <v>13.84236713379371</v>
      </c>
      <c r="FQ21">
        <v>7.5703179030781548E-3</v>
      </c>
      <c r="FR21">
        <v>3.2823809345817162E-2</v>
      </c>
      <c r="FS21">
        <v>1</v>
      </c>
      <c r="FT21">
        <v>0.69313990207379861</v>
      </c>
      <c r="FU21">
        <v>4.6955064648924863E-2</v>
      </c>
      <c r="FV21">
        <v>7.0778964659548253E-3</v>
      </c>
      <c r="FW21">
        <v>1</v>
      </c>
      <c r="FX21">
        <v>2</v>
      </c>
      <c r="FY21">
        <v>2</v>
      </c>
      <c r="FZ21" t="s">
        <v>420</v>
      </c>
      <c r="GA21">
        <v>2.9200300000000001</v>
      </c>
      <c r="GB21">
        <v>2.74512</v>
      </c>
      <c r="GC21">
        <v>1.4874E-2</v>
      </c>
      <c r="GD21">
        <v>1.9716399999999999E-2</v>
      </c>
      <c r="GE21">
        <v>0.119812</v>
      </c>
      <c r="GF21">
        <v>8.8829400000000003E-2</v>
      </c>
      <c r="GG21">
        <v>30688.6</v>
      </c>
      <c r="GH21">
        <v>30232.799999999999</v>
      </c>
      <c r="GI21">
        <v>28364.400000000001</v>
      </c>
      <c r="GJ21">
        <v>28205.8</v>
      </c>
      <c r="GK21">
        <v>34269.1</v>
      </c>
      <c r="GL21">
        <v>36091.1</v>
      </c>
      <c r="GM21">
        <v>42689</v>
      </c>
      <c r="GN21">
        <v>43880.800000000003</v>
      </c>
      <c r="GO21">
        <v>1.79305</v>
      </c>
      <c r="GP21">
        <v>1.9642999999999999</v>
      </c>
      <c r="GQ21">
        <v>1.5601500000000001E-2</v>
      </c>
      <c r="GR21">
        <v>0</v>
      </c>
      <c r="GS21">
        <v>27.280999999999999</v>
      </c>
      <c r="GT21">
        <v>999.9</v>
      </c>
      <c r="GU21">
        <v>34.6</v>
      </c>
      <c r="GV21">
        <v>36.200000000000003</v>
      </c>
      <c r="GW21">
        <v>21.085100000000001</v>
      </c>
      <c r="GX21">
        <v>60.994900000000001</v>
      </c>
      <c r="GY21">
        <v>30.588899999999999</v>
      </c>
      <c r="GZ21">
        <v>1</v>
      </c>
      <c r="HA21">
        <v>0.36893500000000001</v>
      </c>
      <c r="HB21">
        <v>2.2934199999999998</v>
      </c>
      <c r="HC21">
        <v>20.257200000000001</v>
      </c>
      <c r="HD21">
        <v>5.2746399999999998</v>
      </c>
      <c r="HE21">
        <v>12.0878</v>
      </c>
      <c r="HF21">
        <v>5.0134499999999997</v>
      </c>
      <c r="HG21">
        <v>3.2919999999999998</v>
      </c>
      <c r="HH21">
        <v>9999</v>
      </c>
      <c r="HI21">
        <v>9999</v>
      </c>
      <c r="HJ21">
        <v>9999</v>
      </c>
      <c r="HK21">
        <v>999.9</v>
      </c>
      <c r="HL21">
        <v>1.8753</v>
      </c>
      <c r="HM21">
        <v>1.87575</v>
      </c>
      <c r="HN21">
        <v>1.87548</v>
      </c>
      <c r="HO21">
        <v>1.8794299999999999</v>
      </c>
      <c r="HP21">
        <v>1.87286</v>
      </c>
      <c r="HQ21">
        <v>1.8760699999999999</v>
      </c>
      <c r="HR21">
        <v>1.87581</v>
      </c>
      <c r="HS21">
        <v>1.87721</v>
      </c>
      <c r="HT21">
        <v>0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-0.77900000000000003</v>
      </c>
      <c r="IH21">
        <v>3.2800000000000003E-2</v>
      </c>
      <c r="II21">
        <v>-0.69661759933434864</v>
      </c>
      <c r="IJ21">
        <v>-1.5404112972462821E-3</v>
      </c>
      <c r="IK21">
        <v>-5.8697186733976997E-8</v>
      </c>
      <c r="IL21">
        <v>1.160237123038427E-10</v>
      </c>
      <c r="IM21">
        <v>-0.15122984536272699</v>
      </c>
      <c r="IN21">
        <v>-3.128848753924141E-3</v>
      </c>
      <c r="IO21">
        <v>3.6841110403368089E-4</v>
      </c>
      <c r="IP21">
        <v>1.9296040270694169E-6</v>
      </c>
      <c r="IQ21">
        <v>1</v>
      </c>
      <c r="IR21">
        <v>1992</v>
      </c>
      <c r="IS21">
        <v>2</v>
      </c>
      <c r="IT21">
        <v>27</v>
      </c>
      <c r="IU21">
        <v>0.8</v>
      </c>
      <c r="IV21">
        <v>0.7</v>
      </c>
      <c r="IW21">
        <v>0.31494100000000003</v>
      </c>
      <c r="IX21">
        <v>2.7099600000000001</v>
      </c>
      <c r="IY21">
        <v>1.69434</v>
      </c>
      <c r="IZ21">
        <v>2.34985</v>
      </c>
      <c r="JA21">
        <v>1.5466299999999999</v>
      </c>
      <c r="JB21">
        <v>2.33643</v>
      </c>
      <c r="JC21">
        <v>40.044699999999999</v>
      </c>
      <c r="JD21">
        <v>24.026199999999999</v>
      </c>
      <c r="JE21">
        <v>18</v>
      </c>
      <c r="JF21">
        <v>532.66999999999996</v>
      </c>
      <c r="JG21">
        <v>529.43299999999999</v>
      </c>
      <c r="JH21">
        <v>25.229800000000001</v>
      </c>
      <c r="JI21">
        <v>31.765599999999999</v>
      </c>
      <c r="JJ21">
        <v>29.9999</v>
      </c>
      <c r="JK21">
        <v>31.736699999999999</v>
      </c>
      <c r="JL21">
        <v>31.689399999999999</v>
      </c>
      <c r="JM21">
        <v>6.38232</v>
      </c>
      <c r="JN21">
        <v>23.931100000000001</v>
      </c>
      <c r="JO21">
        <v>32.305</v>
      </c>
      <c r="JP21">
        <v>25.236000000000001</v>
      </c>
      <c r="JQ21">
        <v>70</v>
      </c>
      <c r="JR21">
        <v>16.026</v>
      </c>
      <c r="JS21">
        <v>99.462699999999998</v>
      </c>
      <c r="JT21">
        <v>98.834400000000002</v>
      </c>
    </row>
    <row r="22" spans="1:280" x14ac:dyDescent="0.25">
      <c r="A22">
        <v>6</v>
      </c>
      <c r="B22">
        <v>1639681106</v>
      </c>
      <c r="C22">
        <v>623.5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1639681106</v>
      </c>
      <c r="J22">
        <f t="shared" si="0"/>
        <v>8.0901636597689609E-3</v>
      </c>
      <c r="K22">
        <f t="shared" si="1"/>
        <v>8.0901636597689617</v>
      </c>
      <c r="L22">
        <f t="shared" si="2"/>
        <v>6.2188227752088041</v>
      </c>
      <c r="M22">
        <f t="shared" si="3"/>
        <v>22.307200000000002</v>
      </c>
      <c r="N22">
        <f t="shared" si="4"/>
        <v>6.9941275268647614</v>
      </c>
      <c r="O22">
        <f t="shared" si="5"/>
        <v>0.6932357770550851</v>
      </c>
      <c r="P22">
        <f t="shared" si="6"/>
        <v>2.2110190394048002</v>
      </c>
      <c r="Q22">
        <f t="shared" si="7"/>
        <v>0.74178037846500966</v>
      </c>
      <c r="R22">
        <f t="shared" si="8"/>
        <v>2.9087395066418171</v>
      </c>
      <c r="S22">
        <f t="shared" si="9"/>
        <v>0.65055086339831636</v>
      </c>
      <c r="T22">
        <f t="shared" si="10"/>
        <v>0.41385222031027807</v>
      </c>
      <c r="U22">
        <f t="shared" si="11"/>
        <v>289.54296884763392</v>
      </c>
      <c r="V22">
        <f t="shared" si="12"/>
        <v>27.586245367568264</v>
      </c>
      <c r="W22">
        <f t="shared" si="13"/>
        <v>27.5124</v>
      </c>
      <c r="X22">
        <f t="shared" si="14"/>
        <v>3.6882981104167376</v>
      </c>
      <c r="Y22">
        <f t="shared" si="15"/>
        <v>65.781537297210292</v>
      </c>
      <c r="Z22">
        <f t="shared" si="16"/>
        <v>2.4941363640423999</v>
      </c>
      <c r="AA22">
        <f t="shared" si="17"/>
        <v>3.7915446590637414</v>
      </c>
      <c r="AB22">
        <f t="shared" si="18"/>
        <v>1.1941617463743377</v>
      </c>
      <c r="AC22">
        <f t="shared" si="19"/>
        <v>-356.77621739581116</v>
      </c>
      <c r="AD22">
        <f t="shared" si="20"/>
        <v>74.126906316136157</v>
      </c>
      <c r="AE22">
        <f t="shared" si="21"/>
        <v>5.5410748223811179</v>
      </c>
      <c r="AF22">
        <f t="shared" si="22"/>
        <v>12.434732590340033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52085.628962805073</v>
      </c>
      <c r="AL22" t="s">
        <v>415</v>
      </c>
      <c r="AM22">
        <v>10204.299999999999</v>
      </c>
      <c r="AN22">
        <v>862.72538461538477</v>
      </c>
      <c r="AO22">
        <v>3252.56</v>
      </c>
      <c r="AP22">
        <f t="shared" si="26"/>
        <v>0.73475496697512588</v>
      </c>
      <c r="AQ22">
        <v>-6.6684750346205304</v>
      </c>
      <c r="AR22" t="s">
        <v>446</v>
      </c>
      <c r="AS22">
        <v>10084</v>
      </c>
      <c r="AT22">
        <v>795.53163999999992</v>
      </c>
      <c r="AU22">
        <v>870.44199537175666</v>
      </c>
      <c r="AV22">
        <f t="shared" si="27"/>
        <v>8.6060134701753777E-2</v>
      </c>
      <c r="AW22">
        <v>0.5</v>
      </c>
      <c r="AX22">
        <f t="shared" si="28"/>
        <v>1513.0664999210539</v>
      </c>
      <c r="AY22">
        <f t="shared" si="29"/>
        <v>6.2188227752088041</v>
      </c>
      <c r="AZ22">
        <f t="shared" si="30"/>
        <v>65.107353397958505</v>
      </c>
      <c r="BA22">
        <f t="shared" si="31"/>
        <v>8.5173373480291487E-3</v>
      </c>
      <c r="BB22">
        <f t="shared" si="32"/>
        <v>2.7366763291457068</v>
      </c>
      <c r="BC22">
        <f t="shared" si="33"/>
        <v>499.87280935577849</v>
      </c>
      <c r="BD22" t="s">
        <v>447</v>
      </c>
      <c r="BE22">
        <v>558.54</v>
      </c>
      <c r="BF22">
        <f t="shared" si="34"/>
        <v>558.54</v>
      </c>
      <c r="BG22">
        <f t="shared" si="35"/>
        <v>0.35832599648244989</v>
      </c>
      <c r="BH22">
        <f t="shared" si="36"/>
        <v>0.24017273529292724</v>
      </c>
      <c r="BI22">
        <f t="shared" si="37"/>
        <v>0.88422432076534074</v>
      </c>
      <c r="BJ22">
        <f t="shared" si="38"/>
        <v>9.707675783685275</v>
      </c>
      <c r="BK22">
        <f t="shared" si="39"/>
        <v>0.99677106913311242</v>
      </c>
      <c r="BL22">
        <f t="shared" si="40"/>
        <v>0.16862444285749789</v>
      </c>
      <c r="BM22">
        <f t="shared" si="41"/>
        <v>0.83137555714250211</v>
      </c>
      <c r="BN22">
        <v>5106</v>
      </c>
      <c r="BO22">
        <v>290.00000000000011</v>
      </c>
      <c r="BP22">
        <v>846.73</v>
      </c>
      <c r="BQ22">
        <v>65</v>
      </c>
      <c r="BR22">
        <v>10084</v>
      </c>
      <c r="BS22">
        <v>844.84</v>
      </c>
      <c r="BT22">
        <v>1.89</v>
      </c>
      <c r="BU22">
        <v>300.00000000000011</v>
      </c>
      <c r="BV22">
        <v>24.1</v>
      </c>
      <c r="BW22">
        <v>870.44199537175666</v>
      </c>
      <c r="BX22">
        <v>1.901267395654813</v>
      </c>
      <c r="BY22">
        <v>-25.818032447318799</v>
      </c>
      <c r="BZ22">
        <v>1.7053992229309849</v>
      </c>
      <c r="CA22">
        <v>0.89113073496701545</v>
      </c>
      <c r="CB22">
        <v>-6.8585119021134511E-3</v>
      </c>
      <c r="CC22">
        <v>289.99999999999989</v>
      </c>
      <c r="CD22">
        <v>841.66</v>
      </c>
      <c r="CE22">
        <v>665</v>
      </c>
      <c r="CF22">
        <v>10055.200000000001</v>
      </c>
      <c r="CG22">
        <v>844.77</v>
      </c>
      <c r="CH22">
        <v>-3.11</v>
      </c>
      <c r="CV22">
        <f t="shared" si="42"/>
        <v>1799.86</v>
      </c>
      <c r="CW22">
        <f t="shared" si="43"/>
        <v>1513.0664999210539</v>
      </c>
      <c r="CX22">
        <f t="shared" si="44"/>
        <v>0.84065788445826561</v>
      </c>
      <c r="CY22">
        <f t="shared" si="45"/>
        <v>0.16086971700445254</v>
      </c>
      <c r="CZ22">
        <v>6</v>
      </c>
      <c r="DA22">
        <v>0.5</v>
      </c>
      <c r="DB22" t="s">
        <v>418</v>
      </c>
      <c r="DC22">
        <v>2</v>
      </c>
      <c r="DD22">
        <v>1639681106</v>
      </c>
      <c r="DE22">
        <v>22.307200000000002</v>
      </c>
      <c r="DF22">
        <v>29.984400000000001</v>
      </c>
      <c r="DG22">
        <v>25.163599999999999</v>
      </c>
      <c r="DH22">
        <v>15.7021</v>
      </c>
      <c r="DI22">
        <v>22.995799999999999</v>
      </c>
      <c r="DJ22">
        <v>25.1281</v>
      </c>
      <c r="DK22">
        <v>500.12700000000001</v>
      </c>
      <c r="DL22">
        <v>99.016499999999994</v>
      </c>
      <c r="DM22">
        <v>0.10033400000000001</v>
      </c>
      <c r="DN22">
        <v>27.985099999999999</v>
      </c>
      <c r="DO22">
        <v>27.5124</v>
      </c>
      <c r="DP22">
        <v>999.9</v>
      </c>
      <c r="DQ22">
        <v>0</v>
      </c>
      <c r="DR22">
        <v>0</v>
      </c>
      <c r="DS22">
        <v>9980</v>
      </c>
      <c r="DT22">
        <v>0</v>
      </c>
      <c r="DU22">
        <v>361.93700000000001</v>
      </c>
      <c r="DV22">
        <v>-7.6771799999999999</v>
      </c>
      <c r="DW22">
        <v>22.882999999999999</v>
      </c>
      <c r="DX22">
        <v>30.462700000000002</v>
      </c>
      <c r="DY22">
        <v>9.4615200000000002</v>
      </c>
      <c r="DZ22">
        <v>29.984400000000001</v>
      </c>
      <c r="EA22">
        <v>15.7021</v>
      </c>
      <c r="EB22">
        <v>2.4916100000000001</v>
      </c>
      <c r="EC22">
        <v>1.55477</v>
      </c>
      <c r="ED22">
        <v>20.971800000000002</v>
      </c>
      <c r="EE22">
        <v>13.5176</v>
      </c>
      <c r="EF22">
        <v>1799.86</v>
      </c>
      <c r="EG22">
        <v>0.97800900000000002</v>
      </c>
      <c r="EH22">
        <v>2.1990900000000001E-2</v>
      </c>
      <c r="EI22">
        <v>0</v>
      </c>
      <c r="EJ22">
        <v>795.68799999999999</v>
      </c>
      <c r="EK22">
        <v>5.0001199999999999</v>
      </c>
      <c r="EL22">
        <v>14104.4</v>
      </c>
      <c r="EM22">
        <v>15628.8</v>
      </c>
      <c r="EN22">
        <v>46.625</v>
      </c>
      <c r="EO22">
        <v>47.25</v>
      </c>
      <c r="EP22">
        <v>47.375</v>
      </c>
      <c r="EQ22">
        <v>47.061999999999998</v>
      </c>
      <c r="ER22">
        <v>48.25</v>
      </c>
      <c r="ES22">
        <v>1755.39</v>
      </c>
      <c r="ET22">
        <v>39.47</v>
      </c>
      <c r="EU22">
        <v>0</v>
      </c>
      <c r="EV22">
        <v>123</v>
      </c>
      <c r="EW22">
        <v>0</v>
      </c>
      <c r="EX22">
        <v>795.53163999999992</v>
      </c>
      <c r="EY22">
        <v>-1.214153840939874</v>
      </c>
      <c r="EZ22">
        <v>-19.723076951801719</v>
      </c>
      <c r="FA22">
        <v>14108.26</v>
      </c>
      <c r="FB22">
        <v>15</v>
      </c>
      <c r="FC22">
        <v>1639681067.5</v>
      </c>
      <c r="FD22" t="s">
        <v>448</v>
      </c>
      <c r="FE22">
        <v>1639681056.5</v>
      </c>
      <c r="FF22">
        <v>1639681067.5</v>
      </c>
      <c r="FG22">
        <v>11</v>
      </c>
      <c r="FH22">
        <v>4.2999999999999997E-2</v>
      </c>
      <c r="FI22">
        <v>2E-3</v>
      </c>
      <c r="FJ22">
        <v>-0.7</v>
      </c>
      <c r="FK22">
        <v>-9.7000000000000003E-2</v>
      </c>
      <c r="FL22">
        <v>30</v>
      </c>
      <c r="FM22">
        <v>16</v>
      </c>
      <c r="FN22">
        <v>0.35</v>
      </c>
      <c r="FO22">
        <v>0.02</v>
      </c>
      <c r="FP22">
        <v>6.28417224683617</v>
      </c>
      <c r="FQ22">
        <v>-0.20460185207067511</v>
      </c>
      <c r="FR22">
        <v>3.2229684935667947E-2</v>
      </c>
      <c r="FS22">
        <v>1</v>
      </c>
      <c r="FT22">
        <v>0.73528831586073606</v>
      </c>
      <c r="FU22">
        <v>4.9535999313084493E-2</v>
      </c>
      <c r="FV22">
        <v>6.3811884532623464E-3</v>
      </c>
      <c r="FW22">
        <v>1</v>
      </c>
      <c r="FX22">
        <v>2</v>
      </c>
      <c r="FY22">
        <v>2</v>
      </c>
      <c r="FZ22" t="s">
        <v>420</v>
      </c>
      <c r="GA22">
        <v>2.9201299999999999</v>
      </c>
      <c r="GB22">
        <v>2.7451400000000001</v>
      </c>
      <c r="GC22">
        <v>6.4277300000000004E-3</v>
      </c>
      <c r="GD22">
        <v>8.5594799999999995E-3</v>
      </c>
      <c r="GE22">
        <v>0.11991599999999999</v>
      </c>
      <c r="GF22">
        <v>8.7062100000000003E-2</v>
      </c>
      <c r="GG22">
        <v>30951</v>
      </c>
      <c r="GH22">
        <v>30577</v>
      </c>
      <c r="GI22">
        <v>28364</v>
      </c>
      <c r="GJ22">
        <v>28206.400000000001</v>
      </c>
      <c r="GK22">
        <v>34264.699999999997</v>
      </c>
      <c r="GL22">
        <v>36161.5</v>
      </c>
      <c r="GM22">
        <v>42688.4</v>
      </c>
      <c r="GN22">
        <v>43881.1</v>
      </c>
      <c r="GO22">
        <v>1.7936000000000001</v>
      </c>
      <c r="GP22">
        <v>1.9635499999999999</v>
      </c>
      <c r="GQ22">
        <v>6.2733900000000002E-3</v>
      </c>
      <c r="GR22">
        <v>0</v>
      </c>
      <c r="GS22">
        <v>27.4099</v>
      </c>
      <c r="GT22">
        <v>999.9</v>
      </c>
      <c r="GU22">
        <v>34.200000000000003</v>
      </c>
      <c r="GV22">
        <v>36.299999999999997</v>
      </c>
      <c r="GW22">
        <v>20.959399999999999</v>
      </c>
      <c r="GX22">
        <v>61.3949</v>
      </c>
      <c r="GY22">
        <v>30.625</v>
      </c>
      <c r="GZ22">
        <v>1</v>
      </c>
      <c r="HA22">
        <v>0.369174</v>
      </c>
      <c r="HB22">
        <v>2.32952</v>
      </c>
      <c r="HC22">
        <v>20.257200000000001</v>
      </c>
      <c r="HD22">
        <v>5.2747900000000003</v>
      </c>
      <c r="HE22">
        <v>12.0878</v>
      </c>
      <c r="HF22">
        <v>5.0134999999999996</v>
      </c>
      <c r="HG22">
        <v>3.2919200000000002</v>
      </c>
      <c r="HH22">
        <v>9999</v>
      </c>
      <c r="HI22">
        <v>9999</v>
      </c>
      <c r="HJ22">
        <v>9999</v>
      </c>
      <c r="HK22">
        <v>999.9</v>
      </c>
      <c r="HL22">
        <v>1.87531</v>
      </c>
      <c r="HM22">
        <v>1.87575</v>
      </c>
      <c r="HN22">
        <v>1.87548</v>
      </c>
      <c r="HO22">
        <v>1.8794299999999999</v>
      </c>
      <c r="HP22">
        <v>1.87286</v>
      </c>
      <c r="HQ22">
        <v>1.8760699999999999</v>
      </c>
      <c r="HR22">
        <v>1.8758600000000001</v>
      </c>
      <c r="HS22">
        <v>1.8772</v>
      </c>
      <c r="HT22">
        <v>0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-0.68899999999999995</v>
      </c>
      <c r="IH22">
        <v>3.5499999999999997E-2</v>
      </c>
      <c r="II22">
        <v>-0.65316838112214626</v>
      </c>
      <c r="IJ22">
        <v>-1.5404112972462821E-3</v>
      </c>
      <c r="IK22">
        <v>-5.8697186733976997E-8</v>
      </c>
      <c r="IL22">
        <v>1.160237123038427E-10</v>
      </c>
      <c r="IM22">
        <v>-0.1491272492234996</v>
      </c>
      <c r="IN22">
        <v>-3.128848753924141E-3</v>
      </c>
      <c r="IO22">
        <v>3.6841110403368089E-4</v>
      </c>
      <c r="IP22">
        <v>1.9296040270694169E-6</v>
      </c>
      <c r="IQ22">
        <v>1</v>
      </c>
      <c r="IR22">
        <v>1992</v>
      </c>
      <c r="IS22">
        <v>2</v>
      </c>
      <c r="IT22">
        <v>27</v>
      </c>
      <c r="IU22">
        <v>0.8</v>
      </c>
      <c r="IV22">
        <v>0.6</v>
      </c>
      <c r="IW22">
        <v>0.224609</v>
      </c>
      <c r="IX22">
        <v>2.7331500000000002</v>
      </c>
      <c r="IY22">
        <v>1.69434</v>
      </c>
      <c r="IZ22">
        <v>2.35107</v>
      </c>
      <c r="JA22">
        <v>1.5466299999999999</v>
      </c>
      <c r="JB22">
        <v>2.3571800000000001</v>
      </c>
      <c r="JC22">
        <v>40.044699999999999</v>
      </c>
      <c r="JD22">
        <v>24.026199999999999</v>
      </c>
      <c r="JE22">
        <v>18</v>
      </c>
      <c r="JF22">
        <v>533.02099999999996</v>
      </c>
      <c r="JG22">
        <v>528.74900000000002</v>
      </c>
      <c r="JH22">
        <v>25.1343</v>
      </c>
      <c r="JI22">
        <v>31.760200000000001</v>
      </c>
      <c r="JJ22">
        <v>29.999400000000001</v>
      </c>
      <c r="JK22">
        <v>31.7255</v>
      </c>
      <c r="JL22">
        <v>31.6755</v>
      </c>
      <c r="JM22">
        <v>4.5626100000000003</v>
      </c>
      <c r="JN22">
        <v>24.511700000000001</v>
      </c>
      <c r="JO22">
        <v>31.118200000000002</v>
      </c>
      <c r="JP22">
        <v>25.1555</v>
      </c>
      <c r="JQ22">
        <v>30</v>
      </c>
      <c r="JR22">
        <v>15.6692</v>
      </c>
      <c r="JS22">
        <v>99.461399999999998</v>
      </c>
      <c r="JT22">
        <v>98.835700000000003</v>
      </c>
    </row>
    <row r="23" spans="1:280" x14ac:dyDescent="0.25">
      <c r="A23">
        <v>7</v>
      </c>
      <c r="B23">
        <v>1639681240</v>
      </c>
      <c r="C23">
        <v>757.5</v>
      </c>
      <c r="D23" t="s">
        <v>449</v>
      </c>
      <c r="E23" t="s">
        <v>450</v>
      </c>
      <c r="F23" t="s">
        <v>412</v>
      </c>
      <c r="G23" t="s">
        <v>413</v>
      </c>
      <c r="H23" t="s">
        <v>414</v>
      </c>
      <c r="I23">
        <v>1639681240</v>
      </c>
      <c r="J23">
        <f t="shared" si="0"/>
        <v>8.2149662179385047E-3</v>
      </c>
      <c r="K23">
        <f t="shared" si="1"/>
        <v>8.214966217938505</v>
      </c>
      <c r="L23">
        <f t="shared" si="2"/>
        <v>2.2274153221598123</v>
      </c>
      <c r="M23">
        <f t="shared" si="3"/>
        <v>7.2496999999999998</v>
      </c>
      <c r="N23">
        <f t="shared" si="4"/>
        <v>1.8583461133975638</v>
      </c>
      <c r="O23">
        <f t="shared" si="5"/>
        <v>0.18419128888010172</v>
      </c>
      <c r="P23">
        <f t="shared" si="6"/>
        <v>0.71855914103789997</v>
      </c>
      <c r="Q23">
        <f t="shared" si="7"/>
        <v>0.75428500613774785</v>
      </c>
      <c r="R23">
        <f t="shared" si="8"/>
        <v>2.9093766169144826</v>
      </c>
      <c r="S23">
        <f t="shared" si="9"/>
        <v>0.66017959556134997</v>
      </c>
      <c r="T23">
        <f t="shared" si="10"/>
        <v>0.42008492029329042</v>
      </c>
      <c r="U23">
        <f t="shared" si="11"/>
        <v>289.60593284751172</v>
      </c>
      <c r="V23">
        <f t="shared" si="12"/>
        <v>27.573061706927053</v>
      </c>
      <c r="W23">
        <f t="shared" si="13"/>
        <v>27.488499999999998</v>
      </c>
      <c r="X23">
        <f t="shared" si="14"/>
        <v>3.6831437123748443</v>
      </c>
      <c r="Y23">
        <f t="shared" si="15"/>
        <v>65.552075184996667</v>
      </c>
      <c r="Z23">
        <f t="shared" si="16"/>
        <v>2.4881907969573001</v>
      </c>
      <c r="AA23">
        <f t="shared" si="17"/>
        <v>3.7957468012039208</v>
      </c>
      <c r="AB23">
        <f t="shared" si="18"/>
        <v>1.1949529154175442</v>
      </c>
      <c r="AC23">
        <f t="shared" si="19"/>
        <v>-362.28001021108804</v>
      </c>
      <c r="AD23">
        <f t="shared" si="20"/>
        <v>80.872020955416289</v>
      </c>
      <c r="AE23">
        <f t="shared" si="21"/>
        <v>6.0438093761636065</v>
      </c>
      <c r="AF23">
        <f t="shared" si="22"/>
        <v>14.241752968003581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52100.540951167954</v>
      </c>
      <c r="AL23" t="s">
        <v>415</v>
      </c>
      <c r="AM23">
        <v>10204.299999999999</v>
      </c>
      <c r="AN23">
        <v>862.72538461538477</v>
      </c>
      <c r="AO23">
        <v>3252.56</v>
      </c>
      <c r="AP23">
        <f t="shared" si="26"/>
        <v>0.73475496697512588</v>
      </c>
      <c r="AQ23">
        <v>-6.6684750346205304</v>
      </c>
      <c r="AR23" t="s">
        <v>451</v>
      </c>
      <c r="AS23">
        <v>10078.5</v>
      </c>
      <c r="AT23">
        <v>803.70419230769232</v>
      </c>
      <c r="AU23">
        <v>860.5852914319272</v>
      </c>
      <c r="AV23">
        <f t="shared" si="27"/>
        <v>6.6095830001452249E-2</v>
      </c>
      <c r="AW23">
        <v>0.5</v>
      </c>
      <c r="AX23">
        <f t="shared" si="28"/>
        <v>1513.3868999209906</v>
      </c>
      <c r="AY23">
        <f t="shared" si="29"/>
        <v>2.2274153221598123</v>
      </c>
      <c r="AZ23">
        <f t="shared" si="30"/>
        <v>50.01428163180131</v>
      </c>
      <c r="BA23">
        <f t="shared" si="31"/>
        <v>5.8781335805435939E-3</v>
      </c>
      <c r="BB23">
        <f t="shared" si="32"/>
        <v>2.7794743093831733</v>
      </c>
      <c r="BC23">
        <f t="shared" si="33"/>
        <v>496.60640618396042</v>
      </c>
      <c r="BD23" t="s">
        <v>452</v>
      </c>
      <c r="BE23">
        <v>569.67999999999995</v>
      </c>
      <c r="BF23">
        <f t="shared" si="34"/>
        <v>569.67999999999995</v>
      </c>
      <c r="BG23">
        <f t="shared" si="35"/>
        <v>0.33803191191879445</v>
      </c>
      <c r="BH23">
        <f t="shared" si="36"/>
        <v>0.19553133201616318</v>
      </c>
      <c r="BI23">
        <f t="shared" si="37"/>
        <v>0.89156977150229333</v>
      </c>
      <c r="BJ23">
        <f t="shared" si="38"/>
        <v>-26.578795523443958</v>
      </c>
      <c r="BK23">
        <f t="shared" si="39"/>
        <v>1.0008954984456584</v>
      </c>
      <c r="BL23">
        <f t="shared" si="40"/>
        <v>0.13859612813904904</v>
      </c>
      <c r="BM23">
        <f t="shared" si="41"/>
        <v>0.86140387186095091</v>
      </c>
      <c r="BN23">
        <v>5108</v>
      </c>
      <c r="BO23">
        <v>290.00000000000011</v>
      </c>
      <c r="BP23">
        <v>841.43</v>
      </c>
      <c r="BQ23">
        <v>115</v>
      </c>
      <c r="BR23">
        <v>10078.5</v>
      </c>
      <c r="BS23">
        <v>838.53</v>
      </c>
      <c r="BT23">
        <v>2.9</v>
      </c>
      <c r="BU23">
        <v>300.00000000000011</v>
      </c>
      <c r="BV23">
        <v>24.1</v>
      </c>
      <c r="BW23">
        <v>860.5852914319272</v>
      </c>
      <c r="BX23">
        <v>2.1811218813866642</v>
      </c>
      <c r="BY23">
        <v>-22.22611746576392</v>
      </c>
      <c r="BZ23">
        <v>1.9564847103114029</v>
      </c>
      <c r="CA23">
        <v>0.82171832369113018</v>
      </c>
      <c r="CB23">
        <v>-6.8587056729699789E-3</v>
      </c>
      <c r="CC23">
        <v>289.99999999999989</v>
      </c>
      <c r="CD23">
        <v>835.37</v>
      </c>
      <c r="CE23">
        <v>665</v>
      </c>
      <c r="CF23">
        <v>10055.5</v>
      </c>
      <c r="CG23">
        <v>838.48</v>
      </c>
      <c r="CH23">
        <v>-3.11</v>
      </c>
      <c r="CV23">
        <f t="shared" si="42"/>
        <v>1800.24</v>
      </c>
      <c r="CW23">
        <f t="shared" si="43"/>
        <v>1513.3868999209906</v>
      </c>
      <c r="CX23">
        <f t="shared" si="44"/>
        <v>0.84065841216781678</v>
      </c>
      <c r="CY23">
        <f t="shared" si="45"/>
        <v>0.16087073548388645</v>
      </c>
      <c r="CZ23">
        <v>6</v>
      </c>
      <c r="DA23">
        <v>0.5</v>
      </c>
      <c r="DB23" t="s">
        <v>418</v>
      </c>
      <c r="DC23">
        <v>2</v>
      </c>
      <c r="DD23">
        <v>1639681240</v>
      </c>
      <c r="DE23">
        <v>7.2496999999999998</v>
      </c>
      <c r="DF23">
        <v>9.9932700000000008</v>
      </c>
      <c r="DG23">
        <v>25.103899999999999</v>
      </c>
      <c r="DH23">
        <v>15.4962</v>
      </c>
      <c r="DI23">
        <v>7.96096</v>
      </c>
      <c r="DJ23">
        <v>25.069299999999998</v>
      </c>
      <c r="DK23">
        <v>500.14499999999998</v>
      </c>
      <c r="DL23">
        <v>99.0154</v>
      </c>
      <c r="DM23">
        <v>0.10030699999999999</v>
      </c>
      <c r="DN23">
        <v>28.004100000000001</v>
      </c>
      <c r="DO23">
        <v>27.488499999999998</v>
      </c>
      <c r="DP23">
        <v>999.9</v>
      </c>
      <c r="DQ23">
        <v>0</v>
      </c>
      <c r="DR23">
        <v>0</v>
      </c>
      <c r="DS23">
        <v>9983.75</v>
      </c>
      <c r="DT23">
        <v>0</v>
      </c>
      <c r="DU23">
        <v>356.69900000000001</v>
      </c>
      <c r="DV23">
        <v>-2.7435700000000001</v>
      </c>
      <c r="DW23">
        <v>7.4363799999999998</v>
      </c>
      <c r="DX23">
        <v>10.150600000000001</v>
      </c>
      <c r="DY23">
        <v>9.6077100000000009</v>
      </c>
      <c r="DZ23">
        <v>9.9932700000000008</v>
      </c>
      <c r="EA23">
        <v>15.4962</v>
      </c>
      <c r="EB23">
        <v>2.4856699999999998</v>
      </c>
      <c r="EC23">
        <v>1.5343599999999999</v>
      </c>
      <c r="ED23">
        <v>20.933</v>
      </c>
      <c r="EE23">
        <v>13.315</v>
      </c>
      <c r="EF23">
        <v>1800.24</v>
      </c>
      <c r="EG23">
        <v>0.97799199999999997</v>
      </c>
      <c r="EH23">
        <v>2.20079E-2</v>
      </c>
      <c r="EI23">
        <v>0</v>
      </c>
      <c r="EJ23">
        <v>803.73199999999997</v>
      </c>
      <c r="EK23">
        <v>5.0001199999999999</v>
      </c>
      <c r="EL23">
        <v>14252</v>
      </c>
      <c r="EM23">
        <v>15632</v>
      </c>
      <c r="EN23">
        <v>46.625</v>
      </c>
      <c r="EO23">
        <v>47.25</v>
      </c>
      <c r="EP23">
        <v>47.375</v>
      </c>
      <c r="EQ23">
        <v>47.125</v>
      </c>
      <c r="ER23">
        <v>48.25</v>
      </c>
      <c r="ES23">
        <v>1755.73</v>
      </c>
      <c r="ET23">
        <v>39.51</v>
      </c>
      <c r="EU23">
        <v>0</v>
      </c>
      <c r="EV23">
        <v>132.20000004768369</v>
      </c>
      <c r="EW23">
        <v>0</v>
      </c>
      <c r="EX23">
        <v>803.70419230769232</v>
      </c>
      <c r="EY23">
        <v>0.53446155583120358</v>
      </c>
      <c r="EZ23">
        <v>-6.1709401608873886</v>
      </c>
      <c r="FA23">
        <v>14250.026923076921</v>
      </c>
      <c r="FB23">
        <v>15</v>
      </c>
      <c r="FC23">
        <v>1639681201.5</v>
      </c>
      <c r="FD23" t="s">
        <v>453</v>
      </c>
      <c r="FE23">
        <v>1639681184.5</v>
      </c>
      <c r="FF23">
        <v>1639681201.5</v>
      </c>
      <c r="FG23">
        <v>12</v>
      </c>
      <c r="FH23">
        <v>-4.5999999999999999E-2</v>
      </c>
      <c r="FI23">
        <v>0</v>
      </c>
      <c r="FJ23">
        <v>-0.71599999999999997</v>
      </c>
      <c r="FK23">
        <v>-0.10199999999999999</v>
      </c>
      <c r="FL23">
        <v>10</v>
      </c>
      <c r="FM23">
        <v>15</v>
      </c>
      <c r="FN23">
        <v>0.33</v>
      </c>
      <c r="FO23">
        <v>0.01</v>
      </c>
      <c r="FP23">
        <v>2.3015239768184732</v>
      </c>
      <c r="FQ23">
        <v>-0.17911015992365101</v>
      </c>
      <c r="FR23">
        <v>2.9829205997561951E-2</v>
      </c>
      <c r="FS23">
        <v>1</v>
      </c>
      <c r="FT23">
        <v>0.75102257861254773</v>
      </c>
      <c r="FU23">
        <v>3.2885122290919153E-2</v>
      </c>
      <c r="FV23">
        <v>4.3841720823112459E-3</v>
      </c>
      <c r="FW23">
        <v>1</v>
      </c>
      <c r="FX23">
        <v>2</v>
      </c>
      <c r="FY23">
        <v>2</v>
      </c>
      <c r="FZ23" t="s">
        <v>420</v>
      </c>
      <c r="GA23">
        <v>2.9201800000000002</v>
      </c>
      <c r="GB23">
        <v>2.7451400000000001</v>
      </c>
      <c r="GC23">
        <v>2.2315600000000001E-3</v>
      </c>
      <c r="GD23">
        <v>2.8660399999999998E-3</v>
      </c>
      <c r="GE23">
        <v>0.119723</v>
      </c>
      <c r="GF23">
        <v>8.6230600000000004E-2</v>
      </c>
      <c r="GG23">
        <v>31082</v>
      </c>
      <c r="GH23">
        <v>30754.400000000001</v>
      </c>
      <c r="GI23">
        <v>28364.5</v>
      </c>
      <c r="GJ23">
        <v>28208.3</v>
      </c>
      <c r="GK23">
        <v>34272.6</v>
      </c>
      <c r="GL23">
        <v>36196.9</v>
      </c>
      <c r="GM23">
        <v>42688.9</v>
      </c>
      <c r="GN23">
        <v>43884.1</v>
      </c>
      <c r="GO23">
        <v>1.794</v>
      </c>
      <c r="GP23">
        <v>1.9632000000000001</v>
      </c>
      <c r="GQ23">
        <v>4.4852499999999997E-3</v>
      </c>
      <c r="GR23">
        <v>0</v>
      </c>
      <c r="GS23">
        <v>27.415299999999998</v>
      </c>
      <c r="GT23">
        <v>999.9</v>
      </c>
      <c r="GU23">
        <v>33.6</v>
      </c>
      <c r="GV23">
        <v>36.299999999999997</v>
      </c>
      <c r="GW23">
        <v>20.592400000000001</v>
      </c>
      <c r="GX23">
        <v>61.374899999999997</v>
      </c>
      <c r="GY23">
        <v>30.645</v>
      </c>
      <c r="GZ23">
        <v>1</v>
      </c>
      <c r="HA23">
        <v>0.36838900000000002</v>
      </c>
      <c r="HB23">
        <v>2.4488799999999999</v>
      </c>
      <c r="HC23">
        <v>20.255600000000001</v>
      </c>
      <c r="HD23">
        <v>5.2734500000000004</v>
      </c>
      <c r="HE23">
        <v>12.0878</v>
      </c>
      <c r="HF23">
        <v>5.0135500000000004</v>
      </c>
      <c r="HG23">
        <v>3.2919800000000001</v>
      </c>
      <c r="HH23">
        <v>9999</v>
      </c>
      <c r="HI23">
        <v>9999</v>
      </c>
      <c r="HJ23">
        <v>9999</v>
      </c>
      <c r="HK23">
        <v>999.9</v>
      </c>
      <c r="HL23">
        <v>1.87527</v>
      </c>
      <c r="HM23">
        <v>1.87575</v>
      </c>
      <c r="HN23">
        <v>1.8754599999999999</v>
      </c>
      <c r="HO23">
        <v>1.8794299999999999</v>
      </c>
      <c r="HP23">
        <v>1.87286</v>
      </c>
      <c r="HQ23">
        <v>1.8760699999999999</v>
      </c>
      <c r="HR23">
        <v>1.87585</v>
      </c>
      <c r="HS23">
        <v>1.8771899999999999</v>
      </c>
      <c r="HT23">
        <v>0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-0.71099999999999997</v>
      </c>
      <c r="IH23">
        <v>3.4599999999999999E-2</v>
      </c>
      <c r="II23">
        <v>-0.69899231223854685</v>
      </c>
      <c r="IJ23">
        <v>-1.5404112972462821E-3</v>
      </c>
      <c r="IK23">
        <v>-5.8697186733976997E-8</v>
      </c>
      <c r="IL23">
        <v>1.160237123038427E-10</v>
      </c>
      <c r="IM23">
        <v>-0.14892550197763921</v>
      </c>
      <c r="IN23">
        <v>-3.128848753924141E-3</v>
      </c>
      <c r="IO23">
        <v>3.6841110403368089E-4</v>
      </c>
      <c r="IP23">
        <v>1.9296040270694169E-6</v>
      </c>
      <c r="IQ23">
        <v>1</v>
      </c>
      <c r="IR23">
        <v>1992</v>
      </c>
      <c r="IS23">
        <v>2</v>
      </c>
      <c r="IT23">
        <v>27</v>
      </c>
      <c r="IU23">
        <v>0.9</v>
      </c>
      <c r="IV23">
        <v>0.6</v>
      </c>
      <c r="IW23">
        <v>0.17944299999999999</v>
      </c>
      <c r="IX23">
        <v>2.7404799999999998</v>
      </c>
      <c r="IY23">
        <v>1.69434</v>
      </c>
      <c r="IZ23">
        <v>2.35107</v>
      </c>
      <c r="JA23">
        <v>1.5466299999999999</v>
      </c>
      <c r="JB23">
        <v>2.3767100000000001</v>
      </c>
      <c r="JC23">
        <v>40.044699999999999</v>
      </c>
      <c r="JD23">
        <v>24.026199999999999</v>
      </c>
      <c r="JE23">
        <v>18</v>
      </c>
      <c r="JF23">
        <v>533.24599999999998</v>
      </c>
      <c r="JG23">
        <v>528.38800000000003</v>
      </c>
      <c r="JH23">
        <v>25.1813</v>
      </c>
      <c r="JI23">
        <v>31.751899999999999</v>
      </c>
      <c r="JJ23">
        <v>30</v>
      </c>
      <c r="JK23">
        <v>31.714400000000001</v>
      </c>
      <c r="JL23">
        <v>31.6645</v>
      </c>
      <c r="JM23">
        <v>3.6746699999999999</v>
      </c>
      <c r="JN23">
        <v>23.720600000000001</v>
      </c>
      <c r="JO23">
        <v>29.9207</v>
      </c>
      <c r="JP23">
        <v>25.178999999999998</v>
      </c>
      <c r="JQ23">
        <v>10</v>
      </c>
      <c r="JR23">
        <v>15.414899999999999</v>
      </c>
      <c r="JS23">
        <v>99.462699999999998</v>
      </c>
      <c r="JT23">
        <v>98.842200000000005</v>
      </c>
    </row>
    <row r="24" spans="1:280" x14ac:dyDescent="0.25">
      <c r="A24">
        <v>8</v>
      </c>
      <c r="B24">
        <v>1639681429.5999999</v>
      </c>
      <c r="C24">
        <v>947.09999990463257</v>
      </c>
      <c r="D24" t="s">
        <v>454</v>
      </c>
      <c r="E24" t="s">
        <v>455</v>
      </c>
      <c r="F24" t="s">
        <v>412</v>
      </c>
      <c r="G24" t="s">
        <v>413</v>
      </c>
      <c r="H24" t="s">
        <v>414</v>
      </c>
      <c r="I24">
        <v>1639681429.5999999</v>
      </c>
      <c r="J24">
        <f t="shared" si="0"/>
        <v>7.773707778667773E-3</v>
      </c>
      <c r="K24">
        <f t="shared" si="1"/>
        <v>7.7737077786677728</v>
      </c>
      <c r="L24">
        <f t="shared" si="2"/>
        <v>41.436913325486771</v>
      </c>
      <c r="M24">
        <f t="shared" si="3"/>
        <v>347.03199999999998</v>
      </c>
      <c r="N24">
        <f t="shared" si="4"/>
        <v>235.20713435217772</v>
      </c>
      <c r="O24">
        <f t="shared" si="5"/>
        <v>23.31311696059792</v>
      </c>
      <c r="P24">
        <f t="shared" si="6"/>
        <v>34.396905635338392</v>
      </c>
      <c r="Q24">
        <f t="shared" si="7"/>
        <v>0.69569821341505778</v>
      </c>
      <c r="R24">
        <f t="shared" si="8"/>
        <v>2.9133388851180047</v>
      </c>
      <c r="S24">
        <f t="shared" si="9"/>
        <v>0.61490444266649791</v>
      </c>
      <c r="T24">
        <f t="shared" si="10"/>
        <v>0.39078957543301079</v>
      </c>
      <c r="U24">
        <f t="shared" si="11"/>
        <v>289.55645684748544</v>
      </c>
      <c r="V24">
        <f t="shared" si="12"/>
        <v>27.664779308262549</v>
      </c>
      <c r="W24">
        <f t="shared" si="13"/>
        <v>27.457000000000001</v>
      </c>
      <c r="X24">
        <f t="shared" si="14"/>
        <v>3.6763598620713624</v>
      </c>
      <c r="Y24">
        <f t="shared" si="15"/>
        <v>64.954920279350375</v>
      </c>
      <c r="Z24">
        <f t="shared" si="16"/>
        <v>2.4621056705246098</v>
      </c>
      <c r="AA24">
        <f t="shared" si="17"/>
        <v>3.7904837076789244</v>
      </c>
      <c r="AB24">
        <f t="shared" si="18"/>
        <v>1.2142541915467526</v>
      </c>
      <c r="AC24">
        <f t="shared" si="19"/>
        <v>-342.82051303924879</v>
      </c>
      <c r="AD24">
        <f t="shared" si="20"/>
        <v>82.191552462446211</v>
      </c>
      <c r="AE24">
        <f t="shared" si="21"/>
        <v>6.1323764033335584</v>
      </c>
      <c r="AF24">
        <f t="shared" si="22"/>
        <v>35.059872674016432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52218.101068651544</v>
      </c>
      <c r="AL24" t="s">
        <v>415</v>
      </c>
      <c r="AM24">
        <v>10204.299999999999</v>
      </c>
      <c r="AN24">
        <v>862.72538461538477</v>
      </c>
      <c r="AO24">
        <v>3252.56</v>
      </c>
      <c r="AP24">
        <f t="shared" si="26"/>
        <v>0.73475496697512588</v>
      </c>
      <c r="AQ24">
        <v>-6.6684750346205304</v>
      </c>
      <c r="AR24" t="s">
        <v>456</v>
      </c>
      <c r="AS24">
        <v>10066.299999999999</v>
      </c>
      <c r="AT24">
        <v>733.76843999999994</v>
      </c>
      <c r="AU24">
        <v>1016.79826452827</v>
      </c>
      <c r="AV24">
        <f t="shared" si="27"/>
        <v>0.2783539610579272</v>
      </c>
      <c r="AW24">
        <v>0.5</v>
      </c>
      <c r="AX24">
        <f t="shared" si="28"/>
        <v>1513.1264999209768</v>
      </c>
      <c r="AY24">
        <f t="shared" si="29"/>
        <v>41.436913325486771</v>
      </c>
      <c r="AZ24">
        <f t="shared" si="30"/>
        <v>210.59237741736064</v>
      </c>
      <c r="BA24">
        <f t="shared" si="31"/>
        <v>3.1792046707674215E-2</v>
      </c>
      <c r="BB24">
        <f t="shared" si="32"/>
        <v>2.1988252866550493</v>
      </c>
      <c r="BC24">
        <f t="shared" si="33"/>
        <v>544.91561848625497</v>
      </c>
      <c r="BD24" t="s">
        <v>457</v>
      </c>
      <c r="BE24">
        <v>563.80999999999995</v>
      </c>
      <c r="BF24">
        <f t="shared" si="34"/>
        <v>563.80999999999995</v>
      </c>
      <c r="BG24">
        <f t="shared" si="35"/>
        <v>0.44550456106298331</v>
      </c>
      <c r="BH24">
        <f t="shared" si="36"/>
        <v>0.6248060859214748</v>
      </c>
      <c r="BI24">
        <f t="shared" si="37"/>
        <v>0.83152458780910454</v>
      </c>
      <c r="BJ24">
        <f t="shared" si="38"/>
        <v>1.8369866564985267</v>
      </c>
      <c r="BK24">
        <f t="shared" si="39"/>
        <v>0.93552989862937064</v>
      </c>
      <c r="BL24">
        <f t="shared" si="40"/>
        <v>0.48008595096211371</v>
      </c>
      <c r="BM24">
        <f t="shared" si="41"/>
        <v>0.51991404903788629</v>
      </c>
      <c r="BN24">
        <v>5110</v>
      </c>
      <c r="BO24">
        <v>290.00000000000011</v>
      </c>
      <c r="BP24">
        <v>937.59</v>
      </c>
      <c r="BQ24">
        <v>285</v>
      </c>
      <c r="BR24">
        <v>10066.299999999999</v>
      </c>
      <c r="BS24">
        <v>938.79</v>
      </c>
      <c r="BT24">
        <v>-1.2</v>
      </c>
      <c r="BU24">
        <v>300.00000000000011</v>
      </c>
      <c r="BV24">
        <v>24.1</v>
      </c>
      <c r="BW24">
        <v>1016.79826452827</v>
      </c>
      <c r="BX24">
        <v>1.8412432874184661</v>
      </c>
      <c r="BY24">
        <v>-78.524842435242249</v>
      </c>
      <c r="BZ24">
        <v>1.6518216428735231</v>
      </c>
      <c r="CA24">
        <v>0.98776166448349445</v>
      </c>
      <c r="CB24">
        <v>-6.8599494994438194E-3</v>
      </c>
      <c r="CC24">
        <v>289.99999999999989</v>
      </c>
      <c r="CD24">
        <v>936.21</v>
      </c>
      <c r="CE24">
        <v>645</v>
      </c>
      <c r="CF24">
        <v>10057.799999999999</v>
      </c>
      <c r="CG24">
        <v>938.72</v>
      </c>
      <c r="CH24">
        <v>-2.5099999999999998</v>
      </c>
      <c r="CV24">
        <f t="shared" si="42"/>
        <v>1799.93</v>
      </c>
      <c r="CW24">
        <f t="shared" si="43"/>
        <v>1513.1264999209768</v>
      </c>
      <c r="CX24">
        <f t="shared" si="44"/>
        <v>0.84065852556542575</v>
      </c>
      <c r="CY24">
        <f t="shared" si="45"/>
        <v>0.16087095434127185</v>
      </c>
      <c r="CZ24">
        <v>6</v>
      </c>
      <c r="DA24">
        <v>0.5</v>
      </c>
      <c r="DB24" t="s">
        <v>418</v>
      </c>
      <c r="DC24">
        <v>2</v>
      </c>
      <c r="DD24">
        <v>1639681429.5999999</v>
      </c>
      <c r="DE24">
        <v>347.03199999999998</v>
      </c>
      <c r="DF24">
        <v>399.98700000000002</v>
      </c>
      <c r="DG24">
        <v>24.840299999999999</v>
      </c>
      <c r="DH24">
        <v>15.7447</v>
      </c>
      <c r="DI24">
        <v>348.09199999999998</v>
      </c>
      <c r="DJ24">
        <v>24.8095</v>
      </c>
      <c r="DK24">
        <v>500.06200000000001</v>
      </c>
      <c r="DL24">
        <v>99.017399999999995</v>
      </c>
      <c r="DM24">
        <v>9.99887E-2</v>
      </c>
      <c r="DN24">
        <v>27.9803</v>
      </c>
      <c r="DO24">
        <v>27.457000000000001</v>
      </c>
      <c r="DP24">
        <v>999.9</v>
      </c>
      <c r="DQ24">
        <v>0</v>
      </c>
      <c r="DR24">
        <v>0</v>
      </c>
      <c r="DS24">
        <v>10006.200000000001</v>
      </c>
      <c r="DT24">
        <v>0</v>
      </c>
      <c r="DU24">
        <v>357.15300000000002</v>
      </c>
      <c r="DV24">
        <v>-52.955100000000002</v>
      </c>
      <c r="DW24">
        <v>355.87200000000001</v>
      </c>
      <c r="DX24">
        <v>406.38600000000002</v>
      </c>
      <c r="DY24">
        <v>9.0955499999999994</v>
      </c>
      <c r="DZ24">
        <v>399.98700000000002</v>
      </c>
      <c r="EA24">
        <v>15.7447</v>
      </c>
      <c r="EB24">
        <v>2.4596200000000001</v>
      </c>
      <c r="EC24">
        <v>1.5589999999999999</v>
      </c>
      <c r="ED24">
        <v>20.761700000000001</v>
      </c>
      <c r="EE24">
        <v>13.5594</v>
      </c>
      <c r="EF24">
        <v>1799.93</v>
      </c>
      <c r="EG24">
        <v>0.97799000000000003</v>
      </c>
      <c r="EH24">
        <v>2.20103E-2</v>
      </c>
      <c r="EI24">
        <v>0</v>
      </c>
      <c r="EJ24">
        <v>733.59299999999996</v>
      </c>
      <c r="EK24">
        <v>5.0001199999999999</v>
      </c>
      <c r="EL24">
        <v>13019.1</v>
      </c>
      <c r="EM24">
        <v>15629.3</v>
      </c>
      <c r="EN24">
        <v>46.686999999999998</v>
      </c>
      <c r="EO24">
        <v>47.311999999999998</v>
      </c>
      <c r="EP24">
        <v>47.375</v>
      </c>
      <c r="EQ24">
        <v>47.186999999999998</v>
      </c>
      <c r="ER24">
        <v>48.25</v>
      </c>
      <c r="ES24">
        <v>1755.42</v>
      </c>
      <c r="ET24">
        <v>39.51</v>
      </c>
      <c r="EU24">
        <v>0</v>
      </c>
      <c r="EV24">
        <v>187.79999995231631</v>
      </c>
      <c r="EW24">
        <v>0</v>
      </c>
      <c r="EX24">
        <v>733.76843999999994</v>
      </c>
      <c r="EY24">
        <v>-4.3656923029588208</v>
      </c>
      <c r="EZ24">
        <v>-87.876922977069412</v>
      </c>
      <c r="FA24">
        <v>13030.036</v>
      </c>
      <c r="FB24">
        <v>15</v>
      </c>
      <c r="FC24">
        <v>1639681334.5</v>
      </c>
      <c r="FD24" t="s">
        <v>458</v>
      </c>
      <c r="FE24">
        <v>1639681322.5</v>
      </c>
      <c r="FF24">
        <v>1639681334.5</v>
      </c>
      <c r="FG24">
        <v>13</v>
      </c>
      <c r="FH24">
        <v>0.17799999999999999</v>
      </c>
      <c r="FI24">
        <v>1E-3</v>
      </c>
      <c r="FJ24">
        <v>-1.141</v>
      </c>
      <c r="FK24">
        <v>-0.10100000000000001</v>
      </c>
      <c r="FL24">
        <v>400</v>
      </c>
      <c r="FM24">
        <v>15</v>
      </c>
      <c r="FN24">
        <v>0.03</v>
      </c>
      <c r="FO24">
        <v>0.01</v>
      </c>
      <c r="FP24">
        <v>40.281411222057862</v>
      </c>
      <c r="FQ24">
        <v>6.7540016388248292</v>
      </c>
      <c r="FR24">
        <v>0.66309293873462483</v>
      </c>
      <c r="FS24">
        <v>0</v>
      </c>
      <c r="FT24">
        <v>0.70132054665366894</v>
      </c>
      <c r="FU24">
        <v>-3.0224444896757709E-2</v>
      </c>
      <c r="FV24">
        <v>3.0063696542591608E-3</v>
      </c>
      <c r="FW24">
        <v>1</v>
      </c>
      <c r="FX24">
        <v>1</v>
      </c>
      <c r="FY24">
        <v>2</v>
      </c>
      <c r="FZ24" t="s">
        <v>459</v>
      </c>
      <c r="GA24">
        <v>2.9199299999999999</v>
      </c>
      <c r="GB24">
        <v>2.7450199999999998</v>
      </c>
      <c r="GC24">
        <v>8.1843299999999994E-2</v>
      </c>
      <c r="GD24">
        <v>9.2696399999999998E-2</v>
      </c>
      <c r="GE24">
        <v>0.118862</v>
      </c>
      <c r="GF24">
        <v>8.7237599999999998E-2</v>
      </c>
      <c r="GG24">
        <v>28604.1</v>
      </c>
      <c r="GH24">
        <v>27984.7</v>
      </c>
      <c r="GI24">
        <v>28364.2</v>
      </c>
      <c r="GJ24">
        <v>28206.9</v>
      </c>
      <c r="GK24">
        <v>34306.1</v>
      </c>
      <c r="GL24">
        <v>36155.9</v>
      </c>
      <c r="GM24">
        <v>42689.2</v>
      </c>
      <c r="GN24">
        <v>43883.4</v>
      </c>
      <c r="GO24">
        <v>1.79373</v>
      </c>
      <c r="GP24">
        <v>1.9651799999999999</v>
      </c>
      <c r="GQ24">
        <v>3.46452E-3</v>
      </c>
      <c r="GR24">
        <v>0</v>
      </c>
      <c r="GS24">
        <v>27.400400000000001</v>
      </c>
      <c r="GT24">
        <v>999.9</v>
      </c>
      <c r="GU24">
        <v>32.799999999999997</v>
      </c>
      <c r="GV24">
        <v>36.299999999999997</v>
      </c>
      <c r="GW24">
        <v>20.101600000000001</v>
      </c>
      <c r="GX24">
        <v>61.156700000000001</v>
      </c>
      <c r="GY24">
        <v>30.941500000000001</v>
      </c>
      <c r="GZ24">
        <v>1</v>
      </c>
      <c r="HA24">
        <v>0.36763499999999999</v>
      </c>
      <c r="HB24">
        <v>2.17109</v>
      </c>
      <c r="HC24">
        <v>20.2593</v>
      </c>
      <c r="HD24">
        <v>5.2767400000000002</v>
      </c>
      <c r="HE24">
        <v>12.0878</v>
      </c>
      <c r="HF24">
        <v>5.0137</v>
      </c>
      <c r="HG24">
        <v>3.2919999999999998</v>
      </c>
      <c r="HH24">
        <v>9999</v>
      </c>
      <c r="HI24">
        <v>9999</v>
      </c>
      <c r="HJ24">
        <v>9999</v>
      </c>
      <c r="HK24">
        <v>999.9</v>
      </c>
      <c r="HL24">
        <v>1.8752500000000001</v>
      </c>
      <c r="HM24">
        <v>1.8756600000000001</v>
      </c>
      <c r="HN24">
        <v>1.8754599999999999</v>
      </c>
      <c r="HO24">
        <v>1.8794299999999999</v>
      </c>
      <c r="HP24">
        <v>1.87286</v>
      </c>
      <c r="HQ24">
        <v>1.8760699999999999</v>
      </c>
      <c r="HR24">
        <v>1.87581</v>
      </c>
      <c r="HS24">
        <v>1.8771599999999999</v>
      </c>
      <c r="HT24">
        <v>0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-1.06</v>
      </c>
      <c r="IH24">
        <v>3.0800000000000001E-2</v>
      </c>
      <c r="II24">
        <v>-0.52108070391625416</v>
      </c>
      <c r="IJ24">
        <v>-1.5404112972462821E-3</v>
      </c>
      <c r="IK24">
        <v>-5.8697186733976997E-8</v>
      </c>
      <c r="IL24">
        <v>1.160237123038427E-10</v>
      </c>
      <c r="IM24">
        <v>-0.1478323224655948</v>
      </c>
      <c r="IN24">
        <v>-3.128848753924141E-3</v>
      </c>
      <c r="IO24">
        <v>3.6841110403368089E-4</v>
      </c>
      <c r="IP24">
        <v>1.9296040270694169E-6</v>
      </c>
      <c r="IQ24">
        <v>1</v>
      </c>
      <c r="IR24">
        <v>1992</v>
      </c>
      <c r="IS24">
        <v>2</v>
      </c>
      <c r="IT24">
        <v>27</v>
      </c>
      <c r="IU24">
        <v>1.8</v>
      </c>
      <c r="IV24">
        <v>1.6</v>
      </c>
      <c r="IW24">
        <v>1.0449200000000001</v>
      </c>
      <c r="IX24">
        <v>2.6904300000000001</v>
      </c>
      <c r="IY24">
        <v>1.69434</v>
      </c>
      <c r="IZ24">
        <v>2.35107</v>
      </c>
      <c r="JA24">
        <v>1.5466299999999999</v>
      </c>
      <c r="JB24">
        <v>2.4511699999999998</v>
      </c>
      <c r="JC24">
        <v>40.044699999999999</v>
      </c>
      <c r="JD24">
        <v>24.035</v>
      </c>
      <c r="JE24">
        <v>18</v>
      </c>
      <c r="JF24">
        <v>532.97</v>
      </c>
      <c r="JG24">
        <v>529.83100000000002</v>
      </c>
      <c r="JH24">
        <v>25.3642</v>
      </c>
      <c r="JI24">
        <v>31.760200000000001</v>
      </c>
      <c r="JJ24">
        <v>29.9999</v>
      </c>
      <c r="JK24">
        <v>31.709599999999998</v>
      </c>
      <c r="JL24">
        <v>31.6617</v>
      </c>
      <c r="JM24">
        <v>20.991900000000001</v>
      </c>
      <c r="JN24">
        <v>18.046600000000002</v>
      </c>
      <c r="JO24">
        <v>28.935700000000001</v>
      </c>
      <c r="JP24">
        <v>25.377600000000001</v>
      </c>
      <c r="JQ24">
        <v>400</v>
      </c>
      <c r="JR24">
        <v>15.8193</v>
      </c>
      <c r="JS24">
        <v>99.462800000000001</v>
      </c>
      <c r="JT24">
        <v>98.839299999999994</v>
      </c>
    </row>
    <row r="25" spans="1:280" x14ac:dyDescent="0.25">
      <c r="A25">
        <v>9</v>
      </c>
      <c r="B25">
        <v>1639681617.5999999</v>
      </c>
      <c r="C25">
        <v>1135.099999904633</v>
      </c>
      <c r="D25" t="s">
        <v>460</v>
      </c>
      <c r="E25" t="s">
        <v>461</v>
      </c>
      <c r="F25" t="s">
        <v>412</v>
      </c>
      <c r="G25" t="s">
        <v>413</v>
      </c>
      <c r="H25" t="s">
        <v>414</v>
      </c>
      <c r="I25">
        <v>1639681617.5999999</v>
      </c>
      <c r="J25">
        <f t="shared" si="0"/>
        <v>7.5869418899061928E-3</v>
      </c>
      <c r="K25">
        <f t="shared" si="1"/>
        <v>7.5869418899061927</v>
      </c>
      <c r="L25">
        <f t="shared" si="2"/>
        <v>50.830336512636464</v>
      </c>
      <c r="M25">
        <f t="shared" si="3"/>
        <v>335.94799999999998</v>
      </c>
      <c r="N25">
        <f t="shared" si="4"/>
        <v>195.86099490214107</v>
      </c>
      <c r="O25">
        <f t="shared" si="5"/>
        <v>19.414242043681202</v>
      </c>
      <c r="P25">
        <f t="shared" si="6"/>
        <v>33.300023771191995</v>
      </c>
      <c r="Q25">
        <f t="shared" si="7"/>
        <v>0.6691096704991556</v>
      </c>
      <c r="R25">
        <f t="shared" si="8"/>
        <v>2.909058963243035</v>
      </c>
      <c r="S25">
        <f t="shared" si="9"/>
        <v>0.59392071030080007</v>
      </c>
      <c r="T25">
        <f t="shared" si="10"/>
        <v>0.37724939901559906</v>
      </c>
      <c r="U25">
        <f t="shared" si="11"/>
        <v>289.59795284750749</v>
      </c>
      <c r="V25">
        <f t="shared" si="12"/>
        <v>27.7412554145169</v>
      </c>
      <c r="W25">
        <f t="shared" si="13"/>
        <v>27.511399999999998</v>
      </c>
      <c r="X25">
        <f t="shared" si="14"/>
        <v>3.6880823191108894</v>
      </c>
      <c r="Y25">
        <f t="shared" si="15"/>
        <v>64.824131771753173</v>
      </c>
      <c r="Z25">
        <f t="shared" si="16"/>
        <v>2.4611337177768</v>
      </c>
      <c r="AA25">
        <f t="shared" si="17"/>
        <v>3.796631980266997</v>
      </c>
      <c r="AB25">
        <f t="shared" si="18"/>
        <v>1.2269486013340893</v>
      </c>
      <c r="AC25">
        <f t="shared" si="19"/>
        <v>-334.58413734486311</v>
      </c>
      <c r="AD25">
        <f t="shared" si="20"/>
        <v>77.899043896652373</v>
      </c>
      <c r="AE25">
        <f t="shared" si="21"/>
        <v>5.8230464272637183</v>
      </c>
      <c r="AF25">
        <f t="shared" si="22"/>
        <v>38.735905826560455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52090.907266446942</v>
      </c>
      <c r="AL25" t="s">
        <v>415</v>
      </c>
      <c r="AM25">
        <v>10204.299999999999</v>
      </c>
      <c r="AN25">
        <v>862.72538461538477</v>
      </c>
      <c r="AO25">
        <v>3252.56</v>
      </c>
      <c r="AP25">
        <f t="shared" si="26"/>
        <v>0.73475496697512588</v>
      </c>
      <c r="AQ25">
        <v>-6.6684750346205304</v>
      </c>
      <c r="AR25" t="s">
        <v>462</v>
      </c>
      <c r="AS25">
        <v>10077.299999999999</v>
      </c>
      <c r="AT25">
        <v>746.69155999999998</v>
      </c>
      <c r="AU25">
        <v>1127.669868143023</v>
      </c>
      <c r="AV25">
        <f t="shared" si="27"/>
        <v>0.33784560437922717</v>
      </c>
      <c r="AW25">
        <v>0.5</v>
      </c>
      <c r="AX25">
        <f t="shared" si="28"/>
        <v>1513.3448999209884</v>
      </c>
      <c r="AY25">
        <f t="shared" si="29"/>
        <v>50.830336512636464</v>
      </c>
      <c r="AZ25">
        <f t="shared" si="30"/>
        <v>255.63846117401368</v>
      </c>
      <c r="BA25">
        <f t="shared" si="31"/>
        <v>3.7994518995807892E-2</v>
      </c>
      <c r="BB25">
        <f t="shared" si="32"/>
        <v>1.8843193312916258</v>
      </c>
      <c r="BC25">
        <f t="shared" si="33"/>
        <v>575.22452048134824</v>
      </c>
      <c r="BD25" t="s">
        <v>463</v>
      </c>
      <c r="BE25">
        <v>574.34</v>
      </c>
      <c r="BF25">
        <f t="shared" si="34"/>
        <v>574.34</v>
      </c>
      <c r="BG25">
        <f t="shared" si="35"/>
        <v>0.4906842718553901</v>
      </c>
      <c r="BH25">
        <f t="shared" si="36"/>
        <v>0.68851932649431635</v>
      </c>
      <c r="BI25">
        <f t="shared" si="37"/>
        <v>0.79339640950219814</v>
      </c>
      <c r="BJ25">
        <f t="shared" si="38"/>
        <v>1.4379552390389003</v>
      </c>
      <c r="BK25">
        <f t="shared" si="39"/>
        <v>0.88913689599185985</v>
      </c>
      <c r="BL25">
        <f t="shared" si="40"/>
        <v>0.52959509811353123</v>
      </c>
      <c r="BM25">
        <f t="shared" si="41"/>
        <v>0.47040490188646877</v>
      </c>
      <c r="BN25">
        <v>5112</v>
      </c>
      <c r="BO25">
        <v>290.00000000000011</v>
      </c>
      <c r="BP25">
        <v>1018.39</v>
      </c>
      <c r="BQ25">
        <v>145</v>
      </c>
      <c r="BR25">
        <v>10077.299999999999</v>
      </c>
      <c r="BS25">
        <v>1015.35</v>
      </c>
      <c r="BT25">
        <v>3.04</v>
      </c>
      <c r="BU25">
        <v>300.00000000000011</v>
      </c>
      <c r="BV25">
        <v>24.1</v>
      </c>
      <c r="BW25">
        <v>1127.669868143023</v>
      </c>
      <c r="BX25">
        <v>2.437272217101607</v>
      </c>
      <c r="BY25">
        <v>-113.18747192740391</v>
      </c>
      <c r="BZ25">
        <v>2.1866022869645119</v>
      </c>
      <c r="CA25">
        <v>0.98965843565896527</v>
      </c>
      <c r="CB25">
        <v>-6.8605310344827626E-3</v>
      </c>
      <c r="CC25">
        <v>289.99999999999989</v>
      </c>
      <c r="CD25">
        <v>1010.53</v>
      </c>
      <c r="CE25">
        <v>655</v>
      </c>
      <c r="CF25">
        <v>10057.6</v>
      </c>
      <c r="CG25">
        <v>1015.13</v>
      </c>
      <c r="CH25">
        <v>-4.5999999999999996</v>
      </c>
      <c r="CV25">
        <f t="shared" si="42"/>
        <v>1800.19</v>
      </c>
      <c r="CW25">
        <f t="shared" si="43"/>
        <v>1513.3448999209884</v>
      </c>
      <c r="CX25">
        <f t="shared" si="44"/>
        <v>0.84065843045511213</v>
      </c>
      <c r="CY25">
        <f t="shared" si="45"/>
        <v>0.16087077077836645</v>
      </c>
      <c r="CZ25">
        <v>6</v>
      </c>
      <c r="DA25">
        <v>0.5</v>
      </c>
      <c r="DB25" t="s">
        <v>418</v>
      </c>
      <c r="DC25">
        <v>2</v>
      </c>
      <c r="DD25">
        <v>1639681617.5999999</v>
      </c>
      <c r="DE25">
        <v>335.94799999999998</v>
      </c>
      <c r="DF25">
        <v>399.988</v>
      </c>
      <c r="DG25">
        <v>24.8292</v>
      </c>
      <c r="DH25">
        <v>15.952999999999999</v>
      </c>
      <c r="DI25">
        <v>337.09899999999999</v>
      </c>
      <c r="DJ25">
        <v>24.800599999999999</v>
      </c>
      <c r="DK25">
        <v>500.11700000000002</v>
      </c>
      <c r="DL25">
        <v>99.022199999999998</v>
      </c>
      <c r="DM25">
        <v>0.100354</v>
      </c>
      <c r="DN25">
        <v>28.008099999999999</v>
      </c>
      <c r="DO25">
        <v>27.511399999999998</v>
      </c>
      <c r="DP25">
        <v>999.9</v>
      </c>
      <c r="DQ25">
        <v>0</v>
      </c>
      <c r="DR25">
        <v>0</v>
      </c>
      <c r="DS25">
        <v>9981.25</v>
      </c>
      <c r="DT25">
        <v>0</v>
      </c>
      <c r="DU25">
        <v>351.41500000000002</v>
      </c>
      <c r="DV25">
        <v>-64.039500000000004</v>
      </c>
      <c r="DW25">
        <v>344.50200000000001</v>
      </c>
      <c r="DX25">
        <v>406.47199999999998</v>
      </c>
      <c r="DY25">
        <v>8.8762000000000008</v>
      </c>
      <c r="DZ25">
        <v>399.988</v>
      </c>
      <c r="EA25">
        <v>15.952999999999999</v>
      </c>
      <c r="EB25">
        <v>2.45865</v>
      </c>
      <c r="EC25">
        <v>1.5797000000000001</v>
      </c>
      <c r="ED25">
        <v>20.755299999999998</v>
      </c>
      <c r="EE25">
        <v>13.7622</v>
      </c>
      <c r="EF25">
        <v>1800.19</v>
      </c>
      <c r="EG25">
        <v>0.97799199999999997</v>
      </c>
      <c r="EH25">
        <v>2.20079E-2</v>
      </c>
      <c r="EI25">
        <v>0</v>
      </c>
      <c r="EJ25">
        <v>747.44100000000003</v>
      </c>
      <c r="EK25">
        <v>5.0001199999999999</v>
      </c>
      <c r="EL25">
        <v>13297.8</v>
      </c>
      <c r="EM25">
        <v>15631.5</v>
      </c>
      <c r="EN25">
        <v>46.686999999999998</v>
      </c>
      <c r="EO25">
        <v>47.311999999999998</v>
      </c>
      <c r="EP25">
        <v>47.436999999999998</v>
      </c>
      <c r="EQ25">
        <v>47.25</v>
      </c>
      <c r="ER25">
        <v>48.25</v>
      </c>
      <c r="ES25">
        <v>1755.68</v>
      </c>
      <c r="ET25">
        <v>39.51</v>
      </c>
      <c r="EU25">
        <v>0</v>
      </c>
      <c r="EV25">
        <v>186</v>
      </c>
      <c r="EW25">
        <v>0</v>
      </c>
      <c r="EX25">
        <v>746.69155999999998</v>
      </c>
      <c r="EY25">
        <v>4.3763076932607552</v>
      </c>
      <c r="EZ25">
        <v>114.12307711110429</v>
      </c>
      <c r="FA25">
        <v>13282.352000000001</v>
      </c>
      <c r="FB25">
        <v>15</v>
      </c>
      <c r="FC25">
        <v>1639681533.0999999</v>
      </c>
      <c r="FD25" t="s">
        <v>464</v>
      </c>
      <c r="FE25">
        <v>1639681533.0999999</v>
      </c>
      <c r="FF25">
        <v>1639681532.5999999</v>
      </c>
      <c r="FG25">
        <v>14</v>
      </c>
      <c r="FH25">
        <v>-0.109</v>
      </c>
      <c r="FI25">
        <v>-2E-3</v>
      </c>
      <c r="FJ25">
        <v>-1.25</v>
      </c>
      <c r="FK25">
        <v>-9.8000000000000004E-2</v>
      </c>
      <c r="FL25">
        <v>400</v>
      </c>
      <c r="FM25">
        <v>16</v>
      </c>
      <c r="FN25">
        <v>0.02</v>
      </c>
      <c r="FO25">
        <v>0.01</v>
      </c>
      <c r="FP25">
        <v>50.674243802638557</v>
      </c>
      <c r="FQ25">
        <v>0.66601668637187905</v>
      </c>
      <c r="FR25">
        <v>8.165663864393774E-2</v>
      </c>
      <c r="FS25">
        <v>1</v>
      </c>
      <c r="FT25">
        <v>0.67323369036574887</v>
      </c>
      <c r="FU25">
        <v>-3.4254671053166222E-2</v>
      </c>
      <c r="FV25">
        <v>3.4004689750803921E-3</v>
      </c>
      <c r="FW25">
        <v>1</v>
      </c>
      <c r="FX25">
        <v>2</v>
      </c>
      <c r="FY25">
        <v>2</v>
      </c>
      <c r="FZ25" t="s">
        <v>420</v>
      </c>
      <c r="GA25">
        <v>2.92008</v>
      </c>
      <c r="GB25">
        <v>2.7451699999999999</v>
      </c>
      <c r="GC25">
        <v>7.97871E-2</v>
      </c>
      <c r="GD25">
        <v>9.2703400000000005E-2</v>
      </c>
      <c r="GE25">
        <v>0.11884</v>
      </c>
      <c r="GF25">
        <v>8.80798E-2</v>
      </c>
      <c r="GG25">
        <v>28667.4</v>
      </c>
      <c r="GH25">
        <v>27983.200000000001</v>
      </c>
      <c r="GI25">
        <v>28363.5</v>
      </c>
      <c r="GJ25">
        <v>28205.5</v>
      </c>
      <c r="GK25">
        <v>34305.9</v>
      </c>
      <c r="GL25">
        <v>36120.9</v>
      </c>
      <c r="GM25">
        <v>42687.9</v>
      </c>
      <c r="GN25">
        <v>43881.5</v>
      </c>
      <c r="GO25">
        <v>1.7936300000000001</v>
      </c>
      <c r="GP25">
        <v>1.9657500000000001</v>
      </c>
      <c r="GQ25">
        <v>1.9818499999999998E-3</v>
      </c>
      <c r="GR25">
        <v>0</v>
      </c>
      <c r="GS25">
        <v>27.478999999999999</v>
      </c>
      <c r="GT25">
        <v>999.9</v>
      </c>
      <c r="GU25">
        <v>32.5</v>
      </c>
      <c r="GV25">
        <v>36.299999999999997</v>
      </c>
      <c r="GW25">
        <v>19.915400000000002</v>
      </c>
      <c r="GX25">
        <v>60.956699999999998</v>
      </c>
      <c r="GY25">
        <v>30.877400000000002</v>
      </c>
      <c r="GZ25">
        <v>1</v>
      </c>
      <c r="HA25">
        <v>0.36948900000000001</v>
      </c>
      <c r="HB25">
        <v>2.6754899999999999</v>
      </c>
      <c r="HC25">
        <v>20.2515</v>
      </c>
      <c r="HD25">
        <v>5.27569</v>
      </c>
      <c r="HE25">
        <v>12.0878</v>
      </c>
      <c r="HF25">
        <v>5.0139500000000004</v>
      </c>
      <c r="HG25">
        <v>3.2919800000000001</v>
      </c>
      <c r="HH25">
        <v>9999</v>
      </c>
      <c r="HI25">
        <v>9999</v>
      </c>
      <c r="HJ25">
        <v>9999</v>
      </c>
      <c r="HK25">
        <v>999.9</v>
      </c>
      <c r="HL25">
        <v>1.87527</v>
      </c>
      <c r="HM25">
        <v>1.87571</v>
      </c>
      <c r="HN25">
        <v>1.8754599999999999</v>
      </c>
      <c r="HO25">
        <v>1.8794299999999999</v>
      </c>
      <c r="HP25">
        <v>1.87286</v>
      </c>
      <c r="HQ25">
        <v>1.8760699999999999</v>
      </c>
      <c r="HR25">
        <v>1.8757699999999999</v>
      </c>
      <c r="HS25">
        <v>1.87717</v>
      </c>
      <c r="HT25">
        <v>0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-1.151</v>
      </c>
      <c r="IH25">
        <v>2.86E-2</v>
      </c>
      <c r="II25">
        <v>-0.62967503049965878</v>
      </c>
      <c r="IJ25">
        <v>-1.5404112972462821E-3</v>
      </c>
      <c r="IK25">
        <v>-5.8697186733976997E-8</v>
      </c>
      <c r="IL25">
        <v>1.160237123038427E-10</v>
      </c>
      <c r="IM25">
        <v>-0.149795817725665</v>
      </c>
      <c r="IN25">
        <v>-3.128848753924141E-3</v>
      </c>
      <c r="IO25">
        <v>3.6841110403368089E-4</v>
      </c>
      <c r="IP25">
        <v>1.9296040270694169E-6</v>
      </c>
      <c r="IQ25">
        <v>1</v>
      </c>
      <c r="IR25">
        <v>1992</v>
      </c>
      <c r="IS25">
        <v>2</v>
      </c>
      <c r="IT25">
        <v>27</v>
      </c>
      <c r="IU25">
        <v>1.4</v>
      </c>
      <c r="IV25">
        <v>1.4</v>
      </c>
      <c r="IW25">
        <v>1.0449200000000001</v>
      </c>
      <c r="IX25">
        <v>2.6989700000000001</v>
      </c>
      <c r="IY25">
        <v>1.69434</v>
      </c>
      <c r="IZ25">
        <v>2.35107</v>
      </c>
      <c r="JA25">
        <v>1.5466299999999999</v>
      </c>
      <c r="JB25">
        <v>2.32178</v>
      </c>
      <c r="JC25">
        <v>40.044699999999999</v>
      </c>
      <c r="JD25">
        <v>24.017499999999998</v>
      </c>
      <c r="JE25">
        <v>18</v>
      </c>
      <c r="JF25">
        <v>532.822</v>
      </c>
      <c r="JG25">
        <v>530.23099999999999</v>
      </c>
      <c r="JH25">
        <v>25.106999999999999</v>
      </c>
      <c r="JI25">
        <v>31.7546</v>
      </c>
      <c r="JJ25">
        <v>30.000399999999999</v>
      </c>
      <c r="JK25">
        <v>31.703199999999999</v>
      </c>
      <c r="JL25">
        <v>31.6586</v>
      </c>
      <c r="JM25">
        <v>20.997399999999999</v>
      </c>
      <c r="JN25">
        <v>15.595499999999999</v>
      </c>
      <c r="JO25">
        <v>28.481200000000001</v>
      </c>
      <c r="JP25">
        <v>25.099499999999999</v>
      </c>
      <c r="JQ25">
        <v>400</v>
      </c>
      <c r="JR25">
        <v>16.0015</v>
      </c>
      <c r="JS25">
        <v>99.459800000000001</v>
      </c>
      <c r="JT25">
        <v>98.834800000000001</v>
      </c>
    </row>
    <row r="26" spans="1:280" x14ac:dyDescent="0.25">
      <c r="A26">
        <v>10</v>
      </c>
      <c r="B26">
        <v>1639681756.5999999</v>
      </c>
      <c r="C26">
        <v>1274.099999904633</v>
      </c>
      <c r="D26" t="s">
        <v>465</v>
      </c>
      <c r="E26" t="s">
        <v>466</v>
      </c>
      <c r="F26" t="s">
        <v>412</v>
      </c>
      <c r="G26" t="s">
        <v>413</v>
      </c>
      <c r="H26" t="s">
        <v>414</v>
      </c>
      <c r="I26">
        <v>1639681756.5999999</v>
      </c>
      <c r="J26">
        <f t="shared" si="0"/>
        <v>7.623483095486795E-3</v>
      </c>
      <c r="K26">
        <f t="shared" si="1"/>
        <v>7.6234830954867947</v>
      </c>
      <c r="L26">
        <f t="shared" si="2"/>
        <v>52.112004719120719</v>
      </c>
      <c r="M26">
        <f t="shared" si="3"/>
        <v>433.56</v>
      </c>
      <c r="N26">
        <f t="shared" si="4"/>
        <v>291.3558704187451</v>
      </c>
      <c r="O26">
        <f t="shared" si="5"/>
        <v>28.882100412933728</v>
      </c>
      <c r="P26">
        <f t="shared" si="6"/>
        <v>42.978792351204</v>
      </c>
      <c r="Q26">
        <f t="shared" si="7"/>
        <v>0.68606928473257789</v>
      </c>
      <c r="R26">
        <f t="shared" si="8"/>
        <v>2.9112758589003533</v>
      </c>
      <c r="S26">
        <f t="shared" si="9"/>
        <v>0.60731261690181704</v>
      </c>
      <c r="T26">
        <f t="shared" si="10"/>
        <v>0.38589031712794897</v>
      </c>
      <c r="U26">
        <f t="shared" si="11"/>
        <v>289.54049684747702</v>
      </c>
      <c r="V26">
        <f t="shared" si="12"/>
        <v>27.708647521189338</v>
      </c>
      <c r="W26">
        <f t="shared" si="13"/>
        <v>27.505600000000001</v>
      </c>
      <c r="X26">
        <f t="shared" si="14"/>
        <v>3.6868309467958702</v>
      </c>
      <c r="Y26">
        <f t="shared" si="15"/>
        <v>65.439534593155244</v>
      </c>
      <c r="Z26">
        <f t="shared" si="16"/>
        <v>2.4811836447866398</v>
      </c>
      <c r="AA26">
        <f t="shared" si="17"/>
        <v>3.7915667649723219</v>
      </c>
      <c r="AB26">
        <f t="shared" si="18"/>
        <v>1.2056473020092304</v>
      </c>
      <c r="AC26">
        <f t="shared" si="19"/>
        <v>-336.19560451096766</v>
      </c>
      <c r="AD26">
        <f t="shared" si="20"/>
        <v>75.274516888774869</v>
      </c>
      <c r="AE26">
        <f t="shared" si="21"/>
        <v>5.6217701068599109</v>
      </c>
      <c r="AF26">
        <f t="shared" si="22"/>
        <v>34.241179332144142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52158.469694340652</v>
      </c>
      <c r="AL26" t="s">
        <v>415</v>
      </c>
      <c r="AM26">
        <v>10204.299999999999</v>
      </c>
      <c r="AN26">
        <v>862.72538461538477</v>
      </c>
      <c r="AO26">
        <v>3252.56</v>
      </c>
      <c r="AP26">
        <f t="shared" si="26"/>
        <v>0.73475496697512588</v>
      </c>
      <c r="AQ26">
        <v>-6.6684750346205304</v>
      </c>
      <c r="AR26" t="s">
        <v>467</v>
      </c>
      <c r="AS26">
        <v>10074.200000000001</v>
      </c>
      <c r="AT26">
        <v>756.57388000000003</v>
      </c>
      <c r="AU26">
        <v>1156.016541964425</v>
      </c>
      <c r="AV26">
        <f t="shared" si="27"/>
        <v>0.3455336904484515</v>
      </c>
      <c r="AW26">
        <v>0.5</v>
      </c>
      <c r="AX26">
        <f t="shared" si="28"/>
        <v>1513.0424999209724</v>
      </c>
      <c r="AY26">
        <f t="shared" si="29"/>
        <v>52.112004719120719</v>
      </c>
      <c r="AZ26">
        <f t="shared" si="30"/>
        <v>261.40357940152222</v>
      </c>
      <c r="BA26">
        <f t="shared" si="31"/>
        <v>3.884919277337643E-2</v>
      </c>
      <c r="BB26">
        <f t="shared" si="32"/>
        <v>1.8135929564406645</v>
      </c>
      <c r="BC26">
        <f t="shared" si="33"/>
        <v>582.51065773674009</v>
      </c>
      <c r="BD26" t="s">
        <v>468</v>
      </c>
      <c r="BE26">
        <v>576.97</v>
      </c>
      <c r="BF26">
        <f t="shared" si="34"/>
        <v>576.97</v>
      </c>
      <c r="BG26">
        <f t="shared" si="35"/>
        <v>0.50089814543695721</v>
      </c>
      <c r="BH26">
        <f t="shared" si="36"/>
        <v>0.68982824870917825</v>
      </c>
      <c r="BI26">
        <f t="shared" si="37"/>
        <v>0.78358173637798578</v>
      </c>
      <c r="BJ26">
        <f t="shared" si="38"/>
        <v>1.361932168616512</v>
      </c>
      <c r="BK26">
        <f t="shared" si="39"/>
        <v>0.8772755422233105</v>
      </c>
      <c r="BL26">
        <f t="shared" si="40"/>
        <v>0.52606918528265156</v>
      </c>
      <c r="BM26">
        <f t="shared" si="41"/>
        <v>0.47393081471734844</v>
      </c>
      <c r="BN26">
        <v>5114</v>
      </c>
      <c r="BO26">
        <v>290.00000000000011</v>
      </c>
      <c r="BP26">
        <v>1043.69</v>
      </c>
      <c r="BQ26">
        <v>175</v>
      </c>
      <c r="BR26">
        <v>10074.200000000001</v>
      </c>
      <c r="BS26">
        <v>1039.6199999999999</v>
      </c>
      <c r="BT26">
        <v>4.07</v>
      </c>
      <c r="BU26">
        <v>300.00000000000011</v>
      </c>
      <c r="BV26">
        <v>24.1</v>
      </c>
      <c r="BW26">
        <v>1156.016541964425</v>
      </c>
      <c r="BX26">
        <v>2.1215073479455699</v>
      </c>
      <c r="BY26">
        <v>-117.2628270617823</v>
      </c>
      <c r="BZ26">
        <v>1.9032458432400241</v>
      </c>
      <c r="CA26">
        <v>0.99267790354644059</v>
      </c>
      <c r="CB26">
        <v>-6.8603577308120169E-3</v>
      </c>
      <c r="CC26">
        <v>289.99999999999989</v>
      </c>
      <c r="CD26">
        <v>1033.96</v>
      </c>
      <c r="CE26">
        <v>695</v>
      </c>
      <c r="CF26">
        <v>10055.6</v>
      </c>
      <c r="CG26">
        <v>1039.4000000000001</v>
      </c>
      <c r="CH26">
        <v>-5.44</v>
      </c>
      <c r="CV26">
        <f t="shared" si="42"/>
        <v>1799.83</v>
      </c>
      <c r="CW26">
        <f t="shared" si="43"/>
        <v>1513.0424999209724</v>
      </c>
      <c r="CX26">
        <f t="shared" si="44"/>
        <v>0.84065856215363255</v>
      </c>
      <c r="CY26">
        <f t="shared" si="45"/>
        <v>0.1608710249565109</v>
      </c>
      <c r="CZ26">
        <v>6</v>
      </c>
      <c r="DA26">
        <v>0.5</v>
      </c>
      <c r="DB26" t="s">
        <v>418</v>
      </c>
      <c r="DC26">
        <v>2</v>
      </c>
      <c r="DD26">
        <v>1639681756.5999999</v>
      </c>
      <c r="DE26">
        <v>433.56</v>
      </c>
      <c r="DF26">
        <v>500.04500000000002</v>
      </c>
      <c r="DG26">
        <v>25.029599999999999</v>
      </c>
      <c r="DH26">
        <v>16.112500000000001</v>
      </c>
      <c r="DI26">
        <v>434.87200000000001</v>
      </c>
      <c r="DJ26">
        <v>24.989899999999999</v>
      </c>
      <c r="DK26">
        <v>500.11799999999999</v>
      </c>
      <c r="DL26">
        <v>99.030100000000004</v>
      </c>
      <c r="DM26">
        <v>9.9875900000000004E-2</v>
      </c>
      <c r="DN26">
        <v>27.985199999999999</v>
      </c>
      <c r="DO26">
        <v>27.505600000000001</v>
      </c>
      <c r="DP26">
        <v>999.9</v>
      </c>
      <c r="DQ26">
        <v>0</v>
      </c>
      <c r="DR26">
        <v>0</v>
      </c>
      <c r="DS26">
        <v>9993.1200000000008</v>
      </c>
      <c r="DT26">
        <v>0</v>
      </c>
      <c r="DU26">
        <v>330.14600000000002</v>
      </c>
      <c r="DV26">
        <v>-66.484899999999996</v>
      </c>
      <c r="DW26">
        <v>444.69</v>
      </c>
      <c r="DX26">
        <v>508.233</v>
      </c>
      <c r="DY26">
        <v>8.9170700000000007</v>
      </c>
      <c r="DZ26">
        <v>500.04500000000002</v>
      </c>
      <c r="EA26">
        <v>16.112500000000001</v>
      </c>
      <c r="EB26">
        <v>2.4786800000000002</v>
      </c>
      <c r="EC26">
        <v>1.59562</v>
      </c>
      <c r="ED26">
        <v>20.8872</v>
      </c>
      <c r="EE26">
        <v>13.916600000000001</v>
      </c>
      <c r="EF26">
        <v>1799.83</v>
      </c>
      <c r="EG26">
        <v>0.977989</v>
      </c>
      <c r="EH26">
        <v>2.2011300000000001E-2</v>
      </c>
      <c r="EI26">
        <v>0</v>
      </c>
      <c r="EJ26">
        <v>756.71400000000006</v>
      </c>
      <c r="EK26">
        <v>5.0001199999999999</v>
      </c>
      <c r="EL26">
        <v>13469</v>
      </c>
      <c r="EM26">
        <v>15628.4</v>
      </c>
      <c r="EN26">
        <v>46.75</v>
      </c>
      <c r="EO26">
        <v>47.375</v>
      </c>
      <c r="EP26">
        <v>47.436999999999998</v>
      </c>
      <c r="EQ26">
        <v>47.25</v>
      </c>
      <c r="ER26">
        <v>48.311999999999998</v>
      </c>
      <c r="ES26">
        <v>1755.32</v>
      </c>
      <c r="ET26">
        <v>39.51</v>
      </c>
      <c r="EU26">
        <v>0</v>
      </c>
      <c r="EV26">
        <v>137</v>
      </c>
      <c r="EW26">
        <v>0</v>
      </c>
      <c r="EX26">
        <v>756.57388000000003</v>
      </c>
      <c r="EY26">
        <v>5.1236923177606242</v>
      </c>
      <c r="EZ26">
        <v>67.353846231334487</v>
      </c>
      <c r="FA26">
        <v>13461.716</v>
      </c>
      <c r="FB26">
        <v>15</v>
      </c>
      <c r="FC26">
        <v>1639681714.0999999</v>
      </c>
      <c r="FD26" t="s">
        <v>469</v>
      </c>
      <c r="FE26">
        <v>1639681705.0999999</v>
      </c>
      <c r="FF26">
        <v>1639681714.0999999</v>
      </c>
      <c r="FG26">
        <v>15</v>
      </c>
      <c r="FH26">
        <v>-1.2E-2</v>
      </c>
      <c r="FI26">
        <v>7.0000000000000001E-3</v>
      </c>
      <c r="FJ26">
        <v>-1.4139999999999999</v>
      </c>
      <c r="FK26">
        <v>-8.8999999999999996E-2</v>
      </c>
      <c r="FL26">
        <v>500</v>
      </c>
      <c r="FM26">
        <v>16</v>
      </c>
      <c r="FN26">
        <v>0.04</v>
      </c>
      <c r="FO26">
        <v>0.01</v>
      </c>
      <c r="FP26">
        <v>52.126360903980768</v>
      </c>
      <c r="FQ26">
        <v>-0.35082336193179381</v>
      </c>
      <c r="FR26">
        <v>5.5711728620066868E-2</v>
      </c>
      <c r="FS26">
        <v>1</v>
      </c>
      <c r="FT26">
        <v>0.68840246110405645</v>
      </c>
      <c r="FU26">
        <v>2.8591361020526229E-2</v>
      </c>
      <c r="FV26">
        <v>4.9537741581544307E-3</v>
      </c>
      <c r="FW26">
        <v>1</v>
      </c>
      <c r="FX26">
        <v>2</v>
      </c>
      <c r="FY26">
        <v>2</v>
      </c>
      <c r="FZ26" t="s">
        <v>420</v>
      </c>
      <c r="GA26">
        <v>2.91995</v>
      </c>
      <c r="GB26">
        <v>2.7447900000000001</v>
      </c>
      <c r="GC26">
        <v>9.7228499999999995E-2</v>
      </c>
      <c r="GD26">
        <v>0.109537</v>
      </c>
      <c r="GE26">
        <v>0.119465</v>
      </c>
      <c r="GF26">
        <v>8.87159E-2</v>
      </c>
      <c r="GG26">
        <v>28120.400000000001</v>
      </c>
      <c r="GH26">
        <v>27459.9</v>
      </c>
      <c r="GI26">
        <v>28359.9</v>
      </c>
      <c r="GJ26">
        <v>28201.4</v>
      </c>
      <c r="GK26">
        <v>34276.300000000003</v>
      </c>
      <c r="GL26">
        <v>36090.800000000003</v>
      </c>
      <c r="GM26">
        <v>42681.5</v>
      </c>
      <c r="GN26">
        <v>43875.5</v>
      </c>
      <c r="GO26">
        <v>1.7924199999999999</v>
      </c>
      <c r="GP26">
        <v>1.9653</v>
      </c>
      <c r="GQ26">
        <v>-1.17347E-3</v>
      </c>
      <c r="GR26">
        <v>0</v>
      </c>
      <c r="GS26">
        <v>27.524799999999999</v>
      </c>
      <c r="GT26">
        <v>999.9</v>
      </c>
      <c r="GU26">
        <v>32.5</v>
      </c>
      <c r="GV26">
        <v>36.299999999999997</v>
      </c>
      <c r="GW26">
        <v>19.916399999999999</v>
      </c>
      <c r="GX26">
        <v>61.216700000000003</v>
      </c>
      <c r="GY26">
        <v>30.500800000000002</v>
      </c>
      <c r="GZ26">
        <v>1</v>
      </c>
      <c r="HA26">
        <v>0.37603700000000001</v>
      </c>
      <c r="HB26">
        <v>2.4721899999999999</v>
      </c>
      <c r="HC26">
        <v>20.254799999999999</v>
      </c>
      <c r="HD26">
        <v>5.2716500000000002</v>
      </c>
      <c r="HE26">
        <v>12.0878</v>
      </c>
      <c r="HF26">
        <v>5.0126999999999997</v>
      </c>
      <c r="HG26">
        <v>3.2919999999999998</v>
      </c>
      <c r="HH26">
        <v>9999</v>
      </c>
      <c r="HI26">
        <v>9999</v>
      </c>
      <c r="HJ26">
        <v>9999</v>
      </c>
      <c r="HK26">
        <v>999.9</v>
      </c>
      <c r="HL26">
        <v>1.8752200000000001</v>
      </c>
      <c r="HM26">
        <v>1.8756600000000001</v>
      </c>
      <c r="HN26">
        <v>1.8754599999999999</v>
      </c>
      <c r="HO26">
        <v>1.8794299999999999</v>
      </c>
      <c r="HP26">
        <v>1.87286</v>
      </c>
      <c r="HQ26">
        <v>1.8760699999999999</v>
      </c>
      <c r="HR26">
        <v>1.87578</v>
      </c>
      <c r="HS26">
        <v>1.87717</v>
      </c>
      <c r="HT26">
        <v>0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-1.3120000000000001</v>
      </c>
      <c r="IH26">
        <v>3.9699999999999999E-2</v>
      </c>
      <c r="II26">
        <v>-0.64120555937260759</v>
      </c>
      <c r="IJ26">
        <v>-1.5404112972462821E-3</v>
      </c>
      <c r="IK26">
        <v>-5.8697186733976997E-8</v>
      </c>
      <c r="IL26">
        <v>1.160237123038427E-10</v>
      </c>
      <c r="IM26">
        <v>-0.14229660265288049</v>
      </c>
      <c r="IN26">
        <v>-3.128848753924141E-3</v>
      </c>
      <c r="IO26">
        <v>3.6841110403368089E-4</v>
      </c>
      <c r="IP26">
        <v>1.9296040270694169E-6</v>
      </c>
      <c r="IQ26">
        <v>1</v>
      </c>
      <c r="IR26">
        <v>1992</v>
      </c>
      <c r="IS26">
        <v>2</v>
      </c>
      <c r="IT26">
        <v>27</v>
      </c>
      <c r="IU26">
        <v>0.9</v>
      </c>
      <c r="IV26">
        <v>0.7</v>
      </c>
      <c r="IW26">
        <v>1.24878</v>
      </c>
      <c r="IX26">
        <v>2.67822</v>
      </c>
      <c r="IY26">
        <v>1.69434</v>
      </c>
      <c r="IZ26">
        <v>2.35107</v>
      </c>
      <c r="JA26">
        <v>1.5466299999999999</v>
      </c>
      <c r="JB26">
        <v>2.48047</v>
      </c>
      <c r="JC26">
        <v>40.044699999999999</v>
      </c>
      <c r="JD26">
        <v>24.026199999999999</v>
      </c>
      <c r="JE26">
        <v>18</v>
      </c>
      <c r="JF26">
        <v>532.31200000000001</v>
      </c>
      <c r="JG26">
        <v>530.28099999999995</v>
      </c>
      <c r="JH26">
        <v>25.1601</v>
      </c>
      <c r="JI26">
        <v>31.8217</v>
      </c>
      <c r="JJ26">
        <v>30.0002</v>
      </c>
      <c r="JK26">
        <v>31.753399999999999</v>
      </c>
      <c r="JL26">
        <v>31.700800000000001</v>
      </c>
      <c r="JM26">
        <v>25.084900000000001</v>
      </c>
      <c r="JN26">
        <v>15.0738</v>
      </c>
      <c r="JO26">
        <v>28.565100000000001</v>
      </c>
      <c r="JP26">
        <v>25.168500000000002</v>
      </c>
      <c r="JQ26">
        <v>500</v>
      </c>
      <c r="JR26">
        <v>16.0123</v>
      </c>
      <c r="JS26">
        <v>99.445999999999998</v>
      </c>
      <c r="JT26">
        <v>98.821100000000001</v>
      </c>
    </row>
    <row r="27" spans="1:280" x14ac:dyDescent="0.25">
      <c r="A27">
        <v>11</v>
      </c>
      <c r="B27">
        <v>1639681899.0999999</v>
      </c>
      <c r="C27">
        <v>1416.599999904633</v>
      </c>
      <c r="D27" t="s">
        <v>470</v>
      </c>
      <c r="E27" t="s">
        <v>471</v>
      </c>
      <c r="F27" t="s">
        <v>412</v>
      </c>
      <c r="G27" t="s">
        <v>413</v>
      </c>
      <c r="H27" t="s">
        <v>414</v>
      </c>
      <c r="I27">
        <v>1639681899.0999999</v>
      </c>
      <c r="J27">
        <f t="shared" si="0"/>
        <v>7.4318085266706323E-3</v>
      </c>
      <c r="K27">
        <f t="shared" si="1"/>
        <v>7.4318085266706326</v>
      </c>
      <c r="L27">
        <f t="shared" si="2"/>
        <v>52.235099956213055</v>
      </c>
      <c r="M27">
        <f t="shared" si="3"/>
        <v>532.59400000000005</v>
      </c>
      <c r="N27">
        <f t="shared" si="4"/>
        <v>384.89080167638633</v>
      </c>
      <c r="O27">
        <f t="shared" si="5"/>
        <v>38.155109264351623</v>
      </c>
      <c r="P27">
        <f t="shared" si="6"/>
        <v>52.797266588418005</v>
      </c>
      <c r="Q27">
        <f t="shared" si="7"/>
        <v>0.66802790631780984</v>
      </c>
      <c r="R27">
        <f t="shared" si="8"/>
        <v>2.9116400540285627</v>
      </c>
      <c r="S27">
        <f t="shared" si="9"/>
        <v>0.5931258365401787</v>
      </c>
      <c r="T27">
        <f t="shared" si="10"/>
        <v>0.37673108147863071</v>
      </c>
      <c r="U27">
        <f t="shared" si="11"/>
        <v>289.57560884749557</v>
      </c>
      <c r="V27">
        <f t="shared" si="12"/>
        <v>27.769988749498012</v>
      </c>
      <c r="W27">
        <f t="shared" si="13"/>
        <v>27.491499999999998</v>
      </c>
      <c r="X27">
        <f t="shared" si="14"/>
        <v>3.6837903627396114</v>
      </c>
      <c r="Y27">
        <f t="shared" si="15"/>
        <v>65.374028948917413</v>
      </c>
      <c r="Z27">
        <f t="shared" si="16"/>
        <v>2.4802900709399998</v>
      </c>
      <c r="AA27">
        <f t="shared" si="17"/>
        <v>3.7939991015056953</v>
      </c>
      <c r="AB27">
        <f t="shared" si="18"/>
        <v>1.2035002917996116</v>
      </c>
      <c r="AC27">
        <f t="shared" si="19"/>
        <v>-327.7427560261749</v>
      </c>
      <c r="AD27">
        <f t="shared" si="20"/>
        <v>79.223939287780567</v>
      </c>
      <c r="AE27">
        <f t="shared" si="21"/>
        <v>5.9158959500949235</v>
      </c>
      <c r="AF27">
        <f t="shared" si="22"/>
        <v>46.972688059196159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52167.029586471821</v>
      </c>
      <c r="AL27" t="s">
        <v>415</v>
      </c>
      <c r="AM27">
        <v>10204.299999999999</v>
      </c>
      <c r="AN27">
        <v>862.72538461538477</v>
      </c>
      <c r="AO27">
        <v>3252.56</v>
      </c>
      <c r="AP27">
        <f t="shared" si="26"/>
        <v>0.73475496697512588</v>
      </c>
      <c r="AQ27">
        <v>-6.6684750346205304</v>
      </c>
      <c r="AR27" t="s">
        <v>472</v>
      </c>
      <c r="AS27">
        <v>10078.6</v>
      </c>
      <c r="AT27">
        <v>762.10034615384598</v>
      </c>
      <c r="AU27">
        <v>1171.464323110891</v>
      </c>
      <c r="AV27">
        <f t="shared" si="27"/>
        <v>0.34944638849090626</v>
      </c>
      <c r="AW27">
        <v>0.5</v>
      </c>
      <c r="AX27">
        <f t="shared" si="28"/>
        <v>1513.2272999209822</v>
      </c>
      <c r="AY27">
        <f t="shared" si="29"/>
        <v>52.235099956213055</v>
      </c>
      <c r="AZ27">
        <f t="shared" si="30"/>
        <v>264.39590746161633</v>
      </c>
      <c r="BA27">
        <f t="shared" si="31"/>
        <v>3.8925794554399998E-2</v>
      </c>
      <c r="BB27">
        <f t="shared" si="32"/>
        <v>1.7764908720076424</v>
      </c>
      <c r="BC27">
        <f t="shared" si="33"/>
        <v>586.40717083779487</v>
      </c>
      <c r="BD27" t="s">
        <v>473</v>
      </c>
      <c r="BE27">
        <v>578.41999999999996</v>
      </c>
      <c r="BF27">
        <f t="shared" si="34"/>
        <v>578.41999999999996</v>
      </c>
      <c r="BG27">
        <f t="shared" si="35"/>
        <v>0.50624189863164393</v>
      </c>
      <c r="BH27">
        <f t="shared" si="36"/>
        <v>0.69027551736718951</v>
      </c>
      <c r="BI27">
        <f t="shared" si="37"/>
        <v>0.77822988956790196</v>
      </c>
      <c r="BJ27">
        <f t="shared" si="38"/>
        <v>1.3259227324933083</v>
      </c>
      <c r="BK27">
        <f t="shared" si="39"/>
        <v>0.87081158817100068</v>
      </c>
      <c r="BL27">
        <f t="shared" si="40"/>
        <v>0.52390628973015696</v>
      </c>
      <c r="BM27">
        <f t="shared" si="41"/>
        <v>0.47609371026984304</v>
      </c>
      <c r="BN27">
        <v>5116</v>
      </c>
      <c r="BO27">
        <v>290.00000000000011</v>
      </c>
      <c r="BP27">
        <v>1056.33</v>
      </c>
      <c r="BQ27">
        <v>125</v>
      </c>
      <c r="BR27">
        <v>10078.6</v>
      </c>
      <c r="BS27">
        <v>1051.49</v>
      </c>
      <c r="BT27">
        <v>4.84</v>
      </c>
      <c r="BU27">
        <v>300.00000000000011</v>
      </c>
      <c r="BV27">
        <v>24.1</v>
      </c>
      <c r="BW27">
        <v>1171.464323110891</v>
      </c>
      <c r="BX27">
        <v>1.826188128751661</v>
      </c>
      <c r="BY27">
        <v>-120.91347880084049</v>
      </c>
      <c r="BZ27">
        <v>1.638264948422711</v>
      </c>
      <c r="CA27">
        <v>0.994886123323376</v>
      </c>
      <c r="CB27">
        <v>-6.8599868743047798E-3</v>
      </c>
      <c r="CC27">
        <v>289.99999999999989</v>
      </c>
      <c r="CD27">
        <v>1045.04</v>
      </c>
      <c r="CE27">
        <v>695</v>
      </c>
      <c r="CF27">
        <v>10055.299999999999</v>
      </c>
      <c r="CG27">
        <v>1051.22</v>
      </c>
      <c r="CH27">
        <v>-6.18</v>
      </c>
      <c r="CV27">
        <f t="shared" si="42"/>
        <v>1800.05</v>
      </c>
      <c r="CW27">
        <f t="shared" si="43"/>
        <v>1513.2272999209822</v>
      </c>
      <c r="CX27">
        <f t="shared" si="44"/>
        <v>0.84065848166494384</v>
      </c>
      <c r="CY27">
        <f t="shared" si="45"/>
        <v>0.16087086961334163</v>
      </c>
      <c r="CZ27">
        <v>6</v>
      </c>
      <c r="DA27">
        <v>0.5</v>
      </c>
      <c r="DB27" t="s">
        <v>418</v>
      </c>
      <c r="DC27">
        <v>2</v>
      </c>
      <c r="DD27">
        <v>1639681899.0999999</v>
      </c>
      <c r="DE27">
        <v>532.59400000000005</v>
      </c>
      <c r="DF27">
        <v>600</v>
      </c>
      <c r="DG27">
        <v>25.02</v>
      </c>
      <c r="DH27">
        <v>16.328299999999999</v>
      </c>
      <c r="DI27">
        <v>533.904</v>
      </c>
      <c r="DJ27">
        <v>24.985399999999998</v>
      </c>
      <c r="DK27">
        <v>500.19200000000001</v>
      </c>
      <c r="DL27">
        <v>99.0321</v>
      </c>
      <c r="DM27">
        <v>0.10019699999999999</v>
      </c>
      <c r="DN27">
        <v>27.996200000000002</v>
      </c>
      <c r="DO27">
        <v>27.491499999999998</v>
      </c>
      <c r="DP27">
        <v>999.9</v>
      </c>
      <c r="DQ27">
        <v>0</v>
      </c>
      <c r="DR27">
        <v>0</v>
      </c>
      <c r="DS27">
        <v>9995</v>
      </c>
      <c r="DT27">
        <v>0</v>
      </c>
      <c r="DU27">
        <v>326.267</v>
      </c>
      <c r="DV27">
        <v>-67.406199999999998</v>
      </c>
      <c r="DW27">
        <v>546.26199999999994</v>
      </c>
      <c r="DX27">
        <v>609.96</v>
      </c>
      <c r="DY27">
        <v>8.6917299999999997</v>
      </c>
      <c r="DZ27">
        <v>600</v>
      </c>
      <c r="EA27">
        <v>16.328299999999999</v>
      </c>
      <c r="EB27">
        <v>2.4777800000000001</v>
      </c>
      <c r="EC27">
        <v>1.6170199999999999</v>
      </c>
      <c r="ED27">
        <v>20.8813</v>
      </c>
      <c r="EE27">
        <v>14.122</v>
      </c>
      <c r="EF27">
        <v>1800.05</v>
      </c>
      <c r="EG27">
        <v>0.97799199999999997</v>
      </c>
      <c r="EH27">
        <v>2.2008E-2</v>
      </c>
      <c r="EI27">
        <v>0</v>
      </c>
      <c r="EJ27">
        <v>762.50400000000002</v>
      </c>
      <c r="EK27">
        <v>5.0001199999999999</v>
      </c>
      <c r="EL27">
        <v>13566.1</v>
      </c>
      <c r="EM27">
        <v>15630.4</v>
      </c>
      <c r="EN27">
        <v>46.75</v>
      </c>
      <c r="EO27">
        <v>47.311999999999998</v>
      </c>
      <c r="EP27">
        <v>47.436999999999998</v>
      </c>
      <c r="EQ27">
        <v>47.25</v>
      </c>
      <c r="ER27">
        <v>48.311999999999998</v>
      </c>
      <c r="ES27">
        <v>1755.54</v>
      </c>
      <c r="ET27">
        <v>39.51</v>
      </c>
      <c r="EU27">
        <v>0</v>
      </c>
      <c r="EV27">
        <v>140.60000014305109</v>
      </c>
      <c r="EW27">
        <v>0</v>
      </c>
      <c r="EX27">
        <v>762.10034615384598</v>
      </c>
      <c r="EY27">
        <v>2.8504273525300099</v>
      </c>
      <c r="EZ27">
        <v>54.307692336536469</v>
      </c>
      <c r="FA27">
        <v>13559.096153846151</v>
      </c>
      <c r="FB27">
        <v>15</v>
      </c>
      <c r="FC27">
        <v>1639681855.0999999</v>
      </c>
      <c r="FD27" t="s">
        <v>474</v>
      </c>
      <c r="FE27">
        <v>1639681850.0999999</v>
      </c>
      <c r="FF27">
        <v>1639681855.0999999</v>
      </c>
      <c r="FG27">
        <v>16</v>
      </c>
      <c r="FH27">
        <v>0.152</v>
      </c>
      <c r="FI27">
        <v>-5.0000000000000001E-3</v>
      </c>
      <c r="FJ27">
        <v>-1.411</v>
      </c>
      <c r="FK27">
        <v>-9.4E-2</v>
      </c>
      <c r="FL27">
        <v>600</v>
      </c>
      <c r="FM27">
        <v>16</v>
      </c>
      <c r="FN27">
        <v>0.04</v>
      </c>
      <c r="FO27">
        <v>0.01</v>
      </c>
      <c r="FP27">
        <v>52.279739140686033</v>
      </c>
      <c r="FQ27">
        <v>-0.48683254185852781</v>
      </c>
      <c r="FR27">
        <v>9.8923012023783799E-2</v>
      </c>
      <c r="FS27">
        <v>1</v>
      </c>
      <c r="FT27">
        <v>0.66906793114214591</v>
      </c>
      <c r="FU27">
        <v>5.6193362857194836E-3</v>
      </c>
      <c r="FV27">
        <v>1.9560373746643159E-3</v>
      </c>
      <c r="FW27">
        <v>1</v>
      </c>
      <c r="FX27">
        <v>2</v>
      </c>
      <c r="FY27">
        <v>2</v>
      </c>
      <c r="FZ27" t="s">
        <v>420</v>
      </c>
      <c r="GA27">
        <v>2.92014</v>
      </c>
      <c r="GB27">
        <v>2.7451300000000001</v>
      </c>
      <c r="GC27">
        <v>0.113147</v>
      </c>
      <c r="GD27">
        <v>0.124804</v>
      </c>
      <c r="GE27">
        <v>0.119449</v>
      </c>
      <c r="GF27">
        <v>8.9574500000000001E-2</v>
      </c>
      <c r="GG27">
        <v>27626.400000000001</v>
      </c>
      <c r="GH27">
        <v>26989.1</v>
      </c>
      <c r="GI27">
        <v>28361.8</v>
      </c>
      <c r="GJ27">
        <v>28201.599999999999</v>
      </c>
      <c r="GK27">
        <v>34280.400000000001</v>
      </c>
      <c r="GL27">
        <v>36057.199999999997</v>
      </c>
      <c r="GM27">
        <v>42686</v>
      </c>
      <c r="GN27">
        <v>43876.1</v>
      </c>
      <c r="GO27">
        <v>1.7924500000000001</v>
      </c>
      <c r="GP27">
        <v>1.9659800000000001</v>
      </c>
      <c r="GQ27">
        <v>1.02594E-2</v>
      </c>
      <c r="GR27">
        <v>0</v>
      </c>
      <c r="GS27">
        <v>27.323899999999998</v>
      </c>
      <c r="GT27">
        <v>999.9</v>
      </c>
      <c r="GU27">
        <v>32.5</v>
      </c>
      <c r="GV27">
        <v>36.299999999999997</v>
      </c>
      <c r="GW27">
        <v>19.913900000000002</v>
      </c>
      <c r="GX27">
        <v>61.136800000000001</v>
      </c>
      <c r="GY27">
        <v>30.681100000000001</v>
      </c>
      <c r="GZ27">
        <v>1</v>
      </c>
      <c r="HA27">
        <v>0.37438500000000002</v>
      </c>
      <c r="HB27">
        <v>2.3632300000000002</v>
      </c>
      <c r="HC27">
        <v>20.256499999999999</v>
      </c>
      <c r="HD27">
        <v>5.27644</v>
      </c>
      <c r="HE27">
        <v>12.0878</v>
      </c>
      <c r="HF27">
        <v>5.0133000000000001</v>
      </c>
      <c r="HG27">
        <v>3.2919999999999998</v>
      </c>
      <c r="HH27">
        <v>9999</v>
      </c>
      <c r="HI27">
        <v>9999</v>
      </c>
      <c r="HJ27">
        <v>9999</v>
      </c>
      <c r="HK27">
        <v>999.9</v>
      </c>
      <c r="HL27">
        <v>1.87527</v>
      </c>
      <c r="HM27">
        <v>1.87574</v>
      </c>
      <c r="HN27">
        <v>1.87547</v>
      </c>
      <c r="HO27">
        <v>1.8794299999999999</v>
      </c>
      <c r="HP27">
        <v>1.87286</v>
      </c>
      <c r="HQ27">
        <v>1.8760699999999999</v>
      </c>
      <c r="HR27">
        <v>1.87585</v>
      </c>
      <c r="HS27">
        <v>1.87717</v>
      </c>
      <c r="HT27">
        <v>0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-1.31</v>
      </c>
      <c r="IH27">
        <v>3.4599999999999999E-2</v>
      </c>
      <c r="II27">
        <v>-0.48884233919121473</v>
      </c>
      <c r="IJ27">
        <v>-1.5404112972462821E-3</v>
      </c>
      <c r="IK27">
        <v>-5.8697186733976997E-8</v>
      </c>
      <c r="IL27">
        <v>1.160237123038427E-10</v>
      </c>
      <c r="IM27">
        <v>-0.14732177994005249</v>
      </c>
      <c r="IN27">
        <v>-3.128848753924141E-3</v>
      </c>
      <c r="IO27">
        <v>3.6841110403368089E-4</v>
      </c>
      <c r="IP27">
        <v>1.9296040270694169E-6</v>
      </c>
      <c r="IQ27">
        <v>1</v>
      </c>
      <c r="IR27">
        <v>1992</v>
      </c>
      <c r="IS27">
        <v>2</v>
      </c>
      <c r="IT27">
        <v>27</v>
      </c>
      <c r="IU27">
        <v>0.8</v>
      </c>
      <c r="IV27">
        <v>0.7</v>
      </c>
      <c r="IW27">
        <v>1.4477500000000001</v>
      </c>
      <c r="IX27">
        <v>2.6879900000000001</v>
      </c>
      <c r="IY27">
        <v>1.69434</v>
      </c>
      <c r="IZ27">
        <v>2.35107</v>
      </c>
      <c r="JA27">
        <v>1.5466299999999999</v>
      </c>
      <c r="JB27">
        <v>2.3071299999999999</v>
      </c>
      <c r="JC27">
        <v>40.044699999999999</v>
      </c>
      <c r="JD27">
        <v>24.017499999999998</v>
      </c>
      <c r="JE27">
        <v>18</v>
      </c>
      <c r="JF27">
        <v>532.44299999999998</v>
      </c>
      <c r="JG27">
        <v>530.88300000000004</v>
      </c>
      <c r="JH27">
        <v>25.2151</v>
      </c>
      <c r="JI27">
        <v>31.8217</v>
      </c>
      <c r="JJ27">
        <v>29.9999</v>
      </c>
      <c r="JK27">
        <v>31.764600000000002</v>
      </c>
      <c r="JL27">
        <v>31.711600000000001</v>
      </c>
      <c r="JM27">
        <v>29.051200000000001</v>
      </c>
      <c r="JN27">
        <v>14.056900000000001</v>
      </c>
      <c r="JO27">
        <v>28.766999999999999</v>
      </c>
      <c r="JP27">
        <v>25.2196</v>
      </c>
      <c r="JQ27">
        <v>600</v>
      </c>
      <c r="JR27">
        <v>16.1999</v>
      </c>
      <c r="JS27">
        <v>99.454800000000006</v>
      </c>
      <c r="JT27">
        <v>98.822100000000006</v>
      </c>
    </row>
    <row r="28" spans="1:280" x14ac:dyDescent="0.25">
      <c r="A28">
        <v>12</v>
      </c>
      <c r="B28">
        <v>1639682019.0999999</v>
      </c>
      <c r="C28">
        <v>1536.599999904633</v>
      </c>
      <c r="D28" t="s">
        <v>475</v>
      </c>
      <c r="E28" t="s">
        <v>476</v>
      </c>
      <c r="F28" t="s">
        <v>412</v>
      </c>
      <c r="G28" t="s">
        <v>413</v>
      </c>
      <c r="H28" t="s">
        <v>414</v>
      </c>
      <c r="I28">
        <v>1639682019.0999999</v>
      </c>
      <c r="J28">
        <f t="shared" si="0"/>
        <v>7.2990304285354976E-3</v>
      </c>
      <c r="K28">
        <f t="shared" si="1"/>
        <v>7.2990304285354979</v>
      </c>
      <c r="L28">
        <f t="shared" si="2"/>
        <v>52.173319078849865</v>
      </c>
      <c r="M28">
        <f t="shared" si="3"/>
        <v>731.09500000000003</v>
      </c>
      <c r="N28">
        <f t="shared" si="4"/>
        <v>577.02764263816039</v>
      </c>
      <c r="O28">
        <f t="shared" si="5"/>
        <v>57.202661849598137</v>
      </c>
      <c r="P28">
        <f t="shared" si="6"/>
        <v>72.475869394625505</v>
      </c>
      <c r="Q28">
        <f t="shared" si="7"/>
        <v>0.65403725802556811</v>
      </c>
      <c r="R28">
        <f t="shared" si="8"/>
        <v>2.9144953284629458</v>
      </c>
      <c r="S28">
        <f t="shared" si="9"/>
        <v>0.58212156832660356</v>
      </c>
      <c r="T28">
        <f t="shared" si="10"/>
        <v>0.36962620467060092</v>
      </c>
      <c r="U28">
        <f t="shared" si="11"/>
        <v>289.57185055322304</v>
      </c>
      <c r="V28">
        <f t="shared" si="12"/>
        <v>27.804745840879718</v>
      </c>
      <c r="W28">
        <f t="shared" si="13"/>
        <v>27.522600000000001</v>
      </c>
      <c r="X28">
        <f t="shared" si="14"/>
        <v>3.6904998111916014</v>
      </c>
      <c r="Y28">
        <f t="shared" si="15"/>
        <v>65.530809627984681</v>
      </c>
      <c r="Z28">
        <f t="shared" si="16"/>
        <v>2.4862238342068399</v>
      </c>
      <c r="AA28">
        <f t="shared" si="17"/>
        <v>3.7939769832251664</v>
      </c>
      <c r="AB28">
        <f t="shared" si="18"/>
        <v>1.2042759769847615</v>
      </c>
      <c r="AC28">
        <f t="shared" si="19"/>
        <v>-321.88724189841543</v>
      </c>
      <c r="AD28">
        <f t="shared" si="20"/>
        <v>74.399289862122316</v>
      </c>
      <c r="AE28">
        <f t="shared" si="21"/>
        <v>5.5510394822168605</v>
      </c>
      <c r="AF28">
        <f t="shared" si="22"/>
        <v>47.634937999146814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52248.820775850683</v>
      </c>
      <c r="AL28" t="s">
        <v>415</v>
      </c>
      <c r="AM28">
        <v>10204.299999999999</v>
      </c>
      <c r="AN28">
        <v>862.72538461538477</v>
      </c>
      <c r="AO28">
        <v>3252.56</v>
      </c>
      <c r="AP28">
        <f t="shared" si="26"/>
        <v>0.73475496697512588</v>
      </c>
      <c r="AQ28">
        <v>-6.6684750346205304</v>
      </c>
      <c r="AR28" t="s">
        <v>477</v>
      </c>
      <c r="AS28">
        <v>10076.6</v>
      </c>
      <c r="AT28">
        <v>765.30340000000012</v>
      </c>
      <c r="AU28">
        <v>1179.7014336110849</v>
      </c>
      <c r="AV28">
        <f t="shared" si="27"/>
        <v>0.35127365433693314</v>
      </c>
      <c r="AW28">
        <v>0.5</v>
      </c>
      <c r="AX28">
        <f t="shared" si="28"/>
        <v>1513.2102065042604</v>
      </c>
      <c r="AY28">
        <f t="shared" si="29"/>
        <v>52.173319078849865</v>
      </c>
      <c r="AZ28">
        <f t="shared" si="30"/>
        <v>265.77543950934842</v>
      </c>
      <c r="BA28">
        <f t="shared" si="31"/>
        <v>3.8885406575074354E-2</v>
      </c>
      <c r="BB28">
        <f t="shared" si="32"/>
        <v>1.757104388729835</v>
      </c>
      <c r="BC28">
        <f t="shared" si="33"/>
        <v>588.46397466311043</v>
      </c>
      <c r="BD28" t="s">
        <v>478</v>
      </c>
      <c r="BE28">
        <v>581.04999999999995</v>
      </c>
      <c r="BF28">
        <f t="shared" si="34"/>
        <v>581.04999999999995</v>
      </c>
      <c r="BG28">
        <f t="shared" si="35"/>
        <v>0.50746012215870873</v>
      </c>
      <c r="BH28">
        <f t="shared" si="36"/>
        <v>0.69221922866102958</v>
      </c>
      <c r="BI28">
        <f t="shared" si="37"/>
        <v>0.77591271093460823</v>
      </c>
      <c r="BJ28">
        <f t="shared" si="38"/>
        <v>1.3073480943561959</v>
      </c>
      <c r="BK28">
        <f t="shared" si="39"/>
        <v>0.86736485991325118</v>
      </c>
      <c r="BL28">
        <f t="shared" si="40"/>
        <v>0.52556147380697793</v>
      </c>
      <c r="BM28">
        <f t="shared" si="41"/>
        <v>0.47443852619302207</v>
      </c>
      <c r="BN28">
        <v>5118</v>
      </c>
      <c r="BO28">
        <v>290.00000000000011</v>
      </c>
      <c r="BP28">
        <v>1062.6199999999999</v>
      </c>
      <c r="BQ28">
        <v>145</v>
      </c>
      <c r="BR28">
        <v>10076.6</v>
      </c>
      <c r="BS28">
        <v>1057.94</v>
      </c>
      <c r="BT28">
        <v>4.68</v>
      </c>
      <c r="BU28">
        <v>300.00000000000011</v>
      </c>
      <c r="BV28">
        <v>24.1</v>
      </c>
      <c r="BW28">
        <v>1179.7014336110849</v>
      </c>
      <c r="BX28">
        <v>2.0558402202451411</v>
      </c>
      <c r="BY28">
        <v>-122.69885170897049</v>
      </c>
      <c r="BZ28">
        <v>1.8442721058889151</v>
      </c>
      <c r="CA28">
        <v>0.99371379774434465</v>
      </c>
      <c r="CB28">
        <v>-6.8600625139043497E-3</v>
      </c>
      <c r="CC28">
        <v>289.99999999999989</v>
      </c>
      <c r="CD28">
        <v>1051.98</v>
      </c>
      <c r="CE28">
        <v>665</v>
      </c>
      <c r="CF28">
        <v>10056.5</v>
      </c>
      <c r="CG28">
        <v>1057.69</v>
      </c>
      <c r="CH28">
        <v>-5.71</v>
      </c>
      <c r="CV28">
        <f t="shared" si="42"/>
        <v>1800.03</v>
      </c>
      <c r="CW28">
        <f t="shared" si="43"/>
        <v>1513.2102065042604</v>
      </c>
      <c r="CX28">
        <f t="shared" si="44"/>
        <v>0.8406583259747118</v>
      </c>
      <c r="CY28">
        <f t="shared" si="45"/>
        <v>0.16087056913119394</v>
      </c>
      <c r="CZ28">
        <v>6</v>
      </c>
      <c r="DA28">
        <v>0.5</v>
      </c>
      <c r="DB28" t="s">
        <v>418</v>
      </c>
      <c r="DC28">
        <v>2</v>
      </c>
      <c r="DD28">
        <v>1639682019.0999999</v>
      </c>
      <c r="DE28">
        <v>731.09500000000003</v>
      </c>
      <c r="DF28">
        <v>800.08900000000006</v>
      </c>
      <c r="DG28">
        <v>25.079599999999999</v>
      </c>
      <c r="DH28">
        <v>16.5426</v>
      </c>
      <c r="DI28">
        <v>732.56299999999999</v>
      </c>
      <c r="DJ28">
        <v>25.0428</v>
      </c>
      <c r="DK28">
        <v>500.12700000000001</v>
      </c>
      <c r="DL28">
        <v>99.0334</v>
      </c>
      <c r="DM28">
        <v>9.9912899999999999E-2</v>
      </c>
      <c r="DN28">
        <v>27.996099999999998</v>
      </c>
      <c r="DO28">
        <v>27.522600000000001</v>
      </c>
      <c r="DP28">
        <v>999.9</v>
      </c>
      <c r="DQ28">
        <v>0</v>
      </c>
      <c r="DR28">
        <v>0</v>
      </c>
      <c r="DS28">
        <v>10011.200000000001</v>
      </c>
      <c r="DT28">
        <v>0</v>
      </c>
      <c r="DU28">
        <v>324.60199999999998</v>
      </c>
      <c r="DV28">
        <v>-68.994100000000003</v>
      </c>
      <c r="DW28">
        <v>749.90200000000004</v>
      </c>
      <c r="DX28">
        <v>813.54700000000003</v>
      </c>
      <c r="DY28">
        <v>8.5369799999999998</v>
      </c>
      <c r="DZ28">
        <v>800.08900000000006</v>
      </c>
      <c r="EA28">
        <v>16.5426</v>
      </c>
      <c r="EB28">
        <v>2.4837199999999999</v>
      </c>
      <c r="EC28">
        <v>1.6382699999999999</v>
      </c>
      <c r="ED28">
        <v>20.920200000000001</v>
      </c>
      <c r="EE28">
        <v>14.323600000000001</v>
      </c>
      <c r="EF28">
        <v>1800.03</v>
      </c>
      <c r="EG28">
        <v>0.97799199999999997</v>
      </c>
      <c r="EH28">
        <v>2.20079E-2</v>
      </c>
      <c r="EI28">
        <v>0</v>
      </c>
      <c r="EJ28">
        <v>765.66099999999994</v>
      </c>
      <c r="EK28">
        <v>5.0001199999999999</v>
      </c>
      <c r="EL28">
        <v>13621.3</v>
      </c>
      <c r="EM28">
        <v>15630.2</v>
      </c>
      <c r="EN28">
        <v>46.686999999999998</v>
      </c>
      <c r="EO28">
        <v>47.25</v>
      </c>
      <c r="EP28">
        <v>47.436999999999998</v>
      </c>
      <c r="EQ28">
        <v>47.186999999999998</v>
      </c>
      <c r="ER28">
        <v>48.25</v>
      </c>
      <c r="ES28">
        <v>1755.52</v>
      </c>
      <c r="ET28">
        <v>39.5</v>
      </c>
      <c r="EU28">
        <v>0</v>
      </c>
      <c r="EV28">
        <v>117.7999999523163</v>
      </c>
      <c r="EW28">
        <v>0</v>
      </c>
      <c r="EX28">
        <v>765.30340000000012</v>
      </c>
      <c r="EY28">
        <v>2.417230766667843</v>
      </c>
      <c r="EZ28">
        <v>49.192307786450478</v>
      </c>
      <c r="FA28">
        <v>13615.915999999999</v>
      </c>
      <c r="FB28">
        <v>15</v>
      </c>
      <c r="FC28">
        <v>1639681977.0999999</v>
      </c>
      <c r="FD28" t="s">
        <v>479</v>
      </c>
      <c r="FE28">
        <v>1639681974.0999999</v>
      </c>
      <c r="FF28">
        <v>1639681977.0999999</v>
      </c>
      <c r="FG28">
        <v>17</v>
      </c>
      <c r="FH28">
        <v>0.13600000000000001</v>
      </c>
      <c r="FI28">
        <v>1E-3</v>
      </c>
      <c r="FJ28">
        <v>-1.5660000000000001</v>
      </c>
      <c r="FK28">
        <v>-9.0999999999999998E-2</v>
      </c>
      <c r="FL28">
        <v>800</v>
      </c>
      <c r="FM28">
        <v>16</v>
      </c>
      <c r="FN28">
        <v>0.05</v>
      </c>
      <c r="FO28">
        <v>0.01</v>
      </c>
      <c r="FP28">
        <v>52.221189504897403</v>
      </c>
      <c r="FQ28">
        <v>-0.67062743087991528</v>
      </c>
      <c r="FR28">
        <v>0.1069813745826516</v>
      </c>
      <c r="FS28">
        <v>1</v>
      </c>
      <c r="FT28">
        <v>0.65208415958418597</v>
      </c>
      <c r="FU28">
        <v>3.1414130853766313E-2</v>
      </c>
      <c r="FV28">
        <v>4.8540133657710826E-3</v>
      </c>
      <c r="FW28">
        <v>1</v>
      </c>
      <c r="FX28">
        <v>2</v>
      </c>
      <c r="FY28">
        <v>2</v>
      </c>
      <c r="FZ28" t="s">
        <v>420</v>
      </c>
      <c r="GA28">
        <v>2.9200400000000002</v>
      </c>
      <c r="GB28">
        <v>2.74499</v>
      </c>
      <c r="GC28">
        <v>0.141204</v>
      </c>
      <c r="GD28">
        <v>0.15191399999999999</v>
      </c>
      <c r="GE28">
        <v>0.119647</v>
      </c>
      <c r="GF28">
        <v>9.04282E-2</v>
      </c>
      <c r="GG28">
        <v>26753.1</v>
      </c>
      <c r="GH28">
        <v>26154.799999999999</v>
      </c>
      <c r="GI28">
        <v>28362.7</v>
      </c>
      <c r="GJ28">
        <v>28203.599999999999</v>
      </c>
      <c r="GK28">
        <v>34273</v>
      </c>
      <c r="GL28">
        <v>36025.5</v>
      </c>
      <c r="GM28">
        <v>42686.6</v>
      </c>
      <c r="GN28">
        <v>43879.1</v>
      </c>
      <c r="GO28">
        <v>1.79295</v>
      </c>
      <c r="GP28">
        <v>1.9677500000000001</v>
      </c>
      <c r="GQ28">
        <v>1.1690000000000001E-2</v>
      </c>
      <c r="GR28">
        <v>0</v>
      </c>
      <c r="GS28">
        <v>27.331499999999998</v>
      </c>
      <c r="GT28">
        <v>999.9</v>
      </c>
      <c r="GU28">
        <v>32.6</v>
      </c>
      <c r="GV28">
        <v>36.299999999999997</v>
      </c>
      <c r="GW28">
        <v>19.974299999999999</v>
      </c>
      <c r="GX28">
        <v>60.716799999999999</v>
      </c>
      <c r="GY28">
        <v>30.328499999999998</v>
      </c>
      <c r="GZ28">
        <v>1</v>
      </c>
      <c r="HA28">
        <v>0.371143</v>
      </c>
      <c r="HB28">
        <v>2.3275100000000002</v>
      </c>
      <c r="HC28">
        <v>20.257000000000001</v>
      </c>
      <c r="HD28">
        <v>5.2765899999999997</v>
      </c>
      <c r="HE28">
        <v>12.0878</v>
      </c>
      <c r="HF28">
        <v>5.0134499999999997</v>
      </c>
      <c r="HG28">
        <v>3.2919999999999998</v>
      </c>
      <c r="HH28">
        <v>9999</v>
      </c>
      <c r="HI28">
        <v>9999</v>
      </c>
      <c r="HJ28">
        <v>9999</v>
      </c>
      <c r="HK28">
        <v>999.9</v>
      </c>
      <c r="HL28">
        <v>1.8753</v>
      </c>
      <c r="HM28">
        <v>1.8756600000000001</v>
      </c>
      <c r="HN28">
        <v>1.8754599999999999</v>
      </c>
      <c r="HO28">
        <v>1.8794299999999999</v>
      </c>
      <c r="HP28">
        <v>1.87286</v>
      </c>
      <c r="HQ28">
        <v>1.8760699999999999</v>
      </c>
      <c r="HR28">
        <v>1.87578</v>
      </c>
      <c r="HS28">
        <v>1.8771899999999999</v>
      </c>
      <c r="HT28">
        <v>0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-1.468</v>
      </c>
      <c r="IH28">
        <v>3.6799999999999999E-2</v>
      </c>
      <c r="II28">
        <v>-0.3534004117980718</v>
      </c>
      <c r="IJ28">
        <v>-1.5404112972462821E-3</v>
      </c>
      <c r="IK28">
        <v>-5.8697186733976997E-8</v>
      </c>
      <c r="IL28">
        <v>1.160237123038427E-10</v>
      </c>
      <c r="IM28">
        <v>-0.14622347892386359</v>
      </c>
      <c r="IN28">
        <v>-3.128848753924141E-3</v>
      </c>
      <c r="IO28">
        <v>3.6841110403368089E-4</v>
      </c>
      <c r="IP28">
        <v>1.9296040270694169E-6</v>
      </c>
      <c r="IQ28">
        <v>1</v>
      </c>
      <c r="IR28">
        <v>1992</v>
      </c>
      <c r="IS28">
        <v>2</v>
      </c>
      <c r="IT28">
        <v>27</v>
      </c>
      <c r="IU28">
        <v>0.8</v>
      </c>
      <c r="IV28">
        <v>0.7</v>
      </c>
      <c r="IW28">
        <v>1.8298300000000001</v>
      </c>
      <c r="IX28">
        <v>2.6672400000000001</v>
      </c>
      <c r="IY28">
        <v>1.69434</v>
      </c>
      <c r="IZ28">
        <v>2.34985</v>
      </c>
      <c r="JA28">
        <v>1.5466299999999999</v>
      </c>
      <c r="JB28">
        <v>2.4121100000000002</v>
      </c>
      <c r="JC28">
        <v>40.044699999999999</v>
      </c>
      <c r="JD28">
        <v>24.026199999999999</v>
      </c>
      <c r="JE28">
        <v>18</v>
      </c>
      <c r="JF28">
        <v>532.64099999999996</v>
      </c>
      <c r="JG28">
        <v>532.03099999999995</v>
      </c>
      <c r="JH28">
        <v>25.181100000000001</v>
      </c>
      <c r="JI28">
        <v>31.782299999999999</v>
      </c>
      <c r="JJ28">
        <v>29.9998</v>
      </c>
      <c r="JK28">
        <v>31.7422</v>
      </c>
      <c r="JL28">
        <v>31.6921</v>
      </c>
      <c r="JM28">
        <v>36.695700000000002</v>
      </c>
      <c r="JN28">
        <v>13.282299999999999</v>
      </c>
      <c r="JO28">
        <v>29.191199999999998</v>
      </c>
      <c r="JP28">
        <v>25.184000000000001</v>
      </c>
      <c r="JQ28">
        <v>800</v>
      </c>
      <c r="JR28">
        <v>16.3733</v>
      </c>
      <c r="JS28">
        <v>99.456999999999994</v>
      </c>
      <c r="JT28">
        <v>98.828900000000004</v>
      </c>
    </row>
    <row r="29" spans="1:280" x14ac:dyDescent="0.25">
      <c r="A29">
        <v>13</v>
      </c>
      <c r="B29">
        <v>1639682144.0999999</v>
      </c>
      <c r="C29">
        <v>1661.599999904633</v>
      </c>
      <c r="D29" t="s">
        <v>480</v>
      </c>
      <c r="E29" t="s">
        <v>481</v>
      </c>
      <c r="F29" t="s">
        <v>412</v>
      </c>
      <c r="G29" t="s">
        <v>413</v>
      </c>
      <c r="H29" t="s">
        <v>414</v>
      </c>
      <c r="I29">
        <v>1639682144.0999999</v>
      </c>
      <c r="J29">
        <f t="shared" si="0"/>
        <v>7.1835696555531126E-3</v>
      </c>
      <c r="K29">
        <f t="shared" si="1"/>
        <v>7.1835696555531126</v>
      </c>
      <c r="L29">
        <f t="shared" si="2"/>
        <v>51.104004423183973</v>
      </c>
      <c r="M29">
        <f t="shared" si="3"/>
        <v>1129.01</v>
      </c>
      <c r="N29">
        <f t="shared" si="4"/>
        <v>966.28803665406485</v>
      </c>
      <c r="O29">
        <f t="shared" si="5"/>
        <v>95.798361232385432</v>
      </c>
      <c r="P29">
        <f t="shared" si="6"/>
        <v>111.93071187085</v>
      </c>
      <c r="Q29">
        <f t="shared" si="7"/>
        <v>0.63596729407936503</v>
      </c>
      <c r="R29">
        <f t="shared" si="8"/>
        <v>2.9098160757331439</v>
      </c>
      <c r="S29">
        <f t="shared" si="9"/>
        <v>0.56765217914244714</v>
      </c>
      <c r="T29">
        <f t="shared" si="10"/>
        <v>0.36030701028517692</v>
      </c>
      <c r="U29">
        <f t="shared" si="11"/>
        <v>289.56545384752911</v>
      </c>
      <c r="V29">
        <f t="shared" si="12"/>
        <v>27.826116775848835</v>
      </c>
      <c r="W29">
        <f t="shared" si="13"/>
        <v>27.5519</v>
      </c>
      <c r="X29">
        <f t="shared" si="14"/>
        <v>3.6968306852282624</v>
      </c>
      <c r="Y29">
        <f t="shared" si="15"/>
        <v>65.433720885478067</v>
      </c>
      <c r="Z29">
        <f t="shared" si="16"/>
        <v>2.4813103894970001</v>
      </c>
      <c r="AA29">
        <f t="shared" si="17"/>
        <v>3.7920973405131333</v>
      </c>
      <c r="AB29">
        <f t="shared" si="18"/>
        <v>1.2155202957312623</v>
      </c>
      <c r="AC29">
        <f t="shared" si="19"/>
        <v>-316.79542180989228</v>
      </c>
      <c r="AD29">
        <f t="shared" si="20"/>
        <v>68.350003662585053</v>
      </c>
      <c r="AE29">
        <f t="shared" si="21"/>
        <v>5.1084236099574554</v>
      </c>
      <c r="AF29">
        <f t="shared" si="22"/>
        <v>46.22845931017936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52116.499834153175</v>
      </c>
      <c r="AL29" t="s">
        <v>415</v>
      </c>
      <c r="AM29">
        <v>10204.299999999999</v>
      </c>
      <c r="AN29">
        <v>862.72538461538477</v>
      </c>
      <c r="AO29">
        <v>3252.56</v>
      </c>
      <c r="AP29">
        <f t="shared" si="26"/>
        <v>0.73475496697512588</v>
      </c>
      <c r="AQ29">
        <v>-6.6684750346205304</v>
      </c>
      <c r="AR29" t="s">
        <v>482</v>
      </c>
      <c r="AS29">
        <v>10079.4</v>
      </c>
      <c r="AT29">
        <v>768.38576923076937</v>
      </c>
      <c r="AU29">
        <v>1192.3047265847911</v>
      </c>
      <c r="AV29">
        <f t="shared" si="27"/>
        <v>0.3555458163520705</v>
      </c>
      <c r="AW29">
        <v>0.5</v>
      </c>
      <c r="AX29">
        <f t="shared" si="28"/>
        <v>1513.1765999209995</v>
      </c>
      <c r="AY29">
        <f t="shared" si="29"/>
        <v>51.104004423183973</v>
      </c>
      <c r="AZ29">
        <f t="shared" si="30"/>
        <v>269.00180475188108</v>
      </c>
      <c r="BA29">
        <f t="shared" si="31"/>
        <v>3.8179601416530436E-2</v>
      </c>
      <c r="BB29">
        <f t="shared" si="32"/>
        <v>1.7279603338624299</v>
      </c>
      <c r="BC29">
        <f t="shared" si="33"/>
        <v>591.58329835910843</v>
      </c>
      <c r="BD29" t="s">
        <v>483</v>
      </c>
      <c r="BE29">
        <v>582.39</v>
      </c>
      <c r="BF29">
        <f t="shared" si="34"/>
        <v>582.39</v>
      </c>
      <c r="BG29">
        <f t="shared" si="35"/>
        <v>0.51154265598847037</v>
      </c>
      <c r="BH29">
        <f t="shared" si="36"/>
        <v>0.69504627266134389</v>
      </c>
      <c r="BI29">
        <f t="shared" si="37"/>
        <v>0.77158206159727982</v>
      </c>
      <c r="BJ29">
        <f t="shared" si="38"/>
        <v>1.2862425017930057</v>
      </c>
      <c r="BK29">
        <f t="shared" si="39"/>
        <v>0.86209115063957487</v>
      </c>
      <c r="BL29">
        <f t="shared" si="40"/>
        <v>0.52680309155188176</v>
      </c>
      <c r="BM29">
        <f t="shared" si="41"/>
        <v>0.47319690844811824</v>
      </c>
      <c r="BN29">
        <v>5120</v>
      </c>
      <c r="BO29">
        <v>290.00000000000011</v>
      </c>
      <c r="BP29">
        <v>1068.8900000000001</v>
      </c>
      <c r="BQ29">
        <v>115</v>
      </c>
      <c r="BR29">
        <v>10079.4</v>
      </c>
      <c r="BS29">
        <v>1064.52</v>
      </c>
      <c r="BT29">
        <v>4.37</v>
      </c>
      <c r="BU29">
        <v>300.00000000000011</v>
      </c>
      <c r="BV29">
        <v>24.1</v>
      </c>
      <c r="BW29">
        <v>1192.3047265847911</v>
      </c>
      <c r="BX29">
        <v>1.960071535285473</v>
      </c>
      <c r="BY29">
        <v>-128.80363257304981</v>
      </c>
      <c r="BZ29">
        <v>1.758318486232554</v>
      </c>
      <c r="CA29">
        <v>0.99480917158358806</v>
      </c>
      <c r="CB29">
        <v>-6.8599179087875497E-3</v>
      </c>
      <c r="CC29">
        <v>289.99999999999989</v>
      </c>
      <c r="CD29">
        <v>1057.81</v>
      </c>
      <c r="CE29">
        <v>645</v>
      </c>
      <c r="CF29">
        <v>10057.1</v>
      </c>
      <c r="CG29">
        <v>1064.23</v>
      </c>
      <c r="CH29">
        <v>-6.42</v>
      </c>
      <c r="CV29">
        <f t="shared" si="42"/>
        <v>1799.99</v>
      </c>
      <c r="CW29">
        <f t="shared" si="43"/>
        <v>1513.1765999209995</v>
      </c>
      <c r="CX29">
        <f t="shared" si="44"/>
        <v>0.84065833694687164</v>
      </c>
      <c r="CY29">
        <f t="shared" si="45"/>
        <v>0.16087059030746234</v>
      </c>
      <c r="CZ29">
        <v>6</v>
      </c>
      <c r="DA29">
        <v>0.5</v>
      </c>
      <c r="DB29" t="s">
        <v>418</v>
      </c>
      <c r="DC29">
        <v>2</v>
      </c>
      <c r="DD29">
        <v>1639682144.0999999</v>
      </c>
      <c r="DE29">
        <v>1129.01</v>
      </c>
      <c r="DF29">
        <v>1200.05</v>
      </c>
      <c r="DG29">
        <v>25.028199999999998</v>
      </c>
      <c r="DH29">
        <v>16.625699999999998</v>
      </c>
      <c r="DI29">
        <v>1130.92</v>
      </c>
      <c r="DJ29">
        <v>24.9833</v>
      </c>
      <c r="DK29">
        <v>500.12099999999998</v>
      </c>
      <c r="DL29">
        <v>99.040300000000002</v>
      </c>
      <c r="DM29">
        <v>0.100285</v>
      </c>
      <c r="DN29">
        <v>27.9876</v>
      </c>
      <c r="DO29">
        <v>27.5519</v>
      </c>
      <c r="DP29">
        <v>999.9</v>
      </c>
      <c r="DQ29">
        <v>0</v>
      </c>
      <c r="DR29">
        <v>0</v>
      </c>
      <c r="DS29">
        <v>9983.75</v>
      </c>
      <c r="DT29">
        <v>0</v>
      </c>
      <c r="DU29">
        <v>319.92</v>
      </c>
      <c r="DV29">
        <v>-71.0471</v>
      </c>
      <c r="DW29">
        <v>1157.99</v>
      </c>
      <c r="DX29">
        <v>1220.3399999999999</v>
      </c>
      <c r="DY29">
        <v>8.4024999999999999</v>
      </c>
      <c r="DZ29">
        <v>1200.05</v>
      </c>
      <c r="EA29">
        <v>16.625699999999998</v>
      </c>
      <c r="EB29">
        <v>2.47879</v>
      </c>
      <c r="EC29">
        <v>1.6466099999999999</v>
      </c>
      <c r="ED29">
        <v>20.887899999999998</v>
      </c>
      <c r="EE29">
        <v>14.401999999999999</v>
      </c>
      <c r="EF29">
        <v>1799.99</v>
      </c>
      <c r="EG29">
        <v>0.97799199999999997</v>
      </c>
      <c r="EH29">
        <v>2.20079E-2</v>
      </c>
      <c r="EI29">
        <v>0</v>
      </c>
      <c r="EJ29">
        <v>768.79100000000005</v>
      </c>
      <c r="EK29">
        <v>5.0001199999999999</v>
      </c>
      <c r="EL29">
        <v>13672.2</v>
      </c>
      <c r="EM29">
        <v>15629.9</v>
      </c>
      <c r="EN29">
        <v>46.686999999999998</v>
      </c>
      <c r="EO29">
        <v>47.25</v>
      </c>
      <c r="EP29">
        <v>47.375</v>
      </c>
      <c r="EQ29">
        <v>47.186999999999998</v>
      </c>
      <c r="ER29">
        <v>48.25</v>
      </c>
      <c r="ES29">
        <v>1755.49</v>
      </c>
      <c r="ET29">
        <v>39.5</v>
      </c>
      <c r="EU29">
        <v>0</v>
      </c>
      <c r="EV29">
        <v>123</v>
      </c>
      <c r="EW29">
        <v>0</v>
      </c>
      <c r="EX29">
        <v>768.38576923076937</v>
      </c>
      <c r="EY29">
        <v>3.527316260036331</v>
      </c>
      <c r="EZ29">
        <v>47.377777776707937</v>
      </c>
      <c r="FA29">
        <v>13667.369230769231</v>
      </c>
      <c r="FB29">
        <v>15</v>
      </c>
      <c r="FC29">
        <v>1639682102.0999999</v>
      </c>
      <c r="FD29" t="s">
        <v>484</v>
      </c>
      <c r="FE29">
        <v>1639682090.0999999</v>
      </c>
      <c r="FF29">
        <v>1639682102.0999999</v>
      </c>
      <c r="FG29">
        <v>18</v>
      </c>
      <c r="FH29">
        <v>0.09</v>
      </c>
      <c r="FI29">
        <v>8.9999999999999993E-3</v>
      </c>
      <c r="FJ29">
        <v>-1.996</v>
      </c>
      <c r="FK29">
        <v>-8.1000000000000003E-2</v>
      </c>
      <c r="FL29">
        <v>1200</v>
      </c>
      <c r="FM29">
        <v>16</v>
      </c>
      <c r="FN29">
        <v>0.03</v>
      </c>
      <c r="FO29">
        <v>0.02</v>
      </c>
      <c r="FP29">
        <v>51.115823863298438</v>
      </c>
      <c r="FQ29">
        <v>-0.46112323772356911</v>
      </c>
      <c r="FR29">
        <v>0.1090613878986442</v>
      </c>
      <c r="FS29">
        <v>1</v>
      </c>
      <c r="FT29">
        <v>0.63652568995044934</v>
      </c>
      <c r="FU29">
        <v>1.346236679581464E-2</v>
      </c>
      <c r="FV29">
        <v>3.04554789138351E-3</v>
      </c>
      <c r="FW29">
        <v>1</v>
      </c>
      <c r="FX29">
        <v>2</v>
      </c>
      <c r="FY29">
        <v>2</v>
      </c>
      <c r="FZ29" t="s">
        <v>420</v>
      </c>
      <c r="GA29">
        <v>2.9200200000000001</v>
      </c>
      <c r="GB29">
        <v>2.74512</v>
      </c>
      <c r="GC29">
        <v>0.187414</v>
      </c>
      <c r="GD29">
        <v>0.19695099999999999</v>
      </c>
      <c r="GE29">
        <v>0.119459</v>
      </c>
      <c r="GF29">
        <v>9.0762999999999996E-2</v>
      </c>
      <c r="GG29">
        <v>25311.5</v>
      </c>
      <c r="GH29">
        <v>24764.799999999999</v>
      </c>
      <c r="GI29">
        <v>28361.8</v>
      </c>
      <c r="GJ29">
        <v>28204.1</v>
      </c>
      <c r="GK29">
        <v>34279.300000000003</v>
      </c>
      <c r="GL29">
        <v>36012.1</v>
      </c>
      <c r="GM29">
        <v>42685.599999999999</v>
      </c>
      <c r="GN29">
        <v>43879.3</v>
      </c>
      <c r="GO29">
        <v>1.7926800000000001</v>
      </c>
      <c r="GP29">
        <v>1.9689000000000001</v>
      </c>
      <c r="GQ29">
        <v>8.2254400000000005E-3</v>
      </c>
      <c r="GR29">
        <v>0</v>
      </c>
      <c r="GS29">
        <v>27.4175</v>
      </c>
      <c r="GT29">
        <v>999.9</v>
      </c>
      <c r="GU29">
        <v>32.700000000000003</v>
      </c>
      <c r="GV29">
        <v>36.299999999999997</v>
      </c>
      <c r="GW29">
        <v>20.034300000000002</v>
      </c>
      <c r="GX29">
        <v>61.266800000000003</v>
      </c>
      <c r="GY29">
        <v>30.2684</v>
      </c>
      <c r="GZ29">
        <v>1</v>
      </c>
      <c r="HA29">
        <v>0.37253599999999998</v>
      </c>
      <c r="HB29">
        <v>2.4123600000000001</v>
      </c>
      <c r="HC29">
        <v>20.255800000000001</v>
      </c>
      <c r="HD29">
        <v>5.27285</v>
      </c>
      <c r="HE29">
        <v>12.0878</v>
      </c>
      <c r="HF29">
        <v>5.0133999999999999</v>
      </c>
      <c r="HG29">
        <v>3.2919999999999998</v>
      </c>
      <c r="HH29">
        <v>9999</v>
      </c>
      <c r="HI29">
        <v>9999</v>
      </c>
      <c r="HJ29">
        <v>9999</v>
      </c>
      <c r="HK29">
        <v>999.9</v>
      </c>
      <c r="HL29">
        <v>1.8752500000000001</v>
      </c>
      <c r="HM29">
        <v>1.87568</v>
      </c>
      <c r="HN29">
        <v>1.8754599999999999</v>
      </c>
      <c r="HO29">
        <v>1.8794200000000001</v>
      </c>
      <c r="HP29">
        <v>1.87287</v>
      </c>
      <c r="HQ29">
        <v>1.8760699999999999</v>
      </c>
      <c r="HR29">
        <v>1.8757999999999999</v>
      </c>
      <c r="HS29">
        <v>1.8771899999999999</v>
      </c>
      <c r="HT29">
        <v>0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-1.91</v>
      </c>
      <c r="IH29">
        <v>4.4900000000000002E-2</v>
      </c>
      <c r="II29">
        <v>-0.2612297357877793</v>
      </c>
      <c r="IJ29">
        <v>-1.5404112972462821E-3</v>
      </c>
      <c r="IK29">
        <v>-5.8697186733976997E-8</v>
      </c>
      <c r="IL29">
        <v>1.160237123038427E-10</v>
      </c>
      <c r="IM29">
        <v>-0.1369852509165993</v>
      </c>
      <c r="IN29">
        <v>-3.128848753924141E-3</v>
      </c>
      <c r="IO29">
        <v>3.6841110403368089E-4</v>
      </c>
      <c r="IP29">
        <v>1.9296040270694169E-6</v>
      </c>
      <c r="IQ29">
        <v>1</v>
      </c>
      <c r="IR29">
        <v>1992</v>
      </c>
      <c r="IS29">
        <v>2</v>
      </c>
      <c r="IT29">
        <v>27</v>
      </c>
      <c r="IU29">
        <v>0.9</v>
      </c>
      <c r="IV29">
        <v>0.7</v>
      </c>
      <c r="IW29">
        <v>2.5476100000000002</v>
      </c>
      <c r="IX29">
        <v>2.66357</v>
      </c>
      <c r="IY29">
        <v>1.69434</v>
      </c>
      <c r="IZ29">
        <v>2.34985</v>
      </c>
      <c r="JA29">
        <v>1.5466299999999999</v>
      </c>
      <c r="JB29">
        <v>2.4145500000000002</v>
      </c>
      <c r="JC29">
        <v>40.07</v>
      </c>
      <c r="JD29">
        <v>24.026199999999999</v>
      </c>
      <c r="JE29">
        <v>18</v>
      </c>
      <c r="JF29">
        <v>532.41099999999994</v>
      </c>
      <c r="JG29">
        <v>532.91600000000005</v>
      </c>
      <c r="JH29">
        <v>25.1206</v>
      </c>
      <c r="JI29">
        <v>31.785399999999999</v>
      </c>
      <c r="JJ29">
        <v>29.9999</v>
      </c>
      <c r="JK29">
        <v>31.7422</v>
      </c>
      <c r="JL29">
        <v>31.695</v>
      </c>
      <c r="JM29">
        <v>51.042700000000004</v>
      </c>
      <c r="JN29">
        <v>13.607900000000001</v>
      </c>
      <c r="JO29">
        <v>29.473500000000001</v>
      </c>
      <c r="JP29">
        <v>25.1297</v>
      </c>
      <c r="JQ29">
        <v>1200</v>
      </c>
      <c r="JR29">
        <v>16.513200000000001</v>
      </c>
      <c r="JS29">
        <v>99.454499999999996</v>
      </c>
      <c r="JT29">
        <v>98.829899999999995</v>
      </c>
    </row>
    <row r="30" spans="1:280" x14ac:dyDescent="0.25">
      <c r="A30">
        <v>14</v>
      </c>
      <c r="B30">
        <v>1639682265.5999999</v>
      </c>
      <c r="C30">
        <v>1783.099999904633</v>
      </c>
      <c r="D30" t="s">
        <v>485</v>
      </c>
      <c r="E30" t="s">
        <v>486</v>
      </c>
      <c r="F30" t="s">
        <v>412</v>
      </c>
      <c r="G30" t="s">
        <v>413</v>
      </c>
      <c r="H30" t="s">
        <v>414</v>
      </c>
      <c r="I30">
        <v>1639682265.5999999</v>
      </c>
      <c r="J30">
        <f t="shared" si="0"/>
        <v>6.9536812758710133E-3</v>
      </c>
      <c r="K30">
        <f t="shared" si="1"/>
        <v>6.9536812758710136</v>
      </c>
      <c r="L30">
        <f t="shared" si="2"/>
        <v>50.64808160781773</v>
      </c>
      <c r="M30">
        <f t="shared" si="3"/>
        <v>1427.56</v>
      </c>
      <c r="N30">
        <f t="shared" si="4"/>
        <v>1253.878381776726</v>
      </c>
      <c r="O30">
        <f t="shared" si="5"/>
        <v>124.3173091653739</v>
      </c>
      <c r="P30">
        <f t="shared" si="6"/>
        <v>141.53718610304801</v>
      </c>
      <c r="Q30">
        <f t="shared" si="7"/>
        <v>0.6067061052933882</v>
      </c>
      <c r="R30">
        <f t="shared" si="8"/>
        <v>2.9182175580630281</v>
      </c>
      <c r="S30">
        <f t="shared" si="9"/>
        <v>0.54436309841668451</v>
      </c>
      <c r="T30">
        <f t="shared" si="10"/>
        <v>0.3452928188670159</v>
      </c>
      <c r="U30">
        <f t="shared" si="11"/>
        <v>289.55747384752493</v>
      </c>
      <c r="V30">
        <f t="shared" si="12"/>
        <v>27.907364920498729</v>
      </c>
      <c r="W30">
        <f t="shared" si="13"/>
        <v>27.593900000000001</v>
      </c>
      <c r="X30">
        <f t="shared" si="14"/>
        <v>3.7059221872275216</v>
      </c>
      <c r="Y30">
        <f t="shared" si="15"/>
        <v>65.291433729666267</v>
      </c>
      <c r="Z30">
        <f t="shared" si="16"/>
        <v>2.4789332544322402</v>
      </c>
      <c r="AA30">
        <f t="shared" si="17"/>
        <v>3.7967205080777622</v>
      </c>
      <c r="AB30">
        <f t="shared" si="18"/>
        <v>1.2269889327952814</v>
      </c>
      <c r="AC30">
        <f t="shared" si="19"/>
        <v>-306.65734426591166</v>
      </c>
      <c r="AD30">
        <f t="shared" si="20"/>
        <v>65.227751392975904</v>
      </c>
      <c r="AE30">
        <f t="shared" si="21"/>
        <v>4.8625586050680329</v>
      </c>
      <c r="AF30">
        <f t="shared" si="22"/>
        <v>52.99043957965722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52353.59284349504</v>
      </c>
      <c r="AL30" t="s">
        <v>415</v>
      </c>
      <c r="AM30">
        <v>10204.299999999999</v>
      </c>
      <c r="AN30">
        <v>862.72538461538477</v>
      </c>
      <c r="AO30">
        <v>3252.56</v>
      </c>
      <c r="AP30">
        <f t="shared" si="26"/>
        <v>0.73475496697512588</v>
      </c>
      <c r="AQ30">
        <v>-6.6684750346205304</v>
      </c>
      <c r="AR30" t="s">
        <v>487</v>
      </c>
      <c r="AS30">
        <v>10079.200000000001</v>
      </c>
      <c r="AT30">
        <v>770.47364000000005</v>
      </c>
      <c r="AU30">
        <v>1196.132914023462</v>
      </c>
      <c r="AV30">
        <f t="shared" si="27"/>
        <v>0.35586285523375605</v>
      </c>
      <c r="AW30">
        <v>0.5</v>
      </c>
      <c r="AX30">
        <f t="shared" si="28"/>
        <v>1513.1345999209973</v>
      </c>
      <c r="AY30">
        <f t="shared" si="29"/>
        <v>50.64808160781773</v>
      </c>
      <c r="AZ30">
        <f t="shared" si="30"/>
        <v>269.23419954043663</v>
      </c>
      <c r="BA30">
        <f t="shared" si="31"/>
        <v>3.7879351014398079E-2</v>
      </c>
      <c r="BB30">
        <f t="shared" si="32"/>
        <v>1.7192295788093339</v>
      </c>
      <c r="BC30">
        <f t="shared" si="33"/>
        <v>592.52420924048272</v>
      </c>
      <c r="BD30" t="s">
        <v>488</v>
      </c>
      <c r="BE30">
        <v>584.54999999999995</v>
      </c>
      <c r="BF30">
        <f t="shared" si="34"/>
        <v>584.54999999999995</v>
      </c>
      <c r="BG30">
        <f t="shared" si="35"/>
        <v>0.51130012965387384</v>
      </c>
      <c r="BH30">
        <f t="shared" si="36"/>
        <v>0.69599601993971416</v>
      </c>
      <c r="BI30">
        <f t="shared" si="37"/>
        <v>0.77077188090619519</v>
      </c>
      <c r="BJ30">
        <f t="shared" si="38"/>
        <v>1.2766936450990354</v>
      </c>
      <c r="BK30">
        <f t="shared" si="39"/>
        <v>0.86048928772654032</v>
      </c>
      <c r="BL30">
        <f t="shared" si="40"/>
        <v>0.52804463687526004</v>
      </c>
      <c r="BM30">
        <f t="shared" si="41"/>
        <v>0.47195536312473996</v>
      </c>
      <c r="BN30">
        <v>5122</v>
      </c>
      <c r="BO30">
        <v>290.00000000000011</v>
      </c>
      <c r="BP30">
        <v>1074.1199999999999</v>
      </c>
      <c r="BQ30">
        <v>115</v>
      </c>
      <c r="BR30">
        <v>10079.200000000001</v>
      </c>
      <c r="BS30">
        <v>1068.3399999999999</v>
      </c>
      <c r="BT30">
        <v>5.78</v>
      </c>
      <c r="BU30">
        <v>300.00000000000011</v>
      </c>
      <c r="BV30">
        <v>24.1</v>
      </c>
      <c r="BW30">
        <v>1196.132914023462</v>
      </c>
      <c r="BX30">
        <v>2.1501066775881159</v>
      </c>
      <c r="BY30">
        <v>-128.8016461779726</v>
      </c>
      <c r="BZ30">
        <v>1.928756310443549</v>
      </c>
      <c r="CA30">
        <v>0.99376047336759221</v>
      </c>
      <c r="CB30">
        <v>-6.8597704115684098E-3</v>
      </c>
      <c r="CC30">
        <v>289.99999999999989</v>
      </c>
      <c r="CD30">
        <v>1061.8499999999999</v>
      </c>
      <c r="CE30">
        <v>655</v>
      </c>
      <c r="CF30">
        <v>10056.5</v>
      </c>
      <c r="CG30">
        <v>1068.05</v>
      </c>
      <c r="CH30">
        <v>-6.2</v>
      </c>
      <c r="CV30">
        <f t="shared" si="42"/>
        <v>1799.94</v>
      </c>
      <c r="CW30">
        <f t="shared" si="43"/>
        <v>1513.1345999209973</v>
      </c>
      <c r="CX30">
        <f t="shared" si="44"/>
        <v>0.8406583552346174</v>
      </c>
      <c r="CY30">
        <f t="shared" si="45"/>
        <v>0.16087062560281171</v>
      </c>
      <c r="CZ30">
        <v>6</v>
      </c>
      <c r="DA30">
        <v>0.5</v>
      </c>
      <c r="DB30" t="s">
        <v>418</v>
      </c>
      <c r="DC30">
        <v>2</v>
      </c>
      <c r="DD30">
        <v>1639682265.5999999</v>
      </c>
      <c r="DE30">
        <v>1427.56</v>
      </c>
      <c r="DF30">
        <v>1500.25</v>
      </c>
      <c r="DG30">
        <v>25.002800000000001</v>
      </c>
      <c r="DH30">
        <v>16.867000000000001</v>
      </c>
      <c r="DI30">
        <v>1429.87</v>
      </c>
      <c r="DJ30">
        <v>24.965199999999999</v>
      </c>
      <c r="DK30">
        <v>499.99900000000002</v>
      </c>
      <c r="DL30">
        <v>99.046400000000006</v>
      </c>
      <c r="DM30">
        <v>9.9825800000000006E-2</v>
      </c>
      <c r="DN30">
        <v>28.008500000000002</v>
      </c>
      <c r="DO30">
        <v>27.593900000000001</v>
      </c>
      <c r="DP30">
        <v>999.9</v>
      </c>
      <c r="DQ30">
        <v>0</v>
      </c>
      <c r="DR30">
        <v>0</v>
      </c>
      <c r="DS30">
        <v>10031.200000000001</v>
      </c>
      <c r="DT30">
        <v>0</v>
      </c>
      <c r="DU30">
        <v>318.22699999999998</v>
      </c>
      <c r="DV30">
        <v>-72.687600000000003</v>
      </c>
      <c r="DW30">
        <v>1464.17</v>
      </c>
      <c r="DX30">
        <v>1525.99</v>
      </c>
      <c r="DY30">
        <v>8.13584</v>
      </c>
      <c r="DZ30">
        <v>1500.25</v>
      </c>
      <c r="EA30">
        <v>16.867000000000001</v>
      </c>
      <c r="EB30">
        <v>2.4764400000000002</v>
      </c>
      <c r="EC30">
        <v>1.6706099999999999</v>
      </c>
      <c r="ED30">
        <v>20.872499999999999</v>
      </c>
      <c r="EE30">
        <v>14.625999999999999</v>
      </c>
      <c r="EF30">
        <v>1799.94</v>
      </c>
      <c r="EG30">
        <v>0.97799199999999997</v>
      </c>
      <c r="EH30">
        <v>2.20079E-2</v>
      </c>
      <c r="EI30">
        <v>0</v>
      </c>
      <c r="EJ30">
        <v>770.70299999999997</v>
      </c>
      <c r="EK30">
        <v>5.0001199999999999</v>
      </c>
      <c r="EL30">
        <v>13707.9</v>
      </c>
      <c r="EM30">
        <v>15629.4</v>
      </c>
      <c r="EN30">
        <v>46.686999999999998</v>
      </c>
      <c r="EO30">
        <v>47.25</v>
      </c>
      <c r="EP30">
        <v>47.375</v>
      </c>
      <c r="EQ30">
        <v>47.125</v>
      </c>
      <c r="ER30">
        <v>48.25</v>
      </c>
      <c r="ES30">
        <v>1755.44</v>
      </c>
      <c r="ET30">
        <v>39.5</v>
      </c>
      <c r="EU30">
        <v>0</v>
      </c>
      <c r="EV30">
        <v>119.6000001430511</v>
      </c>
      <c r="EW30">
        <v>0</v>
      </c>
      <c r="EX30">
        <v>770.47364000000005</v>
      </c>
      <c r="EY30">
        <v>1.8036153937859181</v>
      </c>
      <c r="EZ30">
        <v>51.676923019228468</v>
      </c>
      <c r="FA30">
        <v>13702.7</v>
      </c>
      <c r="FB30">
        <v>15</v>
      </c>
      <c r="FC30">
        <v>1639682223.5999999</v>
      </c>
      <c r="FD30" t="s">
        <v>489</v>
      </c>
      <c r="FE30">
        <v>1639682223.5999999</v>
      </c>
      <c r="FF30">
        <v>1639682213.5999999</v>
      </c>
      <c r="FG30">
        <v>19</v>
      </c>
      <c r="FH30">
        <v>-6.6000000000000003E-2</v>
      </c>
      <c r="FI30">
        <v>-7.0000000000000001E-3</v>
      </c>
      <c r="FJ30">
        <v>-2.379</v>
      </c>
      <c r="FK30">
        <v>-8.6999999999999994E-2</v>
      </c>
      <c r="FL30">
        <v>1500</v>
      </c>
      <c r="FM30">
        <v>16</v>
      </c>
      <c r="FN30">
        <v>0.06</v>
      </c>
      <c r="FO30">
        <v>0.01</v>
      </c>
      <c r="FP30">
        <v>50.349462572268479</v>
      </c>
      <c r="FQ30">
        <v>-0.55205677619600357</v>
      </c>
      <c r="FR30">
        <v>0.14706155878215249</v>
      </c>
      <c r="FS30">
        <v>1</v>
      </c>
      <c r="FT30">
        <v>0.6076693967023461</v>
      </c>
      <c r="FU30">
        <v>1.0222932077979519E-2</v>
      </c>
      <c r="FV30">
        <v>2.8663324743841432E-3</v>
      </c>
      <c r="FW30">
        <v>1</v>
      </c>
      <c r="FX30">
        <v>2</v>
      </c>
      <c r="FY30">
        <v>2</v>
      </c>
      <c r="FZ30" t="s">
        <v>420</v>
      </c>
      <c r="GA30">
        <v>2.9197299999999999</v>
      </c>
      <c r="GB30">
        <v>2.7450700000000001</v>
      </c>
      <c r="GC30">
        <v>0.21648100000000001</v>
      </c>
      <c r="GD30">
        <v>0.22548799999999999</v>
      </c>
      <c r="GE30">
        <v>0.11941</v>
      </c>
      <c r="GF30">
        <v>9.1721499999999997E-2</v>
      </c>
      <c r="GG30">
        <v>24406.2</v>
      </c>
      <c r="GH30">
        <v>23884.1</v>
      </c>
      <c r="GI30">
        <v>28363.5</v>
      </c>
      <c r="GJ30">
        <v>28204.9</v>
      </c>
      <c r="GK30">
        <v>34283.699999999997</v>
      </c>
      <c r="GL30">
        <v>35975.5</v>
      </c>
      <c r="GM30">
        <v>42689</v>
      </c>
      <c r="GN30">
        <v>43881.2</v>
      </c>
      <c r="GO30">
        <v>1.7926299999999999</v>
      </c>
      <c r="GP30">
        <v>1.97062</v>
      </c>
      <c r="GQ30">
        <v>1.37798E-2</v>
      </c>
      <c r="GR30">
        <v>0</v>
      </c>
      <c r="GS30">
        <v>27.3687</v>
      </c>
      <c r="GT30">
        <v>999.9</v>
      </c>
      <c r="GU30">
        <v>32.9</v>
      </c>
      <c r="GV30">
        <v>36.299999999999997</v>
      </c>
      <c r="GW30">
        <v>20.154499999999999</v>
      </c>
      <c r="GX30">
        <v>60.986800000000002</v>
      </c>
      <c r="GY30">
        <v>30.741199999999999</v>
      </c>
      <c r="GZ30">
        <v>1</v>
      </c>
      <c r="HA30">
        <v>0.37091200000000002</v>
      </c>
      <c r="HB30">
        <v>2.6674600000000002</v>
      </c>
      <c r="HC30">
        <v>20.2514</v>
      </c>
      <c r="HD30">
        <v>5.2753899999999998</v>
      </c>
      <c r="HE30">
        <v>12.0878</v>
      </c>
      <c r="HF30">
        <v>5.01335</v>
      </c>
      <c r="HG30">
        <v>3.2919800000000001</v>
      </c>
      <c r="HH30">
        <v>9999</v>
      </c>
      <c r="HI30">
        <v>9999</v>
      </c>
      <c r="HJ30">
        <v>9999</v>
      </c>
      <c r="HK30">
        <v>999.9</v>
      </c>
      <c r="HL30">
        <v>1.8752800000000001</v>
      </c>
      <c r="HM30">
        <v>1.8757299999999999</v>
      </c>
      <c r="HN30">
        <v>1.87547</v>
      </c>
      <c r="HO30">
        <v>1.8794299999999999</v>
      </c>
      <c r="HP30">
        <v>1.87286</v>
      </c>
      <c r="HQ30">
        <v>1.8760699999999999</v>
      </c>
      <c r="HR30">
        <v>1.8757999999999999</v>
      </c>
      <c r="HS30">
        <v>1.8771899999999999</v>
      </c>
      <c r="HT30">
        <v>0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-2.31</v>
      </c>
      <c r="IH30">
        <v>3.7600000000000001E-2</v>
      </c>
      <c r="II30">
        <v>-0.32498807879117558</v>
      </c>
      <c r="IJ30">
        <v>-1.5404112972462821E-3</v>
      </c>
      <c r="IK30">
        <v>-5.8697186733976997E-8</v>
      </c>
      <c r="IL30">
        <v>1.160237123038427E-10</v>
      </c>
      <c r="IM30">
        <v>-0.14391433977076901</v>
      </c>
      <c r="IN30">
        <v>-3.128848753924141E-3</v>
      </c>
      <c r="IO30">
        <v>3.6841110403368089E-4</v>
      </c>
      <c r="IP30">
        <v>1.9296040270694169E-6</v>
      </c>
      <c r="IQ30">
        <v>1</v>
      </c>
      <c r="IR30">
        <v>1992</v>
      </c>
      <c r="IS30">
        <v>2</v>
      </c>
      <c r="IT30">
        <v>27</v>
      </c>
      <c r="IU30">
        <v>0.7</v>
      </c>
      <c r="IV30">
        <v>0.9</v>
      </c>
      <c r="IW30">
        <v>3.0529799999999998</v>
      </c>
      <c r="IX30">
        <v>2.64771</v>
      </c>
      <c r="IY30">
        <v>1.69434</v>
      </c>
      <c r="IZ30">
        <v>2.35107</v>
      </c>
      <c r="JA30">
        <v>1.5466299999999999</v>
      </c>
      <c r="JB30">
        <v>2.4719199999999999</v>
      </c>
      <c r="JC30">
        <v>40.07</v>
      </c>
      <c r="JD30">
        <v>24.026199999999999</v>
      </c>
      <c r="JE30">
        <v>18</v>
      </c>
      <c r="JF30">
        <v>532.23199999999997</v>
      </c>
      <c r="JG30">
        <v>534.05499999999995</v>
      </c>
      <c r="JH30">
        <v>25.046099999999999</v>
      </c>
      <c r="JI30">
        <v>31.768599999999999</v>
      </c>
      <c r="JJ30">
        <v>30</v>
      </c>
      <c r="JK30">
        <v>31.728300000000001</v>
      </c>
      <c r="JL30">
        <v>31.6783</v>
      </c>
      <c r="JM30">
        <v>61.140700000000002</v>
      </c>
      <c r="JN30">
        <v>12.8626</v>
      </c>
      <c r="JO30">
        <v>30.107099999999999</v>
      </c>
      <c r="JP30">
        <v>25.039300000000001</v>
      </c>
      <c r="JQ30">
        <v>1500</v>
      </c>
      <c r="JR30">
        <v>16.757899999999999</v>
      </c>
      <c r="JS30">
        <v>99.461500000000001</v>
      </c>
      <c r="JT30">
        <v>98.833600000000004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2023-01-26T19:53:14Z</dcterms:created>
  <dcterms:modified xsi:type="dcterms:W3CDTF">2023-01-27T01:00:22Z</dcterms:modified>
</cp:coreProperties>
</file>