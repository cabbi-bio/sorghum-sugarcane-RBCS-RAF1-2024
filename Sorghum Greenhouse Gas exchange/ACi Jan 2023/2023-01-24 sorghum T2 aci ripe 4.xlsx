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28" i="1" l="1"/>
  <c r="CX128" i="1"/>
  <c r="CV128" i="1"/>
  <c r="CW128" i="1"/>
  <c r="BF128" i="1"/>
  <c r="BH128" i="1"/>
  <c r="BL128" i="1"/>
  <c r="BM128" i="1"/>
  <c r="BK128" i="1"/>
  <c r="BJ128" i="1"/>
  <c r="BI128" i="1"/>
  <c r="BG128" i="1"/>
  <c r="AP128" i="1"/>
  <c r="BC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BF127" i="1"/>
  <c r="BH127" i="1"/>
  <c r="BL127" i="1"/>
  <c r="BM127" i="1"/>
  <c r="BK127" i="1"/>
  <c r="BJ127" i="1"/>
  <c r="BI127" i="1"/>
  <c r="BG127" i="1"/>
  <c r="AP127" i="1"/>
  <c r="BC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BF126" i="1"/>
  <c r="BH126" i="1"/>
  <c r="BL126" i="1"/>
  <c r="BM126" i="1"/>
  <c r="BK126" i="1"/>
  <c r="BJ126" i="1"/>
  <c r="BI126" i="1"/>
  <c r="BG126" i="1"/>
  <c r="AP126" i="1"/>
  <c r="BC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BF125" i="1"/>
  <c r="BH125" i="1"/>
  <c r="BL125" i="1"/>
  <c r="BM125" i="1"/>
  <c r="BK125" i="1"/>
  <c r="BJ125" i="1"/>
  <c r="BI125" i="1"/>
  <c r="BG125" i="1"/>
  <c r="AP125" i="1"/>
  <c r="BC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BF124" i="1"/>
  <c r="BH124" i="1"/>
  <c r="BL124" i="1"/>
  <c r="BM124" i="1"/>
  <c r="BK124" i="1"/>
  <c r="BJ124" i="1"/>
  <c r="BI124" i="1"/>
  <c r="BG124" i="1"/>
  <c r="AP124" i="1"/>
  <c r="BC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BF123" i="1"/>
  <c r="BH123" i="1"/>
  <c r="BL123" i="1"/>
  <c r="BM123" i="1"/>
  <c r="BK123" i="1"/>
  <c r="BJ123" i="1"/>
  <c r="BI123" i="1"/>
  <c r="BG123" i="1"/>
  <c r="AP123" i="1"/>
  <c r="BC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BF122" i="1"/>
  <c r="BH122" i="1"/>
  <c r="BL122" i="1"/>
  <c r="BM122" i="1"/>
  <c r="BK122" i="1"/>
  <c r="BJ122" i="1"/>
  <c r="BI122" i="1"/>
  <c r="BG122" i="1"/>
  <c r="AP122" i="1"/>
  <c r="BC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BF121" i="1"/>
  <c r="BH121" i="1"/>
  <c r="BL121" i="1"/>
  <c r="BM121" i="1"/>
  <c r="BK121" i="1"/>
  <c r="BJ121" i="1"/>
  <c r="BI121" i="1"/>
  <c r="BG121" i="1"/>
  <c r="AP121" i="1"/>
  <c r="BC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BF120" i="1"/>
  <c r="BH120" i="1"/>
  <c r="BL120" i="1"/>
  <c r="BM120" i="1"/>
  <c r="BK120" i="1"/>
  <c r="BJ120" i="1"/>
  <c r="BI120" i="1"/>
  <c r="BG120" i="1"/>
  <c r="AP120" i="1"/>
  <c r="BC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BF119" i="1"/>
  <c r="BH119" i="1"/>
  <c r="BL119" i="1"/>
  <c r="BM119" i="1"/>
  <c r="BK119" i="1"/>
  <c r="BJ119" i="1"/>
  <c r="BI119" i="1"/>
  <c r="BG119" i="1"/>
  <c r="AP119" i="1"/>
  <c r="BC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BF118" i="1"/>
  <c r="BH118" i="1"/>
  <c r="BL118" i="1"/>
  <c r="BM118" i="1"/>
  <c r="BK118" i="1"/>
  <c r="BJ118" i="1"/>
  <c r="BI118" i="1"/>
  <c r="BG118" i="1"/>
  <c r="AP118" i="1"/>
  <c r="BC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BF117" i="1"/>
  <c r="BH117" i="1"/>
  <c r="BL117" i="1"/>
  <c r="BM117" i="1"/>
  <c r="BK117" i="1"/>
  <c r="BJ117" i="1"/>
  <c r="BI117" i="1"/>
  <c r="BG117" i="1"/>
  <c r="AP117" i="1"/>
  <c r="BC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BF116" i="1"/>
  <c r="BH116" i="1"/>
  <c r="BL116" i="1"/>
  <c r="BM116" i="1"/>
  <c r="BK116" i="1"/>
  <c r="BJ116" i="1"/>
  <c r="BI116" i="1"/>
  <c r="BG116" i="1"/>
  <c r="AP116" i="1"/>
  <c r="BC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BF115" i="1"/>
  <c r="BH115" i="1"/>
  <c r="BL115" i="1"/>
  <c r="BM115" i="1"/>
  <c r="BK115" i="1"/>
  <c r="BJ115" i="1"/>
  <c r="BI115" i="1"/>
  <c r="BG115" i="1"/>
  <c r="AP115" i="1"/>
  <c r="BC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BF114" i="1"/>
  <c r="BH114" i="1"/>
  <c r="BL114" i="1"/>
  <c r="BM114" i="1"/>
  <c r="BK114" i="1"/>
  <c r="BJ114" i="1"/>
  <c r="BI114" i="1"/>
  <c r="BG114" i="1"/>
  <c r="AP114" i="1"/>
  <c r="BC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BF113" i="1"/>
  <c r="BH113" i="1"/>
  <c r="BL113" i="1"/>
  <c r="BM113" i="1"/>
  <c r="BK113" i="1"/>
  <c r="BJ113" i="1"/>
  <c r="BI113" i="1"/>
  <c r="BG113" i="1"/>
  <c r="AP113" i="1"/>
  <c r="BC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BF112" i="1"/>
  <c r="BH112" i="1"/>
  <c r="BL112" i="1"/>
  <c r="BM112" i="1"/>
  <c r="BK112" i="1"/>
  <c r="BJ112" i="1"/>
  <c r="BI112" i="1"/>
  <c r="BG112" i="1"/>
  <c r="AP112" i="1"/>
  <c r="BC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BF111" i="1"/>
  <c r="BH111" i="1"/>
  <c r="BL111" i="1"/>
  <c r="BM111" i="1"/>
  <c r="BK111" i="1"/>
  <c r="BJ111" i="1"/>
  <c r="BI111" i="1"/>
  <c r="BG111" i="1"/>
  <c r="AP111" i="1"/>
  <c r="BC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BF110" i="1"/>
  <c r="BH110" i="1"/>
  <c r="BL110" i="1"/>
  <c r="BM110" i="1"/>
  <c r="BK110" i="1"/>
  <c r="BJ110" i="1"/>
  <c r="BI110" i="1"/>
  <c r="BG110" i="1"/>
  <c r="AP110" i="1"/>
  <c r="BC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BF109" i="1"/>
  <c r="BH109" i="1"/>
  <c r="BL109" i="1"/>
  <c r="BM109" i="1"/>
  <c r="BK109" i="1"/>
  <c r="BJ109" i="1"/>
  <c r="BI109" i="1"/>
  <c r="BG109" i="1"/>
  <c r="AP109" i="1"/>
  <c r="BC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BF108" i="1"/>
  <c r="BH108" i="1"/>
  <c r="BL108" i="1"/>
  <c r="BM108" i="1"/>
  <c r="BK108" i="1"/>
  <c r="BJ108" i="1"/>
  <c r="BI108" i="1"/>
  <c r="BG108" i="1"/>
  <c r="AP108" i="1"/>
  <c r="BC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BF107" i="1"/>
  <c r="BH107" i="1"/>
  <c r="BL107" i="1"/>
  <c r="BM107" i="1"/>
  <c r="BK107" i="1"/>
  <c r="BJ107" i="1"/>
  <c r="BI107" i="1"/>
  <c r="BG107" i="1"/>
  <c r="AP107" i="1"/>
  <c r="BC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BF106" i="1"/>
  <c r="BH106" i="1"/>
  <c r="BL106" i="1"/>
  <c r="BM106" i="1"/>
  <c r="BK106" i="1"/>
  <c r="BJ106" i="1"/>
  <c r="BI106" i="1"/>
  <c r="BG106" i="1"/>
  <c r="AP106" i="1"/>
  <c r="BC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BF105" i="1"/>
  <c r="BH105" i="1"/>
  <c r="BL105" i="1"/>
  <c r="BM105" i="1"/>
  <c r="BK105" i="1"/>
  <c r="BJ105" i="1"/>
  <c r="BI105" i="1"/>
  <c r="BG105" i="1"/>
  <c r="AP105" i="1"/>
  <c r="BC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BF104" i="1"/>
  <c r="BH104" i="1"/>
  <c r="BL104" i="1"/>
  <c r="BM104" i="1"/>
  <c r="BK104" i="1"/>
  <c r="BJ104" i="1"/>
  <c r="BI104" i="1"/>
  <c r="BG104" i="1"/>
  <c r="AP104" i="1"/>
  <c r="BC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BF103" i="1"/>
  <c r="BH103" i="1"/>
  <c r="BL103" i="1"/>
  <c r="BM103" i="1"/>
  <c r="BK103" i="1"/>
  <c r="BJ103" i="1"/>
  <c r="BI103" i="1"/>
  <c r="BG103" i="1"/>
  <c r="AP103" i="1"/>
  <c r="BC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BF102" i="1"/>
  <c r="BH102" i="1"/>
  <c r="BL102" i="1"/>
  <c r="BM102" i="1"/>
  <c r="BK102" i="1"/>
  <c r="BJ102" i="1"/>
  <c r="BI102" i="1"/>
  <c r="BG102" i="1"/>
  <c r="AP102" i="1"/>
  <c r="BC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BF101" i="1"/>
  <c r="BH101" i="1"/>
  <c r="BL101" i="1"/>
  <c r="BM101" i="1"/>
  <c r="BK101" i="1"/>
  <c r="BJ101" i="1"/>
  <c r="BI101" i="1"/>
  <c r="BG101" i="1"/>
  <c r="AP101" i="1"/>
  <c r="BC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BF100" i="1"/>
  <c r="BH100" i="1"/>
  <c r="BL100" i="1"/>
  <c r="BM100" i="1"/>
  <c r="BK100" i="1"/>
  <c r="BJ100" i="1"/>
  <c r="BI100" i="1"/>
  <c r="BG100" i="1"/>
  <c r="AP100" i="1"/>
  <c r="BC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BF99" i="1"/>
  <c r="BH99" i="1"/>
  <c r="BL99" i="1"/>
  <c r="BM99" i="1"/>
  <c r="BK99" i="1"/>
  <c r="BJ99" i="1"/>
  <c r="BI99" i="1"/>
  <c r="BG99" i="1"/>
  <c r="AP99" i="1"/>
  <c r="BC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BF98" i="1"/>
  <c r="BH98" i="1"/>
  <c r="BL98" i="1"/>
  <c r="BM98" i="1"/>
  <c r="BK98" i="1"/>
  <c r="BJ98" i="1"/>
  <c r="BI98" i="1"/>
  <c r="BG98" i="1"/>
  <c r="AP98" i="1"/>
  <c r="BC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BF97" i="1"/>
  <c r="BH97" i="1"/>
  <c r="BL97" i="1"/>
  <c r="BM97" i="1"/>
  <c r="BK97" i="1"/>
  <c r="BJ97" i="1"/>
  <c r="BI97" i="1"/>
  <c r="BG97" i="1"/>
  <c r="AP97" i="1"/>
  <c r="BC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BF96" i="1"/>
  <c r="BH96" i="1"/>
  <c r="BL96" i="1"/>
  <c r="BM96" i="1"/>
  <c r="BK96" i="1"/>
  <c r="BJ96" i="1"/>
  <c r="BI96" i="1"/>
  <c r="BG96" i="1"/>
  <c r="AP96" i="1"/>
  <c r="BC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BF95" i="1"/>
  <c r="BH95" i="1"/>
  <c r="BL95" i="1"/>
  <c r="BM95" i="1"/>
  <c r="BK95" i="1"/>
  <c r="BJ95" i="1"/>
  <c r="BI95" i="1"/>
  <c r="BG95" i="1"/>
  <c r="AP95" i="1"/>
  <c r="BC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BF94" i="1"/>
  <c r="BH94" i="1"/>
  <c r="BL94" i="1"/>
  <c r="BM94" i="1"/>
  <c r="BK94" i="1"/>
  <c r="BJ94" i="1"/>
  <c r="BI94" i="1"/>
  <c r="BG94" i="1"/>
  <c r="AP94" i="1"/>
  <c r="BC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BF93" i="1"/>
  <c r="BH93" i="1"/>
  <c r="BL93" i="1"/>
  <c r="BM93" i="1"/>
  <c r="BK93" i="1"/>
  <c r="BJ93" i="1"/>
  <c r="BI93" i="1"/>
  <c r="BG93" i="1"/>
  <c r="AP93" i="1"/>
  <c r="BC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BF92" i="1"/>
  <c r="BH92" i="1"/>
  <c r="BL92" i="1"/>
  <c r="BM92" i="1"/>
  <c r="BK92" i="1"/>
  <c r="BJ92" i="1"/>
  <c r="BI92" i="1"/>
  <c r="BG92" i="1"/>
  <c r="AP92" i="1"/>
  <c r="BC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BF91" i="1"/>
  <c r="BH91" i="1"/>
  <c r="BL91" i="1"/>
  <c r="BM91" i="1"/>
  <c r="BK91" i="1"/>
  <c r="BJ91" i="1"/>
  <c r="BI91" i="1"/>
  <c r="BG91" i="1"/>
  <c r="AP91" i="1"/>
  <c r="BC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BF90" i="1"/>
  <c r="BH90" i="1"/>
  <c r="BL90" i="1"/>
  <c r="BM90" i="1"/>
  <c r="BK90" i="1"/>
  <c r="BJ90" i="1"/>
  <c r="BI90" i="1"/>
  <c r="BG90" i="1"/>
  <c r="AP90" i="1"/>
  <c r="BC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BF89" i="1"/>
  <c r="BH89" i="1"/>
  <c r="BL89" i="1"/>
  <c r="BM89" i="1"/>
  <c r="BK89" i="1"/>
  <c r="BJ89" i="1"/>
  <c r="BI89" i="1"/>
  <c r="BG89" i="1"/>
  <c r="AP89" i="1"/>
  <c r="BC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BF88" i="1"/>
  <c r="BH88" i="1"/>
  <c r="BL88" i="1"/>
  <c r="BM88" i="1"/>
  <c r="BK88" i="1"/>
  <c r="BJ88" i="1"/>
  <c r="BI88" i="1"/>
  <c r="BG88" i="1"/>
  <c r="AP88" i="1"/>
  <c r="BC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BF87" i="1"/>
  <c r="BH87" i="1"/>
  <c r="BL87" i="1"/>
  <c r="BM87" i="1"/>
  <c r="BK87" i="1"/>
  <c r="BJ87" i="1"/>
  <c r="BI87" i="1"/>
  <c r="BG87" i="1"/>
  <c r="AP87" i="1"/>
  <c r="BC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BF86" i="1"/>
  <c r="BH86" i="1"/>
  <c r="BL86" i="1"/>
  <c r="BM86" i="1"/>
  <c r="BK86" i="1"/>
  <c r="BJ86" i="1"/>
  <c r="BI86" i="1"/>
  <c r="BG86" i="1"/>
  <c r="AP86" i="1"/>
  <c r="BC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BF85" i="1"/>
  <c r="BH85" i="1"/>
  <c r="BL85" i="1"/>
  <c r="BM85" i="1"/>
  <c r="BK85" i="1"/>
  <c r="BJ85" i="1"/>
  <c r="BI85" i="1"/>
  <c r="BG85" i="1"/>
  <c r="AP85" i="1"/>
  <c r="BC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BF84" i="1"/>
  <c r="BH84" i="1"/>
  <c r="BL84" i="1"/>
  <c r="BM84" i="1"/>
  <c r="BK84" i="1"/>
  <c r="BJ84" i="1"/>
  <c r="BI84" i="1"/>
  <c r="BG84" i="1"/>
  <c r="AP84" i="1"/>
  <c r="BC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BF83" i="1"/>
  <c r="BH83" i="1"/>
  <c r="BL83" i="1"/>
  <c r="BM83" i="1"/>
  <c r="BK83" i="1"/>
  <c r="BJ83" i="1"/>
  <c r="BI83" i="1"/>
  <c r="BG83" i="1"/>
  <c r="AP83" i="1"/>
  <c r="BC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BF82" i="1"/>
  <c r="BH82" i="1"/>
  <c r="BL82" i="1"/>
  <c r="BM82" i="1"/>
  <c r="BK82" i="1"/>
  <c r="BJ82" i="1"/>
  <c r="BI82" i="1"/>
  <c r="BG82" i="1"/>
  <c r="AP82" i="1"/>
  <c r="BC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BF81" i="1"/>
  <c r="BH81" i="1"/>
  <c r="BL81" i="1"/>
  <c r="BM81" i="1"/>
  <c r="BK81" i="1"/>
  <c r="BJ81" i="1"/>
  <c r="BI81" i="1"/>
  <c r="BG81" i="1"/>
  <c r="AP81" i="1"/>
  <c r="BC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BF80" i="1"/>
  <c r="BH80" i="1"/>
  <c r="BL80" i="1"/>
  <c r="BM80" i="1"/>
  <c r="BK80" i="1"/>
  <c r="BJ80" i="1"/>
  <c r="BI80" i="1"/>
  <c r="BG80" i="1"/>
  <c r="AP80" i="1"/>
  <c r="BC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BF79" i="1"/>
  <c r="BH79" i="1"/>
  <c r="BL79" i="1"/>
  <c r="BM79" i="1"/>
  <c r="BK79" i="1"/>
  <c r="BJ79" i="1"/>
  <c r="BI79" i="1"/>
  <c r="BG79" i="1"/>
  <c r="AP79" i="1"/>
  <c r="BC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BF78" i="1"/>
  <c r="BH78" i="1"/>
  <c r="BL78" i="1"/>
  <c r="BM78" i="1"/>
  <c r="BK78" i="1"/>
  <c r="BJ78" i="1"/>
  <c r="BI78" i="1"/>
  <c r="BG78" i="1"/>
  <c r="AP78" i="1"/>
  <c r="BC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BF77" i="1"/>
  <c r="BH77" i="1"/>
  <c r="BL77" i="1"/>
  <c r="BM77" i="1"/>
  <c r="BK77" i="1"/>
  <c r="BJ77" i="1"/>
  <c r="BI77" i="1"/>
  <c r="BG77" i="1"/>
  <c r="AP77" i="1"/>
  <c r="BC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BF76" i="1"/>
  <c r="BH76" i="1"/>
  <c r="BL76" i="1"/>
  <c r="BM76" i="1"/>
  <c r="BK76" i="1"/>
  <c r="BJ76" i="1"/>
  <c r="BI76" i="1"/>
  <c r="BG76" i="1"/>
  <c r="AP76" i="1"/>
  <c r="BC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BF75" i="1"/>
  <c r="BH75" i="1"/>
  <c r="BL75" i="1"/>
  <c r="BM75" i="1"/>
  <c r="BK75" i="1"/>
  <c r="BJ75" i="1"/>
  <c r="BI75" i="1"/>
  <c r="BG75" i="1"/>
  <c r="AP75" i="1"/>
  <c r="BC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BF74" i="1"/>
  <c r="BH74" i="1"/>
  <c r="BL74" i="1"/>
  <c r="BM74" i="1"/>
  <c r="BK74" i="1"/>
  <c r="BJ74" i="1"/>
  <c r="BI74" i="1"/>
  <c r="BG74" i="1"/>
  <c r="AP74" i="1"/>
  <c r="BC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BF73" i="1"/>
  <c r="BH73" i="1"/>
  <c r="BL73" i="1"/>
  <c r="BM73" i="1"/>
  <c r="BK73" i="1"/>
  <c r="BJ73" i="1"/>
  <c r="BI73" i="1"/>
  <c r="BG73" i="1"/>
  <c r="AP73" i="1"/>
  <c r="BC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BF72" i="1"/>
  <c r="BH72" i="1"/>
  <c r="BL72" i="1"/>
  <c r="BM72" i="1"/>
  <c r="BK72" i="1"/>
  <c r="BJ72" i="1"/>
  <c r="BI72" i="1"/>
  <c r="BG72" i="1"/>
  <c r="AP72" i="1"/>
  <c r="BC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BF71" i="1"/>
  <c r="BH71" i="1"/>
  <c r="BL71" i="1"/>
  <c r="BM71" i="1"/>
  <c r="BK71" i="1"/>
  <c r="BJ71" i="1"/>
  <c r="BI71" i="1"/>
  <c r="BG71" i="1"/>
  <c r="AP71" i="1"/>
  <c r="BC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BF70" i="1"/>
  <c r="BH70" i="1"/>
  <c r="BL70" i="1"/>
  <c r="BM70" i="1"/>
  <c r="BK70" i="1"/>
  <c r="BJ70" i="1"/>
  <c r="BI70" i="1"/>
  <c r="BG70" i="1"/>
  <c r="AP70" i="1"/>
  <c r="BC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BF69" i="1"/>
  <c r="BH69" i="1"/>
  <c r="BL69" i="1"/>
  <c r="BM69" i="1"/>
  <c r="BK69" i="1"/>
  <c r="BJ69" i="1"/>
  <c r="BI69" i="1"/>
  <c r="BG69" i="1"/>
  <c r="AP69" i="1"/>
  <c r="BC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BF68" i="1"/>
  <c r="BH68" i="1"/>
  <c r="BL68" i="1"/>
  <c r="BM68" i="1"/>
  <c r="BK68" i="1"/>
  <c r="BJ68" i="1"/>
  <c r="BI68" i="1"/>
  <c r="BG68" i="1"/>
  <c r="AP68" i="1"/>
  <c r="BC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BF67" i="1"/>
  <c r="BH67" i="1"/>
  <c r="BL67" i="1"/>
  <c r="BM67" i="1"/>
  <c r="BK67" i="1"/>
  <c r="BJ67" i="1"/>
  <c r="BI67" i="1"/>
  <c r="BG67" i="1"/>
  <c r="AP67" i="1"/>
  <c r="BC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BF66" i="1"/>
  <c r="BH66" i="1"/>
  <c r="BL66" i="1"/>
  <c r="BM66" i="1"/>
  <c r="BK66" i="1"/>
  <c r="BJ66" i="1"/>
  <c r="BI66" i="1"/>
  <c r="BG66" i="1"/>
  <c r="AP66" i="1"/>
  <c r="BC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BF65" i="1"/>
  <c r="BH65" i="1"/>
  <c r="BL65" i="1"/>
  <c r="BM65" i="1"/>
  <c r="BK65" i="1"/>
  <c r="BJ65" i="1"/>
  <c r="BI65" i="1"/>
  <c r="BG65" i="1"/>
  <c r="AP65" i="1"/>
  <c r="BC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BF64" i="1"/>
  <c r="BH64" i="1"/>
  <c r="BL64" i="1"/>
  <c r="BM64" i="1"/>
  <c r="BK64" i="1"/>
  <c r="BJ64" i="1"/>
  <c r="BI64" i="1"/>
  <c r="BG64" i="1"/>
  <c r="AP64" i="1"/>
  <c r="BC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BF63" i="1"/>
  <c r="BH63" i="1"/>
  <c r="BL63" i="1"/>
  <c r="BM63" i="1"/>
  <c r="BK63" i="1"/>
  <c r="BJ63" i="1"/>
  <c r="BI63" i="1"/>
  <c r="BG63" i="1"/>
  <c r="AP63" i="1"/>
  <c r="BC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BF62" i="1"/>
  <c r="BH62" i="1"/>
  <c r="BL62" i="1"/>
  <c r="BM62" i="1"/>
  <c r="BK62" i="1"/>
  <c r="BJ62" i="1"/>
  <c r="BI62" i="1"/>
  <c r="BG62" i="1"/>
  <c r="AP62" i="1"/>
  <c r="BC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BF61" i="1"/>
  <c r="BH61" i="1"/>
  <c r="BL61" i="1"/>
  <c r="BM61" i="1"/>
  <c r="BK61" i="1"/>
  <c r="BJ61" i="1"/>
  <c r="BI61" i="1"/>
  <c r="BG61" i="1"/>
  <c r="AP61" i="1"/>
  <c r="BC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BF60" i="1"/>
  <c r="BH60" i="1"/>
  <c r="BL60" i="1"/>
  <c r="BM60" i="1"/>
  <c r="BK60" i="1"/>
  <c r="BJ60" i="1"/>
  <c r="BI60" i="1"/>
  <c r="BG60" i="1"/>
  <c r="AP60" i="1"/>
  <c r="BC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BF59" i="1"/>
  <c r="BH59" i="1"/>
  <c r="BL59" i="1"/>
  <c r="BM59" i="1"/>
  <c r="BK59" i="1"/>
  <c r="BJ59" i="1"/>
  <c r="BI59" i="1"/>
  <c r="BG59" i="1"/>
  <c r="AP59" i="1"/>
  <c r="BC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BF58" i="1"/>
  <c r="BH58" i="1"/>
  <c r="BL58" i="1"/>
  <c r="BM58" i="1"/>
  <c r="BK58" i="1"/>
  <c r="BJ58" i="1"/>
  <c r="BI58" i="1"/>
  <c r="BG58" i="1"/>
  <c r="AP58" i="1"/>
  <c r="BC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BF57" i="1"/>
  <c r="BH57" i="1"/>
  <c r="BL57" i="1"/>
  <c r="BM57" i="1"/>
  <c r="BK57" i="1"/>
  <c r="BJ57" i="1"/>
  <c r="BI57" i="1"/>
  <c r="BG57" i="1"/>
  <c r="AP57" i="1"/>
  <c r="BC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BF56" i="1"/>
  <c r="BH56" i="1"/>
  <c r="BL56" i="1"/>
  <c r="BM56" i="1"/>
  <c r="BK56" i="1"/>
  <c r="BJ56" i="1"/>
  <c r="BI56" i="1"/>
  <c r="BG56" i="1"/>
  <c r="AP56" i="1"/>
  <c r="BC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BF55" i="1"/>
  <c r="BH55" i="1"/>
  <c r="BL55" i="1"/>
  <c r="BM55" i="1"/>
  <c r="BK55" i="1"/>
  <c r="BJ55" i="1"/>
  <c r="BI55" i="1"/>
  <c r="BG55" i="1"/>
  <c r="AP55" i="1"/>
  <c r="BC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BF54" i="1"/>
  <c r="BH54" i="1"/>
  <c r="BL54" i="1"/>
  <c r="BM54" i="1"/>
  <c r="BK54" i="1"/>
  <c r="BJ54" i="1"/>
  <c r="BI54" i="1"/>
  <c r="BG54" i="1"/>
  <c r="AP54" i="1"/>
  <c r="BC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BF53" i="1"/>
  <c r="BH53" i="1"/>
  <c r="BL53" i="1"/>
  <c r="BM53" i="1"/>
  <c r="BK53" i="1"/>
  <c r="BJ53" i="1"/>
  <c r="BI53" i="1"/>
  <c r="BG53" i="1"/>
  <c r="AP53" i="1"/>
  <c r="BC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BF52" i="1"/>
  <c r="BH52" i="1"/>
  <c r="BL52" i="1"/>
  <c r="BM52" i="1"/>
  <c r="BK52" i="1"/>
  <c r="BJ52" i="1"/>
  <c r="BI52" i="1"/>
  <c r="BG52" i="1"/>
  <c r="AP52" i="1"/>
  <c r="BC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BF51" i="1"/>
  <c r="BH51" i="1"/>
  <c r="BL51" i="1"/>
  <c r="BM51" i="1"/>
  <c r="BK51" i="1"/>
  <c r="BJ51" i="1"/>
  <c r="BI51" i="1"/>
  <c r="BG51" i="1"/>
  <c r="AP51" i="1"/>
  <c r="BC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BF50" i="1"/>
  <c r="BH50" i="1"/>
  <c r="BL50" i="1"/>
  <c r="BM50" i="1"/>
  <c r="BK50" i="1"/>
  <c r="BJ50" i="1"/>
  <c r="BI50" i="1"/>
  <c r="BG50" i="1"/>
  <c r="AP50" i="1"/>
  <c r="BC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BF49" i="1"/>
  <c r="BH49" i="1"/>
  <c r="BL49" i="1"/>
  <c r="BM49" i="1"/>
  <c r="BK49" i="1"/>
  <c r="BJ49" i="1"/>
  <c r="BI49" i="1"/>
  <c r="BG49" i="1"/>
  <c r="AP49" i="1"/>
  <c r="BC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BF48" i="1"/>
  <c r="BH48" i="1"/>
  <c r="BL48" i="1"/>
  <c r="BM48" i="1"/>
  <c r="BK48" i="1"/>
  <c r="BJ48" i="1"/>
  <c r="BI48" i="1"/>
  <c r="BG48" i="1"/>
  <c r="AP48" i="1"/>
  <c r="BC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BF47" i="1"/>
  <c r="BH47" i="1"/>
  <c r="BL47" i="1"/>
  <c r="BM47" i="1"/>
  <c r="BK47" i="1"/>
  <c r="BJ47" i="1"/>
  <c r="BI47" i="1"/>
  <c r="BG47" i="1"/>
  <c r="AP47" i="1"/>
  <c r="BC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BF46" i="1"/>
  <c r="BH46" i="1"/>
  <c r="BL46" i="1"/>
  <c r="BM46" i="1"/>
  <c r="BK46" i="1"/>
  <c r="BJ46" i="1"/>
  <c r="BI46" i="1"/>
  <c r="BG46" i="1"/>
  <c r="AP46" i="1"/>
  <c r="BC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BF45" i="1"/>
  <c r="BH45" i="1"/>
  <c r="BL45" i="1"/>
  <c r="BM45" i="1"/>
  <c r="BK45" i="1"/>
  <c r="BJ45" i="1"/>
  <c r="BI45" i="1"/>
  <c r="BG45" i="1"/>
  <c r="AP45" i="1"/>
  <c r="BC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BF44" i="1"/>
  <c r="BH44" i="1"/>
  <c r="BL44" i="1"/>
  <c r="BM44" i="1"/>
  <c r="BK44" i="1"/>
  <c r="BJ44" i="1"/>
  <c r="BI44" i="1"/>
  <c r="BG44" i="1"/>
  <c r="AP44" i="1"/>
  <c r="BC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BF43" i="1"/>
  <c r="BH43" i="1"/>
  <c r="BL43" i="1"/>
  <c r="BM43" i="1"/>
  <c r="BK43" i="1"/>
  <c r="BJ43" i="1"/>
  <c r="BI43" i="1"/>
  <c r="BG43" i="1"/>
  <c r="AP43" i="1"/>
  <c r="BC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BF42" i="1"/>
  <c r="BH42" i="1"/>
  <c r="BL42" i="1"/>
  <c r="BM42" i="1"/>
  <c r="BK42" i="1"/>
  <c r="BJ42" i="1"/>
  <c r="BI42" i="1"/>
  <c r="BG42" i="1"/>
  <c r="AP42" i="1"/>
  <c r="BC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BF41" i="1"/>
  <c r="BH41" i="1"/>
  <c r="BL41" i="1"/>
  <c r="BM41" i="1"/>
  <c r="BK41" i="1"/>
  <c r="BJ41" i="1"/>
  <c r="BI41" i="1"/>
  <c r="BG41" i="1"/>
  <c r="AP41" i="1"/>
  <c r="BC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BF40" i="1"/>
  <c r="BH40" i="1"/>
  <c r="BL40" i="1"/>
  <c r="BM40" i="1"/>
  <c r="BK40" i="1"/>
  <c r="BJ40" i="1"/>
  <c r="BI40" i="1"/>
  <c r="BG40" i="1"/>
  <c r="AP40" i="1"/>
  <c r="BC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BF39" i="1"/>
  <c r="BH39" i="1"/>
  <c r="BL39" i="1"/>
  <c r="BM39" i="1"/>
  <c r="BK39" i="1"/>
  <c r="BJ39" i="1"/>
  <c r="BI39" i="1"/>
  <c r="BG39" i="1"/>
  <c r="AP39" i="1"/>
  <c r="BC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BF38" i="1"/>
  <c r="BH38" i="1"/>
  <c r="BL38" i="1"/>
  <c r="BM38" i="1"/>
  <c r="BK38" i="1"/>
  <c r="BJ38" i="1"/>
  <c r="BI38" i="1"/>
  <c r="BG38" i="1"/>
  <c r="AP38" i="1"/>
  <c r="BC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BF37" i="1"/>
  <c r="BH37" i="1"/>
  <c r="BL37" i="1"/>
  <c r="BM37" i="1"/>
  <c r="BK37" i="1"/>
  <c r="BJ37" i="1"/>
  <c r="BI37" i="1"/>
  <c r="BG37" i="1"/>
  <c r="AP37" i="1"/>
  <c r="BC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BF36" i="1"/>
  <c r="BH36" i="1"/>
  <c r="BL36" i="1"/>
  <c r="BM36" i="1"/>
  <c r="BK36" i="1"/>
  <c r="BJ36" i="1"/>
  <c r="BI36" i="1"/>
  <c r="BG36" i="1"/>
  <c r="AP36" i="1"/>
  <c r="BC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BF35" i="1"/>
  <c r="BH35" i="1"/>
  <c r="BL35" i="1"/>
  <c r="BM35" i="1"/>
  <c r="BK35" i="1"/>
  <c r="BJ35" i="1"/>
  <c r="BI35" i="1"/>
  <c r="BG35" i="1"/>
  <c r="AP35" i="1"/>
  <c r="BC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BF34" i="1"/>
  <c r="BH34" i="1"/>
  <c r="BL34" i="1"/>
  <c r="BM34" i="1"/>
  <c r="BK34" i="1"/>
  <c r="BJ34" i="1"/>
  <c r="BI34" i="1"/>
  <c r="BG34" i="1"/>
  <c r="AP34" i="1"/>
  <c r="BC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BF33" i="1"/>
  <c r="BH33" i="1"/>
  <c r="BL33" i="1"/>
  <c r="BM33" i="1"/>
  <c r="BK33" i="1"/>
  <c r="BJ33" i="1"/>
  <c r="BI33" i="1"/>
  <c r="BG33" i="1"/>
  <c r="AP33" i="1"/>
  <c r="BC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BF32" i="1"/>
  <c r="BH32" i="1"/>
  <c r="BL32" i="1"/>
  <c r="BM32" i="1"/>
  <c r="BK32" i="1"/>
  <c r="BJ32" i="1"/>
  <c r="BI32" i="1"/>
  <c r="BG32" i="1"/>
  <c r="AP32" i="1"/>
  <c r="BC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BF31" i="1"/>
  <c r="BH31" i="1"/>
  <c r="BL31" i="1"/>
  <c r="BM31" i="1"/>
  <c r="BK31" i="1"/>
  <c r="BJ31" i="1"/>
  <c r="BI31" i="1"/>
  <c r="BG31" i="1"/>
  <c r="AP31" i="1"/>
  <c r="BC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<sst xmlns="http://schemas.openxmlformats.org/spreadsheetml/2006/main" count="2742" uniqueCount="990">
  <si>
    <t>File opened</t>
  </si>
  <si>
    <t>2023-01-24 09:19:28</t>
  </si>
  <si>
    <t>Console s/n</t>
  </si>
  <si>
    <t>68C-831540</t>
  </si>
  <si>
    <t>Console ver</t>
  </si>
  <si>
    <t>Bluestem v.2.1.08</t>
  </si>
  <si>
    <t>Scripts ver</t>
  </si>
  <si>
    <t>2022.05  2.1.08, Aug 2022</t>
  </si>
  <si>
    <t>Head s/n</t>
  </si>
  <si>
    <t>68H-891540</t>
  </si>
  <si>
    <t>Head ver</t>
  </si>
  <si>
    <t>1.4.22</t>
  </si>
  <si>
    <t>Head cal</t>
  </si>
  <si>
    <t>{"oxygen": "21", "co2azero": "0.905808", "co2aspan1": "0.998494", "co2aspan2": "-0.0249079", "co2aspan2a": "0.287451", "co2aspan2b": "0.28496", "co2aspanconc1": "2490", "co2aspanconc2": "303.6", "co2bzero": "0.909913", "co2bspan1": "0.99808", "co2bspan2": "-0.0242159", "co2bspan2a": "0.290845", "co2bspan2b": "0.288238", "co2bspanconc1": "2490", "co2bspanconc2": "303.6", "h2oazero": "1.09429", "h2oaspan1": "1.00722", "h2oaspan2": "0", "h2oaspan2a": "0.0713796", "h2oaspan2b": "0.0718949", "h2oaspanconc1": "12.71", "h2oaspanconc2": "0", "h2obzero": "1.10648", "h2obspan1": "0.994645", "h2obspan2": "0", "h2obspan2a": "0.0725303", "h2obspan2b": "0.0721418", "h2obspanconc1": "12.71", "h2obspanconc2": "0", "tazero": "0.00155258", "tbzero": "0.0849667", "flowmeterzero": "1.00324", "flowazero": "0.256", "flowbzero": "0.32457", "chamberpressurezero": "2.59653", "ssa_ref": "35718.6", "ssb_ref": "36468.4"}</t>
  </si>
  <si>
    <t>CO2 rangematch</t>
  </si>
  <si>
    <t>Thu Dec 15 10:48</t>
  </si>
  <si>
    <t>H2O rangematch</t>
  </si>
  <si>
    <t>Thu Dec 15 09:14</t>
  </si>
  <si>
    <t>Chamber type</t>
  </si>
  <si>
    <t>6800-01A</t>
  </si>
  <si>
    <t>Chamber s/n</t>
  </si>
  <si>
    <t>MPF-651415</t>
  </si>
  <si>
    <t>Chamber rev</t>
  </si>
  <si>
    <t>0</t>
  </si>
  <si>
    <t>Chamber cal</t>
  </si>
  <si>
    <t>Fluorometer</t>
  </si>
  <si>
    <t>Flr. Version</t>
  </si>
  <si>
    <t>09:19:28</t>
  </si>
  <si>
    <t>Stability Definition:	A (GasEx): Slp&lt;0.7 Std&lt;0.2 Per=20	gsw (GasEx): Slp&lt;0.05 Std&lt;0.05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</si>
  <si>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</si>
  <si>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</si>
  <si>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</si>
  <si>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</si>
  <si>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</si>
  <si>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</si>
  <si>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</si>
  <si>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</si>
  <si>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</si>
  <si>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</si>
  <si>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</si>
  <si>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</si>
  <si>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</si>
  <si>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</si>
  <si>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</si>
  <si>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</si>
  <si>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</si>
  <si>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</si>
  <si>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</si>
  <si>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</si>
  <si>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</si>
  <si>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</si>
  <si>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</si>
  <si>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</si>
  <si>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</si>
  <si>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</si>
  <si>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</si>
  <si>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</si>
  <si>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</si>
  <si>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</si>
  <si>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</si>
  <si>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</si>
  <si>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</si>
  <si>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</si>
  <si>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</si>
  <si>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</si>
  <si>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</si>
  <si>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</si>
  <si>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</si>
  <si>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</si>
  <si>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</si>
  <si>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</si>
  <si>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</si>
  <si>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</si>
  <si>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</si>
  <si>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</si>
  <si>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</si>
  <si>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</si>
  <si>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</si>
  <si>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</si>
  <si>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</si>
  <si>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</si>
  <si>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6.79906 65.5443 385.452 672.625 937.57 1184.78 1360.38 1596.49</t>
  </si>
  <si>
    <t>Fs_true</t>
  </si>
  <si>
    <t>0.336435 99.8113 401.862 601.297 801.002 1001.64 1200.45 1401.83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</si>
  <si>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</si>
  <si>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</si>
  <si>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</si>
  <si>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</si>
  <si>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</si>
  <si>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</si>
  <si>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</si>
  <si>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</si>
  <si>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</si>
  <si>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</si>
  <si>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</si>
  <si>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</si>
  <si>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</si>
  <si>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</si>
  <si>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</si>
  <si>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</si>
  <si>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</si>
  <si>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</si>
  <si>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</si>
  <si>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</si>
  <si>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</si>
  <si>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</si>
  <si>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</si>
  <si>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</si>
  <si>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</si>
  <si>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</si>
  <si>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</si>
  <si>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</si>
  <si>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</si>
  <si>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</si>
  <si>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</si>
  <si>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</si>
  <si>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</si>
  <si>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</si>
  <si>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</si>
  <si>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</si>
  <si>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</si>
  <si>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</si>
  <si>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</si>
  <si>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</si>
  <si>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</si>
  <si>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</si>
  <si>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</si>
  <si>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</si>
  <si>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</si>
  <si>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</si>
  <si>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</si>
  <si>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</si>
  <si>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</si>
  <si>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</si>
  <si>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</si>
  <si>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</si>
  <si>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</si>
  <si>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</si>
  <si>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</si>
  <si>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</si>
  <si>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</si>
  <si>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</si>
  <si>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</si>
  <si>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</si>
  <si>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</si>
  <si>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</si>
  <si>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</si>
  <si>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</si>
  <si>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</si>
  <si>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</si>
  <si>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</si>
  <si>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</si>
  <si>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</si>
  <si>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</si>
  <si>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</si>
  <si>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</si>
  <si>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</si>
  <si>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</si>
  <si>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</si>
  <si>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</si>
  <si>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</si>
  <si>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</si>
  <si>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</si>
  <si>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</si>
  <si>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</si>
  <si>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</si>
  <si>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</si>
  <si>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</si>
  <si>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</si>
  <si>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</si>
  <si>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</si>
  <si>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</si>
  <si>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</si>
  <si>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</si>
  <si>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</si>
  <si>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</si>
  <si>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</si>
  <si>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</si>
  <si>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</si>
  <si>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</si>
  <si>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</si>
  <si>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</si>
  <si>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</si>
  <si>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</si>
  <si>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</si>
  <si>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</si>
  <si>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</si>
  <si>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</si>
  <si>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</si>
  <si>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</si>
  <si>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</si>
  <si>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</si>
  <si>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</si>
  <si>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</si>
  <si>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</si>
  <si>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</si>
  <si>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</si>
  <si>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</si>
  <si>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</si>
  <si>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</si>
  <si>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</si>
  <si>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</si>
  <si>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</si>
  <si>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</si>
  <si>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</si>
  <si>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</si>
  <si>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</si>
  <si>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</si>
  <si>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</si>
  <si>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</si>
  <si>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</si>
  <si>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</si>
  <si>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</si>
  <si>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</si>
  <si>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</si>
  <si>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</si>
  <si>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</si>
  <si>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</si>
  <si>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</si>
  <si>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</si>
  <si>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</si>
  <si>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</si>
  <si>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</si>
  <si>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</si>
  <si>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</si>
  <si>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</si>
  <si>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</si>
  <si>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</si>
  <si>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</si>
  <si>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</si>
  <si>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</si>
  <si>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</si>
  <si>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</si>
  <si>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</si>
  <si>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</si>
  <si>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</si>
  <si>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</si>
  <si>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</si>
  <si>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</si>
  <si>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</si>
  <si>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</si>
  <si>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</si>
  <si>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</si>
  <si>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</si>
  <si>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</si>
  <si>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</si>
  <si>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</si>
  <si>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</si>
  <si>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</si>
  <si>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</si>
  <si>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</si>
  <si>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</si>
  <si>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</si>
  <si>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</si>
  <si>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</si>
  <si>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</si>
  <si>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</si>
  <si>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</si>
  <si>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</si>
  <si>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</si>
  <si>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</si>
  <si>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</si>
  <si>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</si>
  <si>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</si>
  <si>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</si>
  <si>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</si>
  <si>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</si>
  <si>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</si>
  <si>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</si>
  <si>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</si>
  <si>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</si>
  <si>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</si>
  <si>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</si>
  <si>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</si>
  <si>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</si>
  <si>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</si>
  <si>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</si>
  <si>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</si>
  <si>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</si>
  <si>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</si>
  <si>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</si>
  <si>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</si>
  <si>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</si>
  <si>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</si>
  <si>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</si>
  <si>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</si>
  <si>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</si>
  <si>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</si>
  <si>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</si>
  <si>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</si>
  <si>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</si>
  <si>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</si>
  <si>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</si>
  <si>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</si>
  <si>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</si>
  <si>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</si>
  <si>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</si>
  <si>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</si>
  <si>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</si>
  <si>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</si>
  <si>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</si>
  <si>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</si>
  <si>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</si>
  <si>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</si>
  <si>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</si>
  <si>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</si>
  <si>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</si>
  <si>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</si>
  <si>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</si>
  <si>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</si>
  <si>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</si>
  <si>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</si>
  <si>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</si>
  <si>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</si>
  <si>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</si>
  <si>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</si>
  <si>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</si>
  <si>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</si>
  <si>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</si>
  <si>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</si>
  <si>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</si>
  <si>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</si>
  <si>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</si>
  <si>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</si>
  <si>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</si>
  <si>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</si>
  <si>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</si>
  <si>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</si>
  <si>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</si>
  <si>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</si>
  <si>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</si>
  <si>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</si>
  <si>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</si>
  <si>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</si>
  <si>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</si>
  <si>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</si>
  <si>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</si>
  <si>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</si>
  <si>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</si>
  <si>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</si>
  <si>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</si>
  <si>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</si>
  <si>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</si>
  <si>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</si>
  <si>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</si>
  <si>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</si>
  <si>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</si>
  <si>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</si>
  <si>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</si>
  <si>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</si>
  <si>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</si>
  <si>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</si>
  <si>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</si>
  <si>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</si>
  <si>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</si>
  <si>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</si>
  <si>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</si>
  <si>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</si>
  <si>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</si>
  <si>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</si>
  <si>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</si>
  <si>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</si>
  <si>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</si>
  <si>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</si>
  <si>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</si>
  <si>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</si>
  <si>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</si>
  <si>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</si>
  <si>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</si>
  <si>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</si>
  <si>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</si>
  <si>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</si>
  <si>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</si>
  <si>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</si>
  <si>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</si>
  <si>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</si>
  <si>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</si>
  <si>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</si>
  <si>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</si>
  <si>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</si>
  <si>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</si>
  <si>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</si>
  <si>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</si>
  <si>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</si>
  <si>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</si>
  <si>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</si>
  <si>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</si>
  <si>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</si>
  <si>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</si>
  <si>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</si>
  <si>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</si>
  <si>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</si>
  <si>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</si>
  <si>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</si>
  <si>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</si>
  <si>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</si>
  <si>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</si>
  <si>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</si>
  <si>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</si>
  <si>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</si>
  <si>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</si>
  <si>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</si>
  <si>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</si>
  <si>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</si>
  <si>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</si>
  <si>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</si>
  <si>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</si>
  <si>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</si>
  <si>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</si>
  <si>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</si>
  <si>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20211216 08:56:42</t>
  </si>
  <si>
    <t>08:56:42</t>
  </si>
  <si>
    <t>none</t>
  </si>
  <si>
    <t>1</t>
  </si>
  <si>
    <t>zg5b</t>
  </si>
  <si>
    <t>RECT-4870-20220929-11_57_27</t>
  </si>
  <si>
    <t>MPF-4872-20230124-09_31_37</t>
  </si>
  <si>
    <t>DARK-4873-20230124-09_31_44</t>
  </si>
  <si>
    <t>0: Broadleaf</t>
  </si>
  <si>
    <t>08:56:03</t>
  </si>
  <si>
    <t>2/2</t>
  </si>
  <si>
    <t>00000000</t>
  </si>
  <si>
    <t>iiiiiiii</t>
  </si>
  <si>
    <t>off</t>
  </si>
  <si>
    <t>20211216 08:58:36</t>
  </si>
  <si>
    <t>08:58:36</t>
  </si>
  <si>
    <t>MPF-4874-20230124-09_33_31</t>
  </si>
  <si>
    <t>DARK-4875-20230124-09_33_38</t>
  </si>
  <si>
    <t>08:57:57</t>
  </si>
  <si>
    <t>20211216 09:00:38</t>
  </si>
  <si>
    <t>09:00:38</t>
  </si>
  <si>
    <t>MPF-4876-20230124-09_35_33</t>
  </si>
  <si>
    <t>DARK-4877-20230124-09_35_40</t>
  </si>
  <si>
    <t>08:59:58</t>
  </si>
  <si>
    <t>20211216 09:03:13</t>
  </si>
  <si>
    <t>09:03:13</t>
  </si>
  <si>
    <t>MPF-4878-20230124-09_38_08</t>
  </si>
  <si>
    <t>DARK-4879-20230124-09_38_16</t>
  </si>
  <si>
    <t>09:02:34</t>
  </si>
  <si>
    <t>20211216 09:05:10</t>
  </si>
  <si>
    <t>09:05:10</t>
  </si>
  <si>
    <t>MPF-4880-20230124-09_40_05</t>
  </si>
  <si>
    <t>DARK-4881-20230124-09_40_13</t>
  </si>
  <si>
    <t>09:04:31</t>
  </si>
  <si>
    <t>20211216 09:07:04</t>
  </si>
  <si>
    <t>09:07:04</t>
  </si>
  <si>
    <t>MPF-4882-20230124-09_41_59</t>
  </si>
  <si>
    <t>DARK-4883-20230124-09_42_07</t>
  </si>
  <si>
    <t>09:06:28</t>
  </si>
  <si>
    <t>20211216 09:08:56</t>
  </si>
  <si>
    <t>09:08:56</t>
  </si>
  <si>
    <t>MPF-4884-20230124-09_43_51</t>
  </si>
  <si>
    <t>DARK-4885-20230124-09_43_59</t>
  </si>
  <si>
    <t>09:08:19</t>
  </si>
  <si>
    <t>20211216 09:12:06</t>
  </si>
  <si>
    <t>09:12:06</t>
  </si>
  <si>
    <t>MPF-4886-20230124-09_47_01</t>
  </si>
  <si>
    <t>DARK-4887-20230124-09_47_08</t>
  </si>
  <si>
    <t>09:10:16</t>
  </si>
  <si>
    <t>1/2</t>
  </si>
  <si>
    <t>20211216 09:14:40</t>
  </si>
  <si>
    <t>09:14:40</t>
  </si>
  <si>
    <t>MPF-4888-20230124-09_49_35</t>
  </si>
  <si>
    <t>DARK-4889-20230124-09_49_43</t>
  </si>
  <si>
    <t>09:13:20</t>
  </si>
  <si>
    <t>20211216 09:16:38</t>
  </si>
  <si>
    <t>09:16:38</t>
  </si>
  <si>
    <t>MPF-4890-20230124-09_51_33</t>
  </si>
  <si>
    <t>DARK-4891-20230124-09_51_40</t>
  </si>
  <si>
    <t>09:16:00</t>
  </si>
  <si>
    <t>20211216 09:18:36</t>
  </si>
  <si>
    <t>09:18:36</t>
  </si>
  <si>
    <t>MPF-4892-20230124-09_53_31</t>
  </si>
  <si>
    <t>DARK-4893-20230124-09_53_39</t>
  </si>
  <si>
    <t>09:17:57</t>
  </si>
  <si>
    <t>20211216 09:20:38</t>
  </si>
  <si>
    <t>09:20:38</t>
  </si>
  <si>
    <t>MPF-4894-20230124-09_55_33</t>
  </si>
  <si>
    <t>DARK-4895-20230124-09_55_41</t>
  </si>
  <si>
    <t>09:20:00</t>
  </si>
  <si>
    <t>20211216 09:22:34</t>
  </si>
  <si>
    <t>09:22:34</t>
  </si>
  <si>
    <t>MPF-4896-20230124-09_57_29</t>
  </si>
  <si>
    <t>DARK-4897-20230124-09_57_37</t>
  </si>
  <si>
    <t>09:21:59</t>
  </si>
  <si>
    <t>20211216 09:24:43</t>
  </si>
  <si>
    <t>09:24:43</t>
  </si>
  <si>
    <t>MPF-4898-20230124-09_59_38</t>
  </si>
  <si>
    <t>DARK-4899-20230124-09_59_46</t>
  </si>
  <si>
    <t>09:24:03</t>
  </si>
  <si>
    <t>20211216 09:47:02</t>
  </si>
  <si>
    <t>09:47:02</t>
  </si>
  <si>
    <t>2</t>
  </si>
  <si>
    <t>hn1a</t>
  </si>
  <si>
    <t>MPF-4900-20230124-10_21_57</t>
  </si>
  <si>
    <t>DARK-4901-20230124-10_22_04</t>
  </si>
  <si>
    <t>09:46:24</t>
  </si>
  <si>
    <t>20211216 09:49:03</t>
  </si>
  <si>
    <t>09:49:03</t>
  </si>
  <si>
    <t>MPF-4902-20230124-10_23_58</t>
  </si>
  <si>
    <t>DARK-4903-20230124-10_24_05</t>
  </si>
  <si>
    <t>09:48:24</t>
  </si>
  <si>
    <t>20211216 09:51:02</t>
  </si>
  <si>
    <t>09:51:02</t>
  </si>
  <si>
    <t>MPF-4904-20230124-10_25_57</t>
  </si>
  <si>
    <t>DARK-4905-20230124-10_26_05</t>
  </si>
  <si>
    <t>09:50:24</t>
  </si>
  <si>
    <t>20211216 09:53:35</t>
  </si>
  <si>
    <t>09:53:35</t>
  </si>
  <si>
    <t>MPF-4906-20230124-10_28_30</t>
  </si>
  <si>
    <t>DARK-4907-20230124-10_28_37</t>
  </si>
  <si>
    <t>09:52:54</t>
  </si>
  <si>
    <t>20211216 09:55:45</t>
  </si>
  <si>
    <t>09:55:45</t>
  </si>
  <si>
    <t>MPF-4908-20230124-10_30_40</t>
  </si>
  <si>
    <t>DARK-4909-20230124-10_30_47</t>
  </si>
  <si>
    <t>09:55:06</t>
  </si>
  <si>
    <t>20211216 09:57:43</t>
  </si>
  <si>
    <t>09:57:43</t>
  </si>
  <si>
    <t>MPF-4910-20230124-10_32_38</t>
  </si>
  <si>
    <t>DARK-4911-20230124-10_32_45</t>
  </si>
  <si>
    <t>09:57:04</t>
  </si>
  <si>
    <t>20211216 09:59:39</t>
  </si>
  <si>
    <t>09:59:39</t>
  </si>
  <si>
    <t>MPF-4912-20230124-10_34_34</t>
  </si>
  <si>
    <t>DARK-4913-20230124-10_34_42</t>
  </si>
  <si>
    <t>09:58:59</t>
  </si>
  <si>
    <t>20211216 10:02:49</t>
  </si>
  <si>
    <t>10:02:49</t>
  </si>
  <si>
    <t>MPF-4914-20230124-10_37_44</t>
  </si>
  <si>
    <t>DARK-4915-20230124-10_37_51</t>
  </si>
  <si>
    <t>10:01:01</t>
  </si>
  <si>
    <t>20211216 10:05:41</t>
  </si>
  <si>
    <t>10:05:41</t>
  </si>
  <si>
    <t>MPF-4916-20230124-10_40_36</t>
  </si>
  <si>
    <t>DARK-4917-20230124-10_40_44</t>
  </si>
  <si>
    <t>10:04:05</t>
  </si>
  <si>
    <t>20211216 10:07:46</t>
  </si>
  <si>
    <t>10:07:46</t>
  </si>
  <si>
    <t>MPF-4918-20230124-10_42_42</t>
  </si>
  <si>
    <t>DARK-4919-20230124-10_42_49</t>
  </si>
  <si>
    <t>10:07:08</t>
  </si>
  <si>
    <t>20211216 10:09:50</t>
  </si>
  <si>
    <t>10:09:50</t>
  </si>
  <si>
    <t>MPF-4920-20230124-10_44_45</t>
  </si>
  <si>
    <t>DARK-4921-20230124-10_44_52</t>
  </si>
  <si>
    <t>10:09:11</t>
  </si>
  <si>
    <t>20211216 10:11:45</t>
  </si>
  <si>
    <t>10:11:45</t>
  </si>
  <si>
    <t>MPF-4922-20230124-10_46_40</t>
  </si>
  <si>
    <t>DARK-4923-20230124-10_46_47</t>
  </si>
  <si>
    <t>10:11:05</t>
  </si>
  <si>
    <t>20211216 10:13:43</t>
  </si>
  <si>
    <t>10:13:43</t>
  </si>
  <si>
    <t>MPF-4924-20230124-10_48_38</t>
  </si>
  <si>
    <t>DARK-4925-20230124-10_48_45</t>
  </si>
  <si>
    <t>10:13:04</t>
  </si>
  <si>
    <t>20211216 10:15:48</t>
  </si>
  <si>
    <t>10:15:48</t>
  </si>
  <si>
    <t>MPF-4926-20230124-10_50_43</t>
  </si>
  <si>
    <t>DARK-4927-20230124-10_50_51</t>
  </si>
  <si>
    <t>10:15:08</t>
  </si>
  <si>
    <t>20211216 10:34:59</t>
  </si>
  <si>
    <t>10:34:59</t>
  </si>
  <si>
    <t>3</t>
  </si>
  <si>
    <t>WT</t>
  </si>
  <si>
    <t>MPF-4928-20230124-11_09_54</t>
  </si>
  <si>
    <t>DARK-4929-20230124-11_10_01</t>
  </si>
  <si>
    <t>10:34:22</t>
  </si>
  <si>
    <t>20211216 10:36:57</t>
  </si>
  <si>
    <t>10:36:57</t>
  </si>
  <si>
    <t>MPF-4930-20230124-11_11_53</t>
  </si>
  <si>
    <t>DARK-4931-20230124-11_12_00</t>
  </si>
  <si>
    <t>10:36:19</t>
  </si>
  <si>
    <t>20211216 10:38:53</t>
  </si>
  <si>
    <t>10:38:53</t>
  </si>
  <si>
    <t>MPF-4932-20230124-11_13_48</t>
  </si>
  <si>
    <t>DARK-4933-20230124-11_13_55</t>
  </si>
  <si>
    <t>10:38:13</t>
  </si>
  <si>
    <t>20211216 10:40:49</t>
  </si>
  <si>
    <t>10:40:49</t>
  </si>
  <si>
    <t>MPF-4934-20230124-11_15_45</t>
  </si>
  <si>
    <t>DARK-4935-20230124-11_15_52</t>
  </si>
  <si>
    <t>10:40:11</t>
  </si>
  <si>
    <t>20211216 10:43:06</t>
  </si>
  <si>
    <t>10:43:06</t>
  </si>
  <si>
    <t>MPF-4936-20230124-11_18_01</t>
  </si>
  <si>
    <t>DARK-4937-20230124-11_18_08</t>
  </si>
  <si>
    <t>10:42:26</t>
  </si>
  <si>
    <t>20211216 10:45:17</t>
  </si>
  <si>
    <t>10:45:17</t>
  </si>
  <si>
    <t>MPF-4938-20230124-11_20_13</t>
  </si>
  <si>
    <t>DARK-4939-20230124-11_20_20</t>
  </si>
  <si>
    <t>10:44:39</t>
  </si>
  <si>
    <t>20211216 10:47:14</t>
  </si>
  <si>
    <t>10:47:14</t>
  </si>
  <si>
    <t>MPF-4940-20230124-11_22_10</t>
  </si>
  <si>
    <t>DARK-4941-20230124-11_22_17</t>
  </si>
  <si>
    <t>10:46:35</t>
  </si>
  <si>
    <t>20211216 10:50:24</t>
  </si>
  <si>
    <t>10:50:24</t>
  </si>
  <si>
    <t>MPF-4942-20230124-11_25_19</t>
  </si>
  <si>
    <t>DARK-4943-20230124-11_25_26</t>
  </si>
  <si>
    <t>10:48:44</t>
  </si>
  <si>
    <t>20211216 10:53:33</t>
  </si>
  <si>
    <t>10:53:33</t>
  </si>
  <si>
    <t>MPF-4944-20230124-11_28_29</t>
  </si>
  <si>
    <t>DARK-4945-20230124-11_28_36</t>
  </si>
  <si>
    <t>10:51:40</t>
  </si>
  <si>
    <t>20211216 10:55:30</t>
  </si>
  <si>
    <t>10:55:30</t>
  </si>
  <si>
    <t>MPF-4946-20230124-11_30_26</t>
  </si>
  <si>
    <t>DARK-4947-20230124-11_30_33</t>
  </si>
  <si>
    <t>10:54:50</t>
  </si>
  <si>
    <t>20211216 10:57:26</t>
  </si>
  <si>
    <t>10:57:26</t>
  </si>
  <si>
    <t>MPF-4948-20230124-11_32_21</t>
  </si>
  <si>
    <t>DARK-4949-20230124-11_32_28</t>
  </si>
  <si>
    <t>10:56:46</t>
  </si>
  <si>
    <t>20211216 10:59:27</t>
  </si>
  <si>
    <t>10:59:27</t>
  </si>
  <si>
    <t>MPF-4950-20230124-11_34_23</t>
  </si>
  <si>
    <t>DARK-4951-20230124-11_34_30</t>
  </si>
  <si>
    <t>10:58:47</t>
  </si>
  <si>
    <t>20211216 11:01:30</t>
  </si>
  <si>
    <t>11:01:30</t>
  </si>
  <si>
    <t>MPF-4952-20230124-11_36_26</t>
  </si>
  <si>
    <t>DARK-4953-20230124-11_36_33</t>
  </si>
  <si>
    <t>11:00:53</t>
  </si>
  <si>
    <t>20211216 11:03:30</t>
  </si>
  <si>
    <t>11:03:30</t>
  </si>
  <si>
    <t>MPF-4954-20230124-11_38_25</t>
  </si>
  <si>
    <t>DARK-4955-20230124-11_38_32</t>
  </si>
  <si>
    <t>11:02:50</t>
  </si>
  <si>
    <t>20211216 11:29:36</t>
  </si>
  <si>
    <t>11:29:36</t>
  </si>
  <si>
    <t>zg12a</t>
  </si>
  <si>
    <t>MPF-4956-20230124-12_04_32</t>
  </si>
  <si>
    <t>DARK-4957-20230124-12_04_39</t>
  </si>
  <si>
    <t>11:28:58</t>
  </si>
  <si>
    <t>20211216 11:32:11</t>
  </si>
  <si>
    <t>11:32:11</t>
  </si>
  <si>
    <t>MPF-4958-20230124-12_07_07</t>
  </si>
  <si>
    <t>DARK-4959-20230124-12_07_14</t>
  </si>
  <si>
    <t>11:30:54</t>
  </si>
  <si>
    <t>20211216 11:34:18</t>
  </si>
  <si>
    <t>11:34:18</t>
  </si>
  <si>
    <t>MPF-4960-20230124-12_09_14</t>
  </si>
  <si>
    <t>DARK-4961-20230124-12_09_21</t>
  </si>
  <si>
    <t>11:33:35</t>
  </si>
  <si>
    <t>20211216 11:36:22</t>
  </si>
  <si>
    <t>11:36:22</t>
  </si>
  <si>
    <t>MPF-4962-20230124-12_11_18</t>
  </si>
  <si>
    <t>DARK-4963-20230124-12_11_25</t>
  </si>
  <si>
    <t>11:35:41</t>
  </si>
  <si>
    <t>20211216 11:38:33</t>
  </si>
  <si>
    <t>11:38:33</t>
  </si>
  <si>
    <t>MPF-4964-20230124-12_13_29</t>
  </si>
  <si>
    <t>DARK-4965-20230124-12_13_36</t>
  </si>
  <si>
    <t>11:37:53</t>
  </si>
  <si>
    <t>20211216 11:40:50</t>
  </si>
  <si>
    <t>11:40:50</t>
  </si>
  <si>
    <t>MPF-4966-20230124-12_15_45</t>
  </si>
  <si>
    <t>DARK-4967-20230124-12_15_52</t>
  </si>
  <si>
    <t>11:40:10</t>
  </si>
  <si>
    <t>20211216 11:42:49</t>
  </si>
  <si>
    <t>11:42:49</t>
  </si>
  <si>
    <t>MPF-4968-20230124-12_17_45</t>
  </si>
  <si>
    <t>DARK-4969-20230124-12_17_52</t>
  </si>
  <si>
    <t>11:42:10</t>
  </si>
  <si>
    <t>20211216 11:45:59</t>
  </si>
  <si>
    <t>11:45:59</t>
  </si>
  <si>
    <t>MPF-4970-20230124-12_20_54</t>
  </si>
  <si>
    <t>DARK-4971-20230124-12_21_01</t>
  </si>
  <si>
    <t>11:44:13</t>
  </si>
  <si>
    <t>20211216 11:49:08</t>
  </si>
  <si>
    <t>11:49:08</t>
  </si>
  <si>
    <t>MPF-4972-20230124-12_24_04</t>
  </si>
  <si>
    <t>DARK-4973-20230124-12_24_11</t>
  </si>
  <si>
    <t>11:47:16</t>
  </si>
  <si>
    <t>20211216 11:51:14</t>
  </si>
  <si>
    <t>11:51:14</t>
  </si>
  <si>
    <t>MPF-4974-20230124-12_26_09</t>
  </si>
  <si>
    <t>DARK-4975-20230124-12_26_16</t>
  </si>
  <si>
    <t>11:50:33</t>
  </si>
  <si>
    <t>20211216 11:53:13</t>
  </si>
  <si>
    <t>11:53:13</t>
  </si>
  <si>
    <t>MPF-4976-20230124-12_28_08</t>
  </si>
  <si>
    <t>DARK-4977-20230124-12_28_15</t>
  </si>
  <si>
    <t>11:52:34</t>
  </si>
  <si>
    <t>20211216 11:55:26</t>
  </si>
  <si>
    <t>11:55:26</t>
  </si>
  <si>
    <t>MPF-4978-20230124-12_30_21</t>
  </si>
  <si>
    <t>DARK-4979-20230124-12_30_28</t>
  </si>
  <si>
    <t>11:54:45</t>
  </si>
  <si>
    <t>20211216 11:57:30</t>
  </si>
  <si>
    <t>11:57:30</t>
  </si>
  <si>
    <t>MPF-4980-20230124-12_32_26</t>
  </si>
  <si>
    <t>DARK-4981-20230124-12_32_33</t>
  </si>
  <si>
    <t>11:56:47</t>
  </si>
  <si>
    <t>20211216 11:59:36</t>
  </si>
  <si>
    <t>11:59:36</t>
  </si>
  <si>
    <t>MPF-4982-20230124-12_34_31</t>
  </si>
  <si>
    <t>DARK-4983-20230124-12_34_38</t>
  </si>
  <si>
    <t>11:58:49</t>
  </si>
  <si>
    <t>20211216 12:21:51</t>
  </si>
  <si>
    <t>12:21:51</t>
  </si>
  <si>
    <t>5</t>
  </si>
  <si>
    <t>MPF-4984-20230124-12_56_47</t>
  </si>
  <si>
    <t>DARK-4985-20230124-12_56_54</t>
  </si>
  <si>
    <t>12:21:13</t>
  </si>
  <si>
    <t>20211216 12:23:50</t>
  </si>
  <si>
    <t>12:23:50</t>
  </si>
  <si>
    <t>MPF-4986-20230124-12_58_45</t>
  </si>
  <si>
    <t>DARK-4987-20230124-12_58_53</t>
  </si>
  <si>
    <t>12:23:12</t>
  </si>
  <si>
    <t>20211216 12:25:58</t>
  </si>
  <si>
    <t>12:25:58</t>
  </si>
  <si>
    <t>MPF-4988-20230124-13_00_54</t>
  </si>
  <si>
    <t>DARK-4989-20230124-13_01_01</t>
  </si>
  <si>
    <t>12:25:18</t>
  </si>
  <si>
    <t>20211216 12:27:57</t>
  </si>
  <si>
    <t>12:27:57</t>
  </si>
  <si>
    <t>MPF-4990-20230124-13_02_53</t>
  </si>
  <si>
    <t>DARK-4991-20230124-13_03_00</t>
  </si>
  <si>
    <t>12:27:16</t>
  </si>
  <si>
    <t>20211216 12:29:55</t>
  </si>
  <si>
    <t>12:29:55</t>
  </si>
  <si>
    <t>MPF-4992-20230124-13_04_50</t>
  </si>
  <si>
    <t>DARK-4993-20230124-13_04_58</t>
  </si>
  <si>
    <t>12:29:15</t>
  </si>
  <si>
    <t>20211216 12:31:51</t>
  </si>
  <si>
    <t>12:31:51</t>
  </si>
  <si>
    <t>MPF-4994-20230124-13_06_47</t>
  </si>
  <si>
    <t>DARK-4995-20230124-13_06_54</t>
  </si>
  <si>
    <t>12:31:12</t>
  </si>
  <si>
    <t>20211216 12:33:44</t>
  </si>
  <si>
    <t>12:33:44</t>
  </si>
  <si>
    <t>MPF-4996-20230124-13_08_40</t>
  </si>
  <si>
    <t>DARK-4997-20230124-13_08_47</t>
  </si>
  <si>
    <t>12:33:06</t>
  </si>
  <si>
    <t>20211216 12:36:54</t>
  </si>
  <si>
    <t>12:36:54</t>
  </si>
  <si>
    <t>MPF-4998-20230124-13_11_49</t>
  </si>
  <si>
    <t>DARK-4999-20230124-13_11_57</t>
  </si>
  <si>
    <t>12:35:24</t>
  </si>
  <si>
    <t>0/2</t>
  </si>
  <si>
    <t>20211216 12:39:50</t>
  </si>
  <si>
    <t>12:39:50</t>
  </si>
  <si>
    <t>MPF-5000-20230124-13_14_46</t>
  </si>
  <si>
    <t>DARK-5001-20230124-13_14_53</t>
  </si>
  <si>
    <t>12:37:59</t>
  </si>
  <si>
    <t>20211216 12:41:52</t>
  </si>
  <si>
    <t>12:41:52</t>
  </si>
  <si>
    <t>MPF-5002-20230124-13_16_48</t>
  </si>
  <si>
    <t>DARK-5003-20230124-13_16_55</t>
  </si>
  <si>
    <t>12:41:14</t>
  </si>
  <si>
    <t>20211216 12:43:48</t>
  </si>
  <si>
    <t>12:43:48</t>
  </si>
  <si>
    <t>MPF-5004-20230124-13_18_43</t>
  </si>
  <si>
    <t>DARK-5005-20230124-13_18_51</t>
  </si>
  <si>
    <t>12:43:11</t>
  </si>
  <si>
    <t>20211216 12:45:46</t>
  </si>
  <si>
    <t>12:45:46</t>
  </si>
  <si>
    <t>MPF-5006-20230124-13_20_42</t>
  </si>
  <si>
    <t>DARK-5007-20230124-13_20_49</t>
  </si>
  <si>
    <t>12:45:10</t>
  </si>
  <si>
    <t>20211216 12:47:44</t>
  </si>
  <si>
    <t>12:47:44</t>
  </si>
  <si>
    <t>MPF-5008-20230124-13_22_39</t>
  </si>
  <si>
    <t>DARK-5009-20230124-13_22_47</t>
  </si>
  <si>
    <t>12:47:06</t>
  </si>
  <si>
    <t>20211216 12:49:43</t>
  </si>
  <si>
    <t>12:49:43</t>
  </si>
  <si>
    <t>MPF-5010-20230124-13_24_38</t>
  </si>
  <si>
    <t>DARK-5011-20230124-13_24_46</t>
  </si>
  <si>
    <t>12:49:01</t>
  </si>
  <si>
    <t>20211216 13:34:53</t>
  </si>
  <si>
    <t>13:34:53</t>
  </si>
  <si>
    <t>6</t>
  </si>
  <si>
    <t>MPF-5012-20230124-14_09_48</t>
  </si>
  <si>
    <t>DARK-5013-20230124-14_09_56</t>
  </si>
  <si>
    <t>13:34:15</t>
  </si>
  <si>
    <t>20211216 13:36:53</t>
  </si>
  <si>
    <t>13:36:53</t>
  </si>
  <si>
    <t>MPF-5014-20230124-14_11_49</t>
  </si>
  <si>
    <t>DARK-5015-20230124-14_11_56</t>
  </si>
  <si>
    <t>13:36:14</t>
  </si>
  <si>
    <t>20211216 13:38:52</t>
  </si>
  <si>
    <t>13:38:52</t>
  </si>
  <si>
    <t>MPF-5016-20230124-14_13_48</t>
  </si>
  <si>
    <t>DARK-5017-20230124-14_13_55</t>
  </si>
  <si>
    <t>13:38:12</t>
  </si>
  <si>
    <t>20211216 13:40:49</t>
  </si>
  <si>
    <t>13:40:49</t>
  </si>
  <si>
    <t>MPF-5018-20230124-14_15_45</t>
  </si>
  <si>
    <t>DARK-5019-20230124-14_15_52</t>
  </si>
  <si>
    <t>13:40:10</t>
  </si>
  <si>
    <t>20211216 13:42:48</t>
  </si>
  <si>
    <t>13:42:48</t>
  </si>
  <si>
    <t>MPF-5020-20230124-14_17_43</t>
  </si>
  <si>
    <t>DARK-5021-20230124-14_17_51</t>
  </si>
  <si>
    <t>13:42:09</t>
  </si>
  <si>
    <t>20211216 13:44:55</t>
  </si>
  <si>
    <t>13:44:55</t>
  </si>
  <si>
    <t>MPF-5022-20230124-14_19_50</t>
  </si>
  <si>
    <t>DARK-5023-20230124-14_19_58</t>
  </si>
  <si>
    <t>13:44:15</t>
  </si>
  <si>
    <t>20211216 13:46:59</t>
  </si>
  <si>
    <t>13:46:59</t>
  </si>
  <si>
    <t>MPF-5024-20230124-14_21_55</t>
  </si>
  <si>
    <t>DARK-5025-20230124-14_22_02</t>
  </si>
  <si>
    <t>13:46:21</t>
  </si>
  <si>
    <t>20211216 13:50:09</t>
  </si>
  <si>
    <t>13:50:09</t>
  </si>
  <si>
    <t>MPF-5026-20230124-14_25_04</t>
  </si>
  <si>
    <t>DARK-5027-20230124-14_25_12</t>
  </si>
  <si>
    <t>13:48:26</t>
  </si>
  <si>
    <t>20211216 13:53:18</t>
  </si>
  <si>
    <t>13:53:18</t>
  </si>
  <si>
    <t>MPF-5028-20230124-14_28_14</t>
  </si>
  <si>
    <t>DARK-5029-20230124-14_28_21</t>
  </si>
  <si>
    <t>13:51:20</t>
  </si>
  <si>
    <t>20211216 13:55:13</t>
  </si>
  <si>
    <t>13:55:13</t>
  </si>
  <si>
    <t>MPF-5030-20230124-14_30_09</t>
  </si>
  <si>
    <t>DARK-5031-20230124-14_30_16</t>
  </si>
  <si>
    <t>13:54:37</t>
  </si>
  <si>
    <t>20211216 13:57:12</t>
  </si>
  <si>
    <t>13:57:12</t>
  </si>
  <si>
    <t>MPF-5032-20230124-14_32_08</t>
  </si>
  <si>
    <t>DARK-5033-20230124-14_32_15</t>
  </si>
  <si>
    <t>13:56:33</t>
  </si>
  <si>
    <t>20211216 13:59:11</t>
  </si>
  <si>
    <t>13:59:11</t>
  </si>
  <si>
    <t>MPF-5034-20230124-14_34_06</t>
  </si>
  <si>
    <t>DARK-5035-20230124-14_34_14</t>
  </si>
  <si>
    <t>13:58:32</t>
  </si>
  <si>
    <t>20211216 14:01:13</t>
  </si>
  <si>
    <t>14:01:13</t>
  </si>
  <si>
    <t>MPF-5036-20230124-14_36_08</t>
  </si>
  <si>
    <t>DARK-5037-20230124-14_36_16</t>
  </si>
  <si>
    <t>14:00:34</t>
  </si>
  <si>
    <t>20211216 14:03:13</t>
  </si>
  <si>
    <t>14:03:13</t>
  </si>
  <si>
    <t>MPF-5038-20230124-14_38_08</t>
  </si>
  <si>
    <t>DARK-5039-20230124-14_38_16</t>
  </si>
  <si>
    <t>14:02:36</t>
  </si>
  <si>
    <t>20211216 14:53:24</t>
  </si>
  <si>
    <t>14:53:24</t>
  </si>
  <si>
    <t>7</t>
  </si>
  <si>
    <t>MPF-5040-20230124-15_28_20</t>
  </si>
  <si>
    <t>DARK-5041-20230124-15_28_27</t>
  </si>
  <si>
    <t>14:52:47</t>
  </si>
  <si>
    <t>20211216 14:55:15</t>
  </si>
  <si>
    <t>14:55:15</t>
  </si>
  <si>
    <t>MPF-5042-20230124-15_30_11</t>
  </si>
  <si>
    <t>DARK-5043-20230124-15_30_18</t>
  </si>
  <si>
    <t>14:54:38</t>
  </si>
  <si>
    <t>20211216 14:57:32</t>
  </si>
  <si>
    <t>14:57:32</t>
  </si>
  <si>
    <t>MPF-5044-20230124-15_32_28</t>
  </si>
  <si>
    <t>DARK-5045-20230124-15_32_35</t>
  </si>
  <si>
    <t>14:56:53</t>
  </si>
  <si>
    <t>20211216 14:59:35</t>
  </si>
  <si>
    <t>14:59:35</t>
  </si>
  <si>
    <t>MPF-5046-20230124-15_34_31</t>
  </si>
  <si>
    <t>DARK-5047-20230124-15_34_38</t>
  </si>
  <si>
    <t>14:58:54</t>
  </si>
  <si>
    <t>20211216 15:01:36</t>
  </si>
  <si>
    <t>15:01:36</t>
  </si>
  <si>
    <t>MPF-5048-20230124-15_36_32</t>
  </si>
  <si>
    <t>DARK-5049-20230124-15_36_39</t>
  </si>
  <si>
    <t>15:00:57</t>
  </si>
  <si>
    <t>20211216 15:03:36</t>
  </si>
  <si>
    <t>15:03:36</t>
  </si>
  <si>
    <t>MPF-5050-20230124-15_38_32</t>
  </si>
  <si>
    <t>DARK-5051-20230124-15_38_39</t>
  </si>
  <si>
    <t>15:02:57</t>
  </si>
  <si>
    <t>20211216 15:05:32</t>
  </si>
  <si>
    <t>15:05:32</t>
  </si>
  <si>
    <t>MPF-5052-20230124-15_40_28</t>
  </si>
  <si>
    <t>DARK-5053-20230124-15_40_35</t>
  </si>
  <si>
    <t>15:04:53</t>
  </si>
  <si>
    <t>20211216 15:08:41</t>
  </si>
  <si>
    <t>15:08:41</t>
  </si>
  <si>
    <t>MPF-5054-20230124-15_43_37</t>
  </si>
  <si>
    <t>DARK-5055-20230124-15_43_44</t>
  </si>
  <si>
    <t>15:06:52</t>
  </si>
  <si>
    <t>20211216 15:11:51</t>
  </si>
  <si>
    <t>15:11:51</t>
  </si>
  <si>
    <t>MPF-5056-20230124-15_46_47</t>
  </si>
  <si>
    <t>DARK-5057-20230124-15_46_54</t>
  </si>
  <si>
    <t>15:10:01</t>
  </si>
  <si>
    <t>20211216 15:13:46</t>
  </si>
  <si>
    <t>15:13:46</t>
  </si>
  <si>
    <t>MPF-5058-20230124-15_48_42</t>
  </si>
  <si>
    <t>DARK-5059-20230124-15_48_49</t>
  </si>
  <si>
    <t>15:13:09</t>
  </si>
  <si>
    <t>20211216 15:15:56</t>
  </si>
  <si>
    <t>15:15:56</t>
  </si>
  <si>
    <t>MPF-5060-20230124-15_50_52</t>
  </si>
  <si>
    <t>DARK-5061-20230124-15_50_59</t>
  </si>
  <si>
    <t>15:15:15</t>
  </si>
  <si>
    <t>20211216 15:18:02</t>
  </si>
  <si>
    <t>15:18:02</t>
  </si>
  <si>
    <t>MPF-5062-20230124-15_52_58</t>
  </si>
  <si>
    <t>DARK-5063-20230124-15_53_05</t>
  </si>
  <si>
    <t>15:17:20</t>
  </si>
  <si>
    <t>20211216 15:19:56</t>
  </si>
  <si>
    <t>15:19:56</t>
  </si>
  <si>
    <t>MPF-5064-20230124-15_54_52</t>
  </si>
  <si>
    <t>DARK-5065-20230124-15_54_59</t>
  </si>
  <si>
    <t>15:19:16</t>
  </si>
  <si>
    <t>20211216 15:21:56</t>
  </si>
  <si>
    <t>15:21:56</t>
  </si>
  <si>
    <t>MPF-5066-20230124-15_56_52</t>
  </si>
  <si>
    <t>DARK-5067-20230124-15_56_59</t>
  </si>
  <si>
    <t>15:21:15</t>
  </si>
  <si>
    <t>20211216 15:47:44</t>
  </si>
  <si>
    <t>15:47:44</t>
  </si>
  <si>
    <t>8</t>
  </si>
  <si>
    <t>MPF-5068-20230124-16_22_40</t>
  </si>
  <si>
    <t>DARK-5069-20230124-16_22_47</t>
  </si>
  <si>
    <t>15:47:06</t>
  </si>
  <si>
    <t>20211216 15:49:38</t>
  </si>
  <si>
    <t>15:49:38</t>
  </si>
  <si>
    <t>MPF-5070-20230124-16_24_34</t>
  </si>
  <si>
    <t>DARK-5071-20230124-16_24_41</t>
  </si>
  <si>
    <t>15:49:02</t>
  </si>
  <si>
    <t>20211216 15:51:59</t>
  </si>
  <si>
    <t>15:51:59</t>
  </si>
  <si>
    <t>MPF-5072-20230124-16_26_55</t>
  </si>
  <si>
    <t>DARK-5073-20230124-16_27_02</t>
  </si>
  <si>
    <t>15:51:01</t>
  </si>
  <si>
    <t>20211216 15:53:56</t>
  </si>
  <si>
    <t>15:53:56</t>
  </si>
  <si>
    <t>MPF-5074-20230124-16_28_52</t>
  </si>
  <si>
    <t>DARK-5075-20230124-16_28_59</t>
  </si>
  <si>
    <t>15:53:16</t>
  </si>
  <si>
    <t>20211216 15:55:58</t>
  </si>
  <si>
    <t>15:55:58</t>
  </si>
  <si>
    <t>MPF-5076-20230124-16_30_54</t>
  </si>
  <si>
    <t>DARK-5077-20230124-16_31_01</t>
  </si>
  <si>
    <t>15:55:19</t>
  </si>
  <si>
    <t>20211216 15:58:04</t>
  </si>
  <si>
    <t>15:58:04</t>
  </si>
  <si>
    <t>MPF-5078-20230124-16_33_00</t>
  </si>
  <si>
    <t>DARK-5079-20230124-16_33_07</t>
  </si>
  <si>
    <t>15:57:25</t>
  </si>
  <si>
    <t>20211216 16:00:10</t>
  </si>
  <si>
    <t>16:00:10</t>
  </si>
  <si>
    <t>MPF-5080-20230124-16_35_06</t>
  </si>
  <si>
    <t>DARK-5081-20230124-16_35_13</t>
  </si>
  <si>
    <t>15:59:31</t>
  </si>
  <si>
    <t>20211216 16:03:19</t>
  </si>
  <si>
    <t>16:03:19</t>
  </si>
  <si>
    <t>MPF-5082-20230124-16_38_15</t>
  </si>
  <si>
    <t>DARK-5083-20230124-16_38_22</t>
  </si>
  <si>
    <t>16:01:32</t>
  </si>
  <si>
    <t>20211216 16:06:22</t>
  </si>
  <si>
    <t>16:06:22</t>
  </si>
  <si>
    <t>MPF-5084-20230124-16_41_18</t>
  </si>
  <si>
    <t>DARK-5085-20230124-16_41_25</t>
  </si>
  <si>
    <t>16:04:43</t>
  </si>
  <si>
    <t>20211216 16:08:25</t>
  </si>
  <si>
    <t>16:08:25</t>
  </si>
  <si>
    <t>MPF-5086-20230124-16_43_21</t>
  </si>
  <si>
    <t>DARK-5087-20230124-16_43_28</t>
  </si>
  <si>
    <t>16:07:47</t>
  </si>
  <si>
    <t>20211216 16:10:29</t>
  </si>
  <si>
    <t>16:10:29</t>
  </si>
  <si>
    <t>MPF-5088-20230124-16_45_25</t>
  </si>
  <si>
    <t>DARK-5089-20230124-16_45_32</t>
  </si>
  <si>
    <t>16:09:47</t>
  </si>
  <si>
    <t>20211216 16:12:47</t>
  </si>
  <si>
    <t>16:12:47</t>
  </si>
  <si>
    <t>MPF-5090-20230124-16_47_43</t>
  </si>
  <si>
    <t>DARK-5091-20230124-16_47_50</t>
  </si>
  <si>
    <t>16:12:00</t>
  </si>
  <si>
    <t>20211216 16:15:15</t>
  </si>
  <si>
    <t>16:15:15</t>
  </si>
  <si>
    <t>MPF-5092-20230124-16_50_11</t>
  </si>
  <si>
    <t>DARK-5093-20230124-16_50_18</t>
  </si>
  <si>
    <t>16:14:34</t>
  </si>
  <si>
    <t>20211216 16:17:29</t>
  </si>
  <si>
    <t>16:17:29</t>
  </si>
  <si>
    <t>MPF-5094-20230124-16_52_25</t>
  </si>
  <si>
    <t>DARK-5095-20230124-16_52_33</t>
  </si>
  <si>
    <t>16:16:49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</si>
</sst>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28"/>
  <sheetViews>
    <sheetView tabSelected="1" topLeftCell="A9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1639666602.0999999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1639666602.0999999</v>
      </c>
      <c r="J17">
        <f t="shared" ref="J17:J48" si="0">(K17)/1000</f>
        <v>5.3178676360720861E-3</v>
      </c>
      <c r="K17">
        <f t="shared" ref="K17:K48" si="1">1000*DK17*AI17*(DG17-DH17)/(100*CZ17*(1000-AI17*DG17))</f>
        <v>5.3178676360720862</v>
      </c>
      <c r="L17">
        <f t="shared" ref="L17:L48" si="2">DK17*AI17*(DF17-DE17*(1000-AI17*DH17)/(1000-AI17*DG17))/(100*CZ17)</f>
        <v>46.648904454197158</v>
      </c>
      <c r="M17">
        <f t="shared" ref="M17:M48" si="3">DE17 - IF(AI17&gt;1, L17*CZ17*100/(AK17*DS17), 0)</f>
        <v>341.86200000000002</v>
      </c>
      <c r="N17">
        <f t="shared" ref="N17:N48" si="4">((T17-J17/2)*M17-L17)/(T17+J17/2)</f>
        <v>156.14984710988642</v>
      </c>
      <c r="O17">
        <f t="shared" ref="O17:O48" si="5">N17*(DL17+DM17)/1000</f>
        <v>15.574364982810406</v>
      </c>
      <c r="P17">
        <f t="shared" ref="P17:P48" si="6">(DE17 - IF(AI17&gt;1, L17*CZ17*100/(AK17*DS17), 0))*(DL17+DM17)/1000</f>
        <v>34.097270412354</v>
      </c>
      <c r="Q17">
        <f t="shared" ref="Q17:Q48" si="7">2/((1/S17-1/R17)+SIGN(S17)*SQRT((1/S17-1/R17)*(1/S17-1/R17) + 4*DA17/((DA17+1)*(DA17+1))*(2*1/S17*1/R17-1/R17*1/R17)))</f>
        <v>0.44303051462937915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2.9148816263838202</v>
      </c>
      <c r="S17">
        <f t="shared" ref="S17:S48" si="9">J17*(1000-(1000*0.61365*EXP(17.502*W17/(240.97+W17))/(DL17+DM17)+DG17)/2)/(1000*0.61365*EXP(17.502*W17/(240.97+W17))/(DL17+DM17)-DG17)</f>
        <v>0.40873587961408248</v>
      </c>
      <c r="T17">
        <f t="shared" ref="T17:T48" si="10">1/((DA17+1)/(Q17/1.6)+1/(R17/1.37)) + DA17/((DA17+1)/(Q17/1.6) + DA17/(R17/1.37))</f>
        <v>0.25831957817346529</v>
      </c>
      <c r="U17">
        <f t="shared" ref="U17:U48" si="11">(CV17*CY17)</f>
        <v>289.54630184751898</v>
      </c>
      <c r="V17">
        <f t="shared" ref="V17:V48" si="12">(DN17+(U17+2*0.95*0.0000000567*(((DN17+$B$7)+273)^4-(DN17+273)^4)-44100*J17)/(1.84*29.3*R17+8*0.95*0.0000000567*(DN17+273)^3))</f>
        <v>28.322207626997084</v>
      </c>
      <c r="W17">
        <f t="shared" ref="W17:W48" si="13">($C$7*DO17+$D$7*DP17+$E$7*V17)</f>
        <v>27.750900000000001</v>
      </c>
      <c r="X17">
        <f t="shared" ref="X17:X48" si="14">0.61365*EXP(17.502*W17/(240.97+W17))</f>
        <v>3.7400801021469485</v>
      </c>
      <c r="Y17">
        <f t="shared" ref="Y17:Y48" si="15">(Z17/AA17*100)</f>
        <v>65.441907371100072</v>
      </c>
      <c r="Z17">
        <f t="shared" ref="Z17:Z48" si="16">DG17*(DL17+DM17)/1000</f>
        <v>2.4828943271378998</v>
      </c>
      <c r="AA17">
        <f t="shared" ref="AA17:AA48" si="17">0.61365*EXP(17.502*DN17/(240.97+DN17))</f>
        <v>3.7940433384042467</v>
      </c>
      <c r="AB17">
        <f t="shared" ref="AB17:AB48" si="18">(X17-DG17*(DL17+DM17)/1000)</f>
        <v>1.2571857750090487</v>
      </c>
      <c r="AC17">
        <f t="shared" ref="AC17:AC48" si="19">(-J17*44100)</f>
        <v>-234.51796275077899</v>
      </c>
      <c r="AD17">
        <f t="shared" ref="AD17:AD48" si="20">2*29.3*R17*0.92*(DN17-W17)</f>
        <v>38.579612618313881</v>
      </c>
      <c r="AE17">
        <f t="shared" ref="AE17:AE48" si="21">2*0.95*0.0000000567*(((DN17+$B$7)+273)^4-(W17+273)^4)</f>
        <v>2.8813809717963732</v>
      </c>
      <c r="AF17">
        <f t="shared" ref="AF17:AF48" si="22">U17+AE17+AC17+AD17</f>
        <v>96.489332686850247</v>
      </c>
      <c r="AG17">
        <v>0</v>
      </c>
      <c r="AH17">
        <v>0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52272.735241087023</v>
      </c>
      <c r="AL17" t="s">
        <v>415</v>
      </c>
      <c r="AM17">
        <v>10204.299999999999</v>
      </c>
      <c r="AN17">
        <v>862.72538461538477</v>
      </c>
      <c r="AO17">
        <v>3252.56</v>
      </c>
      <c r="AP17">
        <f t="shared" ref="AP17:AP48" si="26">1-AN17/AO17</f>
        <v>0.73475496697512588</v>
      </c>
      <c r="AQ17">
        <v>-6.6684750346205304</v>
      </c>
      <c r="AR17" t="s">
        <v>416</v>
      </c>
      <c r="AS17">
        <v>10015.9</v>
      </c>
      <c r="AT17">
        <v>783.8006153846153</v>
      </c>
      <c r="AU17">
        <v>1132.1889665541471</v>
      </c>
      <c r="AV17">
        <f t="shared" ref="AV17:AV48" si="27">1-AT17/AU17</f>
        <v>0.30771219421954155</v>
      </c>
      <c r="AW17">
        <v>0.5</v>
      </c>
      <c r="AX17">
        <f t="shared" ref="AX17:AX48" si="28">CW17</f>
        <v>1513.0757999209943</v>
      </c>
      <c r="AY17">
        <f t="shared" ref="AY17:AY48" si="29">L17</f>
        <v>46.648904454197158</v>
      </c>
      <c r="AZ17">
        <f t="shared" ref="AZ17:AZ48" si="30">AV17*AW17*AX17</f>
        <v>232.7959372070886</v>
      </c>
      <c r="BA17">
        <f t="shared" ref="BA17:BA48" si="31">(AY17-AQ17)/AX17</f>
        <v>3.5237745188708765E-2</v>
      </c>
      <c r="BB17">
        <f t="shared" ref="BB17:BB48" si="32">(AO17-AU17)/AU17</f>
        <v>1.8728066569128201</v>
      </c>
      <c r="BC17">
        <f t="shared" ref="BC17:BC48" si="33">AN17/(AP17+AN17/AU17)</f>
        <v>576.39809543564047</v>
      </c>
      <c r="BD17" t="s">
        <v>417</v>
      </c>
      <c r="BE17">
        <v>586.24</v>
      </c>
      <c r="BF17">
        <f t="shared" ref="BF17:BF48" si="34">IF(BE17&lt;&gt;0, BE17, BC17)</f>
        <v>586.24</v>
      </c>
      <c r="BG17">
        <f t="shared" ref="BG17:BG48" si="35">1-BF17/AU17</f>
        <v>0.48220657741945683</v>
      </c>
      <c r="BH17">
        <f t="shared" ref="BH17:BH48" si="36">(AU17-AT17)/(AU17-BF17)</f>
        <v>0.63813354821137613</v>
      </c>
      <c r="BI17">
        <f t="shared" ref="BI17:BI48" si="37">(AO17-AU17)/(AO17-BF17)</f>
        <v>0.79524251906967391</v>
      </c>
      <c r="BJ17">
        <f t="shared" ref="BJ17:BJ48" si="38">(AU17-AT17)/(AU17-AN17)</f>
        <v>1.2928958661608889</v>
      </c>
      <c r="BK17">
        <f t="shared" ref="BK17:BK48" si="39">(AO17-AU17)/(AO17-AN17)</f>
        <v>0.88724592898433885</v>
      </c>
      <c r="BL17">
        <f t="shared" ref="BL17:BL48" si="40">(BH17*BF17/AT17)</f>
        <v>0.47728899921807855</v>
      </c>
      <c r="BM17">
        <f t="shared" ref="BM17:BM48" si="41">(1-BL17)</f>
        <v>0.52271100078192145</v>
      </c>
      <c r="BN17">
        <v>4872</v>
      </c>
      <c r="BO17">
        <v>290.00000000000011</v>
      </c>
      <c r="BP17">
        <v>1047.55</v>
      </c>
      <c r="BQ17">
        <v>275</v>
      </c>
      <c r="BR17">
        <v>10015.9</v>
      </c>
      <c r="BS17">
        <v>1046.95</v>
      </c>
      <c r="BT17">
        <v>0.6</v>
      </c>
      <c r="BU17">
        <v>300.00000000000011</v>
      </c>
      <c r="BV17">
        <v>24.1</v>
      </c>
      <c r="BW17">
        <v>1132.1889665541471</v>
      </c>
      <c r="BX17">
        <v>1.778508818309595</v>
      </c>
      <c r="BY17">
        <v>-85.372739791526371</v>
      </c>
      <c r="BZ17">
        <v>1.5873461318699811</v>
      </c>
      <c r="CA17">
        <v>0.99041307708836768</v>
      </c>
      <c r="CB17">
        <v>-6.8270111234705203E-3</v>
      </c>
      <c r="CC17">
        <v>289.99999999999989</v>
      </c>
      <c r="CD17">
        <v>1047.96</v>
      </c>
      <c r="CE17">
        <v>705</v>
      </c>
      <c r="CF17">
        <v>10003.200000000001</v>
      </c>
      <c r="CG17">
        <v>1046.8399999999999</v>
      </c>
      <c r="CH17">
        <v>1.1200000000000001</v>
      </c>
      <c r="CV17">
        <f t="shared" ref="CV17:CV48" si="42">$B$11*DT17+$C$11*DU17+$F$11*EF17*(1-EI17)</f>
        <v>1799.87</v>
      </c>
      <c r="CW17">
        <f t="shared" ref="CW17:CW48" si="43">CV17*CX17</f>
        <v>1513.0757999209943</v>
      </c>
      <c r="CX17">
        <f t="shared" ref="CX17:CX48" si="44">($B$11*$D$9+$C$11*$D$9+$F$11*((ES17+EK17)/MAX(ES17+EK17+ET17, 0.1)*$I$9+ET17/MAX(ES17+EK17+ET17, 0.1)*$J$9))/($B$11+$C$11+$F$11)</f>
        <v>0.84065838083916855</v>
      </c>
      <c r="CY17">
        <f t="shared" ref="CY17:CY48" si="45">($B$11*$K$9+$C$11*$K$9+$F$11*((ES17+EK17)/MAX(ES17+EK17+ET17, 0.1)*$P$9+ET17/MAX(ES17+EK17+ET17, 0.1)*$Q$9))/($B$11+$C$11+$F$11)</f>
        <v>0.16087067501959529</v>
      </c>
      <c r="CZ17">
        <v>6</v>
      </c>
      <c r="DA17">
        <v>0.5</v>
      </c>
      <c r="DB17" t="s">
        <v>418</v>
      </c>
      <c r="DC17">
        <v>2</v>
      </c>
      <c r="DD17">
        <v>1639666602.0999999</v>
      </c>
      <c r="DE17">
        <v>341.86200000000002</v>
      </c>
      <c r="DF17">
        <v>400.01400000000001</v>
      </c>
      <c r="DG17">
        <v>24.893699999999999</v>
      </c>
      <c r="DH17">
        <v>18.672000000000001</v>
      </c>
      <c r="DI17">
        <v>344.24599999999998</v>
      </c>
      <c r="DJ17">
        <v>24.8994</v>
      </c>
      <c r="DK17">
        <v>500.07100000000003</v>
      </c>
      <c r="DL17">
        <v>99.639499999999998</v>
      </c>
      <c r="DM17">
        <v>0.100367</v>
      </c>
      <c r="DN17">
        <v>27.996400000000001</v>
      </c>
      <c r="DO17">
        <v>27.750900000000001</v>
      </c>
      <c r="DP17">
        <v>999.9</v>
      </c>
      <c r="DQ17">
        <v>0</v>
      </c>
      <c r="DR17">
        <v>0</v>
      </c>
      <c r="DS17">
        <v>9952.5</v>
      </c>
      <c r="DT17">
        <v>0</v>
      </c>
      <c r="DU17">
        <v>305.779</v>
      </c>
      <c r="DV17">
        <v>-58.152799999999999</v>
      </c>
      <c r="DW17">
        <v>350.589</v>
      </c>
      <c r="DX17">
        <v>407.62599999999998</v>
      </c>
      <c r="DY17">
        <v>6.2217399999999996</v>
      </c>
      <c r="DZ17">
        <v>400.01400000000001</v>
      </c>
      <c r="EA17">
        <v>18.672000000000001</v>
      </c>
      <c r="EB17">
        <v>2.4803999999999999</v>
      </c>
      <c r="EC17">
        <v>1.8604700000000001</v>
      </c>
      <c r="ED17">
        <v>20.898399999999999</v>
      </c>
      <c r="EE17">
        <v>16.304300000000001</v>
      </c>
      <c r="EF17">
        <v>1799.87</v>
      </c>
      <c r="EG17">
        <v>0.97799499999999995</v>
      </c>
      <c r="EH17">
        <v>2.2004900000000001E-2</v>
      </c>
      <c r="EI17">
        <v>0</v>
      </c>
      <c r="EJ17">
        <v>784.00199999999995</v>
      </c>
      <c r="EK17">
        <v>5.0001199999999999</v>
      </c>
      <c r="EL17">
        <v>14141.8</v>
      </c>
      <c r="EM17">
        <v>15628.8</v>
      </c>
      <c r="EN17">
        <v>49.75</v>
      </c>
      <c r="EO17">
        <v>49.936999999999998</v>
      </c>
      <c r="EP17">
        <v>50.375</v>
      </c>
      <c r="EQ17">
        <v>49.936999999999998</v>
      </c>
      <c r="ER17">
        <v>51.125</v>
      </c>
      <c r="ES17">
        <v>1755.37</v>
      </c>
      <c r="ET17">
        <v>39.5</v>
      </c>
      <c r="EU17">
        <v>0</v>
      </c>
      <c r="EV17">
        <v>1638981113.7</v>
      </c>
      <c r="EW17">
        <v>0</v>
      </c>
      <c r="EX17">
        <v>783.8006153846153</v>
      </c>
      <c r="EY17">
        <v>0.8490256433013138</v>
      </c>
      <c r="EZ17">
        <v>12.970940166318909</v>
      </c>
      <c r="FA17">
        <v>14141.59230769231</v>
      </c>
      <c r="FB17">
        <v>15</v>
      </c>
      <c r="FC17">
        <v>1639666563.5999999</v>
      </c>
      <c r="FD17" t="s">
        <v>419</v>
      </c>
      <c r="FE17">
        <v>1639666561.5999999</v>
      </c>
      <c r="FF17">
        <v>1639666563.5999999</v>
      </c>
      <c r="FG17">
        <v>2</v>
      </c>
      <c r="FH17">
        <v>0.432</v>
      </c>
      <c r="FI17">
        <v>-2.3E-2</v>
      </c>
      <c r="FJ17">
        <v>-2.4740000000000002</v>
      </c>
      <c r="FK17">
        <v>-0.10199999999999999</v>
      </c>
      <c r="FL17">
        <v>400</v>
      </c>
      <c r="FM17">
        <v>19</v>
      </c>
      <c r="FN17">
        <v>0.02</v>
      </c>
      <c r="FO17">
        <v>0.02</v>
      </c>
      <c r="FP17">
        <v>46.631587775348343</v>
      </c>
      <c r="FQ17">
        <v>-9.9357847477459349E-2</v>
      </c>
      <c r="FR17">
        <v>2.6494122717883099E-2</v>
      </c>
      <c r="FS17">
        <v>1</v>
      </c>
      <c r="FT17">
        <v>0.44121897912077812</v>
      </c>
      <c r="FU17">
        <v>3.1487910346710168E-2</v>
      </c>
      <c r="FV17">
        <v>4.5416325789075507E-3</v>
      </c>
      <c r="FW17">
        <v>1</v>
      </c>
      <c r="FX17">
        <v>2</v>
      </c>
      <c r="FY17">
        <v>2</v>
      </c>
      <c r="FZ17" t="s">
        <v>420</v>
      </c>
      <c r="GA17">
        <v>2.9214099999999998</v>
      </c>
      <c r="GB17">
        <v>2.7449300000000001</v>
      </c>
      <c r="GC17">
        <v>8.1769300000000003E-2</v>
      </c>
      <c r="GD17">
        <v>9.3457100000000001E-2</v>
      </c>
      <c r="GE17">
        <v>0.120086</v>
      </c>
      <c r="GF17">
        <v>9.9402699999999997E-2</v>
      </c>
      <c r="GG17">
        <v>28568.5</v>
      </c>
      <c r="GH17">
        <v>27903.7</v>
      </c>
      <c r="GI17">
        <v>28323.7</v>
      </c>
      <c r="GJ17">
        <v>28145.8</v>
      </c>
      <c r="GK17">
        <v>34198.400000000001</v>
      </c>
      <c r="GL17">
        <v>35580.1</v>
      </c>
      <c r="GM17">
        <v>42615.8</v>
      </c>
      <c r="GN17">
        <v>43770.3</v>
      </c>
      <c r="GO17">
        <v>1.798</v>
      </c>
      <c r="GP17">
        <v>2.0166200000000001</v>
      </c>
      <c r="GQ17">
        <v>3.9935100000000001E-2</v>
      </c>
      <c r="GR17">
        <v>0</v>
      </c>
      <c r="GS17">
        <v>27.098199999999999</v>
      </c>
      <c r="GT17">
        <v>999.9</v>
      </c>
      <c r="GU17">
        <v>57.5</v>
      </c>
      <c r="GV17">
        <v>30.6</v>
      </c>
      <c r="GW17">
        <v>25.447900000000001</v>
      </c>
      <c r="GX17">
        <v>61.397399999999998</v>
      </c>
      <c r="GY17">
        <v>29.7316</v>
      </c>
      <c r="GZ17">
        <v>1</v>
      </c>
      <c r="HA17">
        <v>0.31322699999999998</v>
      </c>
      <c r="HB17">
        <v>2.5131199999999998</v>
      </c>
      <c r="HC17">
        <v>20.309699999999999</v>
      </c>
      <c r="HD17">
        <v>5.2765899999999997</v>
      </c>
      <c r="HE17">
        <v>12.0878</v>
      </c>
      <c r="HF17">
        <v>5.0140500000000001</v>
      </c>
      <c r="HG17">
        <v>3.2918500000000002</v>
      </c>
      <c r="HH17">
        <v>9999</v>
      </c>
      <c r="HI17">
        <v>9999</v>
      </c>
      <c r="HJ17">
        <v>9999</v>
      </c>
      <c r="HK17">
        <v>999.9</v>
      </c>
      <c r="HL17">
        <v>1.8744000000000001</v>
      </c>
      <c r="HM17">
        <v>1.8748499999999999</v>
      </c>
      <c r="HN17">
        <v>1.87463</v>
      </c>
      <c r="HO17">
        <v>1.87862</v>
      </c>
      <c r="HP17">
        <v>1.8719699999999999</v>
      </c>
      <c r="HQ17">
        <v>1.87531</v>
      </c>
      <c r="HR17">
        <v>1.875</v>
      </c>
      <c r="HS17">
        <v>1.8763700000000001</v>
      </c>
      <c r="HT17">
        <v>0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-2.3839999999999999</v>
      </c>
      <c r="IH17">
        <v>-5.7000000000000002E-3</v>
      </c>
      <c r="II17">
        <v>-1.852298649841601</v>
      </c>
      <c r="IJ17">
        <v>-1.5404112972462821E-3</v>
      </c>
      <c r="IK17">
        <v>-5.8697186733976997E-8</v>
      </c>
      <c r="IL17">
        <v>1.160237123038427E-10</v>
      </c>
      <c r="IM17">
        <v>-0.18602012523712211</v>
      </c>
      <c r="IN17">
        <v>-3.128848753924141E-3</v>
      </c>
      <c r="IO17">
        <v>3.6841110403368089E-4</v>
      </c>
      <c r="IP17">
        <v>1.9296040270694169E-6</v>
      </c>
      <c r="IQ17">
        <v>1</v>
      </c>
      <c r="IR17">
        <v>1992</v>
      </c>
      <c r="IS17">
        <v>2</v>
      </c>
      <c r="IT17">
        <v>27</v>
      </c>
      <c r="IU17">
        <v>0.7</v>
      </c>
      <c r="IV17">
        <v>0.6</v>
      </c>
      <c r="IW17">
        <v>1.0339400000000001</v>
      </c>
      <c r="IX17">
        <v>2.63428</v>
      </c>
      <c r="IY17">
        <v>1.69434</v>
      </c>
      <c r="IZ17">
        <v>2.3571800000000001</v>
      </c>
      <c r="JA17">
        <v>1.5466299999999999</v>
      </c>
      <c r="JB17">
        <v>2.3974600000000001</v>
      </c>
      <c r="JC17">
        <v>35.059399999999997</v>
      </c>
      <c r="JD17">
        <v>15.6381</v>
      </c>
      <c r="JE17">
        <v>18</v>
      </c>
      <c r="JF17">
        <v>529.63099999999997</v>
      </c>
      <c r="JG17">
        <v>562.36500000000001</v>
      </c>
      <c r="JH17">
        <v>24.87</v>
      </c>
      <c r="JI17">
        <v>31.0806</v>
      </c>
      <c r="JJ17">
        <v>30.000299999999999</v>
      </c>
      <c r="JK17">
        <v>31.011700000000001</v>
      </c>
      <c r="JL17">
        <v>30.962900000000001</v>
      </c>
      <c r="JM17">
        <v>20.785299999999999</v>
      </c>
      <c r="JN17">
        <v>34.0488</v>
      </c>
      <c r="JO17">
        <v>54.788400000000003</v>
      </c>
      <c r="JP17">
        <v>24.917000000000002</v>
      </c>
      <c r="JQ17">
        <v>400</v>
      </c>
      <c r="JR17">
        <v>18.699100000000001</v>
      </c>
      <c r="JS17">
        <v>99.303399999999996</v>
      </c>
      <c r="JT17">
        <v>98.600499999999997</v>
      </c>
    </row>
    <row r="18" spans="1:280" x14ac:dyDescent="0.25">
      <c r="A18">
        <v>2</v>
      </c>
      <c r="B18">
        <v>1639666716.0999999</v>
      </c>
      <c r="C18">
        <v>114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1639666716.0999999</v>
      </c>
      <c r="J18">
        <f t="shared" si="0"/>
        <v>5.3771582121823836E-3</v>
      </c>
      <c r="K18">
        <f t="shared" si="1"/>
        <v>5.3771582121823833</v>
      </c>
      <c r="L18">
        <f t="shared" si="2"/>
        <v>41.131439580888859</v>
      </c>
      <c r="M18">
        <f t="shared" si="3"/>
        <v>249.04599999999999</v>
      </c>
      <c r="N18">
        <f t="shared" si="4"/>
        <v>87.714951576553872</v>
      </c>
      <c r="O18">
        <f t="shared" si="5"/>
        <v>8.7468542734585029</v>
      </c>
      <c r="P18">
        <f t="shared" si="6"/>
        <v>24.834637997680002</v>
      </c>
      <c r="Q18">
        <f t="shared" si="7"/>
        <v>0.44712520442143044</v>
      </c>
      <c r="R18">
        <f t="shared" si="8"/>
        <v>2.9175888147671722</v>
      </c>
      <c r="S18">
        <f t="shared" si="9"/>
        <v>0.41225013567804708</v>
      </c>
      <c r="T18">
        <f t="shared" si="10"/>
        <v>0.2605626657102651</v>
      </c>
      <c r="U18">
        <f t="shared" si="11"/>
        <v>289.56647084756861</v>
      </c>
      <c r="V18">
        <f t="shared" si="12"/>
        <v>28.298879659674014</v>
      </c>
      <c r="W18">
        <f t="shared" si="13"/>
        <v>27.755800000000001</v>
      </c>
      <c r="X18">
        <f t="shared" si="14"/>
        <v>3.7411505831761485</v>
      </c>
      <c r="Y18">
        <f t="shared" si="15"/>
        <v>65.422674207413905</v>
      </c>
      <c r="Z18">
        <f t="shared" si="16"/>
        <v>2.4810505980320006</v>
      </c>
      <c r="AA18">
        <f t="shared" si="17"/>
        <v>3.7923405426170125</v>
      </c>
      <c r="AB18">
        <f t="shared" si="18"/>
        <v>1.2600999851441479</v>
      </c>
      <c r="AC18">
        <f t="shared" si="19"/>
        <v>-237.13267715724311</v>
      </c>
      <c r="AD18">
        <f t="shared" si="20"/>
        <v>36.633550921524524</v>
      </c>
      <c r="AE18">
        <f t="shared" si="21"/>
        <v>2.7334592645798184</v>
      </c>
      <c r="AF18">
        <f t="shared" si="22"/>
        <v>91.800803876429853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52351.331420039838</v>
      </c>
      <c r="AL18" t="s">
        <v>415</v>
      </c>
      <c r="AM18">
        <v>10204.299999999999</v>
      </c>
      <c r="AN18">
        <v>862.72538461538477</v>
      </c>
      <c r="AO18">
        <v>3252.56</v>
      </c>
      <c r="AP18">
        <f t="shared" si="26"/>
        <v>0.73475496697512588</v>
      </c>
      <c r="AQ18">
        <v>-6.6684750346205304</v>
      </c>
      <c r="AR18" t="s">
        <v>426</v>
      </c>
      <c r="AS18">
        <v>10028.6</v>
      </c>
      <c r="AT18">
        <v>773.14796153846157</v>
      </c>
      <c r="AU18">
        <v>1082.312232562078</v>
      </c>
      <c r="AV18">
        <f t="shared" si="27"/>
        <v>0.28565164628302742</v>
      </c>
      <c r="AW18">
        <v>0.5</v>
      </c>
      <c r="AX18">
        <f t="shared" si="28"/>
        <v>1513.18469992102</v>
      </c>
      <c r="AY18">
        <f t="shared" si="29"/>
        <v>41.131439580888859</v>
      </c>
      <c r="AZ18">
        <f t="shared" si="30"/>
        <v>216.1218503313641</v>
      </c>
      <c r="BA18">
        <f t="shared" si="31"/>
        <v>3.1588949199661008E-2</v>
      </c>
      <c r="BB18">
        <f t="shared" si="32"/>
        <v>2.005195637769384</v>
      </c>
      <c r="BC18">
        <f t="shared" si="33"/>
        <v>563.18513178783417</v>
      </c>
      <c r="BD18" t="s">
        <v>427</v>
      </c>
      <c r="BE18">
        <v>578.23</v>
      </c>
      <c r="BF18">
        <f t="shared" si="34"/>
        <v>578.23</v>
      </c>
      <c r="BG18">
        <f t="shared" si="35"/>
        <v>0.46574566691240404</v>
      </c>
      <c r="BH18">
        <f t="shared" si="36"/>
        <v>0.61332110328951672</v>
      </c>
      <c r="BI18">
        <f t="shared" si="37"/>
        <v>0.81151083353136</v>
      </c>
      <c r="BJ18">
        <f t="shared" si="38"/>
        <v>1.4079361943328637</v>
      </c>
      <c r="BK18">
        <f t="shared" si="39"/>
        <v>0.90811629954093986</v>
      </c>
      <c r="BL18">
        <f t="shared" si="40"/>
        <v>0.45869701428095283</v>
      </c>
      <c r="BM18">
        <f t="shared" si="41"/>
        <v>0.54130298571904722</v>
      </c>
      <c r="BN18">
        <v>4874</v>
      </c>
      <c r="BO18">
        <v>290.00000000000011</v>
      </c>
      <c r="BP18">
        <v>1002.87</v>
      </c>
      <c r="BQ18">
        <v>115</v>
      </c>
      <c r="BR18">
        <v>10028.6</v>
      </c>
      <c r="BS18">
        <v>1001.77</v>
      </c>
      <c r="BT18">
        <v>1.1000000000000001</v>
      </c>
      <c r="BU18">
        <v>300.00000000000011</v>
      </c>
      <c r="BV18">
        <v>24.1</v>
      </c>
      <c r="BW18">
        <v>1082.312232562078</v>
      </c>
      <c r="BX18">
        <v>2.1600933349467049</v>
      </c>
      <c r="BY18">
        <v>-80.774453992810436</v>
      </c>
      <c r="BZ18">
        <v>1.9276378233666489</v>
      </c>
      <c r="CA18">
        <v>0.98430396059102654</v>
      </c>
      <c r="CB18">
        <v>-6.8262060066740897E-3</v>
      </c>
      <c r="CC18">
        <v>289.99999999999989</v>
      </c>
      <c r="CD18">
        <v>1001.52</v>
      </c>
      <c r="CE18">
        <v>715</v>
      </c>
      <c r="CF18">
        <v>10001.299999999999</v>
      </c>
      <c r="CG18">
        <v>1001.55</v>
      </c>
      <c r="CH18">
        <v>-0.03</v>
      </c>
      <c r="CV18">
        <f t="shared" si="42"/>
        <v>1800</v>
      </c>
      <c r="CW18">
        <f t="shared" si="43"/>
        <v>1513.18469992102</v>
      </c>
      <c r="CX18">
        <f t="shared" si="44"/>
        <v>0.84065816662278892</v>
      </c>
      <c r="CY18">
        <f t="shared" si="45"/>
        <v>0.16087026158198256</v>
      </c>
      <c r="CZ18">
        <v>6</v>
      </c>
      <c r="DA18">
        <v>0.5</v>
      </c>
      <c r="DB18" t="s">
        <v>418</v>
      </c>
      <c r="DC18">
        <v>2</v>
      </c>
      <c r="DD18">
        <v>1639666716.0999999</v>
      </c>
      <c r="DE18">
        <v>249.04599999999999</v>
      </c>
      <c r="DF18">
        <v>299.99900000000002</v>
      </c>
      <c r="DG18">
        <v>24.880400000000002</v>
      </c>
      <c r="DH18">
        <v>18.5898</v>
      </c>
      <c r="DI18">
        <v>251.227</v>
      </c>
      <c r="DJ18">
        <v>24.886600000000001</v>
      </c>
      <c r="DK18">
        <v>500.11500000000001</v>
      </c>
      <c r="DL18">
        <v>99.618600000000001</v>
      </c>
      <c r="DM18">
        <v>0.10048</v>
      </c>
      <c r="DN18">
        <v>27.988700000000001</v>
      </c>
      <c r="DO18">
        <v>27.755800000000001</v>
      </c>
      <c r="DP18">
        <v>999.9</v>
      </c>
      <c r="DQ18">
        <v>0</v>
      </c>
      <c r="DR18">
        <v>0</v>
      </c>
      <c r="DS18">
        <v>9970</v>
      </c>
      <c r="DT18">
        <v>0</v>
      </c>
      <c r="DU18">
        <v>318.99599999999998</v>
      </c>
      <c r="DV18">
        <v>-50.953000000000003</v>
      </c>
      <c r="DW18">
        <v>255.40100000000001</v>
      </c>
      <c r="DX18">
        <v>305.68200000000002</v>
      </c>
      <c r="DY18">
        <v>6.2905899999999999</v>
      </c>
      <c r="DZ18">
        <v>299.99900000000002</v>
      </c>
      <c r="EA18">
        <v>18.5898</v>
      </c>
      <c r="EB18">
        <v>2.4785499999999998</v>
      </c>
      <c r="EC18">
        <v>1.85189</v>
      </c>
      <c r="ED18">
        <v>20.886299999999999</v>
      </c>
      <c r="EE18">
        <v>16.2318</v>
      </c>
      <c r="EF18">
        <v>1800</v>
      </c>
      <c r="EG18">
        <v>0.97799800000000003</v>
      </c>
      <c r="EH18">
        <v>2.20015E-2</v>
      </c>
      <c r="EI18">
        <v>0</v>
      </c>
      <c r="EJ18">
        <v>772.86300000000006</v>
      </c>
      <c r="EK18">
        <v>5.0001199999999999</v>
      </c>
      <c r="EL18">
        <v>13951.3</v>
      </c>
      <c r="EM18">
        <v>15630</v>
      </c>
      <c r="EN18">
        <v>49.936999999999998</v>
      </c>
      <c r="EO18">
        <v>50.125</v>
      </c>
      <c r="EP18">
        <v>50.561999999999998</v>
      </c>
      <c r="EQ18">
        <v>50.125</v>
      </c>
      <c r="ER18">
        <v>51.311999999999998</v>
      </c>
      <c r="ES18">
        <v>1755.51</v>
      </c>
      <c r="ET18">
        <v>39.49</v>
      </c>
      <c r="EU18">
        <v>0</v>
      </c>
      <c r="EV18">
        <v>112.19999980926509</v>
      </c>
      <c r="EW18">
        <v>0</v>
      </c>
      <c r="EX18">
        <v>773.14796153846157</v>
      </c>
      <c r="EY18">
        <v>-1.695350426177352</v>
      </c>
      <c r="EZ18">
        <v>-17.54529916137065</v>
      </c>
      <c r="FA18">
        <v>13954.02307692308</v>
      </c>
      <c r="FB18">
        <v>15</v>
      </c>
      <c r="FC18">
        <v>1639666677.5999999</v>
      </c>
      <c r="FD18" t="s">
        <v>428</v>
      </c>
      <c r="FE18">
        <v>1639666674.5999999</v>
      </c>
      <c r="FF18">
        <v>1639666677.5999999</v>
      </c>
      <c r="FG18">
        <v>3</v>
      </c>
      <c r="FH18">
        <v>6.0999999999999999E-2</v>
      </c>
      <c r="FI18">
        <v>0</v>
      </c>
      <c r="FJ18">
        <v>-2.2599999999999998</v>
      </c>
      <c r="FK18">
        <v>-0.10299999999999999</v>
      </c>
      <c r="FL18">
        <v>300</v>
      </c>
      <c r="FM18">
        <v>19</v>
      </c>
      <c r="FN18">
        <v>0.03</v>
      </c>
      <c r="FO18">
        <v>0.02</v>
      </c>
      <c r="FP18">
        <v>41.064828446967013</v>
      </c>
      <c r="FQ18">
        <v>0.29551222422391082</v>
      </c>
      <c r="FR18">
        <v>4.7699280727864453E-2</v>
      </c>
      <c r="FS18">
        <v>1</v>
      </c>
      <c r="FT18">
        <v>0.44745761282062291</v>
      </c>
      <c r="FU18">
        <v>3.2147307415126093E-2</v>
      </c>
      <c r="FV18">
        <v>4.3015777791589362E-3</v>
      </c>
      <c r="FW18">
        <v>1</v>
      </c>
      <c r="FX18">
        <v>2</v>
      </c>
      <c r="FY18">
        <v>2</v>
      </c>
      <c r="FZ18" t="s">
        <v>420</v>
      </c>
      <c r="GA18">
        <v>2.9213800000000001</v>
      </c>
      <c r="GB18">
        <v>2.7452000000000001</v>
      </c>
      <c r="GC18">
        <v>6.3136200000000003E-2</v>
      </c>
      <c r="GD18">
        <v>7.4449399999999999E-2</v>
      </c>
      <c r="GE18">
        <v>0.120002</v>
      </c>
      <c r="GF18">
        <v>9.9057999999999993E-2</v>
      </c>
      <c r="GG18">
        <v>29147.3</v>
      </c>
      <c r="GH18">
        <v>28484.3</v>
      </c>
      <c r="GI18">
        <v>28323.4</v>
      </c>
      <c r="GJ18">
        <v>28141.9</v>
      </c>
      <c r="GK18">
        <v>34201.599999999999</v>
      </c>
      <c r="GL18">
        <v>35589.699999999997</v>
      </c>
      <c r="GM18">
        <v>42615.5</v>
      </c>
      <c r="GN18">
        <v>43765.1</v>
      </c>
      <c r="GO18">
        <v>1.7972999999999999</v>
      </c>
      <c r="GP18">
        <v>2.0138199999999999</v>
      </c>
      <c r="GQ18">
        <v>4.2542799999999999E-2</v>
      </c>
      <c r="GR18">
        <v>0</v>
      </c>
      <c r="GS18">
        <v>27.060600000000001</v>
      </c>
      <c r="GT18">
        <v>999.9</v>
      </c>
      <c r="GU18">
        <v>56.5</v>
      </c>
      <c r="GV18">
        <v>30.8</v>
      </c>
      <c r="GW18">
        <v>25.295500000000001</v>
      </c>
      <c r="GX18">
        <v>60.977400000000003</v>
      </c>
      <c r="GY18">
        <v>29.583300000000001</v>
      </c>
      <c r="GZ18">
        <v>1</v>
      </c>
      <c r="HA18">
        <v>0.31770799999999999</v>
      </c>
      <c r="HB18">
        <v>2.3988399999999999</v>
      </c>
      <c r="HC18">
        <v>20.311299999999999</v>
      </c>
      <c r="HD18">
        <v>5.2767400000000002</v>
      </c>
      <c r="HE18">
        <v>12.0878</v>
      </c>
      <c r="HF18">
        <v>5.0141499999999999</v>
      </c>
      <c r="HG18">
        <v>3.2919200000000002</v>
      </c>
      <c r="HH18">
        <v>9999</v>
      </c>
      <c r="HI18">
        <v>9999</v>
      </c>
      <c r="HJ18">
        <v>9999</v>
      </c>
      <c r="HK18">
        <v>999.9</v>
      </c>
      <c r="HL18">
        <v>1.8744099999999999</v>
      </c>
      <c r="HM18">
        <v>1.8748499999999999</v>
      </c>
      <c r="HN18">
        <v>1.87466</v>
      </c>
      <c r="HO18">
        <v>1.8786400000000001</v>
      </c>
      <c r="HP18">
        <v>1.87199</v>
      </c>
      <c r="HQ18">
        <v>1.87531</v>
      </c>
      <c r="HR18">
        <v>1.875</v>
      </c>
      <c r="HS18">
        <v>1.8763700000000001</v>
      </c>
      <c r="HT18">
        <v>0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-2.181</v>
      </c>
      <c r="IH18">
        <v>-6.1999999999999998E-3</v>
      </c>
      <c r="II18">
        <v>-1.791807430510199</v>
      </c>
      <c r="IJ18">
        <v>-1.5404112972462821E-3</v>
      </c>
      <c r="IK18">
        <v>-5.8697186733976997E-8</v>
      </c>
      <c r="IL18">
        <v>1.160237123038427E-10</v>
      </c>
      <c r="IM18">
        <v>-0.1862366279670449</v>
      </c>
      <c r="IN18">
        <v>-3.128848753924141E-3</v>
      </c>
      <c r="IO18">
        <v>3.6841110403368089E-4</v>
      </c>
      <c r="IP18">
        <v>1.9296040270694169E-6</v>
      </c>
      <c r="IQ18">
        <v>1</v>
      </c>
      <c r="IR18">
        <v>1992</v>
      </c>
      <c r="IS18">
        <v>2</v>
      </c>
      <c r="IT18">
        <v>27</v>
      </c>
      <c r="IU18">
        <v>0.7</v>
      </c>
      <c r="IV18">
        <v>0.6</v>
      </c>
      <c r="IW18">
        <v>0.82519500000000001</v>
      </c>
      <c r="IX18">
        <v>2.6196299999999999</v>
      </c>
      <c r="IY18">
        <v>1.69434</v>
      </c>
      <c r="IZ18">
        <v>2.3571800000000001</v>
      </c>
      <c r="JA18">
        <v>1.5466299999999999</v>
      </c>
      <c r="JB18">
        <v>2.4670399999999999</v>
      </c>
      <c r="JC18">
        <v>35.174700000000001</v>
      </c>
      <c r="JD18">
        <v>15.6205</v>
      </c>
      <c r="JE18">
        <v>18</v>
      </c>
      <c r="JF18">
        <v>529.61300000000006</v>
      </c>
      <c r="JG18">
        <v>560.71199999999999</v>
      </c>
      <c r="JH18">
        <v>24.934999999999999</v>
      </c>
      <c r="JI18">
        <v>31.1431</v>
      </c>
      <c r="JJ18">
        <v>30.000299999999999</v>
      </c>
      <c r="JK18">
        <v>31.0686</v>
      </c>
      <c r="JL18">
        <v>31.015999999999998</v>
      </c>
      <c r="JM18">
        <v>16.6069</v>
      </c>
      <c r="JN18">
        <v>33.506599999999999</v>
      </c>
      <c r="JO18">
        <v>52.915599999999998</v>
      </c>
      <c r="JP18">
        <v>24.936299999999999</v>
      </c>
      <c r="JQ18">
        <v>300</v>
      </c>
      <c r="JR18">
        <v>18.5625</v>
      </c>
      <c r="JS18">
        <v>99.302400000000006</v>
      </c>
      <c r="JT18">
        <v>98.587999999999994</v>
      </c>
    </row>
    <row r="19" spans="1:280" x14ac:dyDescent="0.25">
      <c r="A19">
        <v>3</v>
      </c>
      <c r="B19">
        <v>1639666838</v>
      </c>
      <c r="C19">
        <v>235.9000000953674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1639666838</v>
      </c>
      <c r="J19">
        <f t="shared" si="0"/>
        <v>5.7215704014309202E-3</v>
      </c>
      <c r="K19">
        <f t="shared" si="1"/>
        <v>5.7215704014309203</v>
      </c>
      <c r="L19">
        <f t="shared" si="2"/>
        <v>30.412502713853591</v>
      </c>
      <c r="M19">
        <f t="shared" si="3"/>
        <v>162.352</v>
      </c>
      <c r="N19">
        <f t="shared" si="4"/>
        <v>52.763823096103486</v>
      </c>
      <c r="O19">
        <f t="shared" si="5"/>
        <v>5.2613999165145646</v>
      </c>
      <c r="P19">
        <f t="shared" si="6"/>
        <v>16.189099824896001</v>
      </c>
      <c r="Q19">
        <f t="shared" si="7"/>
        <v>0.48885108243011371</v>
      </c>
      <c r="R19">
        <f t="shared" si="8"/>
        <v>2.9217041124894045</v>
      </c>
      <c r="S19">
        <f t="shared" si="9"/>
        <v>0.44753854902713691</v>
      </c>
      <c r="T19">
        <f t="shared" si="10"/>
        <v>0.2831318464601944</v>
      </c>
      <c r="U19">
        <f t="shared" si="11"/>
        <v>289.59360284758299</v>
      </c>
      <c r="V19">
        <f t="shared" si="12"/>
        <v>28.215499932253483</v>
      </c>
      <c r="W19">
        <f t="shared" si="13"/>
        <v>27.678599999999999</v>
      </c>
      <c r="X19">
        <f t="shared" si="14"/>
        <v>3.7243160824702954</v>
      </c>
      <c r="Y19">
        <f t="shared" si="15"/>
        <v>65.612622681811914</v>
      </c>
      <c r="Z19">
        <f t="shared" si="16"/>
        <v>2.4892117062239998</v>
      </c>
      <c r="AA19">
        <f t="shared" si="17"/>
        <v>3.7938000410308539</v>
      </c>
      <c r="AB19">
        <f t="shared" si="18"/>
        <v>1.2351043762462957</v>
      </c>
      <c r="AC19">
        <f t="shared" si="19"/>
        <v>-252.32125470310359</v>
      </c>
      <c r="AD19">
        <f t="shared" si="20"/>
        <v>49.88497266603801</v>
      </c>
      <c r="AE19">
        <f t="shared" si="21"/>
        <v>3.7156805218355271</v>
      </c>
      <c r="AF19">
        <f t="shared" si="22"/>
        <v>90.873001332352914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52468.31353365854</v>
      </c>
      <c r="AL19" t="s">
        <v>415</v>
      </c>
      <c r="AM19">
        <v>10204.299999999999</v>
      </c>
      <c r="AN19">
        <v>862.72538461538477</v>
      </c>
      <c r="AO19">
        <v>3252.56</v>
      </c>
      <c r="AP19">
        <f t="shared" si="26"/>
        <v>0.73475496697512588</v>
      </c>
      <c r="AQ19">
        <v>-6.6684750346205304</v>
      </c>
      <c r="AR19" t="s">
        <v>431</v>
      </c>
      <c r="AS19">
        <v>10014</v>
      </c>
      <c r="AT19">
        <v>775.2833599999999</v>
      </c>
      <c r="AU19">
        <v>1015.168157011094</v>
      </c>
      <c r="AV19">
        <f t="shared" si="27"/>
        <v>0.2363005531195681</v>
      </c>
      <c r="AW19">
        <v>0.5</v>
      </c>
      <c r="AX19">
        <f t="shared" si="28"/>
        <v>1513.3274999210275</v>
      </c>
      <c r="AY19">
        <f t="shared" si="29"/>
        <v>30.412502713853591</v>
      </c>
      <c r="AZ19">
        <f t="shared" si="30"/>
        <v>178.80006264119598</v>
      </c>
      <c r="BA19">
        <f t="shared" si="31"/>
        <v>2.450294318342142E-2</v>
      </c>
      <c r="BB19">
        <f t="shared" si="32"/>
        <v>2.2039618042949067</v>
      </c>
      <c r="BC19">
        <f t="shared" si="33"/>
        <v>544.44709818860213</v>
      </c>
      <c r="BD19" t="s">
        <v>432</v>
      </c>
      <c r="BE19">
        <v>569.42999999999995</v>
      </c>
      <c r="BF19">
        <f t="shared" si="34"/>
        <v>569.42999999999995</v>
      </c>
      <c r="BG19">
        <f t="shared" si="35"/>
        <v>0.43907815068141753</v>
      </c>
      <c r="BH19">
        <f t="shared" si="36"/>
        <v>0.53817424700556549</v>
      </c>
      <c r="BI19">
        <f t="shared" si="37"/>
        <v>0.83387381266986904</v>
      </c>
      <c r="BJ19">
        <f t="shared" si="38"/>
        <v>1.573605578284839</v>
      </c>
      <c r="BK19">
        <f t="shared" si="39"/>
        <v>0.93621199918423004</v>
      </c>
      <c r="BL19">
        <f t="shared" si="40"/>
        <v>0.39527813607708429</v>
      </c>
      <c r="BM19">
        <f t="shared" si="41"/>
        <v>0.60472186392291571</v>
      </c>
      <c r="BN19">
        <v>4876</v>
      </c>
      <c r="BO19">
        <v>290.00000000000011</v>
      </c>
      <c r="BP19">
        <v>951.88</v>
      </c>
      <c r="BQ19">
        <v>265</v>
      </c>
      <c r="BR19">
        <v>10014</v>
      </c>
      <c r="BS19">
        <v>950.12</v>
      </c>
      <c r="BT19">
        <v>1.76</v>
      </c>
      <c r="BU19">
        <v>300.00000000000011</v>
      </c>
      <c r="BV19">
        <v>24.1</v>
      </c>
      <c r="BW19">
        <v>1015.168157011094</v>
      </c>
      <c r="BX19">
        <v>1.81200134213534</v>
      </c>
      <c r="BY19">
        <v>-65.134854708269174</v>
      </c>
      <c r="BZ19">
        <v>1.6168090195308991</v>
      </c>
      <c r="CA19">
        <v>0.98304023332345347</v>
      </c>
      <c r="CB19">
        <v>-6.8253724137931062E-3</v>
      </c>
      <c r="CC19">
        <v>289.99999999999989</v>
      </c>
      <c r="CD19">
        <v>950.08</v>
      </c>
      <c r="CE19">
        <v>655</v>
      </c>
      <c r="CF19">
        <v>10002.6</v>
      </c>
      <c r="CG19">
        <v>950.05</v>
      </c>
      <c r="CH19">
        <v>0.03</v>
      </c>
      <c r="CV19">
        <f t="shared" si="42"/>
        <v>1800.17</v>
      </c>
      <c r="CW19">
        <f t="shared" si="43"/>
        <v>1513.3274999210275</v>
      </c>
      <c r="CX19">
        <f t="shared" si="44"/>
        <v>0.8406581044684821</v>
      </c>
      <c r="CY19">
        <f t="shared" si="45"/>
        <v>0.16087014162417049</v>
      </c>
      <c r="CZ19">
        <v>6</v>
      </c>
      <c r="DA19">
        <v>0.5</v>
      </c>
      <c r="DB19" t="s">
        <v>418</v>
      </c>
      <c r="DC19">
        <v>2</v>
      </c>
      <c r="DD19">
        <v>1639666838</v>
      </c>
      <c r="DE19">
        <v>162.352</v>
      </c>
      <c r="DF19">
        <v>199.95500000000001</v>
      </c>
      <c r="DG19">
        <v>24.963000000000001</v>
      </c>
      <c r="DH19">
        <v>18.2697</v>
      </c>
      <c r="DI19">
        <v>164.34399999999999</v>
      </c>
      <c r="DJ19">
        <v>24.964300000000001</v>
      </c>
      <c r="DK19">
        <v>500.089</v>
      </c>
      <c r="DL19">
        <v>99.615700000000004</v>
      </c>
      <c r="DM19">
        <v>0.10034800000000001</v>
      </c>
      <c r="DN19">
        <v>27.9953</v>
      </c>
      <c r="DO19">
        <v>27.678599999999999</v>
      </c>
      <c r="DP19">
        <v>999.9</v>
      </c>
      <c r="DQ19">
        <v>0</v>
      </c>
      <c r="DR19">
        <v>0</v>
      </c>
      <c r="DS19">
        <v>9993.75</v>
      </c>
      <c r="DT19">
        <v>0</v>
      </c>
      <c r="DU19">
        <v>323.89800000000002</v>
      </c>
      <c r="DV19">
        <v>-37.602899999999998</v>
      </c>
      <c r="DW19">
        <v>166.50899999999999</v>
      </c>
      <c r="DX19">
        <v>203.67599999999999</v>
      </c>
      <c r="DY19">
        <v>6.6932499999999999</v>
      </c>
      <c r="DZ19">
        <v>199.95500000000001</v>
      </c>
      <c r="EA19">
        <v>18.2697</v>
      </c>
      <c r="EB19">
        <v>2.4866999999999999</v>
      </c>
      <c r="EC19">
        <v>1.81995</v>
      </c>
      <c r="ED19">
        <v>20.939699999999998</v>
      </c>
      <c r="EE19">
        <v>15.959199999999999</v>
      </c>
      <c r="EF19">
        <v>1800.17</v>
      </c>
      <c r="EG19">
        <v>0.97800200000000004</v>
      </c>
      <c r="EH19">
        <v>2.1998199999999999E-2</v>
      </c>
      <c r="EI19">
        <v>0</v>
      </c>
      <c r="EJ19">
        <v>774.72400000000005</v>
      </c>
      <c r="EK19">
        <v>5.0001199999999999</v>
      </c>
      <c r="EL19">
        <v>13989.3</v>
      </c>
      <c r="EM19">
        <v>15631.5</v>
      </c>
      <c r="EN19">
        <v>50.125</v>
      </c>
      <c r="EO19">
        <v>50.311999999999998</v>
      </c>
      <c r="EP19">
        <v>50.811999999999998</v>
      </c>
      <c r="EQ19">
        <v>50.25</v>
      </c>
      <c r="ER19">
        <v>51.5</v>
      </c>
      <c r="ES19">
        <v>1755.68</v>
      </c>
      <c r="ET19">
        <v>39.49</v>
      </c>
      <c r="EU19">
        <v>0</v>
      </c>
      <c r="EV19">
        <v>120</v>
      </c>
      <c r="EW19">
        <v>0</v>
      </c>
      <c r="EX19">
        <v>775.2833599999999</v>
      </c>
      <c r="EY19">
        <v>-3.2483076982398158</v>
      </c>
      <c r="EZ19">
        <v>-60.730769057948578</v>
      </c>
      <c r="FA19">
        <v>13994.476000000001</v>
      </c>
      <c r="FB19">
        <v>15</v>
      </c>
      <c r="FC19">
        <v>1639666798.5999999</v>
      </c>
      <c r="FD19" t="s">
        <v>433</v>
      </c>
      <c r="FE19">
        <v>1639666783.5999999</v>
      </c>
      <c r="FF19">
        <v>1639666798.5999999</v>
      </c>
      <c r="FG19">
        <v>4</v>
      </c>
      <c r="FH19">
        <v>5.3999999999999999E-2</v>
      </c>
      <c r="FI19">
        <v>3.0000000000000001E-3</v>
      </c>
      <c r="FJ19">
        <v>-2.0499999999999998</v>
      </c>
      <c r="FK19">
        <v>-0.10100000000000001</v>
      </c>
      <c r="FL19">
        <v>200</v>
      </c>
      <c r="FM19">
        <v>18</v>
      </c>
      <c r="FN19">
        <v>0.03</v>
      </c>
      <c r="FO19">
        <v>0.01</v>
      </c>
      <c r="FP19">
        <v>30.397235856632371</v>
      </c>
      <c r="FQ19">
        <v>0.2154573307818852</v>
      </c>
      <c r="FR19">
        <v>3.0240735599262471E-2</v>
      </c>
      <c r="FS19">
        <v>1</v>
      </c>
      <c r="FT19">
        <v>0.48389138084413053</v>
      </c>
      <c r="FU19">
        <v>4.1448450703058942E-2</v>
      </c>
      <c r="FV19">
        <v>6.0493615882999891E-3</v>
      </c>
      <c r="FW19">
        <v>1</v>
      </c>
      <c r="FX19">
        <v>2</v>
      </c>
      <c r="FY19">
        <v>2</v>
      </c>
      <c r="FZ19" t="s">
        <v>420</v>
      </c>
      <c r="GA19">
        <v>2.9212600000000002</v>
      </c>
      <c r="GB19">
        <v>2.7452700000000001</v>
      </c>
      <c r="GC19">
        <v>4.35141E-2</v>
      </c>
      <c r="GD19">
        <v>5.2827499999999999E-2</v>
      </c>
      <c r="GE19">
        <v>0.12024799999999999</v>
      </c>
      <c r="GF19">
        <v>9.7825499999999996E-2</v>
      </c>
      <c r="GG19">
        <v>29758.799999999999</v>
      </c>
      <c r="GH19">
        <v>29148.799999999999</v>
      </c>
      <c r="GI19">
        <v>28325</v>
      </c>
      <c r="GJ19">
        <v>28141.5</v>
      </c>
      <c r="GK19">
        <v>34194.199999999997</v>
      </c>
      <c r="GL19">
        <v>35639.1</v>
      </c>
      <c r="GM19">
        <v>42618</v>
      </c>
      <c r="GN19">
        <v>43765.599999999999</v>
      </c>
      <c r="GO19">
        <v>1.7971999999999999</v>
      </c>
      <c r="GP19">
        <v>2.0114999999999998</v>
      </c>
      <c r="GQ19">
        <v>4.0866399999999997E-2</v>
      </c>
      <c r="GR19">
        <v>0</v>
      </c>
      <c r="GS19">
        <v>27.0107</v>
      </c>
      <c r="GT19">
        <v>999.9</v>
      </c>
      <c r="GU19">
        <v>55.6</v>
      </c>
      <c r="GV19">
        <v>30.9</v>
      </c>
      <c r="GW19">
        <v>25.038599999999999</v>
      </c>
      <c r="GX19">
        <v>61.047400000000003</v>
      </c>
      <c r="GY19">
        <v>29.1587</v>
      </c>
      <c r="GZ19">
        <v>1</v>
      </c>
      <c r="HA19">
        <v>0.319436</v>
      </c>
      <c r="HB19">
        <v>2.33229</v>
      </c>
      <c r="HC19">
        <v>20.312000000000001</v>
      </c>
      <c r="HD19">
        <v>5.2768899999999999</v>
      </c>
      <c r="HE19">
        <v>12.0878</v>
      </c>
      <c r="HF19">
        <v>5.0141999999999998</v>
      </c>
      <c r="HG19">
        <v>3.2919</v>
      </c>
      <c r="HH19">
        <v>9999</v>
      </c>
      <c r="HI19">
        <v>9999</v>
      </c>
      <c r="HJ19">
        <v>9999</v>
      </c>
      <c r="HK19">
        <v>999.9</v>
      </c>
      <c r="HL19">
        <v>1.87443</v>
      </c>
      <c r="HM19">
        <v>1.8748499999999999</v>
      </c>
      <c r="HN19">
        <v>1.8746499999999999</v>
      </c>
      <c r="HO19">
        <v>1.8786400000000001</v>
      </c>
      <c r="HP19">
        <v>1.87202</v>
      </c>
      <c r="HQ19">
        <v>1.87531</v>
      </c>
      <c r="HR19">
        <v>1.875</v>
      </c>
      <c r="HS19">
        <v>1.8763700000000001</v>
      </c>
      <c r="HT19">
        <v>0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-1.992</v>
      </c>
      <c r="IH19">
        <v>-1.2999999999999999E-3</v>
      </c>
      <c r="II19">
        <v>-1.7374610945749991</v>
      </c>
      <c r="IJ19">
        <v>-1.5404112972462821E-3</v>
      </c>
      <c r="IK19">
        <v>-5.8697186733976997E-8</v>
      </c>
      <c r="IL19">
        <v>1.160237123038427E-10</v>
      </c>
      <c r="IM19">
        <v>-0.18288747068378039</v>
      </c>
      <c r="IN19">
        <v>-3.128848753924141E-3</v>
      </c>
      <c r="IO19">
        <v>3.6841110403368089E-4</v>
      </c>
      <c r="IP19">
        <v>1.9296040270694169E-6</v>
      </c>
      <c r="IQ19">
        <v>1</v>
      </c>
      <c r="IR19">
        <v>1992</v>
      </c>
      <c r="IS19">
        <v>2</v>
      </c>
      <c r="IT19">
        <v>27</v>
      </c>
      <c r="IU19">
        <v>0.9</v>
      </c>
      <c r="IV19">
        <v>0.7</v>
      </c>
      <c r="IW19">
        <v>0.60913099999999998</v>
      </c>
      <c r="IX19">
        <v>2.63428</v>
      </c>
      <c r="IY19">
        <v>1.69434</v>
      </c>
      <c r="IZ19">
        <v>2.3559600000000001</v>
      </c>
      <c r="JA19">
        <v>1.5466299999999999</v>
      </c>
      <c r="JB19">
        <v>2.4487299999999999</v>
      </c>
      <c r="JC19">
        <v>35.290199999999999</v>
      </c>
      <c r="JD19">
        <v>15.5943</v>
      </c>
      <c r="JE19">
        <v>18</v>
      </c>
      <c r="JF19">
        <v>529.93299999999999</v>
      </c>
      <c r="JG19">
        <v>559.298</v>
      </c>
      <c r="JH19">
        <v>24.916599999999999</v>
      </c>
      <c r="JI19">
        <v>31.175799999999999</v>
      </c>
      <c r="JJ19">
        <v>29.9998</v>
      </c>
      <c r="JK19">
        <v>31.109300000000001</v>
      </c>
      <c r="JL19">
        <v>31.055800000000001</v>
      </c>
      <c r="JM19">
        <v>12.261799999999999</v>
      </c>
      <c r="JN19">
        <v>34.043599999999998</v>
      </c>
      <c r="JO19">
        <v>51.018599999999999</v>
      </c>
      <c r="JP19">
        <v>24.919799999999999</v>
      </c>
      <c r="JQ19">
        <v>200</v>
      </c>
      <c r="JR19">
        <v>18.2501</v>
      </c>
      <c r="JS19">
        <v>99.308199999999999</v>
      </c>
      <c r="JT19">
        <v>98.588200000000001</v>
      </c>
    </row>
    <row r="20" spans="1:280" x14ac:dyDescent="0.25">
      <c r="A20">
        <v>4</v>
      </c>
      <c r="B20">
        <v>1639666993.5</v>
      </c>
      <c r="C20">
        <v>391.40000009536737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1639666993.5</v>
      </c>
      <c r="J20">
        <f t="shared" si="0"/>
        <v>6.051269977326996E-3</v>
      </c>
      <c r="K20">
        <f t="shared" si="1"/>
        <v>6.0512699773269958</v>
      </c>
      <c r="L20">
        <f t="shared" si="2"/>
        <v>19.46708944561269</v>
      </c>
      <c r="M20">
        <f t="shared" si="3"/>
        <v>95.944800000000001</v>
      </c>
      <c r="N20">
        <f t="shared" si="4"/>
        <v>30.307295655959912</v>
      </c>
      <c r="O20">
        <f t="shared" si="5"/>
        <v>3.022500483218542</v>
      </c>
      <c r="P20">
        <f t="shared" si="6"/>
        <v>9.5684289239868008</v>
      </c>
      <c r="Q20">
        <f t="shared" si="7"/>
        <v>0.52490550095012667</v>
      </c>
      <c r="R20">
        <f t="shared" si="8"/>
        <v>2.9236919879904635</v>
      </c>
      <c r="S20">
        <f t="shared" si="9"/>
        <v>0.47761898031646305</v>
      </c>
      <c r="T20">
        <f t="shared" si="10"/>
        <v>0.30240458411675969</v>
      </c>
      <c r="U20">
        <f t="shared" si="11"/>
        <v>289.55370284756185</v>
      </c>
      <c r="V20">
        <f t="shared" si="12"/>
        <v>28.128380601484643</v>
      </c>
      <c r="W20">
        <f t="shared" si="13"/>
        <v>27.610299999999999</v>
      </c>
      <c r="X20">
        <f t="shared" si="14"/>
        <v>3.7094774953966745</v>
      </c>
      <c r="Y20">
        <f t="shared" si="15"/>
        <v>65.510152480375652</v>
      </c>
      <c r="Z20">
        <f t="shared" si="16"/>
        <v>2.4851937928286003</v>
      </c>
      <c r="AA20">
        <f t="shared" si="17"/>
        <v>3.7936009896680822</v>
      </c>
      <c r="AB20">
        <f t="shared" si="18"/>
        <v>1.2242837025680742</v>
      </c>
      <c r="AC20">
        <f t="shared" si="19"/>
        <v>-266.86100600012054</v>
      </c>
      <c r="AD20">
        <f t="shared" si="20"/>
        <v>60.542641871557748</v>
      </c>
      <c r="AE20">
        <f t="shared" si="21"/>
        <v>4.5048964206740711</v>
      </c>
      <c r="AF20">
        <f t="shared" si="22"/>
        <v>87.740235139673132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52525.879226028825</v>
      </c>
      <c r="AL20" t="s">
        <v>415</v>
      </c>
      <c r="AM20">
        <v>10204.299999999999</v>
      </c>
      <c r="AN20">
        <v>862.72538461538477</v>
      </c>
      <c r="AO20">
        <v>3252.56</v>
      </c>
      <c r="AP20">
        <f t="shared" si="26"/>
        <v>0.73475496697512588</v>
      </c>
      <c r="AQ20">
        <v>-6.6684750346205304</v>
      </c>
      <c r="AR20" t="s">
        <v>436</v>
      </c>
      <c r="AS20">
        <v>10021.700000000001</v>
      </c>
      <c r="AT20">
        <v>796.38771999999994</v>
      </c>
      <c r="AU20">
        <v>961.41149734302223</v>
      </c>
      <c r="AV20">
        <f t="shared" si="27"/>
        <v>0.1716473932328515</v>
      </c>
      <c r="AW20">
        <v>0.5</v>
      </c>
      <c r="AX20">
        <f t="shared" si="28"/>
        <v>1513.1174999210164</v>
      </c>
      <c r="AY20">
        <f t="shared" si="29"/>
        <v>19.46708944561269</v>
      </c>
      <c r="AZ20">
        <f t="shared" si="30"/>
        <v>129.86133725822592</v>
      </c>
      <c r="BA20">
        <f t="shared" si="31"/>
        <v>1.7272660240594321E-2</v>
      </c>
      <c r="BB20">
        <f t="shared" si="32"/>
        <v>2.3831091150759538</v>
      </c>
      <c r="BC20">
        <f t="shared" si="33"/>
        <v>528.59581643498973</v>
      </c>
      <c r="BD20" t="s">
        <v>437</v>
      </c>
      <c r="BE20">
        <v>562.15</v>
      </c>
      <c r="BF20">
        <f t="shared" si="34"/>
        <v>562.15</v>
      </c>
      <c r="BG20">
        <f t="shared" si="35"/>
        <v>0.41528679285241543</v>
      </c>
      <c r="BH20">
        <f t="shared" si="36"/>
        <v>0.41332254284776038</v>
      </c>
      <c r="BI20">
        <f t="shared" si="37"/>
        <v>0.85159827039632541</v>
      </c>
      <c r="BJ20">
        <f t="shared" si="38"/>
        <v>1.672208710849411</v>
      </c>
      <c r="BK20">
        <f t="shared" si="39"/>
        <v>0.95870588195001305</v>
      </c>
      <c r="BL20">
        <f t="shared" si="40"/>
        <v>0.29175395555053074</v>
      </c>
      <c r="BM20">
        <f t="shared" si="41"/>
        <v>0.70824604444946926</v>
      </c>
      <c r="BN20">
        <v>4878</v>
      </c>
      <c r="BO20">
        <v>290.00000000000011</v>
      </c>
      <c r="BP20">
        <v>917.76</v>
      </c>
      <c r="BQ20">
        <v>165</v>
      </c>
      <c r="BR20">
        <v>10021.700000000001</v>
      </c>
      <c r="BS20">
        <v>918.4</v>
      </c>
      <c r="BT20">
        <v>-0.64</v>
      </c>
      <c r="BU20">
        <v>300.00000000000011</v>
      </c>
      <c r="BV20">
        <v>24.1</v>
      </c>
      <c r="BW20">
        <v>961.41149734302223</v>
      </c>
      <c r="BX20">
        <v>2.2903082475853429</v>
      </c>
      <c r="BY20">
        <v>-43.108562855161743</v>
      </c>
      <c r="BZ20">
        <v>2.0434702549379948</v>
      </c>
      <c r="CA20">
        <v>0.94080728573410988</v>
      </c>
      <c r="CB20">
        <v>-6.8249628476084621E-3</v>
      </c>
      <c r="CC20">
        <v>289.99999999999989</v>
      </c>
      <c r="CD20">
        <v>917.19</v>
      </c>
      <c r="CE20">
        <v>645</v>
      </c>
      <c r="CF20">
        <v>10002.4</v>
      </c>
      <c r="CG20">
        <v>918.31</v>
      </c>
      <c r="CH20">
        <v>-1.1200000000000001</v>
      </c>
      <c r="CV20">
        <f t="shared" si="42"/>
        <v>1799.92</v>
      </c>
      <c r="CW20">
        <f t="shared" si="43"/>
        <v>1513.1174999210164</v>
      </c>
      <c r="CX20">
        <f t="shared" si="44"/>
        <v>0.84065819587593693</v>
      </c>
      <c r="CY20">
        <f t="shared" si="45"/>
        <v>0.16087031804055837</v>
      </c>
      <c r="CZ20">
        <v>6</v>
      </c>
      <c r="DA20">
        <v>0.5</v>
      </c>
      <c r="DB20" t="s">
        <v>418</v>
      </c>
      <c r="DC20">
        <v>2</v>
      </c>
      <c r="DD20">
        <v>1639666993.5</v>
      </c>
      <c r="DE20">
        <v>95.944800000000001</v>
      </c>
      <c r="DF20">
        <v>119.996</v>
      </c>
      <c r="DG20">
        <v>24.919599999999999</v>
      </c>
      <c r="DH20">
        <v>17.840800000000002</v>
      </c>
      <c r="DI20">
        <v>97.713999999999999</v>
      </c>
      <c r="DJ20">
        <v>24.926100000000002</v>
      </c>
      <c r="DK20">
        <v>500.125</v>
      </c>
      <c r="DL20">
        <v>99.628600000000006</v>
      </c>
      <c r="DM20">
        <v>9.9878499999999995E-2</v>
      </c>
      <c r="DN20">
        <v>27.994399999999999</v>
      </c>
      <c r="DO20">
        <v>27.610299999999999</v>
      </c>
      <c r="DP20">
        <v>999.9</v>
      </c>
      <c r="DQ20">
        <v>0</v>
      </c>
      <c r="DR20">
        <v>0</v>
      </c>
      <c r="DS20">
        <v>10003.799999999999</v>
      </c>
      <c r="DT20">
        <v>0</v>
      </c>
      <c r="DU20">
        <v>347.72800000000001</v>
      </c>
      <c r="DV20">
        <v>-24.050699999999999</v>
      </c>
      <c r="DW20">
        <v>98.396799999999999</v>
      </c>
      <c r="DX20">
        <v>122.175</v>
      </c>
      <c r="DY20">
        <v>7.0787800000000001</v>
      </c>
      <c r="DZ20">
        <v>119.996</v>
      </c>
      <c r="EA20">
        <v>17.840800000000002</v>
      </c>
      <c r="EB20">
        <v>2.4826999999999999</v>
      </c>
      <c r="EC20">
        <v>1.77745</v>
      </c>
      <c r="ED20">
        <v>20.913499999999999</v>
      </c>
      <c r="EE20">
        <v>15.5899</v>
      </c>
      <c r="EF20">
        <v>1799.92</v>
      </c>
      <c r="EG20">
        <v>0.97799800000000003</v>
      </c>
      <c r="EH20">
        <v>2.20015E-2</v>
      </c>
      <c r="EI20">
        <v>0</v>
      </c>
      <c r="EJ20">
        <v>796.32399999999996</v>
      </c>
      <c r="EK20">
        <v>5.0001199999999999</v>
      </c>
      <c r="EL20">
        <v>14377.6</v>
      </c>
      <c r="EM20">
        <v>15629.3</v>
      </c>
      <c r="EN20">
        <v>50.25</v>
      </c>
      <c r="EO20">
        <v>50.5</v>
      </c>
      <c r="EP20">
        <v>50.936999999999998</v>
      </c>
      <c r="EQ20">
        <v>50.375</v>
      </c>
      <c r="ER20">
        <v>51.686999999999998</v>
      </c>
      <c r="ES20">
        <v>1755.43</v>
      </c>
      <c r="ET20">
        <v>39.49</v>
      </c>
      <c r="EU20">
        <v>0</v>
      </c>
      <c r="EV20">
        <v>153.79999995231631</v>
      </c>
      <c r="EW20">
        <v>0</v>
      </c>
      <c r="EX20">
        <v>796.38771999999994</v>
      </c>
      <c r="EY20">
        <v>-1.093461528341557</v>
      </c>
      <c r="EZ20">
        <v>-4.030769207530823</v>
      </c>
      <c r="FA20">
        <v>14379</v>
      </c>
      <c r="FB20">
        <v>15</v>
      </c>
      <c r="FC20">
        <v>1639666954.5</v>
      </c>
      <c r="FD20" t="s">
        <v>438</v>
      </c>
      <c r="FE20">
        <v>1639666946.5</v>
      </c>
      <c r="FF20">
        <v>1639666954.5</v>
      </c>
      <c r="FG20">
        <v>5</v>
      </c>
      <c r="FH20">
        <v>0.11899999999999999</v>
      </c>
      <c r="FI20">
        <v>-4.0000000000000001E-3</v>
      </c>
      <c r="FJ20">
        <v>-1.8069999999999999</v>
      </c>
      <c r="FK20">
        <v>-0.112</v>
      </c>
      <c r="FL20">
        <v>120</v>
      </c>
      <c r="FM20">
        <v>18</v>
      </c>
      <c r="FN20">
        <v>0.06</v>
      </c>
      <c r="FO20">
        <v>0.01</v>
      </c>
      <c r="FP20">
        <v>19.458402263417401</v>
      </c>
      <c r="FQ20">
        <v>-0.19224763558126071</v>
      </c>
      <c r="FR20">
        <v>2.231375397430347E-2</v>
      </c>
      <c r="FS20">
        <v>1</v>
      </c>
      <c r="FT20">
        <v>0.5255227972903852</v>
      </c>
      <c r="FU20">
        <v>3.170828984860509E-2</v>
      </c>
      <c r="FV20">
        <v>3.7093363270097671E-3</v>
      </c>
      <c r="FW20">
        <v>1</v>
      </c>
      <c r="FX20">
        <v>2</v>
      </c>
      <c r="FY20">
        <v>2</v>
      </c>
      <c r="FZ20" t="s">
        <v>420</v>
      </c>
      <c r="GA20">
        <v>2.92137</v>
      </c>
      <c r="GB20">
        <v>2.7448899999999998</v>
      </c>
      <c r="GC20">
        <v>2.6804499999999998E-2</v>
      </c>
      <c r="GD20">
        <v>3.3230200000000001E-2</v>
      </c>
      <c r="GE20">
        <v>0.120132</v>
      </c>
      <c r="GF20">
        <v>9.6185400000000004E-2</v>
      </c>
      <c r="GG20">
        <v>30281.8</v>
      </c>
      <c r="GH20">
        <v>29754</v>
      </c>
      <c r="GI20">
        <v>28328.400000000001</v>
      </c>
      <c r="GJ20">
        <v>28144</v>
      </c>
      <c r="GK20">
        <v>34203.599999999999</v>
      </c>
      <c r="GL20">
        <v>35707</v>
      </c>
      <c r="GM20">
        <v>42624.1</v>
      </c>
      <c r="GN20">
        <v>43769.3</v>
      </c>
      <c r="GO20">
        <v>1.7976700000000001</v>
      </c>
      <c r="GP20">
        <v>2.0097</v>
      </c>
      <c r="GQ20">
        <v>4.3772199999999997E-2</v>
      </c>
      <c r="GR20">
        <v>0</v>
      </c>
      <c r="GS20">
        <v>26.8948</v>
      </c>
      <c r="GT20">
        <v>999.9</v>
      </c>
      <c r="GU20">
        <v>54.3</v>
      </c>
      <c r="GV20">
        <v>31.1</v>
      </c>
      <c r="GW20">
        <v>24.728100000000001</v>
      </c>
      <c r="GX20">
        <v>60.937399999999997</v>
      </c>
      <c r="GY20">
        <v>29.3109</v>
      </c>
      <c r="GZ20">
        <v>1</v>
      </c>
      <c r="HA20">
        <v>0.31781999999999999</v>
      </c>
      <c r="HB20">
        <v>2.24363</v>
      </c>
      <c r="HC20">
        <v>20.2668</v>
      </c>
      <c r="HD20">
        <v>5.2761399999999998</v>
      </c>
      <c r="HE20">
        <v>12.0878</v>
      </c>
      <c r="HF20">
        <v>5.0133000000000001</v>
      </c>
      <c r="HG20">
        <v>3.2919800000000001</v>
      </c>
      <c r="HH20">
        <v>9999</v>
      </c>
      <c r="HI20">
        <v>9999</v>
      </c>
      <c r="HJ20">
        <v>9999</v>
      </c>
      <c r="HK20">
        <v>999.9</v>
      </c>
      <c r="HL20">
        <v>1.87479</v>
      </c>
      <c r="HM20">
        <v>1.8751800000000001</v>
      </c>
      <c r="HN20">
        <v>1.875</v>
      </c>
      <c r="HO20">
        <v>1.87897</v>
      </c>
      <c r="HP20">
        <v>1.87239</v>
      </c>
      <c r="HQ20">
        <v>1.8756600000000001</v>
      </c>
      <c r="HR20">
        <v>1.87531</v>
      </c>
      <c r="HS20">
        <v>1.8767100000000001</v>
      </c>
      <c r="HT20">
        <v>0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-1.7689999999999999</v>
      </c>
      <c r="IH20">
        <v>-6.4999999999999997E-3</v>
      </c>
      <c r="II20">
        <v>-1.6181771732119901</v>
      </c>
      <c r="IJ20">
        <v>-1.5404112972462821E-3</v>
      </c>
      <c r="IK20">
        <v>-5.8697186733976997E-8</v>
      </c>
      <c r="IL20">
        <v>1.160237123038427E-10</v>
      </c>
      <c r="IM20">
        <v>-0.1872773752581634</v>
      </c>
      <c r="IN20">
        <v>-3.128848753924141E-3</v>
      </c>
      <c r="IO20">
        <v>3.6841110403368089E-4</v>
      </c>
      <c r="IP20">
        <v>1.9296040270694169E-6</v>
      </c>
      <c r="IQ20">
        <v>1</v>
      </c>
      <c r="IR20">
        <v>1992</v>
      </c>
      <c r="IS20">
        <v>2</v>
      </c>
      <c r="IT20">
        <v>27</v>
      </c>
      <c r="IU20">
        <v>0.8</v>
      </c>
      <c r="IV20">
        <v>0.7</v>
      </c>
      <c r="IW20">
        <v>0.42968800000000001</v>
      </c>
      <c r="IX20">
        <v>2.6428199999999999</v>
      </c>
      <c r="IY20">
        <v>1.69434</v>
      </c>
      <c r="IZ20">
        <v>2.3571800000000001</v>
      </c>
      <c r="JA20">
        <v>1.5466299999999999</v>
      </c>
      <c r="JB20">
        <v>2.4304199999999998</v>
      </c>
      <c r="JC20">
        <v>35.429099999999998</v>
      </c>
      <c r="JD20">
        <v>23.903600000000001</v>
      </c>
      <c r="JE20">
        <v>18</v>
      </c>
      <c r="JF20">
        <v>530.43600000000004</v>
      </c>
      <c r="JG20">
        <v>558.05200000000002</v>
      </c>
      <c r="JH20">
        <v>24.9923</v>
      </c>
      <c r="JI20">
        <v>31.1676</v>
      </c>
      <c r="JJ20">
        <v>30</v>
      </c>
      <c r="JK20">
        <v>31.120200000000001</v>
      </c>
      <c r="JL20">
        <v>31.070799999999998</v>
      </c>
      <c r="JM20">
        <v>8.6649200000000004</v>
      </c>
      <c r="JN20">
        <v>34.261800000000001</v>
      </c>
      <c r="JO20">
        <v>48.225700000000003</v>
      </c>
      <c r="JP20">
        <v>24.996600000000001</v>
      </c>
      <c r="JQ20">
        <v>120</v>
      </c>
      <c r="JR20">
        <v>17.789300000000001</v>
      </c>
      <c r="JS20">
        <v>99.321399999999997</v>
      </c>
      <c r="JT20">
        <v>98.596699999999998</v>
      </c>
    </row>
    <row r="21" spans="1:280" x14ac:dyDescent="0.25">
      <c r="A21">
        <v>5</v>
      </c>
      <c r="B21">
        <v>1639667110.5</v>
      </c>
      <c r="C21">
        <v>508.40000009536737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1639667110.5</v>
      </c>
      <c r="J21">
        <f t="shared" si="0"/>
        <v>6.2833911744989146E-3</v>
      </c>
      <c r="K21">
        <f t="shared" si="1"/>
        <v>6.2833911744989148</v>
      </c>
      <c r="L21">
        <f t="shared" si="2"/>
        <v>11.837203102504123</v>
      </c>
      <c r="M21">
        <f t="shared" si="3"/>
        <v>55.346899999999998</v>
      </c>
      <c r="N21">
        <f t="shared" si="4"/>
        <v>17.291905190526489</v>
      </c>
      <c r="O21">
        <f t="shared" si="5"/>
        <v>1.7246898148242784</v>
      </c>
      <c r="P21">
        <f t="shared" si="6"/>
        <v>5.5202844140271088</v>
      </c>
      <c r="Q21">
        <f t="shared" si="7"/>
        <v>0.55253844380724781</v>
      </c>
      <c r="R21">
        <f t="shared" si="8"/>
        <v>2.9265170251303982</v>
      </c>
      <c r="S21">
        <f t="shared" si="9"/>
        <v>0.50045184610399462</v>
      </c>
      <c r="T21">
        <f t="shared" si="10"/>
        <v>0.31705199742218015</v>
      </c>
      <c r="U21">
        <f t="shared" si="11"/>
        <v>289.55529884756265</v>
      </c>
      <c r="V21">
        <f t="shared" si="12"/>
        <v>28.073385787827696</v>
      </c>
      <c r="W21">
        <f t="shared" si="13"/>
        <v>27.5822</v>
      </c>
      <c r="X21">
        <f t="shared" si="14"/>
        <v>3.7033875961024139</v>
      </c>
      <c r="Y21">
        <f t="shared" si="15"/>
        <v>65.615596688802697</v>
      </c>
      <c r="Z21">
        <f t="shared" si="16"/>
        <v>2.4899921832613101</v>
      </c>
      <c r="AA21">
        <f t="shared" si="17"/>
        <v>3.7948175569760951</v>
      </c>
      <c r="AB21">
        <f t="shared" si="18"/>
        <v>1.2133954128411037</v>
      </c>
      <c r="AC21">
        <f t="shared" si="19"/>
        <v>-277.09755079540213</v>
      </c>
      <c r="AD21">
        <f t="shared" si="20"/>
        <v>65.9023609732333</v>
      </c>
      <c r="AE21">
        <f t="shared" si="21"/>
        <v>4.8984205118586868</v>
      </c>
      <c r="AF21">
        <f t="shared" si="22"/>
        <v>83.258529537252485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52606.400141365339</v>
      </c>
      <c r="AL21" t="s">
        <v>415</v>
      </c>
      <c r="AM21">
        <v>10204.299999999999</v>
      </c>
      <c r="AN21">
        <v>862.72538461538477</v>
      </c>
      <c r="AO21">
        <v>3252.56</v>
      </c>
      <c r="AP21">
        <f t="shared" si="26"/>
        <v>0.73475496697512588</v>
      </c>
      <c r="AQ21">
        <v>-6.6684750346205304</v>
      </c>
      <c r="AR21" t="s">
        <v>441</v>
      </c>
      <c r="AS21">
        <v>10017</v>
      </c>
      <c r="AT21">
        <v>814.37563999999998</v>
      </c>
      <c r="AU21">
        <v>932.44639975674488</v>
      </c>
      <c r="AV21">
        <f t="shared" si="27"/>
        <v>0.12662471514453488</v>
      </c>
      <c r="AW21">
        <v>0.5</v>
      </c>
      <c r="AX21">
        <f t="shared" si="28"/>
        <v>1513.125899921017</v>
      </c>
      <c r="AY21">
        <f t="shared" si="29"/>
        <v>11.837203102504123</v>
      </c>
      <c r="AZ21">
        <f t="shared" si="30"/>
        <v>95.799568027658381</v>
      </c>
      <c r="BA21">
        <f t="shared" si="31"/>
        <v>1.2230098062620317E-2</v>
      </c>
      <c r="BB21">
        <f t="shared" si="32"/>
        <v>2.4882005023007463</v>
      </c>
      <c r="BC21">
        <f t="shared" si="33"/>
        <v>519.7194645218558</v>
      </c>
      <c r="BD21" t="s">
        <v>442</v>
      </c>
      <c r="BE21">
        <v>565.71</v>
      </c>
      <c r="BF21">
        <f t="shared" si="34"/>
        <v>565.71</v>
      </c>
      <c r="BG21">
        <f t="shared" si="35"/>
        <v>0.39330560968696804</v>
      </c>
      <c r="BH21">
        <f t="shared" si="36"/>
        <v>0.32194993416268713</v>
      </c>
      <c r="BI21">
        <f t="shared" si="37"/>
        <v>0.86350693199964834</v>
      </c>
      <c r="BJ21">
        <f t="shared" si="38"/>
        <v>1.6934744784962634</v>
      </c>
      <c r="BK21">
        <f t="shared" si="39"/>
        <v>0.97082600833859822</v>
      </c>
      <c r="BL21">
        <f t="shared" si="40"/>
        <v>0.22364408794837448</v>
      </c>
      <c r="BM21">
        <f t="shared" si="41"/>
        <v>0.77635591205162546</v>
      </c>
      <c r="BN21">
        <v>4880</v>
      </c>
      <c r="BO21">
        <v>290.00000000000011</v>
      </c>
      <c r="BP21">
        <v>899</v>
      </c>
      <c r="BQ21">
        <v>215</v>
      </c>
      <c r="BR21">
        <v>10017</v>
      </c>
      <c r="BS21">
        <v>897.96</v>
      </c>
      <c r="BT21">
        <v>1.04</v>
      </c>
      <c r="BU21">
        <v>300.00000000000011</v>
      </c>
      <c r="BV21">
        <v>24.1</v>
      </c>
      <c r="BW21">
        <v>932.44639975674488</v>
      </c>
      <c r="BX21">
        <v>2.2451831789988548</v>
      </c>
      <c r="BY21">
        <v>-34.549333117303767</v>
      </c>
      <c r="BZ21">
        <v>2.0031467547125921</v>
      </c>
      <c r="CA21">
        <v>0.91397248994410751</v>
      </c>
      <c r="CB21">
        <v>-6.8248088987764308E-3</v>
      </c>
      <c r="CC21">
        <v>289.99999999999989</v>
      </c>
      <c r="CD21">
        <v>895.01</v>
      </c>
      <c r="CE21">
        <v>715</v>
      </c>
      <c r="CF21">
        <v>9998.94</v>
      </c>
      <c r="CG21">
        <v>897.89</v>
      </c>
      <c r="CH21">
        <v>-2.88</v>
      </c>
      <c r="CV21">
        <f t="shared" si="42"/>
        <v>1799.93</v>
      </c>
      <c r="CW21">
        <f t="shared" si="43"/>
        <v>1513.125899921017</v>
      </c>
      <c r="CX21">
        <f t="shared" si="44"/>
        <v>0.84065819221915128</v>
      </c>
      <c r="CY21">
        <f t="shared" si="45"/>
        <v>0.16087031098296192</v>
      </c>
      <c r="CZ21">
        <v>6</v>
      </c>
      <c r="DA21">
        <v>0.5</v>
      </c>
      <c r="DB21" t="s">
        <v>418</v>
      </c>
      <c r="DC21">
        <v>2</v>
      </c>
      <c r="DD21">
        <v>1639667110.5</v>
      </c>
      <c r="DE21">
        <v>55.346899999999998</v>
      </c>
      <c r="DF21">
        <v>69.968599999999995</v>
      </c>
      <c r="DG21">
        <v>24.9649</v>
      </c>
      <c r="DH21">
        <v>17.613199999999999</v>
      </c>
      <c r="DI21">
        <v>57.026899999999998</v>
      </c>
      <c r="DJ21">
        <v>24.968599999999999</v>
      </c>
      <c r="DK21">
        <v>500.00900000000001</v>
      </c>
      <c r="DL21">
        <v>99.639899999999997</v>
      </c>
      <c r="DM21">
        <v>9.9821900000000005E-2</v>
      </c>
      <c r="DN21">
        <v>27.9999</v>
      </c>
      <c r="DO21">
        <v>27.5822</v>
      </c>
      <c r="DP21">
        <v>999.9</v>
      </c>
      <c r="DQ21">
        <v>0</v>
      </c>
      <c r="DR21">
        <v>0</v>
      </c>
      <c r="DS21">
        <v>10018.799999999999</v>
      </c>
      <c r="DT21">
        <v>0</v>
      </c>
      <c r="DU21">
        <v>352.18299999999999</v>
      </c>
      <c r="DV21">
        <v>-14.621600000000001</v>
      </c>
      <c r="DW21">
        <v>56.764000000000003</v>
      </c>
      <c r="DX21">
        <v>71.222999999999999</v>
      </c>
      <c r="DY21">
        <v>7.3516399999999997</v>
      </c>
      <c r="DZ21">
        <v>69.968599999999995</v>
      </c>
      <c r="EA21">
        <v>17.613199999999999</v>
      </c>
      <c r="EB21">
        <v>2.4874999999999998</v>
      </c>
      <c r="EC21">
        <v>1.75498</v>
      </c>
      <c r="ED21">
        <v>20.944900000000001</v>
      </c>
      <c r="EE21">
        <v>15.391500000000001</v>
      </c>
      <c r="EF21">
        <v>1799.93</v>
      </c>
      <c r="EG21">
        <v>0.97799800000000003</v>
      </c>
      <c r="EH21">
        <v>2.20015E-2</v>
      </c>
      <c r="EI21">
        <v>0</v>
      </c>
      <c r="EJ21">
        <v>814.19</v>
      </c>
      <c r="EK21">
        <v>5.0001199999999999</v>
      </c>
      <c r="EL21">
        <v>14703.3</v>
      </c>
      <c r="EM21">
        <v>15629.3</v>
      </c>
      <c r="EN21">
        <v>50.375</v>
      </c>
      <c r="EO21">
        <v>50.561999999999998</v>
      </c>
      <c r="EP21">
        <v>51.061999999999998</v>
      </c>
      <c r="EQ21">
        <v>50.5</v>
      </c>
      <c r="ER21">
        <v>51.75</v>
      </c>
      <c r="ES21">
        <v>1755.44</v>
      </c>
      <c r="ET21">
        <v>39.49</v>
      </c>
      <c r="EU21">
        <v>0</v>
      </c>
      <c r="EV21">
        <v>115.19999980926509</v>
      </c>
      <c r="EW21">
        <v>0</v>
      </c>
      <c r="EX21">
        <v>814.37563999999998</v>
      </c>
      <c r="EY21">
        <v>-1.464230760765622</v>
      </c>
      <c r="EZ21">
        <v>-21.238461624780339</v>
      </c>
      <c r="FA21">
        <v>14706.016</v>
      </c>
      <c r="FB21">
        <v>15</v>
      </c>
      <c r="FC21">
        <v>1639667071</v>
      </c>
      <c r="FD21" t="s">
        <v>443</v>
      </c>
      <c r="FE21">
        <v>1639667060.5</v>
      </c>
      <c r="FF21">
        <v>1639667071</v>
      </c>
      <c r="FG21">
        <v>6</v>
      </c>
      <c r="FH21">
        <v>2.5999999999999999E-2</v>
      </c>
      <c r="FI21">
        <v>2E-3</v>
      </c>
      <c r="FJ21">
        <v>-1.7030000000000001</v>
      </c>
      <c r="FK21">
        <v>-0.114</v>
      </c>
      <c r="FL21">
        <v>70</v>
      </c>
      <c r="FM21">
        <v>18</v>
      </c>
      <c r="FN21">
        <v>0.12</v>
      </c>
      <c r="FO21">
        <v>0.01</v>
      </c>
      <c r="FP21">
        <v>11.889193785470439</v>
      </c>
      <c r="FQ21">
        <v>-0.21525026044923909</v>
      </c>
      <c r="FR21">
        <v>2.8253283047768661E-2</v>
      </c>
      <c r="FS21">
        <v>1</v>
      </c>
      <c r="FT21">
        <v>0.5562375934066861</v>
      </c>
      <c r="FU21">
        <v>2.1929114668287199E-2</v>
      </c>
      <c r="FV21">
        <v>3.6550010229263008E-3</v>
      </c>
      <c r="FW21">
        <v>1</v>
      </c>
      <c r="FX21">
        <v>2</v>
      </c>
      <c r="FY21">
        <v>2</v>
      </c>
      <c r="FZ21" t="s">
        <v>420</v>
      </c>
      <c r="GA21">
        <v>2.9211399999999998</v>
      </c>
      <c r="GB21">
        <v>2.7449499999999998</v>
      </c>
      <c r="GC21">
        <v>1.5912300000000001E-2</v>
      </c>
      <c r="GD21">
        <v>1.9854900000000002E-2</v>
      </c>
      <c r="GE21">
        <v>0.120294</v>
      </c>
      <c r="GF21">
        <v>9.5318899999999998E-2</v>
      </c>
      <c r="GG21">
        <v>30623.5</v>
      </c>
      <c r="GH21">
        <v>30169</v>
      </c>
      <c r="GI21">
        <v>28331.1</v>
      </c>
      <c r="GJ21">
        <v>28147.3</v>
      </c>
      <c r="GK21">
        <v>34200.800000000003</v>
      </c>
      <c r="GL21">
        <v>35745.800000000003</v>
      </c>
      <c r="GM21">
        <v>42628.4</v>
      </c>
      <c r="GN21">
        <v>43774.8</v>
      </c>
      <c r="GO21">
        <v>1.7982499999999999</v>
      </c>
      <c r="GP21">
        <v>2.0085000000000002</v>
      </c>
      <c r="GQ21">
        <v>4.5657200000000002E-2</v>
      </c>
      <c r="GR21">
        <v>0</v>
      </c>
      <c r="GS21">
        <v>26.835799999999999</v>
      </c>
      <c r="GT21">
        <v>999.9</v>
      </c>
      <c r="GU21">
        <v>53.3</v>
      </c>
      <c r="GV21">
        <v>31.2</v>
      </c>
      <c r="GW21">
        <v>24.407800000000002</v>
      </c>
      <c r="GX21">
        <v>60.967399999999998</v>
      </c>
      <c r="GY21">
        <v>29.843800000000002</v>
      </c>
      <c r="GZ21">
        <v>1</v>
      </c>
      <c r="HA21">
        <v>0.31465199999999999</v>
      </c>
      <c r="HB21">
        <v>2.3712900000000001</v>
      </c>
      <c r="HC21">
        <v>20.263300000000001</v>
      </c>
      <c r="HD21">
        <v>5.2759900000000002</v>
      </c>
      <c r="HE21">
        <v>12.0878</v>
      </c>
      <c r="HF21">
        <v>5.0138499999999997</v>
      </c>
      <c r="HG21">
        <v>3.2918500000000002</v>
      </c>
      <c r="HH21">
        <v>9999</v>
      </c>
      <c r="HI21">
        <v>9999</v>
      </c>
      <c r="HJ21">
        <v>9999</v>
      </c>
      <c r="HK21">
        <v>999.9</v>
      </c>
      <c r="HL21">
        <v>1.87527</v>
      </c>
      <c r="HM21">
        <v>1.87564</v>
      </c>
      <c r="HN21">
        <v>1.8754599999999999</v>
      </c>
      <c r="HO21">
        <v>1.8794299999999999</v>
      </c>
      <c r="HP21">
        <v>1.8728499999999999</v>
      </c>
      <c r="HQ21">
        <v>1.87612</v>
      </c>
      <c r="HR21">
        <v>1.8757699999999999</v>
      </c>
      <c r="HS21">
        <v>1.87721</v>
      </c>
      <c r="HT21">
        <v>0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-1.68</v>
      </c>
      <c r="IH21">
        <v>-3.7000000000000002E-3</v>
      </c>
      <c r="II21">
        <v>-1.591996115256382</v>
      </c>
      <c r="IJ21">
        <v>-1.5404112972462821E-3</v>
      </c>
      <c r="IK21">
        <v>-5.8697186733976997E-8</v>
      </c>
      <c r="IL21">
        <v>1.160237123038427E-10</v>
      </c>
      <c r="IM21">
        <v>-0.185346065707543</v>
      </c>
      <c r="IN21">
        <v>-3.128848753924141E-3</v>
      </c>
      <c r="IO21">
        <v>3.6841110403368089E-4</v>
      </c>
      <c r="IP21">
        <v>1.9296040270694169E-6</v>
      </c>
      <c r="IQ21">
        <v>1</v>
      </c>
      <c r="IR21">
        <v>1992</v>
      </c>
      <c r="IS21">
        <v>2</v>
      </c>
      <c r="IT21">
        <v>27</v>
      </c>
      <c r="IU21">
        <v>0.8</v>
      </c>
      <c r="IV21">
        <v>0.7</v>
      </c>
      <c r="IW21">
        <v>0.316162</v>
      </c>
      <c r="IX21">
        <v>2.6684600000000001</v>
      </c>
      <c r="IY21">
        <v>1.69434</v>
      </c>
      <c r="IZ21">
        <v>2.3559600000000001</v>
      </c>
      <c r="JA21">
        <v>1.5466299999999999</v>
      </c>
      <c r="JB21">
        <v>2.4426299999999999</v>
      </c>
      <c r="JC21">
        <v>35.894399999999997</v>
      </c>
      <c r="JD21">
        <v>23.903600000000001</v>
      </c>
      <c r="JE21">
        <v>18</v>
      </c>
      <c r="JF21">
        <v>530.69899999999996</v>
      </c>
      <c r="JG21">
        <v>556.94100000000003</v>
      </c>
      <c r="JH21">
        <v>24.912700000000001</v>
      </c>
      <c r="JI21">
        <v>31.127199999999998</v>
      </c>
      <c r="JJ21">
        <v>29.9999</v>
      </c>
      <c r="JK21">
        <v>31.098400000000002</v>
      </c>
      <c r="JL21">
        <v>31.0519</v>
      </c>
      <c r="JM21">
        <v>6.4037499999999996</v>
      </c>
      <c r="JN21">
        <v>34.2196</v>
      </c>
      <c r="JO21">
        <v>45.974600000000002</v>
      </c>
      <c r="JP21">
        <v>24.912099999999999</v>
      </c>
      <c r="JQ21">
        <v>70</v>
      </c>
      <c r="JR21">
        <v>17.563600000000001</v>
      </c>
      <c r="JS21">
        <v>99.331199999999995</v>
      </c>
      <c r="JT21">
        <v>98.608900000000006</v>
      </c>
    </row>
    <row r="22" spans="1:280" x14ac:dyDescent="0.25">
      <c r="A22">
        <v>6</v>
      </c>
      <c r="B22">
        <v>1639667224.5</v>
      </c>
      <c r="C22">
        <v>622.40000009536743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1639667224.5</v>
      </c>
      <c r="J22">
        <f t="shared" si="0"/>
        <v>6.436468956127598E-3</v>
      </c>
      <c r="K22">
        <f t="shared" si="1"/>
        <v>6.4364689561275981</v>
      </c>
      <c r="L22">
        <f t="shared" si="2"/>
        <v>5.3154387117505788</v>
      </c>
      <c r="M22">
        <f t="shared" si="3"/>
        <v>23.430299999999999</v>
      </c>
      <c r="N22">
        <f t="shared" si="4"/>
        <v>6.8314692460873738</v>
      </c>
      <c r="O22">
        <f t="shared" si="5"/>
        <v>0.68136667104908399</v>
      </c>
      <c r="P22">
        <f t="shared" si="6"/>
        <v>2.3369241575411999</v>
      </c>
      <c r="Q22">
        <f t="shared" si="7"/>
        <v>0.56977669872303294</v>
      </c>
      <c r="R22">
        <f t="shared" si="8"/>
        <v>2.9245229699439306</v>
      </c>
      <c r="S22">
        <f t="shared" si="9"/>
        <v>0.51452922169718629</v>
      </c>
      <c r="T22">
        <f t="shared" si="10"/>
        <v>0.3260969559334565</v>
      </c>
      <c r="U22">
        <f t="shared" si="11"/>
        <v>289.56647084756861</v>
      </c>
      <c r="V22">
        <f t="shared" si="12"/>
        <v>28.039451737455455</v>
      </c>
      <c r="W22">
        <f t="shared" si="13"/>
        <v>27.5534</v>
      </c>
      <c r="X22">
        <f t="shared" si="14"/>
        <v>3.6971550462646774</v>
      </c>
      <c r="Y22">
        <f t="shared" si="15"/>
        <v>65.545124150918141</v>
      </c>
      <c r="Z22">
        <f t="shared" si="16"/>
        <v>2.4881590158263998</v>
      </c>
      <c r="AA22">
        <f t="shared" si="17"/>
        <v>3.7961008512202903</v>
      </c>
      <c r="AB22">
        <f t="shared" si="18"/>
        <v>1.2089960304382776</v>
      </c>
      <c r="AC22">
        <f t="shared" si="19"/>
        <v>-283.84828096522705</v>
      </c>
      <c r="AD22">
        <f t="shared" si="20"/>
        <v>71.312730889445817</v>
      </c>
      <c r="AE22">
        <f t="shared" si="21"/>
        <v>5.3035711581583991</v>
      </c>
      <c r="AF22">
        <f t="shared" si="22"/>
        <v>82.334491929945756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52548.021824205862</v>
      </c>
      <c r="AL22" t="s">
        <v>415</v>
      </c>
      <c r="AM22">
        <v>10204.299999999999</v>
      </c>
      <c r="AN22">
        <v>862.72538461538477</v>
      </c>
      <c r="AO22">
        <v>3252.56</v>
      </c>
      <c r="AP22">
        <f t="shared" si="26"/>
        <v>0.73475496697512588</v>
      </c>
      <c r="AQ22">
        <v>-6.6684750346205304</v>
      </c>
      <c r="AR22" t="s">
        <v>446</v>
      </c>
      <c r="AS22">
        <v>10029.200000000001</v>
      </c>
      <c r="AT22">
        <v>829.41315384615382</v>
      </c>
      <c r="AU22">
        <v>908.30913716992404</v>
      </c>
      <c r="AV22">
        <f t="shared" si="27"/>
        <v>8.6860277074379599E-2</v>
      </c>
      <c r="AW22">
        <v>0.5</v>
      </c>
      <c r="AX22">
        <f t="shared" si="28"/>
        <v>1513.18469992102</v>
      </c>
      <c r="AY22">
        <f t="shared" si="29"/>
        <v>5.3154387117505788</v>
      </c>
      <c r="AZ22">
        <f t="shared" si="30"/>
        <v>65.717821149925868</v>
      </c>
      <c r="BA22">
        <f t="shared" si="31"/>
        <v>7.919663572461844E-3</v>
      </c>
      <c r="BB22">
        <f t="shared" si="32"/>
        <v>2.5808953878127943</v>
      </c>
      <c r="BC22">
        <f t="shared" si="33"/>
        <v>512.13398510146624</v>
      </c>
      <c r="BD22" t="s">
        <v>447</v>
      </c>
      <c r="BE22">
        <v>580.75</v>
      </c>
      <c r="BF22">
        <f t="shared" si="34"/>
        <v>580.75</v>
      </c>
      <c r="BG22">
        <f t="shared" si="35"/>
        <v>0.36062517018217022</v>
      </c>
      <c r="BH22">
        <f t="shared" si="36"/>
        <v>0.24086027337055255</v>
      </c>
      <c r="BI22">
        <f t="shared" si="37"/>
        <v>0.8774017848687129</v>
      </c>
      <c r="BJ22">
        <f t="shared" si="38"/>
        <v>1.7307917602741043</v>
      </c>
      <c r="BK22">
        <f t="shared" si="39"/>
        <v>0.98092598029123312</v>
      </c>
      <c r="BL22">
        <f t="shared" si="40"/>
        <v>0.16864888519225774</v>
      </c>
      <c r="BM22">
        <f t="shared" si="41"/>
        <v>0.83135111480774226</v>
      </c>
      <c r="BN22">
        <v>4882</v>
      </c>
      <c r="BO22">
        <v>290.00000000000011</v>
      </c>
      <c r="BP22">
        <v>882.86</v>
      </c>
      <c r="BQ22">
        <v>95</v>
      </c>
      <c r="BR22">
        <v>10029.200000000001</v>
      </c>
      <c r="BS22">
        <v>880.87</v>
      </c>
      <c r="BT22">
        <v>1.99</v>
      </c>
      <c r="BU22">
        <v>300.00000000000011</v>
      </c>
      <c r="BV22">
        <v>24.1</v>
      </c>
      <c r="BW22">
        <v>908.30913716992404</v>
      </c>
      <c r="BX22">
        <v>1.684921906518051</v>
      </c>
      <c r="BY22">
        <v>-27.524232300144511</v>
      </c>
      <c r="BZ22">
        <v>1.503275285037224</v>
      </c>
      <c r="CA22">
        <v>0.92291557909861666</v>
      </c>
      <c r="CB22">
        <v>-6.8246941045606293E-3</v>
      </c>
      <c r="CC22">
        <v>289.99999999999989</v>
      </c>
      <c r="CD22">
        <v>877.51</v>
      </c>
      <c r="CE22">
        <v>635</v>
      </c>
      <c r="CF22">
        <v>10002.4</v>
      </c>
      <c r="CG22">
        <v>880.79</v>
      </c>
      <c r="CH22">
        <v>-3.28</v>
      </c>
      <c r="CV22">
        <f t="shared" si="42"/>
        <v>1800</v>
      </c>
      <c r="CW22">
        <f t="shared" si="43"/>
        <v>1513.18469992102</v>
      </c>
      <c r="CX22">
        <f t="shared" si="44"/>
        <v>0.84065816662278892</v>
      </c>
      <c r="CY22">
        <f t="shared" si="45"/>
        <v>0.16087026158198256</v>
      </c>
      <c r="CZ22">
        <v>6</v>
      </c>
      <c r="DA22">
        <v>0.5</v>
      </c>
      <c r="DB22" t="s">
        <v>418</v>
      </c>
      <c r="DC22">
        <v>2</v>
      </c>
      <c r="DD22">
        <v>1639667224.5</v>
      </c>
      <c r="DE22">
        <v>23.430299999999999</v>
      </c>
      <c r="DF22">
        <v>29.987200000000001</v>
      </c>
      <c r="DG22">
        <v>24.9466</v>
      </c>
      <c r="DH22">
        <v>17.418500000000002</v>
      </c>
      <c r="DI22">
        <v>25.015999999999998</v>
      </c>
      <c r="DJ22">
        <v>24.952100000000002</v>
      </c>
      <c r="DK22">
        <v>500.19799999999998</v>
      </c>
      <c r="DL22">
        <v>99.638999999999996</v>
      </c>
      <c r="DM22">
        <v>0.10040399999999999</v>
      </c>
      <c r="DN22">
        <v>28.005700000000001</v>
      </c>
      <c r="DO22">
        <v>27.5534</v>
      </c>
      <c r="DP22">
        <v>999.9</v>
      </c>
      <c r="DQ22">
        <v>0</v>
      </c>
      <c r="DR22">
        <v>0</v>
      </c>
      <c r="DS22">
        <v>10007.5</v>
      </c>
      <c r="DT22">
        <v>0</v>
      </c>
      <c r="DU22">
        <v>351.45</v>
      </c>
      <c r="DV22">
        <v>-6.5569800000000003</v>
      </c>
      <c r="DW22">
        <v>24.029699999999998</v>
      </c>
      <c r="DX22">
        <v>30.518799999999999</v>
      </c>
      <c r="DY22">
        <v>7.5280800000000001</v>
      </c>
      <c r="DZ22">
        <v>29.987200000000001</v>
      </c>
      <c r="EA22">
        <v>17.418500000000002</v>
      </c>
      <c r="EB22">
        <v>2.4856500000000001</v>
      </c>
      <c r="EC22">
        <v>1.73556</v>
      </c>
      <c r="ED22">
        <v>20.9328</v>
      </c>
      <c r="EE22">
        <v>15.2182</v>
      </c>
      <c r="EF22">
        <v>1800</v>
      </c>
      <c r="EG22">
        <v>0.97799800000000003</v>
      </c>
      <c r="EH22">
        <v>2.20015E-2</v>
      </c>
      <c r="EI22">
        <v>0</v>
      </c>
      <c r="EJ22">
        <v>828.90300000000002</v>
      </c>
      <c r="EK22">
        <v>5.0001199999999999</v>
      </c>
      <c r="EL22">
        <v>14976.8</v>
      </c>
      <c r="EM22">
        <v>15630</v>
      </c>
      <c r="EN22">
        <v>50.5</v>
      </c>
      <c r="EO22">
        <v>50.686999999999998</v>
      </c>
      <c r="EP22">
        <v>51.25</v>
      </c>
      <c r="EQ22">
        <v>50.561999999999998</v>
      </c>
      <c r="ER22">
        <v>51.875</v>
      </c>
      <c r="ES22">
        <v>1755.51</v>
      </c>
      <c r="ET22">
        <v>39.49</v>
      </c>
      <c r="EU22">
        <v>0</v>
      </c>
      <c r="EV22">
        <v>112.19999980926509</v>
      </c>
      <c r="EW22">
        <v>0</v>
      </c>
      <c r="EX22">
        <v>829.41315384615382</v>
      </c>
      <c r="EY22">
        <v>2.0102564642148799E-2</v>
      </c>
      <c r="EZ22">
        <v>-22.328205131693981</v>
      </c>
      <c r="FA22">
        <v>14978.93461538462</v>
      </c>
      <c r="FB22">
        <v>15</v>
      </c>
      <c r="FC22">
        <v>1639667188.5</v>
      </c>
      <c r="FD22" t="s">
        <v>448</v>
      </c>
      <c r="FE22">
        <v>1639667186.5</v>
      </c>
      <c r="FF22">
        <v>1639667188.5</v>
      </c>
      <c r="FG22">
        <v>7</v>
      </c>
      <c r="FH22">
        <v>4.4999999999999998E-2</v>
      </c>
      <c r="FI22">
        <v>-1E-3</v>
      </c>
      <c r="FJ22">
        <v>-1.5960000000000001</v>
      </c>
      <c r="FK22">
        <v>-0.11799999999999999</v>
      </c>
      <c r="FL22">
        <v>30</v>
      </c>
      <c r="FM22">
        <v>17</v>
      </c>
      <c r="FN22">
        <v>0.19</v>
      </c>
      <c r="FO22">
        <v>0.01</v>
      </c>
      <c r="FP22">
        <v>5.3669580072547252</v>
      </c>
      <c r="FQ22">
        <v>-7.4504776961836106E-2</v>
      </c>
      <c r="FR22">
        <v>1.3379139161362359E-2</v>
      </c>
      <c r="FS22">
        <v>1</v>
      </c>
      <c r="FT22">
        <v>0.56556086899400715</v>
      </c>
      <c r="FU22">
        <v>4.9862890229861033E-2</v>
      </c>
      <c r="FV22">
        <v>6.5456015445181084E-3</v>
      </c>
      <c r="FW22">
        <v>1</v>
      </c>
      <c r="FX22">
        <v>2</v>
      </c>
      <c r="FY22">
        <v>2</v>
      </c>
      <c r="FZ22" t="s">
        <v>420</v>
      </c>
      <c r="GA22">
        <v>2.9217499999999998</v>
      </c>
      <c r="GB22">
        <v>2.7454399999999999</v>
      </c>
      <c r="GC22">
        <v>7.0469299999999999E-3</v>
      </c>
      <c r="GD22">
        <v>8.6307899999999993E-3</v>
      </c>
      <c r="GE22">
        <v>0.12024799999999999</v>
      </c>
      <c r="GF22">
        <v>9.4567700000000005E-2</v>
      </c>
      <c r="GG22">
        <v>30904.7</v>
      </c>
      <c r="GH22">
        <v>30518.400000000001</v>
      </c>
      <c r="GI22">
        <v>28336.1</v>
      </c>
      <c r="GJ22">
        <v>28151.200000000001</v>
      </c>
      <c r="GK22">
        <v>34208.6</v>
      </c>
      <c r="GL22">
        <v>35780.1</v>
      </c>
      <c r="GM22">
        <v>42635.9</v>
      </c>
      <c r="GN22">
        <v>43780.5</v>
      </c>
      <c r="GO22">
        <v>1.7990999999999999</v>
      </c>
      <c r="GP22">
        <v>2.0074000000000001</v>
      </c>
      <c r="GQ22">
        <v>4.8331899999999997E-2</v>
      </c>
      <c r="GR22">
        <v>0</v>
      </c>
      <c r="GS22">
        <v>26.763200000000001</v>
      </c>
      <c r="GT22">
        <v>999.9</v>
      </c>
      <c r="GU22">
        <v>52.2</v>
      </c>
      <c r="GV22">
        <v>31.4</v>
      </c>
      <c r="GW22">
        <v>24.179300000000001</v>
      </c>
      <c r="GX22">
        <v>61.177399999999999</v>
      </c>
      <c r="GY22">
        <v>29.395</v>
      </c>
      <c r="GZ22">
        <v>1</v>
      </c>
      <c r="HA22">
        <v>0.30899399999999999</v>
      </c>
      <c r="HB22">
        <v>2.24159</v>
      </c>
      <c r="HC22">
        <v>20.264299999999999</v>
      </c>
      <c r="HD22">
        <v>5.2750899999999996</v>
      </c>
      <c r="HE22">
        <v>12.0878</v>
      </c>
      <c r="HF22">
        <v>5.0131500000000004</v>
      </c>
      <c r="HG22">
        <v>3.2917299999999998</v>
      </c>
      <c r="HH22">
        <v>9999</v>
      </c>
      <c r="HI22">
        <v>9999</v>
      </c>
      <c r="HJ22">
        <v>9999</v>
      </c>
      <c r="HK22">
        <v>999.9</v>
      </c>
      <c r="HL22">
        <v>1.8754500000000001</v>
      </c>
      <c r="HM22">
        <v>1.8757999999999999</v>
      </c>
      <c r="HN22">
        <v>1.87561</v>
      </c>
      <c r="HO22">
        <v>1.87958</v>
      </c>
      <c r="HP22">
        <v>1.8730199999999999</v>
      </c>
      <c r="HQ22">
        <v>1.8763000000000001</v>
      </c>
      <c r="HR22">
        <v>1.8759699999999999</v>
      </c>
      <c r="HS22">
        <v>1.8773599999999999</v>
      </c>
      <c r="HT22">
        <v>0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-1.5860000000000001</v>
      </c>
      <c r="IH22">
        <v>-5.4999999999999997E-3</v>
      </c>
      <c r="II22">
        <v>-1.5471816863464081</v>
      </c>
      <c r="IJ22">
        <v>-1.5404112972462821E-3</v>
      </c>
      <c r="IK22">
        <v>-5.8697186733976997E-8</v>
      </c>
      <c r="IL22">
        <v>1.160237123038427E-10</v>
      </c>
      <c r="IM22">
        <v>-0.1868031088845111</v>
      </c>
      <c r="IN22">
        <v>-3.128848753924141E-3</v>
      </c>
      <c r="IO22">
        <v>3.6841110403368089E-4</v>
      </c>
      <c r="IP22">
        <v>1.9296040270694169E-6</v>
      </c>
      <c r="IQ22">
        <v>1</v>
      </c>
      <c r="IR22">
        <v>1992</v>
      </c>
      <c r="IS22">
        <v>2</v>
      </c>
      <c r="IT22">
        <v>27</v>
      </c>
      <c r="IU22">
        <v>0.6</v>
      </c>
      <c r="IV22">
        <v>0.6</v>
      </c>
      <c r="IW22">
        <v>0.22583</v>
      </c>
      <c r="IX22">
        <v>2.67944</v>
      </c>
      <c r="IY22">
        <v>1.69434</v>
      </c>
      <c r="IZ22">
        <v>2.3559600000000001</v>
      </c>
      <c r="JA22">
        <v>1.5466299999999999</v>
      </c>
      <c r="JB22">
        <v>2.4169900000000002</v>
      </c>
      <c r="JC22">
        <v>36.387099999999997</v>
      </c>
      <c r="JD22">
        <v>23.903600000000001</v>
      </c>
      <c r="JE22">
        <v>18</v>
      </c>
      <c r="JF22">
        <v>531.02800000000002</v>
      </c>
      <c r="JG22">
        <v>555.75099999999998</v>
      </c>
      <c r="JH22">
        <v>24.972000000000001</v>
      </c>
      <c r="JI22">
        <v>31.074200000000001</v>
      </c>
      <c r="JJ22">
        <v>29.9998</v>
      </c>
      <c r="JK22">
        <v>31.060500000000001</v>
      </c>
      <c r="JL22">
        <v>31.0167</v>
      </c>
      <c r="JM22">
        <v>4.6104700000000003</v>
      </c>
      <c r="JN22">
        <v>33.621000000000002</v>
      </c>
      <c r="JO22">
        <v>44.192799999999998</v>
      </c>
      <c r="JP22">
        <v>24.9742</v>
      </c>
      <c r="JQ22">
        <v>30</v>
      </c>
      <c r="JR22">
        <v>17.3569</v>
      </c>
      <c r="JS22">
        <v>99.348699999999994</v>
      </c>
      <c r="JT22">
        <v>98.621899999999997</v>
      </c>
    </row>
    <row r="23" spans="1:280" x14ac:dyDescent="0.25">
      <c r="A23">
        <v>7</v>
      </c>
      <c r="B23">
        <v>1639667336.5</v>
      </c>
      <c r="C23">
        <v>734.40000009536743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1639667336.5</v>
      </c>
      <c r="J23">
        <f t="shared" si="0"/>
        <v>6.5321464545048426E-3</v>
      </c>
      <c r="K23">
        <f t="shared" si="1"/>
        <v>6.5321464545048427</v>
      </c>
      <c r="L23">
        <f t="shared" si="2"/>
        <v>1.9445807423248396</v>
      </c>
      <c r="M23">
        <f t="shared" si="3"/>
        <v>7.6283200000000004</v>
      </c>
      <c r="N23">
        <f t="shared" si="4"/>
        <v>1.673504388473644</v>
      </c>
      <c r="O23">
        <f t="shared" si="5"/>
        <v>0.16690901524780793</v>
      </c>
      <c r="P23">
        <f t="shared" si="6"/>
        <v>0.76081986277696001</v>
      </c>
      <c r="Q23">
        <f t="shared" si="7"/>
        <v>0.58043472794358575</v>
      </c>
      <c r="R23">
        <f t="shared" si="8"/>
        <v>2.9225027662309131</v>
      </c>
      <c r="S23">
        <f t="shared" si="9"/>
        <v>0.52317658155389823</v>
      </c>
      <c r="T23">
        <f t="shared" si="10"/>
        <v>0.33165782297302887</v>
      </c>
      <c r="U23">
        <f t="shared" si="11"/>
        <v>289.57125884757113</v>
      </c>
      <c r="V23">
        <f t="shared" si="12"/>
        <v>28.01318074989581</v>
      </c>
      <c r="W23">
        <f t="shared" si="13"/>
        <v>27.5303</v>
      </c>
      <c r="X23">
        <f t="shared" si="14"/>
        <v>3.6921626390643145</v>
      </c>
      <c r="Y23">
        <f t="shared" si="15"/>
        <v>65.479544570840801</v>
      </c>
      <c r="Z23">
        <f t="shared" si="16"/>
        <v>2.4854666962512</v>
      </c>
      <c r="AA23">
        <f t="shared" si="17"/>
        <v>3.7957910558804078</v>
      </c>
      <c r="AB23">
        <f t="shared" si="18"/>
        <v>1.2066959428131145</v>
      </c>
      <c r="AC23">
        <f t="shared" si="19"/>
        <v>-288.06765864366355</v>
      </c>
      <c r="AD23">
        <f t="shared" si="20"/>
        <v>74.682477369061459</v>
      </c>
      <c r="AE23">
        <f t="shared" si="21"/>
        <v>5.5573418693427756</v>
      </c>
      <c r="AF23">
        <f t="shared" si="22"/>
        <v>81.743419442311833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52490.134458952933</v>
      </c>
      <c r="AL23" t="s">
        <v>415</v>
      </c>
      <c r="AM23">
        <v>10204.299999999999</v>
      </c>
      <c r="AN23">
        <v>862.72538461538477</v>
      </c>
      <c r="AO23">
        <v>3252.56</v>
      </c>
      <c r="AP23">
        <f t="shared" si="26"/>
        <v>0.73475496697512588</v>
      </c>
      <c r="AQ23">
        <v>-6.6684750346205304</v>
      </c>
      <c r="AR23" t="s">
        <v>451</v>
      </c>
      <c r="AS23">
        <v>10028.1</v>
      </c>
      <c r="AT23">
        <v>836.81057692307695</v>
      </c>
      <c r="AU23">
        <v>894.19682256464466</v>
      </c>
      <c r="AV23">
        <f t="shared" si="27"/>
        <v>6.4176302345806069E-2</v>
      </c>
      <c r="AW23">
        <v>0.5</v>
      </c>
      <c r="AX23">
        <f t="shared" si="28"/>
        <v>1513.2098999210214</v>
      </c>
      <c r="AY23">
        <f t="shared" si="29"/>
        <v>1.9445807423248396</v>
      </c>
      <c r="AZ23">
        <f t="shared" si="30"/>
        <v>48.556108024999205</v>
      </c>
      <c r="BA23">
        <f t="shared" si="31"/>
        <v>5.6919108032500373E-3</v>
      </c>
      <c r="BB23">
        <f t="shared" si="32"/>
        <v>2.6374094806905455</v>
      </c>
      <c r="BC23">
        <f t="shared" si="33"/>
        <v>507.61697380728663</v>
      </c>
      <c r="BD23" t="s">
        <v>452</v>
      </c>
      <c r="BE23">
        <v>590.83000000000004</v>
      </c>
      <c r="BF23">
        <f t="shared" si="34"/>
        <v>590.83000000000004</v>
      </c>
      <c r="BG23">
        <f t="shared" si="35"/>
        <v>0.33926179886723218</v>
      </c>
      <c r="BH23">
        <f t="shared" si="36"/>
        <v>0.18916454065882318</v>
      </c>
      <c r="BI23">
        <f t="shared" si="37"/>
        <v>0.88602644800011843</v>
      </c>
      <c r="BJ23">
        <f t="shared" si="38"/>
        <v>1.8234389459448659</v>
      </c>
      <c r="BK23">
        <f t="shared" si="39"/>
        <v>0.98683112306321885</v>
      </c>
      <c r="BL23">
        <f t="shared" si="40"/>
        <v>0.13355959955526031</v>
      </c>
      <c r="BM23">
        <f t="shared" si="41"/>
        <v>0.86644040044473969</v>
      </c>
      <c r="BN23">
        <v>4884</v>
      </c>
      <c r="BO23">
        <v>290.00000000000011</v>
      </c>
      <c r="BP23">
        <v>878.74</v>
      </c>
      <c r="BQ23">
        <v>105</v>
      </c>
      <c r="BR23">
        <v>10028.1</v>
      </c>
      <c r="BS23">
        <v>874.7</v>
      </c>
      <c r="BT23">
        <v>4.04</v>
      </c>
      <c r="BU23">
        <v>300.00000000000011</v>
      </c>
      <c r="BV23">
        <v>24.1</v>
      </c>
      <c r="BW23">
        <v>894.19682256464466</v>
      </c>
      <c r="BX23">
        <v>2.7312821467510782</v>
      </c>
      <c r="BY23">
        <v>-19.54839237978047</v>
      </c>
      <c r="BZ23">
        <v>2.4368464262637199</v>
      </c>
      <c r="CA23">
        <v>0.69681400944315397</v>
      </c>
      <c r="CB23">
        <v>-6.8247766407119109E-3</v>
      </c>
      <c r="CC23">
        <v>289.99999999999989</v>
      </c>
      <c r="CD23">
        <v>872.44</v>
      </c>
      <c r="CE23">
        <v>625</v>
      </c>
      <c r="CF23">
        <v>10003</v>
      </c>
      <c r="CG23">
        <v>874.65</v>
      </c>
      <c r="CH23">
        <v>-2.21</v>
      </c>
      <c r="CV23">
        <f t="shared" si="42"/>
        <v>1800.03</v>
      </c>
      <c r="CW23">
        <f t="shared" si="43"/>
        <v>1513.2098999210214</v>
      </c>
      <c r="CX23">
        <f t="shared" si="44"/>
        <v>0.84065815565352875</v>
      </c>
      <c r="CY23">
        <f t="shared" si="45"/>
        <v>0.16087024041131046</v>
      </c>
      <c r="CZ23">
        <v>6</v>
      </c>
      <c r="DA23">
        <v>0.5</v>
      </c>
      <c r="DB23" t="s">
        <v>418</v>
      </c>
      <c r="DC23">
        <v>2</v>
      </c>
      <c r="DD23">
        <v>1639667336.5</v>
      </c>
      <c r="DE23">
        <v>7.6283200000000004</v>
      </c>
      <c r="DF23">
        <v>10.021100000000001</v>
      </c>
      <c r="DG23">
        <v>24.920400000000001</v>
      </c>
      <c r="DH23">
        <v>17.2788</v>
      </c>
      <c r="DI23">
        <v>9.2048699999999997</v>
      </c>
      <c r="DJ23">
        <v>24.923500000000001</v>
      </c>
      <c r="DK23">
        <v>500.10700000000003</v>
      </c>
      <c r="DL23">
        <v>99.636200000000002</v>
      </c>
      <c r="DM23">
        <v>0.10002800000000001</v>
      </c>
      <c r="DN23">
        <v>28.004300000000001</v>
      </c>
      <c r="DO23">
        <v>27.5303</v>
      </c>
      <c r="DP23">
        <v>999.9</v>
      </c>
      <c r="DQ23">
        <v>0</v>
      </c>
      <c r="DR23">
        <v>0</v>
      </c>
      <c r="DS23">
        <v>9996.25</v>
      </c>
      <c r="DT23">
        <v>0</v>
      </c>
      <c r="DU23">
        <v>363.10199999999998</v>
      </c>
      <c r="DV23">
        <v>-2.3928099999999999</v>
      </c>
      <c r="DW23">
        <v>7.8232799999999996</v>
      </c>
      <c r="DX23">
        <v>10.1973</v>
      </c>
      <c r="DY23">
        <v>7.6416700000000004</v>
      </c>
      <c r="DZ23">
        <v>10.021100000000001</v>
      </c>
      <c r="EA23">
        <v>17.2788</v>
      </c>
      <c r="EB23">
        <v>2.48298</v>
      </c>
      <c r="EC23">
        <v>1.72159</v>
      </c>
      <c r="ED23">
        <v>20.915400000000002</v>
      </c>
      <c r="EE23">
        <v>15.092499999999999</v>
      </c>
      <c r="EF23">
        <v>1800.03</v>
      </c>
      <c r="EG23">
        <v>0.97799800000000003</v>
      </c>
      <c r="EH23">
        <v>2.20015E-2</v>
      </c>
      <c r="EI23">
        <v>0</v>
      </c>
      <c r="EJ23">
        <v>836.98199999999997</v>
      </c>
      <c r="EK23">
        <v>5.0001199999999999</v>
      </c>
      <c r="EL23">
        <v>15116</v>
      </c>
      <c r="EM23">
        <v>15630.2</v>
      </c>
      <c r="EN23">
        <v>50.561999999999998</v>
      </c>
      <c r="EO23">
        <v>50.75</v>
      </c>
      <c r="EP23">
        <v>51.311999999999998</v>
      </c>
      <c r="EQ23">
        <v>50.686999999999998</v>
      </c>
      <c r="ER23">
        <v>51.875</v>
      </c>
      <c r="ES23">
        <v>1755.54</v>
      </c>
      <c r="ET23">
        <v>39.49</v>
      </c>
      <c r="EU23">
        <v>0</v>
      </c>
      <c r="EV23">
        <v>109.7999999523163</v>
      </c>
      <c r="EW23">
        <v>0</v>
      </c>
      <c r="EX23">
        <v>836.81057692307695</v>
      </c>
      <c r="EY23">
        <v>0.51449572083776951</v>
      </c>
      <c r="EZ23">
        <v>-1.292307674036719</v>
      </c>
      <c r="FA23">
        <v>15116.01538461539</v>
      </c>
      <c r="FB23">
        <v>15</v>
      </c>
      <c r="FC23">
        <v>1639667299</v>
      </c>
      <c r="FD23" t="s">
        <v>453</v>
      </c>
      <c r="FE23">
        <v>1639667290.5</v>
      </c>
      <c r="FF23">
        <v>1639667299</v>
      </c>
      <c r="FG23">
        <v>8</v>
      </c>
      <c r="FH23">
        <v>-1.4999999999999999E-2</v>
      </c>
      <c r="FI23">
        <v>3.0000000000000001E-3</v>
      </c>
      <c r="FJ23">
        <v>-1.58</v>
      </c>
      <c r="FK23">
        <v>-0.11700000000000001</v>
      </c>
      <c r="FL23">
        <v>10</v>
      </c>
      <c r="FM23">
        <v>17</v>
      </c>
      <c r="FN23">
        <v>0.43</v>
      </c>
      <c r="FO23">
        <v>0.01</v>
      </c>
      <c r="FP23">
        <v>1.948408369751145</v>
      </c>
      <c r="FQ23">
        <v>-0.1219813670934292</v>
      </c>
      <c r="FR23">
        <v>1.5493443379681979E-2</v>
      </c>
      <c r="FS23">
        <v>1</v>
      </c>
      <c r="FT23">
        <v>0.58058265911271323</v>
      </c>
      <c r="FU23">
        <v>2.992230592914805E-2</v>
      </c>
      <c r="FV23">
        <v>4.4861832060097374E-3</v>
      </c>
      <c r="FW23">
        <v>1</v>
      </c>
      <c r="FX23">
        <v>2</v>
      </c>
      <c r="FY23">
        <v>2</v>
      </c>
      <c r="FZ23" t="s">
        <v>420</v>
      </c>
      <c r="GA23">
        <v>2.92164</v>
      </c>
      <c r="GB23">
        <v>2.7449699999999999</v>
      </c>
      <c r="GC23">
        <v>2.6013799999999999E-3</v>
      </c>
      <c r="GD23">
        <v>2.8980299999999998E-3</v>
      </c>
      <c r="GE23">
        <v>0.12016300000000001</v>
      </c>
      <c r="GF23">
        <v>9.4030500000000003E-2</v>
      </c>
      <c r="GG23">
        <v>31048.1</v>
      </c>
      <c r="GH23">
        <v>30701.599999999999</v>
      </c>
      <c r="GI23">
        <v>28340.5</v>
      </c>
      <c r="GJ23">
        <v>28157.200000000001</v>
      </c>
      <c r="GK23">
        <v>34216.800000000003</v>
      </c>
      <c r="GL23">
        <v>35808.699999999997</v>
      </c>
      <c r="GM23">
        <v>42642.2</v>
      </c>
      <c r="GN23">
        <v>43789.599999999999</v>
      </c>
      <c r="GO23">
        <v>1.7999499999999999</v>
      </c>
      <c r="GP23">
        <v>2.0068800000000002</v>
      </c>
      <c r="GQ23">
        <v>5.1483500000000001E-2</v>
      </c>
      <c r="GR23">
        <v>0</v>
      </c>
      <c r="GS23">
        <v>26.688500000000001</v>
      </c>
      <c r="GT23">
        <v>999.9</v>
      </c>
      <c r="GU23">
        <v>51.2</v>
      </c>
      <c r="GV23">
        <v>31.5</v>
      </c>
      <c r="GW23">
        <v>23.854199999999999</v>
      </c>
      <c r="GX23">
        <v>61.167400000000001</v>
      </c>
      <c r="GY23">
        <v>29.431100000000001</v>
      </c>
      <c r="GZ23">
        <v>1</v>
      </c>
      <c r="HA23">
        <v>0.30235000000000001</v>
      </c>
      <c r="HB23">
        <v>2.1718600000000001</v>
      </c>
      <c r="HC23">
        <v>20.264800000000001</v>
      </c>
      <c r="HD23">
        <v>5.27569</v>
      </c>
      <c r="HE23">
        <v>12.0878</v>
      </c>
      <c r="HF23">
        <v>5.0143500000000003</v>
      </c>
      <c r="HG23">
        <v>3.2919</v>
      </c>
      <c r="HH23">
        <v>9999</v>
      </c>
      <c r="HI23">
        <v>9999</v>
      </c>
      <c r="HJ23">
        <v>9999</v>
      </c>
      <c r="HK23">
        <v>999.9</v>
      </c>
      <c r="HL23">
        <v>1.87547</v>
      </c>
      <c r="HM23">
        <v>1.87592</v>
      </c>
      <c r="HN23">
        <v>1.87565</v>
      </c>
      <c r="HO23">
        <v>1.87961</v>
      </c>
      <c r="HP23">
        <v>1.8730599999999999</v>
      </c>
      <c r="HQ23">
        <v>1.8763700000000001</v>
      </c>
      <c r="HR23">
        <v>1.8760699999999999</v>
      </c>
      <c r="HS23">
        <v>1.87744</v>
      </c>
      <c r="HT23">
        <v>0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-1.577</v>
      </c>
      <c r="IH23">
        <v>-3.0999999999999999E-3</v>
      </c>
      <c r="II23">
        <v>-1.562374100602365</v>
      </c>
      <c r="IJ23">
        <v>-1.5404112972462821E-3</v>
      </c>
      <c r="IK23">
        <v>-5.8697186733976997E-8</v>
      </c>
      <c r="IL23">
        <v>1.160237123038427E-10</v>
      </c>
      <c r="IM23">
        <v>-0.18381685766613229</v>
      </c>
      <c r="IN23">
        <v>-3.128848753924141E-3</v>
      </c>
      <c r="IO23">
        <v>3.6841110403368089E-4</v>
      </c>
      <c r="IP23">
        <v>1.9296040270694169E-6</v>
      </c>
      <c r="IQ23">
        <v>1</v>
      </c>
      <c r="IR23">
        <v>1992</v>
      </c>
      <c r="IS23">
        <v>2</v>
      </c>
      <c r="IT23">
        <v>27</v>
      </c>
      <c r="IU23">
        <v>0.8</v>
      </c>
      <c r="IV23">
        <v>0.6</v>
      </c>
      <c r="IW23">
        <v>0.18188499999999999</v>
      </c>
      <c r="IX23">
        <v>2.7087400000000001</v>
      </c>
      <c r="IY23">
        <v>1.69434</v>
      </c>
      <c r="IZ23">
        <v>2.3547400000000001</v>
      </c>
      <c r="JA23">
        <v>1.5466299999999999</v>
      </c>
      <c r="JB23">
        <v>2.33521</v>
      </c>
      <c r="JC23">
        <v>36.7654</v>
      </c>
      <c r="JD23">
        <v>23.8949</v>
      </c>
      <c r="JE23">
        <v>18</v>
      </c>
      <c r="JF23">
        <v>531.21600000000001</v>
      </c>
      <c r="JG23">
        <v>554.86300000000006</v>
      </c>
      <c r="JH23">
        <v>25.022400000000001</v>
      </c>
      <c r="JI23">
        <v>31.008600000000001</v>
      </c>
      <c r="JJ23">
        <v>29.9998</v>
      </c>
      <c r="JK23">
        <v>31.008099999999999</v>
      </c>
      <c r="JL23">
        <v>30.966899999999999</v>
      </c>
      <c r="JM23">
        <v>3.7308500000000002</v>
      </c>
      <c r="JN23">
        <v>33.220399999999998</v>
      </c>
      <c r="JO23">
        <v>42.426000000000002</v>
      </c>
      <c r="JP23">
        <v>25.022099999999998</v>
      </c>
      <c r="JQ23">
        <v>10</v>
      </c>
      <c r="JR23">
        <v>17.2133</v>
      </c>
      <c r="JS23">
        <v>99.363600000000005</v>
      </c>
      <c r="JT23">
        <v>98.642700000000005</v>
      </c>
    </row>
    <row r="24" spans="1:280" x14ac:dyDescent="0.25">
      <c r="A24">
        <v>8</v>
      </c>
      <c r="B24">
        <v>1639667526</v>
      </c>
      <c r="C24">
        <v>923.90000009536743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1639667526</v>
      </c>
      <c r="J24">
        <f t="shared" si="0"/>
        <v>6.2036843406613126E-3</v>
      </c>
      <c r="K24">
        <f t="shared" si="1"/>
        <v>6.2036843406613125</v>
      </c>
      <c r="L24">
        <f t="shared" si="2"/>
        <v>40.557717084881183</v>
      </c>
      <c r="M24">
        <f t="shared" si="3"/>
        <v>348.73</v>
      </c>
      <c r="N24">
        <f t="shared" si="4"/>
        <v>211.48918260371246</v>
      </c>
      <c r="O24">
        <f t="shared" si="5"/>
        <v>21.091684846285847</v>
      </c>
      <c r="P24">
        <f t="shared" si="6"/>
        <v>34.778626338670001</v>
      </c>
      <c r="Q24">
        <f t="shared" si="7"/>
        <v>0.53580745444999434</v>
      </c>
      <c r="R24">
        <f t="shared" si="8"/>
        <v>2.9232488206787357</v>
      </c>
      <c r="S24">
        <f t="shared" si="9"/>
        <v>0.48662799266322382</v>
      </c>
      <c r="T24">
        <f t="shared" si="10"/>
        <v>0.30818403280111661</v>
      </c>
      <c r="U24">
        <f t="shared" si="11"/>
        <v>289.59577784754521</v>
      </c>
      <c r="V24">
        <f t="shared" si="12"/>
        <v>28.113656297040052</v>
      </c>
      <c r="W24">
        <f t="shared" si="13"/>
        <v>27.5441</v>
      </c>
      <c r="X24">
        <f t="shared" si="14"/>
        <v>3.695144408121072</v>
      </c>
      <c r="Y24">
        <f t="shared" si="15"/>
        <v>64.832138391451693</v>
      </c>
      <c r="Z24">
        <f t="shared" si="16"/>
        <v>2.463016473163</v>
      </c>
      <c r="AA24">
        <f t="shared" si="17"/>
        <v>3.7990671513740413</v>
      </c>
      <c r="AB24">
        <f t="shared" si="18"/>
        <v>1.232127934958072</v>
      </c>
      <c r="AC24">
        <f t="shared" si="19"/>
        <v>-273.58247942316387</v>
      </c>
      <c r="AD24">
        <f t="shared" si="20"/>
        <v>74.859140449705421</v>
      </c>
      <c r="AE24">
        <f t="shared" si="21"/>
        <v>5.5698606161231172</v>
      </c>
      <c r="AF24">
        <f t="shared" si="22"/>
        <v>96.442299490209848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52508.846426739779</v>
      </c>
      <c r="AL24" t="s">
        <v>415</v>
      </c>
      <c r="AM24">
        <v>10204.299999999999</v>
      </c>
      <c r="AN24">
        <v>862.72538461538477</v>
      </c>
      <c r="AO24">
        <v>3252.56</v>
      </c>
      <c r="AP24">
        <f t="shared" si="26"/>
        <v>0.73475496697512588</v>
      </c>
      <c r="AQ24">
        <v>-6.6684750346205304</v>
      </c>
      <c r="AR24" t="s">
        <v>456</v>
      </c>
      <c r="AS24">
        <v>10014.6</v>
      </c>
      <c r="AT24">
        <v>760.65026923076925</v>
      </c>
      <c r="AU24">
        <v>1023.387509038621</v>
      </c>
      <c r="AV24">
        <f t="shared" si="27"/>
        <v>0.25673289686198086</v>
      </c>
      <c r="AW24">
        <v>0.5</v>
      </c>
      <c r="AX24">
        <f t="shared" si="28"/>
        <v>1513.3361999210078</v>
      </c>
      <c r="AY24">
        <f t="shared" si="29"/>
        <v>40.557717084881183</v>
      </c>
      <c r="AZ24">
        <f t="shared" si="30"/>
        <v>194.26159326591107</v>
      </c>
      <c r="BA24">
        <f t="shared" si="31"/>
        <v>3.1206675768389598E-2</v>
      </c>
      <c r="BB24">
        <f t="shared" si="32"/>
        <v>2.1782291373240259</v>
      </c>
      <c r="BC24">
        <f t="shared" si="33"/>
        <v>546.80239464120325</v>
      </c>
      <c r="BD24" t="s">
        <v>457</v>
      </c>
      <c r="BE24">
        <v>584.76</v>
      </c>
      <c r="BF24">
        <f t="shared" si="34"/>
        <v>584.76</v>
      </c>
      <c r="BG24">
        <f t="shared" si="35"/>
        <v>0.42860353987579103</v>
      </c>
      <c r="BH24">
        <f t="shared" si="36"/>
        <v>0.5989985452205594</v>
      </c>
      <c r="BI24">
        <f t="shared" si="37"/>
        <v>0.83558456067223141</v>
      </c>
      <c r="BJ24">
        <f t="shared" si="38"/>
        <v>1.6353402567721342</v>
      </c>
      <c r="BK24">
        <f t="shared" si="39"/>
        <v>0.93277270176397564</v>
      </c>
      <c r="BL24">
        <f t="shared" si="40"/>
        <v>0.46048808956236337</v>
      </c>
      <c r="BM24">
        <f t="shared" si="41"/>
        <v>0.53951191043763669</v>
      </c>
      <c r="BN24">
        <v>4886</v>
      </c>
      <c r="BO24">
        <v>290.00000000000011</v>
      </c>
      <c r="BP24">
        <v>961.91</v>
      </c>
      <c r="BQ24">
        <v>285</v>
      </c>
      <c r="BR24">
        <v>10014.6</v>
      </c>
      <c r="BS24">
        <v>962.59</v>
      </c>
      <c r="BT24">
        <v>-0.68</v>
      </c>
      <c r="BU24">
        <v>300.00000000000011</v>
      </c>
      <c r="BV24">
        <v>24.1</v>
      </c>
      <c r="BW24">
        <v>1023.387509038621</v>
      </c>
      <c r="BX24">
        <v>2.0529104816704979</v>
      </c>
      <c r="BY24">
        <v>-60.889951616440612</v>
      </c>
      <c r="BZ24">
        <v>1.8321142302868869</v>
      </c>
      <c r="CA24">
        <v>0.97527707312865164</v>
      </c>
      <c r="CB24">
        <v>-6.8266760845383844E-3</v>
      </c>
      <c r="CC24">
        <v>289.99999999999989</v>
      </c>
      <c r="CD24">
        <v>962.54</v>
      </c>
      <c r="CE24">
        <v>645</v>
      </c>
      <c r="CF24">
        <v>10004.799999999999</v>
      </c>
      <c r="CG24">
        <v>962.53</v>
      </c>
      <c r="CH24">
        <v>0.01</v>
      </c>
      <c r="CV24">
        <f t="shared" si="42"/>
        <v>1800.18</v>
      </c>
      <c r="CW24">
        <f t="shared" si="43"/>
        <v>1513.3361999210078</v>
      </c>
      <c r="CX24">
        <f t="shared" si="44"/>
        <v>0.84065826746270256</v>
      </c>
      <c r="CY24">
        <f t="shared" si="45"/>
        <v>0.16087045620301593</v>
      </c>
      <c r="CZ24">
        <v>6</v>
      </c>
      <c r="DA24">
        <v>0.5</v>
      </c>
      <c r="DB24" t="s">
        <v>418</v>
      </c>
      <c r="DC24">
        <v>2</v>
      </c>
      <c r="DD24">
        <v>1639667526</v>
      </c>
      <c r="DE24">
        <v>348.73</v>
      </c>
      <c r="DF24">
        <v>399.98500000000001</v>
      </c>
      <c r="DG24">
        <v>24.696999999999999</v>
      </c>
      <c r="DH24">
        <v>17.437899999999999</v>
      </c>
      <c r="DI24">
        <v>350.94600000000003</v>
      </c>
      <c r="DJ24">
        <v>24.701599999999999</v>
      </c>
      <c r="DK24">
        <v>500.101</v>
      </c>
      <c r="DL24">
        <v>99.629300000000001</v>
      </c>
      <c r="DM24">
        <v>0.100079</v>
      </c>
      <c r="DN24">
        <v>28.019100000000002</v>
      </c>
      <c r="DO24">
        <v>27.5441</v>
      </c>
      <c r="DP24">
        <v>999.9</v>
      </c>
      <c r="DQ24">
        <v>0</v>
      </c>
      <c r="DR24">
        <v>0</v>
      </c>
      <c r="DS24">
        <v>10001.200000000001</v>
      </c>
      <c r="DT24">
        <v>0</v>
      </c>
      <c r="DU24">
        <v>383.50700000000001</v>
      </c>
      <c r="DV24">
        <v>-51.255000000000003</v>
      </c>
      <c r="DW24">
        <v>357.56099999999998</v>
      </c>
      <c r="DX24">
        <v>407.084</v>
      </c>
      <c r="DY24">
        <v>7.2590399999999997</v>
      </c>
      <c r="DZ24">
        <v>399.98500000000001</v>
      </c>
      <c r="EA24">
        <v>17.437899999999999</v>
      </c>
      <c r="EB24">
        <v>2.4605399999999999</v>
      </c>
      <c r="EC24">
        <v>1.73733</v>
      </c>
      <c r="ED24">
        <v>20.767800000000001</v>
      </c>
      <c r="EE24">
        <v>15.234</v>
      </c>
      <c r="EF24">
        <v>1800.18</v>
      </c>
      <c r="EG24">
        <v>0.97799499999999995</v>
      </c>
      <c r="EH24">
        <v>2.2004900000000001E-2</v>
      </c>
      <c r="EI24">
        <v>0</v>
      </c>
      <c r="EJ24">
        <v>760.31799999999998</v>
      </c>
      <c r="EK24">
        <v>5.0001199999999999</v>
      </c>
      <c r="EL24">
        <v>13765.3</v>
      </c>
      <c r="EM24">
        <v>15631.6</v>
      </c>
      <c r="EN24">
        <v>50.375</v>
      </c>
      <c r="EO24">
        <v>50.561999999999998</v>
      </c>
      <c r="EP24">
        <v>51.061999999999998</v>
      </c>
      <c r="EQ24">
        <v>50.311999999999998</v>
      </c>
      <c r="ER24">
        <v>51.686999999999998</v>
      </c>
      <c r="ES24">
        <v>1755.68</v>
      </c>
      <c r="ET24">
        <v>39.5</v>
      </c>
      <c r="EU24">
        <v>0</v>
      </c>
      <c r="EV24">
        <v>187.79999995231631</v>
      </c>
      <c r="EW24">
        <v>0</v>
      </c>
      <c r="EX24">
        <v>760.65026923076925</v>
      </c>
      <c r="EY24">
        <v>-4.7152478659178829</v>
      </c>
      <c r="EZ24">
        <v>-103.4119658446614</v>
      </c>
      <c r="FA24">
        <v>13775.561538461539</v>
      </c>
      <c r="FB24">
        <v>15</v>
      </c>
      <c r="FC24">
        <v>1639667416.5</v>
      </c>
      <c r="FD24" t="s">
        <v>458</v>
      </c>
      <c r="FE24">
        <v>1639667407</v>
      </c>
      <c r="FF24">
        <v>1639667416.5</v>
      </c>
      <c r="FG24">
        <v>9</v>
      </c>
      <c r="FH24">
        <v>-0.11</v>
      </c>
      <c r="FI24">
        <v>3.0000000000000001E-3</v>
      </c>
      <c r="FJ24">
        <v>-2.2949999999999999</v>
      </c>
      <c r="FK24">
        <v>-0.114</v>
      </c>
      <c r="FL24">
        <v>400</v>
      </c>
      <c r="FM24">
        <v>17</v>
      </c>
      <c r="FN24">
        <v>0.06</v>
      </c>
      <c r="FO24">
        <v>0.01</v>
      </c>
      <c r="FP24">
        <v>39.6571759391244</v>
      </c>
      <c r="FQ24">
        <v>5.1606844783607624</v>
      </c>
      <c r="FR24">
        <v>0.49683609994951661</v>
      </c>
      <c r="FS24">
        <v>0</v>
      </c>
      <c r="FT24">
        <v>0.54217807379713212</v>
      </c>
      <c r="FU24">
        <v>-2.7954896076436309E-2</v>
      </c>
      <c r="FV24">
        <v>3.03713080582891E-3</v>
      </c>
      <c r="FW24">
        <v>1</v>
      </c>
      <c r="FX24">
        <v>1</v>
      </c>
      <c r="FY24">
        <v>2</v>
      </c>
      <c r="FZ24" t="s">
        <v>459</v>
      </c>
      <c r="GA24">
        <v>2.9217300000000002</v>
      </c>
      <c r="GB24">
        <v>2.7450600000000001</v>
      </c>
      <c r="GC24">
        <v>8.3031599999999997E-2</v>
      </c>
      <c r="GD24">
        <v>9.3443399999999996E-2</v>
      </c>
      <c r="GE24">
        <v>0.11942700000000001</v>
      </c>
      <c r="GF24">
        <v>9.4658099999999995E-2</v>
      </c>
      <c r="GG24">
        <v>28548.400000000001</v>
      </c>
      <c r="GH24">
        <v>27917.8</v>
      </c>
      <c r="GI24">
        <v>28342.2</v>
      </c>
      <c r="GJ24">
        <v>28159.200000000001</v>
      </c>
      <c r="GK24">
        <v>34246.800000000003</v>
      </c>
      <c r="GL24">
        <v>35786.800000000003</v>
      </c>
      <c r="GM24">
        <v>42644.3</v>
      </c>
      <c r="GN24">
        <v>43794.1</v>
      </c>
      <c r="GO24">
        <v>1.8008200000000001</v>
      </c>
      <c r="GP24">
        <v>2.0066799999999998</v>
      </c>
      <c r="GQ24">
        <v>4.1365600000000002E-2</v>
      </c>
      <c r="GR24">
        <v>0</v>
      </c>
      <c r="GS24">
        <v>26.867899999999999</v>
      </c>
      <c r="GT24">
        <v>999.9</v>
      </c>
      <c r="GU24">
        <v>49.6</v>
      </c>
      <c r="GV24">
        <v>31.7</v>
      </c>
      <c r="GW24">
        <v>23.372599999999998</v>
      </c>
      <c r="GX24">
        <v>61.307499999999997</v>
      </c>
      <c r="GY24">
        <v>29.447099999999999</v>
      </c>
      <c r="GZ24">
        <v>1</v>
      </c>
      <c r="HA24">
        <v>0.300259</v>
      </c>
      <c r="HB24">
        <v>2.45323</v>
      </c>
      <c r="HC24">
        <v>20.2605</v>
      </c>
      <c r="HD24">
        <v>5.27494</v>
      </c>
      <c r="HE24">
        <v>12.0878</v>
      </c>
      <c r="HF24">
        <v>5.0140500000000001</v>
      </c>
      <c r="HG24">
        <v>3.2919200000000002</v>
      </c>
      <c r="HH24">
        <v>9999</v>
      </c>
      <c r="HI24">
        <v>9999</v>
      </c>
      <c r="HJ24">
        <v>9999</v>
      </c>
      <c r="HK24">
        <v>999.9</v>
      </c>
      <c r="HL24">
        <v>1.8755500000000001</v>
      </c>
      <c r="HM24">
        <v>1.8759999999999999</v>
      </c>
      <c r="HN24">
        <v>1.8757600000000001</v>
      </c>
      <c r="HO24">
        <v>1.87971</v>
      </c>
      <c r="HP24">
        <v>1.8731599999999999</v>
      </c>
      <c r="HQ24">
        <v>1.8763799999999999</v>
      </c>
      <c r="HR24">
        <v>1.8761099999999999</v>
      </c>
      <c r="HS24">
        <v>1.87758</v>
      </c>
      <c r="HT24">
        <v>0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-2.2160000000000002</v>
      </c>
      <c r="IH24">
        <v>-4.5999999999999999E-3</v>
      </c>
      <c r="II24">
        <v>-1.6726396130980721</v>
      </c>
      <c r="IJ24">
        <v>-1.5404112972462821E-3</v>
      </c>
      <c r="IK24">
        <v>-5.8697186733976997E-8</v>
      </c>
      <c r="IL24">
        <v>1.160237123038427E-10</v>
      </c>
      <c r="IM24">
        <v>-0.1812180055596663</v>
      </c>
      <c r="IN24">
        <v>-3.128848753924141E-3</v>
      </c>
      <c r="IO24">
        <v>3.6841110403368089E-4</v>
      </c>
      <c r="IP24">
        <v>1.9296040270694169E-6</v>
      </c>
      <c r="IQ24">
        <v>1</v>
      </c>
      <c r="IR24">
        <v>1992</v>
      </c>
      <c r="IS24">
        <v>2</v>
      </c>
      <c r="IT24">
        <v>27</v>
      </c>
      <c r="IU24">
        <v>2</v>
      </c>
      <c r="IV24">
        <v>1.8</v>
      </c>
      <c r="IW24">
        <v>1.0351600000000001</v>
      </c>
      <c r="IX24">
        <v>2.65381</v>
      </c>
      <c r="IY24">
        <v>1.69434</v>
      </c>
      <c r="IZ24">
        <v>2.3547400000000001</v>
      </c>
      <c r="JA24">
        <v>1.5466299999999999</v>
      </c>
      <c r="JB24">
        <v>2.3095699999999999</v>
      </c>
      <c r="JC24">
        <v>37.241999999999997</v>
      </c>
      <c r="JD24">
        <v>23.886099999999999</v>
      </c>
      <c r="JE24">
        <v>18</v>
      </c>
      <c r="JF24">
        <v>531.33399999999995</v>
      </c>
      <c r="JG24">
        <v>554.17700000000002</v>
      </c>
      <c r="JH24">
        <v>24.915900000000001</v>
      </c>
      <c r="JI24">
        <v>30.953499999999998</v>
      </c>
      <c r="JJ24">
        <v>30.0002</v>
      </c>
      <c r="JK24">
        <v>30.946899999999999</v>
      </c>
      <c r="JL24">
        <v>30.911999999999999</v>
      </c>
      <c r="JM24">
        <v>20.8109</v>
      </c>
      <c r="JN24">
        <v>29.967500000000001</v>
      </c>
      <c r="JO24">
        <v>39.512799999999999</v>
      </c>
      <c r="JP24">
        <v>24.907800000000002</v>
      </c>
      <c r="JQ24">
        <v>400</v>
      </c>
      <c r="JR24">
        <v>17.497299999999999</v>
      </c>
      <c r="JS24">
        <v>99.369200000000006</v>
      </c>
      <c r="JT24">
        <v>98.651499999999999</v>
      </c>
    </row>
    <row r="25" spans="1:280" x14ac:dyDescent="0.25">
      <c r="A25">
        <v>9</v>
      </c>
      <c r="B25">
        <v>1639667680.5</v>
      </c>
      <c r="C25">
        <v>1078.400000095367</v>
      </c>
      <c r="D25" t="s">
        <v>460</v>
      </c>
      <c r="E25" t="s">
        <v>461</v>
      </c>
      <c r="F25" t="s">
        <v>412</v>
      </c>
      <c r="G25" t="s">
        <v>413</v>
      </c>
      <c r="H25" t="s">
        <v>414</v>
      </c>
      <c r="I25">
        <v>1639667680.5</v>
      </c>
      <c r="J25">
        <f t="shared" si="0"/>
        <v>6.0081255480852296E-3</v>
      </c>
      <c r="K25">
        <f t="shared" si="1"/>
        <v>6.0081255480852294</v>
      </c>
      <c r="L25">
        <f t="shared" si="2"/>
        <v>45.973069679019851</v>
      </c>
      <c r="M25">
        <f t="shared" si="3"/>
        <v>342.36799999999999</v>
      </c>
      <c r="N25">
        <f t="shared" si="4"/>
        <v>181.19438131191666</v>
      </c>
      <c r="O25">
        <f t="shared" si="5"/>
        <v>18.071225785256686</v>
      </c>
      <c r="P25">
        <f t="shared" si="6"/>
        <v>34.145702448665602</v>
      </c>
      <c r="Q25">
        <f t="shared" si="7"/>
        <v>0.5109958677453359</v>
      </c>
      <c r="R25">
        <f t="shared" si="8"/>
        <v>2.9235592328063937</v>
      </c>
      <c r="S25">
        <f t="shared" si="9"/>
        <v>0.46606567822395334</v>
      </c>
      <c r="T25">
        <f t="shared" si="10"/>
        <v>0.29499793034133498</v>
      </c>
      <c r="U25">
        <f t="shared" si="11"/>
        <v>289.56748784760805</v>
      </c>
      <c r="V25">
        <f t="shared" si="12"/>
        <v>28.136202085997077</v>
      </c>
      <c r="W25">
        <f t="shared" si="13"/>
        <v>27.631699999999999</v>
      </c>
      <c r="X25">
        <f t="shared" si="14"/>
        <v>3.7141212146352576</v>
      </c>
      <c r="Y25">
        <f t="shared" si="15"/>
        <v>65.077707318116779</v>
      </c>
      <c r="Z25">
        <f t="shared" si="16"/>
        <v>2.46828484610504</v>
      </c>
      <c r="AA25">
        <f t="shared" si="17"/>
        <v>3.7928269876494278</v>
      </c>
      <c r="AB25">
        <f t="shared" si="18"/>
        <v>1.2458363685302176</v>
      </c>
      <c r="AC25">
        <f t="shared" si="19"/>
        <v>-264.95833667055865</v>
      </c>
      <c r="AD25">
        <f t="shared" si="20"/>
        <v>56.615281188973945</v>
      </c>
      <c r="AE25">
        <f t="shared" si="21"/>
        <v>4.2132339357545225</v>
      </c>
      <c r="AF25">
        <f t="shared" si="22"/>
        <v>85.437666301777881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52522.79030129539</v>
      </c>
      <c r="AL25" t="s">
        <v>415</v>
      </c>
      <c r="AM25">
        <v>10204.299999999999</v>
      </c>
      <c r="AN25">
        <v>862.72538461538477</v>
      </c>
      <c r="AO25">
        <v>3252.56</v>
      </c>
      <c r="AP25">
        <f t="shared" si="26"/>
        <v>0.73475496697512588</v>
      </c>
      <c r="AQ25">
        <v>-6.6684750346205304</v>
      </c>
      <c r="AR25" t="s">
        <v>462</v>
      </c>
      <c r="AS25">
        <v>10024.5</v>
      </c>
      <c r="AT25">
        <v>765.24391999999989</v>
      </c>
      <c r="AU25">
        <v>1075.749351991562</v>
      </c>
      <c r="AV25">
        <f t="shared" si="27"/>
        <v>0.28864105882724034</v>
      </c>
      <c r="AW25">
        <v>0.5</v>
      </c>
      <c r="AX25">
        <f t="shared" si="28"/>
        <v>1513.1927999210404</v>
      </c>
      <c r="AY25">
        <f t="shared" si="29"/>
        <v>45.973069679019851</v>
      </c>
      <c r="AZ25">
        <f t="shared" si="30"/>
        <v>218.38478598948276</v>
      </c>
      <c r="BA25">
        <f t="shared" si="31"/>
        <v>3.4788392276507825E-2</v>
      </c>
      <c r="BB25">
        <f t="shared" si="32"/>
        <v>2.023529592630898</v>
      </c>
      <c r="BC25">
        <f t="shared" si="33"/>
        <v>561.40293072909571</v>
      </c>
      <c r="BD25" t="s">
        <v>463</v>
      </c>
      <c r="BE25">
        <v>593.19000000000005</v>
      </c>
      <c r="BF25">
        <f t="shared" si="34"/>
        <v>593.19000000000005</v>
      </c>
      <c r="BG25">
        <f t="shared" si="35"/>
        <v>0.4485797282593641</v>
      </c>
      <c r="BH25">
        <f t="shared" si="36"/>
        <v>0.64345542306885317</v>
      </c>
      <c r="BI25">
        <f t="shared" si="37"/>
        <v>0.81854373329338825</v>
      </c>
      <c r="BJ25">
        <f t="shared" si="38"/>
        <v>1.4576079669159629</v>
      </c>
      <c r="BK25">
        <f t="shared" si="39"/>
        <v>0.91086246470578736</v>
      </c>
      <c r="BL25">
        <f t="shared" si="40"/>
        <v>0.49878386803806701</v>
      </c>
      <c r="BM25">
        <f t="shared" si="41"/>
        <v>0.50121613196193304</v>
      </c>
      <c r="BN25">
        <v>4888</v>
      </c>
      <c r="BO25">
        <v>290.00000000000011</v>
      </c>
      <c r="BP25">
        <v>1003.07</v>
      </c>
      <c r="BQ25">
        <v>215</v>
      </c>
      <c r="BR25">
        <v>10024.5</v>
      </c>
      <c r="BS25">
        <v>1003.77</v>
      </c>
      <c r="BT25">
        <v>-0.7</v>
      </c>
      <c r="BU25">
        <v>300.00000000000011</v>
      </c>
      <c r="BV25">
        <v>24.1</v>
      </c>
      <c r="BW25">
        <v>1075.749351991562</v>
      </c>
      <c r="BX25">
        <v>2.1410355816440538</v>
      </c>
      <c r="BY25">
        <v>-72.151591225505527</v>
      </c>
      <c r="BZ25">
        <v>1.91171622991541</v>
      </c>
      <c r="CA25">
        <v>0.98072213057175539</v>
      </c>
      <c r="CB25">
        <v>-6.8295230255839799E-3</v>
      </c>
      <c r="CC25">
        <v>289.99999999999989</v>
      </c>
      <c r="CD25">
        <v>1004.87</v>
      </c>
      <c r="CE25">
        <v>675</v>
      </c>
      <c r="CF25">
        <v>10008.6</v>
      </c>
      <c r="CG25">
        <v>1003.66</v>
      </c>
      <c r="CH25">
        <v>1.21</v>
      </c>
      <c r="CV25">
        <f t="shared" si="42"/>
        <v>1800.01</v>
      </c>
      <c r="CW25">
        <f t="shared" si="43"/>
        <v>1513.1927999210404</v>
      </c>
      <c r="CX25">
        <f t="shared" si="44"/>
        <v>0.84065799630059856</v>
      </c>
      <c r="CY25">
        <f t="shared" si="45"/>
        <v>0.16086993286015525</v>
      </c>
      <c r="CZ25">
        <v>6</v>
      </c>
      <c r="DA25">
        <v>0.5</v>
      </c>
      <c r="DB25" t="s">
        <v>418</v>
      </c>
      <c r="DC25">
        <v>2</v>
      </c>
      <c r="DD25">
        <v>1639667680.5</v>
      </c>
      <c r="DE25">
        <v>342.36799999999999</v>
      </c>
      <c r="DF25">
        <v>399.99900000000002</v>
      </c>
      <c r="DG25">
        <v>24.748699999999999</v>
      </c>
      <c r="DH25">
        <v>17.718</v>
      </c>
      <c r="DI25">
        <v>344.58699999999999</v>
      </c>
      <c r="DJ25">
        <v>24.748999999999999</v>
      </c>
      <c r="DK25">
        <v>500.04399999999998</v>
      </c>
      <c r="DL25">
        <v>99.634</v>
      </c>
      <c r="DM25">
        <v>9.99192E-2</v>
      </c>
      <c r="DN25">
        <v>27.9909</v>
      </c>
      <c r="DO25">
        <v>27.631699999999999</v>
      </c>
      <c r="DP25">
        <v>999.9</v>
      </c>
      <c r="DQ25">
        <v>0</v>
      </c>
      <c r="DR25">
        <v>0</v>
      </c>
      <c r="DS25">
        <v>10002.5</v>
      </c>
      <c r="DT25">
        <v>0</v>
      </c>
      <c r="DU25">
        <v>372.88200000000001</v>
      </c>
      <c r="DV25">
        <v>-57.630800000000001</v>
      </c>
      <c r="DW25">
        <v>351.05599999999998</v>
      </c>
      <c r="DX25">
        <v>407.214</v>
      </c>
      <c r="DY25">
        <v>7.0307899999999997</v>
      </c>
      <c r="DZ25">
        <v>399.99900000000002</v>
      </c>
      <c r="EA25">
        <v>17.718</v>
      </c>
      <c r="EB25">
        <v>2.4658199999999999</v>
      </c>
      <c r="EC25">
        <v>1.7653099999999999</v>
      </c>
      <c r="ED25">
        <v>20.802600000000002</v>
      </c>
      <c r="EE25">
        <v>15.483000000000001</v>
      </c>
      <c r="EF25">
        <v>1800.01</v>
      </c>
      <c r="EG25">
        <v>0.97800500000000001</v>
      </c>
      <c r="EH25">
        <v>2.1994699999999999E-2</v>
      </c>
      <c r="EI25">
        <v>0</v>
      </c>
      <c r="EJ25">
        <v>765.56100000000004</v>
      </c>
      <c r="EK25">
        <v>5.0001199999999999</v>
      </c>
      <c r="EL25">
        <v>13828.1</v>
      </c>
      <c r="EM25">
        <v>15630.1</v>
      </c>
      <c r="EN25">
        <v>49.625</v>
      </c>
      <c r="EO25">
        <v>50</v>
      </c>
      <c r="EP25">
        <v>50.375</v>
      </c>
      <c r="EQ25">
        <v>49.686999999999998</v>
      </c>
      <c r="ER25">
        <v>50.936999999999998</v>
      </c>
      <c r="ES25">
        <v>1755.53</v>
      </c>
      <c r="ET25">
        <v>39.479999999999997</v>
      </c>
      <c r="EU25">
        <v>0</v>
      </c>
      <c r="EV25">
        <v>152.39999985694891</v>
      </c>
      <c r="EW25">
        <v>0</v>
      </c>
      <c r="EX25">
        <v>765.24391999999989</v>
      </c>
      <c r="EY25">
        <v>4.3210769203670161</v>
      </c>
      <c r="EZ25">
        <v>82.730769321010598</v>
      </c>
      <c r="FA25">
        <v>13818.332</v>
      </c>
      <c r="FB25">
        <v>15</v>
      </c>
      <c r="FC25">
        <v>1639667600.5</v>
      </c>
      <c r="FD25" t="s">
        <v>464</v>
      </c>
      <c r="FE25">
        <v>1639667590.5</v>
      </c>
      <c r="FF25">
        <v>1639667600.5</v>
      </c>
      <c r="FG25">
        <v>10</v>
      </c>
      <c r="FH25">
        <v>-1.2999999999999999E-2</v>
      </c>
      <c r="FI25">
        <v>3.0000000000000001E-3</v>
      </c>
      <c r="FJ25">
        <v>-2.3069999999999999</v>
      </c>
      <c r="FK25">
        <v>-0.107</v>
      </c>
      <c r="FL25">
        <v>400</v>
      </c>
      <c r="FM25">
        <v>18</v>
      </c>
      <c r="FN25">
        <v>0.03</v>
      </c>
      <c r="FO25">
        <v>0.01</v>
      </c>
      <c r="FP25">
        <v>45.849250072221722</v>
      </c>
      <c r="FQ25">
        <v>0.66719818819905941</v>
      </c>
      <c r="FR25">
        <v>6.8484823610928613E-2</v>
      </c>
      <c r="FS25">
        <v>1</v>
      </c>
      <c r="FT25">
        <v>0.5125982798709614</v>
      </c>
      <c r="FU25">
        <v>-1.6179582298194359E-2</v>
      </c>
      <c r="FV25">
        <v>1.682511557960262E-3</v>
      </c>
      <c r="FW25">
        <v>1</v>
      </c>
      <c r="FX25">
        <v>2</v>
      </c>
      <c r="FY25">
        <v>2</v>
      </c>
      <c r="FZ25" t="s">
        <v>420</v>
      </c>
      <c r="GA25">
        <v>2.9213300000000002</v>
      </c>
      <c r="GB25">
        <v>2.74491</v>
      </c>
      <c r="GC25">
        <v>8.1826300000000005E-2</v>
      </c>
      <c r="GD25">
        <v>9.3437099999999995E-2</v>
      </c>
      <c r="GE25">
        <v>0.119572</v>
      </c>
      <c r="GF25">
        <v>9.5736299999999996E-2</v>
      </c>
      <c r="GG25">
        <v>28579.200000000001</v>
      </c>
      <c r="GH25">
        <v>27911.5</v>
      </c>
      <c r="GI25">
        <v>28336.1</v>
      </c>
      <c r="GJ25">
        <v>28153.1</v>
      </c>
      <c r="GK25">
        <v>34233.1</v>
      </c>
      <c r="GL25">
        <v>35738</v>
      </c>
      <c r="GM25">
        <v>42634.1</v>
      </c>
      <c r="GN25">
        <v>43786.1</v>
      </c>
      <c r="GO25">
        <v>1.79915</v>
      </c>
      <c r="GP25">
        <v>2.0032800000000002</v>
      </c>
      <c r="GQ25">
        <v>3.1549500000000001E-2</v>
      </c>
      <c r="GR25">
        <v>0</v>
      </c>
      <c r="GS25">
        <v>27.116099999999999</v>
      </c>
      <c r="GT25">
        <v>999.9</v>
      </c>
      <c r="GU25">
        <v>48.5</v>
      </c>
      <c r="GV25">
        <v>32</v>
      </c>
      <c r="GW25">
        <v>23.243300000000001</v>
      </c>
      <c r="GX25">
        <v>61.087400000000002</v>
      </c>
      <c r="GY25">
        <v>29.5793</v>
      </c>
      <c r="GZ25">
        <v>1</v>
      </c>
      <c r="HA25">
        <v>0.31303599999999998</v>
      </c>
      <c r="HB25">
        <v>2.4466199999999998</v>
      </c>
      <c r="HC25">
        <v>20.260300000000001</v>
      </c>
      <c r="HD25">
        <v>5.2753899999999998</v>
      </c>
      <c r="HE25">
        <v>12.0878</v>
      </c>
      <c r="HF25">
        <v>5.01335</v>
      </c>
      <c r="HG25">
        <v>3.2919800000000001</v>
      </c>
      <c r="HH25">
        <v>9999</v>
      </c>
      <c r="HI25">
        <v>9999</v>
      </c>
      <c r="HJ25">
        <v>9999</v>
      </c>
      <c r="HK25">
        <v>999.9</v>
      </c>
      <c r="HL25">
        <v>1.87561</v>
      </c>
      <c r="HM25">
        <v>1.8760699999999999</v>
      </c>
      <c r="HN25">
        <v>1.8757699999999999</v>
      </c>
      <c r="HO25">
        <v>1.8797299999999999</v>
      </c>
      <c r="HP25">
        <v>1.87317</v>
      </c>
      <c r="HQ25">
        <v>1.8764400000000001</v>
      </c>
      <c r="HR25">
        <v>1.87619</v>
      </c>
      <c r="HS25">
        <v>1.8775900000000001</v>
      </c>
      <c r="HT25">
        <v>0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-2.2189999999999999</v>
      </c>
      <c r="IH25">
        <v>-2.9999999999999997E-4</v>
      </c>
      <c r="II25">
        <v>-1.6854733620041391</v>
      </c>
      <c r="IJ25">
        <v>-1.5404112972462821E-3</v>
      </c>
      <c r="IK25">
        <v>-5.8697186733976997E-8</v>
      </c>
      <c r="IL25">
        <v>1.160237123038427E-10</v>
      </c>
      <c r="IM25">
        <v>-0.1777541970274826</v>
      </c>
      <c r="IN25">
        <v>-3.128848753924141E-3</v>
      </c>
      <c r="IO25">
        <v>3.6841110403368089E-4</v>
      </c>
      <c r="IP25">
        <v>1.9296040270694169E-6</v>
      </c>
      <c r="IQ25">
        <v>1</v>
      </c>
      <c r="IR25">
        <v>1992</v>
      </c>
      <c r="IS25">
        <v>2</v>
      </c>
      <c r="IT25">
        <v>27</v>
      </c>
      <c r="IU25">
        <v>1.5</v>
      </c>
      <c r="IV25">
        <v>1.3</v>
      </c>
      <c r="IW25">
        <v>1.0351600000000001</v>
      </c>
      <c r="IX25">
        <v>2.66235</v>
      </c>
      <c r="IY25">
        <v>1.69434</v>
      </c>
      <c r="IZ25">
        <v>2.3547400000000001</v>
      </c>
      <c r="JA25">
        <v>1.5466299999999999</v>
      </c>
      <c r="JB25">
        <v>2.32666</v>
      </c>
      <c r="JC25">
        <v>37.602200000000003</v>
      </c>
      <c r="JD25">
        <v>23.886099999999999</v>
      </c>
      <c r="JE25">
        <v>18</v>
      </c>
      <c r="JF25">
        <v>530.66099999999994</v>
      </c>
      <c r="JG25">
        <v>552.20299999999997</v>
      </c>
      <c r="JH25">
        <v>24.915700000000001</v>
      </c>
      <c r="JI25">
        <v>31.0733</v>
      </c>
      <c r="JJ25">
        <v>30.000599999999999</v>
      </c>
      <c r="JK25">
        <v>31.019400000000001</v>
      </c>
      <c r="JL25">
        <v>30.977900000000002</v>
      </c>
      <c r="JM25">
        <v>20.811299999999999</v>
      </c>
      <c r="JN25">
        <v>28.139900000000001</v>
      </c>
      <c r="JO25">
        <v>38.007399999999997</v>
      </c>
      <c r="JP25">
        <v>24.9163</v>
      </c>
      <c r="JQ25">
        <v>400</v>
      </c>
      <c r="JR25">
        <v>17.766400000000001</v>
      </c>
      <c r="JS25">
        <v>99.346199999999996</v>
      </c>
      <c r="JT25">
        <v>98.632300000000001</v>
      </c>
    </row>
    <row r="26" spans="1:280" x14ac:dyDescent="0.25">
      <c r="A26">
        <v>10</v>
      </c>
      <c r="B26">
        <v>1639667798</v>
      </c>
      <c r="C26">
        <v>1195.900000095367</v>
      </c>
      <c r="D26" t="s">
        <v>465</v>
      </c>
      <c r="E26" t="s">
        <v>466</v>
      </c>
      <c r="F26" t="s">
        <v>412</v>
      </c>
      <c r="G26" t="s">
        <v>413</v>
      </c>
      <c r="H26" t="s">
        <v>414</v>
      </c>
      <c r="I26">
        <v>1639667798</v>
      </c>
      <c r="J26">
        <f t="shared" si="0"/>
        <v>5.8985720479701759E-3</v>
      </c>
      <c r="K26">
        <f t="shared" si="1"/>
        <v>5.898572047970176</v>
      </c>
      <c r="L26">
        <f t="shared" si="2"/>
        <v>47.737404833415418</v>
      </c>
      <c r="M26">
        <f t="shared" si="3"/>
        <v>439.61799999999999</v>
      </c>
      <c r="N26">
        <f t="shared" si="4"/>
        <v>267.64808338868312</v>
      </c>
      <c r="O26">
        <f t="shared" si="5"/>
        <v>26.694575340602455</v>
      </c>
      <c r="P26">
        <f t="shared" si="6"/>
        <v>43.846440719855998</v>
      </c>
      <c r="Q26">
        <f t="shared" si="7"/>
        <v>0.5011611145434709</v>
      </c>
      <c r="R26">
        <f t="shared" si="8"/>
        <v>2.9205514057358419</v>
      </c>
      <c r="S26">
        <f t="shared" si="9"/>
        <v>0.45782489899870787</v>
      </c>
      <c r="T26">
        <f t="shared" si="10"/>
        <v>0.28972122444533177</v>
      </c>
      <c r="U26">
        <f t="shared" si="11"/>
        <v>289.53933884755418</v>
      </c>
      <c r="V26">
        <f t="shared" si="12"/>
        <v>28.170527562667335</v>
      </c>
      <c r="W26">
        <f t="shared" si="13"/>
        <v>27.6799</v>
      </c>
      <c r="X26">
        <f t="shared" si="14"/>
        <v>3.7245990168830168</v>
      </c>
      <c r="Y26">
        <f t="shared" si="15"/>
        <v>65.352784362702479</v>
      </c>
      <c r="Z26">
        <f t="shared" si="16"/>
        <v>2.4795563271936003</v>
      </c>
      <c r="AA26">
        <f t="shared" si="17"/>
        <v>3.7941096945958268</v>
      </c>
      <c r="AB26">
        <f t="shared" si="18"/>
        <v>1.2450426896894164</v>
      </c>
      <c r="AC26">
        <f t="shared" si="19"/>
        <v>-260.12702731548478</v>
      </c>
      <c r="AD26">
        <f t="shared" si="20"/>
        <v>49.881036707894637</v>
      </c>
      <c r="AE26">
        <f t="shared" si="21"/>
        <v>3.7169038099264329</v>
      </c>
      <c r="AF26">
        <f t="shared" si="22"/>
        <v>83.01025204989044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52435.416191106706</v>
      </c>
      <c r="AL26" t="s">
        <v>415</v>
      </c>
      <c r="AM26">
        <v>10204.299999999999</v>
      </c>
      <c r="AN26">
        <v>862.72538461538477</v>
      </c>
      <c r="AO26">
        <v>3252.56</v>
      </c>
      <c r="AP26">
        <f t="shared" si="26"/>
        <v>0.73475496697512588</v>
      </c>
      <c r="AQ26">
        <v>-6.6684750346205304</v>
      </c>
      <c r="AR26" t="s">
        <v>467</v>
      </c>
      <c r="AS26">
        <v>10028.5</v>
      </c>
      <c r="AT26">
        <v>774.14253846153838</v>
      </c>
      <c r="AU26">
        <v>1108.4910344534001</v>
      </c>
      <c r="AV26">
        <f t="shared" si="27"/>
        <v>0.30162489871352893</v>
      </c>
      <c r="AW26">
        <v>0.5</v>
      </c>
      <c r="AX26">
        <f t="shared" si="28"/>
        <v>1513.0418999210124</v>
      </c>
      <c r="AY26">
        <f t="shared" si="29"/>
        <v>47.737404833415418</v>
      </c>
      <c r="AZ26">
        <f t="shared" si="30"/>
        <v>228.18555490650036</v>
      </c>
      <c r="BA26">
        <f t="shared" si="31"/>
        <v>3.5957946617919949E-2</v>
      </c>
      <c r="BB26">
        <f t="shared" si="32"/>
        <v>1.9342231005087436</v>
      </c>
      <c r="BC26">
        <f t="shared" si="33"/>
        <v>570.19221833345387</v>
      </c>
      <c r="BD26" t="s">
        <v>468</v>
      </c>
      <c r="BE26">
        <v>595.57000000000005</v>
      </c>
      <c r="BF26">
        <f t="shared" si="34"/>
        <v>595.57000000000005</v>
      </c>
      <c r="BG26">
        <f t="shared" si="35"/>
        <v>0.46272005682601014</v>
      </c>
      <c r="BH26">
        <f t="shared" si="36"/>
        <v>0.65185179303119023</v>
      </c>
      <c r="BI26">
        <f t="shared" si="37"/>
        <v>0.80695409675858776</v>
      </c>
      <c r="BJ26">
        <f t="shared" si="38"/>
        <v>1.3604362375793018</v>
      </c>
      <c r="BK26">
        <f t="shared" si="39"/>
        <v>0.89716206792892983</v>
      </c>
      <c r="BL26">
        <f t="shared" si="40"/>
        <v>0.5014882312850375</v>
      </c>
      <c r="BM26">
        <f t="shared" si="41"/>
        <v>0.4985117687149625</v>
      </c>
      <c r="BN26">
        <v>4890</v>
      </c>
      <c r="BO26">
        <v>290.00000000000011</v>
      </c>
      <c r="BP26">
        <v>1028.8800000000001</v>
      </c>
      <c r="BQ26">
        <v>195</v>
      </c>
      <c r="BR26">
        <v>10028.5</v>
      </c>
      <c r="BS26">
        <v>1029.46</v>
      </c>
      <c r="BT26">
        <v>-0.57999999999999996</v>
      </c>
      <c r="BU26">
        <v>300.00000000000011</v>
      </c>
      <c r="BV26">
        <v>24.1</v>
      </c>
      <c r="BW26">
        <v>1108.4910344534001</v>
      </c>
      <c r="BX26">
        <v>2.0306275034773722</v>
      </c>
      <c r="BY26">
        <v>-79.255679109493585</v>
      </c>
      <c r="BZ26">
        <v>1.8135965828397891</v>
      </c>
      <c r="CA26">
        <v>0.98555034624380644</v>
      </c>
      <c r="CB26">
        <v>-6.8309043381535074E-3</v>
      </c>
      <c r="CC26">
        <v>289.99999999999989</v>
      </c>
      <c r="CD26">
        <v>1031.43</v>
      </c>
      <c r="CE26">
        <v>665</v>
      </c>
      <c r="CF26">
        <v>10011.700000000001</v>
      </c>
      <c r="CG26">
        <v>1029.33</v>
      </c>
      <c r="CH26">
        <v>2.1</v>
      </c>
      <c r="CV26">
        <f t="shared" si="42"/>
        <v>1799.83</v>
      </c>
      <c r="CW26">
        <f t="shared" si="43"/>
        <v>1513.0418999210124</v>
      </c>
      <c r="CX26">
        <f t="shared" si="44"/>
        <v>0.840658228788837</v>
      </c>
      <c r="CY26">
        <f t="shared" si="45"/>
        <v>0.16087038156245545</v>
      </c>
      <c r="CZ26">
        <v>6</v>
      </c>
      <c r="DA26">
        <v>0.5</v>
      </c>
      <c r="DB26" t="s">
        <v>418</v>
      </c>
      <c r="DC26">
        <v>2</v>
      </c>
      <c r="DD26">
        <v>1639667798</v>
      </c>
      <c r="DE26">
        <v>439.61799999999999</v>
      </c>
      <c r="DF26">
        <v>500.00400000000002</v>
      </c>
      <c r="DG26">
        <v>24.860800000000001</v>
      </c>
      <c r="DH26">
        <v>17.959700000000002</v>
      </c>
      <c r="DI26">
        <v>442.09699999999998</v>
      </c>
      <c r="DJ26">
        <v>24.8598</v>
      </c>
      <c r="DK26">
        <v>500.08800000000002</v>
      </c>
      <c r="DL26">
        <v>99.6374</v>
      </c>
      <c r="DM26">
        <v>0.100192</v>
      </c>
      <c r="DN26">
        <v>27.996700000000001</v>
      </c>
      <c r="DO26">
        <v>27.6799</v>
      </c>
      <c r="DP26">
        <v>999.9</v>
      </c>
      <c r="DQ26">
        <v>0</v>
      </c>
      <c r="DR26">
        <v>0</v>
      </c>
      <c r="DS26">
        <v>9985</v>
      </c>
      <c r="DT26">
        <v>0</v>
      </c>
      <c r="DU26">
        <v>374.13099999999997</v>
      </c>
      <c r="DV26">
        <v>-60.386299999999999</v>
      </c>
      <c r="DW26">
        <v>450.82600000000002</v>
      </c>
      <c r="DX26">
        <v>509.14800000000002</v>
      </c>
      <c r="DY26">
        <v>6.9011699999999996</v>
      </c>
      <c r="DZ26">
        <v>500.00400000000002</v>
      </c>
      <c r="EA26">
        <v>17.959700000000002</v>
      </c>
      <c r="EB26">
        <v>2.4770699999999999</v>
      </c>
      <c r="EC26">
        <v>1.7894600000000001</v>
      </c>
      <c r="ED26">
        <v>20.8766</v>
      </c>
      <c r="EE26">
        <v>15.695</v>
      </c>
      <c r="EF26">
        <v>1799.83</v>
      </c>
      <c r="EG26">
        <v>0.97799899999999995</v>
      </c>
      <c r="EH26">
        <v>2.20015E-2</v>
      </c>
      <c r="EI26">
        <v>0</v>
      </c>
      <c r="EJ26">
        <v>774.62699999999995</v>
      </c>
      <c r="EK26">
        <v>5.0001199999999999</v>
      </c>
      <c r="EL26">
        <v>13963</v>
      </c>
      <c r="EM26">
        <v>15628.4</v>
      </c>
      <c r="EN26">
        <v>49.186999999999998</v>
      </c>
      <c r="EO26">
        <v>49.686999999999998</v>
      </c>
      <c r="EP26">
        <v>49.936999999999998</v>
      </c>
      <c r="EQ26">
        <v>49.375</v>
      </c>
      <c r="ER26">
        <v>50.561999999999998</v>
      </c>
      <c r="ES26">
        <v>1755.34</v>
      </c>
      <c r="ET26">
        <v>39.49</v>
      </c>
      <c r="EU26">
        <v>0</v>
      </c>
      <c r="EV26">
        <v>115.3999998569489</v>
      </c>
      <c r="EW26">
        <v>0</v>
      </c>
      <c r="EX26">
        <v>774.14253846153838</v>
      </c>
      <c r="EY26">
        <v>3.237470079356537</v>
      </c>
      <c r="EZ26">
        <v>54.276923076522763</v>
      </c>
      <c r="FA26">
        <v>13958.061538461539</v>
      </c>
      <c r="FB26">
        <v>15</v>
      </c>
      <c r="FC26">
        <v>1639667760</v>
      </c>
      <c r="FD26" t="s">
        <v>469</v>
      </c>
      <c r="FE26">
        <v>1639667751</v>
      </c>
      <c r="FF26">
        <v>1639667760</v>
      </c>
      <c r="FG26">
        <v>11</v>
      </c>
      <c r="FH26">
        <v>-0.111</v>
      </c>
      <c r="FI26">
        <v>-1E-3</v>
      </c>
      <c r="FJ26">
        <v>-2.5710000000000002</v>
      </c>
      <c r="FK26">
        <v>-0.107</v>
      </c>
      <c r="FL26">
        <v>500</v>
      </c>
      <c r="FM26">
        <v>18</v>
      </c>
      <c r="FN26">
        <v>0.05</v>
      </c>
      <c r="FO26">
        <v>0.01</v>
      </c>
      <c r="FP26">
        <v>47.732316465866759</v>
      </c>
      <c r="FQ26">
        <v>3.0983159262478799E-2</v>
      </c>
      <c r="FR26">
        <v>4.6282407957352917E-2</v>
      </c>
      <c r="FS26">
        <v>1</v>
      </c>
      <c r="FT26">
        <v>0.49736032452944462</v>
      </c>
      <c r="FU26">
        <v>4.3322662441129228E-2</v>
      </c>
      <c r="FV26">
        <v>4.8624185284699374E-3</v>
      </c>
      <c r="FW26">
        <v>1</v>
      </c>
      <c r="FX26">
        <v>2</v>
      </c>
      <c r="FY26">
        <v>2</v>
      </c>
      <c r="FZ26" t="s">
        <v>420</v>
      </c>
      <c r="GA26">
        <v>2.9211999999999998</v>
      </c>
      <c r="GB26">
        <v>2.7450299999999999</v>
      </c>
      <c r="GC26">
        <v>9.9186099999999999E-2</v>
      </c>
      <c r="GD26">
        <v>0.110374</v>
      </c>
      <c r="GE26">
        <v>0.119923</v>
      </c>
      <c r="GF26">
        <v>9.6654199999999996E-2</v>
      </c>
      <c r="GG26">
        <v>28033.3</v>
      </c>
      <c r="GH26">
        <v>27383.5</v>
      </c>
      <c r="GI26">
        <v>28330.799999999999</v>
      </c>
      <c r="GJ26">
        <v>28146.799999999999</v>
      </c>
      <c r="GK26">
        <v>34213.1</v>
      </c>
      <c r="GL26">
        <v>35694.1</v>
      </c>
      <c r="GM26">
        <v>42626.1</v>
      </c>
      <c r="GN26">
        <v>43776.6</v>
      </c>
      <c r="GO26">
        <v>1.7971999999999999</v>
      </c>
      <c r="GP26">
        <v>2.00075</v>
      </c>
      <c r="GQ26">
        <v>3.2492E-2</v>
      </c>
      <c r="GR26">
        <v>0</v>
      </c>
      <c r="GS26">
        <v>27.148900000000001</v>
      </c>
      <c r="GT26">
        <v>999.9</v>
      </c>
      <c r="GU26">
        <v>47.9</v>
      </c>
      <c r="GV26">
        <v>32.1</v>
      </c>
      <c r="GW26">
        <v>23.086500000000001</v>
      </c>
      <c r="GX26">
        <v>61.107500000000002</v>
      </c>
      <c r="GY26">
        <v>29.975999999999999</v>
      </c>
      <c r="GZ26">
        <v>1</v>
      </c>
      <c r="HA26">
        <v>0.32387199999999999</v>
      </c>
      <c r="HB26">
        <v>2.5802700000000001</v>
      </c>
      <c r="HC26">
        <v>20.257999999999999</v>
      </c>
      <c r="HD26">
        <v>5.2755400000000003</v>
      </c>
      <c r="HE26">
        <v>12.0878</v>
      </c>
      <c r="HF26">
        <v>5.0149499999999998</v>
      </c>
      <c r="HG26">
        <v>3.2919800000000001</v>
      </c>
      <c r="HH26">
        <v>9999</v>
      </c>
      <c r="HI26">
        <v>9999</v>
      </c>
      <c r="HJ26">
        <v>9999</v>
      </c>
      <c r="HK26">
        <v>999.9</v>
      </c>
      <c r="HL26">
        <v>1.8756200000000001</v>
      </c>
      <c r="HM26">
        <v>1.8760699999999999</v>
      </c>
      <c r="HN26">
        <v>1.87581</v>
      </c>
      <c r="HO26">
        <v>1.8797299999999999</v>
      </c>
      <c r="HP26">
        <v>1.87324</v>
      </c>
      <c r="HQ26">
        <v>1.87653</v>
      </c>
      <c r="HR26">
        <v>1.87622</v>
      </c>
      <c r="HS26">
        <v>1.8775900000000001</v>
      </c>
      <c r="HT26">
        <v>0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-2.4790000000000001</v>
      </c>
      <c r="IH26">
        <v>1E-3</v>
      </c>
      <c r="II26">
        <v>-1.7965639892470471</v>
      </c>
      <c r="IJ26">
        <v>-1.5404112972462821E-3</v>
      </c>
      <c r="IK26">
        <v>-5.8697186733976997E-8</v>
      </c>
      <c r="IL26">
        <v>1.160237123038427E-10</v>
      </c>
      <c r="IM26">
        <v>-0.17854962135258359</v>
      </c>
      <c r="IN26">
        <v>-3.128848753924141E-3</v>
      </c>
      <c r="IO26">
        <v>3.6841110403368089E-4</v>
      </c>
      <c r="IP26">
        <v>1.9296040270694169E-6</v>
      </c>
      <c r="IQ26">
        <v>1</v>
      </c>
      <c r="IR26">
        <v>1992</v>
      </c>
      <c r="IS26">
        <v>2</v>
      </c>
      <c r="IT26">
        <v>27</v>
      </c>
      <c r="IU26">
        <v>0.8</v>
      </c>
      <c r="IV26">
        <v>0.6</v>
      </c>
      <c r="IW26">
        <v>1.2377899999999999</v>
      </c>
      <c r="IX26">
        <v>2.66235</v>
      </c>
      <c r="IY26">
        <v>1.69434</v>
      </c>
      <c r="IZ26">
        <v>2.3535200000000001</v>
      </c>
      <c r="JA26">
        <v>1.5466299999999999</v>
      </c>
      <c r="JB26">
        <v>2.3290999999999999</v>
      </c>
      <c r="JC26">
        <v>37.867899999999999</v>
      </c>
      <c r="JD26">
        <v>23.886099999999999</v>
      </c>
      <c r="JE26">
        <v>18</v>
      </c>
      <c r="JF26">
        <v>529.971</v>
      </c>
      <c r="JG26">
        <v>551.08900000000006</v>
      </c>
      <c r="JH26">
        <v>24.8081</v>
      </c>
      <c r="JI26">
        <v>31.189699999999998</v>
      </c>
      <c r="JJ26">
        <v>30.000399999999999</v>
      </c>
      <c r="JK26">
        <v>31.113099999999999</v>
      </c>
      <c r="JL26">
        <v>31.063099999999999</v>
      </c>
      <c r="JM26">
        <v>24.854299999999999</v>
      </c>
      <c r="JN26">
        <v>26.666</v>
      </c>
      <c r="JO26">
        <v>37.200499999999998</v>
      </c>
      <c r="JP26">
        <v>24.863499999999998</v>
      </c>
      <c r="JQ26">
        <v>500</v>
      </c>
      <c r="JR26">
        <v>17.9148</v>
      </c>
      <c r="JS26">
        <v>99.327699999999993</v>
      </c>
      <c r="JT26">
        <v>98.610600000000005</v>
      </c>
    </row>
    <row r="27" spans="1:280" x14ac:dyDescent="0.25">
      <c r="A27">
        <v>11</v>
      </c>
      <c r="B27">
        <v>1639667916.5</v>
      </c>
      <c r="C27">
        <v>1314.400000095367</v>
      </c>
      <c r="D27" t="s">
        <v>470</v>
      </c>
      <c r="E27" t="s">
        <v>471</v>
      </c>
      <c r="F27" t="s">
        <v>412</v>
      </c>
      <c r="G27" t="s">
        <v>413</v>
      </c>
      <c r="H27" t="s">
        <v>414</v>
      </c>
      <c r="I27">
        <v>1639667916.5</v>
      </c>
      <c r="J27">
        <f t="shared" si="0"/>
        <v>5.7686945810534601E-3</v>
      </c>
      <c r="K27">
        <f t="shared" si="1"/>
        <v>5.7686945810534604</v>
      </c>
      <c r="L27">
        <f t="shared" si="2"/>
        <v>48.249771499227542</v>
      </c>
      <c r="M27">
        <f t="shared" si="3"/>
        <v>538.4</v>
      </c>
      <c r="N27">
        <f t="shared" si="4"/>
        <v>356.88642071384663</v>
      </c>
      <c r="O27">
        <f t="shared" si="5"/>
        <v>35.59345635878644</v>
      </c>
      <c r="P27">
        <f t="shared" si="6"/>
        <v>53.696402528399993</v>
      </c>
      <c r="Q27">
        <f t="shared" si="7"/>
        <v>0.48301312613443703</v>
      </c>
      <c r="R27">
        <f t="shared" si="8"/>
        <v>2.9291381456307999</v>
      </c>
      <c r="S27">
        <f t="shared" si="9"/>
        <v>0.44273113555626059</v>
      </c>
      <c r="T27">
        <f t="shared" si="10"/>
        <v>0.28004565091476097</v>
      </c>
      <c r="U27">
        <f t="shared" si="11"/>
        <v>289.52816684754833</v>
      </c>
      <c r="V27">
        <f t="shared" si="12"/>
        <v>28.204045283885424</v>
      </c>
      <c r="W27">
        <f t="shared" si="13"/>
        <v>27.748999999999999</v>
      </c>
      <c r="X27">
        <f t="shared" si="14"/>
        <v>3.7396650895824126</v>
      </c>
      <c r="Y27">
        <f t="shared" si="15"/>
        <v>65.381416087463492</v>
      </c>
      <c r="Z27">
        <f t="shared" si="16"/>
        <v>2.4806860315182004</v>
      </c>
      <c r="AA27">
        <f t="shared" si="17"/>
        <v>3.7941760517999206</v>
      </c>
      <c r="AB27">
        <f t="shared" si="18"/>
        <v>1.2589790580642122</v>
      </c>
      <c r="AC27">
        <f t="shared" si="19"/>
        <v>-254.39943102445758</v>
      </c>
      <c r="AD27">
        <f t="shared" si="20"/>
        <v>39.163092535397602</v>
      </c>
      <c r="AE27">
        <f t="shared" si="21"/>
        <v>2.9107040820845551</v>
      </c>
      <c r="AF27">
        <f t="shared" si="22"/>
        <v>77.202532440572924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52682.191433450011</v>
      </c>
      <c r="AL27" t="s">
        <v>415</v>
      </c>
      <c r="AM27">
        <v>10204.299999999999</v>
      </c>
      <c r="AN27">
        <v>862.72538461538477</v>
      </c>
      <c r="AO27">
        <v>3252.56</v>
      </c>
      <c r="AP27">
        <f t="shared" si="26"/>
        <v>0.73475496697512588</v>
      </c>
      <c r="AQ27">
        <v>-6.6684750346205304</v>
      </c>
      <c r="AR27" t="s">
        <v>472</v>
      </c>
      <c r="AS27">
        <v>10023.5</v>
      </c>
      <c r="AT27">
        <v>777.80080769230767</v>
      </c>
      <c r="AU27">
        <v>1125.3121830249111</v>
      </c>
      <c r="AV27">
        <f t="shared" si="27"/>
        <v>0.30881330583169431</v>
      </c>
      <c r="AW27">
        <v>0.5</v>
      </c>
      <c r="AX27">
        <f t="shared" si="28"/>
        <v>1512.9830999210094</v>
      </c>
      <c r="AY27">
        <f t="shared" si="29"/>
        <v>48.249771499227542</v>
      </c>
      <c r="AZ27">
        <f t="shared" si="30"/>
        <v>233.6146563770458</v>
      </c>
      <c r="BA27">
        <f t="shared" si="31"/>
        <v>3.6297990728855645E-2</v>
      </c>
      <c r="BB27">
        <f t="shared" si="32"/>
        <v>1.8903623803813363</v>
      </c>
      <c r="BC27">
        <f t="shared" si="33"/>
        <v>574.61041681391771</v>
      </c>
      <c r="BD27" t="s">
        <v>473</v>
      </c>
      <c r="BE27">
        <v>602.79999999999995</v>
      </c>
      <c r="BF27">
        <f t="shared" si="34"/>
        <v>602.79999999999995</v>
      </c>
      <c r="BG27">
        <f t="shared" si="35"/>
        <v>0.4643264250639898</v>
      </c>
      <c r="BH27">
        <f t="shared" si="36"/>
        <v>0.66507803381885078</v>
      </c>
      <c r="BI27">
        <f t="shared" si="37"/>
        <v>0.8028077323890046</v>
      </c>
      <c r="BJ27">
        <f t="shared" si="38"/>
        <v>1.3234152571167346</v>
      </c>
      <c r="BK27">
        <f t="shared" si="39"/>
        <v>0.89012344338845972</v>
      </c>
      <c r="BL27">
        <f t="shared" si="40"/>
        <v>0.51543921634059287</v>
      </c>
      <c r="BM27">
        <f t="shared" si="41"/>
        <v>0.48456078365940713</v>
      </c>
      <c r="BN27">
        <v>4892</v>
      </c>
      <c r="BO27">
        <v>290.00000000000011</v>
      </c>
      <c r="BP27">
        <v>1040.73</v>
      </c>
      <c r="BQ27">
        <v>285</v>
      </c>
      <c r="BR27">
        <v>10023.5</v>
      </c>
      <c r="BS27">
        <v>1040.6199999999999</v>
      </c>
      <c r="BT27">
        <v>0.11</v>
      </c>
      <c r="BU27">
        <v>300.00000000000011</v>
      </c>
      <c r="BV27">
        <v>24.1</v>
      </c>
      <c r="BW27">
        <v>1125.3121830249111</v>
      </c>
      <c r="BX27">
        <v>2.1634620750765232</v>
      </c>
      <c r="BY27">
        <v>-84.892264118351818</v>
      </c>
      <c r="BZ27">
        <v>1.932565395201524</v>
      </c>
      <c r="CA27">
        <v>0.98569678925743365</v>
      </c>
      <c r="CB27">
        <v>-6.8318324805339238E-3</v>
      </c>
      <c r="CC27">
        <v>289.99999999999989</v>
      </c>
      <c r="CD27">
        <v>1040.67</v>
      </c>
      <c r="CE27">
        <v>725</v>
      </c>
      <c r="CF27">
        <v>10011.1</v>
      </c>
      <c r="CG27">
        <v>1040.51</v>
      </c>
      <c r="CH27">
        <v>0.16</v>
      </c>
      <c r="CV27">
        <f t="shared" si="42"/>
        <v>1799.76</v>
      </c>
      <c r="CW27">
        <f t="shared" si="43"/>
        <v>1512.9830999210094</v>
      </c>
      <c r="CX27">
        <f t="shared" si="44"/>
        <v>0.84065825439003505</v>
      </c>
      <c r="CY27">
        <f t="shared" si="45"/>
        <v>0.16087043097276765</v>
      </c>
      <c r="CZ27">
        <v>6</v>
      </c>
      <c r="DA27">
        <v>0.5</v>
      </c>
      <c r="DB27" t="s">
        <v>418</v>
      </c>
      <c r="DC27">
        <v>2</v>
      </c>
      <c r="DD27">
        <v>1639667916.5</v>
      </c>
      <c r="DE27">
        <v>538.4</v>
      </c>
      <c r="DF27">
        <v>600.01900000000001</v>
      </c>
      <c r="DG27">
        <v>24.873200000000001</v>
      </c>
      <c r="DH27">
        <v>18.123799999999999</v>
      </c>
      <c r="DI27">
        <v>541.03099999999995</v>
      </c>
      <c r="DJ27">
        <v>24.870899999999999</v>
      </c>
      <c r="DK27">
        <v>500.06299999999999</v>
      </c>
      <c r="DL27">
        <v>99.633799999999994</v>
      </c>
      <c r="DM27">
        <v>9.9488499999999994E-2</v>
      </c>
      <c r="DN27">
        <v>27.997</v>
      </c>
      <c r="DO27">
        <v>27.748999999999999</v>
      </c>
      <c r="DP27">
        <v>999.9</v>
      </c>
      <c r="DQ27">
        <v>0</v>
      </c>
      <c r="DR27">
        <v>0</v>
      </c>
      <c r="DS27">
        <v>10034.4</v>
      </c>
      <c r="DT27">
        <v>0</v>
      </c>
      <c r="DU27">
        <v>377.99700000000001</v>
      </c>
      <c r="DV27">
        <v>-61.618499999999997</v>
      </c>
      <c r="DW27">
        <v>552.13400000000001</v>
      </c>
      <c r="DX27">
        <v>611.09400000000005</v>
      </c>
      <c r="DY27">
        <v>6.7493699999999999</v>
      </c>
      <c r="DZ27">
        <v>600.01900000000001</v>
      </c>
      <c r="EA27">
        <v>18.123799999999999</v>
      </c>
      <c r="EB27">
        <v>2.4782099999999998</v>
      </c>
      <c r="EC27">
        <v>1.80575</v>
      </c>
      <c r="ED27">
        <v>20.8841</v>
      </c>
      <c r="EE27">
        <v>15.836600000000001</v>
      </c>
      <c r="EF27">
        <v>1799.76</v>
      </c>
      <c r="EG27">
        <v>0.97799499999999995</v>
      </c>
      <c r="EH27">
        <v>2.2004800000000001E-2</v>
      </c>
      <c r="EI27">
        <v>0</v>
      </c>
      <c r="EJ27">
        <v>778.03700000000003</v>
      </c>
      <c r="EK27">
        <v>5.0001199999999999</v>
      </c>
      <c r="EL27">
        <v>14009.4</v>
      </c>
      <c r="EM27">
        <v>15627.9</v>
      </c>
      <c r="EN27">
        <v>48.811999999999998</v>
      </c>
      <c r="EO27">
        <v>49.436999999999998</v>
      </c>
      <c r="EP27">
        <v>49.625</v>
      </c>
      <c r="EQ27">
        <v>49.125</v>
      </c>
      <c r="ER27">
        <v>50.25</v>
      </c>
      <c r="ES27">
        <v>1755.27</v>
      </c>
      <c r="ET27">
        <v>39.49</v>
      </c>
      <c r="EU27">
        <v>0</v>
      </c>
      <c r="EV27">
        <v>116.5999999046326</v>
      </c>
      <c r="EW27">
        <v>0</v>
      </c>
      <c r="EX27">
        <v>777.80080769230767</v>
      </c>
      <c r="EY27">
        <v>2.554905986776697</v>
      </c>
      <c r="EZ27">
        <v>35.753846112177897</v>
      </c>
      <c r="FA27">
        <v>14007.869230769231</v>
      </c>
      <c r="FB27">
        <v>15</v>
      </c>
      <c r="FC27">
        <v>1639667877.5</v>
      </c>
      <c r="FD27" t="s">
        <v>474</v>
      </c>
      <c r="FE27">
        <v>1639667877.5</v>
      </c>
      <c r="FF27">
        <v>1639667873.5</v>
      </c>
      <c r="FG27">
        <v>12</v>
      </c>
      <c r="FH27">
        <v>-2E-3</v>
      </c>
      <c r="FI27">
        <v>1E-3</v>
      </c>
      <c r="FJ27">
        <v>-2.7229999999999999</v>
      </c>
      <c r="FK27">
        <v>-0.104</v>
      </c>
      <c r="FL27">
        <v>600</v>
      </c>
      <c r="FM27">
        <v>18</v>
      </c>
      <c r="FN27">
        <v>0.04</v>
      </c>
      <c r="FO27">
        <v>0.01</v>
      </c>
      <c r="FP27">
        <v>48.292462196459482</v>
      </c>
      <c r="FQ27">
        <v>-0.43283290419915932</v>
      </c>
      <c r="FR27">
        <v>5.5316273290338003E-2</v>
      </c>
      <c r="FS27">
        <v>1</v>
      </c>
      <c r="FT27">
        <v>0.48867236509207268</v>
      </c>
      <c r="FU27">
        <v>2.0995129953315698E-2</v>
      </c>
      <c r="FV27">
        <v>4.5819219168052499E-3</v>
      </c>
      <c r="FW27">
        <v>1</v>
      </c>
      <c r="FX27">
        <v>2</v>
      </c>
      <c r="FY27">
        <v>2</v>
      </c>
      <c r="FZ27" t="s">
        <v>420</v>
      </c>
      <c r="GA27">
        <v>2.9209299999999998</v>
      </c>
      <c r="GB27">
        <v>2.7447599999999999</v>
      </c>
      <c r="GC27">
        <v>0.115062</v>
      </c>
      <c r="GD27">
        <v>0.12573500000000001</v>
      </c>
      <c r="GE27">
        <v>0.119931</v>
      </c>
      <c r="GF27">
        <v>9.7262500000000002E-2</v>
      </c>
      <c r="GG27">
        <v>27535.8</v>
      </c>
      <c r="GH27">
        <v>26905.9</v>
      </c>
      <c r="GI27">
        <v>28327.7</v>
      </c>
      <c r="GJ27">
        <v>28142.2</v>
      </c>
      <c r="GK27">
        <v>34209.1</v>
      </c>
      <c r="GL27">
        <v>35665.4</v>
      </c>
      <c r="GM27">
        <v>42621.599999999999</v>
      </c>
      <c r="GN27">
        <v>43770.8</v>
      </c>
      <c r="GO27">
        <v>1.7957799999999999</v>
      </c>
      <c r="GP27">
        <v>1.9983500000000001</v>
      </c>
      <c r="GQ27">
        <v>3.5881999999999997E-2</v>
      </c>
      <c r="GR27">
        <v>0</v>
      </c>
      <c r="GS27">
        <v>27.162700000000001</v>
      </c>
      <c r="GT27">
        <v>999.9</v>
      </c>
      <c r="GU27">
        <v>47.4</v>
      </c>
      <c r="GV27">
        <v>32.299999999999997</v>
      </c>
      <c r="GW27">
        <v>23.106100000000001</v>
      </c>
      <c r="GX27">
        <v>60.737499999999997</v>
      </c>
      <c r="GY27">
        <v>29.759599999999999</v>
      </c>
      <c r="GZ27">
        <v>1</v>
      </c>
      <c r="HA27">
        <v>0.33147900000000002</v>
      </c>
      <c r="HB27">
        <v>2.5034299999999998</v>
      </c>
      <c r="HC27">
        <v>20.2592</v>
      </c>
      <c r="HD27">
        <v>5.2743399999999996</v>
      </c>
      <c r="HE27">
        <v>12.0878</v>
      </c>
      <c r="HF27">
        <v>5.0145</v>
      </c>
      <c r="HG27">
        <v>3.2919800000000001</v>
      </c>
      <c r="HH27">
        <v>9999</v>
      </c>
      <c r="HI27">
        <v>9999</v>
      </c>
      <c r="HJ27">
        <v>9999</v>
      </c>
      <c r="HK27">
        <v>999.9</v>
      </c>
      <c r="HL27">
        <v>1.87561</v>
      </c>
      <c r="HM27">
        <v>1.8760699999999999</v>
      </c>
      <c r="HN27">
        <v>1.8758300000000001</v>
      </c>
      <c r="HO27">
        <v>1.87975</v>
      </c>
      <c r="HP27">
        <v>1.8732800000000001</v>
      </c>
      <c r="HQ27">
        <v>1.87652</v>
      </c>
      <c r="HR27">
        <v>1.87622</v>
      </c>
      <c r="HS27">
        <v>1.8775900000000001</v>
      </c>
      <c r="HT27">
        <v>0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-2.6309999999999998</v>
      </c>
      <c r="IH27">
        <v>2.3E-3</v>
      </c>
      <c r="II27">
        <v>-1.798826252200403</v>
      </c>
      <c r="IJ27">
        <v>-1.5404112972462821E-3</v>
      </c>
      <c r="IK27">
        <v>-5.8697186733976997E-8</v>
      </c>
      <c r="IL27">
        <v>1.160237123038427E-10</v>
      </c>
      <c r="IM27">
        <v>-0.17741850798787259</v>
      </c>
      <c r="IN27">
        <v>-3.128848753924141E-3</v>
      </c>
      <c r="IO27">
        <v>3.6841110403368089E-4</v>
      </c>
      <c r="IP27">
        <v>1.9296040270694169E-6</v>
      </c>
      <c r="IQ27">
        <v>1</v>
      </c>
      <c r="IR27">
        <v>1992</v>
      </c>
      <c r="IS27">
        <v>2</v>
      </c>
      <c r="IT27">
        <v>27</v>
      </c>
      <c r="IU27">
        <v>0.7</v>
      </c>
      <c r="IV27">
        <v>0.7</v>
      </c>
      <c r="IW27">
        <v>1.4331100000000001</v>
      </c>
      <c r="IX27">
        <v>2.6403799999999999</v>
      </c>
      <c r="IY27">
        <v>1.69434</v>
      </c>
      <c r="IZ27">
        <v>2.3535200000000001</v>
      </c>
      <c r="JA27">
        <v>1.5466299999999999</v>
      </c>
      <c r="JB27">
        <v>2.4157700000000002</v>
      </c>
      <c r="JC27">
        <v>38.086300000000001</v>
      </c>
      <c r="JD27">
        <v>23.8949</v>
      </c>
      <c r="JE27">
        <v>18</v>
      </c>
      <c r="JF27">
        <v>529.66499999999996</v>
      </c>
      <c r="JG27">
        <v>550.07299999999998</v>
      </c>
      <c r="JH27">
        <v>24.878299999999999</v>
      </c>
      <c r="JI27">
        <v>31.2879</v>
      </c>
      <c r="JJ27">
        <v>30.0002</v>
      </c>
      <c r="JK27">
        <v>31.201899999999998</v>
      </c>
      <c r="JL27">
        <v>31.148599999999998</v>
      </c>
      <c r="JM27">
        <v>28.7669</v>
      </c>
      <c r="JN27">
        <v>25.715399999999999</v>
      </c>
      <c r="JO27">
        <v>36.631500000000003</v>
      </c>
      <c r="JP27">
        <v>24.890799999999999</v>
      </c>
      <c r="JQ27">
        <v>600</v>
      </c>
      <c r="JR27">
        <v>18.081900000000001</v>
      </c>
      <c r="JS27">
        <v>99.316999999999993</v>
      </c>
      <c r="JT27">
        <v>98.596400000000003</v>
      </c>
    </row>
    <row r="28" spans="1:280" x14ac:dyDescent="0.25">
      <c r="A28">
        <v>12</v>
      </c>
      <c r="B28">
        <v>1639668038.5</v>
      </c>
      <c r="C28">
        <v>1436.400000095367</v>
      </c>
      <c r="D28" t="s">
        <v>475</v>
      </c>
      <c r="E28" t="s">
        <v>476</v>
      </c>
      <c r="F28" t="s">
        <v>412</v>
      </c>
      <c r="G28" t="s">
        <v>413</v>
      </c>
      <c r="H28" t="s">
        <v>414</v>
      </c>
      <c r="I28">
        <v>1639668038.5</v>
      </c>
      <c r="J28">
        <f t="shared" si="0"/>
        <v>5.5417891310177358E-3</v>
      </c>
      <c r="K28">
        <f t="shared" si="1"/>
        <v>5.5417891310177358</v>
      </c>
      <c r="L28">
        <f t="shared" si="2"/>
        <v>48.431553806568758</v>
      </c>
      <c r="M28">
        <f t="shared" si="3"/>
        <v>737.01800000000003</v>
      </c>
      <c r="N28">
        <f t="shared" si="4"/>
        <v>541.77693099608041</v>
      </c>
      <c r="O28">
        <f t="shared" si="5"/>
        <v>54.033045322888334</v>
      </c>
      <c r="P28">
        <f t="shared" si="6"/>
        <v>73.5050252593214</v>
      </c>
      <c r="Q28">
        <f t="shared" si="7"/>
        <v>0.45745308444837723</v>
      </c>
      <c r="R28">
        <f t="shared" si="8"/>
        <v>2.9241915131800402</v>
      </c>
      <c r="S28">
        <f t="shared" si="9"/>
        <v>0.42109385486335149</v>
      </c>
      <c r="T28">
        <f t="shared" si="10"/>
        <v>0.26620915361932712</v>
      </c>
      <c r="U28">
        <f t="shared" si="11"/>
        <v>289.56704984752997</v>
      </c>
      <c r="V28">
        <f t="shared" si="12"/>
        <v>28.27066981715636</v>
      </c>
      <c r="W28">
        <f t="shared" si="13"/>
        <v>27.787099999999999</v>
      </c>
      <c r="X28">
        <f t="shared" si="14"/>
        <v>3.7479948641900966</v>
      </c>
      <c r="Y28">
        <f t="shared" si="15"/>
        <v>65.242365413267891</v>
      </c>
      <c r="Z28">
        <f t="shared" si="16"/>
        <v>2.47642056191515</v>
      </c>
      <c r="AA28">
        <f t="shared" si="17"/>
        <v>3.795724674034485</v>
      </c>
      <c r="AB28">
        <f t="shared" si="18"/>
        <v>1.2715743022749466</v>
      </c>
      <c r="AC28">
        <f t="shared" si="19"/>
        <v>-244.39290067788215</v>
      </c>
      <c r="AD28">
        <f t="shared" si="20"/>
        <v>34.194070889022569</v>
      </c>
      <c r="AE28">
        <f t="shared" si="21"/>
        <v>2.5462647299909325</v>
      </c>
      <c r="AF28">
        <f t="shared" si="22"/>
        <v>81.914484788661312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52538.66135704545</v>
      </c>
      <c r="AL28" t="s">
        <v>415</v>
      </c>
      <c r="AM28">
        <v>10204.299999999999</v>
      </c>
      <c r="AN28">
        <v>862.72538461538477</v>
      </c>
      <c r="AO28">
        <v>3252.56</v>
      </c>
      <c r="AP28">
        <f t="shared" si="26"/>
        <v>0.73475496697512588</v>
      </c>
      <c r="AQ28">
        <v>-6.6684750346205304</v>
      </c>
      <c r="AR28" t="s">
        <v>477</v>
      </c>
      <c r="AS28">
        <v>10026.299999999999</v>
      </c>
      <c r="AT28">
        <v>779.60515999999984</v>
      </c>
      <c r="AU28">
        <v>1131.043646753239</v>
      </c>
      <c r="AV28">
        <f t="shared" si="27"/>
        <v>0.31072053475749983</v>
      </c>
      <c r="AW28">
        <v>0.5</v>
      </c>
      <c r="AX28">
        <f t="shared" si="28"/>
        <v>1513.1849999209999</v>
      </c>
      <c r="AY28">
        <f t="shared" si="29"/>
        <v>48.431553806568758</v>
      </c>
      <c r="AZ28">
        <f t="shared" si="30"/>
        <v>235.08882618124022</v>
      </c>
      <c r="BA28">
        <f t="shared" si="31"/>
        <v>3.6413279832978741E-2</v>
      </c>
      <c r="BB28">
        <f t="shared" si="32"/>
        <v>1.8757157244433151</v>
      </c>
      <c r="BC28">
        <f t="shared" si="33"/>
        <v>576.10110003219313</v>
      </c>
      <c r="BD28" t="s">
        <v>478</v>
      </c>
      <c r="BE28">
        <v>600.25</v>
      </c>
      <c r="BF28">
        <f t="shared" si="34"/>
        <v>600.25</v>
      </c>
      <c r="BG28">
        <f t="shared" si="35"/>
        <v>0.46929545847052778</v>
      </c>
      <c r="BH28">
        <f t="shared" si="36"/>
        <v>0.66210002493986075</v>
      </c>
      <c r="BI28">
        <f t="shared" si="37"/>
        <v>0.79987495927955665</v>
      </c>
      <c r="BJ28">
        <f t="shared" si="38"/>
        <v>1.309782211442172</v>
      </c>
      <c r="BK28">
        <f t="shared" si="39"/>
        <v>0.88772517545333507</v>
      </c>
      <c r="BL28">
        <f t="shared" si="40"/>
        <v>0.50977797526398039</v>
      </c>
      <c r="BM28">
        <f t="shared" si="41"/>
        <v>0.49022202473601961</v>
      </c>
      <c r="BN28">
        <v>4894</v>
      </c>
      <c r="BO28">
        <v>290.00000000000011</v>
      </c>
      <c r="BP28">
        <v>1046.3599999999999</v>
      </c>
      <c r="BQ28">
        <v>265</v>
      </c>
      <c r="BR28">
        <v>10026.299999999999</v>
      </c>
      <c r="BS28">
        <v>1045.45</v>
      </c>
      <c r="BT28">
        <v>0.91</v>
      </c>
      <c r="BU28">
        <v>300.00000000000011</v>
      </c>
      <c r="BV28">
        <v>24.1</v>
      </c>
      <c r="BW28">
        <v>1131.043646753239</v>
      </c>
      <c r="BX28">
        <v>1.9166296187159739</v>
      </c>
      <c r="BY28">
        <v>-85.820923622548037</v>
      </c>
      <c r="BZ28">
        <v>1.712348394229408</v>
      </c>
      <c r="CA28">
        <v>0.98897593792918603</v>
      </c>
      <c r="CB28">
        <v>-6.8327201334816524E-3</v>
      </c>
      <c r="CC28">
        <v>289.99999999999989</v>
      </c>
      <c r="CD28">
        <v>1045.1600000000001</v>
      </c>
      <c r="CE28">
        <v>675</v>
      </c>
      <c r="CF28">
        <v>10014.700000000001</v>
      </c>
      <c r="CG28">
        <v>1045.3499999999999</v>
      </c>
      <c r="CH28">
        <v>-0.19</v>
      </c>
      <c r="CV28">
        <f t="shared" si="42"/>
        <v>1800</v>
      </c>
      <c r="CW28">
        <f t="shared" si="43"/>
        <v>1513.1849999209999</v>
      </c>
      <c r="CX28">
        <f t="shared" si="44"/>
        <v>0.84065833328944439</v>
      </c>
      <c r="CY28">
        <f t="shared" si="45"/>
        <v>0.16087058324862777</v>
      </c>
      <c r="CZ28">
        <v>6</v>
      </c>
      <c r="DA28">
        <v>0.5</v>
      </c>
      <c r="DB28" t="s">
        <v>418</v>
      </c>
      <c r="DC28">
        <v>2</v>
      </c>
      <c r="DD28">
        <v>1639668038.5</v>
      </c>
      <c r="DE28">
        <v>737.01800000000003</v>
      </c>
      <c r="DF28">
        <v>800.03499999999997</v>
      </c>
      <c r="DG28">
        <v>24.830500000000001</v>
      </c>
      <c r="DH28">
        <v>18.345700000000001</v>
      </c>
      <c r="DI28">
        <v>740.06600000000003</v>
      </c>
      <c r="DJ28">
        <v>24.828399999999998</v>
      </c>
      <c r="DK28">
        <v>500.017</v>
      </c>
      <c r="DL28">
        <v>99.633099999999999</v>
      </c>
      <c r="DM28">
        <v>9.9912299999999996E-2</v>
      </c>
      <c r="DN28">
        <v>28.004000000000001</v>
      </c>
      <c r="DO28">
        <v>27.787099999999999</v>
      </c>
      <c r="DP28">
        <v>999.9</v>
      </c>
      <c r="DQ28">
        <v>0</v>
      </c>
      <c r="DR28">
        <v>0</v>
      </c>
      <c r="DS28">
        <v>10006.200000000001</v>
      </c>
      <c r="DT28">
        <v>0</v>
      </c>
      <c r="DU28">
        <v>372.30700000000002</v>
      </c>
      <c r="DV28">
        <v>-63.017499999999998</v>
      </c>
      <c r="DW28">
        <v>755.78499999999997</v>
      </c>
      <c r="DX28">
        <v>814.98699999999997</v>
      </c>
      <c r="DY28">
        <v>6.4847700000000001</v>
      </c>
      <c r="DZ28">
        <v>800.03499999999997</v>
      </c>
      <c r="EA28">
        <v>18.345700000000001</v>
      </c>
      <c r="EB28">
        <v>2.4739399999999998</v>
      </c>
      <c r="EC28">
        <v>1.8278399999999999</v>
      </c>
      <c r="ED28">
        <v>20.856100000000001</v>
      </c>
      <c r="EE28">
        <v>16.027000000000001</v>
      </c>
      <c r="EF28">
        <v>1800</v>
      </c>
      <c r="EG28">
        <v>0.97799499999999995</v>
      </c>
      <c r="EH28">
        <v>2.2004800000000001E-2</v>
      </c>
      <c r="EI28">
        <v>0</v>
      </c>
      <c r="EJ28">
        <v>779.78</v>
      </c>
      <c r="EK28">
        <v>5.0001199999999999</v>
      </c>
      <c r="EL28">
        <v>14020.4</v>
      </c>
      <c r="EM28">
        <v>15629.9</v>
      </c>
      <c r="EN28">
        <v>48.561999999999998</v>
      </c>
      <c r="EO28">
        <v>49.125</v>
      </c>
      <c r="EP28">
        <v>49.311999999999998</v>
      </c>
      <c r="EQ28">
        <v>48.875</v>
      </c>
      <c r="ER28">
        <v>50</v>
      </c>
      <c r="ES28">
        <v>1755.5</v>
      </c>
      <c r="ET28">
        <v>39.5</v>
      </c>
      <c r="EU28">
        <v>0</v>
      </c>
      <c r="EV28">
        <v>120.19999980926509</v>
      </c>
      <c r="EW28">
        <v>0</v>
      </c>
      <c r="EX28">
        <v>779.60515999999984</v>
      </c>
      <c r="EY28">
        <v>0.70853846089972872</v>
      </c>
      <c r="EZ28">
        <v>19.161538487671059</v>
      </c>
      <c r="FA28">
        <v>14018.548000000001</v>
      </c>
      <c r="FB28">
        <v>15</v>
      </c>
      <c r="FC28">
        <v>1639668000</v>
      </c>
      <c r="FD28" t="s">
        <v>479</v>
      </c>
      <c r="FE28">
        <v>1639667998</v>
      </c>
      <c r="FF28">
        <v>1639668000</v>
      </c>
      <c r="FG28">
        <v>13</v>
      </c>
      <c r="FH28">
        <v>-0.124</v>
      </c>
      <c r="FI28">
        <v>1E-3</v>
      </c>
      <c r="FJ28">
        <v>-3.1379999999999999</v>
      </c>
      <c r="FK28">
        <v>-0.1</v>
      </c>
      <c r="FL28">
        <v>800</v>
      </c>
      <c r="FM28">
        <v>18</v>
      </c>
      <c r="FN28">
        <v>0.03</v>
      </c>
      <c r="FO28">
        <v>0.01</v>
      </c>
      <c r="FP28">
        <v>48.443855143409067</v>
      </c>
      <c r="FQ28">
        <v>-0.50937611620566536</v>
      </c>
      <c r="FR28">
        <v>6.7425287238069204E-2</v>
      </c>
      <c r="FS28">
        <v>1</v>
      </c>
      <c r="FT28">
        <v>0.46015578880877289</v>
      </c>
      <c r="FU28">
        <v>3.0649704944312999E-2</v>
      </c>
      <c r="FV28">
        <v>4.4305642101450547E-3</v>
      </c>
      <c r="FW28">
        <v>1</v>
      </c>
      <c r="FX28">
        <v>2</v>
      </c>
      <c r="FY28">
        <v>2</v>
      </c>
      <c r="FZ28" t="s">
        <v>420</v>
      </c>
      <c r="GA28">
        <v>2.9206400000000001</v>
      </c>
      <c r="GB28">
        <v>2.7449400000000002</v>
      </c>
      <c r="GC28">
        <v>0.14316599999999999</v>
      </c>
      <c r="GD28">
        <v>0.152999</v>
      </c>
      <c r="GE28">
        <v>0.119766</v>
      </c>
      <c r="GF28">
        <v>9.8093600000000003E-2</v>
      </c>
      <c r="GG28">
        <v>26659.4</v>
      </c>
      <c r="GH28">
        <v>26063.3</v>
      </c>
      <c r="GI28">
        <v>28326.3</v>
      </c>
      <c r="GJ28">
        <v>28139.1</v>
      </c>
      <c r="GK28">
        <v>34213.9</v>
      </c>
      <c r="GL28">
        <v>35629</v>
      </c>
      <c r="GM28">
        <v>42619.6</v>
      </c>
      <c r="GN28">
        <v>43766.5</v>
      </c>
      <c r="GO28">
        <v>1.7946500000000001</v>
      </c>
      <c r="GP28">
        <v>1.99678</v>
      </c>
      <c r="GQ28">
        <v>3.8664799999999999E-2</v>
      </c>
      <c r="GR28">
        <v>0</v>
      </c>
      <c r="GS28">
        <v>27.1553</v>
      </c>
      <c r="GT28">
        <v>999.9</v>
      </c>
      <c r="GU28">
        <v>47</v>
      </c>
      <c r="GV28">
        <v>32.5</v>
      </c>
      <c r="GW28">
        <v>23.1722</v>
      </c>
      <c r="GX28">
        <v>60.807499999999997</v>
      </c>
      <c r="GY28">
        <v>30.012</v>
      </c>
      <c r="GZ28">
        <v>1</v>
      </c>
      <c r="HA28">
        <v>0.33701199999999998</v>
      </c>
      <c r="HB28">
        <v>2.54494</v>
      </c>
      <c r="HC28">
        <v>20.258099999999999</v>
      </c>
      <c r="HD28">
        <v>5.2746399999999998</v>
      </c>
      <c r="HE28">
        <v>12.0878</v>
      </c>
      <c r="HF28">
        <v>5.0135500000000004</v>
      </c>
      <c r="HG28">
        <v>3.2919999999999998</v>
      </c>
      <c r="HH28">
        <v>9999</v>
      </c>
      <c r="HI28">
        <v>9999</v>
      </c>
      <c r="HJ28">
        <v>9999</v>
      </c>
      <c r="HK28">
        <v>999.9</v>
      </c>
      <c r="HL28">
        <v>1.87564</v>
      </c>
      <c r="HM28">
        <v>1.87612</v>
      </c>
      <c r="HN28">
        <v>1.87592</v>
      </c>
      <c r="HO28">
        <v>1.8797999999999999</v>
      </c>
      <c r="HP28">
        <v>1.8733</v>
      </c>
      <c r="HQ28">
        <v>1.87653</v>
      </c>
      <c r="HR28">
        <v>1.8762300000000001</v>
      </c>
      <c r="HS28">
        <v>1.8776200000000001</v>
      </c>
      <c r="HT28">
        <v>0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-3.048</v>
      </c>
      <c r="IH28">
        <v>2.0999999999999999E-3</v>
      </c>
      <c r="II28">
        <v>-1.9225984247039229</v>
      </c>
      <c r="IJ28">
        <v>-1.5404112972462821E-3</v>
      </c>
      <c r="IK28">
        <v>-5.8697186733976997E-8</v>
      </c>
      <c r="IL28">
        <v>1.160237123038427E-10</v>
      </c>
      <c r="IM28">
        <v>-0.17686036190143761</v>
      </c>
      <c r="IN28">
        <v>-3.128848753924141E-3</v>
      </c>
      <c r="IO28">
        <v>3.6841110403368089E-4</v>
      </c>
      <c r="IP28">
        <v>1.9296040270694169E-6</v>
      </c>
      <c r="IQ28">
        <v>1</v>
      </c>
      <c r="IR28">
        <v>1992</v>
      </c>
      <c r="IS28">
        <v>2</v>
      </c>
      <c r="IT28">
        <v>27</v>
      </c>
      <c r="IU28">
        <v>0.7</v>
      </c>
      <c r="IV28">
        <v>0.6</v>
      </c>
      <c r="IW28">
        <v>1.81152</v>
      </c>
      <c r="IX28">
        <v>2.6428199999999999</v>
      </c>
      <c r="IY28">
        <v>1.69434</v>
      </c>
      <c r="IZ28">
        <v>2.35229</v>
      </c>
      <c r="JA28">
        <v>1.5466299999999999</v>
      </c>
      <c r="JB28">
        <v>2.4621599999999999</v>
      </c>
      <c r="JC28">
        <v>38.305599999999998</v>
      </c>
      <c r="JD28">
        <v>23.8949</v>
      </c>
      <c r="JE28">
        <v>18</v>
      </c>
      <c r="JF28">
        <v>529.50599999999997</v>
      </c>
      <c r="JG28">
        <v>549.61400000000003</v>
      </c>
      <c r="JH28">
        <v>24.952100000000002</v>
      </c>
      <c r="JI28">
        <v>31.364000000000001</v>
      </c>
      <c r="JJ28">
        <v>30.000299999999999</v>
      </c>
      <c r="JK28">
        <v>31.2804</v>
      </c>
      <c r="JL28">
        <v>31.226600000000001</v>
      </c>
      <c r="JM28">
        <v>36.335999999999999</v>
      </c>
      <c r="JN28">
        <v>24.656500000000001</v>
      </c>
      <c r="JO28">
        <v>35.983699999999999</v>
      </c>
      <c r="JP28">
        <v>24.944099999999999</v>
      </c>
      <c r="JQ28">
        <v>800</v>
      </c>
      <c r="JR28">
        <v>18.2898</v>
      </c>
      <c r="JS28">
        <v>99.312200000000004</v>
      </c>
      <c r="JT28">
        <v>98.586200000000005</v>
      </c>
    </row>
    <row r="29" spans="1:280" x14ac:dyDescent="0.25">
      <c r="A29">
        <v>13</v>
      </c>
      <c r="B29">
        <v>1639668154.5</v>
      </c>
      <c r="C29">
        <v>1552.400000095367</v>
      </c>
      <c r="D29" t="s">
        <v>480</v>
      </c>
      <c r="E29" t="s">
        <v>481</v>
      </c>
      <c r="F29" t="s">
        <v>412</v>
      </c>
      <c r="G29" t="s">
        <v>413</v>
      </c>
      <c r="H29" t="s">
        <v>414</v>
      </c>
      <c r="I29">
        <v>1639668154.5</v>
      </c>
      <c r="J29">
        <f t="shared" si="0"/>
        <v>5.2697423044791468E-3</v>
      </c>
      <c r="K29">
        <f t="shared" si="1"/>
        <v>5.2697423044791467</v>
      </c>
      <c r="L29">
        <f t="shared" si="2"/>
        <v>47.449036049675399</v>
      </c>
      <c r="M29">
        <f t="shared" si="3"/>
        <v>1135.9000000000001</v>
      </c>
      <c r="N29">
        <f t="shared" si="4"/>
        <v>925.18264565256209</v>
      </c>
      <c r="O29">
        <f t="shared" si="5"/>
        <v>92.26785102217157</v>
      </c>
      <c r="P29">
        <f t="shared" si="6"/>
        <v>113.28255287599001</v>
      </c>
      <c r="Q29">
        <f t="shared" si="7"/>
        <v>0.42942686741628761</v>
      </c>
      <c r="R29">
        <f t="shared" si="8"/>
        <v>2.9237078178992189</v>
      </c>
      <c r="S29">
        <f t="shared" si="9"/>
        <v>0.39721342272781934</v>
      </c>
      <c r="T29">
        <f t="shared" si="10"/>
        <v>0.25095096423760643</v>
      </c>
      <c r="U29">
        <f t="shared" si="11"/>
        <v>289.54949384752069</v>
      </c>
      <c r="V29">
        <f t="shared" si="12"/>
        <v>28.34683853097874</v>
      </c>
      <c r="W29">
        <f t="shared" si="13"/>
        <v>27.839099999999998</v>
      </c>
      <c r="X29">
        <f t="shared" si="14"/>
        <v>3.7593897091952622</v>
      </c>
      <c r="Y29">
        <f t="shared" si="15"/>
        <v>65.254886075384917</v>
      </c>
      <c r="Z29">
        <f t="shared" si="16"/>
        <v>2.4776756260684003</v>
      </c>
      <c r="AA29">
        <f t="shared" si="17"/>
        <v>3.7969197022366958</v>
      </c>
      <c r="AB29">
        <f t="shared" si="18"/>
        <v>1.2817140831268619</v>
      </c>
      <c r="AC29">
        <f t="shared" si="19"/>
        <v>-232.39563562753037</v>
      </c>
      <c r="AD29">
        <f t="shared" si="20"/>
        <v>26.84318598012279</v>
      </c>
      <c r="AE29">
        <f t="shared" si="21"/>
        <v>1.9997831019935968</v>
      </c>
      <c r="AF29">
        <f t="shared" si="22"/>
        <v>85.996827302106738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52523.736210581694</v>
      </c>
      <c r="AL29" t="s">
        <v>415</v>
      </c>
      <c r="AM29">
        <v>10204.299999999999</v>
      </c>
      <c r="AN29">
        <v>862.72538461538477</v>
      </c>
      <c r="AO29">
        <v>3252.56</v>
      </c>
      <c r="AP29">
        <f t="shared" si="26"/>
        <v>0.73475496697512588</v>
      </c>
      <c r="AQ29">
        <v>-6.6684750346205304</v>
      </c>
      <c r="AR29" t="s">
        <v>482</v>
      </c>
      <c r="AS29">
        <v>10029.5</v>
      </c>
      <c r="AT29">
        <v>779.83426923076934</v>
      </c>
      <c r="AU29">
        <v>1136.9672287243441</v>
      </c>
      <c r="AV29">
        <f t="shared" si="27"/>
        <v>0.31411016119987134</v>
      </c>
      <c r="AW29">
        <v>0.5</v>
      </c>
      <c r="AX29">
        <f t="shared" si="28"/>
        <v>1513.0925999209951</v>
      </c>
      <c r="AY29">
        <f t="shared" si="29"/>
        <v>47.449036049675399</v>
      </c>
      <c r="AZ29">
        <f t="shared" si="30"/>
        <v>237.63888023575811</v>
      </c>
      <c r="BA29">
        <f t="shared" si="31"/>
        <v>3.5766159379222152E-2</v>
      </c>
      <c r="BB29">
        <f t="shared" si="32"/>
        <v>1.860733289251715</v>
      </c>
      <c r="BC29">
        <f t="shared" si="33"/>
        <v>577.63398134471822</v>
      </c>
      <c r="BD29" t="s">
        <v>483</v>
      </c>
      <c r="BE29">
        <v>597.41</v>
      </c>
      <c r="BF29">
        <f t="shared" si="34"/>
        <v>597.41</v>
      </c>
      <c r="BG29">
        <f t="shared" si="35"/>
        <v>0.47455829428761742</v>
      </c>
      <c r="BH29">
        <f t="shared" si="36"/>
        <v>0.66190005523219742</v>
      </c>
      <c r="BI29">
        <f t="shared" si="37"/>
        <v>0.79678841921385068</v>
      </c>
      <c r="BJ29">
        <f t="shared" si="38"/>
        <v>1.3022555352701095</v>
      </c>
      <c r="BK29">
        <f t="shared" si="39"/>
        <v>0.88524651775335361</v>
      </c>
      <c r="BL29">
        <f t="shared" si="40"/>
        <v>0.50706377957244175</v>
      </c>
      <c r="BM29">
        <f t="shared" si="41"/>
        <v>0.49293622042755825</v>
      </c>
      <c r="BN29">
        <v>4896</v>
      </c>
      <c r="BO29">
        <v>290.00000000000011</v>
      </c>
      <c r="BP29">
        <v>1046.94</v>
      </c>
      <c r="BQ29">
        <v>235</v>
      </c>
      <c r="BR29">
        <v>10029.5</v>
      </c>
      <c r="BS29">
        <v>1047.0999999999999</v>
      </c>
      <c r="BT29">
        <v>-0.16</v>
      </c>
      <c r="BU29">
        <v>300.00000000000011</v>
      </c>
      <c r="BV29">
        <v>24.1</v>
      </c>
      <c r="BW29">
        <v>1136.9672287243441</v>
      </c>
      <c r="BX29">
        <v>1.6241823105495889</v>
      </c>
      <c r="BY29">
        <v>-90.128911986337499</v>
      </c>
      <c r="BZ29">
        <v>1.4512425003333</v>
      </c>
      <c r="CA29">
        <v>0.99279277040390534</v>
      </c>
      <c r="CB29">
        <v>-6.8333443826473919E-3</v>
      </c>
      <c r="CC29">
        <v>289.99999999999989</v>
      </c>
      <c r="CD29">
        <v>1046.17</v>
      </c>
      <c r="CE29">
        <v>635</v>
      </c>
      <c r="CF29">
        <v>10017.700000000001</v>
      </c>
      <c r="CG29">
        <v>1047</v>
      </c>
      <c r="CH29">
        <v>-0.83</v>
      </c>
      <c r="CV29">
        <f t="shared" si="42"/>
        <v>1799.89</v>
      </c>
      <c r="CW29">
        <f t="shared" si="43"/>
        <v>1513.0925999209951</v>
      </c>
      <c r="CX29">
        <f t="shared" si="44"/>
        <v>0.84065837352337924</v>
      </c>
      <c r="CY29">
        <f t="shared" si="45"/>
        <v>0.16087066090012206</v>
      </c>
      <c r="CZ29">
        <v>6</v>
      </c>
      <c r="DA29">
        <v>0.5</v>
      </c>
      <c r="DB29" t="s">
        <v>418</v>
      </c>
      <c r="DC29">
        <v>2</v>
      </c>
      <c r="DD29">
        <v>1639668154.5</v>
      </c>
      <c r="DE29">
        <v>1135.9000000000001</v>
      </c>
      <c r="DF29">
        <v>1200.02</v>
      </c>
      <c r="DG29">
        <v>24.844000000000001</v>
      </c>
      <c r="DH29">
        <v>18.677600000000002</v>
      </c>
      <c r="DI29">
        <v>1139.5899999999999</v>
      </c>
      <c r="DJ29">
        <v>24.841000000000001</v>
      </c>
      <c r="DK29">
        <v>500.01499999999999</v>
      </c>
      <c r="DL29">
        <v>99.629499999999993</v>
      </c>
      <c r="DM29">
        <v>9.9836099999999997E-2</v>
      </c>
      <c r="DN29">
        <v>28.009399999999999</v>
      </c>
      <c r="DO29">
        <v>27.839099999999998</v>
      </c>
      <c r="DP29">
        <v>999.9</v>
      </c>
      <c r="DQ29">
        <v>0</v>
      </c>
      <c r="DR29">
        <v>0</v>
      </c>
      <c r="DS29">
        <v>10003.799999999999</v>
      </c>
      <c r="DT29">
        <v>0</v>
      </c>
      <c r="DU29">
        <v>366.61700000000002</v>
      </c>
      <c r="DV29">
        <v>-64.117199999999997</v>
      </c>
      <c r="DW29">
        <v>1164.8399999999999</v>
      </c>
      <c r="DX29">
        <v>1222.8599999999999</v>
      </c>
      <c r="DY29">
        <v>6.1663399999999999</v>
      </c>
      <c r="DZ29">
        <v>1200.02</v>
      </c>
      <c r="EA29">
        <v>18.677600000000002</v>
      </c>
      <c r="EB29">
        <v>2.47519</v>
      </c>
      <c r="EC29">
        <v>1.86084</v>
      </c>
      <c r="ED29">
        <v>20.8643</v>
      </c>
      <c r="EE29">
        <v>16.307500000000001</v>
      </c>
      <c r="EF29">
        <v>1799.89</v>
      </c>
      <c r="EG29">
        <v>0.97799199999999997</v>
      </c>
      <c r="EH29">
        <v>2.2008199999999999E-2</v>
      </c>
      <c r="EI29">
        <v>0</v>
      </c>
      <c r="EJ29">
        <v>780.06299999999999</v>
      </c>
      <c r="EK29">
        <v>5.0001199999999999</v>
      </c>
      <c r="EL29">
        <v>14010.4</v>
      </c>
      <c r="EM29">
        <v>15628.9</v>
      </c>
      <c r="EN29">
        <v>48.311999999999998</v>
      </c>
      <c r="EO29">
        <v>48.936999999999998</v>
      </c>
      <c r="EP29">
        <v>49.061999999999998</v>
      </c>
      <c r="EQ29">
        <v>48.75</v>
      </c>
      <c r="ER29">
        <v>49.75</v>
      </c>
      <c r="ES29">
        <v>1755.39</v>
      </c>
      <c r="ET29">
        <v>39.5</v>
      </c>
      <c r="EU29">
        <v>0</v>
      </c>
      <c r="EV29">
        <v>114</v>
      </c>
      <c r="EW29">
        <v>0</v>
      </c>
      <c r="EX29">
        <v>779.83426923076934</v>
      </c>
      <c r="EY29">
        <v>0.52283760528970391</v>
      </c>
      <c r="EZ29">
        <v>8.9435896828409351</v>
      </c>
      <c r="FA29">
        <v>14010.292307692311</v>
      </c>
      <c r="FB29">
        <v>15</v>
      </c>
      <c r="FC29">
        <v>1639668119.5</v>
      </c>
      <c r="FD29" t="s">
        <v>484</v>
      </c>
      <c r="FE29">
        <v>1639668119.5</v>
      </c>
      <c r="FF29">
        <v>1639668110</v>
      </c>
      <c r="FG29">
        <v>14</v>
      </c>
      <c r="FH29">
        <v>-0.11</v>
      </c>
      <c r="FI29">
        <v>1E-3</v>
      </c>
      <c r="FJ29">
        <v>-3.77</v>
      </c>
      <c r="FK29">
        <v>-9.6000000000000002E-2</v>
      </c>
      <c r="FL29">
        <v>1200</v>
      </c>
      <c r="FM29">
        <v>18</v>
      </c>
      <c r="FN29">
        <v>0.06</v>
      </c>
      <c r="FO29">
        <v>0.01</v>
      </c>
      <c r="FP29">
        <v>47.47109868598033</v>
      </c>
      <c r="FQ29">
        <v>-0.6424499816115069</v>
      </c>
      <c r="FR29">
        <v>9.6842803315794854E-2</v>
      </c>
      <c r="FS29">
        <v>1</v>
      </c>
      <c r="FT29">
        <v>0.42871219491265428</v>
      </c>
      <c r="FU29">
        <v>4.7769561376497731E-2</v>
      </c>
      <c r="FV29">
        <v>5.5841463597807511E-3</v>
      </c>
      <c r="FW29">
        <v>1</v>
      </c>
      <c r="FX29">
        <v>2</v>
      </c>
      <c r="FY29">
        <v>2</v>
      </c>
      <c r="FZ29" t="s">
        <v>420</v>
      </c>
      <c r="GA29">
        <v>2.92055</v>
      </c>
      <c r="GB29">
        <v>2.7448399999999999</v>
      </c>
      <c r="GC29">
        <v>0.18956500000000001</v>
      </c>
      <c r="GD29">
        <v>0.198324</v>
      </c>
      <c r="GE29">
        <v>0.11978999999999999</v>
      </c>
      <c r="GF29">
        <v>9.9340800000000007E-2</v>
      </c>
      <c r="GG29">
        <v>25214.6</v>
      </c>
      <c r="GH29">
        <v>24665.4</v>
      </c>
      <c r="GI29">
        <v>28326.5</v>
      </c>
      <c r="GJ29">
        <v>28137</v>
      </c>
      <c r="GK29">
        <v>34213.699999999997</v>
      </c>
      <c r="GL29">
        <v>35577.599999999999</v>
      </c>
      <c r="GM29">
        <v>42620.7</v>
      </c>
      <c r="GN29">
        <v>43764.1</v>
      </c>
      <c r="GO29">
        <v>1.7938000000000001</v>
      </c>
      <c r="GP29">
        <v>1.99685</v>
      </c>
      <c r="GQ29">
        <v>4.5195199999999998E-2</v>
      </c>
      <c r="GR29">
        <v>0</v>
      </c>
      <c r="GS29">
        <v>27.1006</v>
      </c>
      <c r="GT29">
        <v>999.9</v>
      </c>
      <c r="GU29">
        <v>46.5</v>
      </c>
      <c r="GV29">
        <v>32.700000000000003</v>
      </c>
      <c r="GW29">
        <v>23.183800000000002</v>
      </c>
      <c r="GX29">
        <v>61.237499999999997</v>
      </c>
      <c r="GY29">
        <v>29.855799999999999</v>
      </c>
      <c r="GZ29">
        <v>1</v>
      </c>
      <c r="HA29">
        <v>0.33928900000000001</v>
      </c>
      <c r="HB29">
        <v>2.5131800000000002</v>
      </c>
      <c r="HC29">
        <v>20.2576</v>
      </c>
      <c r="HD29">
        <v>5.2727000000000004</v>
      </c>
      <c r="HE29">
        <v>12.0878</v>
      </c>
      <c r="HF29">
        <v>5.0127499999999996</v>
      </c>
      <c r="HG29">
        <v>3.29128</v>
      </c>
      <c r="HH29">
        <v>9999</v>
      </c>
      <c r="HI29">
        <v>9999</v>
      </c>
      <c r="HJ29">
        <v>9999</v>
      </c>
      <c r="HK29">
        <v>999.9</v>
      </c>
      <c r="HL29">
        <v>1.8756999999999999</v>
      </c>
      <c r="HM29">
        <v>1.87618</v>
      </c>
      <c r="HN29">
        <v>1.87592</v>
      </c>
      <c r="HO29">
        <v>1.8798299999999999</v>
      </c>
      <c r="HP29">
        <v>1.8733200000000001</v>
      </c>
      <c r="HQ29">
        <v>1.87653</v>
      </c>
      <c r="HR29">
        <v>1.87626</v>
      </c>
      <c r="HS29">
        <v>1.8776900000000001</v>
      </c>
      <c r="HT29">
        <v>0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-3.69</v>
      </c>
      <c r="IH29">
        <v>3.0000000000000001E-3</v>
      </c>
      <c r="II29">
        <v>-2.0321143012634231</v>
      </c>
      <c r="IJ29">
        <v>-1.5404112972462821E-3</v>
      </c>
      <c r="IK29">
        <v>-5.8697186733976997E-8</v>
      </c>
      <c r="IL29">
        <v>1.160237123038427E-10</v>
      </c>
      <c r="IM29">
        <v>-0.17618179417740171</v>
      </c>
      <c r="IN29">
        <v>-3.128848753924141E-3</v>
      </c>
      <c r="IO29">
        <v>3.6841110403368089E-4</v>
      </c>
      <c r="IP29">
        <v>1.9296040270694169E-6</v>
      </c>
      <c r="IQ29">
        <v>1</v>
      </c>
      <c r="IR29">
        <v>1992</v>
      </c>
      <c r="IS29">
        <v>2</v>
      </c>
      <c r="IT29">
        <v>27</v>
      </c>
      <c r="IU29">
        <v>0.6</v>
      </c>
      <c r="IV29">
        <v>0.7</v>
      </c>
      <c r="IW29">
        <v>2.52319</v>
      </c>
      <c r="IX29">
        <v>2.6269499999999999</v>
      </c>
      <c r="IY29">
        <v>1.69434</v>
      </c>
      <c r="IZ29">
        <v>2.35229</v>
      </c>
      <c r="JA29">
        <v>1.5466299999999999</v>
      </c>
      <c r="JB29">
        <v>2.4706999999999999</v>
      </c>
      <c r="JC29">
        <v>38.476900000000001</v>
      </c>
      <c r="JD29">
        <v>23.8949</v>
      </c>
      <c r="JE29">
        <v>18</v>
      </c>
      <c r="JF29">
        <v>529.30600000000004</v>
      </c>
      <c r="JG29">
        <v>550.17999999999995</v>
      </c>
      <c r="JH29">
        <v>24.983899999999998</v>
      </c>
      <c r="JI29">
        <v>31.402899999999999</v>
      </c>
      <c r="JJ29">
        <v>30.0002</v>
      </c>
      <c r="JK29">
        <v>31.331700000000001</v>
      </c>
      <c r="JL29">
        <v>31.279800000000002</v>
      </c>
      <c r="JM29">
        <v>50.558799999999998</v>
      </c>
      <c r="JN29">
        <v>23.2636</v>
      </c>
      <c r="JO29">
        <v>35.991700000000002</v>
      </c>
      <c r="JP29">
        <v>24.9772</v>
      </c>
      <c r="JQ29">
        <v>1200</v>
      </c>
      <c r="JR29">
        <v>18.5916</v>
      </c>
      <c r="JS29">
        <v>99.313999999999993</v>
      </c>
      <c r="JT29">
        <v>98.580100000000002</v>
      </c>
    </row>
    <row r="30" spans="1:280" x14ac:dyDescent="0.25">
      <c r="A30">
        <v>14</v>
      </c>
      <c r="B30">
        <v>1639668283.5</v>
      </c>
      <c r="C30">
        <v>1681.400000095367</v>
      </c>
      <c r="D30" t="s">
        <v>485</v>
      </c>
      <c r="E30" t="s">
        <v>486</v>
      </c>
      <c r="F30" t="s">
        <v>412</v>
      </c>
      <c r="G30" t="s">
        <v>413</v>
      </c>
      <c r="H30" t="s">
        <v>414</v>
      </c>
      <c r="I30">
        <v>1639668283.5</v>
      </c>
      <c r="J30">
        <f t="shared" si="0"/>
        <v>5.0129298552233368E-3</v>
      </c>
      <c r="K30">
        <f t="shared" si="1"/>
        <v>5.0129298552233363</v>
      </c>
      <c r="L30">
        <f t="shared" si="2"/>
        <v>46.626383648444204</v>
      </c>
      <c r="M30">
        <f t="shared" si="3"/>
        <v>1435.39</v>
      </c>
      <c r="N30">
        <f t="shared" si="4"/>
        <v>1210.9924462059853</v>
      </c>
      <c r="O30">
        <f t="shared" si="5"/>
        <v>120.77560688934997</v>
      </c>
      <c r="P30">
        <f t="shared" si="6"/>
        <v>143.15539202250002</v>
      </c>
      <c r="Q30">
        <f t="shared" si="7"/>
        <v>0.40464330093297052</v>
      </c>
      <c r="R30">
        <f t="shared" si="8"/>
        <v>2.9217839126453993</v>
      </c>
      <c r="S30">
        <f t="shared" si="9"/>
        <v>0.37589004175417939</v>
      </c>
      <c r="T30">
        <f t="shared" si="10"/>
        <v>0.23734415787703295</v>
      </c>
      <c r="U30">
        <f t="shared" si="11"/>
        <v>289.53251684747278</v>
      </c>
      <c r="V30">
        <f t="shared" si="12"/>
        <v>28.388358870307716</v>
      </c>
      <c r="W30">
        <f t="shared" si="13"/>
        <v>27.846800000000002</v>
      </c>
      <c r="X30">
        <f t="shared" si="14"/>
        <v>3.7610795895151896</v>
      </c>
      <c r="Y30">
        <f t="shared" si="15"/>
        <v>65.21793900368516</v>
      </c>
      <c r="Z30">
        <f t="shared" si="16"/>
        <v>2.47259428455</v>
      </c>
      <c r="AA30">
        <f t="shared" si="17"/>
        <v>3.7912793969313956</v>
      </c>
      <c r="AB30">
        <f t="shared" si="18"/>
        <v>1.2884853049651896</v>
      </c>
      <c r="AC30">
        <f t="shared" si="19"/>
        <v>-221.07020661534915</v>
      </c>
      <c r="AD30">
        <f t="shared" si="20"/>
        <v>21.595884280329141</v>
      </c>
      <c r="AE30">
        <f t="shared" si="21"/>
        <v>1.609782325724475</v>
      </c>
      <c r="AF30">
        <f t="shared" si="22"/>
        <v>91.667976838177267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52472.958351157438</v>
      </c>
      <c r="AL30" t="s">
        <v>415</v>
      </c>
      <c r="AM30">
        <v>10204.299999999999</v>
      </c>
      <c r="AN30">
        <v>862.72538461538477</v>
      </c>
      <c r="AO30">
        <v>3252.56</v>
      </c>
      <c r="AP30">
        <f t="shared" si="26"/>
        <v>0.73475496697512588</v>
      </c>
      <c r="AQ30">
        <v>-6.6684750346205304</v>
      </c>
      <c r="AR30" t="s">
        <v>487</v>
      </c>
      <c r="AS30">
        <v>10032.299999999999</v>
      </c>
      <c r="AT30">
        <v>780.23726923076924</v>
      </c>
      <c r="AU30">
        <v>1138.7027304403041</v>
      </c>
      <c r="AV30">
        <f t="shared" si="27"/>
        <v>0.31480161733776335</v>
      </c>
      <c r="AW30">
        <v>0.5</v>
      </c>
      <c r="AX30">
        <f t="shared" si="28"/>
        <v>1513.0004999209702</v>
      </c>
      <c r="AY30">
        <f t="shared" si="29"/>
        <v>46.626383648444204</v>
      </c>
      <c r="AZ30">
        <f t="shared" si="30"/>
        <v>238.14750220398295</v>
      </c>
      <c r="BA30">
        <f t="shared" si="31"/>
        <v>3.5224614060503298E-2</v>
      </c>
      <c r="BB30">
        <f t="shared" si="32"/>
        <v>1.8563732333743743</v>
      </c>
      <c r="BC30">
        <f t="shared" si="33"/>
        <v>578.0816004544954</v>
      </c>
      <c r="BD30" t="s">
        <v>488</v>
      </c>
      <c r="BE30">
        <v>596.67999999999995</v>
      </c>
      <c r="BF30">
        <f t="shared" si="34"/>
        <v>596.67999999999995</v>
      </c>
      <c r="BG30">
        <f t="shared" si="35"/>
        <v>0.47600020264351106</v>
      </c>
      <c r="BH30">
        <f t="shared" si="36"/>
        <v>0.66134765403351392</v>
      </c>
      <c r="BI30">
        <f t="shared" si="37"/>
        <v>0.79591595612742128</v>
      </c>
      <c r="BJ30">
        <f t="shared" si="38"/>
        <v>1.2988945166424861</v>
      </c>
      <c r="BK30">
        <f t="shared" si="39"/>
        <v>0.88452031615564164</v>
      </c>
      <c r="BL30">
        <f t="shared" si="40"/>
        <v>0.5057601498551374</v>
      </c>
      <c r="BM30">
        <f t="shared" si="41"/>
        <v>0.4942398501448626</v>
      </c>
      <c r="BN30">
        <v>4898</v>
      </c>
      <c r="BO30">
        <v>290.00000000000011</v>
      </c>
      <c r="BP30">
        <v>1046.95</v>
      </c>
      <c r="BQ30">
        <v>215</v>
      </c>
      <c r="BR30">
        <v>10032.299999999999</v>
      </c>
      <c r="BS30">
        <v>1047.03</v>
      </c>
      <c r="BT30">
        <v>-0.08</v>
      </c>
      <c r="BU30">
        <v>300.00000000000011</v>
      </c>
      <c r="BV30">
        <v>24.1</v>
      </c>
      <c r="BW30">
        <v>1138.7027304403041</v>
      </c>
      <c r="BX30">
        <v>2.0393394623030701</v>
      </c>
      <c r="BY30">
        <v>-91.970764570830013</v>
      </c>
      <c r="BZ30">
        <v>1.8224317935090819</v>
      </c>
      <c r="CA30">
        <v>0.9891254230986678</v>
      </c>
      <c r="CB30">
        <v>-6.8340640711902229E-3</v>
      </c>
      <c r="CC30">
        <v>289.99999999999989</v>
      </c>
      <c r="CD30">
        <v>1046.6600000000001</v>
      </c>
      <c r="CE30">
        <v>665</v>
      </c>
      <c r="CF30">
        <v>10017.700000000001</v>
      </c>
      <c r="CG30">
        <v>1046.8900000000001</v>
      </c>
      <c r="CH30">
        <v>-0.23</v>
      </c>
      <c r="CV30">
        <f t="shared" si="42"/>
        <v>1799.78</v>
      </c>
      <c r="CW30">
        <f t="shared" si="43"/>
        <v>1513.0004999209702</v>
      </c>
      <c r="CX30">
        <f t="shared" si="44"/>
        <v>0.84065858044926067</v>
      </c>
      <c r="CY30">
        <f t="shared" si="45"/>
        <v>0.16087106026707307</v>
      </c>
      <c r="CZ30">
        <v>6</v>
      </c>
      <c r="DA30">
        <v>0.5</v>
      </c>
      <c r="DB30" t="s">
        <v>418</v>
      </c>
      <c r="DC30">
        <v>2</v>
      </c>
      <c r="DD30">
        <v>1639668283.5</v>
      </c>
      <c r="DE30">
        <v>1435.39</v>
      </c>
      <c r="DF30">
        <v>1499.96</v>
      </c>
      <c r="DG30">
        <v>24.792200000000001</v>
      </c>
      <c r="DH30">
        <v>18.927299999999999</v>
      </c>
      <c r="DI30">
        <v>1439.53</v>
      </c>
      <c r="DJ30">
        <v>24.789400000000001</v>
      </c>
      <c r="DK30">
        <v>500.12599999999998</v>
      </c>
      <c r="DL30">
        <v>99.6327</v>
      </c>
      <c r="DM30">
        <v>0.10005</v>
      </c>
      <c r="DN30">
        <v>27.983899999999998</v>
      </c>
      <c r="DO30">
        <v>27.846800000000002</v>
      </c>
      <c r="DP30">
        <v>999.9</v>
      </c>
      <c r="DQ30">
        <v>0</v>
      </c>
      <c r="DR30">
        <v>0</v>
      </c>
      <c r="DS30">
        <v>9992.5</v>
      </c>
      <c r="DT30">
        <v>0</v>
      </c>
      <c r="DU30">
        <v>365.774</v>
      </c>
      <c r="DV30">
        <v>-64.574299999999994</v>
      </c>
      <c r="DW30">
        <v>1471.88</v>
      </c>
      <c r="DX30">
        <v>1528.9</v>
      </c>
      <c r="DY30">
        <v>5.8649300000000002</v>
      </c>
      <c r="DZ30">
        <v>1499.96</v>
      </c>
      <c r="EA30">
        <v>18.927299999999999</v>
      </c>
      <c r="EB30">
        <v>2.47011</v>
      </c>
      <c r="EC30">
        <v>1.8857699999999999</v>
      </c>
      <c r="ED30">
        <v>20.8309</v>
      </c>
      <c r="EE30">
        <v>16.516500000000001</v>
      </c>
      <c r="EF30">
        <v>1799.78</v>
      </c>
      <c r="EG30">
        <v>0.97798799999999997</v>
      </c>
      <c r="EH30">
        <v>2.2011599999999999E-2</v>
      </c>
      <c r="EI30">
        <v>0</v>
      </c>
      <c r="EJ30">
        <v>780.375</v>
      </c>
      <c r="EK30">
        <v>5.0001199999999999</v>
      </c>
      <c r="EL30">
        <v>13999.3</v>
      </c>
      <c r="EM30">
        <v>15628</v>
      </c>
      <c r="EN30">
        <v>48.061999999999998</v>
      </c>
      <c r="EO30">
        <v>48.686999999999998</v>
      </c>
      <c r="EP30">
        <v>48.811999999999998</v>
      </c>
      <c r="EQ30">
        <v>48.5</v>
      </c>
      <c r="ER30">
        <v>49.5</v>
      </c>
      <c r="ES30">
        <v>1755.27</v>
      </c>
      <c r="ET30">
        <v>39.51</v>
      </c>
      <c r="EU30">
        <v>0</v>
      </c>
      <c r="EV30">
        <v>126.7999999523163</v>
      </c>
      <c r="EW30">
        <v>0</v>
      </c>
      <c r="EX30">
        <v>780.23726923076924</v>
      </c>
      <c r="EY30">
        <v>1.636547000161283</v>
      </c>
      <c r="EZ30">
        <v>8.9470085804934048</v>
      </c>
      <c r="FA30">
        <v>13999.365384615379</v>
      </c>
      <c r="FB30">
        <v>15</v>
      </c>
      <c r="FC30">
        <v>1639668243</v>
      </c>
      <c r="FD30" t="s">
        <v>489</v>
      </c>
      <c r="FE30">
        <v>1639668238.5</v>
      </c>
      <c r="FF30">
        <v>1639668243</v>
      </c>
      <c r="FG30">
        <v>15</v>
      </c>
      <c r="FH30">
        <v>-0.11600000000000001</v>
      </c>
      <c r="FI30">
        <v>1E-3</v>
      </c>
      <c r="FJ30">
        <v>-4.2039999999999997</v>
      </c>
      <c r="FK30">
        <v>-9.1999999999999998E-2</v>
      </c>
      <c r="FL30">
        <v>1500</v>
      </c>
      <c r="FM30">
        <v>19</v>
      </c>
      <c r="FN30">
        <v>0.06</v>
      </c>
      <c r="FO30">
        <v>0.02</v>
      </c>
      <c r="FP30">
        <v>46.644464236176859</v>
      </c>
      <c r="FQ30">
        <v>-0.35408603624594792</v>
      </c>
      <c r="FR30">
        <v>8.7121960460298617E-2</v>
      </c>
      <c r="FS30">
        <v>1</v>
      </c>
      <c r="FT30">
        <v>0.40780181902223761</v>
      </c>
      <c r="FU30">
        <v>-1.0489027269789039E-3</v>
      </c>
      <c r="FV30">
        <v>1.4142980849671161E-3</v>
      </c>
      <c r="FW30">
        <v>1</v>
      </c>
      <c r="FX30">
        <v>2</v>
      </c>
      <c r="FY30">
        <v>2</v>
      </c>
      <c r="FZ30" t="s">
        <v>420</v>
      </c>
      <c r="GA30">
        <v>2.9208099999999999</v>
      </c>
      <c r="GB30">
        <v>2.7449499999999998</v>
      </c>
      <c r="GC30">
        <v>0.218773</v>
      </c>
      <c r="GD30">
        <v>0.22701199999999999</v>
      </c>
      <c r="GE30">
        <v>0.119615</v>
      </c>
      <c r="GF30">
        <v>0.100281</v>
      </c>
      <c r="GG30">
        <v>24305.8</v>
      </c>
      <c r="GH30">
        <v>23781.599999999999</v>
      </c>
      <c r="GI30">
        <v>28328</v>
      </c>
      <c r="GJ30">
        <v>28137.3</v>
      </c>
      <c r="GK30">
        <v>34223.1</v>
      </c>
      <c r="GL30">
        <v>35541.1</v>
      </c>
      <c r="GM30">
        <v>42624.1</v>
      </c>
      <c r="GN30">
        <v>43765.1</v>
      </c>
      <c r="GO30">
        <v>1.79365</v>
      </c>
      <c r="GP30">
        <v>1.99688</v>
      </c>
      <c r="GQ30">
        <v>4.8495799999999999E-2</v>
      </c>
      <c r="GR30">
        <v>0</v>
      </c>
      <c r="GS30">
        <v>27.054300000000001</v>
      </c>
      <c r="GT30">
        <v>999.9</v>
      </c>
      <c r="GU30">
        <v>46.1</v>
      </c>
      <c r="GV30">
        <v>32.9</v>
      </c>
      <c r="GW30">
        <v>23.243300000000001</v>
      </c>
      <c r="GX30">
        <v>61.357399999999998</v>
      </c>
      <c r="GY30">
        <v>29.363</v>
      </c>
      <c r="GZ30">
        <v>1</v>
      </c>
      <c r="HA30">
        <v>0.33843499999999999</v>
      </c>
      <c r="HB30">
        <v>2.3332299999999999</v>
      </c>
      <c r="HC30">
        <v>20.2605</v>
      </c>
      <c r="HD30">
        <v>5.2761399999999998</v>
      </c>
      <c r="HE30">
        <v>12.0878</v>
      </c>
      <c r="HF30">
        <v>5.0133999999999999</v>
      </c>
      <c r="HG30">
        <v>3.29175</v>
      </c>
      <c r="HH30">
        <v>9999</v>
      </c>
      <c r="HI30">
        <v>9999</v>
      </c>
      <c r="HJ30">
        <v>9999</v>
      </c>
      <c r="HK30">
        <v>999.9</v>
      </c>
      <c r="HL30">
        <v>1.87575</v>
      </c>
      <c r="HM30">
        <v>1.87622</v>
      </c>
      <c r="HN30">
        <v>1.87592</v>
      </c>
      <c r="HO30">
        <v>1.8798699999999999</v>
      </c>
      <c r="HP30">
        <v>1.8733200000000001</v>
      </c>
      <c r="HQ30">
        <v>1.87653</v>
      </c>
      <c r="HR30">
        <v>1.87625</v>
      </c>
      <c r="HS30">
        <v>1.87775</v>
      </c>
      <c r="HT30">
        <v>0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-4.1399999999999997</v>
      </c>
      <c r="IH30">
        <v>2.8E-3</v>
      </c>
      <c r="II30">
        <v>-2.1488235047877859</v>
      </c>
      <c r="IJ30">
        <v>-1.5404112972462821E-3</v>
      </c>
      <c r="IK30">
        <v>-5.8697186733976997E-8</v>
      </c>
      <c r="IL30">
        <v>1.160237123038427E-10</v>
      </c>
      <c r="IM30">
        <v>-0.17547370563705139</v>
      </c>
      <c r="IN30">
        <v>-3.128848753924141E-3</v>
      </c>
      <c r="IO30">
        <v>3.6841110403368089E-4</v>
      </c>
      <c r="IP30">
        <v>1.9296040270694169E-6</v>
      </c>
      <c r="IQ30">
        <v>1</v>
      </c>
      <c r="IR30">
        <v>1992</v>
      </c>
      <c r="IS30">
        <v>2</v>
      </c>
      <c r="IT30">
        <v>27</v>
      </c>
      <c r="IU30">
        <v>0.8</v>
      </c>
      <c r="IV30">
        <v>0.7</v>
      </c>
      <c r="IW30">
        <v>3.0249000000000001</v>
      </c>
      <c r="IX30">
        <v>2.6403799999999999</v>
      </c>
      <c r="IY30">
        <v>1.69434</v>
      </c>
      <c r="IZ30">
        <v>2.35107</v>
      </c>
      <c r="JA30">
        <v>1.5466299999999999</v>
      </c>
      <c r="JB30">
        <v>2.34131</v>
      </c>
      <c r="JC30">
        <v>38.673299999999998</v>
      </c>
      <c r="JD30">
        <v>23.886099999999999</v>
      </c>
      <c r="JE30">
        <v>18</v>
      </c>
      <c r="JF30">
        <v>529.42499999999995</v>
      </c>
      <c r="JG30">
        <v>550.46</v>
      </c>
      <c r="JH30">
        <v>25.030200000000001</v>
      </c>
      <c r="JI30">
        <v>31.411100000000001</v>
      </c>
      <c r="JJ30">
        <v>29.9999</v>
      </c>
      <c r="JK30">
        <v>31.356300000000001</v>
      </c>
      <c r="JL30">
        <v>31.306999999999999</v>
      </c>
      <c r="JM30">
        <v>60.587899999999998</v>
      </c>
      <c r="JN30">
        <v>21.736000000000001</v>
      </c>
      <c r="JO30">
        <v>35.731299999999997</v>
      </c>
      <c r="JP30">
        <v>25.040700000000001</v>
      </c>
      <c r="JQ30">
        <v>1500</v>
      </c>
      <c r="JR30">
        <v>18.881</v>
      </c>
      <c r="JS30">
        <v>99.320999999999998</v>
      </c>
      <c r="JT30">
        <v>98.581800000000001</v>
      </c>
    </row>
    <row r="31" spans="1:280" x14ac:dyDescent="0.25">
      <c r="A31">
        <v>15</v>
      </c>
      <c r="B31">
        <v>1639669622.0999999</v>
      </c>
      <c r="C31">
        <v>3020</v>
      </c>
      <c r="D31" t="s">
        <v>490</v>
      </c>
      <c r="E31" t="s">
        <v>491</v>
      </c>
      <c r="F31" t="s">
        <v>412</v>
      </c>
      <c r="G31" t="s">
        <v>492</v>
      </c>
      <c r="H31" t="s">
        <v>493</v>
      </c>
      <c r="I31">
        <v>1639669622.0999999</v>
      </c>
      <c r="J31">
        <f t="shared" si="0"/>
        <v>5.3014373822321782E-3</v>
      </c>
      <c r="K31">
        <f t="shared" si="1"/>
        <v>5.3014373822321783</v>
      </c>
      <c r="L31">
        <f t="shared" si="2"/>
        <v>49.803308439762723</v>
      </c>
      <c r="M31">
        <f t="shared" si="3"/>
        <v>338.16699999999997</v>
      </c>
      <c r="N31">
        <f t="shared" si="4"/>
        <v>143.9767752283239</v>
      </c>
      <c r="O31">
        <f t="shared" si="5"/>
        <v>14.35665593359021</v>
      </c>
      <c r="P31">
        <f t="shared" si="6"/>
        <v>33.720350100877297</v>
      </c>
      <c r="Q31">
        <f t="shared" si="7"/>
        <v>0.45160504737768326</v>
      </c>
      <c r="R31">
        <f t="shared" si="8"/>
        <v>2.9260806081251158</v>
      </c>
      <c r="S31">
        <f t="shared" si="9"/>
        <v>0.41615187760546779</v>
      </c>
      <c r="T31">
        <f t="shared" si="10"/>
        <v>0.26304792641661473</v>
      </c>
      <c r="U31">
        <f t="shared" si="11"/>
        <v>289.58823584761905</v>
      </c>
      <c r="V31">
        <f t="shared" si="12"/>
        <v>28.343465160045419</v>
      </c>
      <c r="W31">
        <f t="shared" si="13"/>
        <v>27.6218</v>
      </c>
      <c r="X31">
        <f t="shared" si="14"/>
        <v>3.7119723218271123</v>
      </c>
      <c r="Y31">
        <f t="shared" si="15"/>
        <v>65.327218539997787</v>
      </c>
      <c r="Z31">
        <f t="shared" si="16"/>
        <v>2.4811306108521802</v>
      </c>
      <c r="AA31">
        <f t="shared" si="17"/>
        <v>3.7980043637294347</v>
      </c>
      <c r="AB31">
        <f t="shared" si="18"/>
        <v>1.2308417109749321</v>
      </c>
      <c r="AC31">
        <f t="shared" si="19"/>
        <v>-233.79338855643906</v>
      </c>
      <c r="AD31">
        <f t="shared" si="20"/>
        <v>61.917211665006924</v>
      </c>
      <c r="AE31">
        <f t="shared" si="21"/>
        <v>4.604136302713548</v>
      </c>
      <c r="AF31">
        <f t="shared" si="22"/>
        <v>122.31619525890045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52590.790632088378</v>
      </c>
      <c r="AL31" t="s">
        <v>415</v>
      </c>
      <c r="AM31">
        <v>10204.299999999999</v>
      </c>
      <c r="AN31">
        <v>862.72538461538477</v>
      </c>
      <c r="AO31">
        <v>3252.56</v>
      </c>
      <c r="AP31">
        <f t="shared" si="26"/>
        <v>0.73475496697512588</v>
      </c>
      <c r="AQ31">
        <v>-6.6684750346205304</v>
      </c>
      <c r="AR31" t="s">
        <v>494</v>
      </c>
      <c r="AS31">
        <v>10042.700000000001</v>
      </c>
      <c r="AT31">
        <v>787.71188461538463</v>
      </c>
      <c r="AU31">
        <v>1167.6617246137571</v>
      </c>
      <c r="AV31">
        <f t="shared" si="27"/>
        <v>0.3253937608720141</v>
      </c>
      <c r="AW31">
        <v>0.5</v>
      </c>
      <c r="AX31">
        <f t="shared" si="28"/>
        <v>1513.301999921046</v>
      </c>
      <c r="AY31">
        <f t="shared" si="29"/>
        <v>49.803308439762723</v>
      </c>
      <c r="AZ31">
        <f t="shared" si="30"/>
        <v>246.20951454472478</v>
      </c>
      <c r="BA31">
        <f t="shared" si="31"/>
        <v>3.7316929124080703E-2</v>
      </c>
      <c r="BB31">
        <f t="shared" si="32"/>
        <v>1.7855327715532443</v>
      </c>
      <c r="BC31">
        <f t="shared" si="33"/>
        <v>585.45278165740217</v>
      </c>
      <c r="BD31" t="s">
        <v>495</v>
      </c>
      <c r="BE31">
        <v>577.71</v>
      </c>
      <c r="BF31">
        <f t="shared" si="34"/>
        <v>577.71</v>
      </c>
      <c r="BG31">
        <f t="shared" si="35"/>
        <v>0.50524198248332852</v>
      </c>
      <c r="BH31">
        <f t="shared" si="36"/>
        <v>0.64403547637245506</v>
      </c>
      <c r="BI31">
        <f t="shared" si="37"/>
        <v>0.77944493163588346</v>
      </c>
      <c r="BJ31">
        <f t="shared" si="38"/>
        <v>1.245997246508568</v>
      </c>
      <c r="BK31">
        <f t="shared" si="39"/>
        <v>0.8724027436729983</v>
      </c>
      <c r="BL31">
        <f t="shared" si="40"/>
        <v>0.47233733846328751</v>
      </c>
      <c r="BM31">
        <f t="shared" si="41"/>
        <v>0.52766266153671249</v>
      </c>
      <c r="BN31">
        <v>4900</v>
      </c>
      <c r="BO31">
        <v>290.00000000000011</v>
      </c>
      <c r="BP31">
        <v>1068.1600000000001</v>
      </c>
      <c r="BQ31">
        <v>135</v>
      </c>
      <c r="BR31">
        <v>10042.700000000001</v>
      </c>
      <c r="BS31">
        <v>1064.75</v>
      </c>
      <c r="BT31">
        <v>3.41</v>
      </c>
      <c r="BU31">
        <v>300.00000000000011</v>
      </c>
      <c r="BV31">
        <v>24.1</v>
      </c>
      <c r="BW31">
        <v>1167.6617246137571</v>
      </c>
      <c r="BX31">
        <v>2.3368116864706052</v>
      </c>
      <c r="BY31">
        <v>-103.35553285779029</v>
      </c>
      <c r="BZ31">
        <v>2.0889907761190969</v>
      </c>
      <c r="CA31">
        <v>0.98869100020332923</v>
      </c>
      <c r="CB31">
        <v>-6.8364929922135782E-3</v>
      </c>
      <c r="CC31">
        <v>289.99999999999989</v>
      </c>
      <c r="CD31">
        <v>1063.04</v>
      </c>
      <c r="CE31">
        <v>725</v>
      </c>
      <c r="CF31">
        <v>10018.9</v>
      </c>
      <c r="CG31">
        <v>1064.5</v>
      </c>
      <c r="CH31">
        <v>-1.46</v>
      </c>
      <c r="CV31">
        <f t="shared" si="42"/>
        <v>1800.14</v>
      </c>
      <c r="CW31">
        <f t="shared" si="43"/>
        <v>1513.301999921046</v>
      </c>
      <c r="CX31">
        <f t="shared" si="44"/>
        <v>0.84065794878234246</v>
      </c>
      <c r="CY31">
        <f t="shared" si="45"/>
        <v>0.16086984114992114</v>
      </c>
      <c r="CZ31">
        <v>6</v>
      </c>
      <c r="DA31">
        <v>0.5</v>
      </c>
      <c r="DB31" t="s">
        <v>418</v>
      </c>
      <c r="DC31">
        <v>2</v>
      </c>
      <c r="DD31">
        <v>1639669622.0999999</v>
      </c>
      <c r="DE31">
        <v>338.16699999999997</v>
      </c>
      <c r="DF31">
        <v>400.07400000000001</v>
      </c>
      <c r="DG31">
        <v>24.882200000000001</v>
      </c>
      <c r="DH31">
        <v>18.679600000000001</v>
      </c>
      <c r="DI31">
        <v>340.23</v>
      </c>
      <c r="DJ31">
        <v>24.874099999999999</v>
      </c>
      <c r="DK31">
        <v>500.06700000000001</v>
      </c>
      <c r="DL31">
        <v>99.615099999999998</v>
      </c>
      <c r="DM31">
        <v>9.9981899999999999E-2</v>
      </c>
      <c r="DN31">
        <v>28.014299999999999</v>
      </c>
      <c r="DO31">
        <v>27.6218</v>
      </c>
      <c r="DP31">
        <v>999.9</v>
      </c>
      <c r="DQ31">
        <v>0</v>
      </c>
      <c r="DR31">
        <v>0</v>
      </c>
      <c r="DS31">
        <v>10018.799999999999</v>
      </c>
      <c r="DT31">
        <v>0</v>
      </c>
      <c r="DU31">
        <v>408.27699999999999</v>
      </c>
      <c r="DV31">
        <v>-61.907299999999999</v>
      </c>
      <c r="DW31">
        <v>346.79599999999999</v>
      </c>
      <c r="DX31">
        <v>407.68900000000002</v>
      </c>
      <c r="DY31">
        <v>6.2026399999999997</v>
      </c>
      <c r="DZ31">
        <v>400.07400000000001</v>
      </c>
      <c r="EA31">
        <v>18.679600000000001</v>
      </c>
      <c r="EB31">
        <v>2.47865</v>
      </c>
      <c r="EC31">
        <v>1.86077</v>
      </c>
      <c r="ED31">
        <v>20.887</v>
      </c>
      <c r="EE31">
        <v>16.306899999999999</v>
      </c>
      <c r="EF31">
        <v>1800.14</v>
      </c>
      <c r="EG31">
        <v>0.97800900000000002</v>
      </c>
      <c r="EH31">
        <v>2.1991299999999998E-2</v>
      </c>
      <c r="EI31">
        <v>0</v>
      </c>
      <c r="EJ31">
        <v>787.44299999999998</v>
      </c>
      <c r="EK31">
        <v>5.0001199999999999</v>
      </c>
      <c r="EL31">
        <v>14128.5</v>
      </c>
      <c r="EM31">
        <v>15631.2</v>
      </c>
      <c r="EN31">
        <v>47.75</v>
      </c>
      <c r="EO31">
        <v>48.436999999999998</v>
      </c>
      <c r="EP31">
        <v>48.436999999999998</v>
      </c>
      <c r="EQ31">
        <v>48.375</v>
      </c>
      <c r="ER31">
        <v>49.375</v>
      </c>
      <c r="ES31">
        <v>1755.66</v>
      </c>
      <c r="ET31">
        <v>39.479999999999997</v>
      </c>
      <c r="EU31">
        <v>0</v>
      </c>
      <c r="EV31">
        <v>1336.7999999523161</v>
      </c>
      <c r="EW31">
        <v>0</v>
      </c>
      <c r="EX31">
        <v>787.71188461538463</v>
      </c>
      <c r="EY31">
        <v>-1.677914516468783</v>
      </c>
      <c r="EZ31">
        <v>-7.0153845733589844</v>
      </c>
      <c r="FA31">
        <v>14128.469230769229</v>
      </c>
      <c r="FB31">
        <v>15</v>
      </c>
      <c r="FC31">
        <v>1639669584.0999999</v>
      </c>
      <c r="FD31" t="s">
        <v>496</v>
      </c>
      <c r="FE31">
        <v>1639669569.0999999</v>
      </c>
      <c r="FF31">
        <v>1639669584.0999999</v>
      </c>
      <c r="FG31">
        <v>17</v>
      </c>
      <c r="FH31">
        <v>0.38</v>
      </c>
      <c r="FI31">
        <v>5.0000000000000001E-3</v>
      </c>
      <c r="FJ31">
        <v>-2.1589999999999998</v>
      </c>
      <c r="FK31">
        <v>-8.8999999999999996E-2</v>
      </c>
      <c r="FL31">
        <v>400</v>
      </c>
      <c r="FM31">
        <v>19</v>
      </c>
      <c r="FN31">
        <v>0.02</v>
      </c>
      <c r="FO31">
        <v>0.01</v>
      </c>
      <c r="FP31">
        <v>49.751173939030608</v>
      </c>
      <c r="FQ31">
        <v>-0.20321533330917979</v>
      </c>
      <c r="FR31">
        <v>4.4260803742153083E-2</v>
      </c>
      <c r="FS31">
        <v>1</v>
      </c>
      <c r="FT31">
        <v>0.45172400794390583</v>
      </c>
      <c r="FU31">
        <v>3.9163691784542973E-2</v>
      </c>
      <c r="FV31">
        <v>5.2096633352043779E-3</v>
      </c>
      <c r="FW31">
        <v>1</v>
      </c>
      <c r="FX31">
        <v>2</v>
      </c>
      <c r="FY31">
        <v>2</v>
      </c>
      <c r="FZ31" t="s">
        <v>420</v>
      </c>
      <c r="GA31">
        <v>2.9227300000000001</v>
      </c>
      <c r="GB31">
        <v>2.74512</v>
      </c>
      <c r="GC31">
        <v>8.1112500000000004E-2</v>
      </c>
      <c r="GD31">
        <v>9.3575400000000003E-2</v>
      </c>
      <c r="GE31">
        <v>0.12013</v>
      </c>
      <c r="GF31">
        <v>9.9536600000000003E-2</v>
      </c>
      <c r="GG31">
        <v>28657.1</v>
      </c>
      <c r="GH31">
        <v>27952.9</v>
      </c>
      <c r="GI31">
        <v>28388.400000000001</v>
      </c>
      <c r="GJ31">
        <v>28196.3</v>
      </c>
      <c r="GK31">
        <v>34276.300000000003</v>
      </c>
      <c r="GL31">
        <v>35642.6</v>
      </c>
      <c r="GM31">
        <v>42716.2</v>
      </c>
      <c r="GN31">
        <v>43855.6</v>
      </c>
      <c r="GO31">
        <v>1.8103</v>
      </c>
      <c r="GP31">
        <v>1.9998199999999999</v>
      </c>
      <c r="GQ31">
        <v>7.3291400000000007E-2</v>
      </c>
      <c r="GR31">
        <v>0</v>
      </c>
      <c r="GS31">
        <v>26.423300000000001</v>
      </c>
      <c r="GT31">
        <v>999.9</v>
      </c>
      <c r="GU31">
        <v>43.2</v>
      </c>
      <c r="GV31">
        <v>34</v>
      </c>
      <c r="GW31">
        <v>23.170100000000001</v>
      </c>
      <c r="GX31">
        <v>61.265599999999999</v>
      </c>
      <c r="GY31">
        <v>30.0962</v>
      </c>
      <c r="GZ31">
        <v>1</v>
      </c>
      <c r="HA31">
        <v>0.24570900000000001</v>
      </c>
      <c r="HB31">
        <v>1.56715</v>
      </c>
      <c r="HC31">
        <v>20.270499999999998</v>
      </c>
      <c r="HD31">
        <v>5.2762900000000004</v>
      </c>
      <c r="HE31">
        <v>12.0878</v>
      </c>
      <c r="HF31">
        <v>5.0143000000000004</v>
      </c>
      <c r="HG31">
        <v>3.2916300000000001</v>
      </c>
      <c r="HH31">
        <v>9999</v>
      </c>
      <c r="HI31">
        <v>9999</v>
      </c>
      <c r="HJ31">
        <v>9999</v>
      </c>
      <c r="HK31">
        <v>999.9</v>
      </c>
      <c r="HL31">
        <v>1.87574</v>
      </c>
      <c r="HM31">
        <v>1.87622</v>
      </c>
      <c r="HN31">
        <v>1.8759600000000001</v>
      </c>
      <c r="HO31">
        <v>1.87988</v>
      </c>
      <c r="HP31">
        <v>1.8733299999999999</v>
      </c>
      <c r="HQ31">
        <v>1.8765499999999999</v>
      </c>
      <c r="HR31">
        <v>1.87636</v>
      </c>
      <c r="HS31">
        <v>1.87775</v>
      </c>
      <c r="HT31">
        <v>0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-2.0630000000000002</v>
      </c>
      <c r="IH31">
        <v>8.0999999999999996E-3</v>
      </c>
      <c r="II31">
        <v>-1.537665995936756</v>
      </c>
      <c r="IJ31">
        <v>-1.5404112972462821E-3</v>
      </c>
      <c r="IK31">
        <v>-5.8697186733976997E-8</v>
      </c>
      <c r="IL31">
        <v>1.160237123038427E-10</v>
      </c>
      <c r="IM31">
        <v>-0.17168333500105931</v>
      </c>
      <c r="IN31">
        <v>-3.128848753924141E-3</v>
      </c>
      <c r="IO31">
        <v>3.6841110403368089E-4</v>
      </c>
      <c r="IP31">
        <v>1.9296040270694169E-6</v>
      </c>
      <c r="IQ31">
        <v>1</v>
      </c>
      <c r="IR31">
        <v>1992</v>
      </c>
      <c r="IS31">
        <v>2</v>
      </c>
      <c r="IT31">
        <v>27</v>
      </c>
      <c r="IU31">
        <v>0.9</v>
      </c>
      <c r="IV31">
        <v>0.6</v>
      </c>
      <c r="IW31">
        <v>1.0388200000000001</v>
      </c>
      <c r="IX31">
        <v>2.6440399999999999</v>
      </c>
      <c r="IY31">
        <v>1.69434</v>
      </c>
      <c r="IZ31">
        <v>2.34863</v>
      </c>
      <c r="JA31">
        <v>1.5466299999999999</v>
      </c>
      <c r="JB31">
        <v>2.4560499999999998</v>
      </c>
      <c r="JC31">
        <v>39.267099999999999</v>
      </c>
      <c r="JD31">
        <v>23.8949</v>
      </c>
      <c r="JE31">
        <v>18</v>
      </c>
      <c r="JF31">
        <v>534.11599999999999</v>
      </c>
      <c r="JG31">
        <v>544.12599999999998</v>
      </c>
      <c r="JH31">
        <v>25.4968</v>
      </c>
      <c r="JI31">
        <v>30.388999999999999</v>
      </c>
      <c r="JJ31">
        <v>29.9999</v>
      </c>
      <c r="JK31">
        <v>30.438199999999998</v>
      </c>
      <c r="JL31">
        <v>30.411100000000001</v>
      </c>
      <c r="JM31">
        <v>20.884599999999999</v>
      </c>
      <c r="JN31">
        <v>22.809200000000001</v>
      </c>
      <c r="JO31">
        <v>36.2883</v>
      </c>
      <c r="JP31">
        <v>25.480399999999999</v>
      </c>
      <c r="JQ31">
        <v>400</v>
      </c>
      <c r="JR31">
        <v>18.596599999999999</v>
      </c>
      <c r="JS31">
        <v>99.534400000000005</v>
      </c>
      <c r="JT31">
        <v>98.786799999999999</v>
      </c>
    </row>
    <row r="32" spans="1:280" x14ac:dyDescent="0.25">
      <c r="A32">
        <v>16</v>
      </c>
      <c r="B32">
        <v>1639669743.0999999</v>
      </c>
      <c r="C32">
        <v>3141</v>
      </c>
      <c r="D32" t="s">
        <v>497</v>
      </c>
      <c r="E32" t="s">
        <v>498</v>
      </c>
      <c r="F32" t="s">
        <v>412</v>
      </c>
      <c r="G32" t="s">
        <v>492</v>
      </c>
      <c r="H32" t="s">
        <v>493</v>
      </c>
      <c r="I32">
        <v>1639669743.0999999</v>
      </c>
      <c r="J32">
        <f t="shared" si="0"/>
        <v>5.4622951538359343E-3</v>
      </c>
      <c r="K32">
        <f t="shared" si="1"/>
        <v>5.4622951538359343</v>
      </c>
      <c r="L32">
        <f t="shared" si="2"/>
        <v>43.810979653040306</v>
      </c>
      <c r="M32">
        <f t="shared" si="3"/>
        <v>245.86600000000001</v>
      </c>
      <c r="N32">
        <f t="shared" si="4"/>
        <v>82.870445179104621</v>
      </c>
      <c r="O32">
        <f t="shared" si="5"/>
        <v>8.2630269226182076</v>
      </c>
      <c r="P32">
        <f t="shared" si="6"/>
        <v>24.515342870013999</v>
      </c>
      <c r="Q32">
        <f t="shared" si="7"/>
        <v>0.47242901138472526</v>
      </c>
      <c r="R32">
        <f t="shared" si="8"/>
        <v>2.9220437925108702</v>
      </c>
      <c r="S32">
        <f t="shared" si="9"/>
        <v>0.43373199320594247</v>
      </c>
      <c r="T32">
        <f t="shared" si="10"/>
        <v>0.2742946422548963</v>
      </c>
      <c r="U32">
        <f t="shared" si="11"/>
        <v>289.58837684750245</v>
      </c>
      <c r="V32">
        <f t="shared" si="12"/>
        <v>28.282588746701961</v>
      </c>
      <c r="W32">
        <f t="shared" si="13"/>
        <v>27.581600000000002</v>
      </c>
      <c r="X32">
        <f t="shared" si="14"/>
        <v>3.7032576578571827</v>
      </c>
      <c r="Y32">
        <f t="shared" si="15"/>
        <v>65.543006372212659</v>
      </c>
      <c r="Z32">
        <f t="shared" si="16"/>
        <v>2.4865126177945998</v>
      </c>
      <c r="AA32">
        <f t="shared" si="17"/>
        <v>3.7937115726335855</v>
      </c>
      <c r="AB32">
        <f t="shared" si="18"/>
        <v>1.216745040062583</v>
      </c>
      <c r="AC32">
        <f t="shared" si="19"/>
        <v>-240.88721628416471</v>
      </c>
      <c r="AD32">
        <f t="shared" si="20"/>
        <v>65.108481868464906</v>
      </c>
      <c r="AE32">
        <f t="shared" si="21"/>
        <v>4.8466857559008103</v>
      </c>
      <c r="AF32">
        <f t="shared" si="22"/>
        <v>118.65632818770345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52478.023336708015</v>
      </c>
      <c r="AL32" t="s">
        <v>415</v>
      </c>
      <c r="AM32">
        <v>10204.299999999999</v>
      </c>
      <c r="AN32">
        <v>862.72538461538477</v>
      </c>
      <c r="AO32">
        <v>3252.56</v>
      </c>
      <c r="AP32">
        <f t="shared" si="26"/>
        <v>0.73475496697512588</v>
      </c>
      <c r="AQ32">
        <v>-6.6684750346205304</v>
      </c>
      <c r="AR32" t="s">
        <v>499</v>
      </c>
      <c r="AS32">
        <v>10034.1</v>
      </c>
      <c r="AT32">
        <v>774.11632000000009</v>
      </c>
      <c r="AU32">
        <v>1106.9394473230029</v>
      </c>
      <c r="AV32">
        <f t="shared" si="27"/>
        <v>0.30066967811825185</v>
      </c>
      <c r="AW32">
        <v>0.5</v>
      </c>
      <c r="AX32">
        <f t="shared" si="28"/>
        <v>1513.2944999209858</v>
      </c>
      <c r="AY32">
        <f t="shared" si="29"/>
        <v>43.810979653040306</v>
      </c>
      <c r="AZ32">
        <f t="shared" si="30"/>
        <v>227.50088509468185</v>
      </c>
      <c r="BA32">
        <f t="shared" si="31"/>
        <v>3.3357323832404424E-2</v>
      </c>
      <c r="BB32">
        <f t="shared" si="32"/>
        <v>1.938335974805051</v>
      </c>
      <c r="BC32">
        <f t="shared" si="33"/>
        <v>569.78140013522966</v>
      </c>
      <c r="BD32" t="s">
        <v>500</v>
      </c>
      <c r="BE32">
        <v>569.96</v>
      </c>
      <c r="BF32">
        <f t="shared" si="34"/>
        <v>569.96</v>
      </c>
      <c r="BG32">
        <f t="shared" si="35"/>
        <v>0.48510281987115167</v>
      </c>
      <c r="BH32">
        <f t="shared" si="36"/>
        <v>0.61980608193148157</v>
      </c>
      <c r="BI32">
        <f t="shared" si="37"/>
        <v>0.79982873058860704</v>
      </c>
      <c r="BJ32">
        <f t="shared" si="38"/>
        <v>1.3628335880127862</v>
      </c>
      <c r="BK32">
        <f t="shared" si="39"/>
        <v>0.89781131249188362</v>
      </c>
      <c r="BL32">
        <f t="shared" si="40"/>
        <v>0.45634572651519245</v>
      </c>
      <c r="BM32">
        <f t="shared" si="41"/>
        <v>0.54365427348480755</v>
      </c>
      <c r="BN32">
        <v>4902</v>
      </c>
      <c r="BO32">
        <v>290.00000000000011</v>
      </c>
      <c r="BP32">
        <v>1014.65</v>
      </c>
      <c r="BQ32">
        <v>205</v>
      </c>
      <c r="BR32">
        <v>10034.1</v>
      </c>
      <c r="BS32">
        <v>1012</v>
      </c>
      <c r="BT32">
        <v>2.65</v>
      </c>
      <c r="BU32">
        <v>300.00000000000011</v>
      </c>
      <c r="BV32">
        <v>24.1</v>
      </c>
      <c r="BW32">
        <v>1106.9394473230029</v>
      </c>
      <c r="BX32">
        <v>1.953243737522625</v>
      </c>
      <c r="BY32">
        <v>-95.267904628955733</v>
      </c>
      <c r="BZ32">
        <v>1.745674769930065</v>
      </c>
      <c r="CA32">
        <v>0.99068618553714582</v>
      </c>
      <c r="CB32">
        <v>-6.8350622914349424E-3</v>
      </c>
      <c r="CC32">
        <v>289.99999999999989</v>
      </c>
      <c r="CD32">
        <v>1010.88</v>
      </c>
      <c r="CE32">
        <v>675</v>
      </c>
      <c r="CF32">
        <v>10018.299999999999</v>
      </c>
      <c r="CG32">
        <v>1011.85</v>
      </c>
      <c r="CH32">
        <v>-0.97</v>
      </c>
      <c r="CV32">
        <f t="shared" si="42"/>
        <v>1800.13</v>
      </c>
      <c r="CW32">
        <f t="shared" si="43"/>
        <v>1513.2944999209858</v>
      </c>
      <c r="CX32">
        <f t="shared" si="44"/>
        <v>0.84065845240120751</v>
      </c>
      <c r="CY32">
        <f t="shared" si="45"/>
        <v>0.16087081313433055</v>
      </c>
      <c r="CZ32">
        <v>6</v>
      </c>
      <c r="DA32">
        <v>0.5</v>
      </c>
      <c r="DB32" t="s">
        <v>418</v>
      </c>
      <c r="DC32">
        <v>2</v>
      </c>
      <c r="DD32">
        <v>1639669743.0999999</v>
      </c>
      <c r="DE32">
        <v>245.86600000000001</v>
      </c>
      <c r="DF32">
        <v>300.03300000000002</v>
      </c>
      <c r="DG32">
        <v>24.9374</v>
      </c>
      <c r="DH32">
        <v>18.548200000000001</v>
      </c>
      <c r="DI32">
        <v>247.85400000000001</v>
      </c>
      <c r="DJ32">
        <v>24.930499999999999</v>
      </c>
      <c r="DK32">
        <v>500.16399999999999</v>
      </c>
      <c r="DL32">
        <v>99.610100000000003</v>
      </c>
      <c r="DM32">
        <v>0.100079</v>
      </c>
      <c r="DN32">
        <v>27.994900000000001</v>
      </c>
      <c r="DO32">
        <v>27.581600000000002</v>
      </c>
      <c r="DP32">
        <v>999.9</v>
      </c>
      <c r="DQ32">
        <v>0</v>
      </c>
      <c r="DR32">
        <v>0</v>
      </c>
      <c r="DS32">
        <v>9996.25</v>
      </c>
      <c r="DT32">
        <v>0</v>
      </c>
      <c r="DU32">
        <v>421.85700000000003</v>
      </c>
      <c r="DV32">
        <v>-54.167499999999997</v>
      </c>
      <c r="DW32">
        <v>252.154</v>
      </c>
      <c r="DX32">
        <v>305.70400000000001</v>
      </c>
      <c r="DY32">
        <v>6.3891299999999998</v>
      </c>
      <c r="DZ32">
        <v>300.03300000000002</v>
      </c>
      <c r="EA32">
        <v>18.548200000000001</v>
      </c>
      <c r="EB32">
        <v>2.4840100000000001</v>
      </c>
      <c r="EC32">
        <v>1.8475900000000001</v>
      </c>
      <c r="ED32">
        <v>20.9221</v>
      </c>
      <c r="EE32">
        <v>16.1953</v>
      </c>
      <c r="EF32">
        <v>1800.13</v>
      </c>
      <c r="EG32">
        <v>0.97799199999999997</v>
      </c>
      <c r="EH32">
        <v>2.2008199999999999E-2</v>
      </c>
      <c r="EI32">
        <v>0</v>
      </c>
      <c r="EJ32">
        <v>773.93</v>
      </c>
      <c r="EK32">
        <v>5.0001199999999999</v>
      </c>
      <c r="EL32">
        <v>13895.2</v>
      </c>
      <c r="EM32">
        <v>15631.1</v>
      </c>
      <c r="EN32">
        <v>48.125</v>
      </c>
      <c r="EO32">
        <v>48.625</v>
      </c>
      <c r="EP32">
        <v>48.75</v>
      </c>
      <c r="EQ32">
        <v>48.75</v>
      </c>
      <c r="ER32">
        <v>49.75</v>
      </c>
      <c r="ES32">
        <v>1755.62</v>
      </c>
      <c r="ET32">
        <v>39.51</v>
      </c>
      <c r="EU32">
        <v>0</v>
      </c>
      <c r="EV32">
        <v>118.7999999523163</v>
      </c>
      <c r="EW32">
        <v>0</v>
      </c>
      <c r="EX32">
        <v>774.11632000000009</v>
      </c>
      <c r="EY32">
        <v>-2.2746923168703592</v>
      </c>
      <c r="EZ32">
        <v>-44.338461460642911</v>
      </c>
      <c r="FA32">
        <v>13898.868</v>
      </c>
      <c r="FB32">
        <v>15</v>
      </c>
      <c r="FC32">
        <v>1639669704.5999999</v>
      </c>
      <c r="FD32" t="s">
        <v>501</v>
      </c>
      <c r="FE32">
        <v>1639669704.5999999</v>
      </c>
      <c r="FF32">
        <v>1639669700.5999999</v>
      </c>
      <c r="FG32">
        <v>18</v>
      </c>
      <c r="FH32">
        <v>-6.7000000000000004E-2</v>
      </c>
      <c r="FI32">
        <v>-2E-3</v>
      </c>
      <c r="FJ32">
        <v>-2.0720000000000001</v>
      </c>
      <c r="FK32">
        <v>-9.0999999999999998E-2</v>
      </c>
      <c r="FL32">
        <v>300</v>
      </c>
      <c r="FM32">
        <v>19</v>
      </c>
      <c r="FN32">
        <v>0.04</v>
      </c>
      <c r="FO32">
        <v>0.02</v>
      </c>
      <c r="FP32">
        <v>43.743528807102358</v>
      </c>
      <c r="FQ32">
        <v>0.1908483424715503</v>
      </c>
      <c r="FR32">
        <v>3.5125597381499528E-2</v>
      </c>
      <c r="FS32">
        <v>1</v>
      </c>
      <c r="FT32">
        <v>0.47019268212224441</v>
      </c>
      <c r="FU32">
        <v>3.5776977663090723E-2</v>
      </c>
      <c r="FV32">
        <v>5.3520482934772181E-3</v>
      </c>
      <c r="FW32">
        <v>1</v>
      </c>
      <c r="FX32">
        <v>2</v>
      </c>
      <c r="FY32">
        <v>2</v>
      </c>
      <c r="FZ32" t="s">
        <v>420</v>
      </c>
      <c r="GA32">
        <v>2.9231699999999998</v>
      </c>
      <c r="GB32">
        <v>2.7450199999999998</v>
      </c>
      <c r="GC32">
        <v>6.2539499999999998E-2</v>
      </c>
      <c r="GD32">
        <v>7.4589799999999998E-2</v>
      </c>
      <c r="GE32">
        <v>0.120339</v>
      </c>
      <c r="GF32">
        <v>9.9054699999999996E-2</v>
      </c>
      <c r="GG32">
        <v>29241.4</v>
      </c>
      <c r="GH32">
        <v>28543.9</v>
      </c>
      <c r="GI32">
        <v>28393.1</v>
      </c>
      <c r="GJ32">
        <v>28201.5</v>
      </c>
      <c r="GK32">
        <v>34273.699999999997</v>
      </c>
      <c r="GL32">
        <v>35667.9</v>
      </c>
      <c r="GM32">
        <v>42723.3</v>
      </c>
      <c r="GN32">
        <v>43863.5</v>
      </c>
      <c r="GO32">
        <v>1.81168</v>
      </c>
      <c r="GP32">
        <v>2.0000300000000002</v>
      </c>
      <c r="GQ32">
        <v>7.2576100000000004E-2</v>
      </c>
      <c r="GR32">
        <v>0</v>
      </c>
      <c r="GS32">
        <v>26.3947</v>
      </c>
      <c r="GT32">
        <v>999.9</v>
      </c>
      <c r="GU32">
        <v>42.8</v>
      </c>
      <c r="GV32">
        <v>34.1</v>
      </c>
      <c r="GW32">
        <v>23.0852</v>
      </c>
      <c r="GX32">
        <v>61.285699999999999</v>
      </c>
      <c r="GY32">
        <v>30.424700000000001</v>
      </c>
      <c r="GZ32">
        <v>1</v>
      </c>
      <c r="HA32">
        <v>0.23769599999999999</v>
      </c>
      <c r="HB32">
        <v>1.4585600000000001</v>
      </c>
      <c r="HC32">
        <v>20.271799999999999</v>
      </c>
      <c r="HD32">
        <v>5.27644</v>
      </c>
      <c r="HE32">
        <v>12.0878</v>
      </c>
      <c r="HF32">
        <v>5.0134999999999996</v>
      </c>
      <c r="HG32">
        <v>3.2917000000000001</v>
      </c>
      <c r="HH32">
        <v>9999</v>
      </c>
      <c r="HI32">
        <v>9999</v>
      </c>
      <c r="HJ32">
        <v>9999</v>
      </c>
      <c r="HK32">
        <v>999.9</v>
      </c>
      <c r="HL32">
        <v>1.87571</v>
      </c>
      <c r="HM32">
        <v>1.8762099999999999</v>
      </c>
      <c r="HN32">
        <v>1.8759300000000001</v>
      </c>
      <c r="HO32">
        <v>1.87988</v>
      </c>
      <c r="HP32">
        <v>1.8733200000000001</v>
      </c>
      <c r="HQ32">
        <v>1.87653</v>
      </c>
      <c r="HR32">
        <v>1.8763000000000001</v>
      </c>
      <c r="HS32">
        <v>1.87774</v>
      </c>
      <c r="HT32">
        <v>0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-1.988</v>
      </c>
      <c r="IH32">
        <v>6.8999999999999999E-3</v>
      </c>
      <c r="II32">
        <v>-1.6045235964228499</v>
      </c>
      <c r="IJ32">
        <v>-1.5404112972462821E-3</v>
      </c>
      <c r="IK32">
        <v>-5.8697186733976997E-8</v>
      </c>
      <c r="IL32">
        <v>1.160237123038427E-10</v>
      </c>
      <c r="IM32">
        <v>-0.17401481100035621</v>
      </c>
      <c r="IN32">
        <v>-3.128848753924141E-3</v>
      </c>
      <c r="IO32">
        <v>3.6841110403368089E-4</v>
      </c>
      <c r="IP32">
        <v>1.9296040270694169E-6</v>
      </c>
      <c r="IQ32">
        <v>1</v>
      </c>
      <c r="IR32">
        <v>1992</v>
      </c>
      <c r="IS32">
        <v>2</v>
      </c>
      <c r="IT32">
        <v>27</v>
      </c>
      <c r="IU32">
        <v>0.6</v>
      </c>
      <c r="IV32">
        <v>0.7</v>
      </c>
      <c r="IW32">
        <v>0.83007799999999998</v>
      </c>
      <c r="IX32">
        <v>2.65381</v>
      </c>
      <c r="IY32">
        <v>1.69434</v>
      </c>
      <c r="IZ32">
        <v>2.34863</v>
      </c>
      <c r="JA32">
        <v>1.5466299999999999</v>
      </c>
      <c r="JB32">
        <v>2.4194300000000002</v>
      </c>
      <c r="JC32">
        <v>39.292000000000002</v>
      </c>
      <c r="JD32">
        <v>23.921099999999999</v>
      </c>
      <c r="JE32">
        <v>18</v>
      </c>
      <c r="JF32">
        <v>534.29300000000001</v>
      </c>
      <c r="JG32">
        <v>543.346</v>
      </c>
      <c r="JH32">
        <v>25.465699999999998</v>
      </c>
      <c r="JI32">
        <v>30.297599999999999</v>
      </c>
      <c r="JJ32">
        <v>29.999600000000001</v>
      </c>
      <c r="JK32">
        <v>30.342300000000002</v>
      </c>
      <c r="JL32">
        <v>30.3141</v>
      </c>
      <c r="JM32">
        <v>16.683599999999998</v>
      </c>
      <c r="JN32">
        <v>22.735299999999999</v>
      </c>
      <c r="JO32">
        <v>36.023099999999999</v>
      </c>
      <c r="JP32">
        <v>25.474299999999999</v>
      </c>
      <c r="JQ32">
        <v>300</v>
      </c>
      <c r="JR32">
        <v>18.456800000000001</v>
      </c>
      <c r="JS32">
        <v>99.550899999999999</v>
      </c>
      <c r="JT32">
        <v>98.804699999999997</v>
      </c>
    </row>
    <row r="33" spans="1:280" x14ac:dyDescent="0.25">
      <c r="A33">
        <v>17</v>
      </c>
      <c r="B33">
        <v>1639669862.5999999</v>
      </c>
      <c r="C33">
        <v>3260.5</v>
      </c>
      <c r="D33" t="s">
        <v>502</v>
      </c>
      <c r="E33" t="s">
        <v>503</v>
      </c>
      <c r="F33" t="s">
        <v>412</v>
      </c>
      <c r="G33" t="s">
        <v>492</v>
      </c>
      <c r="H33" t="s">
        <v>493</v>
      </c>
      <c r="I33">
        <v>1639669862.5999999</v>
      </c>
      <c r="J33">
        <f t="shared" si="0"/>
        <v>5.8056424370842461E-3</v>
      </c>
      <c r="K33">
        <f t="shared" si="1"/>
        <v>5.8056424370842459</v>
      </c>
      <c r="L33">
        <f t="shared" si="2"/>
        <v>32.230592199960171</v>
      </c>
      <c r="M33">
        <f t="shared" si="3"/>
        <v>160.25700000000001</v>
      </c>
      <c r="N33">
        <f t="shared" si="4"/>
        <v>48.726940237981722</v>
      </c>
      <c r="O33">
        <f t="shared" si="5"/>
        <v>4.8588834933073413</v>
      </c>
      <c r="P33">
        <f t="shared" si="6"/>
        <v>15.980278839261</v>
      </c>
      <c r="Q33">
        <f t="shared" si="7"/>
        <v>0.50996100826051205</v>
      </c>
      <c r="R33">
        <f t="shared" si="8"/>
        <v>2.9208381112908763</v>
      </c>
      <c r="S33">
        <f t="shared" si="9"/>
        <v>0.46516631328111652</v>
      </c>
      <c r="T33">
        <f t="shared" si="10"/>
        <v>0.29442497642416121</v>
      </c>
      <c r="U33">
        <f t="shared" si="11"/>
        <v>289.59896984754693</v>
      </c>
      <c r="V33">
        <f t="shared" si="12"/>
        <v>28.191982735918753</v>
      </c>
      <c r="W33">
        <f t="shared" si="13"/>
        <v>27.5456</v>
      </c>
      <c r="X33">
        <f t="shared" si="14"/>
        <v>3.6954686400400445</v>
      </c>
      <c r="Y33">
        <f t="shared" si="15"/>
        <v>65.627357245641448</v>
      </c>
      <c r="Z33">
        <f t="shared" si="16"/>
        <v>2.489523961518</v>
      </c>
      <c r="AA33">
        <f t="shared" si="17"/>
        <v>3.7934240627727522</v>
      </c>
      <c r="AB33">
        <f t="shared" si="18"/>
        <v>1.2059446785220445</v>
      </c>
      <c r="AC33">
        <f t="shared" si="19"/>
        <v>-256.02883147541525</v>
      </c>
      <c r="AD33">
        <f t="shared" si="20"/>
        <v>70.545764466649416</v>
      </c>
      <c r="AE33">
        <f t="shared" si="21"/>
        <v>5.2526289234217343</v>
      </c>
      <c r="AF33">
        <f t="shared" si="22"/>
        <v>109.36853176220285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52443.742183505507</v>
      </c>
      <c r="AL33" t="s">
        <v>415</v>
      </c>
      <c r="AM33">
        <v>10204.299999999999</v>
      </c>
      <c r="AN33">
        <v>862.72538461538477</v>
      </c>
      <c r="AO33">
        <v>3252.56</v>
      </c>
      <c r="AP33">
        <f t="shared" si="26"/>
        <v>0.73475496697512588</v>
      </c>
      <c r="AQ33">
        <v>-6.6684750346205304</v>
      </c>
      <c r="AR33" t="s">
        <v>504</v>
      </c>
      <c r="AS33">
        <v>10036.5</v>
      </c>
      <c r="AT33">
        <v>774.17344000000014</v>
      </c>
      <c r="AU33">
        <v>1022.962295791325</v>
      </c>
      <c r="AV33">
        <f t="shared" si="27"/>
        <v>0.24320432611728982</v>
      </c>
      <c r="AW33">
        <v>0.5</v>
      </c>
      <c r="AX33">
        <f t="shared" si="28"/>
        <v>1513.3529999210089</v>
      </c>
      <c r="AY33">
        <f t="shared" si="29"/>
        <v>32.230592199960171</v>
      </c>
      <c r="AZ33">
        <f t="shared" si="30"/>
        <v>184.02699826168396</v>
      </c>
      <c r="BA33">
        <f t="shared" si="31"/>
        <v>2.5703895414097754E-2</v>
      </c>
      <c r="BB33">
        <f t="shared" si="32"/>
        <v>2.179550227199667</v>
      </c>
      <c r="BC33">
        <f t="shared" si="33"/>
        <v>546.68097989969397</v>
      </c>
      <c r="BD33" t="s">
        <v>505</v>
      </c>
      <c r="BE33">
        <v>557.82000000000005</v>
      </c>
      <c r="BF33">
        <f t="shared" si="34"/>
        <v>557.82000000000005</v>
      </c>
      <c r="BG33">
        <f t="shared" si="35"/>
        <v>0.45470130981856804</v>
      </c>
      <c r="BH33">
        <f t="shared" si="36"/>
        <v>0.53486612170598669</v>
      </c>
      <c r="BI33">
        <f t="shared" si="37"/>
        <v>0.82738880344993404</v>
      </c>
      <c r="BJ33">
        <f t="shared" si="38"/>
        <v>1.5526313754148351</v>
      </c>
      <c r="BK33">
        <f t="shared" si="39"/>
        <v>0.93295062756878189</v>
      </c>
      <c r="BL33">
        <f t="shared" si="40"/>
        <v>0.38539041071989433</v>
      </c>
      <c r="BM33">
        <f t="shared" si="41"/>
        <v>0.61460958928010567</v>
      </c>
      <c r="BN33">
        <v>4904</v>
      </c>
      <c r="BO33">
        <v>290.00000000000011</v>
      </c>
      <c r="BP33">
        <v>952.05</v>
      </c>
      <c r="BQ33">
        <v>155</v>
      </c>
      <c r="BR33">
        <v>10036.5</v>
      </c>
      <c r="BS33">
        <v>951.48</v>
      </c>
      <c r="BT33">
        <v>0.56999999999999995</v>
      </c>
      <c r="BU33">
        <v>300.00000000000011</v>
      </c>
      <c r="BV33">
        <v>24.1</v>
      </c>
      <c r="BW33">
        <v>1022.962295791325</v>
      </c>
      <c r="BX33">
        <v>1.663078962869575</v>
      </c>
      <c r="BY33">
        <v>-71.744740007531973</v>
      </c>
      <c r="BZ33">
        <v>1.4860293777021081</v>
      </c>
      <c r="CA33">
        <v>0.98813010653268829</v>
      </c>
      <c r="CB33">
        <v>-6.8336834260289284E-3</v>
      </c>
      <c r="CC33">
        <v>289.99999999999989</v>
      </c>
      <c r="CD33">
        <v>950.63</v>
      </c>
      <c r="CE33">
        <v>675</v>
      </c>
      <c r="CF33">
        <v>10016.1</v>
      </c>
      <c r="CG33">
        <v>951.33</v>
      </c>
      <c r="CH33">
        <v>-0.7</v>
      </c>
      <c r="CV33">
        <f t="shared" si="42"/>
        <v>1800.2</v>
      </c>
      <c r="CW33">
        <f t="shared" si="43"/>
        <v>1513.3529999210089</v>
      </c>
      <c r="CX33">
        <f t="shared" si="44"/>
        <v>0.84065826014943268</v>
      </c>
      <c r="CY33">
        <f t="shared" si="45"/>
        <v>0.16087044208840515</v>
      </c>
      <c r="CZ33">
        <v>6</v>
      </c>
      <c r="DA33">
        <v>0.5</v>
      </c>
      <c r="DB33" t="s">
        <v>418</v>
      </c>
      <c r="DC33">
        <v>2</v>
      </c>
      <c r="DD33">
        <v>1639669862.5999999</v>
      </c>
      <c r="DE33">
        <v>160.25700000000001</v>
      </c>
      <c r="DF33">
        <v>200.04</v>
      </c>
      <c r="DG33">
        <v>24.966000000000001</v>
      </c>
      <c r="DH33">
        <v>18.174900000000001</v>
      </c>
      <c r="DI33">
        <v>162.07599999999999</v>
      </c>
      <c r="DJ33">
        <v>24.959299999999999</v>
      </c>
      <c r="DK33">
        <v>500.12799999999999</v>
      </c>
      <c r="DL33">
        <v>99.616299999999995</v>
      </c>
      <c r="DM33">
        <v>0.100273</v>
      </c>
      <c r="DN33">
        <v>27.993600000000001</v>
      </c>
      <c r="DO33">
        <v>27.5456</v>
      </c>
      <c r="DP33">
        <v>999.9</v>
      </c>
      <c r="DQ33">
        <v>0</v>
      </c>
      <c r="DR33">
        <v>0</v>
      </c>
      <c r="DS33">
        <v>9988.75</v>
      </c>
      <c r="DT33">
        <v>0</v>
      </c>
      <c r="DU33">
        <v>422.93099999999998</v>
      </c>
      <c r="DV33">
        <v>-39.7836</v>
      </c>
      <c r="DW33">
        <v>164.36</v>
      </c>
      <c r="DX33">
        <v>203.74299999999999</v>
      </c>
      <c r="DY33">
        <v>6.7911299999999999</v>
      </c>
      <c r="DZ33">
        <v>200.04</v>
      </c>
      <c r="EA33">
        <v>18.174900000000001</v>
      </c>
      <c r="EB33">
        <v>2.4870199999999998</v>
      </c>
      <c r="EC33">
        <v>1.8105199999999999</v>
      </c>
      <c r="ED33">
        <v>20.941800000000001</v>
      </c>
      <c r="EE33">
        <v>15.8779</v>
      </c>
      <c r="EF33">
        <v>1800.2</v>
      </c>
      <c r="EG33">
        <v>0.97799499999999995</v>
      </c>
      <c r="EH33">
        <v>2.2004800000000001E-2</v>
      </c>
      <c r="EI33">
        <v>0</v>
      </c>
      <c r="EJ33">
        <v>773.755</v>
      </c>
      <c r="EK33">
        <v>5.0001199999999999</v>
      </c>
      <c r="EL33">
        <v>13896.7</v>
      </c>
      <c r="EM33">
        <v>15631.7</v>
      </c>
      <c r="EN33">
        <v>48.436999999999998</v>
      </c>
      <c r="EO33">
        <v>48.936999999999998</v>
      </c>
      <c r="EP33">
        <v>49.186999999999998</v>
      </c>
      <c r="EQ33">
        <v>48.875</v>
      </c>
      <c r="ER33">
        <v>49.936999999999998</v>
      </c>
      <c r="ES33">
        <v>1755.7</v>
      </c>
      <c r="ET33">
        <v>39.5</v>
      </c>
      <c r="EU33">
        <v>0</v>
      </c>
      <c r="EV33">
        <v>117.5999999046326</v>
      </c>
      <c r="EW33">
        <v>0</v>
      </c>
      <c r="EX33">
        <v>774.17344000000014</v>
      </c>
      <c r="EY33">
        <v>-4.9258461748680684</v>
      </c>
      <c r="EZ33">
        <v>-97.353846305304117</v>
      </c>
      <c r="FA33">
        <v>13906.224</v>
      </c>
      <c r="FB33">
        <v>15</v>
      </c>
      <c r="FC33">
        <v>1639669824.0999999</v>
      </c>
      <c r="FD33" t="s">
        <v>506</v>
      </c>
      <c r="FE33">
        <v>1639669817.0999999</v>
      </c>
      <c r="FF33">
        <v>1639669824.0999999</v>
      </c>
      <c r="FG33">
        <v>19</v>
      </c>
      <c r="FH33">
        <v>3.5999999999999997E-2</v>
      </c>
      <c r="FI33">
        <v>-1E-3</v>
      </c>
      <c r="FJ33">
        <v>-1.881</v>
      </c>
      <c r="FK33">
        <v>-9.5000000000000001E-2</v>
      </c>
      <c r="FL33">
        <v>200</v>
      </c>
      <c r="FM33">
        <v>18</v>
      </c>
      <c r="FN33">
        <v>0.04</v>
      </c>
      <c r="FO33">
        <v>0.01</v>
      </c>
      <c r="FP33">
        <v>32.142402025771297</v>
      </c>
      <c r="FQ33">
        <v>0.24609147718665211</v>
      </c>
      <c r="FR33">
        <v>4.2695656395849983E-2</v>
      </c>
      <c r="FS33">
        <v>1</v>
      </c>
      <c r="FT33">
        <v>0.50432556730380063</v>
      </c>
      <c r="FU33">
        <v>4.4346490623985567E-2</v>
      </c>
      <c r="FV33">
        <v>5.3410698284224699E-3</v>
      </c>
      <c r="FW33">
        <v>1</v>
      </c>
      <c r="FX33">
        <v>2</v>
      </c>
      <c r="FY33">
        <v>2</v>
      </c>
      <c r="FZ33" t="s">
        <v>420</v>
      </c>
      <c r="GA33">
        <v>2.9232499999999999</v>
      </c>
      <c r="GB33">
        <v>2.7451500000000002</v>
      </c>
      <c r="GC33">
        <v>4.3079600000000003E-2</v>
      </c>
      <c r="GD33">
        <v>5.2973899999999997E-2</v>
      </c>
      <c r="GE33">
        <v>0.120467</v>
      </c>
      <c r="GF33">
        <v>9.7653599999999993E-2</v>
      </c>
      <c r="GG33">
        <v>29853.1</v>
      </c>
      <c r="GH33">
        <v>29215.4</v>
      </c>
      <c r="GI33">
        <v>28397.599999999999</v>
      </c>
      <c r="GJ33">
        <v>28206.1</v>
      </c>
      <c r="GK33">
        <v>34274</v>
      </c>
      <c r="GL33">
        <v>35728.9</v>
      </c>
      <c r="GM33">
        <v>42729.9</v>
      </c>
      <c r="GN33">
        <v>43870.2</v>
      </c>
      <c r="GO33">
        <v>1.8129200000000001</v>
      </c>
      <c r="GP33">
        <v>2.0000300000000002</v>
      </c>
      <c r="GQ33">
        <v>7.1954000000000004E-2</v>
      </c>
      <c r="GR33">
        <v>0</v>
      </c>
      <c r="GS33">
        <v>26.3688</v>
      </c>
      <c r="GT33">
        <v>999.9</v>
      </c>
      <c r="GU33">
        <v>42.5</v>
      </c>
      <c r="GV33">
        <v>34.1</v>
      </c>
      <c r="GW33">
        <v>22.922599999999999</v>
      </c>
      <c r="GX33">
        <v>61.025599999999997</v>
      </c>
      <c r="GY33">
        <v>30.504799999999999</v>
      </c>
      <c r="GZ33">
        <v>1</v>
      </c>
      <c r="HA33">
        <v>0.231021</v>
      </c>
      <c r="HB33">
        <v>1.4628300000000001</v>
      </c>
      <c r="HC33">
        <v>20.2714</v>
      </c>
      <c r="HD33">
        <v>5.2762900000000004</v>
      </c>
      <c r="HE33">
        <v>12.0878</v>
      </c>
      <c r="HF33">
        <v>5.0148000000000001</v>
      </c>
      <c r="HG33">
        <v>3.2916799999999999</v>
      </c>
      <c r="HH33">
        <v>9999</v>
      </c>
      <c r="HI33">
        <v>9999</v>
      </c>
      <c r="HJ33">
        <v>9999</v>
      </c>
      <c r="HK33">
        <v>999.9</v>
      </c>
      <c r="HL33">
        <v>1.8756299999999999</v>
      </c>
      <c r="HM33">
        <v>1.87615</v>
      </c>
      <c r="HN33">
        <v>1.87592</v>
      </c>
      <c r="HO33">
        <v>1.87978</v>
      </c>
      <c r="HP33">
        <v>1.8733200000000001</v>
      </c>
      <c r="HQ33">
        <v>1.87653</v>
      </c>
      <c r="HR33">
        <v>1.87625</v>
      </c>
      <c r="HS33">
        <v>1.87768</v>
      </c>
      <c r="HT33">
        <v>0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-1.819</v>
      </c>
      <c r="IH33">
        <v>6.7000000000000002E-3</v>
      </c>
      <c r="II33">
        <v>-1.568566057133316</v>
      </c>
      <c r="IJ33">
        <v>-1.5404112972462821E-3</v>
      </c>
      <c r="IK33">
        <v>-5.8697186733976997E-8</v>
      </c>
      <c r="IL33">
        <v>1.160237123038427E-10</v>
      </c>
      <c r="IM33">
        <v>-0.1747243369857075</v>
      </c>
      <c r="IN33">
        <v>-3.128848753924141E-3</v>
      </c>
      <c r="IO33">
        <v>3.6841110403368089E-4</v>
      </c>
      <c r="IP33">
        <v>1.9296040270694169E-6</v>
      </c>
      <c r="IQ33">
        <v>1</v>
      </c>
      <c r="IR33">
        <v>1992</v>
      </c>
      <c r="IS33">
        <v>2</v>
      </c>
      <c r="IT33">
        <v>27</v>
      </c>
      <c r="IU33">
        <v>0.8</v>
      </c>
      <c r="IV33">
        <v>0.6</v>
      </c>
      <c r="IW33">
        <v>0.61035200000000001</v>
      </c>
      <c r="IX33">
        <v>2.65747</v>
      </c>
      <c r="IY33">
        <v>1.69434</v>
      </c>
      <c r="IZ33">
        <v>2.34741</v>
      </c>
      <c r="JA33">
        <v>1.5466299999999999</v>
      </c>
      <c r="JB33">
        <v>2.4230999999999998</v>
      </c>
      <c r="JC33">
        <v>39.267099999999999</v>
      </c>
      <c r="JD33">
        <v>23.938700000000001</v>
      </c>
      <c r="JE33">
        <v>18</v>
      </c>
      <c r="JF33">
        <v>534.44799999999998</v>
      </c>
      <c r="JG33">
        <v>542.49599999999998</v>
      </c>
      <c r="JH33">
        <v>25.465199999999999</v>
      </c>
      <c r="JI33">
        <v>30.216699999999999</v>
      </c>
      <c r="JJ33">
        <v>29.9998</v>
      </c>
      <c r="JK33">
        <v>30.255099999999999</v>
      </c>
      <c r="JL33">
        <v>30.2256</v>
      </c>
      <c r="JM33">
        <v>12.301399999999999</v>
      </c>
      <c r="JN33">
        <v>24.095600000000001</v>
      </c>
      <c r="JO33">
        <v>35.525199999999998</v>
      </c>
      <c r="JP33">
        <v>25.470199999999998</v>
      </c>
      <c r="JQ33">
        <v>200</v>
      </c>
      <c r="JR33">
        <v>18.134799999999998</v>
      </c>
      <c r="JS33">
        <v>99.566500000000005</v>
      </c>
      <c r="JT33">
        <v>98.8202</v>
      </c>
    </row>
    <row r="34" spans="1:280" x14ac:dyDescent="0.25">
      <c r="A34">
        <v>18</v>
      </c>
      <c r="B34">
        <v>1639670015.0999999</v>
      </c>
      <c r="C34">
        <v>3413</v>
      </c>
      <c r="D34" t="s">
        <v>507</v>
      </c>
      <c r="E34" t="s">
        <v>508</v>
      </c>
      <c r="F34" t="s">
        <v>412</v>
      </c>
      <c r="G34" t="s">
        <v>492</v>
      </c>
      <c r="H34" t="s">
        <v>493</v>
      </c>
      <c r="I34">
        <v>1639670015.0999999</v>
      </c>
      <c r="J34">
        <f t="shared" si="0"/>
        <v>6.1676621337174217E-3</v>
      </c>
      <c r="K34">
        <f t="shared" si="1"/>
        <v>6.167662133717422</v>
      </c>
      <c r="L34">
        <f t="shared" si="2"/>
        <v>20.75726668763949</v>
      </c>
      <c r="M34">
        <f t="shared" si="3"/>
        <v>94.4726</v>
      </c>
      <c r="N34">
        <f t="shared" si="4"/>
        <v>27.649037145893725</v>
      </c>
      <c r="O34">
        <f t="shared" si="5"/>
        <v>2.7574310618531226</v>
      </c>
      <c r="P34">
        <f t="shared" si="6"/>
        <v>9.4217270698959403</v>
      </c>
      <c r="Q34">
        <f t="shared" si="7"/>
        <v>0.55098109959718333</v>
      </c>
      <c r="R34">
        <f t="shared" si="8"/>
        <v>2.9302614152223212</v>
      </c>
      <c r="S34">
        <f t="shared" si="9"/>
        <v>0.49923253983164462</v>
      </c>
      <c r="T34">
        <f t="shared" si="10"/>
        <v>0.31626372919304735</v>
      </c>
      <c r="U34">
        <f t="shared" si="11"/>
        <v>289.5303418475105</v>
      </c>
      <c r="V34">
        <f t="shared" si="12"/>
        <v>28.09462157680532</v>
      </c>
      <c r="W34">
        <f t="shared" si="13"/>
        <v>27.482800000000001</v>
      </c>
      <c r="X34">
        <f t="shared" si="14"/>
        <v>3.6819153495918173</v>
      </c>
      <c r="Y34">
        <f t="shared" si="15"/>
        <v>65.594335449843442</v>
      </c>
      <c r="Z34">
        <f t="shared" si="16"/>
        <v>2.4879376757629204</v>
      </c>
      <c r="AA34">
        <f t="shared" si="17"/>
        <v>3.7929154380492447</v>
      </c>
      <c r="AB34">
        <f t="shared" si="18"/>
        <v>1.193977673828897</v>
      </c>
      <c r="AC34">
        <f t="shared" si="19"/>
        <v>-271.99390009693832</v>
      </c>
      <c r="AD34">
        <f t="shared" si="20"/>
        <v>80.330924862781032</v>
      </c>
      <c r="AE34">
        <f t="shared" si="21"/>
        <v>5.9600338289029366</v>
      </c>
      <c r="AF34">
        <f t="shared" si="22"/>
        <v>103.82740044225618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52715.441009425711</v>
      </c>
      <c r="AL34" t="s">
        <v>415</v>
      </c>
      <c r="AM34">
        <v>10204.299999999999</v>
      </c>
      <c r="AN34">
        <v>862.72538461538477</v>
      </c>
      <c r="AO34">
        <v>3252.56</v>
      </c>
      <c r="AP34">
        <f t="shared" si="26"/>
        <v>0.73475496697512588</v>
      </c>
      <c r="AQ34">
        <v>-6.6684750346205304</v>
      </c>
      <c r="AR34" t="s">
        <v>509</v>
      </c>
      <c r="AS34">
        <v>10024.799999999999</v>
      </c>
      <c r="AT34">
        <v>792.74124000000006</v>
      </c>
      <c r="AU34">
        <v>951.04893738987346</v>
      </c>
      <c r="AV34">
        <f t="shared" si="27"/>
        <v>0.16645589008736428</v>
      </c>
      <c r="AW34">
        <v>0.5</v>
      </c>
      <c r="AX34">
        <f t="shared" si="28"/>
        <v>1512.9917999209899</v>
      </c>
      <c r="AY34">
        <f t="shared" si="29"/>
        <v>20.75726668763949</v>
      </c>
      <c r="AZ34">
        <f t="shared" si="30"/>
        <v>125.92319837536587</v>
      </c>
      <c r="BA34">
        <f t="shared" si="31"/>
        <v>1.8126827735412857E-2</v>
      </c>
      <c r="BB34">
        <f t="shared" si="32"/>
        <v>2.4199712255886197</v>
      </c>
      <c r="BC34">
        <f t="shared" si="33"/>
        <v>525.44800759074042</v>
      </c>
      <c r="BD34" t="s">
        <v>510</v>
      </c>
      <c r="BE34">
        <v>554.21</v>
      </c>
      <c r="BF34">
        <f t="shared" si="34"/>
        <v>554.21</v>
      </c>
      <c r="BG34">
        <f t="shared" si="35"/>
        <v>0.41726447692480106</v>
      </c>
      <c r="BH34">
        <f t="shared" si="36"/>
        <v>0.39892178532456957</v>
      </c>
      <c r="BI34">
        <f t="shared" si="37"/>
        <v>0.85293274134568398</v>
      </c>
      <c r="BJ34">
        <f t="shared" si="38"/>
        <v>1.79236106810684</v>
      </c>
      <c r="BK34">
        <f t="shared" si="39"/>
        <v>0.96304198114551365</v>
      </c>
      <c r="BL34">
        <f t="shared" si="40"/>
        <v>0.27888853447908135</v>
      </c>
      <c r="BM34">
        <f t="shared" si="41"/>
        <v>0.72111146552091865</v>
      </c>
      <c r="BN34">
        <v>4906</v>
      </c>
      <c r="BO34">
        <v>290.00000000000011</v>
      </c>
      <c r="BP34">
        <v>913.91</v>
      </c>
      <c r="BQ34">
        <v>295</v>
      </c>
      <c r="BR34">
        <v>10024.799999999999</v>
      </c>
      <c r="BS34">
        <v>914.1</v>
      </c>
      <c r="BT34">
        <v>-0.19</v>
      </c>
      <c r="BU34">
        <v>300.00000000000011</v>
      </c>
      <c r="BV34">
        <v>24.1</v>
      </c>
      <c r="BW34">
        <v>951.04893738987346</v>
      </c>
      <c r="BX34">
        <v>1.7851900499557569</v>
      </c>
      <c r="BY34">
        <v>-37.04311110166239</v>
      </c>
      <c r="BZ34">
        <v>1.5948628247428169</v>
      </c>
      <c r="CA34">
        <v>0.95065828608206981</v>
      </c>
      <c r="CB34">
        <v>-6.8324131256952154E-3</v>
      </c>
      <c r="CC34">
        <v>289.99999999999989</v>
      </c>
      <c r="CD34">
        <v>915.11</v>
      </c>
      <c r="CE34">
        <v>715</v>
      </c>
      <c r="CF34">
        <v>10012.700000000001</v>
      </c>
      <c r="CG34">
        <v>914.05</v>
      </c>
      <c r="CH34">
        <v>1.06</v>
      </c>
      <c r="CV34">
        <f t="shared" si="42"/>
        <v>1799.77</v>
      </c>
      <c r="CW34">
        <f t="shared" si="43"/>
        <v>1512.9917999209899</v>
      </c>
      <c r="CX34">
        <f t="shared" si="44"/>
        <v>0.84065841742055369</v>
      </c>
      <c r="CY34">
        <f t="shared" si="45"/>
        <v>0.16087074562166861</v>
      </c>
      <c r="CZ34">
        <v>6</v>
      </c>
      <c r="DA34">
        <v>0.5</v>
      </c>
      <c r="DB34" t="s">
        <v>418</v>
      </c>
      <c r="DC34">
        <v>2</v>
      </c>
      <c r="DD34">
        <v>1639670015.0999999</v>
      </c>
      <c r="DE34">
        <v>94.4726</v>
      </c>
      <c r="DF34">
        <v>120.075</v>
      </c>
      <c r="DG34">
        <v>24.9468</v>
      </c>
      <c r="DH34">
        <v>17.7318</v>
      </c>
      <c r="DI34">
        <v>96.058700000000002</v>
      </c>
      <c r="DJ34">
        <v>24.943000000000001</v>
      </c>
      <c r="DK34">
        <v>500.108</v>
      </c>
      <c r="DL34">
        <v>99.630099999999999</v>
      </c>
      <c r="DM34">
        <v>9.9631899999999995E-2</v>
      </c>
      <c r="DN34">
        <v>27.991299999999999</v>
      </c>
      <c r="DO34">
        <v>27.482800000000001</v>
      </c>
      <c r="DP34">
        <v>999.9</v>
      </c>
      <c r="DQ34">
        <v>0</v>
      </c>
      <c r="DR34">
        <v>0</v>
      </c>
      <c r="DS34">
        <v>10041.200000000001</v>
      </c>
      <c r="DT34">
        <v>0</v>
      </c>
      <c r="DU34">
        <v>423.42200000000003</v>
      </c>
      <c r="DV34">
        <v>-25.6023</v>
      </c>
      <c r="DW34">
        <v>96.889700000000005</v>
      </c>
      <c r="DX34">
        <v>122.242</v>
      </c>
      <c r="DY34">
        <v>7.2149799999999997</v>
      </c>
      <c r="DZ34">
        <v>120.075</v>
      </c>
      <c r="EA34">
        <v>17.7318</v>
      </c>
      <c r="EB34">
        <v>2.4854500000000002</v>
      </c>
      <c r="EC34">
        <v>1.7666200000000001</v>
      </c>
      <c r="ED34">
        <v>20.9316</v>
      </c>
      <c r="EE34">
        <v>15.4946</v>
      </c>
      <c r="EF34">
        <v>1799.77</v>
      </c>
      <c r="EG34">
        <v>0.97799199999999997</v>
      </c>
      <c r="EH34">
        <v>2.2008199999999999E-2</v>
      </c>
      <c r="EI34">
        <v>0</v>
      </c>
      <c r="EJ34">
        <v>792.70399999999995</v>
      </c>
      <c r="EK34">
        <v>5.0001199999999999</v>
      </c>
      <c r="EL34">
        <v>14240.3</v>
      </c>
      <c r="EM34">
        <v>15627.9</v>
      </c>
      <c r="EN34">
        <v>48.75</v>
      </c>
      <c r="EO34">
        <v>49.125</v>
      </c>
      <c r="EP34">
        <v>49.436999999999998</v>
      </c>
      <c r="EQ34">
        <v>49.125</v>
      </c>
      <c r="ER34">
        <v>50.25</v>
      </c>
      <c r="ES34">
        <v>1755.27</v>
      </c>
      <c r="ET34">
        <v>39.5</v>
      </c>
      <c r="EU34">
        <v>0</v>
      </c>
      <c r="EV34">
        <v>150.79999995231631</v>
      </c>
      <c r="EW34">
        <v>0</v>
      </c>
      <c r="EX34">
        <v>792.74124000000006</v>
      </c>
      <c r="EY34">
        <v>-1.5599999973998739</v>
      </c>
      <c r="EZ34">
        <v>-29.44615383024248</v>
      </c>
      <c r="FA34">
        <v>14245.588</v>
      </c>
      <c r="FB34">
        <v>15</v>
      </c>
      <c r="FC34">
        <v>1639669974.5999999</v>
      </c>
      <c r="FD34" t="s">
        <v>511</v>
      </c>
      <c r="FE34">
        <v>1639669967.0999999</v>
      </c>
      <c r="FF34">
        <v>1639669974.5999999</v>
      </c>
      <c r="FG34">
        <v>20</v>
      </c>
      <c r="FH34">
        <v>0.13100000000000001</v>
      </c>
      <c r="FI34">
        <v>-3.0000000000000001E-3</v>
      </c>
      <c r="FJ34">
        <v>-1.6259999999999999</v>
      </c>
      <c r="FK34">
        <v>-0.105</v>
      </c>
      <c r="FL34">
        <v>120</v>
      </c>
      <c r="FM34">
        <v>18</v>
      </c>
      <c r="FN34">
        <v>7.0000000000000007E-2</v>
      </c>
      <c r="FO34">
        <v>0.02</v>
      </c>
      <c r="FP34">
        <v>20.701229654561839</v>
      </c>
      <c r="FQ34">
        <v>5.3879356011376903E-2</v>
      </c>
      <c r="FR34">
        <v>1.7010886889495661E-2</v>
      </c>
      <c r="FS34">
        <v>1</v>
      </c>
      <c r="FT34">
        <v>0.55076916886925653</v>
      </c>
      <c r="FU34">
        <v>3.9536979638336522E-2</v>
      </c>
      <c r="FV34">
        <v>4.963008176350015E-3</v>
      </c>
      <c r="FW34">
        <v>1</v>
      </c>
      <c r="FX34">
        <v>2</v>
      </c>
      <c r="FY34">
        <v>2</v>
      </c>
      <c r="FZ34" t="s">
        <v>420</v>
      </c>
      <c r="GA34">
        <v>2.9234</v>
      </c>
      <c r="GB34">
        <v>2.7449699999999999</v>
      </c>
      <c r="GC34">
        <v>2.64514E-2</v>
      </c>
      <c r="GD34">
        <v>3.3348200000000001E-2</v>
      </c>
      <c r="GE34">
        <v>0.12045699999999999</v>
      </c>
      <c r="GF34">
        <v>9.5979499999999995E-2</v>
      </c>
      <c r="GG34">
        <v>30377.200000000001</v>
      </c>
      <c r="GH34">
        <v>29826.799999999999</v>
      </c>
      <c r="GI34">
        <v>28402.5</v>
      </c>
      <c r="GJ34">
        <v>28211.7</v>
      </c>
      <c r="GK34">
        <v>34280.199999999997</v>
      </c>
      <c r="GL34">
        <v>35802.300000000003</v>
      </c>
      <c r="GM34">
        <v>42737.2</v>
      </c>
      <c r="GN34">
        <v>43879</v>
      </c>
      <c r="GO34">
        <v>1.81457</v>
      </c>
      <c r="GP34">
        <v>2</v>
      </c>
      <c r="GQ34">
        <v>6.9573499999999996E-2</v>
      </c>
      <c r="GR34">
        <v>0</v>
      </c>
      <c r="GS34">
        <v>26.344799999999999</v>
      </c>
      <c r="GT34">
        <v>999.9</v>
      </c>
      <c r="GU34">
        <v>42</v>
      </c>
      <c r="GV34">
        <v>34.200000000000003</v>
      </c>
      <c r="GW34">
        <v>22.776700000000002</v>
      </c>
      <c r="GX34">
        <v>60.875599999999999</v>
      </c>
      <c r="GY34">
        <v>30.02</v>
      </c>
      <c r="GZ34">
        <v>1</v>
      </c>
      <c r="HA34">
        <v>0.22326199999999999</v>
      </c>
      <c r="HB34">
        <v>1.45366</v>
      </c>
      <c r="HC34">
        <v>20.271999999999998</v>
      </c>
      <c r="HD34">
        <v>5.2759900000000002</v>
      </c>
      <c r="HE34">
        <v>12.0878</v>
      </c>
      <c r="HF34">
        <v>5.0139500000000004</v>
      </c>
      <c r="HG34">
        <v>3.2916500000000002</v>
      </c>
      <c r="HH34">
        <v>9999</v>
      </c>
      <c r="HI34">
        <v>9999</v>
      </c>
      <c r="HJ34">
        <v>9999</v>
      </c>
      <c r="HK34">
        <v>999.9</v>
      </c>
      <c r="HL34">
        <v>1.87561</v>
      </c>
      <c r="HM34">
        <v>1.8760699999999999</v>
      </c>
      <c r="HN34">
        <v>1.8758999999999999</v>
      </c>
      <c r="HO34">
        <v>1.8797299999999999</v>
      </c>
      <c r="HP34">
        <v>1.87323</v>
      </c>
      <c r="HQ34">
        <v>1.8764700000000001</v>
      </c>
      <c r="HR34">
        <v>1.87622</v>
      </c>
      <c r="HS34">
        <v>1.8775900000000001</v>
      </c>
      <c r="HT34">
        <v>0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-1.5860000000000001</v>
      </c>
      <c r="IH34">
        <v>3.8E-3</v>
      </c>
      <c r="II34">
        <v>-1.437700175584673</v>
      </c>
      <c r="IJ34">
        <v>-1.5404112972462821E-3</v>
      </c>
      <c r="IK34">
        <v>-5.8697186733976997E-8</v>
      </c>
      <c r="IL34">
        <v>1.160237123038427E-10</v>
      </c>
      <c r="IM34">
        <v>-0.17726910333797871</v>
      </c>
      <c r="IN34">
        <v>-3.128848753924141E-3</v>
      </c>
      <c r="IO34">
        <v>3.6841110403368089E-4</v>
      </c>
      <c r="IP34">
        <v>1.9296040270694169E-6</v>
      </c>
      <c r="IQ34">
        <v>1</v>
      </c>
      <c r="IR34">
        <v>1992</v>
      </c>
      <c r="IS34">
        <v>2</v>
      </c>
      <c r="IT34">
        <v>27</v>
      </c>
      <c r="IU34">
        <v>0.8</v>
      </c>
      <c r="IV34">
        <v>0.7</v>
      </c>
      <c r="IW34">
        <v>0.42968800000000001</v>
      </c>
      <c r="IX34">
        <v>2.67578</v>
      </c>
      <c r="IY34">
        <v>1.69434</v>
      </c>
      <c r="IZ34">
        <v>2.34741</v>
      </c>
      <c r="JA34">
        <v>1.5466299999999999</v>
      </c>
      <c r="JB34">
        <v>2.32178</v>
      </c>
      <c r="JC34">
        <v>39.242199999999997</v>
      </c>
      <c r="JD34">
        <v>23.947399999999998</v>
      </c>
      <c r="JE34">
        <v>18</v>
      </c>
      <c r="JF34">
        <v>534.79600000000005</v>
      </c>
      <c r="JG34">
        <v>541.50699999999995</v>
      </c>
      <c r="JH34">
        <v>25.450199999999999</v>
      </c>
      <c r="JI34">
        <v>30.1218</v>
      </c>
      <c r="JJ34">
        <v>30</v>
      </c>
      <c r="JK34">
        <v>30.154199999999999</v>
      </c>
      <c r="JL34">
        <v>30.124500000000001</v>
      </c>
      <c r="JM34">
        <v>8.6834000000000007</v>
      </c>
      <c r="JN34">
        <v>25.6435</v>
      </c>
      <c r="JO34">
        <v>34.692900000000002</v>
      </c>
      <c r="JP34">
        <v>25.450500000000002</v>
      </c>
      <c r="JQ34">
        <v>120</v>
      </c>
      <c r="JR34">
        <v>17.633199999999999</v>
      </c>
      <c r="JS34">
        <v>99.583600000000004</v>
      </c>
      <c r="JT34">
        <v>98.84</v>
      </c>
    </row>
    <row r="35" spans="1:280" x14ac:dyDescent="0.25">
      <c r="A35">
        <v>19</v>
      </c>
      <c r="B35">
        <v>1639670145.0999999</v>
      </c>
      <c r="C35">
        <v>3543</v>
      </c>
      <c r="D35" t="s">
        <v>512</v>
      </c>
      <c r="E35" t="s">
        <v>513</v>
      </c>
      <c r="F35" t="s">
        <v>412</v>
      </c>
      <c r="G35" t="s">
        <v>492</v>
      </c>
      <c r="H35" t="s">
        <v>493</v>
      </c>
      <c r="I35">
        <v>1639670145.0999999</v>
      </c>
      <c r="J35">
        <f t="shared" si="0"/>
        <v>6.479895288817269E-3</v>
      </c>
      <c r="K35">
        <f t="shared" si="1"/>
        <v>6.4798952888172687</v>
      </c>
      <c r="L35">
        <f t="shared" si="2"/>
        <v>12.846240395157631</v>
      </c>
      <c r="M35">
        <f t="shared" si="3"/>
        <v>54.1982</v>
      </c>
      <c r="N35">
        <f t="shared" si="4"/>
        <v>15.22374795866982</v>
      </c>
      <c r="O35">
        <f t="shared" si="5"/>
        <v>1.5183291807565777</v>
      </c>
      <c r="P35">
        <f t="shared" si="6"/>
        <v>5.4054171697986604</v>
      </c>
      <c r="Q35">
        <f t="shared" si="7"/>
        <v>0.58746408932022298</v>
      </c>
      <c r="R35">
        <f t="shared" si="8"/>
        <v>2.9275049803524009</v>
      </c>
      <c r="S35">
        <f t="shared" si="9"/>
        <v>0.5289749211630479</v>
      </c>
      <c r="T35">
        <f t="shared" si="10"/>
        <v>0.33537774586427438</v>
      </c>
      <c r="U35">
        <f t="shared" si="11"/>
        <v>289.55747384752493</v>
      </c>
      <c r="V35">
        <f t="shared" si="12"/>
        <v>28.022673559148867</v>
      </c>
      <c r="W35">
        <f t="shared" si="13"/>
        <v>27.45</v>
      </c>
      <c r="X35">
        <f t="shared" si="14"/>
        <v>3.6748538214959656</v>
      </c>
      <c r="Y35">
        <f t="shared" si="15"/>
        <v>65.637540601008382</v>
      </c>
      <c r="Z35">
        <f t="shared" si="16"/>
        <v>2.4908829979437601</v>
      </c>
      <c r="AA35">
        <f t="shared" si="17"/>
        <v>3.7949060478745191</v>
      </c>
      <c r="AB35">
        <f t="shared" si="18"/>
        <v>1.1839708235522055</v>
      </c>
      <c r="AC35">
        <f t="shared" si="19"/>
        <v>-285.76338223684155</v>
      </c>
      <c r="AD35">
        <f t="shared" si="20"/>
        <v>86.8525549699675</v>
      </c>
      <c r="AE35">
        <f t="shared" si="21"/>
        <v>6.4491990018051411</v>
      </c>
      <c r="AF35">
        <f t="shared" si="22"/>
        <v>97.095845582456022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52634.631284426767</v>
      </c>
      <c r="AL35" t="s">
        <v>415</v>
      </c>
      <c r="AM35">
        <v>10204.299999999999</v>
      </c>
      <c r="AN35">
        <v>862.72538461538477</v>
      </c>
      <c r="AO35">
        <v>3252.56</v>
      </c>
      <c r="AP35">
        <f t="shared" si="26"/>
        <v>0.73475496697512588</v>
      </c>
      <c r="AQ35">
        <v>-6.6684750346205304</v>
      </c>
      <c r="AR35" t="s">
        <v>514</v>
      </c>
      <c r="AS35">
        <v>10023.799999999999</v>
      </c>
      <c r="AT35">
        <v>809.06723999999997</v>
      </c>
      <c r="AU35">
        <v>928.72916141957933</v>
      </c>
      <c r="AV35">
        <f t="shared" si="27"/>
        <v>0.12884479823662898</v>
      </c>
      <c r="AW35">
        <v>0.5</v>
      </c>
      <c r="AX35">
        <f t="shared" si="28"/>
        <v>1513.1345999209973</v>
      </c>
      <c r="AY35">
        <f t="shared" si="29"/>
        <v>12.846240395157631</v>
      </c>
      <c r="AZ35">
        <f t="shared" si="30"/>
        <v>97.479761115841598</v>
      </c>
      <c r="BA35">
        <f t="shared" si="31"/>
        <v>1.2896880046756614E-2</v>
      </c>
      <c r="BB35">
        <f t="shared" si="32"/>
        <v>2.5021620243176206</v>
      </c>
      <c r="BC35">
        <f t="shared" si="33"/>
        <v>518.56261297093351</v>
      </c>
      <c r="BD35" t="s">
        <v>515</v>
      </c>
      <c r="BE35">
        <v>561.75</v>
      </c>
      <c r="BF35">
        <f t="shared" si="34"/>
        <v>561.75</v>
      </c>
      <c r="BG35">
        <f t="shared" si="35"/>
        <v>0.39514120656946428</v>
      </c>
      <c r="BH35">
        <f t="shared" si="36"/>
        <v>0.32607279649529186</v>
      </c>
      <c r="BI35">
        <f t="shared" si="37"/>
        <v>0.8636175867416952</v>
      </c>
      <c r="BJ35">
        <f t="shared" si="38"/>
        <v>1.8129556703181691</v>
      </c>
      <c r="BK35">
        <f t="shared" si="39"/>
        <v>0.97238144582085573</v>
      </c>
      <c r="BL35">
        <f t="shared" si="40"/>
        <v>0.22639823289746625</v>
      </c>
      <c r="BM35">
        <f t="shared" si="41"/>
        <v>0.7736017671025337</v>
      </c>
      <c r="BN35">
        <v>4908</v>
      </c>
      <c r="BO35">
        <v>290.00000000000011</v>
      </c>
      <c r="BP35">
        <v>895.27</v>
      </c>
      <c r="BQ35">
        <v>285</v>
      </c>
      <c r="BR35">
        <v>10023.799999999999</v>
      </c>
      <c r="BS35">
        <v>896.31</v>
      </c>
      <c r="BT35">
        <v>-1.04</v>
      </c>
      <c r="BU35">
        <v>300.00000000000011</v>
      </c>
      <c r="BV35">
        <v>24.1</v>
      </c>
      <c r="BW35">
        <v>928.72916141957933</v>
      </c>
      <c r="BX35">
        <v>1.9588631194150321</v>
      </c>
      <c r="BY35">
        <v>-32.499145824470958</v>
      </c>
      <c r="BZ35">
        <v>1.749843979432655</v>
      </c>
      <c r="CA35">
        <v>0.92492116725256079</v>
      </c>
      <c r="CB35">
        <v>-6.8319119021134729E-3</v>
      </c>
      <c r="CC35">
        <v>289.99999999999989</v>
      </c>
      <c r="CD35">
        <v>894.27</v>
      </c>
      <c r="CE35">
        <v>655</v>
      </c>
      <c r="CF35">
        <v>10014.1</v>
      </c>
      <c r="CG35">
        <v>896.28</v>
      </c>
      <c r="CH35">
        <v>-2.0099999999999998</v>
      </c>
      <c r="CV35">
        <f t="shared" si="42"/>
        <v>1799.94</v>
      </c>
      <c r="CW35">
        <f t="shared" si="43"/>
        <v>1513.1345999209973</v>
      </c>
      <c r="CX35">
        <f t="shared" si="44"/>
        <v>0.8406583552346174</v>
      </c>
      <c r="CY35">
        <f t="shared" si="45"/>
        <v>0.16087062560281171</v>
      </c>
      <c r="CZ35">
        <v>6</v>
      </c>
      <c r="DA35">
        <v>0.5</v>
      </c>
      <c r="DB35" t="s">
        <v>418</v>
      </c>
      <c r="DC35">
        <v>2</v>
      </c>
      <c r="DD35">
        <v>1639670145.0999999</v>
      </c>
      <c r="DE35">
        <v>54.1982</v>
      </c>
      <c r="DF35">
        <v>70.033100000000005</v>
      </c>
      <c r="DG35">
        <v>24.975200000000001</v>
      </c>
      <c r="DH35">
        <v>17.394500000000001</v>
      </c>
      <c r="DI35">
        <v>55.7485</v>
      </c>
      <c r="DJ35">
        <v>24.968800000000002</v>
      </c>
      <c r="DK35">
        <v>500.06400000000002</v>
      </c>
      <c r="DL35">
        <v>99.634399999999999</v>
      </c>
      <c r="DM35">
        <v>9.9856299999999995E-2</v>
      </c>
      <c r="DN35">
        <v>28.000299999999999</v>
      </c>
      <c r="DO35">
        <v>27.45</v>
      </c>
      <c r="DP35">
        <v>999.9</v>
      </c>
      <c r="DQ35">
        <v>0</v>
      </c>
      <c r="DR35">
        <v>0</v>
      </c>
      <c r="DS35">
        <v>10025</v>
      </c>
      <c r="DT35">
        <v>0</v>
      </c>
      <c r="DU35">
        <v>417.93099999999998</v>
      </c>
      <c r="DV35">
        <v>-15.834899999999999</v>
      </c>
      <c r="DW35">
        <v>55.586500000000001</v>
      </c>
      <c r="DX35">
        <v>71.272900000000007</v>
      </c>
      <c r="DY35">
        <v>7.5807099999999998</v>
      </c>
      <c r="DZ35">
        <v>70.033100000000005</v>
      </c>
      <c r="EA35">
        <v>17.394500000000001</v>
      </c>
      <c r="EB35">
        <v>2.4883899999999999</v>
      </c>
      <c r="EC35">
        <v>1.73309</v>
      </c>
      <c r="ED35">
        <v>20.950800000000001</v>
      </c>
      <c r="EE35">
        <v>15.196099999999999</v>
      </c>
      <c r="EF35">
        <v>1799.94</v>
      </c>
      <c r="EG35">
        <v>0.97799499999999995</v>
      </c>
      <c r="EH35">
        <v>2.2004800000000001E-2</v>
      </c>
      <c r="EI35">
        <v>0</v>
      </c>
      <c r="EJ35">
        <v>808.57299999999998</v>
      </c>
      <c r="EK35">
        <v>5.0001199999999999</v>
      </c>
      <c r="EL35">
        <v>14540.7</v>
      </c>
      <c r="EM35">
        <v>15629.4</v>
      </c>
      <c r="EN35">
        <v>49</v>
      </c>
      <c r="EO35">
        <v>49.375</v>
      </c>
      <c r="EP35">
        <v>49.686999999999998</v>
      </c>
      <c r="EQ35">
        <v>49.25</v>
      </c>
      <c r="ER35">
        <v>50.5</v>
      </c>
      <c r="ES35">
        <v>1755.44</v>
      </c>
      <c r="ET35">
        <v>39.5</v>
      </c>
      <c r="EU35">
        <v>0</v>
      </c>
      <c r="EV35">
        <v>127.7999999523163</v>
      </c>
      <c r="EW35">
        <v>0</v>
      </c>
      <c r="EX35">
        <v>809.06723999999997</v>
      </c>
      <c r="EY35">
        <v>-3.0891538543874488</v>
      </c>
      <c r="EZ35">
        <v>-41.876923053712638</v>
      </c>
      <c r="FA35">
        <v>14546.196</v>
      </c>
      <c r="FB35">
        <v>15</v>
      </c>
      <c r="FC35">
        <v>1639670106.5999999</v>
      </c>
      <c r="FD35" t="s">
        <v>516</v>
      </c>
      <c r="FE35">
        <v>1639670094.5999999</v>
      </c>
      <c r="FF35">
        <v>1639670106.5999999</v>
      </c>
      <c r="FG35">
        <v>21</v>
      </c>
      <c r="FH35">
        <v>-2.5999999999999999E-2</v>
      </c>
      <c r="FI35">
        <v>2E-3</v>
      </c>
      <c r="FJ35">
        <v>-1.575</v>
      </c>
      <c r="FK35">
        <v>-0.108</v>
      </c>
      <c r="FL35">
        <v>70</v>
      </c>
      <c r="FM35">
        <v>17</v>
      </c>
      <c r="FN35">
        <v>0.08</v>
      </c>
      <c r="FO35">
        <v>0.01</v>
      </c>
      <c r="FP35">
        <v>12.808720839756919</v>
      </c>
      <c r="FQ35">
        <v>6.0971640769551333E-2</v>
      </c>
      <c r="FR35">
        <v>9.8498796092526472E-3</v>
      </c>
      <c r="FS35">
        <v>1</v>
      </c>
      <c r="FT35">
        <v>0.58518524162766716</v>
      </c>
      <c r="FU35">
        <v>4.9373264087550647E-2</v>
      </c>
      <c r="FV35">
        <v>6.792779080655207E-3</v>
      </c>
      <c r="FW35">
        <v>1</v>
      </c>
      <c r="FX35">
        <v>2</v>
      </c>
      <c r="FY35">
        <v>2</v>
      </c>
      <c r="FZ35" t="s">
        <v>420</v>
      </c>
      <c r="GA35">
        <v>2.9234599999999999</v>
      </c>
      <c r="GB35">
        <v>2.74505</v>
      </c>
      <c r="GC35">
        <v>1.56133E-2</v>
      </c>
      <c r="GD35">
        <v>1.9935899999999999E-2</v>
      </c>
      <c r="GE35">
        <v>0.120571</v>
      </c>
      <c r="GF35">
        <v>9.4688400000000006E-2</v>
      </c>
      <c r="GG35">
        <v>30718.799999999999</v>
      </c>
      <c r="GH35">
        <v>30244</v>
      </c>
      <c r="GI35">
        <v>28405.599999999999</v>
      </c>
      <c r="GJ35">
        <v>28214.799999999999</v>
      </c>
      <c r="GK35">
        <v>34279.699999999997</v>
      </c>
      <c r="GL35">
        <v>35857.1</v>
      </c>
      <c r="GM35">
        <v>42742.2</v>
      </c>
      <c r="GN35">
        <v>43883.5</v>
      </c>
      <c r="GO35">
        <v>1.81575</v>
      </c>
      <c r="GP35">
        <v>2.0002800000000001</v>
      </c>
      <c r="GQ35">
        <v>7.2166300000000003E-2</v>
      </c>
      <c r="GR35">
        <v>0</v>
      </c>
      <c r="GS35">
        <v>26.269500000000001</v>
      </c>
      <c r="GT35">
        <v>999.9</v>
      </c>
      <c r="GU35">
        <v>41.4</v>
      </c>
      <c r="GV35">
        <v>34.299999999999997</v>
      </c>
      <c r="GW35">
        <v>22.575299999999999</v>
      </c>
      <c r="GX35">
        <v>60.895699999999998</v>
      </c>
      <c r="GY35">
        <v>30.3005</v>
      </c>
      <c r="GZ35">
        <v>1</v>
      </c>
      <c r="HA35">
        <v>0.21691099999999999</v>
      </c>
      <c r="HB35">
        <v>1.3239000000000001</v>
      </c>
      <c r="HC35">
        <v>20.2729</v>
      </c>
      <c r="HD35">
        <v>5.2761399999999998</v>
      </c>
      <c r="HE35">
        <v>12.0878</v>
      </c>
      <c r="HF35">
        <v>5.0133000000000001</v>
      </c>
      <c r="HG35">
        <v>3.2915000000000001</v>
      </c>
      <c r="HH35">
        <v>9999</v>
      </c>
      <c r="HI35">
        <v>9999</v>
      </c>
      <c r="HJ35">
        <v>9999</v>
      </c>
      <c r="HK35">
        <v>999.9</v>
      </c>
      <c r="HL35">
        <v>1.8755999999999999</v>
      </c>
      <c r="HM35">
        <v>1.8760699999999999</v>
      </c>
      <c r="HN35">
        <v>1.8757999999999999</v>
      </c>
      <c r="HO35">
        <v>1.8797299999999999</v>
      </c>
      <c r="HP35">
        <v>1.8731800000000001</v>
      </c>
      <c r="HQ35">
        <v>1.8763799999999999</v>
      </c>
      <c r="HR35">
        <v>1.8762099999999999</v>
      </c>
      <c r="HS35">
        <v>1.8775900000000001</v>
      </c>
      <c r="HT35">
        <v>0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-1.55</v>
      </c>
      <c r="IH35">
        <v>6.4000000000000003E-3</v>
      </c>
      <c r="II35">
        <v>-1.4641887735733621</v>
      </c>
      <c r="IJ35">
        <v>-1.5404112972462821E-3</v>
      </c>
      <c r="IK35">
        <v>-5.8697186733976997E-8</v>
      </c>
      <c r="IL35">
        <v>1.160237123038427E-10</v>
      </c>
      <c r="IM35">
        <v>-0.17514675573753111</v>
      </c>
      <c r="IN35">
        <v>-3.128848753924141E-3</v>
      </c>
      <c r="IO35">
        <v>3.6841110403368089E-4</v>
      </c>
      <c r="IP35">
        <v>1.9296040270694169E-6</v>
      </c>
      <c r="IQ35">
        <v>1</v>
      </c>
      <c r="IR35">
        <v>1992</v>
      </c>
      <c r="IS35">
        <v>2</v>
      </c>
      <c r="IT35">
        <v>27</v>
      </c>
      <c r="IU35">
        <v>0.8</v>
      </c>
      <c r="IV35">
        <v>0.6</v>
      </c>
      <c r="IW35">
        <v>0.31738300000000003</v>
      </c>
      <c r="IX35">
        <v>2.6953100000000001</v>
      </c>
      <c r="IY35">
        <v>1.69434</v>
      </c>
      <c r="IZ35">
        <v>2.34741</v>
      </c>
      <c r="JA35">
        <v>1.5466299999999999</v>
      </c>
      <c r="JB35">
        <v>2.34131</v>
      </c>
      <c r="JC35">
        <v>39.217300000000002</v>
      </c>
      <c r="JD35">
        <v>23.991199999999999</v>
      </c>
      <c r="JE35">
        <v>18</v>
      </c>
      <c r="JF35">
        <v>534.95000000000005</v>
      </c>
      <c r="JG35">
        <v>540.91800000000001</v>
      </c>
      <c r="JH35">
        <v>25.428599999999999</v>
      </c>
      <c r="JI35">
        <v>30.0425</v>
      </c>
      <c r="JJ35">
        <v>29.999700000000001</v>
      </c>
      <c r="JK35">
        <v>30.0731</v>
      </c>
      <c r="JL35">
        <v>30.041599999999999</v>
      </c>
      <c r="JM35">
        <v>6.4119799999999998</v>
      </c>
      <c r="JN35">
        <v>26.881399999999999</v>
      </c>
      <c r="JO35">
        <v>33.767099999999999</v>
      </c>
      <c r="JP35">
        <v>25.467700000000001</v>
      </c>
      <c r="JQ35">
        <v>70</v>
      </c>
      <c r="JR35">
        <v>17.230399999999999</v>
      </c>
      <c r="JS35">
        <v>99.594999999999999</v>
      </c>
      <c r="JT35">
        <v>98.850399999999993</v>
      </c>
    </row>
    <row r="36" spans="1:280" x14ac:dyDescent="0.25">
      <c r="A36">
        <v>20</v>
      </c>
      <c r="B36">
        <v>1639670263.0999999</v>
      </c>
      <c r="C36">
        <v>3661</v>
      </c>
      <c r="D36" t="s">
        <v>517</v>
      </c>
      <c r="E36" t="s">
        <v>518</v>
      </c>
      <c r="F36" t="s">
        <v>412</v>
      </c>
      <c r="G36" t="s">
        <v>492</v>
      </c>
      <c r="H36" t="s">
        <v>493</v>
      </c>
      <c r="I36">
        <v>1639670263.0999999</v>
      </c>
      <c r="J36">
        <f t="shared" si="0"/>
        <v>6.842700373406306E-3</v>
      </c>
      <c r="K36">
        <f t="shared" si="1"/>
        <v>6.8427003734063057</v>
      </c>
      <c r="L36">
        <f t="shared" si="2"/>
        <v>5.8715401805672531</v>
      </c>
      <c r="M36">
        <f t="shared" si="3"/>
        <v>22.8154</v>
      </c>
      <c r="N36">
        <f t="shared" si="4"/>
        <v>6.0288437232417493</v>
      </c>
      <c r="O36">
        <f t="shared" si="5"/>
        <v>0.60135504156574393</v>
      </c>
      <c r="P36">
        <f t="shared" si="6"/>
        <v>2.2757524402974001</v>
      </c>
      <c r="Q36">
        <f t="shared" si="7"/>
        <v>0.62673007642807244</v>
      </c>
      <c r="R36">
        <f t="shared" si="8"/>
        <v>2.9189497134045173</v>
      </c>
      <c r="S36">
        <f t="shared" si="9"/>
        <v>0.56045881537115361</v>
      </c>
      <c r="T36">
        <f t="shared" si="10"/>
        <v>0.35565522438221153</v>
      </c>
      <c r="U36">
        <f t="shared" si="11"/>
        <v>289.54151384751646</v>
      </c>
      <c r="V36">
        <f t="shared" si="12"/>
        <v>27.948334488884964</v>
      </c>
      <c r="W36">
        <f t="shared" si="13"/>
        <v>27.450700000000001</v>
      </c>
      <c r="X36">
        <f t="shared" si="14"/>
        <v>3.6750044013204337</v>
      </c>
      <c r="Y36">
        <f t="shared" si="15"/>
        <v>65.664464750627729</v>
      </c>
      <c r="Z36">
        <f t="shared" si="16"/>
        <v>2.494855230972</v>
      </c>
      <c r="AA36">
        <f t="shared" si="17"/>
        <v>3.7993993257184817</v>
      </c>
      <c r="AB36">
        <f t="shared" si="18"/>
        <v>1.1801491703484337</v>
      </c>
      <c r="AC36">
        <f t="shared" si="19"/>
        <v>-301.7630864672181</v>
      </c>
      <c r="AD36">
        <f t="shared" si="20"/>
        <v>89.683121019271837</v>
      </c>
      <c r="AE36">
        <f t="shared" si="21"/>
        <v>6.6795997341623332</v>
      </c>
      <c r="AF36">
        <f t="shared" si="22"/>
        <v>84.1411481337325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52385.436589355872</v>
      </c>
      <c r="AL36" t="s">
        <v>415</v>
      </c>
      <c r="AM36">
        <v>10204.299999999999</v>
      </c>
      <c r="AN36">
        <v>862.72538461538477</v>
      </c>
      <c r="AO36">
        <v>3252.56</v>
      </c>
      <c r="AP36">
        <f t="shared" si="26"/>
        <v>0.73475496697512588</v>
      </c>
      <c r="AQ36">
        <v>-6.6684750346205304</v>
      </c>
      <c r="AR36" t="s">
        <v>519</v>
      </c>
      <c r="AS36">
        <v>10036.1</v>
      </c>
      <c r="AT36">
        <v>821.59703846153832</v>
      </c>
      <c r="AU36">
        <v>896.46669491667922</v>
      </c>
      <c r="AV36">
        <f t="shared" si="27"/>
        <v>8.3516383686846885E-2</v>
      </c>
      <c r="AW36">
        <v>0.5</v>
      </c>
      <c r="AX36">
        <f t="shared" si="28"/>
        <v>1513.0505999209931</v>
      </c>
      <c r="AY36">
        <f t="shared" si="29"/>
        <v>5.8715401805672531</v>
      </c>
      <c r="AZ36">
        <f t="shared" si="30"/>
        <v>63.182257220307761</v>
      </c>
      <c r="BA36">
        <f t="shared" si="31"/>
        <v>8.287902080632719E-3</v>
      </c>
      <c r="BB36">
        <f t="shared" si="32"/>
        <v>2.6281994840893721</v>
      </c>
      <c r="BC36">
        <f t="shared" si="33"/>
        <v>508.34766036529822</v>
      </c>
      <c r="BD36" t="s">
        <v>520</v>
      </c>
      <c r="BE36">
        <v>574.04</v>
      </c>
      <c r="BF36">
        <f t="shared" si="34"/>
        <v>574.04</v>
      </c>
      <c r="BG36">
        <f t="shared" si="35"/>
        <v>0.3596638857248865</v>
      </c>
      <c r="BH36">
        <f t="shared" si="36"/>
        <v>0.23220675469966448</v>
      </c>
      <c r="BI36">
        <f t="shared" si="37"/>
        <v>0.87962505603218233</v>
      </c>
      <c r="BJ36">
        <f t="shared" si="38"/>
        <v>2.2189315052257648</v>
      </c>
      <c r="BK36">
        <f t="shared" si="39"/>
        <v>0.98588131995240025</v>
      </c>
      <c r="BL36">
        <f t="shared" si="40"/>
        <v>0.16224007539924379</v>
      </c>
      <c r="BM36">
        <f t="shared" si="41"/>
        <v>0.83775992460075621</v>
      </c>
      <c r="BN36">
        <v>4910</v>
      </c>
      <c r="BO36">
        <v>290.00000000000011</v>
      </c>
      <c r="BP36">
        <v>874.07</v>
      </c>
      <c r="BQ36">
        <v>125</v>
      </c>
      <c r="BR36">
        <v>10036.1</v>
      </c>
      <c r="BS36">
        <v>872.87</v>
      </c>
      <c r="BT36">
        <v>1.2</v>
      </c>
      <c r="BU36">
        <v>300.00000000000011</v>
      </c>
      <c r="BV36">
        <v>24.1</v>
      </c>
      <c r="BW36">
        <v>896.46669491667922</v>
      </c>
      <c r="BX36">
        <v>2.0457448580195252</v>
      </c>
      <c r="BY36">
        <v>-23.68370296641741</v>
      </c>
      <c r="BZ36">
        <v>1.827271970441128</v>
      </c>
      <c r="CA36">
        <v>0.85713821755883157</v>
      </c>
      <c r="CB36">
        <v>-6.8312956618464989E-3</v>
      </c>
      <c r="CC36">
        <v>289.99999999999989</v>
      </c>
      <c r="CD36">
        <v>870.69</v>
      </c>
      <c r="CE36">
        <v>645</v>
      </c>
      <c r="CF36">
        <v>10013.5</v>
      </c>
      <c r="CG36">
        <v>872.81</v>
      </c>
      <c r="CH36">
        <v>-2.12</v>
      </c>
      <c r="CV36">
        <f t="shared" si="42"/>
        <v>1799.84</v>
      </c>
      <c r="CW36">
        <f t="shared" si="43"/>
        <v>1513.0505999209931</v>
      </c>
      <c r="CX36">
        <f t="shared" si="44"/>
        <v>0.84065839181315738</v>
      </c>
      <c r="CY36">
        <f t="shared" si="45"/>
        <v>0.16087069619939354</v>
      </c>
      <c r="CZ36">
        <v>6</v>
      </c>
      <c r="DA36">
        <v>0.5</v>
      </c>
      <c r="DB36" t="s">
        <v>418</v>
      </c>
      <c r="DC36">
        <v>2</v>
      </c>
      <c r="DD36">
        <v>1639670263.0999999</v>
      </c>
      <c r="DE36">
        <v>22.8154</v>
      </c>
      <c r="DF36">
        <v>30.047000000000001</v>
      </c>
      <c r="DG36">
        <v>25.012</v>
      </c>
      <c r="DH36">
        <v>17.007899999999999</v>
      </c>
      <c r="DI36">
        <v>24.2652</v>
      </c>
      <c r="DJ36">
        <v>25.006499999999999</v>
      </c>
      <c r="DK36">
        <v>500.11</v>
      </c>
      <c r="DL36">
        <v>99.646100000000004</v>
      </c>
      <c r="DM36">
        <v>0.100231</v>
      </c>
      <c r="DN36">
        <v>28.020600000000002</v>
      </c>
      <c r="DO36">
        <v>27.450700000000001</v>
      </c>
      <c r="DP36">
        <v>999.9</v>
      </c>
      <c r="DQ36">
        <v>0</v>
      </c>
      <c r="DR36">
        <v>0</v>
      </c>
      <c r="DS36">
        <v>9975</v>
      </c>
      <c r="DT36">
        <v>0</v>
      </c>
      <c r="DU36">
        <v>410.25599999999997</v>
      </c>
      <c r="DV36">
        <v>-7.2316500000000001</v>
      </c>
      <c r="DW36">
        <v>23.400700000000001</v>
      </c>
      <c r="DX36">
        <v>30.5669</v>
      </c>
      <c r="DY36">
        <v>8.0041399999999996</v>
      </c>
      <c r="DZ36">
        <v>30.047000000000001</v>
      </c>
      <c r="EA36">
        <v>17.007899999999999</v>
      </c>
      <c r="EB36">
        <v>2.4923500000000001</v>
      </c>
      <c r="EC36">
        <v>1.6947700000000001</v>
      </c>
      <c r="ED36">
        <v>20.976600000000001</v>
      </c>
      <c r="EE36">
        <v>14.848599999999999</v>
      </c>
      <c r="EF36">
        <v>1799.84</v>
      </c>
      <c r="EG36">
        <v>0.97799499999999995</v>
      </c>
      <c r="EH36">
        <v>2.2004800000000001E-2</v>
      </c>
      <c r="EI36">
        <v>0</v>
      </c>
      <c r="EJ36">
        <v>821.197</v>
      </c>
      <c r="EK36">
        <v>5.0001199999999999</v>
      </c>
      <c r="EL36">
        <v>14772.8</v>
      </c>
      <c r="EM36">
        <v>15628.5</v>
      </c>
      <c r="EN36">
        <v>49.125</v>
      </c>
      <c r="EO36">
        <v>49.5</v>
      </c>
      <c r="EP36">
        <v>49.75</v>
      </c>
      <c r="EQ36">
        <v>49.375</v>
      </c>
      <c r="ER36">
        <v>50.625</v>
      </c>
      <c r="ES36">
        <v>1755.34</v>
      </c>
      <c r="ET36">
        <v>39.5</v>
      </c>
      <c r="EU36">
        <v>0</v>
      </c>
      <c r="EV36">
        <v>115.7999999523163</v>
      </c>
      <c r="EW36">
        <v>0</v>
      </c>
      <c r="EX36">
        <v>821.59703846153832</v>
      </c>
      <c r="EY36">
        <v>-2.706222236790051</v>
      </c>
      <c r="EZ36">
        <v>-39.500854607981772</v>
      </c>
      <c r="FA36">
        <v>14778.776923076921</v>
      </c>
      <c r="FB36">
        <v>15</v>
      </c>
      <c r="FC36">
        <v>1639670224.5999999</v>
      </c>
      <c r="FD36" t="s">
        <v>521</v>
      </c>
      <c r="FE36">
        <v>1639670215.5999999</v>
      </c>
      <c r="FF36">
        <v>1639670224.5999999</v>
      </c>
      <c r="FG36">
        <v>22</v>
      </c>
      <c r="FH36">
        <v>5.1999999999999998E-2</v>
      </c>
      <c r="FI36">
        <v>-2E-3</v>
      </c>
      <c r="FJ36">
        <v>-1.4610000000000001</v>
      </c>
      <c r="FK36">
        <v>-0.113</v>
      </c>
      <c r="FL36">
        <v>30</v>
      </c>
      <c r="FM36">
        <v>17</v>
      </c>
      <c r="FN36">
        <v>0.2</v>
      </c>
      <c r="FO36">
        <v>0.01</v>
      </c>
      <c r="FP36">
        <v>5.8575790019847096</v>
      </c>
      <c r="FQ36">
        <v>-2.0523294119031629E-2</v>
      </c>
      <c r="FR36">
        <v>2.179864767907045E-2</v>
      </c>
      <c r="FS36">
        <v>1</v>
      </c>
      <c r="FT36">
        <v>0.61936671917466946</v>
      </c>
      <c r="FU36">
        <v>4.3706063215855968E-2</v>
      </c>
      <c r="FV36">
        <v>5.5196864566310127E-3</v>
      </c>
      <c r="FW36">
        <v>1</v>
      </c>
      <c r="FX36">
        <v>2</v>
      </c>
      <c r="FY36">
        <v>2</v>
      </c>
      <c r="FZ36" t="s">
        <v>420</v>
      </c>
      <c r="GA36">
        <v>2.9236800000000001</v>
      </c>
      <c r="GB36">
        <v>2.74499</v>
      </c>
      <c r="GC36">
        <v>6.86054E-3</v>
      </c>
      <c r="GD36">
        <v>8.6777E-3</v>
      </c>
      <c r="GE36">
        <v>0.120728</v>
      </c>
      <c r="GF36">
        <v>9.3193499999999999E-2</v>
      </c>
      <c r="GG36">
        <v>30993.7</v>
      </c>
      <c r="GH36">
        <v>30594.400000000001</v>
      </c>
      <c r="GI36">
        <v>28407.200000000001</v>
      </c>
      <c r="GJ36">
        <v>28217.7</v>
      </c>
      <c r="GK36">
        <v>34274.6</v>
      </c>
      <c r="GL36">
        <v>35919.5</v>
      </c>
      <c r="GM36">
        <v>42743.6</v>
      </c>
      <c r="GN36">
        <v>43887.3</v>
      </c>
      <c r="GO36">
        <v>1.8167</v>
      </c>
      <c r="GP36">
        <v>1.9998199999999999</v>
      </c>
      <c r="GQ36">
        <v>6.4306000000000002E-2</v>
      </c>
      <c r="GR36">
        <v>0</v>
      </c>
      <c r="GS36">
        <v>26.398900000000001</v>
      </c>
      <c r="GT36">
        <v>999.9</v>
      </c>
      <c r="GU36">
        <v>41</v>
      </c>
      <c r="GV36">
        <v>34.299999999999997</v>
      </c>
      <c r="GW36">
        <v>22.353300000000001</v>
      </c>
      <c r="GX36">
        <v>61.005600000000001</v>
      </c>
      <c r="GY36">
        <v>30.392600000000002</v>
      </c>
      <c r="GZ36">
        <v>1</v>
      </c>
      <c r="HA36">
        <v>0.215084</v>
      </c>
      <c r="HB36">
        <v>1.8360000000000001</v>
      </c>
      <c r="HC36">
        <v>20.268000000000001</v>
      </c>
      <c r="HD36">
        <v>5.2765899999999997</v>
      </c>
      <c r="HE36">
        <v>12.0878</v>
      </c>
      <c r="HF36">
        <v>5.0143500000000003</v>
      </c>
      <c r="HG36">
        <v>3.2917000000000001</v>
      </c>
      <c r="HH36">
        <v>9999</v>
      </c>
      <c r="HI36">
        <v>9999</v>
      </c>
      <c r="HJ36">
        <v>9999</v>
      </c>
      <c r="HK36">
        <v>999.9</v>
      </c>
      <c r="HL36">
        <v>1.8754999999999999</v>
      </c>
      <c r="HM36">
        <v>1.87601</v>
      </c>
      <c r="HN36">
        <v>1.8757600000000001</v>
      </c>
      <c r="HO36">
        <v>1.8796900000000001</v>
      </c>
      <c r="HP36">
        <v>1.87317</v>
      </c>
      <c r="HQ36">
        <v>1.8763700000000001</v>
      </c>
      <c r="HR36">
        <v>1.8761099999999999</v>
      </c>
      <c r="HS36">
        <v>1.87758</v>
      </c>
      <c r="HT36">
        <v>0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-1.45</v>
      </c>
      <c r="IH36">
        <v>5.4999999999999997E-3</v>
      </c>
      <c r="II36">
        <v>-1.41244562563278</v>
      </c>
      <c r="IJ36">
        <v>-1.5404112972462821E-3</v>
      </c>
      <c r="IK36">
        <v>-5.8697186733976997E-8</v>
      </c>
      <c r="IL36">
        <v>1.160237123038427E-10</v>
      </c>
      <c r="IM36">
        <v>-0.17680187462243499</v>
      </c>
      <c r="IN36">
        <v>-3.128848753924141E-3</v>
      </c>
      <c r="IO36">
        <v>3.6841110403368089E-4</v>
      </c>
      <c r="IP36">
        <v>1.9296040270694169E-6</v>
      </c>
      <c r="IQ36">
        <v>1</v>
      </c>
      <c r="IR36">
        <v>1992</v>
      </c>
      <c r="IS36">
        <v>2</v>
      </c>
      <c r="IT36">
        <v>27</v>
      </c>
      <c r="IU36">
        <v>0.8</v>
      </c>
      <c r="IV36">
        <v>0.6</v>
      </c>
      <c r="IW36">
        <v>0.22583</v>
      </c>
      <c r="IX36">
        <v>2.6977500000000001</v>
      </c>
      <c r="IY36">
        <v>1.69434</v>
      </c>
      <c r="IZ36">
        <v>2.34741</v>
      </c>
      <c r="JA36">
        <v>1.5466299999999999</v>
      </c>
      <c r="JB36">
        <v>2.4682599999999999</v>
      </c>
      <c r="JC36">
        <v>39.142800000000001</v>
      </c>
      <c r="JD36">
        <v>23.9999</v>
      </c>
      <c r="JE36">
        <v>18</v>
      </c>
      <c r="JF36">
        <v>535.18200000000002</v>
      </c>
      <c r="JG36">
        <v>540.05399999999997</v>
      </c>
      <c r="JH36">
        <v>25.229900000000001</v>
      </c>
      <c r="JI36">
        <v>29.996300000000002</v>
      </c>
      <c r="JJ36">
        <v>30.000299999999999</v>
      </c>
      <c r="JK36">
        <v>30.0183</v>
      </c>
      <c r="JL36">
        <v>29.986699999999999</v>
      </c>
      <c r="JM36">
        <v>4.6039500000000002</v>
      </c>
      <c r="JN36">
        <v>28.342099999999999</v>
      </c>
      <c r="JO36">
        <v>32.4846</v>
      </c>
      <c r="JP36">
        <v>25.2089</v>
      </c>
      <c r="JQ36">
        <v>30</v>
      </c>
      <c r="JR36">
        <v>16.8505</v>
      </c>
      <c r="JS36">
        <v>99.599100000000007</v>
      </c>
      <c r="JT36">
        <v>98.859499999999997</v>
      </c>
    </row>
    <row r="37" spans="1:280" x14ac:dyDescent="0.25">
      <c r="A37">
        <v>21</v>
      </c>
      <c r="B37">
        <v>1639670379.5</v>
      </c>
      <c r="C37">
        <v>3777.400000095367</v>
      </c>
      <c r="D37" t="s">
        <v>522</v>
      </c>
      <c r="E37" t="s">
        <v>523</v>
      </c>
      <c r="F37" t="s">
        <v>412</v>
      </c>
      <c r="G37" t="s">
        <v>492</v>
      </c>
      <c r="H37" t="s">
        <v>493</v>
      </c>
      <c r="I37">
        <v>1639670379.5</v>
      </c>
      <c r="J37">
        <f t="shared" si="0"/>
        <v>7.1707119497644856E-3</v>
      </c>
      <c r="K37">
        <f t="shared" si="1"/>
        <v>7.1707119497644856</v>
      </c>
      <c r="L37">
        <f t="shared" si="2"/>
        <v>2.1700329436730281</v>
      </c>
      <c r="M37">
        <f t="shared" si="3"/>
        <v>7.37303</v>
      </c>
      <c r="N37">
        <f t="shared" si="4"/>
        <v>1.426894429006843</v>
      </c>
      <c r="O37">
        <f t="shared" si="5"/>
        <v>0.14234338204743224</v>
      </c>
      <c r="P37">
        <f t="shared" si="6"/>
        <v>0.735514838941281</v>
      </c>
      <c r="Q37">
        <f t="shared" si="7"/>
        <v>0.65489904923760733</v>
      </c>
      <c r="R37">
        <f t="shared" si="8"/>
        <v>2.9300990129485363</v>
      </c>
      <c r="S37">
        <f t="shared" si="9"/>
        <v>0.58314388860252109</v>
      </c>
      <c r="T37">
        <f t="shared" si="10"/>
        <v>0.37025455928771556</v>
      </c>
      <c r="U37">
        <f t="shared" si="11"/>
        <v>289.56168284756603</v>
      </c>
      <c r="V37">
        <f t="shared" si="12"/>
        <v>27.843477395183893</v>
      </c>
      <c r="W37">
        <f t="shared" si="13"/>
        <v>27.4682</v>
      </c>
      <c r="X37">
        <f t="shared" si="14"/>
        <v>3.6787706473800466</v>
      </c>
      <c r="Y37">
        <f t="shared" si="15"/>
        <v>65.613555911969641</v>
      </c>
      <c r="Z37">
        <f t="shared" si="16"/>
        <v>2.4900163488228899</v>
      </c>
      <c r="AA37">
        <f t="shared" si="17"/>
        <v>3.7949724172297841</v>
      </c>
      <c r="AB37">
        <f t="shared" si="18"/>
        <v>1.1887542985571566</v>
      </c>
      <c r="AC37">
        <f t="shared" si="19"/>
        <v>-316.22839698461382</v>
      </c>
      <c r="AD37">
        <f t="shared" si="20"/>
        <v>84.101895927789641</v>
      </c>
      <c r="AE37">
        <f t="shared" si="21"/>
        <v>6.2399967509091452</v>
      </c>
      <c r="AF37">
        <f t="shared" si="22"/>
        <v>63.675178541650993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52709.745293150947</v>
      </c>
      <c r="AL37" t="s">
        <v>415</v>
      </c>
      <c r="AM37">
        <v>10204.299999999999</v>
      </c>
      <c r="AN37">
        <v>862.72538461538477</v>
      </c>
      <c r="AO37">
        <v>3252.56</v>
      </c>
      <c r="AP37">
        <f t="shared" si="26"/>
        <v>0.73475496697512588</v>
      </c>
      <c r="AQ37">
        <v>-6.6684750346205304</v>
      </c>
      <c r="AR37" t="s">
        <v>524</v>
      </c>
      <c r="AS37">
        <v>10036.4</v>
      </c>
      <c r="AT37">
        <v>826.9878799999999</v>
      </c>
      <c r="AU37">
        <v>885.75527002352919</v>
      </c>
      <c r="AV37">
        <f t="shared" si="27"/>
        <v>6.6347209000481855E-2</v>
      </c>
      <c r="AW37">
        <v>0.5</v>
      </c>
      <c r="AX37">
        <f t="shared" si="28"/>
        <v>1513.1594999210188</v>
      </c>
      <c r="AY37">
        <f t="shared" si="29"/>
        <v>2.1700329436730281</v>
      </c>
      <c r="AZ37">
        <f t="shared" si="30"/>
        <v>50.196954796162217</v>
      </c>
      <c r="BA37">
        <f t="shared" si="31"/>
        <v>5.8410947284505662E-3</v>
      </c>
      <c r="BB37">
        <f t="shared" si="32"/>
        <v>2.6720752447948732</v>
      </c>
      <c r="BC37">
        <f t="shared" si="33"/>
        <v>504.88545336894106</v>
      </c>
      <c r="BD37" t="s">
        <v>525</v>
      </c>
      <c r="BE37">
        <v>584.09</v>
      </c>
      <c r="BF37">
        <f t="shared" si="34"/>
        <v>584.09</v>
      </c>
      <c r="BG37">
        <f t="shared" si="35"/>
        <v>0.34057406174452198</v>
      </c>
      <c r="BH37">
        <f t="shared" si="36"/>
        <v>0.19480992962479762</v>
      </c>
      <c r="BI37">
        <f t="shared" si="37"/>
        <v>0.88695197246979385</v>
      </c>
      <c r="BJ37">
        <f t="shared" si="38"/>
        <v>2.5517882083228449</v>
      </c>
      <c r="BK37">
        <f t="shared" si="39"/>
        <v>0.99036339784356253</v>
      </c>
      <c r="BL37">
        <f t="shared" si="40"/>
        <v>0.13759153495036477</v>
      </c>
      <c r="BM37">
        <f t="shared" si="41"/>
        <v>0.8624084650496352</v>
      </c>
      <c r="BN37">
        <v>4912</v>
      </c>
      <c r="BO37">
        <v>290.00000000000011</v>
      </c>
      <c r="BP37">
        <v>867</v>
      </c>
      <c r="BQ37">
        <v>115</v>
      </c>
      <c r="BR37">
        <v>10036.4</v>
      </c>
      <c r="BS37">
        <v>864.1</v>
      </c>
      <c r="BT37">
        <v>2.9</v>
      </c>
      <c r="BU37">
        <v>300.00000000000011</v>
      </c>
      <c r="BV37">
        <v>24.1</v>
      </c>
      <c r="BW37">
        <v>885.75527002352919</v>
      </c>
      <c r="BX37">
        <v>1.494416131945443</v>
      </c>
      <c r="BY37">
        <v>-21.735124543371182</v>
      </c>
      <c r="BZ37">
        <v>1.334688239762255</v>
      </c>
      <c r="CA37">
        <v>0.90450027198192628</v>
      </c>
      <c r="CB37">
        <v>-6.8308149054505099E-3</v>
      </c>
      <c r="CC37">
        <v>289.99999999999989</v>
      </c>
      <c r="CD37">
        <v>861.07</v>
      </c>
      <c r="CE37">
        <v>735</v>
      </c>
      <c r="CF37">
        <v>10008.799999999999</v>
      </c>
      <c r="CG37">
        <v>864.04</v>
      </c>
      <c r="CH37">
        <v>-2.97</v>
      </c>
      <c r="CV37">
        <f t="shared" si="42"/>
        <v>1799.97</v>
      </c>
      <c r="CW37">
        <f t="shared" si="43"/>
        <v>1513.1594999210188</v>
      </c>
      <c r="CX37">
        <f t="shared" si="44"/>
        <v>0.84065817759241468</v>
      </c>
      <c r="CY37">
        <f t="shared" si="45"/>
        <v>0.16087028275336035</v>
      </c>
      <c r="CZ37">
        <v>6</v>
      </c>
      <c r="DA37">
        <v>0.5</v>
      </c>
      <c r="DB37" t="s">
        <v>418</v>
      </c>
      <c r="DC37">
        <v>2</v>
      </c>
      <c r="DD37">
        <v>1639670379.5</v>
      </c>
      <c r="DE37">
        <v>7.37303</v>
      </c>
      <c r="DF37">
        <v>10.0403</v>
      </c>
      <c r="DG37">
        <v>24.960699999999999</v>
      </c>
      <c r="DH37">
        <v>16.571300000000001</v>
      </c>
      <c r="DI37">
        <v>8.7668900000000001</v>
      </c>
      <c r="DJ37">
        <v>24.956399999999999</v>
      </c>
      <c r="DK37">
        <v>500.04</v>
      </c>
      <c r="DL37">
        <v>99.657600000000002</v>
      </c>
      <c r="DM37">
        <v>9.9872699999999995E-2</v>
      </c>
      <c r="DN37">
        <v>28.000599999999999</v>
      </c>
      <c r="DO37">
        <v>27.4682</v>
      </c>
      <c r="DP37">
        <v>999.9</v>
      </c>
      <c r="DQ37">
        <v>0</v>
      </c>
      <c r="DR37">
        <v>0</v>
      </c>
      <c r="DS37">
        <v>10037.5</v>
      </c>
      <c r="DT37">
        <v>0</v>
      </c>
      <c r="DU37">
        <v>405.72800000000001</v>
      </c>
      <c r="DV37">
        <v>-2.6673</v>
      </c>
      <c r="DW37">
        <v>7.5617700000000001</v>
      </c>
      <c r="DX37">
        <v>10.2095</v>
      </c>
      <c r="DY37">
        <v>8.3894699999999993</v>
      </c>
      <c r="DZ37">
        <v>10.0403</v>
      </c>
      <c r="EA37">
        <v>16.571300000000001</v>
      </c>
      <c r="EB37">
        <v>2.48753</v>
      </c>
      <c r="EC37">
        <v>1.6514599999999999</v>
      </c>
      <c r="ED37">
        <v>20.9451</v>
      </c>
      <c r="EE37">
        <v>14.4475</v>
      </c>
      <c r="EF37">
        <v>1799.97</v>
      </c>
      <c r="EG37">
        <v>0.97799899999999995</v>
      </c>
      <c r="EH37">
        <v>2.20015E-2</v>
      </c>
      <c r="EI37">
        <v>0</v>
      </c>
      <c r="EJ37">
        <v>826.61099999999999</v>
      </c>
      <c r="EK37">
        <v>5.0001199999999999</v>
      </c>
      <c r="EL37">
        <v>14883.3</v>
      </c>
      <c r="EM37">
        <v>15629.7</v>
      </c>
      <c r="EN37">
        <v>49.375</v>
      </c>
      <c r="EO37">
        <v>49.686999999999998</v>
      </c>
      <c r="EP37">
        <v>50.061999999999998</v>
      </c>
      <c r="EQ37">
        <v>49.625</v>
      </c>
      <c r="ER37">
        <v>50.811999999999998</v>
      </c>
      <c r="ES37">
        <v>1755.48</v>
      </c>
      <c r="ET37">
        <v>39.49</v>
      </c>
      <c r="EU37">
        <v>0</v>
      </c>
      <c r="EV37">
        <v>114.5999999046326</v>
      </c>
      <c r="EW37">
        <v>0</v>
      </c>
      <c r="EX37">
        <v>826.9878799999999</v>
      </c>
      <c r="EY37">
        <v>-1.9636923022503781</v>
      </c>
      <c r="EZ37">
        <v>-13.79230767527163</v>
      </c>
      <c r="FA37">
        <v>14884.407999999999</v>
      </c>
      <c r="FB37">
        <v>15</v>
      </c>
      <c r="FC37">
        <v>1639670339.5999999</v>
      </c>
      <c r="FD37" t="s">
        <v>526</v>
      </c>
      <c r="FE37">
        <v>1639670331.5999999</v>
      </c>
      <c r="FF37">
        <v>1639670339.5999999</v>
      </c>
      <c r="FG37">
        <v>23</v>
      </c>
      <c r="FH37">
        <v>3.2000000000000001E-2</v>
      </c>
      <c r="FI37">
        <v>0</v>
      </c>
      <c r="FJ37">
        <v>-1.3979999999999999</v>
      </c>
      <c r="FK37">
        <v>-0.11700000000000001</v>
      </c>
      <c r="FL37">
        <v>10</v>
      </c>
      <c r="FM37">
        <v>17</v>
      </c>
      <c r="FN37">
        <v>0.17</v>
      </c>
      <c r="FO37">
        <v>0.01</v>
      </c>
      <c r="FP37">
        <v>2.1581272031294652</v>
      </c>
      <c r="FQ37">
        <v>9.3274996654054615E-2</v>
      </c>
      <c r="FR37">
        <v>1.2710924438055949E-2</v>
      </c>
      <c r="FS37">
        <v>1</v>
      </c>
      <c r="FT37">
        <v>0.64842361416922878</v>
      </c>
      <c r="FU37">
        <v>4.2710593160579638E-2</v>
      </c>
      <c r="FV37">
        <v>4.5872807318505507E-3</v>
      </c>
      <c r="FW37">
        <v>1</v>
      </c>
      <c r="FX37">
        <v>2</v>
      </c>
      <c r="FY37">
        <v>2</v>
      </c>
      <c r="FZ37" t="s">
        <v>420</v>
      </c>
      <c r="GA37">
        <v>2.9233799999999999</v>
      </c>
      <c r="GB37">
        <v>2.74518</v>
      </c>
      <c r="GC37">
        <v>2.4862E-3</v>
      </c>
      <c r="GD37">
        <v>2.9133900000000001E-3</v>
      </c>
      <c r="GE37">
        <v>0.12056600000000001</v>
      </c>
      <c r="GF37">
        <v>9.1467199999999999E-2</v>
      </c>
      <c r="GG37">
        <v>31125.4</v>
      </c>
      <c r="GH37">
        <v>30769</v>
      </c>
      <c r="GI37">
        <v>28403.3</v>
      </c>
      <c r="GJ37">
        <v>28215.1</v>
      </c>
      <c r="GK37">
        <v>34275.4</v>
      </c>
      <c r="GL37">
        <v>35984.6</v>
      </c>
      <c r="GM37">
        <v>42736.5</v>
      </c>
      <c r="GN37">
        <v>43882.9</v>
      </c>
      <c r="GO37">
        <v>1.8160700000000001</v>
      </c>
      <c r="GP37">
        <v>1.9981500000000001</v>
      </c>
      <c r="GQ37">
        <v>4.8548000000000001E-2</v>
      </c>
      <c r="GR37">
        <v>0</v>
      </c>
      <c r="GS37">
        <v>26.674299999999999</v>
      </c>
      <c r="GT37">
        <v>999.9</v>
      </c>
      <c r="GU37">
        <v>40.5</v>
      </c>
      <c r="GV37">
        <v>34.4</v>
      </c>
      <c r="GW37">
        <v>22.203499999999998</v>
      </c>
      <c r="GX37">
        <v>61.015700000000002</v>
      </c>
      <c r="GY37">
        <v>30.3446</v>
      </c>
      <c r="GZ37">
        <v>1</v>
      </c>
      <c r="HA37">
        <v>0.22345300000000001</v>
      </c>
      <c r="HB37">
        <v>2.0606200000000001</v>
      </c>
      <c r="HC37">
        <v>20.2653</v>
      </c>
      <c r="HD37">
        <v>5.2767400000000002</v>
      </c>
      <c r="HE37">
        <v>12.0878</v>
      </c>
      <c r="HF37">
        <v>5.0133999999999999</v>
      </c>
      <c r="HG37">
        <v>3.2916500000000002</v>
      </c>
      <c r="HH37">
        <v>9999</v>
      </c>
      <c r="HI37">
        <v>9999</v>
      </c>
      <c r="HJ37">
        <v>9999</v>
      </c>
      <c r="HK37">
        <v>999.9</v>
      </c>
      <c r="HL37">
        <v>1.8754900000000001</v>
      </c>
      <c r="HM37">
        <v>1.8759600000000001</v>
      </c>
      <c r="HN37">
        <v>1.8757600000000001</v>
      </c>
      <c r="HO37">
        <v>1.8796600000000001</v>
      </c>
      <c r="HP37">
        <v>1.87317</v>
      </c>
      <c r="HQ37">
        <v>1.8763700000000001</v>
      </c>
      <c r="HR37">
        <v>1.8760699999999999</v>
      </c>
      <c r="HS37">
        <v>1.8775599999999999</v>
      </c>
      <c r="HT37">
        <v>0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-1.3939999999999999</v>
      </c>
      <c r="IH37">
        <v>4.3E-3</v>
      </c>
      <c r="II37">
        <v>-1.3803589207029829</v>
      </c>
      <c r="IJ37">
        <v>-1.5404112972462821E-3</v>
      </c>
      <c r="IK37">
        <v>-5.8697186733976997E-8</v>
      </c>
      <c r="IL37">
        <v>1.160237123038427E-10</v>
      </c>
      <c r="IM37">
        <v>-0.17699223161389649</v>
      </c>
      <c r="IN37">
        <v>-3.128848753924141E-3</v>
      </c>
      <c r="IO37">
        <v>3.6841110403368089E-4</v>
      </c>
      <c r="IP37">
        <v>1.9296040270694169E-6</v>
      </c>
      <c r="IQ37">
        <v>1</v>
      </c>
      <c r="IR37">
        <v>1992</v>
      </c>
      <c r="IS37">
        <v>2</v>
      </c>
      <c r="IT37">
        <v>27</v>
      </c>
      <c r="IU37">
        <v>0.8</v>
      </c>
      <c r="IV37">
        <v>0.7</v>
      </c>
      <c r="IW37">
        <v>0.18188499999999999</v>
      </c>
      <c r="IX37">
        <v>2.7185100000000002</v>
      </c>
      <c r="IY37">
        <v>1.69434</v>
      </c>
      <c r="IZ37">
        <v>2.34741</v>
      </c>
      <c r="JA37">
        <v>1.5466299999999999</v>
      </c>
      <c r="JB37">
        <v>2.4645999999999999</v>
      </c>
      <c r="JC37">
        <v>39.142800000000001</v>
      </c>
      <c r="JD37">
        <v>24.008700000000001</v>
      </c>
      <c r="JE37">
        <v>18</v>
      </c>
      <c r="JF37">
        <v>534.875</v>
      </c>
      <c r="JG37">
        <v>538.96900000000005</v>
      </c>
      <c r="JH37">
        <v>25.063300000000002</v>
      </c>
      <c r="JI37">
        <v>30.055399999999999</v>
      </c>
      <c r="JJ37">
        <v>30.000599999999999</v>
      </c>
      <c r="JK37">
        <v>30.039300000000001</v>
      </c>
      <c r="JL37">
        <v>30.0047</v>
      </c>
      <c r="JM37">
        <v>3.71475</v>
      </c>
      <c r="JN37">
        <v>29.389700000000001</v>
      </c>
      <c r="JO37">
        <v>31.403199999999998</v>
      </c>
      <c r="JP37">
        <v>25.063500000000001</v>
      </c>
      <c r="JQ37">
        <v>10</v>
      </c>
      <c r="JR37">
        <v>16.5318</v>
      </c>
      <c r="JS37">
        <v>99.583600000000004</v>
      </c>
      <c r="JT37">
        <v>98.850099999999998</v>
      </c>
    </row>
    <row r="38" spans="1:280" x14ac:dyDescent="0.25">
      <c r="A38">
        <v>22</v>
      </c>
      <c r="B38">
        <v>1639670569</v>
      </c>
      <c r="C38">
        <v>3966.900000095367</v>
      </c>
      <c r="D38" t="s">
        <v>527</v>
      </c>
      <c r="E38" t="s">
        <v>528</v>
      </c>
      <c r="F38" t="s">
        <v>412</v>
      </c>
      <c r="G38" t="s">
        <v>492</v>
      </c>
      <c r="H38" t="s">
        <v>493</v>
      </c>
      <c r="I38">
        <v>1639670569</v>
      </c>
      <c r="J38">
        <f t="shared" si="0"/>
        <v>6.7575784991723278E-3</v>
      </c>
      <c r="K38">
        <f t="shared" si="1"/>
        <v>6.757578499172328</v>
      </c>
      <c r="L38">
        <f t="shared" si="2"/>
        <v>43.138005894351089</v>
      </c>
      <c r="M38">
        <f t="shared" si="3"/>
        <v>345.47899999999998</v>
      </c>
      <c r="N38">
        <f t="shared" si="4"/>
        <v>213.02651320112759</v>
      </c>
      <c r="O38">
        <f t="shared" si="5"/>
        <v>21.251372429961034</v>
      </c>
      <c r="P38">
        <f t="shared" si="6"/>
        <v>34.464737677035998</v>
      </c>
      <c r="Q38">
        <f t="shared" si="7"/>
        <v>0.59627495133969988</v>
      </c>
      <c r="R38">
        <f t="shared" si="8"/>
        <v>2.9240006403478289</v>
      </c>
      <c r="S38">
        <f t="shared" si="9"/>
        <v>0.53604983596880251</v>
      </c>
      <c r="T38">
        <f t="shared" si="10"/>
        <v>0.33993380876691076</v>
      </c>
      <c r="U38">
        <f t="shared" si="11"/>
        <v>289.56327884756695</v>
      </c>
      <c r="V38">
        <f t="shared" si="12"/>
        <v>27.96093958925999</v>
      </c>
      <c r="W38">
        <f t="shared" si="13"/>
        <v>27.4849</v>
      </c>
      <c r="X38">
        <f t="shared" si="14"/>
        <v>3.6823678627001373</v>
      </c>
      <c r="Y38">
        <f t="shared" si="15"/>
        <v>64.876657154947893</v>
      </c>
      <c r="Z38">
        <f t="shared" si="16"/>
        <v>2.4635156146663997</v>
      </c>
      <c r="AA38">
        <f t="shared" si="17"/>
        <v>3.7972295779399863</v>
      </c>
      <c r="AB38">
        <f t="shared" si="18"/>
        <v>1.2188522480337376</v>
      </c>
      <c r="AC38">
        <f t="shared" si="19"/>
        <v>-298.00921181349963</v>
      </c>
      <c r="AD38">
        <f t="shared" si="20"/>
        <v>82.902204174547066</v>
      </c>
      <c r="AE38">
        <f t="shared" si="21"/>
        <v>6.1646403975067452</v>
      </c>
      <c r="AF38">
        <f t="shared" si="22"/>
        <v>80.620911606121112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52532.548762362603</v>
      </c>
      <c r="AL38" t="s">
        <v>415</v>
      </c>
      <c r="AM38">
        <v>10204.299999999999</v>
      </c>
      <c r="AN38">
        <v>862.72538461538477</v>
      </c>
      <c r="AO38">
        <v>3252.56</v>
      </c>
      <c r="AP38">
        <f t="shared" si="26"/>
        <v>0.73475496697512588</v>
      </c>
      <c r="AQ38">
        <v>-6.6684750346205304</v>
      </c>
      <c r="AR38" t="s">
        <v>529</v>
      </c>
      <c r="AS38">
        <v>10023</v>
      </c>
      <c r="AT38">
        <v>749.57546153846147</v>
      </c>
      <c r="AU38">
        <v>1038.8708058056959</v>
      </c>
      <c r="AV38">
        <f t="shared" si="27"/>
        <v>0.27847095389582299</v>
      </c>
      <c r="AW38">
        <v>0.5</v>
      </c>
      <c r="AX38">
        <f t="shared" si="28"/>
        <v>1513.1678999210192</v>
      </c>
      <c r="AY38">
        <f t="shared" si="29"/>
        <v>43.138005894351089</v>
      </c>
      <c r="AZ38">
        <f t="shared" si="30"/>
        <v>210.68665424777271</v>
      </c>
      <c r="BA38">
        <f t="shared" si="31"/>
        <v>3.2915369756106573E-2</v>
      </c>
      <c r="BB38">
        <f t="shared" si="32"/>
        <v>2.1308609134294403</v>
      </c>
      <c r="BC38">
        <f t="shared" si="33"/>
        <v>551.19169048359845</v>
      </c>
      <c r="BD38" t="s">
        <v>530</v>
      </c>
      <c r="BE38">
        <v>565.05999999999995</v>
      </c>
      <c r="BF38">
        <f t="shared" si="34"/>
        <v>565.05999999999995</v>
      </c>
      <c r="BG38">
        <f t="shared" si="35"/>
        <v>0.4560825110859017</v>
      </c>
      <c r="BH38">
        <f t="shared" si="36"/>
        <v>0.61057143636751698</v>
      </c>
      <c r="BI38">
        <f t="shared" si="37"/>
        <v>0.82369830481648521</v>
      </c>
      <c r="BJ38">
        <f t="shared" si="38"/>
        <v>1.6423665305195405</v>
      </c>
      <c r="BK38">
        <f t="shared" si="39"/>
        <v>0.92629388659099221</v>
      </c>
      <c r="BL38">
        <f t="shared" si="40"/>
        <v>0.46027319934635608</v>
      </c>
      <c r="BM38">
        <f t="shared" si="41"/>
        <v>0.53972680065364398</v>
      </c>
      <c r="BN38">
        <v>4914</v>
      </c>
      <c r="BO38">
        <v>290.00000000000011</v>
      </c>
      <c r="BP38">
        <v>966.81</v>
      </c>
      <c r="BQ38">
        <v>265</v>
      </c>
      <c r="BR38">
        <v>10023</v>
      </c>
      <c r="BS38">
        <v>967.29</v>
      </c>
      <c r="BT38">
        <v>-0.48</v>
      </c>
      <c r="BU38">
        <v>300.00000000000011</v>
      </c>
      <c r="BV38">
        <v>24.1</v>
      </c>
      <c r="BW38">
        <v>1038.8708058056959</v>
      </c>
      <c r="BX38">
        <v>2.0326450507462979</v>
      </c>
      <c r="BY38">
        <v>-71.741339716875643</v>
      </c>
      <c r="BZ38">
        <v>1.8153275339547199</v>
      </c>
      <c r="CA38">
        <v>0.9823878634301737</v>
      </c>
      <c r="CB38">
        <v>-6.8312865406006604E-3</v>
      </c>
      <c r="CC38">
        <v>289.99999999999989</v>
      </c>
      <c r="CD38">
        <v>965.73</v>
      </c>
      <c r="CE38">
        <v>685</v>
      </c>
      <c r="CF38">
        <v>10010.4</v>
      </c>
      <c r="CG38">
        <v>967.2</v>
      </c>
      <c r="CH38">
        <v>-1.47</v>
      </c>
      <c r="CV38">
        <f t="shared" si="42"/>
        <v>1799.98</v>
      </c>
      <c r="CW38">
        <f t="shared" si="43"/>
        <v>1513.1678999210192</v>
      </c>
      <c r="CX38">
        <f t="shared" si="44"/>
        <v>0.8406581739358322</v>
      </c>
      <c r="CY38">
        <f t="shared" si="45"/>
        <v>0.16087027569615603</v>
      </c>
      <c r="CZ38">
        <v>6</v>
      </c>
      <c r="DA38">
        <v>0.5</v>
      </c>
      <c r="DB38" t="s">
        <v>418</v>
      </c>
      <c r="DC38">
        <v>2</v>
      </c>
      <c r="DD38">
        <v>1639670569</v>
      </c>
      <c r="DE38">
        <v>345.47899999999998</v>
      </c>
      <c r="DF38">
        <v>400.041</v>
      </c>
      <c r="DG38">
        <v>24.694600000000001</v>
      </c>
      <c r="DH38">
        <v>16.7865</v>
      </c>
      <c r="DI38">
        <v>347.4</v>
      </c>
      <c r="DJ38">
        <v>24.692499999999999</v>
      </c>
      <c r="DK38">
        <v>500.04700000000003</v>
      </c>
      <c r="DL38">
        <v>99.659099999999995</v>
      </c>
      <c r="DM38">
        <v>0.100184</v>
      </c>
      <c r="DN38">
        <v>28.0108</v>
      </c>
      <c r="DO38">
        <v>27.4849</v>
      </c>
      <c r="DP38">
        <v>999.9</v>
      </c>
      <c r="DQ38">
        <v>0</v>
      </c>
      <c r="DR38">
        <v>0</v>
      </c>
      <c r="DS38">
        <v>10002.5</v>
      </c>
      <c r="DT38">
        <v>0</v>
      </c>
      <c r="DU38">
        <v>404.09100000000001</v>
      </c>
      <c r="DV38">
        <v>-54.561500000000002</v>
      </c>
      <c r="DW38">
        <v>354.22699999999998</v>
      </c>
      <c r="DX38">
        <v>406.87</v>
      </c>
      <c r="DY38">
        <v>7.9081200000000003</v>
      </c>
      <c r="DZ38">
        <v>400.041</v>
      </c>
      <c r="EA38">
        <v>16.7865</v>
      </c>
      <c r="EB38">
        <v>2.4610400000000001</v>
      </c>
      <c r="EC38">
        <v>1.67293</v>
      </c>
      <c r="ED38">
        <v>20.771100000000001</v>
      </c>
      <c r="EE38">
        <v>14.647500000000001</v>
      </c>
      <c r="EF38">
        <v>1799.98</v>
      </c>
      <c r="EG38">
        <v>0.97800200000000004</v>
      </c>
      <c r="EH38">
        <v>2.19981E-2</v>
      </c>
      <c r="EI38">
        <v>0</v>
      </c>
      <c r="EJ38">
        <v>749.17200000000003</v>
      </c>
      <c r="EK38">
        <v>5.0001199999999999</v>
      </c>
      <c r="EL38">
        <v>13518.3</v>
      </c>
      <c r="EM38">
        <v>15629.8</v>
      </c>
      <c r="EN38">
        <v>49.75</v>
      </c>
      <c r="EO38">
        <v>50.061999999999998</v>
      </c>
      <c r="EP38">
        <v>50.436999999999998</v>
      </c>
      <c r="EQ38">
        <v>50</v>
      </c>
      <c r="ER38">
        <v>51.061999999999998</v>
      </c>
      <c r="ES38">
        <v>1755.49</v>
      </c>
      <c r="ET38">
        <v>39.49</v>
      </c>
      <c r="EU38">
        <v>0</v>
      </c>
      <c r="EV38">
        <v>187.39999985694891</v>
      </c>
      <c r="EW38">
        <v>0</v>
      </c>
      <c r="EX38">
        <v>749.57546153846147</v>
      </c>
      <c r="EY38">
        <v>-4.2522393083970691</v>
      </c>
      <c r="EZ38">
        <v>-86.796581267978624</v>
      </c>
      <c r="FA38">
        <v>13528.26923076923</v>
      </c>
      <c r="FB38">
        <v>15</v>
      </c>
      <c r="FC38">
        <v>1639670461.5</v>
      </c>
      <c r="FD38" t="s">
        <v>531</v>
      </c>
      <c r="FE38">
        <v>1639670451</v>
      </c>
      <c r="FF38">
        <v>1639670461.5</v>
      </c>
      <c r="FG38">
        <v>24</v>
      </c>
      <c r="FH38">
        <v>-4.0000000000000001E-3</v>
      </c>
      <c r="FI38">
        <v>3.0000000000000001E-3</v>
      </c>
      <c r="FJ38">
        <v>-2.0049999999999999</v>
      </c>
      <c r="FK38">
        <v>-0.11700000000000001</v>
      </c>
      <c r="FL38">
        <v>400</v>
      </c>
      <c r="FM38">
        <v>16</v>
      </c>
      <c r="FN38">
        <v>0.06</v>
      </c>
      <c r="FO38">
        <v>0.01</v>
      </c>
      <c r="FP38">
        <v>42.108887846697812</v>
      </c>
      <c r="FQ38">
        <v>5.6929876656354379</v>
      </c>
      <c r="FR38">
        <v>0.54866087754858228</v>
      </c>
      <c r="FS38">
        <v>0</v>
      </c>
      <c r="FT38">
        <v>0.6007749978551149</v>
      </c>
      <c r="FU38">
        <v>-2.510879006568574E-2</v>
      </c>
      <c r="FV38">
        <v>2.526317911963059E-3</v>
      </c>
      <c r="FW38">
        <v>1</v>
      </c>
      <c r="FX38">
        <v>1</v>
      </c>
      <c r="FY38">
        <v>2</v>
      </c>
      <c r="FZ38" t="s">
        <v>459</v>
      </c>
      <c r="GA38">
        <v>2.9228900000000002</v>
      </c>
      <c r="GB38">
        <v>2.74519</v>
      </c>
      <c r="GC38">
        <v>8.2549499999999998E-2</v>
      </c>
      <c r="GD38">
        <v>9.3650700000000003E-2</v>
      </c>
      <c r="GE38">
        <v>0.119634</v>
      </c>
      <c r="GF38">
        <v>9.2289200000000002E-2</v>
      </c>
      <c r="GG38">
        <v>28614.6</v>
      </c>
      <c r="GH38">
        <v>27955.5</v>
      </c>
      <c r="GI38">
        <v>28390.3</v>
      </c>
      <c r="GJ38">
        <v>28201</v>
      </c>
      <c r="GK38">
        <v>34295.9</v>
      </c>
      <c r="GL38">
        <v>35936.699999999997</v>
      </c>
      <c r="GM38">
        <v>42716.6</v>
      </c>
      <c r="GN38">
        <v>43864.4</v>
      </c>
      <c r="GO38">
        <v>1.81273</v>
      </c>
      <c r="GP38">
        <v>1.9955700000000001</v>
      </c>
      <c r="GQ38">
        <v>3.4809100000000003E-2</v>
      </c>
      <c r="GR38">
        <v>0</v>
      </c>
      <c r="GS38">
        <v>26.915900000000001</v>
      </c>
      <c r="GT38">
        <v>999.9</v>
      </c>
      <c r="GU38">
        <v>39.700000000000003</v>
      </c>
      <c r="GV38">
        <v>34.5</v>
      </c>
      <c r="GW38">
        <v>21.885000000000002</v>
      </c>
      <c r="GX38">
        <v>61.485700000000001</v>
      </c>
      <c r="GY38">
        <v>30.556899999999999</v>
      </c>
      <c r="GZ38">
        <v>1</v>
      </c>
      <c r="HA38">
        <v>0.24723300000000001</v>
      </c>
      <c r="HB38">
        <v>2.20065</v>
      </c>
      <c r="HC38">
        <v>20.263400000000001</v>
      </c>
      <c r="HD38">
        <v>5.2712000000000003</v>
      </c>
      <c r="HE38">
        <v>12.0878</v>
      </c>
      <c r="HF38">
        <v>5.0138999999999996</v>
      </c>
      <c r="HG38">
        <v>3.29175</v>
      </c>
      <c r="HH38">
        <v>9999</v>
      </c>
      <c r="HI38">
        <v>9999</v>
      </c>
      <c r="HJ38">
        <v>9999</v>
      </c>
      <c r="HK38">
        <v>999.9</v>
      </c>
      <c r="HL38">
        <v>1.8754599999999999</v>
      </c>
      <c r="HM38">
        <v>1.8759300000000001</v>
      </c>
      <c r="HN38">
        <v>1.87575</v>
      </c>
      <c r="HO38">
        <v>1.8795999999999999</v>
      </c>
      <c r="HP38">
        <v>1.87313</v>
      </c>
      <c r="HQ38">
        <v>1.8763399999999999</v>
      </c>
      <c r="HR38">
        <v>1.8760699999999999</v>
      </c>
      <c r="HS38">
        <v>1.87751</v>
      </c>
      <c r="HT38">
        <v>0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-1.921</v>
      </c>
      <c r="IH38">
        <v>2.0999999999999999E-3</v>
      </c>
      <c r="II38">
        <v>-1.383829019240987</v>
      </c>
      <c r="IJ38">
        <v>-1.5404112972462821E-3</v>
      </c>
      <c r="IK38">
        <v>-5.8697186733976997E-8</v>
      </c>
      <c r="IL38">
        <v>1.160237123038427E-10</v>
      </c>
      <c r="IM38">
        <v>-0.17428561106367041</v>
      </c>
      <c r="IN38">
        <v>-3.128848753924141E-3</v>
      </c>
      <c r="IO38">
        <v>3.6841110403368089E-4</v>
      </c>
      <c r="IP38">
        <v>1.9296040270694169E-6</v>
      </c>
      <c r="IQ38">
        <v>1</v>
      </c>
      <c r="IR38">
        <v>1992</v>
      </c>
      <c r="IS38">
        <v>2</v>
      </c>
      <c r="IT38">
        <v>27</v>
      </c>
      <c r="IU38">
        <v>2</v>
      </c>
      <c r="IV38">
        <v>1.8</v>
      </c>
      <c r="IW38">
        <v>1.0412600000000001</v>
      </c>
      <c r="IX38">
        <v>2.67456</v>
      </c>
      <c r="IY38">
        <v>1.69434</v>
      </c>
      <c r="IZ38">
        <v>2.34741</v>
      </c>
      <c r="JA38">
        <v>1.5466299999999999</v>
      </c>
      <c r="JB38">
        <v>2.4548299999999998</v>
      </c>
      <c r="JC38">
        <v>39.192399999999999</v>
      </c>
      <c r="JD38">
        <v>24.035</v>
      </c>
      <c r="JE38">
        <v>18</v>
      </c>
      <c r="JF38">
        <v>533.81299999999999</v>
      </c>
      <c r="JG38">
        <v>538.56700000000001</v>
      </c>
      <c r="JH38">
        <v>25.063700000000001</v>
      </c>
      <c r="JI38">
        <v>30.299600000000002</v>
      </c>
      <c r="JJ38">
        <v>30.000800000000002</v>
      </c>
      <c r="JK38">
        <v>30.209199999999999</v>
      </c>
      <c r="JL38">
        <v>30.1646</v>
      </c>
      <c r="JM38">
        <v>20.931799999999999</v>
      </c>
      <c r="JN38">
        <v>25.340399999999999</v>
      </c>
      <c r="JO38">
        <v>29.4453</v>
      </c>
      <c r="JP38">
        <v>25.0578</v>
      </c>
      <c r="JQ38">
        <v>400</v>
      </c>
      <c r="JR38">
        <v>16.852399999999999</v>
      </c>
      <c r="JS38">
        <v>99.537599999999998</v>
      </c>
      <c r="JT38">
        <v>98.805199999999999</v>
      </c>
    </row>
    <row r="39" spans="1:280" x14ac:dyDescent="0.25">
      <c r="A39">
        <v>23</v>
      </c>
      <c r="B39">
        <v>1639670741.5</v>
      </c>
      <c r="C39">
        <v>4139.4000000953674</v>
      </c>
      <c r="D39" t="s">
        <v>532</v>
      </c>
      <c r="E39" t="s">
        <v>533</v>
      </c>
      <c r="F39" t="s">
        <v>412</v>
      </c>
      <c r="G39" t="s">
        <v>492</v>
      </c>
      <c r="H39" t="s">
        <v>493</v>
      </c>
      <c r="I39">
        <v>1639670741.5</v>
      </c>
      <c r="J39">
        <f t="shared" si="0"/>
        <v>6.4675826455199651E-3</v>
      </c>
      <c r="K39">
        <f t="shared" si="1"/>
        <v>6.4675826455199648</v>
      </c>
      <c r="L39">
        <f t="shared" si="2"/>
        <v>49.792732891647901</v>
      </c>
      <c r="M39">
        <f t="shared" si="3"/>
        <v>337.637</v>
      </c>
      <c r="N39">
        <f t="shared" si="4"/>
        <v>179.14720371506499</v>
      </c>
      <c r="O39">
        <f t="shared" si="5"/>
        <v>17.87453084611947</v>
      </c>
      <c r="P39">
        <f t="shared" si="6"/>
        <v>33.687955190693998</v>
      </c>
      <c r="Q39">
        <f t="shared" si="7"/>
        <v>0.56728109378578173</v>
      </c>
      <c r="R39">
        <f t="shared" si="8"/>
        <v>2.9166104299765232</v>
      </c>
      <c r="S39">
        <f t="shared" si="9"/>
        <v>0.51235839260869409</v>
      </c>
      <c r="T39">
        <f t="shared" si="10"/>
        <v>0.3247143120358274</v>
      </c>
      <c r="U39">
        <f t="shared" si="11"/>
        <v>289.56269984760553</v>
      </c>
      <c r="V39">
        <f t="shared" si="12"/>
        <v>28.019795453436497</v>
      </c>
      <c r="W39">
        <f t="shared" si="13"/>
        <v>27.497299999999999</v>
      </c>
      <c r="X39">
        <f t="shared" si="14"/>
        <v>3.6850408343931691</v>
      </c>
      <c r="Y39">
        <f t="shared" si="15"/>
        <v>64.962344788277221</v>
      </c>
      <c r="Z39">
        <f t="shared" si="16"/>
        <v>2.4643690533041998</v>
      </c>
      <c r="AA39">
        <f t="shared" si="17"/>
        <v>3.7935346412386695</v>
      </c>
      <c r="AB39">
        <f t="shared" si="18"/>
        <v>1.2206717810889693</v>
      </c>
      <c r="AC39">
        <f t="shared" si="19"/>
        <v>-285.22039466743047</v>
      </c>
      <c r="AD39">
        <f t="shared" si="20"/>
        <v>78.116981785644356</v>
      </c>
      <c r="AE39">
        <f t="shared" si="21"/>
        <v>5.8234025785165766</v>
      </c>
      <c r="AF39">
        <f t="shared" si="22"/>
        <v>88.282689544335966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52323.499680771471</v>
      </c>
      <c r="AL39" t="s">
        <v>415</v>
      </c>
      <c r="AM39">
        <v>10204.299999999999</v>
      </c>
      <c r="AN39">
        <v>862.72538461538477</v>
      </c>
      <c r="AO39">
        <v>3252.56</v>
      </c>
      <c r="AP39">
        <f t="shared" si="26"/>
        <v>0.73475496697512588</v>
      </c>
      <c r="AQ39">
        <v>-6.6684750346205304</v>
      </c>
      <c r="AR39" t="s">
        <v>534</v>
      </c>
      <c r="AS39">
        <v>10029.9</v>
      </c>
      <c r="AT39">
        <v>754.28708000000017</v>
      </c>
      <c r="AU39">
        <v>1108.268830207041</v>
      </c>
      <c r="AV39">
        <f t="shared" si="27"/>
        <v>0.31940061883804116</v>
      </c>
      <c r="AW39">
        <v>0.5</v>
      </c>
      <c r="AX39">
        <f t="shared" si="28"/>
        <v>1513.167599921039</v>
      </c>
      <c r="AY39">
        <f t="shared" si="29"/>
        <v>49.792732891647901</v>
      </c>
      <c r="AZ39">
        <f t="shared" si="30"/>
        <v>241.65333391022668</v>
      </c>
      <c r="BA39">
        <f t="shared" si="31"/>
        <v>3.7313254611858408E-2</v>
      </c>
      <c r="BB39">
        <f t="shared" si="32"/>
        <v>1.9348114025659042</v>
      </c>
      <c r="BC39">
        <f t="shared" si="33"/>
        <v>570.13341894155542</v>
      </c>
      <c r="BD39" t="s">
        <v>535</v>
      </c>
      <c r="BE39">
        <v>574.66999999999996</v>
      </c>
      <c r="BF39">
        <f t="shared" si="34"/>
        <v>574.66999999999996</v>
      </c>
      <c r="BG39">
        <f t="shared" si="35"/>
        <v>0.48147057434373286</v>
      </c>
      <c r="BH39">
        <f t="shared" si="36"/>
        <v>0.66338554391075555</v>
      </c>
      <c r="BI39">
        <f t="shared" si="37"/>
        <v>0.800739078077501</v>
      </c>
      <c r="BJ39">
        <f t="shared" si="38"/>
        <v>1.4416257349248072</v>
      </c>
      <c r="BK39">
        <f t="shared" si="39"/>
        <v>0.89725504685095592</v>
      </c>
      <c r="BL39">
        <f t="shared" si="40"/>
        <v>0.50541468974809145</v>
      </c>
      <c r="BM39">
        <f t="shared" si="41"/>
        <v>0.49458531025190855</v>
      </c>
      <c r="BN39">
        <v>4916</v>
      </c>
      <c r="BO39">
        <v>290.00000000000011</v>
      </c>
      <c r="BP39">
        <v>1009.47</v>
      </c>
      <c r="BQ39">
        <v>165</v>
      </c>
      <c r="BR39">
        <v>10029.9</v>
      </c>
      <c r="BS39">
        <v>1007</v>
      </c>
      <c r="BT39">
        <v>2.4700000000000002</v>
      </c>
      <c r="BU39">
        <v>300.00000000000011</v>
      </c>
      <c r="BV39">
        <v>24.1</v>
      </c>
      <c r="BW39">
        <v>1108.268830207041</v>
      </c>
      <c r="BX39">
        <v>1.9584049812805551</v>
      </c>
      <c r="BY39">
        <v>-101.5728255982546</v>
      </c>
      <c r="BZ39">
        <v>1.7487680199156539</v>
      </c>
      <c r="CA39">
        <v>0.99176852450420816</v>
      </c>
      <c r="CB39">
        <v>-6.8306938820912131E-3</v>
      </c>
      <c r="CC39">
        <v>289.99999999999989</v>
      </c>
      <c r="CD39">
        <v>1002.62</v>
      </c>
      <c r="CE39">
        <v>645</v>
      </c>
      <c r="CF39">
        <v>10010.700000000001</v>
      </c>
      <c r="CG39">
        <v>1006.8</v>
      </c>
      <c r="CH39">
        <v>-4.18</v>
      </c>
      <c r="CV39">
        <f t="shared" si="42"/>
        <v>1799.98</v>
      </c>
      <c r="CW39">
        <f t="shared" si="43"/>
        <v>1513.167599921039</v>
      </c>
      <c r="CX39">
        <f t="shared" si="44"/>
        <v>0.84065800726732465</v>
      </c>
      <c r="CY39">
        <f t="shared" si="45"/>
        <v>0.16086995402593668</v>
      </c>
      <c r="CZ39">
        <v>6</v>
      </c>
      <c r="DA39">
        <v>0.5</v>
      </c>
      <c r="DB39" t="s">
        <v>418</v>
      </c>
      <c r="DC39">
        <v>2</v>
      </c>
      <c r="DD39">
        <v>1639670741.5</v>
      </c>
      <c r="DE39">
        <v>337.637</v>
      </c>
      <c r="DF39">
        <v>399.99299999999999</v>
      </c>
      <c r="DG39">
        <v>24.699100000000001</v>
      </c>
      <c r="DH39">
        <v>17.131599999999999</v>
      </c>
      <c r="DI39">
        <v>339.69400000000002</v>
      </c>
      <c r="DJ39">
        <v>24.6935</v>
      </c>
      <c r="DK39">
        <v>500.12599999999998</v>
      </c>
      <c r="DL39">
        <v>99.675399999999996</v>
      </c>
      <c r="DM39">
        <v>0.100262</v>
      </c>
      <c r="DN39">
        <v>27.9941</v>
      </c>
      <c r="DO39">
        <v>27.497299999999999</v>
      </c>
      <c r="DP39">
        <v>999.9</v>
      </c>
      <c r="DQ39">
        <v>0</v>
      </c>
      <c r="DR39">
        <v>0</v>
      </c>
      <c r="DS39">
        <v>9958.75</v>
      </c>
      <c r="DT39">
        <v>0</v>
      </c>
      <c r="DU39">
        <v>402.81599999999997</v>
      </c>
      <c r="DV39">
        <v>-62.356099999999998</v>
      </c>
      <c r="DW39">
        <v>346.18700000000001</v>
      </c>
      <c r="DX39">
        <v>406.96499999999997</v>
      </c>
      <c r="DY39">
        <v>7.5674599999999996</v>
      </c>
      <c r="DZ39">
        <v>399.99299999999999</v>
      </c>
      <c r="EA39">
        <v>17.131599999999999</v>
      </c>
      <c r="EB39">
        <v>2.4618899999999999</v>
      </c>
      <c r="EC39">
        <v>1.7076</v>
      </c>
      <c r="ED39">
        <v>20.776700000000002</v>
      </c>
      <c r="EE39">
        <v>14.9657</v>
      </c>
      <c r="EF39">
        <v>1799.98</v>
      </c>
      <c r="EG39">
        <v>0.97800500000000001</v>
      </c>
      <c r="EH39">
        <v>2.1994699999999999E-2</v>
      </c>
      <c r="EI39">
        <v>0</v>
      </c>
      <c r="EJ39">
        <v>754.66399999999999</v>
      </c>
      <c r="EK39">
        <v>5.0001199999999999</v>
      </c>
      <c r="EL39">
        <v>13649.6</v>
      </c>
      <c r="EM39">
        <v>15629.8</v>
      </c>
      <c r="EN39">
        <v>50</v>
      </c>
      <c r="EO39">
        <v>50.311999999999998</v>
      </c>
      <c r="EP39">
        <v>50.625</v>
      </c>
      <c r="EQ39">
        <v>50.436999999999998</v>
      </c>
      <c r="ER39">
        <v>51.375</v>
      </c>
      <c r="ES39">
        <v>1755.5</v>
      </c>
      <c r="ET39">
        <v>39.479999999999997</v>
      </c>
      <c r="EU39">
        <v>0</v>
      </c>
      <c r="EV39">
        <v>170.5999999046326</v>
      </c>
      <c r="EW39">
        <v>0</v>
      </c>
      <c r="EX39">
        <v>754.28708000000017</v>
      </c>
      <c r="EY39">
        <v>3.445230785188373</v>
      </c>
      <c r="EZ39">
        <v>71.269230864837311</v>
      </c>
      <c r="FA39">
        <v>13640.86</v>
      </c>
      <c r="FB39">
        <v>15</v>
      </c>
      <c r="FC39">
        <v>1639670645.5</v>
      </c>
      <c r="FD39" t="s">
        <v>536</v>
      </c>
      <c r="FE39">
        <v>1639670634.5</v>
      </c>
      <c r="FF39">
        <v>1639670645.5</v>
      </c>
      <c r="FG39">
        <v>25</v>
      </c>
      <c r="FH39">
        <v>-0.14699999999999999</v>
      </c>
      <c r="FI39">
        <v>3.0000000000000001E-3</v>
      </c>
      <c r="FJ39">
        <v>-2.153</v>
      </c>
      <c r="FK39">
        <v>-0.108</v>
      </c>
      <c r="FL39">
        <v>400</v>
      </c>
      <c r="FM39">
        <v>17</v>
      </c>
      <c r="FN39">
        <v>0.04</v>
      </c>
      <c r="FO39">
        <v>0.01</v>
      </c>
      <c r="FP39">
        <v>49.693953497043978</v>
      </c>
      <c r="FQ39">
        <v>0.69511488956858902</v>
      </c>
      <c r="FR39">
        <v>6.8440004302692287E-2</v>
      </c>
      <c r="FS39">
        <v>1</v>
      </c>
      <c r="FT39">
        <v>0.56985856245108768</v>
      </c>
      <c r="FU39">
        <v>-1.1913520850899089E-2</v>
      </c>
      <c r="FV39">
        <v>1.1929294648633951E-3</v>
      </c>
      <c r="FW39">
        <v>1</v>
      </c>
      <c r="FX39">
        <v>2</v>
      </c>
      <c r="FY39">
        <v>2</v>
      </c>
      <c r="FZ39" t="s">
        <v>420</v>
      </c>
      <c r="GA39">
        <v>2.9226000000000001</v>
      </c>
      <c r="GB39">
        <v>2.7448800000000002</v>
      </c>
      <c r="GC39">
        <v>8.1061999999999995E-2</v>
      </c>
      <c r="GD39">
        <v>9.3613799999999997E-2</v>
      </c>
      <c r="GE39">
        <v>0.1196</v>
      </c>
      <c r="GF39">
        <v>9.3623999999999999E-2</v>
      </c>
      <c r="GG39">
        <v>28649.8</v>
      </c>
      <c r="GH39">
        <v>27942.2</v>
      </c>
      <c r="GI39">
        <v>28380.2</v>
      </c>
      <c r="GJ39">
        <v>28187.3</v>
      </c>
      <c r="GK39">
        <v>34285.5</v>
      </c>
      <c r="GL39">
        <v>35868.800000000003</v>
      </c>
      <c r="GM39">
        <v>42701.5</v>
      </c>
      <c r="GN39">
        <v>43845.4</v>
      </c>
      <c r="GO39">
        <v>1.80952</v>
      </c>
      <c r="GP39">
        <v>1.99227</v>
      </c>
      <c r="GQ39">
        <v>3.4496199999999998E-2</v>
      </c>
      <c r="GR39">
        <v>0</v>
      </c>
      <c r="GS39">
        <v>26.933299999999999</v>
      </c>
      <c r="GT39">
        <v>999.9</v>
      </c>
      <c r="GU39">
        <v>39.299999999999997</v>
      </c>
      <c r="GV39">
        <v>34.6</v>
      </c>
      <c r="GW39">
        <v>21.781700000000001</v>
      </c>
      <c r="GX39">
        <v>61.445700000000002</v>
      </c>
      <c r="GY39">
        <v>29.9038</v>
      </c>
      <c r="GZ39">
        <v>1</v>
      </c>
      <c r="HA39">
        <v>0.26744200000000001</v>
      </c>
      <c r="HB39">
        <v>2.16621</v>
      </c>
      <c r="HC39">
        <v>20.262899999999998</v>
      </c>
      <c r="HD39">
        <v>5.2753899999999998</v>
      </c>
      <c r="HE39">
        <v>12.0878</v>
      </c>
      <c r="HF39">
        <v>5.0140500000000001</v>
      </c>
      <c r="HG39">
        <v>3.2919</v>
      </c>
      <c r="HH39">
        <v>9999</v>
      </c>
      <c r="HI39">
        <v>9999</v>
      </c>
      <c r="HJ39">
        <v>9999</v>
      </c>
      <c r="HK39">
        <v>999.9</v>
      </c>
      <c r="HL39">
        <v>1.8754599999999999</v>
      </c>
      <c r="HM39">
        <v>1.87592</v>
      </c>
      <c r="HN39">
        <v>1.8756900000000001</v>
      </c>
      <c r="HO39">
        <v>1.8795999999999999</v>
      </c>
      <c r="HP39">
        <v>1.87313</v>
      </c>
      <c r="HQ39">
        <v>1.87626</v>
      </c>
      <c r="HR39">
        <v>1.8760699999999999</v>
      </c>
      <c r="HS39">
        <v>1.87748</v>
      </c>
      <c r="HT39">
        <v>0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-2.0569999999999999</v>
      </c>
      <c r="IH39">
        <v>5.5999999999999999E-3</v>
      </c>
      <c r="II39">
        <v>-1.531347694474354</v>
      </c>
      <c r="IJ39">
        <v>-1.5404112972462821E-3</v>
      </c>
      <c r="IK39">
        <v>-5.8697186733976997E-8</v>
      </c>
      <c r="IL39">
        <v>1.160237123038427E-10</v>
      </c>
      <c r="IM39">
        <v>-0.17080895975845869</v>
      </c>
      <c r="IN39">
        <v>-3.128848753924141E-3</v>
      </c>
      <c r="IO39">
        <v>3.6841110403368089E-4</v>
      </c>
      <c r="IP39">
        <v>1.9296040270694169E-6</v>
      </c>
      <c r="IQ39">
        <v>1</v>
      </c>
      <c r="IR39">
        <v>1992</v>
      </c>
      <c r="IS39">
        <v>2</v>
      </c>
      <c r="IT39">
        <v>27</v>
      </c>
      <c r="IU39">
        <v>1.8</v>
      </c>
      <c r="IV39">
        <v>1.6</v>
      </c>
      <c r="IW39">
        <v>1.0424800000000001</v>
      </c>
      <c r="IX39">
        <v>2.67578</v>
      </c>
      <c r="IY39">
        <v>1.69434</v>
      </c>
      <c r="IZ39">
        <v>2.34741</v>
      </c>
      <c r="JA39">
        <v>1.5466299999999999</v>
      </c>
      <c r="JB39">
        <v>2.4548299999999998</v>
      </c>
      <c r="JC39">
        <v>39.217300000000002</v>
      </c>
      <c r="JD39">
        <v>24.035</v>
      </c>
      <c r="JE39">
        <v>18</v>
      </c>
      <c r="JF39">
        <v>533.23299999999995</v>
      </c>
      <c r="JG39">
        <v>537.96500000000003</v>
      </c>
      <c r="JH39">
        <v>25.059899999999999</v>
      </c>
      <c r="JI39">
        <v>30.535699999999999</v>
      </c>
      <c r="JJ39">
        <v>30.000499999999999</v>
      </c>
      <c r="JK39">
        <v>30.4147</v>
      </c>
      <c r="JL39">
        <v>30.3611</v>
      </c>
      <c r="JM39">
        <v>20.939800000000002</v>
      </c>
      <c r="JN39">
        <v>23.224399999999999</v>
      </c>
      <c r="JO39">
        <v>28.7319</v>
      </c>
      <c r="JP39">
        <v>25.0608</v>
      </c>
      <c r="JQ39">
        <v>400</v>
      </c>
      <c r="JR39">
        <v>17.171600000000002</v>
      </c>
      <c r="JS39">
        <v>99.502399999999994</v>
      </c>
      <c r="JT39">
        <v>98.760499999999993</v>
      </c>
    </row>
    <row r="40" spans="1:280" x14ac:dyDescent="0.25">
      <c r="A40">
        <v>24</v>
      </c>
      <c r="B40">
        <v>1639670866.5</v>
      </c>
      <c r="C40">
        <v>4264.4000000953674</v>
      </c>
      <c r="D40" t="s">
        <v>537</v>
      </c>
      <c r="E40" t="s">
        <v>538</v>
      </c>
      <c r="F40" t="s">
        <v>412</v>
      </c>
      <c r="G40" t="s">
        <v>492</v>
      </c>
      <c r="H40" t="s">
        <v>493</v>
      </c>
      <c r="I40">
        <v>1639670866.5</v>
      </c>
      <c r="J40">
        <f t="shared" si="0"/>
        <v>6.3602081953778623E-3</v>
      </c>
      <c r="K40">
        <f t="shared" si="1"/>
        <v>6.3602081953778624</v>
      </c>
      <c r="L40">
        <f t="shared" si="2"/>
        <v>51.515473003949758</v>
      </c>
      <c r="M40">
        <f t="shared" si="3"/>
        <v>434.86099999999999</v>
      </c>
      <c r="N40">
        <f t="shared" si="4"/>
        <v>269.20766641399331</v>
      </c>
      <c r="O40">
        <f t="shared" si="5"/>
        <v>26.86121682875789</v>
      </c>
      <c r="P40">
        <f t="shared" si="6"/>
        <v>43.389907007356001</v>
      </c>
      <c r="Q40">
        <f t="shared" si="7"/>
        <v>0.56670478746821284</v>
      </c>
      <c r="R40">
        <f t="shared" si="8"/>
        <v>2.9260968036268791</v>
      </c>
      <c r="S40">
        <f t="shared" si="9"/>
        <v>0.51204725427935649</v>
      </c>
      <c r="T40">
        <f t="shared" si="10"/>
        <v>0.32449986662754432</v>
      </c>
      <c r="U40">
        <f t="shared" si="11"/>
        <v>289.57546784761229</v>
      </c>
      <c r="V40">
        <f t="shared" si="12"/>
        <v>28.040729439978186</v>
      </c>
      <c r="W40">
        <f t="shared" si="13"/>
        <v>27.498100000000001</v>
      </c>
      <c r="X40">
        <f t="shared" si="14"/>
        <v>3.6852133423095648</v>
      </c>
      <c r="Y40">
        <f t="shared" si="15"/>
        <v>65.510849122416403</v>
      </c>
      <c r="Z40">
        <f t="shared" si="16"/>
        <v>2.4841627503731996</v>
      </c>
      <c r="AA40">
        <f t="shared" si="17"/>
        <v>3.791986798600619</v>
      </c>
      <c r="AB40">
        <f t="shared" si="18"/>
        <v>1.2010505919363652</v>
      </c>
      <c r="AC40">
        <f t="shared" si="19"/>
        <v>-280.48518141616375</v>
      </c>
      <c r="AD40">
        <f t="shared" si="20"/>
        <v>77.140596398917836</v>
      </c>
      <c r="AE40">
        <f t="shared" si="21"/>
        <v>5.7317949743250365</v>
      </c>
      <c r="AF40">
        <f t="shared" si="22"/>
        <v>91.962677804691424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52597.3938041617</v>
      </c>
      <c r="AL40" t="s">
        <v>415</v>
      </c>
      <c r="AM40">
        <v>10204.299999999999</v>
      </c>
      <c r="AN40">
        <v>862.72538461538477</v>
      </c>
      <c r="AO40">
        <v>3252.56</v>
      </c>
      <c r="AP40">
        <f t="shared" si="26"/>
        <v>0.73475496697512588</v>
      </c>
      <c r="AQ40">
        <v>-6.6684750346205304</v>
      </c>
      <c r="AR40" t="s">
        <v>539</v>
      </c>
      <c r="AS40">
        <v>10032</v>
      </c>
      <c r="AT40">
        <v>761.55842307692308</v>
      </c>
      <c r="AU40">
        <v>1140.111784192567</v>
      </c>
      <c r="AV40">
        <f t="shared" si="27"/>
        <v>0.33203179404354399</v>
      </c>
      <c r="AW40">
        <v>0.5</v>
      </c>
      <c r="AX40">
        <f t="shared" si="28"/>
        <v>1513.2347999210424</v>
      </c>
      <c r="AY40">
        <f t="shared" si="29"/>
        <v>51.515473003949758</v>
      </c>
      <c r="AZ40">
        <f t="shared" si="30"/>
        <v>251.22103271345352</v>
      </c>
      <c r="BA40">
        <f t="shared" si="31"/>
        <v>3.845004624636323E-2</v>
      </c>
      <c r="BB40">
        <f t="shared" si="32"/>
        <v>1.8528430677553951</v>
      </c>
      <c r="BC40">
        <f t="shared" si="33"/>
        <v>578.44452858224327</v>
      </c>
      <c r="BD40" t="s">
        <v>540</v>
      </c>
      <c r="BE40">
        <v>580.32000000000005</v>
      </c>
      <c r="BF40">
        <f t="shared" si="34"/>
        <v>580.32000000000005</v>
      </c>
      <c r="BG40">
        <f t="shared" si="35"/>
        <v>0.49099727934924764</v>
      </c>
      <c r="BH40">
        <f t="shared" si="36"/>
        <v>0.67623958015329244</v>
      </c>
      <c r="BI40">
        <f t="shared" si="37"/>
        <v>0.7905159026911629</v>
      </c>
      <c r="BJ40">
        <f t="shared" si="38"/>
        <v>1.3647149308425706</v>
      </c>
      <c r="BK40">
        <f t="shared" si="39"/>
        <v>0.88393071311650573</v>
      </c>
      <c r="BL40">
        <f t="shared" si="40"/>
        <v>0.51530564335301143</v>
      </c>
      <c r="BM40">
        <f t="shared" si="41"/>
        <v>0.48469435664698857</v>
      </c>
      <c r="BN40">
        <v>4918</v>
      </c>
      <c r="BO40">
        <v>290.00000000000011</v>
      </c>
      <c r="BP40">
        <v>1034.56</v>
      </c>
      <c r="BQ40">
        <v>135</v>
      </c>
      <c r="BR40">
        <v>10032</v>
      </c>
      <c r="BS40">
        <v>1031.04</v>
      </c>
      <c r="BT40">
        <v>3.52</v>
      </c>
      <c r="BU40">
        <v>300.00000000000011</v>
      </c>
      <c r="BV40">
        <v>24.1</v>
      </c>
      <c r="BW40">
        <v>1140.111784192567</v>
      </c>
      <c r="BX40">
        <v>1.84339078127517</v>
      </c>
      <c r="BY40">
        <v>-109.4254159266092</v>
      </c>
      <c r="BZ40">
        <v>1.6458900165043731</v>
      </c>
      <c r="CA40">
        <v>0.99370521631229825</v>
      </c>
      <c r="CB40">
        <v>-6.8301143492769754E-3</v>
      </c>
      <c r="CC40">
        <v>289.99999999999989</v>
      </c>
      <c r="CD40">
        <v>1026.32</v>
      </c>
      <c r="CE40">
        <v>695</v>
      </c>
      <c r="CF40">
        <v>10007.4</v>
      </c>
      <c r="CG40">
        <v>1030.77</v>
      </c>
      <c r="CH40">
        <v>-4.45</v>
      </c>
      <c r="CV40">
        <f t="shared" si="42"/>
        <v>1800.06</v>
      </c>
      <c r="CW40">
        <f t="shared" si="43"/>
        <v>1513.2347999210424</v>
      </c>
      <c r="CX40">
        <f t="shared" si="44"/>
        <v>0.84065797802353392</v>
      </c>
      <c r="CY40">
        <f t="shared" si="45"/>
        <v>0.16086989758542064</v>
      </c>
      <c r="CZ40">
        <v>6</v>
      </c>
      <c r="DA40">
        <v>0.5</v>
      </c>
      <c r="DB40" t="s">
        <v>418</v>
      </c>
      <c r="DC40">
        <v>2</v>
      </c>
      <c r="DD40">
        <v>1639670866.5</v>
      </c>
      <c r="DE40">
        <v>434.86099999999999</v>
      </c>
      <c r="DF40">
        <v>499.97899999999998</v>
      </c>
      <c r="DG40">
        <v>24.896699999999999</v>
      </c>
      <c r="DH40">
        <v>17.456700000000001</v>
      </c>
      <c r="DI40">
        <v>437.17399999999998</v>
      </c>
      <c r="DJ40">
        <v>24.887599999999999</v>
      </c>
      <c r="DK40">
        <v>500.15</v>
      </c>
      <c r="DL40">
        <v>99.678700000000006</v>
      </c>
      <c r="DM40">
        <v>0.100096</v>
      </c>
      <c r="DN40">
        <v>27.987100000000002</v>
      </c>
      <c r="DO40">
        <v>27.498100000000001</v>
      </c>
      <c r="DP40">
        <v>999.9</v>
      </c>
      <c r="DQ40">
        <v>0</v>
      </c>
      <c r="DR40">
        <v>0</v>
      </c>
      <c r="DS40">
        <v>10012.5</v>
      </c>
      <c r="DT40">
        <v>0</v>
      </c>
      <c r="DU40">
        <v>397.34800000000001</v>
      </c>
      <c r="DV40">
        <v>-65.117999999999995</v>
      </c>
      <c r="DW40">
        <v>445.964</v>
      </c>
      <c r="DX40">
        <v>508.86200000000002</v>
      </c>
      <c r="DY40">
        <v>7.44001</v>
      </c>
      <c r="DZ40">
        <v>499.97899999999998</v>
      </c>
      <c r="EA40">
        <v>17.456700000000001</v>
      </c>
      <c r="EB40">
        <v>2.4816699999999998</v>
      </c>
      <c r="EC40">
        <v>1.7400599999999999</v>
      </c>
      <c r="ED40">
        <v>20.9068</v>
      </c>
      <c r="EE40">
        <v>15.2585</v>
      </c>
      <c r="EF40">
        <v>1800.06</v>
      </c>
      <c r="EG40">
        <v>0.97800900000000002</v>
      </c>
      <c r="EH40">
        <v>2.1991299999999998E-2</v>
      </c>
      <c r="EI40">
        <v>0</v>
      </c>
      <c r="EJ40">
        <v>761.99400000000003</v>
      </c>
      <c r="EK40">
        <v>5.0001199999999999</v>
      </c>
      <c r="EL40">
        <v>13790.5</v>
      </c>
      <c r="EM40">
        <v>15630.5</v>
      </c>
      <c r="EN40">
        <v>50.186999999999998</v>
      </c>
      <c r="EO40">
        <v>50.5</v>
      </c>
      <c r="EP40">
        <v>50.811999999999998</v>
      </c>
      <c r="EQ40">
        <v>50.561999999999998</v>
      </c>
      <c r="ER40">
        <v>51.561999999999998</v>
      </c>
      <c r="ES40">
        <v>1755.58</v>
      </c>
      <c r="ET40">
        <v>39.479999999999997</v>
      </c>
      <c r="EU40">
        <v>0</v>
      </c>
      <c r="EV40">
        <v>123.2000000476837</v>
      </c>
      <c r="EW40">
        <v>0</v>
      </c>
      <c r="EX40">
        <v>761.55842307692308</v>
      </c>
      <c r="EY40">
        <v>3.5237264969884672</v>
      </c>
      <c r="EZ40">
        <v>54.656410272384917</v>
      </c>
      <c r="FA40">
        <v>13783.719230769229</v>
      </c>
      <c r="FB40">
        <v>15</v>
      </c>
      <c r="FC40">
        <v>1639670828</v>
      </c>
      <c r="FD40" t="s">
        <v>541</v>
      </c>
      <c r="FE40">
        <v>1639670812</v>
      </c>
      <c r="FF40">
        <v>1639670828</v>
      </c>
      <c r="FG40">
        <v>26</v>
      </c>
      <c r="FH40">
        <v>-0.107</v>
      </c>
      <c r="FI40">
        <v>0</v>
      </c>
      <c r="FJ40">
        <v>-2.4129999999999998</v>
      </c>
      <c r="FK40">
        <v>-0.104</v>
      </c>
      <c r="FL40">
        <v>500</v>
      </c>
      <c r="FM40">
        <v>17</v>
      </c>
      <c r="FN40">
        <v>0.01</v>
      </c>
      <c r="FO40">
        <v>0.01</v>
      </c>
      <c r="FP40">
        <v>51.542500442890152</v>
      </c>
      <c r="FQ40">
        <v>0.1053022089733419</v>
      </c>
      <c r="FR40">
        <v>3.9747539133397278E-2</v>
      </c>
      <c r="FS40">
        <v>1</v>
      </c>
      <c r="FT40">
        <v>0.56698954604261087</v>
      </c>
      <c r="FU40">
        <v>3.0472797182879988E-2</v>
      </c>
      <c r="FV40">
        <v>4.286814717773502E-3</v>
      </c>
      <c r="FW40">
        <v>1</v>
      </c>
      <c r="FX40">
        <v>2</v>
      </c>
      <c r="FY40">
        <v>2</v>
      </c>
      <c r="FZ40" t="s">
        <v>420</v>
      </c>
      <c r="GA40">
        <v>2.92238</v>
      </c>
      <c r="GB40">
        <v>2.74518</v>
      </c>
      <c r="GC40">
        <v>9.8530900000000005E-2</v>
      </c>
      <c r="GD40">
        <v>0.11056000000000001</v>
      </c>
      <c r="GE40">
        <v>0.12021999999999999</v>
      </c>
      <c r="GF40">
        <v>9.4871899999999995E-2</v>
      </c>
      <c r="GG40">
        <v>28100</v>
      </c>
      <c r="GH40">
        <v>27414.5</v>
      </c>
      <c r="GI40">
        <v>28375.4</v>
      </c>
      <c r="GJ40">
        <v>28182.400000000001</v>
      </c>
      <c r="GK40">
        <v>34255.5</v>
      </c>
      <c r="GL40">
        <v>35813.599999999999</v>
      </c>
      <c r="GM40">
        <v>42694.400000000001</v>
      </c>
      <c r="GN40">
        <v>43838</v>
      </c>
      <c r="GO40">
        <v>1.8073699999999999</v>
      </c>
      <c r="GP40">
        <v>1.9910000000000001</v>
      </c>
      <c r="GQ40">
        <v>3.5382799999999999E-2</v>
      </c>
      <c r="GR40">
        <v>0</v>
      </c>
      <c r="GS40">
        <v>26.919599999999999</v>
      </c>
      <c r="GT40">
        <v>999.9</v>
      </c>
      <c r="GU40">
        <v>39.200000000000003</v>
      </c>
      <c r="GV40">
        <v>34.700000000000003</v>
      </c>
      <c r="GW40">
        <v>21.845700000000001</v>
      </c>
      <c r="GX40">
        <v>60.765700000000002</v>
      </c>
      <c r="GY40">
        <v>30.404599999999999</v>
      </c>
      <c r="GZ40">
        <v>1</v>
      </c>
      <c r="HA40">
        <v>0.27705000000000002</v>
      </c>
      <c r="HB40">
        <v>2.1270699999999998</v>
      </c>
      <c r="HC40">
        <v>20.264099999999999</v>
      </c>
      <c r="HD40">
        <v>5.2742000000000004</v>
      </c>
      <c r="HE40">
        <v>12.0878</v>
      </c>
      <c r="HF40">
        <v>5.0139500000000004</v>
      </c>
      <c r="HG40">
        <v>3.2918799999999999</v>
      </c>
      <c r="HH40">
        <v>9999</v>
      </c>
      <c r="HI40">
        <v>9999</v>
      </c>
      <c r="HJ40">
        <v>9999</v>
      </c>
      <c r="HK40">
        <v>999.9</v>
      </c>
      <c r="HL40">
        <v>1.8754599999999999</v>
      </c>
      <c r="HM40">
        <v>1.87592</v>
      </c>
      <c r="HN40">
        <v>1.8757299999999999</v>
      </c>
      <c r="HO40">
        <v>1.87958</v>
      </c>
      <c r="HP40">
        <v>1.8731199999999999</v>
      </c>
      <c r="HQ40">
        <v>1.87625</v>
      </c>
      <c r="HR40">
        <v>1.8760699999999999</v>
      </c>
      <c r="HS40">
        <v>1.8774500000000001</v>
      </c>
      <c r="HT40">
        <v>0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-2.3130000000000002</v>
      </c>
      <c r="IH40">
        <v>9.1000000000000004E-3</v>
      </c>
      <c r="II40">
        <v>-1.6384558334887001</v>
      </c>
      <c r="IJ40">
        <v>-1.5404112972462821E-3</v>
      </c>
      <c r="IK40">
        <v>-5.8697186733976997E-8</v>
      </c>
      <c r="IL40">
        <v>1.160237123038427E-10</v>
      </c>
      <c r="IM40">
        <v>-0.17092942212495471</v>
      </c>
      <c r="IN40">
        <v>-3.128848753924141E-3</v>
      </c>
      <c r="IO40">
        <v>3.6841110403368089E-4</v>
      </c>
      <c r="IP40">
        <v>1.9296040270694169E-6</v>
      </c>
      <c r="IQ40">
        <v>1</v>
      </c>
      <c r="IR40">
        <v>1992</v>
      </c>
      <c r="IS40">
        <v>2</v>
      </c>
      <c r="IT40">
        <v>27</v>
      </c>
      <c r="IU40">
        <v>0.9</v>
      </c>
      <c r="IV40">
        <v>0.6</v>
      </c>
      <c r="IW40">
        <v>1.24634</v>
      </c>
      <c r="IX40">
        <v>2.6684600000000001</v>
      </c>
      <c r="IY40">
        <v>1.69434</v>
      </c>
      <c r="IZ40">
        <v>2.34741</v>
      </c>
      <c r="JA40">
        <v>1.5466299999999999</v>
      </c>
      <c r="JB40">
        <v>2.34985</v>
      </c>
      <c r="JC40">
        <v>39.267099999999999</v>
      </c>
      <c r="JD40">
        <v>24.052499999999998</v>
      </c>
      <c r="JE40">
        <v>18</v>
      </c>
      <c r="JF40">
        <v>532.78399999999999</v>
      </c>
      <c r="JG40">
        <v>538.23400000000004</v>
      </c>
      <c r="JH40">
        <v>24.9603</v>
      </c>
      <c r="JI40">
        <v>30.665900000000001</v>
      </c>
      <c r="JJ40">
        <v>30</v>
      </c>
      <c r="JK40">
        <v>30.547699999999999</v>
      </c>
      <c r="JL40">
        <v>30.490100000000002</v>
      </c>
      <c r="JM40">
        <v>25.024699999999999</v>
      </c>
      <c r="JN40">
        <v>21.3538</v>
      </c>
      <c r="JO40">
        <v>28.5593</v>
      </c>
      <c r="JP40">
        <v>24.963000000000001</v>
      </c>
      <c r="JQ40">
        <v>500</v>
      </c>
      <c r="JR40">
        <v>17.3782</v>
      </c>
      <c r="JS40">
        <v>99.485600000000005</v>
      </c>
      <c r="JT40">
        <v>98.743600000000001</v>
      </c>
    </row>
    <row r="41" spans="1:280" x14ac:dyDescent="0.25">
      <c r="A41">
        <v>25</v>
      </c>
      <c r="B41">
        <v>1639670990</v>
      </c>
      <c r="C41">
        <v>4387.9000000953674</v>
      </c>
      <c r="D41" t="s">
        <v>542</v>
      </c>
      <c r="E41" t="s">
        <v>543</v>
      </c>
      <c r="F41" t="s">
        <v>412</v>
      </c>
      <c r="G41" t="s">
        <v>492</v>
      </c>
      <c r="H41" t="s">
        <v>493</v>
      </c>
      <c r="I41">
        <v>1639670990</v>
      </c>
      <c r="J41">
        <f t="shared" si="0"/>
        <v>6.2518957382747455E-3</v>
      </c>
      <c r="K41">
        <f t="shared" si="1"/>
        <v>6.2518957382747455</v>
      </c>
      <c r="L41">
        <f t="shared" si="2"/>
        <v>52.125303411971423</v>
      </c>
      <c r="M41">
        <f t="shared" si="3"/>
        <v>533.58000000000004</v>
      </c>
      <c r="N41">
        <f t="shared" si="4"/>
        <v>360.16516477125964</v>
      </c>
      <c r="O41">
        <f t="shared" si="5"/>
        <v>35.937675242062042</v>
      </c>
      <c r="P41">
        <f t="shared" si="6"/>
        <v>53.241197737260002</v>
      </c>
      <c r="Q41">
        <f t="shared" si="7"/>
        <v>0.5519647029917979</v>
      </c>
      <c r="R41">
        <f t="shared" si="8"/>
        <v>2.9199999016337315</v>
      </c>
      <c r="S41">
        <f t="shared" si="9"/>
        <v>0.4998764629592079</v>
      </c>
      <c r="T41">
        <f t="shared" si="10"/>
        <v>0.31669207615888068</v>
      </c>
      <c r="U41">
        <f t="shared" si="11"/>
        <v>289.55733284764159</v>
      </c>
      <c r="V41">
        <f t="shared" si="12"/>
        <v>28.08126060799253</v>
      </c>
      <c r="W41">
        <f t="shared" si="13"/>
        <v>27.527999999999999</v>
      </c>
      <c r="X41">
        <f t="shared" si="14"/>
        <v>3.6916658817518999</v>
      </c>
      <c r="Y41">
        <f t="shared" si="15"/>
        <v>65.415438721267975</v>
      </c>
      <c r="Z41">
        <f t="shared" si="16"/>
        <v>2.4823241968368999</v>
      </c>
      <c r="AA41">
        <f t="shared" si="17"/>
        <v>3.7947069458846916</v>
      </c>
      <c r="AB41">
        <f t="shared" si="18"/>
        <v>1.209341684915</v>
      </c>
      <c r="AC41">
        <f t="shared" si="19"/>
        <v>-275.70860205791627</v>
      </c>
      <c r="AD41">
        <f t="shared" si="20"/>
        <v>74.209218556108581</v>
      </c>
      <c r="AE41">
        <f t="shared" si="21"/>
        <v>5.526660065108647</v>
      </c>
      <c r="AF41">
        <f t="shared" si="22"/>
        <v>93.584609410942576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52420.0276683255</v>
      </c>
      <c r="AL41" t="s">
        <v>415</v>
      </c>
      <c r="AM41">
        <v>10204.299999999999</v>
      </c>
      <c r="AN41">
        <v>862.72538461538477</v>
      </c>
      <c r="AO41">
        <v>3252.56</v>
      </c>
      <c r="AP41">
        <f t="shared" si="26"/>
        <v>0.73475496697512588</v>
      </c>
      <c r="AQ41">
        <v>-6.6684750346205304</v>
      </c>
      <c r="AR41" t="s">
        <v>544</v>
      </c>
      <c r="AS41">
        <v>10032.299999999999</v>
      </c>
      <c r="AT41">
        <v>763.80942307692305</v>
      </c>
      <c r="AU41">
        <v>1151.399576979537</v>
      </c>
      <c r="AV41">
        <f t="shared" si="27"/>
        <v>0.33662523562791125</v>
      </c>
      <c r="AW41">
        <v>0.5</v>
      </c>
      <c r="AX41">
        <f t="shared" si="28"/>
        <v>1513.1420999210577</v>
      </c>
      <c r="AY41">
        <f t="shared" si="29"/>
        <v>52.125303411971423</v>
      </c>
      <c r="AZ41">
        <f t="shared" si="30"/>
        <v>254.68090796221924</v>
      </c>
      <c r="BA41">
        <f t="shared" si="31"/>
        <v>3.8855424384569889E-2</v>
      </c>
      <c r="BB41">
        <f t="shared" si="32"/>
        <v>1.8248751042035563</v>
      </c>
      <c r="BC41">
        <f t="shared" si="33"/>
        <v>581.33603720389067</v>
      </c>
      <c r="BD41" t="s">
        <v>545</v>
      </c>
      <c r="BE41">
        <v>581.63</v>
      </c>
      <c r="BF41">
        <f t="shared" si="34"/>
        <v>581.63</v>
      </c>
      <c r="BG41">
        <f t="shared" si="35"/>
        <v>0.49484956254214696</v>
      </c>
      <c r="BH41">
        <f t="shared" si="36"/>
        <v>0.68025772094976922</v>
      </c>
      <c r="BI41">
        <f t="shared" si="37"/>
        <v>0.78667745804662159</v>
      </c>
      <c r="BJ41">
        <f t="shared" si="38"/>
        <v>1.3426560605517612</v>
      </c>
      <c r="BK41">
        <f t="shared" si="39"/>
        <v>0.87920746042181941</v>
      </c>
      <c r="BL41">
        <f t="shared" si="40"/>
        <v>0.51800656849996418</v>
      </c>
      <c r="BM41">
        <f t="shared" si="41"/>
        <v>0.48199343150003582</v>
      </c>
      <c r="BN41">
        <v>4920</v>
      </c>
      <c r="BO41">
        <v>290.00000000000011</v>
      </c>
      <c r="BP41">
        <v>1042.42</v>
      </c>
      <c r="BQ41">
        <v>125</v>
      </c>
      <c r="BR41">
        <v>10032.299999999999</v>
      </c>
      <c r="BS41">
        <v>1039.17</v>
      </c>
      <c r="BT41">
        <v>3.25</v>
      </c>
      <c r="BU41">
        <v>300.00000000000011</v>
      </c>
      <c r="BV41">
        <v>24.1</v>
      </c>
      <c r="BW41">
        <v>1151.399576979537</v>
      </c>
      <c r="BX41">
        <v>2.06689946858023</v>
      </c>
      <c r="BY41">
        <v>-112.58835376191691</v>
      </c>
      <c r="BZ41">
        <v>1.845295178914258</v>
      </c>
      <c r="CA41">
        <v>0.9925346791583759</v>
      </c>
      <c r="CB41">
        <v>-6.8297359288097929E-3</v>
      </c>
      <c r="CC41">
        <v>289.99999999999989</v>
      </c>
      <c r="CD41">
        <v>1033.6199999999999</v>
      </c>
      <c r="CE41">
        <v>665</v>
      </c>
      <c r="CF41">
        <v>10007.799999999999</v>
      </c>
      <c r="CG41">
        <v>1038.9000000000001</v>
      </c>
      <c r="CH41">
        <v>-5.28</v>
      </c>
      <c r="CV41">
        <f t="shared" si="42"/>
        <v>1799.95</v>
      </c>
      <c r="CW41">
        <f t="shared" si="43"/>
        <v>1513.1420999210577</v>
      </c>
      <c r="CX41">
        <f t="shared" si="44"/>
        <v>0.840657851563131</v>
      </c>
      <c r="CY41">
        <f t="shared" si="45"/>
        <v>0.16086965351684301</v>
      </c>
      <c r="CZ41">
        <v>6</v>
      </c>
      <c r="DA41">
        <v>0.5</v>
      </c>
      <c r="DB41" t="s">
        <v>418</v>
      </c>
      <c r="DC41">
        <v>2</v>
      </c>
      <c r="DD41">
        <v>1639670990</v>
      </c>
      <c r="DE41">
        <v>533.58000000000004</v>
      </c>
      <c r="DF41">
        <v>600.11400000000003</v>
      </c>
      <c r="DG41">
        <v>24.877700000000001</v>
      </c>
      <c r="DH41">
        <v>17.5642</v>
      </c>
      <c r="DI41">
        <v>536.06899999999996</v>
      </c>
      <c r="DJ41">
        <v>24.8672</v>
      </c>
      <c r="DK41">
        <v>500.14600000000002</v>
      </c>
      <c r="DL41">
        <v>99.680899999999994</v>
      </c>
      <c r="DM41">
        <v>0.10019699999999999</v>
      </c>
      <c r="DN41">
        <v>27.999400000000001</v>
      </c>
      <c r="DO41">
        <v>27.527999999999999</v>
      </c>
      <c r="DP41">
        <v>999.9</v>
      </c>
      <c r="DQ41">
        <v>0</v>
      </c>
      <c r="DR41">
        <v>0</v>
      </c>
      <c r="DS41">
        <v>9977.5</v>
      </c>
      <c r="DT41">
        <v>0</v>
      </c>
      <c r="DU41">
        <v>399.09500000000003</v>
      </c>
      <c r="DV41">
        <v>-66.534199999999998</v>
      </c>
      <c r="DW41">
        <v>547.19299999999998</v>
      </c>
      <c r="DX41">
        <v>610.84299999999996</v>
      </c>
      <c r="DY41">
        <v>7.3134499999999996</v>
      </c>
      <c r="DZ41">
        <v>600.11400000000003</v>
      </c>
      <c r="EA41">
        <v>17.5642</v>
      </c>
      <c r="EB41">
        <v>2.4798300000000002</v>
      </c>
      <c r="EC41">
        <v>1.75082</v>
      </c>
      <c r="ED41">
        <v>20.8947</v>
      </c>
      <c r="EE41">
        <v>15.3545</v>
      </c>
      <c r="EF41">
        <v>1799.95</v>
      </c>
      <c r="EG41">
        <v>0.97800900000000002</v>
      </c>
      <c r="EH41">
        <v>2.1991299999999998E-2</v>
      </c>
      <c r="EI41">
        <v>0</v>
      </c>
      <c r="EJ41">
        <v>763.87800000000004</v>
      </c>
      <c r="EK41">
        <v>5.0001199999999999</v>
      </c>
      <c r="EL41">
        <v>13837.8</v>
      </c>
      <c r="EM41">
        <v>15629.6</v>
      </c>
      <c r="EN41">
        <v>50.375</v>
      </c>
      <c r="EO41">
        <v>50.686999999999998</v>
      </c>
      <c r="EP41">
        <v>51.061999999999998</v>
      </c>
      <c r="EQ41">
        <v>50.625</v>
      </c>
      <c r="ER41">
        <v>51.811999999999998</v>
      </c>
      <c r="ES41">
        <v>1755.48</v>
      </c>
      <c r="ET41">
        <v>39.47</v>
      </c>
      <c r="EU41">
        <v>0</v>
      </c>
      <c r="EV41">
        <v>121.7999999523163</v>
      </c>
      <c r="EW41">
        <v>0</v>
      </c>
      <c r="EX41">
        <v>763.80942307692305</v>
      </c>
      <c r="EY41">
        <v>1.499179494341454</v>
      </c>
      <c r="EZ41">
        <v>36.242735082539987</v>
      </c>
      <c r="FA41">
        <v>13834.365384615379</v>
      </c>
      <c r="FB41">
        <v>15</v>
      </c>
      <c r="FC41">
        <v>1639670951.5</v>
      </c>
      <c r="FD41" t="s">
        <v>546</v>
      </c>
      <c r="FE41">
        <v>1639670941</v>
      </c>
      <c r="FF41">
        <v>1639670951.5</v>
      </c>
      <c r="FG41">
        <v>27</v>
      </c>
      <c r="FH41">
        <v>-2.5999999999999999E-2</v>
      </c>
      <c r="FI41">
        <v>2E-3</v>
      </c>
      <c r="FJ41">
        <v>-2.589</v>
      </c>
      <c r="FK41">
        <v>-0.10199999999999999</v>
      </c>
      <c r="FL41">
        <v>600</v>
      </c>
      <c r="FM41">
        <v>17</v>
      </c>
      <c r="FN41">
        <v>0.02</v>
      </c>
      <c r="FO41">
        <v>0.01</v>
      </c>
      <c r="FP41">
        <v>52.052196131230971</v>
      </c>
      <c r="FQ41">
        <v>-0.36829778414427072</v>
      </c>
      <c r="FR41">
        <v>6.3656404359849234E-2</v>
      </c>
      <c r="FS41">
        <v>1</v>
      </c>
      <c r="FT41">
        <v>0.55147603956321856</v>
      </c>
      <c r="FU41">
        <v>4.2601013904057142E-2</v>
      </c>
      <c r="FV41">
        <v>5.2979852623914331E-3</v>
      </c>
      <c r="FW41">
        <v>1</v>
      </c>
      <c r="FX41">
        <v>2</v>
      </c>
      <c r="FY41">
        <v>2</v>
      </c>
      <c r="FZ41" t="s">
        <v>420</v>
      </c>
      <c r="GA41">
        <v>2.9221599999999999</v>
      </c>
      <c r="GB41">
        <v>2.74498</v>
      </c>
      <c r="GC41">
        <v>0.1145</v>
      </c>
      <c r="GD41">
        <v>0.12595799999999999</v>
      </c>
      <c r="GE41">
        <v>0.12012299999999999</v>
      </c>
      <c r="GF41">
        <v>9.5267900000000003E-2</v>
      </c>
      <c r="GG41">
        <v>27597.9</v>
      </c>
      <c r="GH41">
        <v>26934.3</v>
      </c>
      <c r="GI41">
        <v>28371.3</v>
      </c>
      <c r="GJ41">
        <v>28177</v>
      </c>
      <c r="GK41">
        <v>34254.5</v>
      </c>
      <c r="GL41">
        <v>35792</v>
      </c>
      <c r="GM41">
        <v>42688.3</v>
      </c>
      <c r="GN41">
        <v>43830.7</v>
      </c>
      <c r="GO41">
        <v>1.8059000000000001</v>
      </c>
      <c r="GP41">
        <v>1.9898</v>
      </c>
      <c r="GQ41">
        <v>3.77744E-2</v>
      </c>
      <c r="GR41">
        <v>0</v>
      </c>
      <c r="GS41">
        <v>26.910499999999999</v>
      </c>
      <c r="GT41">
        <v>999.9</v>
      </c>
      <c r="GU41">
        <v>39</v>
      </c>
      <c r="GV41">
        <v>34.700000000000003</v>
      </c>
      <c r="GW41">
        <v>21.733599999999999</v>
      </c>
      <c r="GX41">
        <v>60.995699999999999</v>
      </c>
      <c r="GY41">
        <v>29.727599999999999</v>
      </c>
      <c r="GZ41">
        <v>1</v>
      </c>
      <c r="HA41">
        <v>0.28616900000000001</v>
      </c>
      <c r="HB41">
        <v>2.1771500000000001</v>
      </c>
      <c r="HC41">
        <v>20.263100000000001</v>
      </c>
      <c r="HD41">
        <v>5.2712000000000003</v>
      </c>
      <c r="HE41">
        <v>12.0878</v>
      </c>
      <c r="HF41">
        <v>5.0143500000000003</v>
      </c>
      <c r="HG41">
        <v>3.2915800000000002</v>
      </c>
      <c r="HH41">
        <v>9999</v>
      </c>
      <c r="HI41">
        <v>9999</v>
      </c>
      <c r="HJ41">
        <v>9999</v>
      </c>
      <c r="HK41">
        <v>999.9</v>
      </c>
      <c r="HL41">
        <v>1.8754599999999999</v>
      </c>
      <c r="HM41">
        <v>1.87592</v>
      </c>
      <c r="HN41">
        <v>1.8756699999999999</v>
      </c>
      <c r="HO41">
        <v>1.87958</v>
      </c>
      <c r="HP41">
        <v>1.8730599999999999</v>
      </c>
      <c r="HQ41">
        <v>1.8762399999999999</v>
      </c>
      <c r="HR41">
        <v>1.8760699999999999</v>
      </c>
      <c r="HS41">
        <v>1.87748</v>
      </c>
      <c r="HT41">
        <v>0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-2.4889999999999999</v>
      </c>
      <c r="IH41">
        <v>1.0500000000000001E-2</v>
      </c>
      <c r="II41">
        <v>-1.664565842537161</v>
      </c>
      <c r="IJ41">
        <v>-1.5404112972462821E-3</v>
      </c>
      <c r="IK41">
        <v>-5.8697186733976997E-8</v>
      </c>
      <c r="IL41">
        <v>1.160237123038427E-10</v>
      </c>
      <c r="IM41">
        <v>-0.16921595135254741</v>
      </c>
      <c r="IN41">
        <v>-3.128848753924141E-3</v>
      </c>
      <c r="IO41">
        <v>3.6841110403368089E-4</v>
      </c>
      <c r="IP41">
        <v>1.9296040270694169E-6</v>
      </c>
      <c r="IQ41">
        <v>1</v>
      </c>
      <c r="IR41">
        <v>1992</v>
      </c>
      <c r="IS41">
        <v>2</v>
      </c>
      <c r="IT41">
        <v>27</v>
      </c>
      <c r="IU41">
        <v>0.8</v>
      </c>
      <c r="IV41">
        <v>0.6</v>
      </c>
      <c r="IW41">
        <v>1.4440900000000001</v>
      </c>
      <c r="IX41">
        <v>2.66235</v>
      </c>
      <c r="IY41">
        <v>1.69434</v>
      </c>
      <c r="IZ41">
        <v>2.34741</v>
      </c>
      <c r="JA41">
        <v>1.5466299999999999</v>
      </c>
      <c r="JB41">
        <v>2.4731399999999999</v>
      </c>
      <c r="JC41">
        <v>39.316899999999997</v>
      </c>
      <c r="JD41">
        <v>24.061199999999999</v>
      </c>
      <c r="JE41">
        <v>18</v>
      </c>
      <c r="JF41">
        <v>532.68499999999995</v>
      </c>
      <c r="JG41">
        <v>538.39</v>
      </c>
      <c r="JH41">
        <v>24.891400000000001</v>
      </c>
      <c r="JI41">
        <v>30.77</v>
      </c>
      <c r="JJ41">
        <v>30.0001</v>
      </c>
      <c r="JK41">
        <v>30.6599</v>
      </c>
      <c r="JL41">
        <v>30.601700000000001</v>
      </c>
      <c r="JM41">
        <v>28.974699999999999</v>
      </c>
      <c r="JN41">
        <v>21.1264</v>
      </c>
      <c r="JO41">
        <v>28.418299999999999</v>
      </c>
      <c r="JP41">
        <v>24.9436</v>
      </c>
      <c r="JQ41">
        <v>600</v>
      </c>
      <c r="JR41">
        <v>17.491099999999999</v>
      </c>
      <c r="JS41">
        <v>99.471500000000006</v>
      </c>
      <c r="JT41">
        <v>98.726100000000002</v>
      </c>
    </row>
    <row r="42" spans="1:280" x14ac:dyDescent="0.25">
      <c r="A42">
        <v>26</v>
      </c>
      <c r="B42">
        <v>1639671105</v>
      </c>
      <c r="C42">
        <v>4502.9000000953674</v>
      </c>
      <c r="D42" t="s">
        <v>547</v>
      </c>
      <c r="E42" t="s">
        <v>548</v>
      </c>
      <c r="F42" t="s">
        <v>412</v>
      </c>
      <c r="G42" t="s">
        <v>492</v>
      </c>
      <c r="H42" t="s">
        <v>493</v>
      </c>
      <c r="I42">
        <v>1639671105</v>
      </c>
      <c r="J42">
        <f t="shared" si="0"/>
        <v>6.1242806496457167E-3</v>
      </c>
      <c r="K42">
        <f t="shared" si="1"/>
        <v>6.1242806496457165</v>
      </c>
      <c r="L42">
        <f t="shared" si="2"/>
        <v>51.983002153704106</v>
      </c>
      <c r="M42">
        <f t="shared" si="3"/>
        <v>732.32100000000003</v>
      </c>
      <c r="N42">
        <f t="shared" si="4"/>
        <v>551.40420478361432</v>
      </c>
      <c r="O42">
        <f t="shared" si="5"/>
        <v>55.02471933407169</v>
      </c>
      <c r="P42">
        <f t="shared" si="6"/>
        <v>73.078437084569998</v>
      </c>
      <c r="Q42">
        <f t="shared" si="7"/>
        <v>0.53748444842372167</v>
      </c>
      <c r="R42">
        <f t="shared" si="8"/>
        <v>2.9216968265555403</v>
      </c>
      <c r="S42">
        <f t="shared" si="9"/>
        <v>0.48798816411987733</v>
      </c>
      <c r="T42">
        <f t="shared" si="10"/>
        <v>0.30905891740116004</v>
      </c>
      <c r="U42">
        <f t="shared" si="11"/>
        <v>289.53658484763054</v>
      </c>
      <c r="V42">
        <f t="shared" si="12"/>
        <v>28.120941668084221</v>
      </c>
      <c r="W42">
        <f t="shared" si="13"/>
        <v>27.533799999999999</v>
      </c>
      <c r="X42">
        <f t="shared" si="14"/>
        <v>3.6929186860300645</v>
      </c>
      <c r="Y42">
        <f t="shared" si="15"/>
        <v>65.309999235252675</v>
      </c>
      <c r="Z42">
        <f t="shared" si="16"/>
        <v>2.4792767946329999</v>
      </c>
      <c r="AA42">
        <f t="shared" si="17"/>
        <v>3.7961672388058294</v>
      </c>
      <c r="AB42">
        <f t="shared" si="18"/>
        <v>1.2136418913970646</v>
      </c>
      <c r="AC42">
        <f t="shared" si="19"/>
        <v>-270.08077664937611</v>
      </c>
      <c r="AD42">
        <f t="shared" si="20"/>
        <v>74.378356019722588</v>
      </c>
      <c r="AE42">
        <f t="shared" si="21"/>
        <v>5.536381589554038</v>
      </c>
      <c r="AF42">
        <f t="shared" si="22"/>
        <v>99.370545807531045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52467.830665186113</v>
      </c>
      <c r="AL42" t="s">
        <v>415</v>
      </c>
      <c r="AM42">
        <v>10204.299999999999</v>
      </c>
      <c r="AN42">
        <v>862.72538461538477</v>
      </c>
      <c r="AO42">
        <v>3252.56</v>
      </c>
      <c r="AP42">
        <f t="shared" si="26"/>
        <v>0.73475496697512588</v>
      </c>
      <c r="AQ42">
        <v>-6.6684750346205304</v>
      </c>
      <c r="AR42" t="s">
        <v>549</v>
      </c>
      <c r="AS42">
        <v>10028.4</v>
      </c>
      <c r="AT42">
        <v>764.54265384615371</v>
      </c>
      <c r="AU42">
        <v>1157.024203053317</v>
      </c>
      <c r="AV42">
        <f t="shared" si="27"/>
        <v>0.33921636917484366</v>
      </c>
      <c r="AW42">
        <v>0.5</v>
      </c>
      <c r="AX42">
        <f t="shared" si="28"/>
        <v>1513.0328999210519</v>
      </c>
      <c r="AY42">
        <f t="shared" si="29"/>
        <v>51.983002153704106</v>
      </c>
      <c r="AZ42">
        <f t="shared" si="30"/>
        <v>256.6227633766519</v>
      </c>
      <c r="BA42">
        <f t="shared" si="31"/>
        <v>3.8764178354208284E-2</v>
      </c>
      <c r="BB42">
        <f t="shared" si="32"/>
        <v>1.8111425771532614</v>
      </c>
      <c r="BC42">
        <f t="shared" si="33"/>
        <v>582.766402280894</v>
      </c>
      <c r="BD42" t="s">
        <v>550</v>
      </c>
      <c r="BE42">
        <v>579.91</v>
      </c>
      <c r="BF42">
        <f t="shared" si="34"/>
        <v>579.91</v>
      </c>
      <c r="BG42">
        <f t="shared" si="35"/>
        <v>0.49879181570303155</v>
      </c>
      <c r="BH42">
        <f t="shared" si="36"/>
        <v>0.68007605276507754</v>
      </c>
      <c r="BI42">
        <f t="shared" si="37"/>
        <v>0.78406667425464727</v>
      </c>
      <c r="BJ42">
        <f t="shared" si="38"/>
        <v>1.3336157830682485</v>
      </c>
      <c r="BK42">
        <f t="shared" si="39"/>
        <v>0.87685389752772991</v>
      </c>
      <c r="BL42">
        <f t="shared" si="40"/>
        <v>0.51584159729348</v>
      </c>
      <c r="BM42">
        <f t="shared" si="41"/>
        <v>0.48415840270652</v>
      </c>
      <c r="BN42">
        <v>4922</v>
      </c>
      <c r="BO42">
        <v>290.00000000000011</v>
      </c>
      <c r="BP42">
        <v>1045.7</v>
      </c>
      <c r="BQ42">
        <v>155</v>
      </c>
      <c r="BR42">
        <v>10028.4</v>
      </c>
      <c r="BS42">
        <v>1041.81</v>
      </c>
      <c r="BT42">
        <v>3.89</v>
      </c>
      <c r="BU42">
        <v>300.00000000000011</v>
      </c>
      <c r="BV42">
        <v>24.1</v>
      </c>
      <c r="BW42">
        <v>1157.024203053317</v>
      </c>
      <c r="BX42">
        <v>1.967082695694645</v>
      </c>
      <c r="BY42">
        <v>-115.53809191397271</v>
      </c>
      <c r="BZ42">
        <v>1.756042073326783</v>
      </c>
      <c r="CA42">
        <v>0.99357345631436167</v>
      </c>
      <c r="CB42">
        <v>-6.8292614015572862E-3</v>
      </c>
      <c r="CC42">
        <v>289.99999999999989</v>
      </c>
      <c r="CD42">
        <v>1036.28</v>
      </c>
      <c r="CE42">
        <v>665</v>
      </c>
      <c r="CF42">
        <v>10006.9</v>
      </c>
      <c r="CG42">
        <v>1041.57</v>
      </c>
      <c r="CH42">
        <v>-5.29</v>
      </c>
      <c r="CV42">
        <f t="shared" si="42"/>
        <v>1799.82</v>
      </c>
      <c r="CW42">
        <f t="shared" si="43"/>
        <v>1513.0328999210519</v>
      </c>
      <c r="CX42">
        <f t="shared" si="44"/>
        <v>0.84065789907938127</v>
      </c>
      <c r="CY42">
        <f t="shared" si="45"/>
        <v>0.16086974522320596</v>
      </c>
      <c r="CZ42">
        <v>6</v>
      </c>
      <c r="DA42">
        <v>0.5</v>
      </c>
      <c r="DB42" t="s">
        <v>418</v>
      </c>
      <c r="DC42">
        <v>2</v>
      </c>
      <c r="DD42">
        <v>1639671105</v>
      </c>
      <c r="DE42">
        <v>732.32100000000003</v>
      </c>
      <c r="DF42">
        <v>800.06600000000003</v>
      </c>
      <c r="DG42">
        <v>24.844899999999999</v>
      </c>
      <c r="DH42">
        <v>17.680099999999999</v>
      </c>
      <c r="DI42">
        <v>735.04100000000005</v>
      </c>
      <c r="DJ42">
        <v>24.839200000000002</v>
      </c>
      <c r="DK42">
        <v>500.12200000000001</v>
      </c>
      <c r="DL42">
        <v>99.690100000000001</v>
      </c>
      <c r="DM42">
        <v>0.10007000000000001</v>
      </c>
      <c r="DN42">
        <v>28.006</v>
      </c>
      <c r="DO42">
        <v>27.533799999999999</v>
      </c>
      <c r="DP42">
        <v>999.9</v>
      </c>
      <c r="DQ42">
        <v>0</v>
      </c>
      <c r="DR42">
        <v>0</v>
      </c>
      <c r="DS42">
        <v>9986.25</v>
      </c>
      <c r="DT42">
        <v>0</v>
      </c>
      <c r="DU42">
        <v>394.92</v>
      </c>
      <c r="DV42">
        <v>-67.745400000000004</v>
      </c>
      <c r="DW42">
        <v>750.97900000000004</v>
      </c>
      <c r="DX42">
        <v>814.46600000000001</v>
      </c>
      <c r="DY42">
        <v>7.1647499999999997</v>
      </c>
      <c r="DZ42">
        <v>800.06600000000003</v>
      </c>
      <c r="EA42">
        <v>17.680099999999999</v>
      </c>
      <c r="EB42">
        <v>2.4767899999999998</v>
      </c>
      <c r="EC42">
        <v>1.7625299999999999</v>
      </c>
      <c r="ED42">
        <v>20.8748</v>
      </c>
      <c r="EE42">
        <v>15.458399999999999</v>
      </c>
      <c r="EF42">
        <v>1799.82</v>
      </c>
      <c r="EG42">
        <v>0.97800799999999999</v>
      </c>
      <c r="EH42">
        <v>2.1991900000000002E-2</v>
      </c>
      <c r="EI42">
        <v>0</v>
      </c>
      <c r="EJ42">
        <v>764.78899999999999</v>
      </c>
      <c r="EK42">
        <v>5.0001199999999999</v>
      </c>
      <c r="EL42">
        <v>13852.6</v>
      </c>
      <c r="EM42">
        <v>15628.5</v>
      </c>
      <c r="EN42">
        <v>50.5</v>
      </c>
      <c r="EO42">
        <v>50.75</v>
      </c>
      <c r="EP42">
        <v>51.25</v>
      </c>
      <c r="EQ42">
        <v>50.686999999999998</v>
      </c>
      <c r="ER42">
        <v>51.811999999999998</v>
      </c>
      <c r="ES42">
        <v>1755.35</v>
      </c>
      <c r="ET42">
        <v>39.47</v>
      </c>
      <c r="EU42">
        <v>0</v>
      </c>
      <c r="EV42">
        <v>112.7999999523163</v>
      </c>
      <c r="EW42">
        <v>0</v>
      </c>
      <c r="EX42">
        <v>764.54265384615371</v>
      </c>
      <c r="EY42">
        <v>2.1986666650901898</v>
      </c>
      <c r="EZ42">
        <v>19.364102589680648</v>
      </c>
      <c r="FA42">
        <v>13850.83076923077</v>
      </c>
      <c r="FB42">
        <v>15</v>
      </c>
      <c r="FC42">
        <v>1639671065.5</v>
      </c>
      <c r="FD42" t="s">
        <v>551</v>
      </c>
      <c r="FE42">
        <v>1639671064.5</v>
      </c>
      <c r="FF42">
        <v>1639671065.5</v>
      </c>
      <c r="FG42">
        <v>28</v>
      </c>
      <c r="FH42">
        <v>6.3E-2</v>
      </c>
      <c r="FI42">
        <v>-4.0000000000000001E-3</v>
      </c>
      <c r="FJ42">
        <v>-2.8170000000000002</v>
      </c>
      <c r="FK42">
        <v>-0.10299999999999999</v>
      </c>
      <c r="FL42">
        <v>800</v>
      </c>
      <c r="FM42">
        <v>18</v>
      </c>
      <c r="FN42">
        <v>0.04</v>
      </c>
      <c r="FO42">
        <v>0.01</v>
      </c>
      <c r="FP42">
        <v>51.965125783846098</v>
      </c>
      <c r="FQ42">
        <v>-0.56036445279072322</v>
      </c>
      <c r="FR42">
        <v>6.750129850224848E-2</v>
      </c>
      <c r="FS42">
        <v>1</v>
      </c>
      <c r="FT42">
        <v>0.53983164149772866</v>
      </c>
      <c r="FU42">
        <v>2.8243220752924E-2</v>
      </c>
      <c r="FV42">
        <v>4.0430016658658356E-3</v>
      </c>
      <c r="FW42">
        <v>1</v>
      </c>
      <c r="FX42">
        <v>2</v>
      </c>
      <c r="FY42">
        <v>2</v>
      </c>
      <c r="FZ42" t="s">
        <v>420</v>
      </c>
      <c r="GA42">
        <v>2.92197</v>
      </c>
      <c r="GB42">
        <v>2.74492</v>
      </c>
      <c r="GC42">
        <v>0.14276</v>
      </c>
      <c r="GD42">
        <v>0.153257</v>
      </c>
      <c r="GE42">
        <v>0.120019</v>
      </c>
      <c r="GF42">
        <v>9.5709600000000006E-2</v>
      </c>
      <c r="GG42">
        <v>26715.200000000001</v>
      </c>
      <c r="GH42">
        <v>26089.200000000001</v>
      </c>
      <c r="GI42">
        <v>28369.8</v>
      </c>
      <c r="GJ42">
        <v>28173.4</v>
      </c>
      <c r="GK42">
        <v>34257</v>
      </c>
      <c r="GL42">
        <v>35770</v>
      </c>
      <c r="GM42">
        <v>42686.6</v>
      </c>
      <c r="GN42">
        <v>43825.2</v>
      </c>
      <c r="GO42">
        <v>1.8050999999999999</v>
      </c>
      <c r="GP42">
        <v>1.9896499999999999</v>
      </c>
      <c r="GQ42">
        <v>4.2580100000000003E-2</v>
      </c>
      <c r="GR42">
        <v>0</v>
      </c>
      <c r="GS42">
        <v>26.837700000000002</v>
      </c>
      <c r="GT42">
        <v>999.9</v>
      </c>
      <c r="GU42">
        <v>38.9</v>
      </c>
      <c r="GV42">
        <v>34.799999999999997</v>
      </c>
      <c r="GW42">
        <v>21.7989</v>
      </c>
      <c r="GX42">
        <v>61.075699999999998</v>
      </c>
      <c r="GY42">
        <v>29.847799999999999</v>
      </c>
      <c r="GZ42">
        <v>1</v>
      </c>
      <c r="HA42">
        <v>0.290213</v>
      </c>
      <c r="HB42">
        <v>2.3127200000000001</v>
      </c>
      <c r="HC42">
        <v>20.2608</v>
      </c>
      <c r="HD42">
        <v>5.2743399999999996</v>
      </c>
      <c r="HE42">
        <v>12.0878</v>
      </c>
      <c r="HF42">
        <v>5.0134999999999996</v>
      </c>
      <c r="HG42">
        <v>3.29183</v>
      </c>
      <c r="HH42">
        <v>9999</v>
      </c>
      <c r="HI42">
        <v>9999</v>
      </c>
      <c r="HJ42">
        <v>9999</v>
      </c>
      <c r="HK42">
        <v>999.9</v>
      </c>
      <c r="HL42">
        <v>1.8754599999999999</v>
      </c>
      <c r="HM42">
        <v>1.87592</v>
      </c>
      <c r="HN42">
        <v>1.87571</v>
      </c>
      <c r="HO42">
        <v>1.87958</v>
      </c>
      <c r="HP42">
        <v>1.87307</v>
      </c>
      <c r="HQ42">
        <v>1.87626</v>
      </c>
      <c r="HR42">
        <v>1.8760600000000001</v>
      </c>
      <c r="HS42">
        <v>1.87744</v>
      </c>
      <c r="HT42">
        <v>0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-2.72</v>
      </c>
      <c r="IH42">
        <v>5.7000000000000002E-3</v>
      </c>
      <c r="II42">
        <v>-1.6018857901971939</v>
      </c>
      <c r="IJ42">
        <v>-1.5404112972462821E-3</v>
      </c>
      <c r="IK42">
        <v>-5.8697186733976997E-8</v>
      </c>
      <c r="IL42">
        <v>1.160237123038427E-10</v>
      </c>
      <c r="IM42">
        <v>-0.17347319745558301</v>
      </c>
      <c r="IN42">
        <v>-3.128848753924141E-3</v>
      </c>
      <c r="IO42">
        <v>3.6841110403368089E-4</v>
      </c>
      <c r="IP42">
        <v>1.9296040270694169E-6</v>
      </c>
      <c r="IQ42">
        <v>1</v>
      </c>
      <c r="IR42">
        <v>1992</v>
      </c>
      <c r="IS42">
        <v>2</v>
      </c>
      <c r="IT42">
        <v>27</v>
      </c>
      <c r="IU42">
        <v>0.7</v>
      </c>
      <c r="IV42">
        <v>0.7</v>
      </c>
      <c r="IW42">
        <v>1.8249500000000001</v>
      </c>
      <c r="IX42">
        <v>2.65259</v>
      </c>
      <c r="IY42">
        <v>1.69434</v>
      </c>
      <c r="IZ42">
        <v>2.34619</v>
      </c>
      <c r="JA42">
        <v>1.5466299999999999</v>
      </c>
      <c r="JB42">
        <v>2.4450699999999999</v>
      </c>
      <c r="JC42">
        <v>39.316899999999997</v>
      </c>
      <c r="JD42">
        <v>24.061199999999999</v>
      </c>
      <c r="JE42">
        <v>18</v>
      </c>
      <c r="JF42">
        <v>532.77200000000005</v>
      </c>
      <c r="JG42">
        <v>539.01199999999994</v>
      </c>
      <c r="JH42">
        <v>24.9618</v>
      </c>
      <c r="JI42">
        <v>30.829699999999999</v>
      </c>
      <c r="JJ42">
        <v>30.0002</v>
      </c>
      <c r="JK42">
        <v>30.7348</v>
      </c>
      <c r="JL42">
        <v>30.679400000000001</v>
      </c>
      <c r="JM42">
        <v>36.594700000000003</v>
      </c>
      <c r="JN42">
        <v>20.680599999999998</v>
      </c>
      <c r="JO42">
        <v>28.597899999999999</v>
      </c>
      <c r="JP42">
        <v>24.962</v>
      </c>
      <c r="JQ42">
        <v>800</v>
      </c>
      <c r="JR42">
        <v>17.615100000000002</v>
      </c>
      <c r="JS42">
        <v>99.466899999999995</v>
      </c>
      <c r="JT42">
        <v>98.713700000000003</v>
      </c>
    </row>
    <row r="43" spans="1:280" x14ac:dyDescent="0.25">
      <c r="A43">
        <v>27</v>
      </c>
      <c r="B43">
        <v>1639671223</v>
      </c>
      <c r="C43">
        <v>4620.9000000953674</v>
      </c>
      <c r="D43" t="s">
        <v>552</v>
      </c>
      <c r="E43" t="s">
        <v>553</v>
      </c>
      <c r="F43" t="s">
        <v>412</v>
      </c>
      <c r="G43" t="s">
        <v>492</v>
      </c>
      <c r="H43" t="s">
        <v>493</v>
      </c>
      <c r="I43">
        <v>1639671223</v>
      </c>
      <c r="J43">
        <f t="shared" si="0"/>
        <v>5.8873339406203453E-3</v>
      </c>
      <c r="K43">
        <f t="shared" si="1"/>
        <v>5.8873339406203451</v>
      </c>
      <c r="L43">
        <f t="shared" si="2"/>
        <v>51.063518859958691</v>
      </c>
      <c r="M43">
        <f t="shared" si="3"/>
        <v>1130.78</v>
      </c>
      <c r="N43">
        <f t="shared" si="4"/>
        <v>938.57135585400977</v>
      </c>
      <c r="O43">
        <f t="shared" si="5"/>
        <v>93.661786317821708</v>
      </c>
      <c r="P43">
        <f t="shared" si="6"/>
        <v>112.842645443934</v>
      </c>
      <c r="Q43">
        <f t="shared" si="7"/>
        <v>0.51540340524208084</v>
      </c>
      <c r="R43">
        <f t="shared" si="8"/>
        <v>2.9250171171444936</v>
      </c>
      <c r="S43">
        <f t="shared" si="9"/>
        <v>0.46975245571796392</v>
      </c>
      <c r="T43">
        <f t="shared" si="10"/>
        <v>0.29735915546410718</v>
      </c>
      <c r="U43">
        <f t="shared" si="11"/>
        <v>289.57241684749391</v>
      </c>
      <c r="V43">
        <f t="shared" si="12"/>
        <v>28.167201402201204</v>
      </c>
      <c r="W43">
        <f t="shared" si="13"/>
        <v>27.525700000000001</v>
      </c>
      <c r="X43">
        <f t="shared" si="14"/>
        <v>3.6911691827660924</v>
      </c>
      <c r="Y43">
        <f t="shared" si="15"/>
        <v>65.365941302903494</v>
      </c>
      <c r="Z43">
        <f t="shared" si="16"/>
        <v>2.4791592472074897</v>
      </c>
      <c r="AA43">
        <f t="shared" si="17"/>
        <v>3.7927385390491848</v>
      </c>
      <c r="AB43">
        <f t="shared" si="18"/>
        <v>1.2120099355586027</v>
      </c>
      <c r="AC43">
        <f t="shared" si="19"/>
        <v>-259.63142678135722</v>
      </c>
      <c r="AD43">
        <f t="shared" si="20"/>
        <v>73.295949406500853</v>
      </c>
      <c r="AE43">
        <f t="shared" si="21"/>
        <v>5.4489776624269552</v>
      </c>
      <c r="AF43">
        <f t="shared" si="22"/>
        <v>108.6859171350645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52566.032223831062</v>
      </c>
      <c r="AL43" t="s">
        <v>415</v>
      </c>
      <c r="AM43">
        <v>10204.299999999999</v>
      </c>
      <c r="AN43">
        <v>862.72538461538477</v>
      </c>
      <c r="AO43">
        <v>3252.56</v>
      </c>
      <c r="AP43">
        <f t="shared" si="26"/>
        <v>0.73475496697512588</v>
      </c>
      <c r="AQ43">
        <v>-6.6684750346205304</v>
      </c>
      <c r="AR43" t="s">
        <v>554</v>
      </c>
      <c r="AS43">
        <v>10027.799999999999</v>
      </c>
      <c r="AT43">
        <v>764.62396000000012</v>
      </c>
      <c r="AU43">
        <v>1154.930064443739</v>
      </c>
      <c r="AV43">
        <f t="shared" si="27"/>
        <v>0.33794782598522621</v>
      </c>
      <c r="AW43">
        <v>0.5</v>
      </c>
      <c r="AX43">
        <f t="shared" si="28"/>
        <v>1513.2104999209812</v>
      </c>
      <c r="AY43">
        <f t="shared" si="29"/>
        <v>51.063518859958691</v>
      </c>
      <c r="AZ43">
        <f t="shared" si="30"/>
        <v>255.69309935315647</v>
      </c>
      <c r="BA43">
        <f t="shared" si="31"/>
        <v>3.8151991343963014E-2</v>
      </c>
      <c r="BB43">
        <f t="shared" si="32"/>
        <v>1.8162397881351928</v>
      </c>
      <c r="BC43">
        <f t="shared" si="33"/>
        <v>582.23466163895534</v>
      </c>
      <c r="BD43" t="s">
        <v>555</v>
      </c>
      <c r="BE43">
        <v>581</v>
      </c>
      <c r="BF43">
        <f t="shared" si="34"/>
        <v>581</v>
      </c>
      <c r="BG43">
        <f t="shared" si="35"/>
        <v>0.49693923650707539</v>
      </c>
      <c r="BH43">
        <f t="shared" si="36"/>
        <v>0.68005864934437432</v>
      </c>
      <c r="BI43">
        <f t="shared" si="37"/>
        <v>0.78517043807972164</v>
      </c>
      <c r="BJ43">
        <f t="shared" si="38"/>
        <v>1.3357284512794629</v>
      </c>
      <c r="BK43">
        <f t="shared" si="39"/>
        <v>0.87773016678757609</v>
      </c>
      <c r="BL43">
        <f t="shared" si="40"/>
        <v>0.51674299516991518</v>
      </c>
      <c r="BM43">
        <f t="shared" si="41"/>
        <v>0.48325700483008482</v>
      </c>
      <c r="BN43">
        <v>4924</v>
      </c>
      <c r="BO43">
        <v>290.00000000000011</v>
      </c>
      <c r="BP43">
        <v>1046.18</v>
      </c>
      <c r="BQ43">
        <v>155</v>
      </c>
      <c r="BR43">
        <v>10027.799999999999</v>
      </c>
      <c r="BS43">
        <v>1041.71</v>
      </c>
      <c r="BT43">
        <v>4.47</v>
      </c>
      <c r="BU43">
        <v>300.00000000000011</v>
      </c>
      <c r="BV43">
        <v>24.1</v>
      </c>
      <c r="BW43">
        <v>1154.930064443739</v>
      </c>
      <c r="BX43">
        <v>2.2110257846113148</v>
      </c>
      <c r="BY43">
        <v>-113.5306078708131</v>
      </c>
      <c r="BZ43">
        <v>1.973693096794519</v>
      </c>
      <c r="CA43">
        <v>0.991608653447556</v>
      </c>
      <c r="CB43">
        <v>-6.8291377085650763E-3</v>
      </c>
      <c r="CC43">
        <v>289.99999999999989</v>
      </c>
      <c r="CD43">
        <v>1036.94</v>
      </c>
      <c r="CE43">
        <v>655</v>
      </c>
      <c r="CF43">
        <v>10006.799999999999</v>
      </c>
      <c r="CG43">
        <v>1041.48</v>
      </c>
      <c r="CH43">
        <v>-4.54</v>
      </c>
      <c r="CV43">
        <f t="shared" si="42"/>
        <v>1800.03</v>
      </c>
      <c r="CW43">
        <f t="shared" si="43"/>
        <v>1513.2104999209812</v>
      </c>
      <c r="CX43">
        <f t="shared" si="44"/>
        <v>0.84065848898128437</v>
      </c>
      <c r="CY43">
        <f t="shared" si="45"/>
        <v>0.16087088373387884</v>
      </c>
      <c r="CZ43">
        <v>6</v>
      </c>
      <c r="DA43">
        <v>0.5</v>
      </c>
      <c r="DB43" t="s">
        <v>418</v>
      </c>
      <c r="DC43">
        <v>2</v>
      </c>
      <c r="DD43">
        <v>1639671223</v>
      </c>
      <c r="DE43">
        <v>1130.78</v>
      </c>
      <c r="DF43">
        <v>1200.03</v>
      </c>
      <c r="DG43">
        <v>24.843299999999999</v>
      </c>
      <c r="DH43">
        <v>17.955500000000001</v>
      </c>
      <c r="DI43">
        <v>1134.3399999999999</v>
      </c>
      <c r="DJ43">
        <v>24.834700000000002</v>
      </c>
      <c r="DK43">
        <v>500.108</v>
      </c>
      <c r="DL43">
        <v>99.691999999999993</v>
      </c>
      <c r="DM43">
        <v>9.9865300000000004E-2</v>
      </c>
      <c r="DN43">
        <v>27.990500000000001</v>
      </c>
      <c r="DO43">
        <v>27.525700000000001</v>
      </c>
      <c r="DP43">
        <v>999.9</v>
      </c>
      <c r="DQ43">
        <v>0</v>
      </c>
      <c r="DR43">
        <v>0</v>
      </c>
      <c r="DS43">
        <v>10005</v>
      </c>
      <c r="DT43">
        <v>0</v>
      </c>
      <c r="DU43">
        <v>395.86200000000002</v>
      </c>
      <c r="DV43">
        <v>-69.251999999999995</v>
      </c>
      <c r="DW43">
        <v>1159.5899999999999</v>
      </c>
      <c r="DX43">
        <v>1221.97</v>
      </c>
      <c r="DY43">
        <v>6.88781</v>
      </c>
      <c r="DZ43">
        <v>1200.03</v>
      </c>
      <c r="EA43">
        <v>17.955500000000001</v>
      </c>
      <c r="EB43">
        <v>2.47668</v>
      </c>
      <c r="EC43">
        <v>1.7900199999999999</v>
      </c>
      <c r="ED43">
        <v>20.874099999999999</v>
      </c>
      <c r="EE43">
        <v>15.6999</v>
      </c>
      <c r="EF43">
        <v>1800.03</v>
      </c>
      <c r="EG43">
        <v>0.97799199999999997</v>
      </c>
      <c r="EH43">
        <v>2.2008300000000001E-2</v>
      </c>
      <c r="EI43">
        <v>0</v>
      </c>
      <c r="EJ43">
        <v>764.70100000000002</v>
      </c>
      <c r="EK43">
        <v>5.0001199999999999</v>
      </c>
      <c r="EL43">
        <v>13859</v>
      </c>
      <c r="EM43">
        <v>15630.2</v>
      </c>
      <c r="EN43">
        <v>50.625</v>
      </c>
      <c r="EO43">
        <v>50.875</v>
      </c>
      <c r="EP43">
        <v>51.311999999999998</v>
      </c>
      <c r="EQ43">
        <v>50.811999999999998</v>
      </c>
      <c r="ER43">
        <v>51.936999999999998</v>
      </c>
      <c r="ES43">
        <v>1755.52</v>
      </c>
      <c r="ET43">
        <v>39.51</v>
      </c>
      <c r="EU43">
        <v>0</v>
      </c>
      <c r="EV43">
        <v>115.7999999523163</v>
      </c>
      <c r="EW43">
        <v>0</v>
      </c>
      <c r="EX43">
        <v>764.62396000000012</v>
      </c>
      <c r="EY43">
        <v>1.1850769269484891</v>
      </c>
      <c r="EZ43">
        <v>20.907692212337139</v>
      </c>
      <c r="FA43">
        <v>13855.7</v>
      </c>
      <c r="FB43">
        <v>15</v>
      </c>
      <c r="FC43">
        <v>1639671184</v>
      </c>
      <c r="FD43" t="s">
        <v>556</v>
      </c>
      <c r="FE43">
        <v>1639671184</v>
      </c>
      <c r="FF43">
        <v>1639671178.5</v>
      </c>
      <c r="FG43">
        <v>29</v>
      </c>
      <c r="FH43">
        <v>-0.30399999999999999</v>
      </c>
      <c r="FI43">
        <v>3.0000000000000001E-3</v>
      </c>
      <c r="FJ43">
        <v>-3.6440000000000001</v>
      </c>
      <c r="FK43">
        <v>-9.9000000000000005E-2</v>
      </c>
      <c r="FL43">
        <v>1200</v>
      </c>
      <c r="FM43">
        <v>18</v>
      </c>
      <c r="FN43">
        <v>0.04</v>
      </c>
      <c r="FO43">
        <v>0.01</v>
      </c>
      <c r="FP43">
        <v>51.058318039475289</v>
      </c>
      <c r="FQ43">
        <v>-0.66848676742469693</v>
      </c>
      <c r="FR43">
        <v>8.7547859198158315E-2</v>
      </c>
      <c r="FS43">
        <v>1</v>
      </c>
      <c r="FT43">
        <v>0.51457088353600688</v>
      </c>
      <c r="FU43">
        <v>2.39289912099909E-2</v>
      </c>
      <c r="FV43">
        <v>2.7425895249633949E-3</v>
      </c>
      <c r="FW43">
        <v>1</v>
      </c>
      <c r="FX43">
        <v>2</v>
      </c>
      <c r="FY43">
        <v>2</v>
      </c>
      <c r="FZ43" t="s">
        <v>420</v>
      </c>
      <c r="GA43">
        <v>2.9218899999999999</v>
      </c>
      <c r="GB43">
        <v>2.7448800000000002</v>
      </c>
      <c r="GC43">
        <v>0.18934899999999999</v>
      </c>
      <c r="GD43">
        <v>0.19864799999999999</v>
      </c>
      <c r="GE43">
        <v>0.119995</v>
      </c>
      <c r="GF43">
        <v>9.6767000000000006E-2</v>
      </c>
      <c r="GG43">
        <v>25262.5</v>
      </c>
      <c r="GH43">
        <v>24688.6</v>
      </c>
      <c r="GI43">
        <v>28370.2</v>
      </c>
      <c r="GJ43">
        <v>28172.400000000001</v>
      </c>
      <c r="GK43">
        <v>34259.300000000003</v>
      </c>
      <c r="GL43">
        <v>35727.300000000003</v>
      </c>
      <c r="GM43">
        <v>42688.4</v>
      </c>
      <c r="GN43">
        <v>43824.4</v>
      </c>
      <c r="GO43">
        <v>1.8046500000000001</v>
      </c>
      <c r="GP43">
        <v>1.99085</v>
      </c>
      <c r="GQ43">
        <v>4.7199400000000002E-2</v>
      </c>
      <c r="GR43">
        <v>0</v>
      </c>
      <c r="GS43">
        <v>26.754000000000001</v>
      </c>
      <c r="GT43">
        <v>999.9</v>
      </c>
      <c r="GU43">
        <v>38.799999999999997</v>
      </c>
      <c r="GV43">
        <v>34.9</v>
      </c>
      <c r="GW43">
        <v>21.861699999999999</v>
      </c>
      <c r="GX43">
        <v>61.305700000000002</v>
      </c>
      <c r="GY43">
        <v>29.575299999999999</v>
      </c>
      <c r="GZ43">
        <v>1</v>
      </c>
      <c r="HA43">
        <v>0.29027399999999998</v>
      </c>
      <c r="HB43">
        <v>2.18757</v>
      </c>
      <c r="HC43">
        <v>20.262599999999999</v>
      </c>
      <c r="HD43">
        <v>5.2744900000000001</v>
      </c>
      <c r="HE43">
        <v>12.0878</v>
      </c>
      <c r="HF43">
        <v>5.0136000000000003</v>
      </c>
      <c r="HG43">
        <v>3.2917299999999998</v>
      </c>
      <c r="HH43">
        <v>9999</v>
      </c>
      <c r="HI43">
        <v>9999</v>
      </c>
      <c r="HJ43">
        <v>9999</v>
      </c>
      <c r="HK43">
        <v>999.9</v>
      </c>
      <c r="HL43">
        <v>1.8754299999999999</v>
      </c>
      <c r="HM43">
        <v>1.87592</v>
      </c>
      <c r="HN43">
        <v>1.8756200000000001</v>
      </c>
      <c r="HO43">
        <v>1.87958</v>
      </c>
      <c r="HP43">
        <v>1.8730199999999999</v>
      </c>
      <c r="HQ43">
        <v>1.8762300000000001</v>
      </c>
      <c r="HR43">
        <v>1.87602</v>
      </c>
      <c r="HS43">
        <v>1.87744</v>
      </c>
      <c r="HT43">
        <v>0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-3.56</v>
      </c>
      <c r="IH43">
        <v>8.6E-3</v>
      </c>
      <c r="II43">
        <v>-1.907122288109075</v>
      </c>
      <c r="IJ43">
        <v>-1.5404112972462821E-3</v>
      </c>
      <c r="IK43">
        <v>-5.8697186733976997E-8</v>
      </c>
      <c r="IL43">
        <v>1.160237123038427E-10</v>
      </c>
      <c r="IM43">
        <v>-0.1704945747773797</v>
      </c>
      <c r="IN43">
        <v>-3.128848753924141E-3</v>
      </c>
      <c r="IO43">
        <v>3.6841110403368089E-4</v>
      </c>
      <c r="IP43">
        <v>1.9296040270694169E-6</v>
      </c>
      <c r="IQ43">
        <v>1</v>
      </c>
      <c r="IR43">
        <v>1992</v>
      </c>
      <c r="IS43">
        <v>2</v>
      </c>
      <c r="IT43">
        <v>27</v>
      </c>
      <c r="IU43">
        <v>0.7</v>
      </c>
      <c r="IV43">
        <v>0.7</v>
      </c>
      <c r="IW43">
        <v>2.5415000000000001</v>
      </c>
      <c r="IX43">
        <v>2.6440399999999999</v>
      </c>
      <c r="IY43">
        <v>1.69434</v>
      </c>
      <c r="IZ43">
        <v>2.34741</v>
      </c>
      <c r="JA43">
        <v>1.5466299999999999</v>
      </c>
      <c r="JB43">
        <v>2.48047</v>
      </c>
      <c r="JC43">
        <v>39.366700000000002</v>
      </c>
      <c r="JD43">
        <v>24.096299999999999</v>
      </c>
      <c r="JE43">
        <v>18</v>
      </c>
      <c r="JF43">
        <v>532.82600000000002</v>
      </c>
      <c r="JG43">
        <v>540.346</v>
      </c>
      <c r="JH43">
        <v>24.984000000000002</v>
      </c>
      <c r="JI43">
        <v>30.849799999999998</v>
      </c>
      <c r="JJ43">
        <v>29.9999</v>
      </c>
      <c r="JK43">
        <v>30.7776</v>
      </c>
      <c r="JL43">
        <v>30.724799999999998</v>
      </c>
      <c r="JM43">
        <v>50.929499999999997</v>
      </c>
      <c r="JN43">
        <v>19.326599999999999</v>
      </c>
      <c r="JO43">
        <v>28.613900000000001</v>
      </c>
      <c r="JP43">
        <v>24.987200000000001</v>
      </c>
      <c r="JQ43">
        <v>1200</v>
      </c>
      <c r="JR43">
        <v>17.860499999999998</v>
      </c>
      <c r="JS43">
        <v>99.47</v>
      </c>
      <c r="JT43">
        <v>98.711299999999994</v>
      </c>
    </row>
    <row r="44" spans="1:280" x14ac:dyDescent="0.25">
      <c r="A44">
        <v>28</v>
      </c>
      <c r="B44">
        <v>1639671348.5</v>
      </c>
      <c r="C44">
        <v>4746.4000000953674</v>
      </c>
      <c r="D44" t="s">
        <v>557</v>
      </c>
      <c r="E44" t="s">
        <v>558</v>
      </c>
      <c r="F44" t="s">
        <v>412</v>
      </c>
      <c r="G44" t="s">
        <v>492</v>
      </c>
      <c r="H44" t="s">
        <v>493</v>
      </c>
      <c r="I44">
        <v>1639671348.5</v>
      </c>
      <c r="J44">
        <f t="shared" si="0"/>
        <v>5.7428909428336719E-3</v>
      </c>
      <c r="K44">
        <f t="shared" si="1"/>
        <v>5.7428909428336716</v>
      </c>
      <c r="L44">
        <f t="shared" si="2"/>
        <v>50.224113267385668</v>
      </c>
      <c r="M44">
        <f t="shared" si="3"/>
        <v>1429.96</v>
      </c>
      <c r="N44">
        <f t="shared" si="4"/>
        <v>1229.7934408327328</v>
      </c>
      <c r="O44">
        <f t="shared" si="5"/>
        <v>122.71337370432013</v>
      </c>
      <c r="P44">
        <f t="shared" si="6"/>
        <v>142.68673911889601</v>
      </c>
      <c r="Q44">
        <f t="shared" si="7"/>
        <v>0.49988725602826622</v>
      </c>
      <c r="R44">
        <f t="shared" si="8"/>
        <v>2.9242071500425313</v>
      </c>
      <c r="S44">
        <f t="shared" si="9"/>
        <v>0.45680986602288015</v>
      </c>
      <c r="T44">
        <f t="shared" si="10"/>
        <v>0.28906651780829584</v>
      </c>
      <c r="U44">
        <f t="shared" si="11"/>
        <v>289.56487484756775</v>
      </c>
      <c r="V44">
        <f t="shared" si="12"/>
        <v>28.212504146703591</v>
      </c>
      <c r="W44">
        <f t="shared" si="13"/>
        <v>27.553000000000001</v>
      </c>
      <c r="X44">
        <f t="shared" si="14"/>
        <v>3.6970685475600309</v>
      </c>
      <c r="Y44">
        <f t="shared" si="15"/>
        <v>65.397020329072021</v>
      </c>
      <c r="Z44">
        <f t="shared" si="16"/>
        <v>2.48145167307508</v>
      </c>
      <c r="AA44">
        <f t="shared" si="17"/>
        <v>3.7944414907416801</v>
      </c>
      <c r="AB44">
        <f t="shared" si="18"/>
        <v>1.2156168744849509</v>
      </c>
      <c r="AC44">
        <f t="shared" si="19"/>
        <v>-253.26149057896492</v>
      </c>
      <c r="AD44">
        <f t="shared" si="20"/>
        <v>70.185715834700957</v>
      </c>
      <c r="AE44">
        <f t="shared" si="21"/>
        <v>5.2201123493119983</v>
      </c>
      <c r="AF44">
        <f t="shared" si="22"/>
        <v>111.70921245261577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52541.218206519748</v>
      </c>
      <c r="AL44" t="s">
        <v>415</v>
      </c>
      <c r="AM44">
        <v>10204.299999999999</v>
      </c>
      <c r="AN44">
        <v>862.72538461538477</v>
      </c>
      <c r="AO44">
        <v>3252.56</v>
      </c>
      <c r="AP44">
        <f t="shared" si="26"/>
        <v>0.73475496697512588</v>
      </c>
      <c r="AQ44">
        <v>-6.6684750346205304</v>
      </c>
      <c r="AR44" t="s">
        <v>559</v>
      </c>
      <c r="AS44">
        <v>10029.200000000001</v>
      </c>
      <c r="AT44">
        <v>765.50484615384619</v>
      </c>
      <c r="AU44">
        <v>1156.3752667943211</v>
      </c>
      <c r="AV44">
        <f t="shared" si="27"/>
        <v>0.33801347353617961</v>
      </c>
      <c r="AW44">
        <v>0.5</v>
      </c>
      <c r="AX44">
        <f t="shared" si="28"/>
        <v>1513.1762999210193</v>
      </c>
      <c r="AY44">
        <f t="shared" si="29"/>
        <v>50.224113267385668</v>
      </c>
      <c r="AZ44">
        <f t="shared" si="30"/>
        <v>255.73698860446382</v>
      </c>
      <c r="BA44">
        <f t="shared" si="31"/>
        <v>3.7598122773252342E-2</v>
      </c>
      <c r="BB44">
        <f t="shared" si="32"/>
        <v>1.8127201380021534</v>
      </c>
      <c r="BC44">
        <f t="shared" si="33"/>
        <v>582.60172750664049</v>
      </c>
      <c r="BD44" t="s">
        <v>560</v>
      </c>
      <c r="BE44">
        <v>579.47</v>
      </c>
      <c r="BF44">
        <f t="shared" si="34"/>
        <v>579.47</v>
      </c>
      <c r="BG44">
        <f t="shared" si="35"/>
        <v>0.49889104632409298</v>
      </c>
      <c r="BH44">
        <f t="shared" si="36"/>
        <v>0.67752964505319457</v>
      </c>
      <c r="BI44">
        <f t="shared" si="37"/>
        <v>0.78418038046069471</v>
      </c>
      <c r="BJ44">
        <f t="shared" si="38"/>
        <v>1.3310763748316337</v>
      </c>
      <c r="BK44">
        <f t="shared" si="39"/>
        <v>0.87712543776520824</v>
      </c>
      <c r="BL44">
        <f t="shared" si="40"/>
        <v>0.51287474585114623</v>
      </c>
      <c r="BM44">
        <f t="shared" si="41"/>
        <v>0.48712525414885377</v>
      </c>
      <c r="BN44">
        <v>4926</v>
      </c>
      <c r="BO44">
        <v>290.00000000000011</v>
      </c>
      <c r="BP44">
        <v>1047.56</v>
      </c>
      <c r="BQ44">
        <v>175</v>
      </c>
      <c r="BR44">
        <v>10029.200000000001</v>
      </c>
      <c r="BS44">
        <v>1043.18</v>
      </c>
      <c r="BT44">
        <v>4.38</v>
      </c>
      <c r="BU44">
        <v>300.00000000000011</v>
      </c>
      <c r="BV44">
        <v>24.1</v>
      </c>
      <c r="BW44">
        <v>1156.3752667943211</v>
      </c>
      <c r="BX44">
        <v>2.5003869248645518</v>
      </c>
      <c r="BY44">
        <v>-113.5235946793609</v>
      </c>
      <c r="BZ44">
        <v>2.2328217289607442</v>
      </c>
      <c r="CA44">
        <v>0.98928443589492321</v>
      </c>
      <c r="CB44">
        <v>-6.830606674082312E-3</v>
      </c>
      <c r="CC44">
        <v>289.99999999999989</v>
      </c>
      <c r="CD44">
        <v>1039.3599999999999</v>
      </c>
      <c r="CE44">
        <v>695</v>
      </c>
      <c r="CF44">
        <v>10008.799999999999</v>
      </c>
      <c r="CG44">
        <v>1042.95</v>
      </c>
      <c r="CH44">
        <v>-3.59</v>
      </c>
      <c r="CV44">
        <f t="shared" si="42"/>
        <v>1799.99</v>
      </c>
      <c r="CW44">
        <f t="shared" si="43"/>
        <v>1513.1762999210193</v>
      </c>
      <c r="CX44">
        <f t="shared" si="44"/>
        <v>0.84065817027929013</v>
      </c>
      <c r="CY44">
        <f t="shared" si="45"/>
        <v>0.16087026863903006</v>
      </c>
      <c r="CZ44">
        <v>6</v>
      </c>
      <c r="DA44">
        <v>0.5</v>
      </c>
      <c r="DB44" t="s">
        <v>418</v>
      </c>
      <c r="DC44">
        <v>2</v>
      </c>
      <c r="DD44">
        <v>1639671348.5</v>
      </c>
      <c r="DE44">
        <v>1429.96</v>
      </c>
      <c r="DF44">
        <v>1500.07</v>
      </c>
      <c r="DG44">
        <v>24.868300000000001</v>
      </c>
      <c r="DH44">
        <v>18.1495</v>
      </c>
      <c r="DI44">
        <v>1433.94</v>
      </c>
      <c r="DJ44">
        <v>24.855599999999999</v>
      </c>
      <c r="DK44">
        <v>500.096</v>
      </c>
      <c r="DL44">
        <v>99.683800000000005</v>
      </c>
      <c r="DM44">
        <v>9.9927600000000005E-2</v>
      </c>
      <c r="DN44">
        <v>27.998200000000001</v>
      </c>
      <c r="DO44">
        <v>27.553000000000001</v>
      </c>
      <c r="DP44">
        <v>999.9</v>
      </c>
      <c r="DQ44">
        <v>0</v>
      </c>
      <c r="DR44">
        <v>0</v>
      </c>
      <c r="DS44">
        <v>10001.200000000001</v>
      </c>
      <c r="DT44">
        <v>0</v>
      </c>
      <c r="DU44">
        <v>409.20400000000001</v>
      </c>
      <c r="DV44">
        <v>-70.108999999999995</v>
      </c>
      <c r="DW44">
        <v>1466.43</v>
      </c>
      <c r="DX44">
        <v>1527.8</v>
      </c>
      <c r="DY44">
        <v>6.7187700000000001</v>
      </c>
      <c r="DZ44">
        <v>1500.07</v>
      </c>
      <c r="EA44">
        <v>18.1495</v>
      </c>
      <c r="EB44">
        <v>2.4789699999999999</v>
      </c>
      <c r="EC44">
        <v>1.80921</v>
      </c>
      <c r="ED44">
        <v>20.889099999999999</v>
      </c>
      <c r="EE44">
        <v>15.8666</v>
      </c>
      <c r="EF44">
        <v>1799.99</v>
      </c>
      <c r="EG44">
        <v>0.97800200000000004</v>
      </c>
      <c r="EH44">
        <v>2.19981E-2</v>
      </c>
      <c r="EI44">
        <v>0</v>
      </c>
      <c r="EJ44">
        <v>765.79399999999998</v>
      </c>
      <c r="EK44">
        <v>5.0001199999999999</v>
      </c>
      <c r="EL44">
        <v>13846.3</v>
      </c>
      <c r="EM44">
        <v>15629.9</v>
      </c>
      <c r="EN44">
        <v>49.936999999999998</v>
      </c>
      <c r="EO44">
        <v>50.25</v>
      </c>
      <c r="EP44">
        <v>50.686999999999998</v>
      </c>
      <c r="EQ44">
        <v>49.875</v>
      </c>
      <c r="ER44">
        <v>51.186999999999998</v>
      </c>
      <c r="ES44">
        <v>1755.5</v>
      </c>
      <c r="ET44">
        <v>39.49</v>
      </c>
      <c r="EU44">
        <v>0</v>
      </c>
      <c r="EV44">
        <v>123.5999999046326</v>
      </c>
      <c r="EW44">
        <v>0</v>
      </c>
      <c r="EX44">
        <v>765.50484615384619</v>
      </c>
      <c r="EY44">
        <v>1.5441367368521211</v>
      </c>
      <c r="EZ44">
        <v>8.7521368071818504</v>
      </c>
      <c r="FA44">
        <v>13845.538461538459</v>
      </c>
      <c r="FB44">
        <v>15</v>
      </c>
      <c r="FC44">
        <v>1639671308</v>
      </c>
      <c r="FD44" t="s">
        <v>561</v>
      </c>
      <c r="FE44">
        <v>1639671308</v>
      </c>
      <c r="FF44">
        <v>1639671307</v>
      </c>
      <c r="FG44">
        <v>30</v>
      </c>
      <c r="FH44">
        <v>-8.6999999999999994E-2</v>
      </c>
      <c r="FI44">
        <v>4.0000000000000001E-3</v>
      </c>
      <c r="FJ44">
        <v>-4.05</v>
      </c>
      <c r="FK44">
        <v>-9.1999999999999998E-2</v>
      </c>
      <c r="FL44">
        <v>1500</v>
      </c>
      <c r="FM44">
        <v>18</v>
      </c>
      <c r="FN44">
        <v>0.05</v>
      </c>
      <c r="FO44">
        <v>0.01</v>
      </c>
      <c r="FP44">
        <v>50.214175348423147</v>
      </c>
      <c r="FQ44">
        <v>-0.39393916001237411</v>
      </c>
      <c r="FR44">
        <v>0.14066684296175819</v>
      </c>
      <c r="FS44">
        <v>1</v>
      </c>
      <c r="FT44">
        <v>0.50120314290247481</v>
      </c>
      <c r="FU44">
        <v>1.8159207361980789E-2</v>
      </c>
      <c r="FV44">
        <v>3.0342353729170151E-3</v>
      </c>
      <c r="FW44">
        <v>1</v>
      </c>
      <c r="FX44">
        <v>2</v>
      </c>
      <c r="FY44">
        <v>2</v>
      </c>
      <c r="FZ44" t="s">
        <v>420</v>
      </c>
      <c r="GA44">
        <v>2.9218899999999999</v>
      </c>
      <c r="GB44">
        <v>2.74491</v>
      </c>
      <c r="GC44">
        <v>0.21862100000000001</v>
      </c>
      <c r="GD44">
        <v>0.227358</v>
      </c>
      <c r="GE44">
        <v>0.12005300000000001</v>
      </c>
      <c r="GF44">
        <v>9.7503099999999995E-2</v>
      </c>
      <c r="GG44">
        <v>24350.9</v>
      </c>
      <c r="GH44">
        <v>23804.7</v>
      </c>
      <c r="GI44">
        <v>28372.1</v>
      </c>
      <c r="GJ44">
        <v>28174.400000000001</v>
      </c>
      <c r="GK44">
        <v>34259.4</v>
      </c>
      <c r="GL44">
        <v>35700.400000000001</v>
      </c>
      <c r="GM44">
        <v>42691.7</v>
      </c>
      <c r="GN44">
        <v>43827.5</v>
      </c>
      <c r="GO44">
        <v>1.8047299999999999</v>
      </c>
      <c r="GP44">
        <v>1.9923500000000001</v>
      </c>
      <c r="GQ44">
        <v>5.1725699999999999E-2</v>
      </c>
      <c r="GR44">
        <v>0</v>
      </c>
      <c r="GS44">
        <v>26.7073</v>
      </c>
      <c r="GT44">
        <v>999.9</v>
      </c>
      <c r="GU44">
        <v>38.799999999999997</v>
      </c>
      <c r="GV44">
        <v>34.9</v>
      </c>
      <c r="GW44">
        <v>21.865100000000002</v>
      </c>
      <c r="GX44">
        <v>61.105699999999999</v>
      </c>
      <c r="GY44">
        <v>29.683499999999999</v>
      </c>
      <c r="GZ44">
        <v>1</v>
      </c>
      <c r="HA44">
        <v>0.28779500000000002</v>
      </c>
      <c r="HB44">
        <v>2.08839</v>
      </c>
      <c r="HC44">
        <v>20.2636</v>
      </c>
      <c r="HD44">
        <v>5.2750899999999996</v>
      </c>
      <c r="HE44">
        <v>12.0878</v>
      </c>
      <c r="HF44">
        <v>5.0144500000000001</v>
      </c>
      <c r="HG44">
        <v>3.2917800000000002</v>
      </c>
      <c r="HH44">
        <v>9999</v>
      </c>
      <c r="HI44">
        <v>9999</v>
      </c>
      <c r="HJ44">
        <v>9999</v>
      </c>
      <c r="HK44">
        <v>999.9</v>
      </c>
      <c r="HL44">
        <v>1.87531</v>
      </c>
      <c r="HM44">
        <v>1.8757600000000001</v>
      </c>
      <c r="HN44">
        <v>1.8755500000000001</v>
      </c>
      <c r="HO44">
        <v>1.8794299999999999</v>
      </c>
      <c r="HP44">
        <v>1.8729199999999999</v>
      </c>
      <c r="HQ44">
        <v>1.8761300000000001</v>
      </c>
      <c r="HR44">
        <v>1.87592</v>
      </c>
      <c r="HS44">
        <v>1.8772899999999999</v>
      </c>
      <c r="HT44">
        <v>0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-3.98</v>
      </c>
      <c r="IH44">
        <v>1.2699999999999999E-2</v>
      </c>
      <c r="II44">
        <v>-1.9946342839155371</v>
      </c>
      <c r="IJ44">
        <v>-1.5404112972462821E-3</v>
      </c>
      <c r="IK44">
        <v>-5.8697186733976997E-8</v>
      </c>
      <c r="IL44">
        <v>1.160237123038427E-10</v>
      </c>
      <c r="IM44">
        <v>-0.1667425651461881</v>
      </c>
      <c r="IN44">
        <v>-3.128848753924141E-3</v>
      </c>
      <c r="IO44">
        <v>3.6841110403368089E-4</v>
      </c>
      <c r="IP44">
        <v>1.9296040270694169E-6</v>
      </c>
      <c r="IQ44">
        <v>1</v>
      </c>
      <c r="IR44">
        <v>1992</v>
      </c>
      <c r="IS44">
        <v>2</v>
      </c>
      <c r="IT44">
        <v>27</v>
      </c>
      <c r="IU44">
        <v>0.7</v>
      </c>
      <c r="IV44">
        <v>0.7</v>
      </c>
      <c r="IW44">
        <v>3.0468799999999998</v>
      </c>
      <c r="IX44">
        <v>2.6415999999999999</v>
      </c>
      <c r="IY44">
        <v>1.69434</v>
      </c>
      <c r="IZ44">
        <v>2.34741</v>
      </c>
      <c r="JA44">
        <v>1.5466299999999999</v>
      </c>
      <c r="JB44">
        <v>2.4633799999999999</v>
      </c>
      <c r="JC44">
        <v>39.316899999999997</v>
      </c>
      <c r="JD44">
        <v>24.096299999999999</v>
      </c>
      <c r="JE44">
        <v>18</v>
      </c>
      <c r="JF44">
        <v>532.96900000000005</v>
      </c>
      <c r="JG44">
        <v>541.60199999999998</v>
      </c>
      <c r="JH44">
        <v>24.9924</v>
      </c>
      <c r="JI44">
        <v>30.835000000000001</v>
      </c>
      <c r="JJ44">
        <v>29.9999</v>
      </c>
      <c r="JK44">
        <v>30.785599999999999</v>
      </c>
      <c r="JL44">
        <v>30.738199999999999</v>
      </c>
      <c r="JM44">
        <v>61.0242</v>
      </c>
      <c r="JN44">
        <v>18.279399999999999</v>
      </c>
      <c r="JO44">
        <v>29.059100000000001</v>
      </c>
      <c r="JP44">
        <v>25.001799999999999</v>
      </c>
      <c r="JQ44">
        <v>1500</v>
      </c>
      <c r="JR44">
        <v>18.068000000000001</v>
      </c>
      <c r="JS44">
        <v>99.4773</v>
      </c>
      <c r="JT44">
        <v>98.718199999999996</v>
      </c>
    </row>
    <row r="45" spans="1:280" x14ac:dyDescent="0.25">
      <c r="A45">
        <v>29</v>
      </c>
      <c r="B45">
        <v>1639672499.0999999</v>
      </c>
      <c r="C45">
        <v>5897</v>
      </c>
      <c r="D45" t="s">
        <v>562</v>
      </c>
      <c r="E45" t="s">
        <v>563</v>
      </c>
      <c r="F45" t="s">
        <v>412</v>
      </c>
      <c r="G45" t="s">
        <v>564</v>
      </c>
      <c r="H45" t="s">
        <v>565</v>
      </c>
      <c r="I45">
        <v>1639672499.0999999</v>
      </c>
      <c r="J45">
        <f t="shared" si="0"/>
        <v>4.9927572388686042E-3</v>
      </c>
      <c r="K45">
        <f t="shared" si="1"/>
        <v>4.9927572388686041</v>
      </c>
      <c r="L45">
        <f t="shared" si="2"/>
        <v>45.966505550201042</v>
      </c>
      <c r="M45">
        <f t="shared" si="3"/>
        <v>342.85500000000002</v>
      </c>
      <c r="N45">
        <f t="shared" si="4"/>
        <v>147.35126220292062</v>
      </c>
      <c r="O45">
        <f t="shared" si="5"/>
        <v>14.70447612629502</v>
      </c>
      <c r="P45">
        <f t="shared" si="6"/>
        <v>34.214183760015004</v>
      </c>
      <c r="Q45">
        <f t="shared" si="7"/>
        <v>0.41192383815132105</v>
      </c>
      <c r="R45">
        <f t="shared" si="8"/>
        <v>2.9274318536018868</v>
      </c>
      <c r="S45">
        <f t="shared" si="9"/>
        <v>0.38222033273351885</v>
      </c>
      <c r="T45">
        <f t="shared" si="10"/>
        <v>0.24137771744936012</v>
      </c>
      <c r="U45">
        <f t="shared" si="11"/>
        <v>289.55268584752241</v>
      </c>
      <c r="V45">
        <f t="shared" si="12"/>
        <v>28.403194846745716</v>
      </c>
      <c r="W45">
        <f t="shared" si="13"/>
        <v>27.777999999999999</v>
      </c>
      <c r="X45">
        <f t="shared" si="14"/>
        <v>3.7460038678041601</v>
      </c>
      <c r="Y45">
        <f t="shared" si="15"/>
        <v>65.457530621259792</v>
      </c>
      <c r="Z45">
        <f t="shared" si="16"/>
        <v>2.4831540994168999</v>
      </c>
      <c r="AA45">
        <f t="shared" si="17"/>
        <v>3.7935346412386695</v>
      </c>
      <c r="AB45">
        <f t="shared" si="18"/>
        <v>1.2628497683872602</v>
      </c>
      <c r="AC45">
        <f t="shared" si="19"/>
        <v>-220.18059423410546</v>
      </c>
      <c r="AD45">
        <f t="shared" si="20"/>
        <v>34.105702886348418</v>
      </c>
      <c r="AE45">
        <f t="shared" si="21"/>
        <v>2.5366329705563668</v>
      </c>
      <c r="AF45">
        <f t="shared" si="22"/>
        <v>106.01442747032172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52634.868559019342</v>
      </c>
      <c r="AL45" t="s">
        <v>415</v>
      </c>
      <c r="AM45">
        <v>10204.299999999999</v>
      </c>
      <c r="AN45">
        <v>862.72538461538477</v>
      </c>
      <c r="AO45">
        <v>3252.56</v>
      </c>
      <c r="AP45">
        <f t="shared" si="26"/>
        <v>0.73475496697512588</v>
      </c>
      <c r="AQ45">
        <v>-6.6684750346205304</v>
      </c>
      <c r="AR45" t="s">
        <v>566</v>
      </c>
      <c r="AS45">
        <v>10040.6</v>
      </c>
      <c r="AT45">
        <v>787.36396153846158</v>
      </c>
      <c r="AU45">
        <v>1131.074481361168</v>
      </c>
      <c r="AV45">
        <f t="shared" si="27"/>
        <v>0.30387965203588996</v>
      </c>
      <c r="AW45">
        <v>0.5</v>
      </c>
      <c r="AX45">
        <f t="shared" si="28"/>
        <v>1513.1093999209961</v>
      </c>
      <c r="AY45">
        <f t="shared" si="29"/>
        <v>45.966505550201042</v>
      </c>
      <c r="AZ45">
        <f t="shared" si="30"/>
        <v>229.90157897011329</v>
      </c>
      <c r="BA45">
        <f t="shared" si="31"/>
        <v>3.4785971581149253E-2</v>
      </c>
      <c r="BB45">
        <f t="shared" si="32"/>
        <v>1.8756373285743082</v>
      </c>
      <c r="BC45">
        <f t="shared" si="33"/>
        <v>576.10909968799763</v>
      </c>
      <c r="BD45" t="s">
        <v>567</v>
      </c>
      <c r="BE45">
        <v>559.36</v>
      </c>
      <c r="BF45">
        <f t="shared" si="34"/>
        <v>559.36</v>
      </c>
      <c r="BG45">
        <f t="shared" si="35"/>
        <v>0.50546139160804882</v>
      </c>
      <c r="BH45">
        <f t="shared" si="36"/>
        <v>0.6011926075484082</v>
      </c>
      <c r="BI45">
        <f t="shared" si="37"/>
        <v>0.78771926282445881</v>
      </c>
      <c r="BJ45">
        <f t="shared" si="38"/>
        <v>1.2808335261449224</v>
      </c>
      <c r="BK45">
        <f t="shared" si="39"/>
        <v>0.88771227305091349</v>
      </c>
      <c r="BL45">
        <f t="shared" si="40"/>
        <v>0.42709993520810979</v>
      </c>
      <c r="BM45">
        <f t="shared" si="41"/>
        <v>0.57290006479189026</v>
      </c>
      <c r="BN45">
        <v>4928</v>
      </c>
      <c r="BO45">
        <v>290.00000000000011</v>
      </c>
      <c r="BP45">
        <v>1045.47</v>
      </c>
      <c r="BQ45">
        <v>205</v>
      </c>
      <c r="BR45">
        <v>10040.6</v>
      </c>
      <c r="BS45">
        <v>1043.71</v>
      </c>
      <c r="BT45">
        <v>1.76</v>
      </c>
      <c r="BU45">
        <v>300.00000000000011</v>
      </c>
      <c r="BV45">
        <v>24.1</v>
      </c>
      <c r="BW45">
        <v>1131.074481361168</v>
      </c>
      <c r="BX45">
        <v>2.3069607597206421</v>
      </c>
      <c r="BY45">
        <v>-87.715428981228186</v>
      </c>
      <c r="BZ45">
        <v>2.063249498163549</v>
      </c>
      <c r="CA45">
        <v>0.9847442695551365</v>
      </c>
      <c r="CB45">
        <v>-6.8383555061179262E-3</v>
      </c>
      <c r="CC45">
        <v>289.99999999999989</v>
      </c>
      <c r="CD45">
        <v>1043.29</v>
      </c>
      <c r="CE45">
        <v>815</v>
      </c>
      <c r="CF45">
        <v>10021.1</v>
      </c>
      <c r="CG45">
        <v>1043.54</v>
      </c>
      <c r="CH45">
        <v>-0.25</v>
      </c>
      <c r="CV45">
        <f t="shared" si="42"/>
        <v>1799.91</v>
      </c>
      <c r="CW45">
        <f t="shared" si="43"/>
        <v>1513.1093999209961</v>
      </c>
      <c r="CX45">
        <f t="shared" si="44"/>
        <v>0.84065836620775269</v>
      </c>
      <c r="CY45">
        <f t="shared" si="45"/>
        <v>0.16087064678096261</v>
      </c>
      <c r="CZ45">
        <v>6</v>
      </c>
      <c r="DA45">
        <v>0.5</v>
      </c>
      <c r="DB45" t="s">
        <v>418</v>
      </c>
      <c r="DC45">
        <v>2</v>
      </c>
      <c r="DD45">
        <v>1639672499.0999999</v>
      </c>
      <c r="DE45">
        <v>342.85500000000002</v>
      </c>
      <c r="DF45">
        <v>400.05500000000001</v>
      </c>
      <c r="DG45">
        <v>24.883299999999998</v>
      </c>
      <c r="DH45">
        <v>19.0425</v>
      </c>
      <c r="DI45">
        <v>344.89499999999998</v>
      </c>
      <c r="DJ45">
        <v>24.875399999999999</v>
      </c>
      <c r="DK45">
        <v>500.12200000000001</v>
      </c>
      <c r="DL45">
        <v>99.691900000000004</v>
      </c>
      <c r="DM45">
        <v>0.100093</v>
      </c>
      <c r="DN45">
        <v>27.9941</v>
      </c>
      <c r="DO45">
        <v>27.777999999999999</v>
      </c>
      <c r="DP45">
        <v>999.9</v>
      </c>
      <c r="DQ45">
        <v>0</v>
      </c>
      <c r="DR45">
        <v>0</v>
      </c>
      <c r="DS45">
        <v>10018.799999999999</v>
      </c>
      <c r="DT45">
        <v>0</v>
      </c>
      <c r="DU45">
        <v>358.05500000000001</v>
      </c>
      <c r="DV45">
        <v>-57.200200000000002</v>
      </c>
      <c r="DW45">
        <v>351.60399999999998</v>
      </c>
      <c r="DX45">
        <v>407.82100000000003</v>
      </c>
      <c r="DY45">
        <v>5.8408600000000002</v>
      </c>
      <c r="DZ45">
        <v>400.05500000000001</v>
      </c>
      <c r="EA45">
        <v>19.0425</v>
      </c>
      <c r="EB45">
        <v>2.4806699999999999</v>
      </c>
      <c r="EC45">
        <v>1.89838</v>
      </c>
      <c r="ED45">
        <v>20.900200000000002</v>
      </c>
      <c r="EE45">
        <v>16.621300000000002</v>
      </c>
      <c r="EF45">
        <v>1799.91</v>
      </c>
      <c r="EG45">
        <v>0.97799499999999995</v>
      </c>
      <c r="EH45">
        <v>2.2004699999999999E-2</v>
      </c>
      <c r="EI45">
        <v>0</v>
      </c>
      <c r="EJ45">
        <v>787.08900000000006</v>
      </c>
      <c r="EK45">
        <v>5.0001199999999999</v>
      </c>
      <c r="EL45">
        <v>14098.6</v>
      </c>
      <c r="EM45">
        <v>15629.2</v>
      </c>
      <c r="EN45">
        <v>47</v>
      </c>
      <c r="EO45">
        <v>47.686999999999998</v>
      </c>
      <c r="EP45">
        <v>47.686999999999998</v>
      </c>
      <c r="EQ45">
        <v>47.375</v>
      </c>
      <c r="ER45">
        <v>48.5</v>
      </c>
      <c r="ES45">
        <v>1755.41</v>
      </c>
      <c r="ET45">
        <v>39.5</v>
      </c>
      <c r="EU45">
        <v>0</v>
      </c>
      <c r="EV45">
        <v>1148.599999904633</v>
      </c>
      <c r="EW45">
        <v>0</v>
      </c>
      <c r="EX45">
        <v>787.36396153846158</v>
      </c>
      <c r="EY45">
        <v>4.6051266455129518E-2</v>
      </c>
      <c r="EZ45">
        <v>-27.22051271011669</v>
      </c>
      <c r="FA45">
        <v>14102.284615384609</v>
      </c>
      <c r="FB45">
        <v>15</v>
      </c>
      <c r="FC45">
        <v>1639672462.0999999</v>
      </c>
      <c r="FD45" t="s">
        <v>568</v>
      </c>
      <c r="FE45">
        <v>1639672462.0999999</v>
      </c>
      <c r="FF45">
        <v>1639672461.0999999</v>
      </c>
      <c r="FG45">
        <v>32</v>
      </c>
      <c r="FH45">
        <v>0.20799999999999999</v>
      </c>
      <c r="FI45">
        <v>-0.01</v>
      </c>
      <c r="FJ45">
        <v>-2.1280000000000001</v>
      </c>
      <c r="FK45">
        <v>-8.2000000000000003E-2</v>
      </c>
      <c r="FL45">
        <v>400</v>
      </c>
      <c r="FM45">
        <v>19</v>
      </c>
      <c r="FN45">
        <v>0.02</v>
      </c>
      <c r="FO45">
        <v>0.01</v>
      </c>
      <c r="FP45">
        <v>45.903214107634007</v>
      </c>
      <c r="FQ45">
        <v>0.1073484564926272</v>
      </c>
      <c r="FR45">
        <v>5.169037432089682E-2</v>
      </c>
      <c r="FS45">
        <v>1</v>
      </c>
      <c r="FT45">
        <v>0.40746244000558313</v>
      </c>
      <c r="FU45">
        <v>4.7527772633813983E-2</v>
      </c>
      <c r="FV45">
        <v>5.2576932149231946E-3</v>
      </c>
      <c r="FW45">
        <v>1</v>
      </c>
      <c r="FX45">
        <v>2</v>
      </c>
      <c r="FY45">
        <v>2</v>
      </c>
      <c r="FZ45" t="s">
        <v>420</v>
      </c>
      <c r="GA45">
        <v>2.9227300000000001</v>
      </c>
      <c r="GB45">
        <v>2.7452299999999998</v>
      </c>
      <c r="GC45">
        <v>8.2049399999999995E-2</v>
      </c>
      <c r="GD45">
        <v>9.3640200000000007E-2</v>
      </c>
      <c r="GE45">
        <v>0.120216</v>
      </c>
      <c r="GF45">
        <v>0.10098</v>
      </c>
      <c r="GG45">
        <v>28634.1</v>
      </c>
      <c r="GH45">
        <v>27949.200000000001</v>
      </c>
      <c r="GI45">
        <v>28394.9</v>
      </c>
      <c r="GJ45">
        <v>28194.799999999999</v>
      </c>
      <c r="GK45">
        <v>34283.199999999997</v>
      </c>
      <c r="GL45">
        <v>35587.4</v>
      </c>
      <c r="GM45">
        <v>42729</v>
      </c>
      <c r="GN45">
        <v>43857.9</v>
      </c>
      <c r="GO45">
        <v>1.8092200000000001</v>
      </c>
      <c r="GP45">
        <v>1.99715</v>
      </c>
      <c r="GQ45">
        <v>7.1637300000000001E-2</v>
      </c>
      <c r="GR45">
        <v>0</v>
      </c>
      <c r="GS45">
        <v>26.6068</v>
      </c>
      <c r="GT45">
        <v>999.9</v>
      </c>
      <c r="GU45">
        <v>41.8</v>
      </c>
      <c r="GV45">
        <v>35</v>
      </c>
      <c r="GW45">
        <v>23.684000000000001</v>
      </c>
      <c r="GX45">
        <v>61.328299999999999</v>
      </c>
      <c r="GY45">
        <v>30.160299999999999</v>
      </c>
      <c r="GZ45">
        <v>1</v>
      </c>
      <c r="HA45">
        <v>0.25434499999999999</v>
      </c>
      <c r="HB45">
        <v>1.65469</v>
      </c>
      <c r="HC45">
        <v>20.268699999999999</v>
      </c>
      <c r="HD45">
        <v>5.2765899999999997</v>
      </c>
      <c r="HE45">
        <v>12.0878</v>
      </c>
      <c r="HF45">
        <v>5.0145499999999998</v>
      </c>
      <c r="HG45">
        <v>3.2918500000000002</v>
      </c>
      <c r="HH45">
        <v>9999</v>
      </c>
      <c r="HI45">
        <v>9999</v>
      </c>
      <c r="HJ45">
        <v>9999</v>
      </c>
      <c r="HK45">
        <v>999.9</v>
      </c>
      <c r="HL45">
        <v>1.8751899999999999</v>
      </c>
      <c r="HM45">
        <v>1.8756699999999999</v>
      </c>
      <c r="HN45">
        <v>1.8754599999999999</v>
      </c>
      <c r="HO45">
        <v>1.87941</v>
      </c>
      <c r="HP45">
        <v>1.87286</v>
      </c>
      <c r="HQ45">
        <v>1.8760699999999999</v>
      </c>
      <c r="HR45">
        <v>1.8757699999999999</v>
      </c>
      <c r="HS45">
        <v>1.8772800000000001</v>
      </c>
      <c r="HT45">
        <v>0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423</v>
      </c>
      <c r="IB45" t="s">
        <v>423</v>
      </c>
      <c r="IC45" t="s">
        <v>423</v>
      </c>
      <c r="ID45">
        <v>0</v>
      </c>
      <c r="IE45">
        <v>100</v>
      </c>
      <c r="IF45">
        <v>100</v>
      </c>
      <c r="IG45">
        <v>-2.04</v>
      </c>
      <c r="IH45">
        <v>7.9000000000000008E-3</v>
      </c>
      <c r="II45">
        <v>-1.506336971406125</v>
      </c>
      <c r="IJ45">
        <v>-1.5404112972462821E-3</v>
      </c>
      <c r="IK45">
        <v>-5.8697186733976997E-8</v>
      </c>
      <c r="IL45">
        <v>1.160237123038427E-10</v>
      </c>
      <c r="IM45">
        <v>-0.171888285939022</v>
      </c>
      <c r="IN45">
        <v>-3.128848753924141E-3</v>
      </c>
      <c r="IO45">
        <v>3.6841110403368089E-4</v>
      </c>
      <c r="IP45">
        <v>1.9296040270694169E-6</v>
      </c>
      <c r="IQ45">
        <v>1</v>
      </c>
      <c r="IR45">
        <v>1992</v>
      </c>
      <c r="IS45">
        <v>2</v>
      </c>
      <c r="IT45">
        <v>27</v>
      </c>
      <c r="IU45">
        <v>0.6</v>
      </c>
      <c r="IV45">
        <v>0.6</v>
      </c>
      <c r="IW45">
        <v>1.0449200000000001</v>
      </c>
      <c r="IX45">
        <v>2.6428199999999999</v>
      </c>
      <c r="IY45">
        <v>1.69434</v>
      </c>
      <c r="IZ45">
        <v>2.34741</v>
      </c>
      <c r="JA45">
        <v>1.5466299999999999</v>
      </c>
      <c r="JB45">
        <v>2.4352999999999998</v>
      </c>
      <c r="JC45">
        <v>38.747100000000003</v>
      </c>
      <c r="JD45">
        <v>24.105</v>
      </c>
      <c r="JE45">
        <v>18</v>
      </c>
      <c r="JF45">
        <v>533.47799999999995</v>
      </c>
      <c r="JG45">
        <v>542.27200000000005</v>
      </c>
      <c r="JH45">
        <v>25.398499999999999</v>
      </c>
      <c r="JI45">
        <v>30.4621</v>
      </c>
      <c r="JJ45">
        <v>30</v>
      </c>
      <c r="JK45">
        <v>30.4636</v>
      </c>
      <c r="JL45">
        <v>30.4284</v>
      </c>
      <c r="JM45">
        <v>21.002400000000002</v>
      </c>
      <c r="JN45">
        <v>23.631</v>
      </c>
      <c r="JO45">
        <v>40.3277</v>
      </c>
      <c r="JP45">
        <v>25.404199999999999</v>
      </c>
      <c r="JQ45">
        <v>400</v>
      </c>
      <c r="JR45">
        <v>18.979099999999999</v>
      </c>
      <c r="JS45">
        <v>99.561300000000003</v>
      </c>
      <c r="JT45">
        <v>98.787899999999993</v>
      </c>
    </row>
    <row r="46" spans="1:280" x14ac:dyDescent="0.25">
      <c r="A46">
        <v>30</v>
      </c>
      <c r="B46">
        <v>1639672617.5999999</v>
      </c>
      <c r="C46">
        <v>6015.5</v>
      </c>
      <c r="D46" t="s">
        <v>569</v>
      </c>
      <c r="E46" t="s">
        <v>570</v>
      </c>
      <c r="F46" t="s">
        <v>412</v>
      </c>
      <c r="G46" t="s">
        <v>564</v>
      </c>
      <c r="H46" t="s">
        <v>565</v>
      </c>
      <c r="I46">
        <v>1639672617.5999999</v>
      </c>
      <c r="J46">
        <f t="shared" si="0"/>
        <v>5.0731223961674411E-3</v>
      </c>
      <c r="K46">
        <f t="shared" si="1"/>
        <v>5.0731223961674408</v>
      </c>
      <c r="L46">
        <f t="shared" si="2"/>
        <v>40.637309509130091</v>
      </c>
      <c r="M46">
        <f t="shared" si="3"/>
        <v>249.77799999999999</v>
      </c>
      <c r="N46">
        <f t="shared" si="4"/>
        <v>81.511708738425853</v>
      </c>
      <c r="O46">
        <f t="shared" si="5"/>
        <v>8.1339264034629597</v>
      </c>
      <c r="P46">
        <f t="shared" si="6"/>
        <v>24.924957415920399</v>
      </c>
      <c r="Q46">
        <f t="shared" si="7"/>
        <v>0.42127108880358394</v>
      </c>
      <c r="R46">
        <f t="shared" si="8"/>
        <v>2.9260415189432591</v>
      </c>
      <c r="S46">
        <f t="shared" si="9"/>
        <v>0.39024504905998958</v>
      </c>
      <c r="T46">
        <f t="shared" si="10"/>
        <v>0.24650003169774748</v>
      </c>
      <c r="U46">
        <f t="shared" si="11"/>
        <v>289.56864584753083</v>
      </c>
      <c r="V46">
        <f t="shared" si="12"/>
        <v>28.386359685459663</v>
      </c>
      <c r="W46">
        <f t="shared" si="13"/>
        <v>27.767700000000001</v>
      </c>
      <c r="X46">
        <f t="shared" si="14"/>
        <v>3.7437514359247763</v>
      </c>
      <c r="Y46">
        <f t="shared" si="15"/>
        <v>65.544846549560816</v>
      </c>
      <c r="Z46">
        <f t="shared" si="16"/>
        <v>2.48701735613722</v>
      </c>
      <c r="AA46">
        <f t="shared" si="17"/>
        <v>3.7943751294874057</v>
      </c>
      <c r="AB46">
        <f t="shared" si="18"/>
        <v>1.2567340797875564</v>
      </c>
      <c r="AC46">
        <f t="shared" si="19"/>
        <v>-223.72469767098414</v>
      </c>
      <c r="AD46">
        <f t="shared" si="20"/>
        <v>36.31376233500572</v>
      </c>
      <c r="AE46">
        <f t="shared" si="21"/>
        <v>2.7020545962130025</v>
      </c>
      <c r="AF46">
        <f t="shared" si="22"/>
        <v>104.85976510776538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52594.129070421746</v>
      </c>
      <c r="AL46" t="s">
        <v>415</v>
      </c>
      <c r="AM46">
        <v>10204.299999999999</v>
      </c>
      <c r="AN46">
        <v>862.72538461538477</v>
      </c>
      <c r="AO46">
        <v>3252.56</v>
      </c>
      <c r="AP46">
        <f t="shared" si="26"/>
        <v>0.73475496697512588</v>
      </c>
      <c r="AQ46">
        <v>-6.6684750346205304</v>
      </c>
      <c r="AR46" t="s">
        <v>571</v>
      </c>
      <c r="AS46">
        <v>10040</v>
      </c>
      <c r="AT46">
        <v>783.62584000000004</v>
      </c>
      <c r="AU46">
        <v>1084.622313625279</v>
      </c>
      <c r="AV46">
        <f t="shared" si="27"/>
        <v>0.27751270635325398</v>
      </c>
      <c r="AW46">
        <v>0.5</v>
      </c>
      <c r="AX46">
        <f t="shared" si="28"/>
        <v>1513.1933999210003</v>
      </c>
      <c r="AY46">
        <f t="shared" si="29"/>
        <v>40.637309509130091</v>
      </c>
      <c r="AZ46">
        <f t="shared" si="30"/>
        <v>209.96519782397928</v>
      </c>
      <c r="BA46">
        <f t="shared" si="31"/>
        <v>3.1262219717730945E-2</v>
      </c>
      <c r="BB46">
        <f t="shared" si="32"/>
        <v>1.9987950267485568</v>
      </c>
      <c r="BC46">
        <f t="shared" si="33"/>
        <v>563.80998796028405</v>
      </c>
      <c r="BD46" t="s">
        <v>572</v>
      </c>
      <c r="BE46">
        <v>554.67999999999995</v>
      </c>
      <c r="BF46">
        <f t="shared" si="34"/>
        <v>554.67999999999995</v>
      </c>
      <c r="BG46">
        <f t="shared" si="35"/>
        <v>0.48859617487859131</v>
      </c>
      <c r="BH46">
        <f t="shared" si="36"/>
        <v>0.56797969493357514</v>
      </c>
      <c r="BI46">
        <f t="shared" si="37"/>
        <v>0.80357083575797328</v>
      </c>
      <c r="BJ46">
        <f t="shared" si="38"/>
        <v>1.3564697581364802</v>
      </c>
      <c r="BK46">
        <f t="shared" si="39"/>
        <v>0.90714967153734094</v>
      </c>
      <c r="BL46">
        <f t="shared" si="40"/>
        <v>0.4020375045133216</v>
      </c>
      <c r="BM46">
        <f t="shared" si="41"/>
        <v>0.59796249548667846</v>
      </c>
      <c r="BN46">
        <v>4930</v>
      </c>
      <c r="BO46">
        <v>290.00000000000011</v>
      </c>
      <c r="BP46">
        <v>1007.64</v>
      </c>
      <c r="BQ46">
        <v>215</v>
      </c>
      <c r="BR46">
        <v>10040</v>
      </c>
      <c r="BS46">
        <v>1006.56</v>
      </c>
      <c r="BT46">
        <v>1.08</v>
      </c>
      <c r="BU46">
        <v>300.00000000000011</v>
      </c>
      <c r="BV46">
        <v>24.1</v>
      </c>
      <c r="BW46">
        <v>1084.622313625279</v>
      </c>
      <c r="BX46">
        <v>2.564899924330907</v>
      </c>
      <c r="BY46">
        <v>-78.378166453224893</v>
      </c>
      <c r="BZ46">
        <v>2.2939883949642081</v>
      </c>
      <c r="CA46">
        <v>0.97657625003911175</v>
      </c>
      <c r="CB46">
        <v>-6.8382905450500532E-3</v>
      </c>
      <c r="CC46">
        <v>289.99999999999989</v>
      </c>
      <c r="CD46">
        <v>1006.61</v>
      </c>
      <c r="CE46">
        <v>675</v>
      </c>
      <c r="CF46">
        <v>10025.799999999999</v>
      </c>
      <c r="CG46">
        <v>1006.45</v>
      </c>
      <c r="CH46">
        <v>0.16</v>
      </c>
      <c r="CV46">
        <f t="shared" si="42"/>
        <v>1800.01</v>
      </c>
      <c r="CW46">
        <f t="shared" si="43"/>
        <v>1513.1933999210003</v>
      </c>
      <c r="CX46">
        <f t="shared" si="44"/>
        <v>0.84065832963205778</v>
      </c>
      <c r="CY46">
        <f t="shared" si="45"/>
        <v>0.16087057618987163</v>
      </c>
      <c r="CZ46">
        <v>6</v>
      </c>
      <c r="DA46">
        <v>0.5</v>
      </c>
      <c r="DB46" t="s">
        <v>418</v>
      </c>
      <c r="DC46">
        <v>2</v>
      </c>
      <c r="DD46">
        <v>1639672617.5999999</v>
      </c>
      <c r="DE46">
        <v>249.77799999999999</v>
      </c>
      <c r="DF46">
        <v>300.053</v>
      </c>
      <c r="DG46">
        <v>24.922899999999998</v>
      </c>
      <c r="DH46">
        <v>18.988099999999999</v>
      </c>
      <c r="DI46">
        <v>251.655</v>
      </c>
      <c r="DJ46">
        <v>24.915099999999999</v>
      </c>
      <c r="DK46">
        <v>500.10300000000001</v>
      </c>
      <c r="DL46">
        <v>99.688500000000005</v>
      </c>
      <c r="DM46">
        <v>9.9941799999999997E-2</v>
      </c>
      <c r="DN46">
        <v>27.997900000000001</v>
      </c>
      <c r="DO46">
        <v>27.767700000000001</v>
      </c>
      <c r="DP46">
        <v>999.9</v>
      </c>
      <c r="DQ46">
        <v>0</v>
      </c>
      <c r="DR46">
        <v>0</v>
      </c>
      <c r="DS46">
        <v>10011.200000000001</v>
      </c>
      <c r="DT46">
        <v>0</v>
      </c>
      <c r="DU46">
        <v>337.89699999999999</v>
      </c>
      <c r="DV46">
        <v>-50.275100000000002</v>
      </c>
      <c r="DW46">
        <v>256.16199999999998</v>
      </c>
      <c r="DX46">
        <v>305.86</v>
      </c>
      <c r="DY46">
        <v>5.9348799999999997</v>
      </c>
      <c r="DZ46">
        <v>300.053</v>
      </c>
      <c r="EA46">
        <v>18.988099999999999</v>
      </c>
      <c r="EB46">
        <v>2.4845299999999999</v>
      </c>
      <c r="EC46">
        <v>1.89289</v>
      </c>
      <c r="ED46">
        <v>20.9255</v>
      </c>
      <c r="EE46">
        <v>16.575700000000001</v>
      </c>
      <c r="EF46">
        <v>1800.01</v>
      </c>
      <c r="EG46">
        <v>0.97799499999999995</v>
      </c>
      <c r="EH46">
        <v>2.2004800000000001E-2</v>
      </c>
      <c r="EI46">
        <v>0</v>
      </c>
      <c r="EJ46">
        <v>783.26800000000003</v>
      </c>
      <c r="EK46">
        <v>5.0001199999999999</v>
      </c>
      <c r="EL46">
        <v>14017.5</v>
      </c>
      <c r="EM46">
        <v>15630</v>
      </c>
      <c r="EN46">
        <v>46.875</v>
      </c>
      <c r="EO46">
        <v>47.625</v>
      </c>
      <c r="EP46">
        <v>47.625</v>
      </c>
      <c r="EQ46">
        <v>47.311999999999998</v>
      </c>
      <c r="ER46">
        <v>48.436999999999998</v>
      </c>
      <c r="ES46">
        <v>1755.51</v>
      </c>
      <c r="ET46">
        <v>39.5</v>
      </c>
      <c r="EU46">
        <v>0</v>
      </c>
      <c r="EV46">
        <v>116.5999999046326</v>
      </c>
      <c r="EW46">
        <v>0</v>
      </c>
      <c r="EX46">
        <v>783.62584000000004</v>
      </c>
      <c r="EY46">
        <v>-1.651000002857266</v>
      </c>
      <c r="EZ46">
        <v>-47.138461607953602</v>
      </c>
      <c r="FA46">
        <v>14022.531999999999</v>
      </c>
      <c r="FB46">
        <v>15</v>
      </c>
      <c r="FC46">
        <v>1639672579.5999999</v>
      </c>
      <c r="FD46" t="s">
        <v>573</v>
      </c>
      <c r="FE46">
        <v>1639672576.5999999</v>
      </c>
      <c r="FF46">
        <v>1639672579.5999999</v>
      </c>
      <c r="FG46">
        <v>33</v>
      </c>
      <c r="FH46">
        <v>1.9E-2</v>
      </c>
      <c r="FI46">
        <v>-1E-3</v>
      </c>
      <c r="FJ46">
        <v>-1.9550000000000001</v>
      </c>
      <c r="FK46">
        <v>-8.5999999999999993E-2</v>
      </c>
      <c r="FL46">
        <v>300</v>
      </c>
      <c r="FM46">
        <v>19</v>
      </c>
      <c r="FN46">
        <v>0.03</v>
      </c>
      <c r="FO46">
        <v>0.02</v>
      </c>
      <c r="FP46">
        <v>40.58443914205337</v>
      </c>
      <c r="FQ46">
        <v>0.17760558728924511</v>
      </c>
      <c r="FR46">
        <v>3.8050783885388809E-2</v>
      </c>
      <c r="FS46">
        <v>1</v>
      </c>
      <c r="FT46">
        <v>0.4168366357854657</v>
      </c>
      <c r="FU46">
        <v>4.8923232403589832E-2</v>
      </c>
      <c r="FV46">
        <v>5.696019262240338E-3</v>
      </c>
      <c r="FW46">
        <v>1</v>
      </c>
      <c r="FX46">
        <v>2</v>
      </c>
      <c r="FY46">
        <v>2</v>
      </c>
      <c r="FZ46" t="s">
        <v>420</v>
      </c>
      <c r="GA46">
        <v>2.9227500000000002</v>
      </c>
      <c r="GB46">
        <v>2.7450100000000002</v>
      </c>
      <c r="GC46">
        <v>6.3383400000000006E-2</v>
      </c>
      <c r="GD46">
        <v>7.4638099999999999E-2</v>
      </c>
      <c r="GE46">
        <v>0.12035800000000001</v>
      </c>
      <c r="GF46">
        <v>0.100782</v>
      </c>
      <c r="GG46">
        <v>29218.2</v>
      </c>
      <c r="GH46">
        <v>28537.7</v>
      </c>
      <c r="GI46">
        <v>28396.7</v>
      </c>
      <c r="GJ46">
        <v>28197.4</v>
      </c>
      <c r="GK46">
        <v>34279.699999999997</v>
      </c>
      <c r="GL46">
        <v>35598.800000000003</v>
      </c>
      <c r="GM46">
        <v>42731.5</v>
      </c>
      <c r="GN46">
        <v>43862.3</v>
      </c>
      <c r="GO46">
        <v>1.80958</v>
      </c>
      <c r="GP46">
        <v>1.9973700000000001</v>
      </c>
      <c r="GQ46">
        <v>7.1995000000000003E-2</v>
      </c>
      <c r="GR46">
        <v>0</v>
      </c>
      <c r="GS46">
        <v>26.590599999999998</v>
      </c>
      <c r="GT46">
        <v>999.9</v>
      </c>
      <c r="GU46">
        <v>41.5</v>
      </c>
      <c r="GV46">
        <v>34.9</v>
      </c>
      <c r="GW46">
        <v>23.381799999999998</v>
      </c>
      <c r="GX46">
        <v>61.438299999999998</v>
      </c>
      <c r="GY46">
        <v>30.208300000000001</v>
      </c>
      <c r="GZ46">
        <v>1</v>
      </c>
      <c r="HA46">
        <v>0.25115300000000002</v>
      </c>
      <c r="HB46">
        <v>1.6763300000000001</v>
      </c>
      <c r="HC46">
        <v>20.2684</v>
      </c>
      <c r="HD46">
        <v>5.2759900000000002</v>
      </c>
      <c r="HE46">
        <v>12.0878</v>
      </c>
      <c r="HF46">
        <v>5.0133999999999999</v>
      </c>
      <c r="HG46">
        <v>3.2918799999999999</v>
      </c>
      <c r="HH46">
        <v>9999</v>
      </c>
      <c r="HI46">
        <v>9999</v>
      </c>
      <c r="HJ46">
        <v>9999</v>
      </c>
      <c r="HK46">
        <v>999.9</v>
      </c>
      <c r="HL46">
        <v>1.8751899999999999</v>
      </c>
      <c r="HM46">
        <v>1.87564</v>
      </c>
      <c r="HN46">
        <v>1.8754599999999999</v>
      </c>
      <c r="HO46">
        <v>1.8793599999999999</v>
      </c>
      <c r="HP46">
        <v>1.87286</v>
      </c>
      <c r="HQ46">
        <v>1.8760600000000001</v>
      </c>
      <c r="HR46">
        <v>1.87578</v>
      </c>
      <c r="HS46">
        <v>1.87723</v>
      </c>
      <c r="HT46">
        <v>0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423</v>
      </c>
      <c r="IB46" t="s">
        <v>423</v>
      </c>
      <c r="IC46" t="s">
        <v>423</v>
      </c>
      <c r="ID46">
        <v>0</v>
      </c>
      <c r="IE46">
        <v>100</v>
      </c>
      <c r="IF46">
        <v>100</v>
      </c>
      <c r="IG46">
        <v>-1.877</v>
      </c>
      <c r="IH46">
        <v>7.7999999999999996E-3</v>
      </c>
      <c r="II46">
        <v>-1.4875750751446639</v>
      </c>
      <c r="IJ46">
        <v>-1.5404112972462821E-3</v>
      </c>
      <c r="IK46">
        <v>-5.8697186733976997E-8</v>
      </c>
      <c r="IL46">
        <v>1.160237123038427E-10</v>
      </c>
      <c r="IM46">
        <v>-0.1727827241287592</v>
      </c>
      <c r="IN46">
        <v>-3.128848753924141E-3</v>
      </c>
      <c r="IO46">
        <v>3.6841110403368089E-4</v>
      </c>
      <c r="IP46">
        <v>1.9296040270694169E-6</v>
      </c>
      <c r="IQ46">
        <v>1</v>
      </c>
      <c r="IR46">
        <v>1992</v>
      </c>
      <c r="IS46">
        <v>2</v>
      </c>
      <c r="IT46">
        <v>27</v>
      </c>
      <c r="IU46">
        <v>0.7</v>
      </c>
      <c r="IV46">
        <v>0.6</v>
      </c>
      <c r="IW46">
        <v>0.83374000000000004</v>
      </c>
      <c r="IX46">
        <v>2.65381</v>
      </c>
      <c r="IY46">
        <v>1.69434</v>
      </c>
      <c r="IZ46">
        <v>2.34741</v>
      </c>
      <c r="JA46">
        <v>1.5466299999999999</v>
      </c>
      <c r="JB46">
        <v>2.36328</v>
      </c>
      <c r="JC46">
        <v>38.697899999999997</v>
      </c>
      <c r="JD46">
        <v>24.105</v>
      </c>
      <c r="JE46">
        <v>18</v>
      </c>
      <c r="JF46">
        <v>533.39499999999998</v>
      </c>
      <c r="JG46">
        <v>542.07799999999997</v>
      </c>
      <c r="JH46">
        <v>25.420100000000001</v>
      </c>
      <c r="JI46">
        <v>30.4251</v>
      </c>
      <c r="JJ46">
        <v>29.9999</v>
      </c>
      <c r="JK46">
        <v>30.426600000000001</v>
      </c>
      <c r="JL46">
        <v>30.3904</v>
      </c>
      <c r="JM46">
        <v>16.765699999999999</v>
      </c>
      <c r="JN46">
        <v>23.138200000000001</v>
      </c>
      <c r="JO46">
        <v>40.434399999999997</v>
      </c>
      <c r="JP46">
        <v>25.418199999999999</v>
      </c>
      <c r="JQ46">
        <v>300</v>
      </c>
      <c r="JR46">
        <v>18.861000000000001</v>
      </c>
      <c r="JS46">
        <v>99.567400000000006</v>
      </c>
      <c r="JT46">
        <v>98.797399999999996</v>
      </c>
    </row>
    <row r="47" spans="1:280" x14ac:dyDescent="0.25">
      <c r="A47">
        <v>31</v>
      </c>
      <c r="B47">
        <v>1639672733.0999999</v>
      </c>
      <c r="C47">
        <v>6131</v>
      </c>
      <c r="D47" t="s">
        <v>574</v>
      </c>
      <c r="E47" t="s">
        <v>575</v>
      </c>
      <c r="F47" t="s">
        <v>412</v>
      </c>
      <c r="G47" t="s">
        <v>564</v>
      </c>
      <c r="H47" t="s">
        <v>565</v>
      </c>
      <c r="I47">
        <v>1639672733.0999999</v>
      </c>
      <c r="J47">
        <f t="shared" si="0"/>
        <v>5.3362801792602157E-3</v>
      </c>
      <c r="K47">
        <f t="shared" si="1"/>
        <v>5.3362801792602159</v>
      </c>
      <c r="L47">
        <f t="shared" si="2"/>
        <v>29.725405822186289</v>
      </c>
      <c r="M47">
        <f t="shared" si="3"/>
        <v>163.34</v>
      </c>
      <c r="N47">
        <f t="shared" si="4"/>
        <v>47.61772711948494</v>
      </c>
      <c r="O47">
        <f t="shared" si="5"/>
        <v>4.7519241755370061</v>
      </c>
      <c r="P47">
        <f t="shared" si="6"/>
        <v>16.300217204499997</v>
      </c>
      <c r="Q47">
        <f t="shared" si="7"/>
        <v>0.4492267102630248</v>
      </c>
      <c r="R47">
        <f t="shared" si="8"/>
        <v>2.9221862800365059</v>
      </c>
      <c r="S47">
        <f t="shared" si="9"/>
        <v>0.41408758518444888</v>
      </c>
      <c r="T47">
        <f t="shared" si="10"/>
        <v>0.26173242053761009</v>
      </c>
      <c r="U47">
        <f t="shared" si="11"/>
        <v>289.58141384753759</v>
      </c>
      <c r="V47">
        <f t="shared" si="12"/>
        <v>28.312661662652747</v>
      </c>
      <c r="W47">
        <f t="shared" si="13"/>
        <v>27.723500000000001</v>
      </c>
      <c r="X47">
        <f t="shared" si="14"/>
        <v>3.7340990714628384</v>
      </c>
      <c r="Y47">
        <f t="shared" si="15"/>
        <v>65.59710226937419</v>
      </c>
      <c r="Z47">
        <f t="shared" si="16"/>
        <v>2.4881731702274998</v>
      </c>
      <c r="AA47">
        <f t="shared" si="17"/>
        <v>3.793114458028692</v>
      </c>
      <c r="AB47">
        <f t="shared" si="18"/>
        <v>1.2459259012353385</v>
      </c>
      <c r="AC47">
        <f t="shared" si="19"/>
        <v>-235.3299559053755</v>
      </c>
      <c r="AD47">
        <f t="shared" si="20"/>
        <v>42.331241638170312</v>
      </c>
      <c r="AE47">
        <f t="shared" si="21"/>
        <v>3.1531777041721183</v>
      </c>
      <c r="AF47">
        <f t="shared" si="22"/>
        <v>99.735877284504497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52484.365587597873</v>
      </c>
      <c r="AL47" t="s">
        <v>415</v>
      </c>
      <c r="AM47">
        <v>10204.299999999999</v>
      </c>
      <c r="AN47">
        <v>862.72538461538477</v>
      </c>
      <c r="AO47">
        <v>3252.56</v>
      </c>
      <c r="AP47">
        <f t="shared" si="26"/>
        <v>0.73475496697512588</v>
      </c>
      <c r="AQ47">
        <v>-6.6684750346205304</v>
      </c>
      <c r="AR47" t="s">
        <v>576</v>
      </c>
      <c r="AS47">
        <v>10045</v>
      </c>
      <c r="AT47">
        <v>793.15603999999996</v>
      </c>
      <c r="AU47">
        <v>1021.581613984958</v>
      </c>
      <c r="AV47">
        <f t="shared" si="27"/>
        <v>0.22359992668027939</v>
      </c>
      <c r="AW47">
        <v>0.5</v>
      </c>
      <c r="AX47">
        <f t="shared" si="28"/>
        <v>1513.2605999210039</v>
      </c>
      <c r="AY47">
        <f t="shared" si="29"/>
        <v>29.725405822186289</v>
      </c>
      <c r="AZ47">
        <f t="shared" si="30"/>
        <v>169.18247959524604</v>
      </c>
      <c r="BA47">
        <f t="shared" si="31"/>
        <v>2.4049975832785623E-2</v>
      </c>
      <c r="BB47">
        <f t="shared" si="32"/>
        <v>2.1838474336989107</v>
      </c>
      <c r="BC47">
        <f t="shared" si="33"/>
        <v>546.28641788335403</v>
      </c>
      <c r="BD47" t="s">
        <v>577</v>
      </c>
      <c r="BE47">
        <v>546.09</v>
      </c>
      <c r="BF47">
        <f t="shared" si="34"/>
        <v>546.09</v>
      </c>
      <c r="BG47">
        <f t="shared" si="35"/>
        <v>0.46544652671476061</v>
      </c>
      <c r="BH47">
        <f t="shared" si="36"/>
        <v>0.48039874367202662</v>
      </c>
      <c r="BI47">
        <f t="shared" si="37"/>
        <v>0.82431299294469995</v>
      </c>
      <c r="BJ47">
        <f t="shared" si="38"/>
        <v>1.4379390401715644</v>
      </c>
      <c r="BK47">
        <f t="shared" si="39"/>
        <v>0.9335283586793276</v>
      </c>
      <c r="BL47">
        <f t="shared" si="40"/>
        <v>0.33075578663166588</v>
      </c>
      <c r="BM47">
        <f t="shared" si="41"/>
        <v>0.66924421336833406</v>
      </c>
      <c r="BN47">
        <v>4932</v>
      </c>
      <c r="BO47">
        <v>290.00000000000011</v>
      </c>
      <c r="BP47">
        <v>957.74</v>
      </c>
      <c r="BQ47">
        <v>155</v>
      </c>
      <c r="BR47">
        <v>10045</v>
      </c>
      <c r="BS47">
        <v>958.03</v>
      </c>
      <c r="BT47">
        <v>-0.28999999999999998</v>
      </c>
      <c r="BU47">
        <v>300.00000000000011</v>
      </c>
      <c r="BV47">
        <v>24.1</v>
      </c>
      <c r="BW47">
        <v>1021.581613984958</v>
      </c>
      <c r="BX47">
        <v>2.0838212898713069</v>
      </c>
      <c r="BY47">
        <v>-63.835977704491469</v>
      </c>
      <c r="BZ47">
        <v>1.863755750463135</v>
      </c>
      <c r="CA47">
        <v>0.97668897968012591</v>
      </c>
      <c r="CB47">
        <v>-6.8382173526140219E-3</v>
      </c>
      <c r="CC47">
        <v>289.99999999999989</v>
      </c>
      <c r="CD47">
        <v>956.59</v>
      </c>
      <c r="CE47">
        <v>675</v>
      </c>
      <c r="CF47">
        <v>10026</v>
      </c>
      <c r="CG47">
        <v>957.91</v>
      </c>
      <c r="CH47">
        <v>-1.32</v>
      </c>
      <c r="CV47">
        <f t="shared" si="42"/>
        <v>1800.09</v>
      </c>
      <c r="CW47">
        <f t="shared" si="43"/>
        <v>1513.2605999210039</v>
      </c>
      <c r="CX47">
        <f t="shared" si="44"/>
        <v>0.8406583003744279</v>
      </c>
      <c r="CY47">
        <f t="shared" si="45"/>
        <v>0.16087051972264588</v>
      </c>
      <c r="CZ47">
        <v>6</v>
      </c>
      <c r="DA47">
        <v>0.5</v>
      </c>
      <c r="DB47" t="s">
        <v>418</v>
      </c>
      <c r="DC47">
        <v>2</v>
      </c>
      <c r="DD47">
        <v>1639672733.0999999</v>
      </c>
      <c r="DE47">
        <v>163.34</v>
      </c>
      <c r="DF47">
        <v>200.05600000000001</v>
      </c>
      <c r="DG47">
        <v>24.933299999999999</v>
      </c>
      <c r="DH47">
        <v>18.689499999999999</v>
      </c>
      <c r="DI47">
        <v>165.05199999999999</v>
      </c>
      <c r="DJ47">
        <v>24.927099999999999</v>
      </c>
      <c r="DK47">
        <v>500.00599999999997</v>
      </c>
      <c r="DL47">
        <v>99.692999999999998</v>
      </c>
      <c r="DM47">
        <v>0.100175</v>
      </c>
      <c r="DN47">
        <v>27.9922</v>
      </c>
      <c r="DO47">
        <v>27.723500000000001</v>
      </c>
      <c r="DP47">
        <v>999.9</v>
      </c>
      <c r="DQ47">
        <v>0</v>
      </c>
      <c r="DR47">
        <v>0</v>
      </c>
      <c r="DS47">
        <v>9988.75</v>
      </c>
      <c r="DT47">
        <v>0</v>
      </c>
      <c r="DU47">
        <v>349.51400000000001</v>
      </c>
      <c r="DV47">
        <v>-36.7166</v>
      </c>
      <c r="DW47">
        <v>167.517</v>
      </c>
      <c r="DX47">
        <v>203.86699999999999</v>
      </c>
      <c r="DY47">
        <v>6.2438000000000002</v>
      </c>
      <c r="DZ47">
        <v>200.05600000000001</v>
      </c>
      <c r="EA47">
        <v>18.689499999999999</v>
      </c>
      <c r="EB47">
        <v>2.4856799999999999</v>
      </c>
      <c r="EC47">
        <v>1.86321</v>
      </c>
      <c r="ED47">
        <v>20.933</v>
      </c>
      <c r="EE47">
        <v>16.327500000000001</v>
      </c>
      <c r="EF47">
        <v>1800.09</v>
      </c>
      <c r="EG47">
        <v>0.97799499999999995</v>
      </c>
      <c r="EH47">
        <v>2.2004800000000001E-2</v>
      </c>
      <c r="EI47">
        <v>0</v>
      </c>
      <c r="EJ47">
        <v>792.56799999999998</v>
      </c>
      <c r="EK47">
        <v>5.0001199999999999</v>
      </c>
      <c r="EL47">
        <v>14174.4</v>
      </c>
      <c r="EM47">
        <v>15630.8</v>
      </c>
      <c r="EN47">
        <v>46.811999999999998</v>
      </c>
      <c r="EO47">
        <v>47.5</v>
      </c>
      <c r="EP47">
        <v>47.561999999999998</v>
      </c>
      <c r="EQ47">
        <v>47.25</v>
      </c>
      <c r="ER47">
        <v>48.375</v>
      </c>
      <c r="ES47">
        <v>1755.59</v>
      </c>
      <c r="ET47">
        <v>39.5</v>
      </c>
      <c r="EU47">
        <v>0</v>
      </c>
      <c r="EV47">
        <v>113.5999999046326</v>
      </c>
      <c r="EW47">
        <v>0</v>
      </c>
      <c r="EX47">
        <v>793.15603999999996</v>
      </c>
      <c r="EY47">
        <v>-4.6606923035998253</v>
      </c>
      <c r="EZ47">
        <v>-92.900000108532751</v>
      </c>
      <c r="FA47">
        <v>14184.316000000001</v>
      </c>
      <c r="FB47">
        <v>15</v>
      </c>
      <c r="FC47">
        <v>1639672693.5999999</v>
      </c>
      <c r="FD47" t="s">
        <v>578</v>
      </c>
      <c r="FE47">
        <v>1639672693.5999999</v>
      </c>
      <c r="FF47">
        <v>1639672692.0999999</v>
      </c>
      <c r="FG47">
        <v>34</v>
      </c>
      <c r="FH47">
        <v>0.03</v>
      </c>
      <c r="FI47">
        <v>-2E-3</v>
      </c>
      <c r="FJ47">
        <v>-1.7689999999999999</v>
      </c>
      <c r="FK47">
        <v>-0.09</v>
      </c>
      <c r="FL47">
        <v>200</v>
      </c>
      <c r="FM47">
        <v>19</v>
      </c>
      <c r="FN47">
        <v>0.04</v>
      </c>
      <c r="FO47">
        <v>0.01</v>
      </c>
      <c r="FP47">
        <v>29.635950296633229</v>
      </c>
      <c r="FQ47">
        <v>0.27559645801567978</v>
      </c>
      <c r="FR47">
        <v>3.3002863210162221E-2</v>
      </c>
      <c r="FS47">
        <v>1</v>
      </c>
      <c r="FT47">
        <v>0.44503498596312968</v>
      </c>
      <c r="FU47">
        <v>4.5761438403118637E-2</v>
      </c>
      <c r="FV47">
        <v>4.8380066867759822E-3</v>
      </c>
      <c r="FW47">
        <v>1</v>
      </c>
      <c r="FX47">
        <v>2</v>
      </c>
      <c r="FY47">
        <v>2</v>
      </c>
      <c r="FZ47" t="s">
        <v>420</v>
      </c>
      <c r="GA47">
        <v>2.92258</v>
      </c>
      <c r="GB47">
        <v>2.74505</v>
      </c>
      <c r="GC47">
        <v>4.38109E-2</v>
      </c>
      <c r="GD47">
        <v>5.2999600000000001E-2</v>
      </c>
      <c r="GE47">
        <v>0.12041399999999999</v>
      </c>
      <c r="GF47">
        <v>9.9664799999999998E-2</v>
      </c>
      <c r="GG47">
        <v>29831.1</v>
      </c>
      <c r="GH47">
        <v>29207.4</v>
      </c>
      <c r="GI47">
        <v>28399.1</v>
      </c>
      <c r="GJ47">
        <v>28199.8</v>
      </c>
      <c r="GK47">
        <v>34280.699999999997</v>
      </c>
      <c r="GL47">
        <v>35645.9</v>
      </c>
      <c r="GM47">
        <v>42735.3</v>
      </c>
      <c r="GN47">
        <v>43865.7</v>
      </c>
      <c r="GO47">
        <v>1.81047</v>
      </c>
      <c r="GP47">
        <v>1.99752</v>
      </c>
      <c r="GQ47">
        <v>7.2274400000000003E-2</v>
      </c>
      <c r="GR47">
        <v>0</v>
      </c>
      <c r="GS47">
        <v>26.541799999999999</v>
      </c>
      <c r="GT47">
        <v>999.9</v>
      </c>
      <c r="GU47">
        <v>41.4</v>
      </c>
      <c r="GV47">
        <v>34.9</v>
      </c>
      <c r="GW47">
        <v>23.325099999999999</v>
      </c>
      <c r="GX47">
        <v>61.328400000000002</v>
      </c>
      <c r="GY47">
        <v>30.3245</v>
      </c>
      <c r="GZ47">
        <v>1</v>
      </c>
      <c r="HA47">
        <v>0.247525</v>
      </c>
      <c r="HB47">
        <v>1.5610200000000001</v>
      </c>
      <c r="HC47">
        <v>20.269500000000001</v>
      </c>
      <c r="HD47">
        <v>5.2746399999999998</v>
      </c>
      <c r="HE47">
        <v>12.0878</v>
      </c>
      <c r="HF47">
        <v>5.0143000000000004</v>
      </c>
      <c r="HG47">
        <v>3.2919499999999999</v>
      </c>
      <c r="HH47">
        <v>9999</v>
      </c>
      <c r="HI47">
        <v>9999</v>
      </c>
      <c r="HJ47">
        <v>9999</v>
      </c>
      <c r="HK47">
        <v>999.9</v>
      </c>
      <c r="HL47">
        <v>1.8751800000000001</v>
      </c>
      <c r="HM47">
        <v>1.87565</v>
      </c>
      <c r="HN47">
        <v>1.8754599999999999</v>
      </c>
      <c r="HO47">
        <v>1.8794</v>
      </c>
      <c r="HP47">
        <v>1.87286</v>
      </c>
      <c r="HQ47">
        <v>1.8760699999999999</v>
      </c>
      <c r="HR47">
        <v>1.87578</v>
      </c>
      <c r="HS47">
        <v>1.8772200000000001</v>
      </c>
      <c r="HT47">
        <v>0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423</v>
      </c>
      <c r="IB47" t="s">
        <v>423</v>
      </c>
      <c r="IC47" t="s">
        <v>423</v>
      </c>
      <c r="ID47">
        <v>0</v>
      </c>
      <c r="IE47">
        <v>100</v>
      </c>
      <c r="IF47">
        <v>100</v>
      </c>
      <c r="IG47">
        <v>-1.712</v>
      </c>
      <c r="IH47">
        <v>6.1999999999999998E-3</v>
      </c>
      <c r="II47">
        <v>-1.45719706831746</v>
      </c>
      <c r="IJ47">
        <v>-1.5404112972462821E-3</v>
      </c>
      <c r="IK47">
        <v>-5.8697186733976997E-8</v>
      </c>
      <c r="IL47">
        <v>1.160237123038427E-10</v>
      </c>
      <c r="IM47">
        <v>-0.17460663369366081</v>
      </c>
      <c r="IN47">
        <v>-3.128848753924141E-3</v>
      </c>
      <c r="IO47">
        <v>3.6841110403368089E-4</v>
      </c>
      <c r="IP47">
        <v>1.9296040270694169E-6</v>
      </c>
      <c r="IQ47">
        <v>1</v>
      </c>
      <c r="IR47">
        <v>1992</v>
      </c>
      <c r="IS47">
        <v>2</v>
      </c>
      <c r="IT47">
        <v>27</v>
      </c>
      <c r="IU47">
        <v>0.7</v>
      </c>
      <c r="IV47">
        <v>0.7</v>
      </c>
      <c r="IW47">
        <v>0.61279300000000003</v>
      </c>
      <c r="IX47">
        <v>2.65869</v>
      </c>
      <c r="IY47">
        <v>1.69434</v>
      </c>
      <c r="IZ47">
        <v>2.34619</v>
      </c>
      <c r="JA47">
        <v>1.5466299999999999</v>
      </c>
      <c r="JB47">
        <v>2.4194300000000002</v>
      </c>
      <c r="JC47">
        <v>38.673299999999998</v>
      </c>
      <c r="JD47">
        <v>24.105</v>
      </c>
      <c r="JE47">
        <v>18</v>
      </c>
      <c r="JF47">
        <v>533.73400000000004</v>
      </c>
      <c r="JG47">
        <v>541.80100000000004</v>
      </c>
      <c r="JH47">
        <v>25.4574</v>
      </c>
      <c r="JI47">
        <v>30.3843</v>
      </c>
      <c r="JJ47">
        <v>29.9999</v>
      </c>
      <c r="JK47">
        <v>30.385999999999999</v>
      </c>
      <c r="JL47">
        <v>30.349699999999999</v>
      </c>
      <c r="JM47">
        <v>12.3507</v>
      </c>
      <c r="JN47">
        <v>24.183199999999999</v>
      </c>
      <c r="JO47">
        <v>40.325800000000001</v>
      </c>
      <c r="JP47">
        <v>25.4648</v>
      </c>
      <c r="JQ47">
        <v>200</v>
      </c>
      <c r="JR47">
        <v>18.584199999999999</v>
      </c>
      <c r="JS47">
        <v>99.5762</v>
      </c>
      <c r="JT47">
        <v>98.805400000000006</v>
      </c>
    </row>
    <row r="48" spans="1:280" x14ac:dyDescent="0.25">
      <c r="A48">
        <v>32</v>
      </c>
      <c r="B48">
        <v>1639672849.5999999</v>
      </c>
      <c r="C48">
        <v>6247.5</v>
      </c>
      <c r="D48" t="s">
        <v>579</v>
      </c>
      <c r="E48" t="s">
        <v>580</v>
      </c>
      <c r="F48" t="s">
        <v>412</v>
      </c>
      <c r="G48" t="s">
        <v>564</v>
      </c>
      <c r="H48" t="s">
        <v>565</v>
      </c>
      <c r="I48">
        <v>1639672849.5999999</v>
      </c>
      <c r="J48">
        <f t="shared" si="0"/>
        <v>5.5923440124841699E-3</v>
      </c>
      <c r="K48">
        <f t="shared" si="1"/>
        <v>5.5923440124841699</v>
      </c>
      <c r="L48">
        <f t="shared" si="2"/>
        <v>18.797565826047968</v>
      </c>
      <c r="M48">
        <f t="shared" si="3"/>
        <v>96.807199999999995</v>
      </c>
      <c r="N48">
        <f t="shared" si="4"/>
        <v>27.157538878089227</v>
      </c>
      <c r="O48">
        <f t="shared" si="5"/>
        <v>2.7102353944362787</v>
      </c>
      <c r="P48">
        <f t="shared" si="6"/>
        <v>9.6610484865383999</v>
      </c>
      <c r="Q48">
        <f t="shared" si="7"/>
        <v>0.47347658857523955</v>
      </c>
      <c r="R48">
        <f t="shared" si="8"/>
        <v>2.922689725468202</v>
      </c>
      <c r="S48">
        <f t="shared" si="9"/>
        <v>0.43462315502981402</v>
      </c>
      <c r="T48">
        <f t="shared" si="10"/>
        <v>0.27486411635443708</v>
      </c>
      <c r="U48">
        <f t="shared" si="11"/>
        <v>289.55108984752155</v>
      </c>
      <c r="V48">
        <f t="shared" si="12"/>
        <v>28.245338019353831</v>
      </c>
      <c r="W48">
        <f t="shared" si="13"/>
        <v>27.719000000000001</v>
      </c>
      <c r="X48">
        <f t="shared" si="14"/>
        <v>3.7331175837264143</v>
      </c>
      <c r="Y48">
        <f t="shared" si="15"/>
        <v>65.621798294747393</v>
      </c>
      <c r="Z48">
        <f t="shared" si="16"/>
        <v>2.4890518733364</v>
      </c>
      <c r="AA48">
        <f t="shared" si="17"/>
        <v>3.7930260035797172</v>
      </c>
      <c r="AB48">
        <f t="shared" si="18"/>
        <v>1.2440657103900143</v>
      </c>
      <c r="AC48">
        <f t="shared" si="19"/>
        <v>-246.6223709505519</v>
      </c>
      <c r="AD48">
        <f t="shared" si="20"/>
        <v>42.984563625191726</v>
      </c>
      <c r="AE48">
        <f t="shared" si="21"/>
        <v>3.2012127601754758</v>
      </c>
      <c r="AF48">
        <f t="shared" si="22"/>
        <v>89.114495282336833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52498.985796079505</v>
      </c>
      <c r="AL48" t="s">
        <v>415</v>
      </c>
      <c r="AM48">
        <v>10204.299999999999</v>
      </c>
      <c r="AN48">
        <v>862.72538461538477</v>
      </c>
      <c r="AO48">
        <v>3252.56</v>
      </c>
      <c r="AP48">
        <f t="shared" si="26"/>
        <v>0.73475496697512588</v>
      </c>
      <c r="AQ48">
        <v>-6.6684750346205304</v>
      </c>
      <c r="AR48" t="s">
        <v>581</v>
      </c>
      <c r="AS48">
        <v>10035.700000000001</v>
      </c>
      <c r="AT48">
        <v>813.05431999999996</v>
      </c>
      <c r="AU48">
        <v>965.19705332163005</v>
      </c>
      <c r="AV48">
        <f t="shared" si="27"/>
        <v>0.15762867571761219</v>
      </c>
      <c r="AW48">
        <v>0.5</v>
      </c>
      <c r="AX48">
        <f t="shared" si="28"/>
        <v>1513.1009999209957</v>
      </c>
      <c r="AY48">
        <f t="shared" si="29"/>
        <v>18.797565826047968</v>
      </c>
      <c r="AZ48">
        <f t="shared" si="30"/>
        <v>119.25405342227069</v>
      </c>
      <c r="BA48">
        <f t="shared" si="31"/>
        <v>1.6830364173969992E-2</v>
      </c>
      <c r="BB48">
        <f t="shared" si="32"/>
        <v>2.3698403748816235</v>
      </c>
      <c r="BC48">
        <f t="shared" si="33"/>
        <v>529.73814053189881</v>
      </c>
      <c r="BD48" t="s">
        <v>582</v>
      </c>
      <c r="BE48">
        <v>543.67999999999995</v>
      </c>
      <c r="BF48">
        <f t="shared" si="34"/>
        <v>543.67999999999995</v>
      </c>
      <c r="BG48">
        <f t="shared" si="35"/>
        <v>0.43671605903791455</v>
      </c>
      <c r="BH48">
        <f t="shared" si="36"/>
        <v>0.36094087326412544</v>
      </c>
      <c r="BI48">
        <f t="shared" si="37"/>
        <v>0.84439434256163803</v>
      </c>
      <c r="BJ48">
        <f t="shared" si="38"/>
        <v>1.4847297330326146</v>
      </c>
      <c r="BK48">
        <f t="shared" si="39"/>
        <v>0.95712185770237768</v>
      </c>
      <c r="BL48">
        <f t="shared" si="40"/>
        <v>0.24135697843194501</v>
      </c>
      <c r="BM48">
        <f t="shared" si="41"/>
        <v>0.75864302156805496</v>
      </c>
      <c r="BN48">
        <v>4934</v>
      </c>
      <c r="BO48">
        <v>290.00000000000011</v>
      </c>
      <c r="BP48">
        <v>925.93</v>
      </c>
      <c r="BQ48">
        <v>295</v>
      </c>
      <c r="BR48">
        <v>10035.700000000001</v>
      </c>
      <c r="BS48">
        <v>926.99</v>
      </c>
      <c r="BT48">
        <v>-1.06</v>
      </c>
      <c r="BU48">
        <v>300.00000000000011</v>
      </c>
      <c r="BV48">
        <v>24.1</v>
      </c>
      <c r="BW48">
        <v>965.19705332163005</v>
      </c>
      <c r="BX48">
        <v>2.0837667464259688</v>
      </c>
      <c r="BY48">
        <v>-38.344129364308607</v>
      </c>
      <c r="BZ48">
        <v>1.863748874865653</v>
      </c>
      <c r="CA48">
        <v>0.93795362361050949</v>
      </c>
      <c r="CB48">
        <v>-6.8381864293659573E-3</v>
      </c>
      <c r="CC48">
        <v>289.99999999999989</v>
      </c>
      <c r="CD48">
        <v>927.1</v>
      </c>
      <c r="CE48">
        <v>725</v>
      </c>
      <c r="CF48">
        <v>10024.4</v>
      </c>
      <c r="CG48">
        <v>926.95</v>
      </c>
      <c r="CH48">
        <v>0.15</v>
      </c>
      <c r="CV48">
        <f t="shared" si="42"/>
        <v>1799.9</v>
      </c>
      <c r="CW48">
        <f t="shared" si="43"/>
        <v>1513.1009999209957</v>
      </c>
      <c r="CX48">
        <f t="shared" si="44"/>
        <v>0.84065836986554565</v>
      </c>
      <c r="CY48">
        <f t="shared" si="45"/>
        <v>0.16087065384050311</v>
      </c>
      <c r="CZ48">
        <v>6</v>
      </c>
      <c r="DA48">
        <v>0.5</v>
      </c>
      <c r="DB48" t="s">
        <v>418</v>
      </c>
      <c r="DC48">
        <v>2</v>
      </c>
      <c r="DD48">
        <v>1639672849.5999999</v>
      </c>
      <c r="DE48">
        <v>96.807199999999995</v>
      </c>
      <c r="DF48">
        <v>120.006</v>
      </c>
      <c r="DG48">
        <v>24.941199999999998</v>
      </c>
      <c r="DH48">
        <v>18.399999999999999</v>
      </c>
      <c r="DI48">
        <v>98.333799999999997</v>
      </c>
      <c r="DJ48">
        <v>24.9358</v>
      </c>
      <c r="DK48">
        <v>500.17099999999999</v>
      </c>
      <c r="DL48">
        <v>99.696700000000007</v>
      </c>
      <c r="DM48">
        <v>0.10009700000000001</v>
      </c>
      <c r="DN48">
        <v>27.991800000000001</v>
      </c>
      <c r="DO48">
        <v>27.719000000000001</v>
      </c>
      <c r="DP48">
        <v>999.9</v>
      </c>
      <c r="DQ48">
        <v>0</v>
      </c>
      <c r="DR48">
        <v>0</v>
      </c>
      <c r="DS48">
        <v>9991.25</v>
      </c>
      <c r="DT48">
        <v>0</v>
      </c>
      <c r="DU48">
        <v>338.57600000000002</v>
      </c>
      <c r="DV48">
        <v>-23.198899999999998</v>
      </c>
      <c r="DW48">
        <v>99.2834</v>
      </c>
      <c r="DX48">
        <v>122.256</v>
      </c>
      <c r="DY48">
        <v>6.5412299999999997</v>
      </c>
      <c r="DZ48">
        <v>120.006</v>
      </c>
      <c r="EA48">
        <v>18.399999999999999</v>
      </c>
      <c r="EB48">
        <v>2.4865599999999999</v>
      </c>
      <c r="EC48">
        <v>1.8344199999999999</v>
      </c>
      <c r="ED48">
        <v>20.938800000000001</v>
      </c>
      <c r="EE48">
        <v>16.083200000000001</v>
      </c>
      <c r="EF48">
        <v>1799.9</v>
      </c>
      <c r="EG48">
        <v>0.97799199999999997</v>
      </c>
      <c r="EH48">
        <v>2.2008099999999999E-2</v>
      </c>
      <c r="EI48">
        <v>0</v>
      </c>
      <c r="EJ48">
        <v>812.92200000000003</v>
      </c>
      <c r="EK48">
        <v>5.0001199999999999</v>
      </c>
      <c r="EL48">
        <v>14522.6</v>
      </c>
      <c r="EM48">
        <v>15629.1</v>
      </c>
      <c r="EN48">
        <v>46.625</v>
      </c>
      <c r="EO48">
        <v>47.436999999999998</v>
      </c>
      <c r="EP48">
        <v>47.436999999999998</v>
      </c>
      <c r="EQ48">
        <v>47.186999999999998</v>
      </c>
      <c r="ER48">
        <v>48.25</v>
      </c>
      <c r="ES48">
        <v>1755.4</v>
      </c>
      <c r="ET48">
        <v>39.5</v>
      </c>
      <c r="EU48">
        <v>0</v>
      </c>
      <c r="EV48">
        <v>114.7999999523163</v>
      </c>
      <c r="EW48">
        <v>0</v>
      </c>
      <c r="EX48">
        <v>813.05431999999996</v>
      </c>
      <c r="EY48">
        <v>-3.4106923189319742</v>
      </c>
      <c r="EZ48">
        <v>-52.000000084375962</v>
      </c>
      <c r="FA48">
        <v>14529.096</v>
      </c>
      <c r="FB48">
        <v>15</v>
      </c>
      <c r="FC48">
        <v>1639672811.0999999</v>
      </c>
      <c r="FD48" t="s">
        <v>583</v>
      </c>
      <c r="FE48">
        <v>1639672801.0999999</v>
      </c>
      <c r="FF48">
        <v>1639672811.0999999</v>
      </c>
      <c r="FG48">
        <v>35</v>
      </c>
      <c r="FH48">
        <v>8.3000000000000004E-2</v>
      </c>
      <c r="FI48">
        <v>-1E-3</v>
      </c>
      <c r="FJ48">
        <v>-1.5629999999999999</v>
      </c>
      <c r="FK48">
        <v>-9.6000000000000002E-2</v>
      </c>
      <c r="FL48">
        <v>120</v>
      </c>
      <c r="FM48">
        <v>18</v>
      </c>
      <c r="FN48">
        <v>0.05</v>
      </c>
      <c r="FO48">
        <v>0.02</v>
      </c>
      <c r="FP48">
        <v>18.787256374580519</v>
      </c>
      <c r="FQ48">
        <v>0.11390274865333309</v>
      </c>
      <c r="FR48">
        <v>2.8689719993994479E-2</v>
      </c>
      <c r="FS48">
        <v>1</v>
      </c>
      <c r="FT48">
        <v>0.46965454866760459</v>
      </c>
      <c r="FU48">
        <v>3.9308397094524973E-2</v>
      </c>
      <c r="FV48">
        <v>4.2926115277947168E-3</v>
      </c>
      <c r="FW48">
        <v>1</v>
      </c>
      <c r="FX48">
        <v>2</v>
      </c>
      <c r="FY48">
        <v>2</v>
      </c>
      <c r="FZ48" t="s">
        <v>420</v>
      </c>
      <c r="GA48">
        <v>2.9231099999999999</v>
      </c>
      <c r="GB48">
        <v>2.7450000000000001</v>
      </c>
      <c r="GC48">
        <v>2.70502E-2</v>
      </c>
      <c r="GD48">
        <v>3.3333599999999998E-2</v>
      </c>
      <c r="GE48">
        <v>0.120459</v>
      </c>
      <c r="GF48">
        <v>9.8574700000000001E-2</v>
      </c>
      <c r="GG48">
        <v>30356.799999999999</v>
      </c>
      <c r="GH48">
        <v>29815.8</v>
      </c>
      <c r="GI48">
        <v>28402</v>
      </c>
      <c r="GJ48">
        <v>28201.8</v>
      </c>
      <c r="GK48">
        <v>34282.1</v>
      </c>
      <c r="GL48">
        <v>35691.4</v>
      </c>
      <c r="GM48">
        <v>42739.199999999997</v>
      </c>
      <c r="GN48">
        <v>43868.5</v>
      </c>
      <c r="GO48">
        <v>1.8110999999999999</v>
      </c>
      <c r="GP48">
        <v>1.99735</v>
      </c>
      <c r="GQ48">
        <v>7.1398900000000001E-2</v>
      </c>
      <c r="GR48">
        <v>0</v>
      </c>
      <c r="GS48">
        <v>26.551600000000001</v>
      </c>
      <c r="GT48">
        <v>999.9</v>
      </c>
      <c r="GU48">
        <v>41.3</v>
      </c>
      <c r="GV48">
        <v>34.9</v>
      </c>
      <c r="GW48">
        <v>23.2698</v>
      </c>
      <c r="GX48">
        <v>61.308399999999999</v>
      </c>
      <c r="GY48">
        <v>29.7316</v>
      </c>
      <c r="GZ48">
        <v>1</v>
      </c>
      <c r="HA48">
        <v>0.243814</v>
      </c>
      <c r="HB48">
        <v>1.53257</v>
      </c>
      <c r="HC48">
        <v>20.270199999999999</v>
      </c>
      <c r="HD48">
        <v>5.2736000000000001</v>
      </c>
      <c r="HE48">
        <v>12.0878</v>
      </c>
      <c r="HF48">
        <v>5.0141499999999999</v>
      </c>
      <c r="HG48">
        <v>3.2917000000000001</v>
      </c>
      <c r="HH48">
        <v>9999</v>
      </c>
      <c r="HI48">
        <v>9999</v>
      </c>
      <c r="HJ48">
        <v>9999</v>
      </c>
      <c r="HK48">
        <v>999.9</v>
      </c>
      <c r="HL48">
        <v>1.8751599999999999</v>
      </c>
      <c r="HM48">
        <v>1.87565</v>
      </c>
      <c r="HN48">
        <v>1.8754599999999999</v>
      </c>
      <c r="HO48">
        <v>1.8793899999999999</v>
      </c>
      <c r="HP48">
        <v>1.8728400000000001</v>
      </c>
      <c r="HQ48">
        <v>1.8760699999999999</v>
      </c>
      <c r="HR48">
        <v>1.8757600000000001</v>
      </c>
      <c r="HS48">
        <v>1.87717</v>
      </c>
      <c r="HT48">
        <v>0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423</v>
      </c>
      <c r="IB48" t="s">
        <v>423</v>
      </c>
      <c r="IC48" t="s">
        <v>423</v>
      </c>
      <c r="ID48">
        <v>0</v>
      </c>
      <c r="IE48">
        <v>100</v>
      </c>
      <c r="IF48">
        <v>100</v>
      </c>
      <c r="IG48">
        <v>-1.5269999999999999</v>
      </c>
      <c r="IH48">
        <v>5.4000000000000003E-3</v>
      </c>
      <c r="II48">
        <v>-1.3746693539749231</v>
      </c>
      <c r="IJ48">
        <v>-1.5404112972462821E-3</v>
      </c>
      <c r="IK48">
        <v>-5.8697186733976997E-8</v>
      </c>
      <c r="IL48">
        <v>1.160237123038427E-10</v>
      </c>
      <c r="IM48">
        <v>-0.17554413855080311</v>
      </c>
      <c r="IN48">
        <v>-3.128848753924141E-3</v>
      </c>
      <c r="IO48">
        <v>3.6841110403368089E-4</v>
      </c>
      <c r="IP48">
        <v>1.9296040270694169E-6</v>
      </c>
      <c r="IQ48">
        <v>1</v>
      </c>
      <c r="IR48">
        <v>1992</v>
      </c>
      <c r="IS48">
        <v>2</v>
      </c>
      <c r="IT48">
        <v>27</v>
      </c>
      <c r="IU48">
        <v>0.8</v>
      </c>
      <c r="IV48">
        <v>0.6</v>
      </c>
      <c r="IW48">
        <v>0.43212899999999999</v>
      </c>
      <c r="IX48">
        <v>2.68066</v>
      </c>
      <c r="IY48">
        <v>1.69434</v>
      </c>
      <c r="IZ48">
        <v>2.34619</v>
      </c>
      <c r="JA48">
        <v>1.5466299999999999</v>
      </c>
      <c r="JB48">
        <v>2.3950200000000001</v>
      </c>
      <c r="JC48">
        <v>38.673299999999998</v>
      </c>
      <c r="JD48">
        <v>24.096299999999999</v>
      </c>
      <c r="JE48">
        <v>18</v>
      </c>
      <c r="JF48">
        <v>533.83799999999997</v>
      </c>
      <c r="JG48">
        <v>541.26900000000001</v>
      </c>
      <c r="JH48">
        <v>25.458400000000001</v>
      </c>
      <c r="JI48">
        <v>30.3432</v>
      </c>
      <c r="JJ48">
        <v>29.9998</v>
      </c>
      <c r="JK48">
        <v>30.344899999999999</v>
      </c>
      <c r="JL48">
        <v>30.3078</v>
      </c>
      <c r="JM48">
        <v>8.7072500000000002</v>
      </c>
      <c r="JN48">
        <v>25.7121</v>
      </c>
      <c r="JO48">
        <v>39.855499999999999</v>
      </c>
      <c r="JP48">
        <v>25.465199999999999</v>
      </c>
      <c r="JQ48">
        <v>120</v>
      </c>
      <c r="JR48">
        <v>18.278099999999998</v>
      </c>
      <c r="JS48">
        <v>99.585700000000003</v>
      </c>
      <c r="JT48">
        <v>98.811999999999998</v>
      </c>
    </row>
    <row r="49" spans="1:280" x14ac:dyDescent="0.25">
      <c r="A49">
        <v>33</v>
      </c>
      <c r="B49">
        <v>1639672986.0999999</v>
      </c>
      <c r="C49">
        <v>6384</v>
      </c>
      <c r="D49" t="s">
        <v>584</v>
      </c>
      <c r="E49" t="s">
        <v>585</v>
      </c>
      <c r="F49" t="s">
        <v>412</v>
      </c>
      <c r="G49" t="s">
        <v>564</v>
      </c>
      <c r="H49" t="s">
        <v>565</v>
      </c>
      <c r="I49">
        <v>1639672986.0999999</v>
      </c>
      <c r="J49">
        <f t="shared" ref="J49:J80" si="46">(K49)/1000</f>
        <v>5.9419724024309213E-3</v>
      </c>
      <c r="K49">
        <f t="shared" ref="K49:K80" si="47">1000*DK49*AI49*(DG49-DH49)/(100*CZ49*(1000-AI49*DG49))</f>
        <v>5.9419724024309213</v>
      </c>
      <c r="L49">
        <f t="shared" ref="L49:L80" si="48">DK49*AI49*(DF49-DE49*(1000-AI49*DH49)/(1000-AI49*DG49))/(100*CZ49)</f>
        <v>11.58646221992081</v>
      </c>
      <c r="M49">
        <f t="shared" ref="M49:M80" si="49">DE49 - IF(AI49&gt;1, L49*CZ49*100/(AK49*DS49), 0)</f>
        <v>55.7303</v>
      </c>
      <c r="N49">
        <f t="shared" ref="N49:N80" si="50">((T49-J49/2)*M49-L49)/(T49+J49/2)</f>
        <v>15.490994385254982</v>
      </c>
      <c r="O49">
        <f t="shared" ref="O49:O80" si="51">N49*(DL49+DM49)/1000</f>
        <v>1.546104285743098</v>
      </c>
      <c r="P49">
        <f t="shared" ref="P49:P80" si="52">(DE49 - IF(AI49&gt;1, L49*CZ49*100/(AK49*DS49), 0))*(DL49+DM49)/1000</f>
        <v>5.5622546579556005</v>
      </c>
      <c r="Q49">
        <f t="shared" ref="Q49:Q80" si="53">2/((1/S49-1/R49)+SIGN(S49)*SQRT((1/S49-1/R49)*(1/S49-1/R49) + 4*DA49/((DA49+1)*(DA49+1))*(2*1/S49*1/R49-1/R49*1/R49)))</f>
        <v>0.50764647787183403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2.9218744657202915</v>
      </c>
      <c r="S49">
        <f t="shared" ref="S49:S80" si="55">J49*(1000-(1000*0.61365*EXP(17.502*W49/(240.97+W49))/(DL49+DM49)+DG49)/2)/(1000*0.61365*EXP(17.502*W49/(240.97+W49))/(DL49+DM49)-DG49)</f>
        <v>0.46325280950732295</v>
      </c>
      <c r="T49">
        <f t="shared" ref="T49:T80" si="56">1/((DA49+1)/(Q49/1.6)+1/(R49/1.37)) + DA49/((DA49+1)/(Q49/1.6) + DA49/(R49/1.37))</f>
        <v>0.29319739798017053</v>
      </c>
      <c r="U49">
        <f t="shared" ref="U49:U80" si="57">(CV49*CY49)</f>
        <v>289.58678084750153</v>
      </c>
      <c r="V49">
        <f t="shared" ref="V49:V80" si="58">(DN49+(U49+2*0.95*0.0000000567*(((DN49+$B$7)+273)^4-(DN49+273)^4)-44100*J49)/(1.84*29.3*R49+8*0.95*0.0000000567*(DN49+273)^3))</f>
        <v>28.162127513478019</v>
      </c>
      <c r="W49">
        <f t="shared" ref="W49:W80" si="59">($C$7*DO49+$D$7*DP49+$E$7*V49)</f>
        <v>27.682400000000001</v>
      </c>
      <c r="X49">
        <f t="shared" ref="X49:X80" si="60">0.61365*EXP(17.502*W49/(240.97+W49))</f>
        <v>3.7251431742398902</v>
      </c>
      <c r="Y49">
        <f t="shared" ref="Y49:Y80" si="61">(Z49/AA49*100)</f>
        <v>65.48032413640577</v>
      </c>
      <c r="Z49">
        <f t="shared" ref="Z49:Z80" si="62">DG49*(DL49+DM49)/1000</f>
        <v>2.4847864081920004</v>
      </c>
      <c r="AA49">
        <f t="shared" ref="AA49:AA80" si="63">0.61365*EXP(17.502*DN49/(240.97+DN49))</f>
        <v>3.7947069458846916</v>
      </c>
      <c r="AB49">
        <f t="shared" ref="AB49:AB80" si="64">(X49-DG49*(DL49+DM49)/1000)</f>
        <v>1.2403567660478898</v>
      </c>
      <c r="AC49">
        <f t="shared" ref="AC49:AC80" si="65">(-J49*44100)</f>
        <v>-262.04098294720364</v>
      </c>
      <c r="AD49">
        <f t="shared" ref="AD49:AD80" si="66">2*29.3*R49*0.92*(DN49-W49)</f>
        <v>49.935138494104244</v>
      </c>
      <c r="AE49">
        <f t="shared" ref="AE49:AE80" si="67">2*0.95*0.0000000567*(((DN49+$B$7)+273)^4-(W49+273)^4)</f>
        <v>3.7193467732752454</v>
      </c>
      <c r="AF49">
        <f t="shared" ref="AF49:AF80" si="68">U49+AE49+AC49+AD49</f>
        <v>81.200283167677355</v>
      </c>
      <c r="AG49">
        <v>0</v>
      </c>
      <c r="AH49">
        <v>0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52474.436334322876</v>
      </c>
      <c r="AL49" t="s">
        <v>415</v>
      </c>
      <c r="AM49">
        <v>10204.299999999999</v>
      </c>
      <c r="AN49">
        <v>862.72538461538477</v>
      </c>
      <c r="AO49">
        <v>3252.56</v>
      </c>
      <c r="AP49">
        <f t="shared" ref="AP49:AP80" si="72">1-AN49/AO49</f>
        <v>0.73475496697512588</v>
      </c>
      <c r="AQ49">
        <v>-6.6684750346205304</v>
      </c>
      <c r="AR49" t="s">
        <v>586</v>
      </c>
      <c r="AS49">
        <v>10036.5</v>
      </c>
      <c r="AT49">
        <v>829.35769230769233</v>
      </c>
      <c r="AU49">
        <v>937.55720809336037</v>
      </c>
      <c r="AV49">
        <f t="shared" ref="AV49:AV80" si="73">1-AT49/AU49</f>
        <v>0.11540577455076606</v>
      </c>
      <c r="AW49">
        <v>0.5</v>
      </c>
      <c r="AX49">
        <f t="shared" ref="AX49:AX80" si="74">CW49</f>
        <v>1513.2860999209852</v>
      </c>
      <c r="AY49">
        <f t="shared" ref="AY49:AY80" si="75">L49</f>
        <v>11.58646221992081</v>
      </c>
      <c r="AZ49">
        <f t="shared" ref="AZ49:AZ80" si="76">AV49*AW49*AX49</f>
        <v>87.320977239144625</v>
      </c>
      <c r="BA49">
        <f t="shared" ref="BA49:BA80" si="77">(AY49-AQ49)/AX49</f>
        <v>1.2063110376481025E-2</v>
      </c>
      <c r="BB49">
        <f t="shared" ref="BB49:BB80" si="78">(AO49-AU49)/AU49</f>
        <v>2.4691856368044856</v>
      </c>
      <c r="BC49">
        <f t="shared" ref="BC49:BC80" si="79">AN49/(AP49+AN49/AU49)</f>
        <v>521.30336339657379</v>
      </c>
      <c r="BD49" t="s">
        <v>587</v>
      </c>
      <c r="BE49">
        <v>550.04999999999995</v>
      </c>
      <c r="BF49">
        <f t="shared" ref="BF49:BF80" si="80">IF(BE49&lt;&gt;0, BE49, BC49)</f>
        <v>550.04999999999995</v>
      </c>
      <c r="BG49">
        <f t="shared" ref="BG49:BG80" si="81">1-BF49/AU49</f>
        <v>0.41331580062341444</v>
      </c>
      <c r="BH49">
        <f t="shared" ref="BH49:BH80" si="82">(AU49-AT49)/(AU49-BF49)</f>
        <v>0.27921936295853367</v>
      </c>
      <c r="BI49">
        <f t="shared" ref="BI49:BI80" si="83">(AO49-AU49)/(AO49-BF49)</f>
        <v>0.85661210944886035</v>
      </c>
      <c r="BJ49">
        <f t="shared" ref="BJ49:BJ80" si="84">(AU49-AT49)/(AU49-AN49)</f>
        <v>1.4459024350450738</v>
      </c>
      <c r="BK49">
        <f t="shared" ref="BK49:BK80" si="85">(AO49-AU49)/(AO49-AN49)</f>
        <v>0.96868744682320529</v>
      </c>
      <c r="BL49">
        <f t="shared" ref="BL49:BL80" si="86">(BH49*BF49/AT49)</f>
        <v>0.18518500765091045</v>
      </c>
      <c r="BM49">
        <f t="shared" ref="BM49:BM80" si="87">(1-BL49)</f>
        <v>0.8148149923490895</v>
      </c>
      <c r="BN49">
        <v>4936</v>
      </c>
      <c r="BO49">
        <v>290.00000000000011</v>
      </c>
      <c r="BP49">
        <v>911.22</v>
      </c>
      <c r="BQ49">
        <v>295</v>
      </c>
      <c r="BR49">
        <v>10036.5</v>
      </c>
      <c r="BS49">
        <v>912.65</v>
      </c>
      <c r="BT49">
        <v>-1.43</v>
      </c>
      <c r="BU49">
        <v>300.00000000000011</v>
      </c>
      <c r="BV49">
        <v>24.1</v>
      </c>
      <c r="BW49">
        <v>937.55720809336037</v>
      </c>
      <c r="BX49">
        <v>2.3127660713750049</v>
      </c>
      <c r="BY49">
        <v>-24.997880556064629</v>
      </c>
      <c r="BZ49">
        <v>2.0687405807222188</v>
      </c>
      <c r="CA49">
        <v>0.83909334763841026</v>
      </c>
      <c r="CB49">
        <v>-6.8384662958843236E-3</v>
      </c>
      <c r="CC49">
        <v>289.99999999999989</v>
      </c>
      <c r="CD49">
        <v>911.6</v>
      </c>
      <c r="CE49">
        <v>675</v>
      </c>
      <c r="CF49">
        <v>10027</v>
      </c>
      <c r="CG49">
        <v>912.63</v>
      </c>
      <c r="CH49">
        <v>-1.03</v>
      </c>
      <c r="CV49">
        <f t="shared" ref="CV49:CV80" si="88">$B$11*DT49+$C$11*DU49+$F$11*EF49*(1-EI49)</f>
        <v>1800.12</v>
      </c>
      <c r="CW49">
        <f t="shared" ref="CW49:CW80" si="89">CV49*CX49</f>
        <v>1513.2860999209852</v>
      </c>
      <c r="CX49">
        <f t="shared" ref="CX49:CX80" si="90">($B$11*$D$9+$C$11*$D$9+$F$11*((ES49+EK49)/MAX(ES49+EK49+ET49, 0.1)*$I$9+ET49/MAX(ES49+EK49+ET49, 0.1)*$J$9))/($B$11+$C$11+$F$11)</f>
        <v>0.84065845605903233</v>
      </c>
      <c r="CY49">
        <f t="shared" ref="CY49:CY80" si="91">($B$11*$K$9+$C$11*$K$9+$F$11*((ES49+EK49)/MAX(ES49+EK49+ET49, 0.1)*$P$9+ET49/MAX(ES49+EK49+ET49, 0.1)*$Q$9))/($B$11+$C$11+$F$11)</f>
        <v>0.16087082019393237</v>
      </c>
      <c r="CZ49">
        <v>6</v>
      </c>
      <c r="DA49">
        <v>0.5</v>
      </c>
      <c r="DB49" t="s">
        <v>418</v>
      </c>
      <c r="DC49">
        <v>2</v>
      </c>
      <c r="DD49">
        <v>1639672986.0999999</v>
      </c>
      <c r="DE49">
        <v>55.7303</v>
      </c>
      <c r="DF49">
        <v>70.026600000000002</v>
      </c>
      <c r="DG49">
        <v>24.896000000000001</v>
      </c>
      <c r="DH49">
        <v>17.945499999999999</v>
      </c>
      <c r="DI49">
        <v>57.210900000000002</v>
      </c>
      <c r="DJ49">
        <v>24.888500000000001</v>
      </c>
      <c r="DK49">
        <v>500.16899999999998</v>
      </c>
      <c r="DL49">
        <v>99.706500000000005</v>
      </c>
      <c r="DM49">
        <v>0.100152</v>
      </c>
      <c r="DN49">
        <v>27.999400000000001</v>
      </c>
      <c r="DO49">
        <v>27.682400000000001</v>
      </c>
      <c r="DP49">
        <v>999.9</v>
      </c>
      <c r="DQ49">
        <v>0</v>
      </c>
      <c r="DR49">
        <v>0</v>
      </c>
      <c r="DS49">
        <v>9985.6200000000008</v>
      </c>
      <c r="DT49">
        <v>0</v>
      </c>
      <c r="DU49">
        <v>322.11200000000002</v>
      </c>
      <c r="DV49">
        <v>-14.2963</v>
      </c>
      <c r="DW49">
        <v>57.153199999999998</v>
      </c>
      <c r="DX49">
        <v>71.306200000000004</v>
      </c>
      <c r="DY49">
        <v>6.95045</v>
      </c>
      <c r="DZ49">
        <v>70.026600000000002</v>
      </c>
      <c r="EA49">
        <v>17.945499999999999</v>
      </c>
      <c r="EB49">
        <v>2.4822899999999999</v>
      </c>
      <c r="EC49">
        <v>1.78929</v>
      </c>
      <c r="ED49">
        <v>20.910799999999998</v>
      </c>
      <c r="EE49">
        <v>15.6935</v>
      </c>
      <c r="EF49">
        <v>1800.12</v>
      </c>
      <c r="EG49">
        <v>0.97799199999999997</v>
      </c>
      <c r="EH49">
        <v>2.2008099999999999E-2</v>
      </c>
      <c r="EI49">
        <v>0</v>
      </c>
      <c r="EJ49">
        <v>829.35</v>
      </c>
      <c r="EK49">
        <v>5.0001199999999999</v>
      </c>
      <c r="EL49">
        <v>14801.3</v>
      </c>
      <c r="EM49">
        <v>15631</v>
      </c>
      <c r="EN49">
        <v>46.625</v>
      </c>
      <c r="EO49">
        <v>47.311999999999998</v>
      </c>
      <c r="EP49">
        <v>47.311999999999998</v>
      </c>
      <c r="EQ49">
        <v>47.061999999999998</v>
      </c>
      <c r="ER49">
        <v>48.125</v>
      </c>
      <c r="ES49">
        <v>1755.61</v>
      </c>
      <c r="ET49">
        <v>39.51</v>
      </c>
      <c r="EU49">
        <v>0</v>
      </c>
      <c r="EV49">
        <v>134.4000000953674</v>
      </c>
      <c r="EW49">
        <v>0</v>
      </c>
      <c r="EX49">
        <v>829.35769230769233</v>
      </c>
      <c r="EY49">
        <v>-0.4845811961270558</v>
      </c>
      <c r="EZ49">
        <v>-23.258119619029749</v>
      </c>
      <c r="FA49">
        <v>14803.75769230769</v>
      </c>
      <c r="FB49">
        <v>15</v>
      </c>
      <c r="FC49">
        <v>1639672946.0999999</v>
      </c>
      <c r="FD49" t="s">
        <v>588</v>
      </c>
      <c r="FE49">
        <v>1639672931.0999999</v>
      </c>
      <c r="FF49">
        <v>1639672946.0999999</v>
      </c>
      <c r="FG49">
        <v>36</v>
      </c>
      <c r="FH49">
        <v>-1.7999999999999999E-2</v>
      </c>
      <c r="FI49">
        <v>3.0000000000000001E-3</v>
      </c>
      <c r="FJ49">
        <v>-1.5029999999999999</v>
      </c>
      <c r="FK49">
        <v>-9.7000000000000003E-2</v>
      </c>
      <c r="FL49">
        <v>70</v>
      </c>
      <c r="FM49">
        <v>18</v>
      </c>
      <c r="FN49">
        <v>7.0000000000000007E-2</v>
      </c>
      <c r="FO49">
        <v>0.01</v>
      </c>
      <c r="FP49">
        <v>11.574322658455101</v>
      </c>
      <c r="FQ49">
        <v>2.6614341447301029E-2</v>
      </c>
      <c r="FR49">
        <v>9.2504117099137112E-3</v>
      </c>
      <c r="FS49">
        <v>1</v>
      </c>
      <c r="FT49">
        <v>0.50761129117858916</v>
      </c>
      <c r="FU49">
        <v>3.8464052527922427E-2</v>
      </c>
      <c r="FV49">
        <v>5.4118646965072032E-3</v>
      </c>
      <c r="FW49">
        <v>1</v>
      </c>
      <c r="FX49">
        <v>2</v>
      </c>
      <c r="FY49">
        <v>2</v>
      </c>
      <c r="FZ49" t="s">
        <v>420</v>
      </c>
      <c r="GA49">
        <v>2.9232100000000001</v>
      </c>
      <c r="GB49">
        <v>2.7450000000000001</v>
      </c>
      <c r="GC49">
        <v>1.6014400000000002E-2</v>
      </c>
      <c r="GD49">
        <v>1.9934299999999999E-2</v>
      </c>
      <c r="GE49">
        <v>0.120325</v>
      </c>
      <c r="GF49">
        <v>9.6848799999999999E-2</v>
      </c>
      <c r="GG49">
        <v>30704.5</v>
      </c>
      <c r="GH49">
        <v>30232.1</v>
      </c>
      <c r="GI49">
        <v>28405.1</v>
      </c>
      <c r="GJ49">
        <v>28204.799999999999</v>
      </c>
      <c r="GK49">
        <v>34291.300000000003</v>
      </c>
      <c r="GL49">
        <v>35763.5</v>
      </c>
      <c r="GM49">
        <v>42744.2</v>
      </c>
      <c r="GN49">
        <v>43873.1</v>
      </c>
      <c r="GO49">
        <v>1.8123</v>
      </c>
      <c r="GP49">
        <v>1.99752</v>
      </c>
      <c r="GQ49">
        <v>6.9882700000000006E-2</v>
      </c>
      <c r="GR49">
        <v>0</v>
      </c>
      <c r="GS49">
        <v>26.5398</v>
      </c>
      <c r="GT49">
        <v>999.9</v>
      </c>
      <c r="GU49">
        <v>40.9</v>
      </c>
      <c r="GV49">
        <v>34.9</v>
      </c>
      <c r="GW49">
        <v>23.041899999999998</v>
      </c>
      <c r="GX49">
        <v>61.288400000000003</v>
      </c>
      <c r="GY49">
        <v>29.663499999999999</v>
      </c>
      <c r="GZ49">
        <v>1</v>
      </c>
      <c r="HA49">
        <v>0.23966999999999999</v>
      </c>
      <c r="HB49">
        <v>1.53705</v>
      </c>
      <c r="HC49">
        <v>20.270499999999998</v>
      </c>
      <c r="HD49">
        <v>5.2744900000000001</v>
      </c>
      <c r="HE49">
        <v>12.0878</v>
      </c>
      <c r="HF49">
        <v>5.0134999999999996</v>
      </c>
      <c r="HG49">
        <v>3.29175</v>
      </c>
      <c r="HH49">
        <v>9999</v>
      </c>
      <c r="HI49">
        <v>9999</v>
      </c>
      <c r="HJ49">
        <v>9999</v>
      </c>
      <c r="HK49">
        <v>999.9</v>
      </c>
      <c r="HL49">
        <v>1.8751599999999999</v>
      </c>
      <c r="HM49">
        <v>1.87564</v>
      </c>
      <c r="HN49">
        <v>1.8754599999999999</v>
      </c>
      <c r="HO49">
        <v>1.87931</v>
      </c>
      <c r="HP49">
        <v>1.87283</v>
      </c>
      <c r="HQ49">
        <v>1.8760600000000001</v>
      </c>
      <c r="HR49">
        <v>1.8757699999999999</v>
      </c>
      <c r="HS49">
        <v>1.8771899999999999</v>
      </c>
      <c r="HT49">
        <v>0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423</v>
      </c>
      <c r="IB49" t="s">
        <v>423</v>
      </c>
      <c r="IC49" t="s">
        <v>423</v>
      </c>
      <c r="ID49">
        <v>0</v>
      </c>
      <c r="IE49">
        <v>100</v>
      </c>
      <c r="IF49">
        <v>100</v>
      </c>
      <c r="IG49">
        <v>-1.4810000000000001</v>
      </c>
      <c r="IH49">
        <v>7.4999999999999997E-3</v>
      </c>
      <c r="II49">
        <v>-1.392296788637118</v>
      </c>
      <c r="IJ49">
        <v>-1.5404112972462821E-3</v>
      </c>
      <c r="IK49">
        <v>-5.8697186733976997E-8</v>
      </c>
      <c r="IL49">
        <v>1.160237123038427E-10</v>
      </c>
      <c r="IM49">
        <v>-0.1725529235409469</v>
      </c>
      <c r="IN49">
        <v>-3.128848753924141E-3</v>
      </c>
      <c r="IO49">
        <v>3.6841110403368089E-4</v>
      </c>
      <c r="IP49">
        <v>1.9296040270694169E-6</v>
      </c>
      <c r="IQ49">
        <v>1</v>
      </c>
      <c r="IR49">
        <v>1992</v>
      </c>
      <c r="IS49">
        <v>2</v>
      </c>
      <c r="IT49">
        <v>27</v>
      </c>
      <c r="IU49">
        <v>0.9</v>
      </c>
      <c r="IV49">
        <v>0.7</v>
      </c>
      <c r="IW49">
        <v>0.31738300000000003</v>
      </c>
      <c r="IX49">
        <v>2.6855500000000001</v>
      </c>
      <c r="IY49">
        <v>1.69434</v>
      </c>
      <c r="IZ49">
        <v>2.34619</v>
      </c>
      <c r="JA49">
        <v>1.5466299999999999</v>
      </c>
      <c r="JB49">
        <v>2.4584999999999999</v>
      </c>
      <c r="JC49">
        <v>38.624099999999999</v>
      </c>
      <c r="JD49">
        <v>24.105</v>
      </c>
      <c r="JE49">
        <v>18</v>
      </c>
      <c r="JF49">
        <v>534.32299999999998</v>
      </c>
      <c r="JG49">
        <v>540.92399999999998</v>
      </c>
      <c r="JH49">
        <v>25.511199999999999</v>
      </c>
      <c r="JI49">
        <v>30.291699999999999</v>
      </c>
      <c r="JJ49">
        <v>29.9999</v>
      </c>
      <c r="JK49">
        <v>30.2941</v>
      </c>
      <c r="JL49">
        <v>30.257899999999999</v>
      </c>
      <c r="JM49">
        <v>6.4210099999999999</v>
      </c>
      <c r="JN49">
        <v>26.490200000000002</v>
      </c>
      <c r="JO49">
        <v>38.966200000000001</v>
      </c>
      <c r="JP49">
        <v>25.511500000000002</v>
      </c>
      <c r="JQ49">
        <v>70</v>
      </c>
      <c r="JR49">
        <v>17.852499999999999</v>
      </c>
      <c r="JS49">
        <v>99.597099999999998</v>
      </c>
      <c r="JT49">
        <v>98.822400000000002</v>
      </c>
    </row>
    <row r="50" spans="1:280" x14ac:dyDescent="0.25">
      <c r="A50">
        <v>34</v>
      </c>
      <c r="B50">
        <v>1639673117.5999999</v>
      </c>
      <c r="C50">
        <v>6515.5</v>
      </c>
      <c r="D50" t="s">
        <v>589</v>
      </c>
      <c r="E50" t="s">
        <v>590</v>
      </c>
      <c r="F50" t="s">
        <v>412</v>
      </c>
      <c r="G50" t="s">
        <v>564</v>
      </c>
      <c r="H50" t="s">
        <v>565</v>
      </c>
      <c r="I50">
        <v>1639673117.5999999</v>
      </c>
      <c r="J50">
        <f t="shared" si="46"/>
        <v>6.2312059140691425E-3</v>
      </c>
      <c r="K50">
        <f t="shared" si="47"/>
        <v>6.2312059140691423</v>
      </c>
      <c r="L50">
        <f t="shared" si="48"/>
        <v>5.311871539035292</v>
      </c>
      <c r="M50">
        <f t="shared" si="49"/>
        <v>23.492799999999999</v>
      </c>
      <c r="N50">
        <f t="shared" si="50"/>
        <v>6.1037123568921237</v>
      </c>
      <c r="O50">
        <f t="shared" si="51"/>
        <v>0.60923491244269967</v>
      </c>
      <c r="P50">
        <f t="shared" si="52"/>
        <v>2.3449063642182399</v>
      </c>
      <c r="Q50">
        <f t="shared" si="53"/>
        <v>0.54061834879495541</v>
      </c>
      <c r="R50">
        <f t="shared" si="54"/>
        <v>2.9284681198088602</v>
      </c>
      <c r="S50">
        <f t="shared" si="55"/>
        <v>0.49067621132326977</v>
      </c>
      <c r="T50">
        <f t="shared" si="56"/>
        <v>0.31077435638748019</v>
      </c>
      <c r="U50">
        <f t="shared" si="57"/>
        <v>289.60752884751258</v>
      </c>
      <c r="V50">
        <f t="shared" si="58"/>
        <v>28.085215151250161</v>
      </c>
      <c r="W50">
        <f t="shared" si="59"/>
        <v>27.6431</v>
      </c>
      <c r="X50">
        <f t="shared" si="60"/>
        <v>3.7165970419251826</v>
      </c>
      <c r="Y50">
        <f t="shared" si="61"/>
        <v>65.582304542587792</v>
      </c>
      <c r="Z50">
        <f t="shared" si="62"/>
        <v>2.48843865290864</v>
      </c>
      <c r="AA50">
        <f t="shared" si="63"/>
        <v>3.7943751294874057</v>
      </c>
      <c r="AB50">
        <f t="shared" si="64"/>
        <v>1.2281583890165426</v>
      </c>
      <c r="AC50">
        <f t="shared" si="65"/>
        <v>-274.79618081044919</v>
      </c>
      <c r="AD50">
        <f t="shared" si="66"/>
        <v>56.015672598018135</v>
      </c>
      <c r="AE50">
        <f t="shared" si="67"/>
        <v>4.1620059782147942</v>
      </c>
      <c r="AF50">
        <f t="shared" si="68"/>
        <v>74.989026613296318</v>
      </c>
      <c r="AG50">
        <v>0</v>
      </c>
      <c r="AH50">
        <v>0</v>
      </c>
      <c r="AI50">
        <f t="shared" si="69"/>
        <v>1</v>
      </c>
      <c r="AJ50">
        <f t="shared" si="70"/>
        <v>0</v>
      </c>
      <c r="AK50">
        <f t="shared" si="71"/>
        <v>52664.510128836038</v>
      </c>
      <c r="AL50" t="s">
        <v>415</v>
      </c>
      <c r="AM50">
        <v>10204.299999999999</v>
      </c>
      <c r="AN50">
        <v>862.72538461538477</v>
      </c>
      <c r="AO50">
        <v>3252.56</v>
      </c>
      <c r="AP50">
        <f t="shared" si="72"/>
        <v>0.73475496697512588</v>
      </c>
      <c r="AQ50">
        <v>-6.6684750346205304</v>
      </c>
      <c r="AR50" t="s">
        <v>591</v>
      </c>
      <c r="AS50">
        <v>10037.700000000001</v>
      </c>
      <c r="AT50">
        <v>840.98161538461522</v>
      </c>
      <c r="AU50">
        <v>919.98965547572345</v>
      </c>
      <c r="AV50">
        <f t="shared" si="73"/>
        <v>8.5879270077502623E-2</v>
      </c>
      <c r="AW50">
        <v>0.5</v>
      </c>
      <c r="AX50">
        <f t="shared" si="74"/>
        <v>1513.3952999209907</v>
      </c>
      <c r="AY50">
        <f t="shared" si="75"/>
        <v>5.311871539035292</v>
      </c>
      <c r="AZ50">
        <f t="shared" si="76"/>
        <v>64.984641847968931</v>
      </c>
      <c r="BA50">
        <f t="shared" si="77"/>
        <v>7.9162044274098623E-3</v>
      </c>
      <c r="BB50">
        <f t="shared" si="78"/>
        <v>2.5354310569047787</v>
      </c>
      <c r="BC50">
        <f t="shared" si="79"/>
        <v>515.82658972435843</v>
      </c>
      <c r="BD50" t="s">
        <v>592</v>
      </c>
      <c r="BE50">
        <v>561.6</v>
      </c>
      <c r="BF50">
        <f t="shared" si="80"/>
        <v>561.6</v>
      </c>
      <c r="BG50">
        <f t="shared" si="81"/>
        <v>0.38955835355605317</v>
      </c>
      <c r="BH50">
        <f t="shared" si="82"/>
        <v>0.22045290338035459</v>
      </c>
      <c r="BI50">
        <f t="shared" si="83"/>
        <v>0.86681717473476994</v>
      </c>
      <c r="BJ50">
        <f t="shared" si="84"/>
        <v>1.3797091782378619</v>
      </c>
      <c r="BK50">
        <f t="shared" si="85"/>
        <v>0.97603839592426256</v>
      </c>
      <c r="BL50">
        <f t="shared" si="86"/>
        <v>0.14721647688075257</v>
      </c>
      <c r="BM50">
        <f t="shared" si="87"/>
        <v>0.85278352311924743</v>
      </c>
      <c r="BN50">
        <v>4938</v>
      </c>
      <c r="BO50">
        <v>290.00000000000011</v>
      </c>
      <c r="BP50">
        <v>895.77</v>
      </c>
      <c r="BQ50">
        <v>275</v>
      </c>
      <c r="BR50">
        <v>10037.700000000001</v>
      </c>
      <c r="BS50">
        <v>896.05</v>
      </c>
      <c r="BT50">
        <v>-0.28000000000000003</v>
      </c>
      <c r="BU50">
        <v>300.00000000000011</v>
      </c>
      <c r="BV50">
        <v>24.1</v>
      </c>
      <c r="BW50">
        <v>919.98965547572345</v>
      </c>
      <c r="BX50">
        <v>2.0179903591186079</v>
      </c>
      <c r="BY50">
        <v>-24.03250001951136</v>
      </c>
      <c r="BZ50">
        <v>1.8051731554668999</v>
      </c>
      <c r="CA50">
        <v>0.86357392561531143</v>
      </c>
      <c r="CB50">
        <v>-6.8389624026696351E-3</v>
      </c>
      <c r="CC50">
        <v>289.99999999999989</v>
      </c>
      <c r="CD50">
        <v>893.64</v>
      </c>
      <c r="CE50">
        <v>645</v>
      </c>
      <c r="CF50">
        <v>10028.9</v>
      </c>
      <c r="CG50">
        <v>896.03</v>
      </c>
      <c r="CH50">
        <v>-2.39</v>
      </c>
      <c r="CV50">
        <f t="shared" si="88"/>
        <v>1800.25</v>
      </c>
      <c r="CW50">
        <f t="shared" si="89"/>
        <v>1513.3952999209907</v>
      </c>
      <c r="CX50">
        <f t="shared" si="90"/>
        <v>0.84065840851047957</v>
      </c>
      <c r="CY50">
        <f t="shared" si="91"/>
        <v>0.16087072842522571</v>
      </c>
      <c r="CZ50">
        <v>6</v>
      </c>
      <c r="DA50">
        <v>0.5</v>
      </c>
      <c r="DB50" t="s">
        <v>418</v>
      </c>
      <c r="DC50">
        <v>2</v>
      </c>
      <c r="DD50">
        <v>1639673117.5999999</v>
      </c>
      <c r="DE50">
        <v>23.492799999999999</v>
      </c>
      <c r="DF50">
        <v>30.040800000000001</v>
      </c>
      <c r="DG50">
        <v>24.930800000000001</v>
      </c>
      <c r="DH50">
        <v>17.6419</v>
      </c>
      <c r="DI50">
        <v>24.901199999999999</v>
      </c>
      <c r="DJ50">
        <v>24.924499999999998</v>
      </c>
      <c r="DK50">
        <v>500.14600000000002</v>
      </c>
      <c r="DL50">
        <v>99.713999999999999</v>
      </c>
      <c r="DM50">
        <v>9.9830799999999997E-2</v>
      </c>
      <c r="DN50">
        <v>27.997900000000001</v>
      </c>
      <c r="DO50">
        <v>27.6431</v>
      </c>
      <c r="DP50">
        <v>999.9</v>
      </c>
      <c r="DQ50">
        <v>0</v>
      </c>
      <c r="DR50">
        <v>0</v>
      </c>
      <c r="DS50">
        <v>10022.5</v>
      </c>
      <c r="DT50">
        <v>0</v>
      </c>
      <c r="DU50">
        <v>329.88600000000002</v>
      </c>
      <c r="DV50">
        <v>-6.5479599999999998</v>
      </c>
      <c r="DW50">
        <v>24.093499999999999</v>
      </c>
      <c r="DX50">
        <v>30.580300000000001</v>
      </c>
      <c r="DY50">
        <v>7.2889200000000001</v>
      </c>
      <c r="DZ50">
        <v>30.040800000000001</v>
      </c>
      <c r="EA50">
        <v>17.6419</v>
      </c>
      <c r="EB50">
        <v>2.4859499999999999</v>
      </c>
      <c r="EC50">
        <v>1.7591399999999999</v>
      </c>
      <c r="ED50">
        <v>20.934799999999999</v>
      </c>
      <c r="EE50">
        <v>15.4284</v>
      </c>
      <c r="EF50">
        <v>1800.25</v>
      </c>
      <c r="EG50">
        <v>0.97799199999999997</v>
      </c>
      <c r="EH50">
        <v>2.2008099999999999E-2</v>
      </c>
      <c r="EI50">
        <v>0</v>
      </c>
      <c r="EJ50">
        <v>840.97699999999998</v>
      </c>
      <c r="EK50">
        <v>5.0001199999999999</v>
      </c>
      <c r="EL50">
        <v>15001.7</v>
      </c>
      <c r="EM50">
        <v>15632.1</v>
      </c>
      <c r="EN50">
        <v>46.561999999999998</v>
      </c>
      <c r="EO50">
        <v>47.186999999999998</v>
      </c>
      <c r="EP50">
        <v>47.186999999999998</v>
      </c>
      <c r="EQ50">
        <v>46.936999999999998</v>
      </c>
      <c r="ER50">
        <v>48.061999999999998</v>
      </c>
      <c r="ES50">
        <v>1755.74</v>
      </c>
      <c r="ET50">
        <v>39.51</v>
      </c>
      <c r="EU50">
        <v>0</v>
      </c>
      <c r="EV50">
        <v>129.79999995231631</v>
      </c>
      <c r="EW50">
        <v>0</v>
      </c>
      <c r="EX50">
        <v>840.98161538461522</v>
      </c>
      <c r="EY50">
        <v>-0.7693675151129562</v>
      </c>
      <c r="EZ50">
        <v>-29.613675243871501</v>
      </c>
      <c r="FA50">
        <v>15003.25384615385</v>
      </c>
      <c r="FB50">
        <v>15</v>
      </c>
      <c r="FC50">
        <v>1639673079.0999999</v>
      </c>
      <c r="FD50" t="s">
        <v>593</v>
      </c>
      <c r="FE50">
        <v>1639673067.0999999</v>
      </c>
      <c r="FF50">
        <v>1639673079.0999999</v>
      </c>
      <c r="FG50">
        <v>37</v>
      </c>
      <c r="FH50">
        <v>2.1999999999999999E-2</v>
      </c>
      <c r="FI50">
        <v>-2E-3</v>
      </c>
      <c r="FJ50">
        <v>-1.4179999999999999</v>
      </c>
      <c r="FK50">
        <v>-0.10299999999999999</v>
      </c>
      <c r="FL50">
        <v>30</v>
      </c>
      <c r="FM50">
        <v>18</v>
      </c>
      <c r="FN50">
        <v>0.23</v>
      </c>
      <c r="FO50">
        <v>0.01</v>
      </c>
      <c r="FP50">
        <v>5.294226044215006</v>
      </c>
      <c r="FQ50">
        <v>-3.2209565790604328E-2</v>
      </c>
      <c r="FR50">
        <v>1.4747615549199591E-2</v>
      </c>
      <c r="FS50">
        <v>1</v>
      </c>
      <c r="FT50">
        <v>0.53667883156130858</v>
      </c>
      <c r="FU50">
        <v>4.7970717630992123E-2</v>
      </c>
      <c r="FV50">
        <v>5.8779619038804498E-3</v>
      </c>
      <c r="FW50">
        <v>1</v>
      </c>
      <c r="FX50">
        <v>2</v>
      </c>
      <c r="FY50">
        <v>2</v>
      </c>
      <c r="FZ50" t="s">
        <v>420</v>
      </c>
      <c r="GA50">
        <v>2.92327</v>
      </c>
      <c r="GB50">
        <v>2.7450000000000001</v>
      </c>
      <c r="GC50">
        <v>7.03873E-3</v>
      </c>
      <c r="GD50">
        <v>8.67536E-3</v>
      </c>
      <c r="GE50">
        <v>0.12046999999999999</v>
      </c>
      <c r="GF50">
        <v>9.5690899999999995E-2</v>
      </c>
      <c r="GG50">
        <v>30988.2</v>
      </c>
      <c r="GH50">
        <v>30583</v>
      </c>
      <c r="GI50">
        <v>28408.400000000001</v>
      </c>
      <c r="GJ50">
        <v>28208.2</v>
      </c>
      <c r="GK50">
        <v>34290</v>
      </c>
      <c r="GL50">
        <v>35813.4</v>
      </c>
      <c r="GM50">
        <v>42749.7</v>
      </c>
      <c r="GN50">
        <v>43878</v>
      </c>
      <c r="GO50">
        <v>1.81315</v>
      </c>
      <c r="GP50">
        <v>1.99813</v>
      </c>
      <c r="GQ50">
        <v>6.8813600000000003E-2</v>
      </c>
      <c r="GR50">
        <v>0</v>
      </c>
      <c r="GS50">
        <v>26.517900000000001</v>
      </c>
      <c r="GT50">
        <v>999.9</v>
      </c>
      <c r="GU50">
        <v>40.700000000000003</v>
      </c>
      <c r="GV50">
        <v>34.9</v>
      </c>
      <c r="GW50">
        <v>22.929400000000001</v>
      </c>
      <c r="GX50">
        <v>61.178400000000003</v>
      </c>
      <c r="GY50">
        <v>29.639399999999998</v>
      </c>
      <c r="GZ50">
        <v>1</v>
      </c>
      <c r="HA50">
        <v>0.23477600000000001</v>
      </c>
      <c r="HB50">
        <v>1.4758599999999999</v>
      </c>
      <c r="HC50">
        <v>20.270900000000001</v>
      </c>
      <c r="HD50">
        <v>5.2753899999999998</v>
      </c>
      <c r="HE50">
        <v>12.0878</v>
      </c>
      <c r="HF50">
        <v>5.0139500000000004</v>
      </c>
      <c r="HG50">
        <v>3.2918500000000002</v>
      </c>
      <c r="HH50">
        <v>9999</v>
      </c>
      <c r="HI50">
        <v>9999</v>
      </c>
      <c r="HJ50">
        <v>9999</v>
      </c>
      <c r="HK50">
        <v>999.9</v>
      </c>
      <c r="HL50">
        <v>1.8751500000000001</v>
      </c>
      <c r="HM50">
        <v>1.87561</v>
      </c>
      <c r="HN50">
        <v>1.8754599999999999</v>
      </c>
      <c r="HO50">
        <v>1.8793</v>
      </c>
      <c r="HP50">
        <v>1.87286</v>
      </c>
      <c r="HQ50">
        <v>1.8760600000000001</v>
      </c>
      <c r="HR50">
        <v>1.8757600000000001</v>
      </c>
      <c r="HS50">
        <v>1.8771599999999999</v>
      </c>
      <c r="HT50">
        <v>0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423</v>
      </c>
      <c r="IB50" t="s">
        <v>423</v>
      </c>
      <c r="IC50" t="s">
        <v>423</v>
      </c>
      <c r="ID50">
        <v>0</v>
      </c>
      <c r="IE50">
        <v>100</v>
      </c>
      <c r="IF50">
        <v>100</v>
      </c>
      <c r="IG50">
        <v>-1.4079999999999999</v>
      </c>
      <c r="IH50">
        <v>6.3E-3</v>
      </c>
      <c r="II50">
        <v>-1.3700056221912169</v>
      </c>
      <c r="IJ50">
        <v>-1.5404112972462821E-3</v>
      </c>
      <c r="IK50">
        <v>-5.8697186733976997E-8</v>
      </c>
      <c r="IL50">
        <v>1.160237123038427E-10</v>
      </c>
      <c r="IM50">
        <v>-0.1744356394154169</v>
      </c>
      <c r="IN50">
        <v>-3.128848753924141E-3</v>
      </c>
      <c r="IO50">
        <v>3.6841110403368089E-4</v>
      </c>
      <c r="IP50">
        <v>1.9296040270694169E-6</v>
      </c>
      <c r="IQ50">
        <v>1</v>
      </c>
      <c r="IR50">
        <v>1992</v>
      </c>
      <c r="IS50">
        <v>2</v>
      </c>
      <c r="IT50">
        <v>27</v>
      </c>
      <c r="IU50">
        <v>0.8</v>
      </c>
      <c r="IV50">
        <v>0.6</v>
      </c>
      <c r="IW50">
        <v>0.22583</v>
      </c>
      <c r="IX50">
        <v>2.7050800000000002</v>
      </c>
      <c r="IY50">
        <v>1.69434</v>
      </c>
      <c r="IZ50">
        <v>2.34619</v>
      </c>
      <c r="JA50">
        <v>1.5466299999999999</v>
      </c>
      <c r="JB50">
        <v>2.4536099999999998</v>
      </c>
      <c r="JC50">
        <v>38.575000000000003</v>
      </c>
      <c r="JD50">
        <v>24.105</v>
      </c>
      <c r="JE50">
        <v>18</v>
      </c>
      <c r="JF50">
        <v>534.49599999999998</v>
      </c>
      <c r="JG50">
        <v>540.86099999999999</v>
      </c>
      <c r="JH50">
        <v>25.555700000000002</v>
      </c>
      <c r="JI50">
        <v>30.238499999999998</v>
      </c>
      <c r="JJ50">
        <v>29.9999</v>
      </c>
      <c r="JK50">
        <v>30.241399999999999</v>
      </c>
      <c r="JL50">
        <v>30.2041</v>
      </c>
      <c r="JM50">
        <v>4.6033999999999997</v>
      </c>
      <c r="JN50">
        <v>27.731999999999999</v>
      </c>
      <c r="JO50">
        <v>37.726799999999997</v>
      </c>
      <c r="JP50">
        <v>25.560700000000001</v>
      </c>
      <c r="JQ50">
        <v>30</v>
      </c>
      <c r="JR50">
        <v>17.507100000000001</v>
      </c>
      <c r="JS50">
        <v>99.609300000000005</v>
      </c>
      <c r="JT50">
        <v>98.833799999999997</v>
      </c>
    </row>
    <row r="51" spans="1:280" x14ac:dyDescent="0.25">
      <c r="A51">
        <v>35</v>
      </c>
      <c r="B51">
        <v>1639673234.5999999</v>
      </c>
      <c r="C51">
        <v>6632.5</v>
      </c>
      <c r="D51" t="s">
        <v>594</v>
      </c>
      <c r="E51" t="s">
        <v>595</v>
      </c>
      <c r="F51" t="s">
        <v>412</v>
      </c>
      <c r="G51" t="s">
        <v>564</v>
      </c>
      <c r="H51" t="s">
        <v>565</v>
      </c>
      <c r="I51">
        <v>1639673234.5999999</v>
      </c>
      <c r="J51">
        <f t="shared" si="46"/>
        <v>6.4236610287866204E-3</v>
      </c>
      <c r="K51">
        <f t="shared" si="47"/>
        <v>6.4236610287866203</v>
      </c>
      <c r="L51">
        <f t="shared" si="48"/>
        <v>1.9400893684067042</v>
      </c>
      <c r="M51">
        <f t="shared" si="49"/>
        <v>7.6524099999999997</v>
      </c>
      <c r="N51">
        <f t="shared" si="50"/>
        <v>1.5385903546647275</v>
      </c>
      <c r="O51">
        <f t="shared" si="51"/>
        <v>0.15357555019362579</v>
      </c>
      <c r="P51">
        <f t="shared" si="52"/>
        <v>0.76383104345750008</v>
      </c>
      <c r="Q51">
        <f t="shared" si="53"/>
        <v>0.5622423391966338</v>
      </c>
      <c r="R51">
        <f t="shared" si="54"/>
        <v>2.9262063149606683</v>
      </c>
      <c r="S51">
        <f t="shared" si="55"/>
        <v>0.50840030179690954</v>
      </c>
      <c r="T51">
        <f t="shared" si="56"/>
        <v>0.32215691957913589</v>
      </c>
      <c r="U51">
        <f t="shared" si="57"/>
        <v>289.56690884764663</v>
      </c>
      <c r="V51">
        <f t="shared" si="58"/>
        <v>28.038268500361305</v>
      </c>
      <c r="W51">
        <f t="shared" si="59"/>
        <v>27.6142</v>
      </c>
      <c r="X51">
        <f t="shared" si="60"/>
        <v>3.7103234029499088</v>
      </c>
      <c r="Y51">
        <f t="shared" si="61"/>
        <v>65.566215625493854</v>
      </c>
      <c r="Z51">
        <f t="shared" si="62"/>
        <v>2.4883068317500001</v>
      </c>
      <c r="AA51">
        <f t="shared" si="63"/>
        <v>3.7951051589783713</v>
      </c>
      <c r="AB51">
        <f t="shared" si="64"/>
        <v>1.2220165711999087</v>
      </c>
      <c r="AC51">
        <f t="shared" si="65"/>
        <v>-283.28345136948997</v>
      </c>
      <c r="AD51">
        <f t="shared" si="66"/>
        <v>61.052204687785817</v>
      </c>
      <c r="AE51">
        <f t="shared" si="67"/>
        <v>4.5391511326222851</v>
      </c>
      <c r="AF51">
        <f t="shared" si="68"/>
        <v>71.874813298564774</v>
      </c>
      <c r="AG51">
        <v>0</v>
      </c>
      <c r="AH51">
        <v>0</v>
      </c>
      <c r="AI51">
        <f t="shared" si="69"/>
        <v>1</v>
      </c>
      <c r="AJ51">
        <f t="shared" si="70"/>
        <v>0</v>
      </c>
      <c r="AK51">
        <f t="shared" si="71"/>
        <v>52598.88544537784</v>
      </c>
      <c r="AL51" t="s">
        <v>415</v>
      </c>
      <c r="AM51">
        <v>10204.299999999999</v>
      </c>
      <c r="AN51">
        <v>862.72538461538477</v>
      </c>
      <c r="AO51">
        <v>3252.56</v>
      </c>
      <c r="AP51">
        <f t="shared" si="72"/>
        <v>0.73475496697512588</v>
      </c>
      <c r="AQ51">
        <v>-6.6684750346205304</v>
      </c>
      <c r="AR51" t="s">
        <v>596</v>
      </c>
      <c r="AS51">
        <v>10052.9</v>
      </c>
      <c r="AT51">
        <v>844.48526923076929</v>
      </c>
      <c r="AU51">
        <v>903.28487954511502</v>
      </c>
      <c r="AV51">
        <f t="shared" si="73"/>
        <v>6.5095311175757287E-2</v>
      </c>
      <c r="AW51">
        <v>0.5</v>
      </c>
      <c r="AX51">
        <f t="shared" si="74"/>
        <v>1513.1924999210603</v>
      </c>
      <c r="AY51">
        <f t="shared" si="75"/>
        <v>1.9400893684067042</v>
      </c>
      <c r="AZ51">
        <f t="shared" si="76"/>
        <v>49.250868325591753</v>
      </c>
      <c r="BA51">
        <f t="shared" si="77"/>
        <v>5.68900810932933E-3</v>
      </c>
      <c r="BB51">
        <f t="shared" si="78"/>
        <v>2.6008130697792216</v>
      </c>
      <c r="BC51">
        <f t="shared" si="79"/>
        <v>510.53287651112237</v>
      </c>
      <c r="BD51" t="s">
        <v>597</v>
      </c>
      <c r="BE51">
        <v>571.16999999999996</v>
      </c>
      <c r="BF51">
        <f t="shared" si="80"/>
        <v>571.16999999999996</v>
      </c>
      <c r="BG51">
        <f t="shared" si="81"/>
        <v>0.36767456985703639</v>
      </c>
      <c r="BH51">
        <f t="shared" si="82"/>
        <v>0.17704599804405416</v>
      </c>
      <c r="BI51">
        <f t="shared" si="83"/>
        <v>0.87614077790059819</v>
      </c>
      <c r="BJ51">
        <f t="shared" si="84"/>
        <v>1.4497125868114646</v>
      </c>
      <c r="BK51">
        <f t="shared" si="85"/>
        <v>0.98302832561356868</v>
      </c>
      <c r="BL51">
        <f t="shared" si="86"/>
        <v>0.11974556145299535</v>
      </c>
      <c r="BM51">
        <f t="shared" si="87"/>
        <v>0.88025443854700469</v>
      </c>
      <c r="BN51">
        <v>4940</v>
      </c>
      <c r="BO51">
        <v>290.00000000000011</v>
      </c>
      <c r="BP51">
        <v>886.23</v>
      </c>
      <c r="BQ51">
        <v>95</v>
      </c>
      <c r="BR51">
        <v>10052.9</v>
      </c>
      <c r="BS51">
        <v>884.59</v>
      </c>
      <c r="BT51">
        <v>1.64</v>
      </c>
      <c r="BU51">
        <v>300.00000000000011</v>
      </c>
      <c r="BV51">
        <v>24.1</v>
      </c>
      <c r="BW51">
        <v>903.28487954511502</v>
      </c>
      <c r="BX51">
        <v>2.0811926306858899</v>
      </c>
      <c r="BY51">
        <v>-18.797301957364851</v>
      </c>
      <c r="BZ51">
        <v>1.8617949747610021</v>
      </c>
      <c r="CA51">
        <v>0.7845091959403927</v>
      </c>
      <c r="CB51">
        <v>-6.8390703003337163E-3</v>
      </c>
      <c r="CC51">
        <v>289.99999999999989</v>
      </c>
      <c r="CD51">
        <v>883.1</v>
      </c>
      <c r="CE51">
        <v>685</v>
      </c>
      <c r="CF51">
        <v>10027.700000000001</v>
      </c>
      <c r="CG51">
        <v>884.54</v>
      </c>
      <c r="CH51">
        <v>-1.44</v>
      </c>
      <c r="CV51">
        <f t="shared" si="88"/>
        <v>1800.01</v>
      </c>
      <c r="CW51">
        <f t="shared" si="89"/>
        <v>1513.1924999210603</v>
      </c>
      <c r="CX51">
        <f t="shared" si="90"/>
        <v>0.8406578296348689</v>
      </c>
      <c r="CY51">
        <f t="shared" si="91"/>
        <v>0.16086961119529705</v>
      </c>
      <c r="CZ51">
        <v>6</v>
      </c>
      <c r="DA51">
        <v>0.5</v>
      </c>
      <c r="DB51" t="s">
        <v>418</v>
      </c>
      <c r="DC51">
        <v>2</v>
      </c>
      <c r="DD51">
        <v>1639673234.5999999</v>
      </c>
      <c r="DE51">
        <v>7.6524099999999997</v>
      </c>
      <c r="DF51">
        <v>10.039400000000001</v>
      </c>
      <c r="DG51">
        <v>24.928999999999998</v>
      </c>
      <c r="DH51">
        <v>17.4131</v>
      </c>
      <c r="DI51">
        <v>9.0414999999999992</v>
      </c>
      <c r="DJ51">
        <v>24.925999999999998</v>
      </c>
      <c r="DK51">
        <v>500.02199999999999</v>
      </c>
      <c r="DL51">
        <v>99.715800000000002</v>
      </c>
      <c r="DM51">
        <v>9.9949999999999997E-2</v>
      </c>
      <c r="DN51">
        <v>28.001200000000001</v>
      </c>
      <c r="DO51">
        <v>27.6142</v>
      </c>
      <c r="DP51">
        <v>999.9</v>
      </c>
      <c r="DQ51">
        <v>0</v>
      </c>
      <c r="DR51">
        <v>0</v>
      </c>
      <c r="DS51">
        <v>10009.4</v>
      </c>
      <c r="DT51">
        <v>0</v>
      </c>
      <c r="DU51">
        <v>329.46</v>
      </c>
      <c r="DV51">
        <v>-2.3869899999999999</v>
      </c>
      <c r="DW51">
        <v>7.8480499999999997</v>
      </c>
      <c r="DX51">
        <v>10.2173</v>
      </c>
      <c r="DY51">
        <v>7.5159099999999999</v>
      </c>
      <c r="DZ51">
        <v>10.039400000000001</v>
      </c>
      <c r="EA51">
        <v>17.4131</v>
      </c>
      <c r="EB51">
        <v>2.4858199999999999</v>
      </c>
      <c r="EC51">
        <v>1.7363599999999999</v>
      </c>
      <c r="ED51">
        <v>20.933900000000001</v>
      </c>
      <c r="EE51">
        <v>15.2254</v>
      </c>
      <c r="EF51">
        <v>1800.01</v>
      </c>
      <c r="EG51">
        <v>0.97800900000000002</v>
      </c>
      <c r="EH51">
        <v>2.1991199999999999E-2</v>
      </c>
      <c r="EI51">
        <v>0</v>
      </c>
      <c r="EJ51">
        <v>844.34100000000001</v>
      </c>
      <c r="EK51">
        <v>5.0001199999999999</v>
      </c>
      <c r="EL51">
        <v>15057.1</v>
      </c>
      <c r="EM51">
        <v>15630.1</v>
      </c>
      <c r="EN51">
        <v>46.436999999999998</v>
      </c>
      <c r="EO51">
        <v>47.125</v>
      </c>
      <c r="EP51">
        <v>47.186999999999998</v>
      </c>
      <c r="EQ51">
        <v>46.936999999999998</v>
      </c>
      <c r="ER51">
        <v>48</v>
      </c>
      <c r="ES51">
        <v>1755.54</v>
      </c>
      <c r="ET51">
        <v>39.47</v>
      </c>
      <c r="EU51">
        <v>0</v>
      </c>
      <c r="EV51">
        <v>115.2000000476837</v>
      </c>
      <c r="EW51">
        <v>0</v>
      </c>
      <c r="EX51">
        <v>844.48526923076929</v>
      </c>
      <c r="EY51">
        <v>-1.036957258523139</v>
      </c>
      <c r="EZ51">
        <v>-28.533333355057621</v>
      </c>
      <c r="FA51">
        <v>15060.86153846154</v>
      </c>
      <c r="FB51">
        <v>15</v>
      </c>
      <c r="FC51">
        <v>1639673195.0999999</v>
      </c>
      <c r="FD51" t="s">
        <v>598</v>
      </c>
      <c r="FE51">
        <v>1639673189.0999999</v>
      </c>
      <c r="FF51">
        <v>1639673195.0999999</v>
      </c>
      <c r="FG51">
        <v>38</v>
      </c>
      <c r="FH51">
        <v>-5.0000000000000001E-3</v>
      </c>
      <c r="FI51">
        <v>-3.0000000000000001E-3</v>
      </c>
      <c r="FJ51">
        <v>-1.393</v>
      </c>
      <c r="FK51">
        <v>-0.11</v>
      </c>
      <c r="FL51">
        <v>10</v>
      </c>
      <c r="FM51">
        <v>17</v>
      </c>
      <c r="FN51">
        <v>0.18</v>
      </c>
      <c r="FO51">
        <v>0.01</v>
      </c>
      <c r="FP51">
        <v>1.9552078178527881</v>
      </c>
      <c r="FQ51">
        <v>-6.4050268979378003E-2</v>
      </c>
      <c r="FR51">
        <v>1.6438084688675709E-2</v>
      </c>
      <c r="FS51">
        <v>1</v>
      </c>
      <c r="FT51">
        <v>0.55797262789899194</v>
      </c>
      <c r="FU51">
        <v>4.5316895300004413E-2</v>
      </c>
      <c r="FV51">
        <v>4.987530527998006E-3</v>
      </c>
      <c r="FW51">
        <v>1</v>
      </c>
      <c r="FX51">
        <v>2</v>
      </c>
      <c r="FY51">
        <v>2</v>
      </c>
      <c r="FZ51" t="s">
        <v>420</v>
      </c>
      <c r="GA51">
        <v>2.9230700000000001</v>
      </c>
      <c r="GB51">
        <v>2.7450000000000001</v>
      </c>
      <c r="GC51">
        <v>2.5641599999999998E-3</v>
      </c>
      <c r="GD51">
        <v>2.9133599999999998E-3</v>
      </c>
      <c r="GE51">
        <v>0.120492</v>
      </c>
      <c r="GF51">
        <v>9.4812599999999997E-2</v>
      </c>
      <c r="GG51">
        <v>31131.8</v>
      </c>
      <c r="GH51">
        <v>30765.599999999999</v>
      </c>
      <c r="GI51">
        <v>28411.9</v>
      </c>
      <c r="GJ51">
        <v>28212.5</v>
      </c>
      <c r="GK51">
        <v>34293.4</v>
      </c>
      <c r="GL51">
        <v>35852.800000000003</v>
      </c>
      <c r="GM51">
        <v>42755.1</v>
      </c>
      <c r="GN51">
        <v>43883.8</v>
      </c>
      <c r="GO51">
        <v>1.81413</v>
      </c>
      <c r="GP51">
        <v>1.99855</v>
      </c>
      <c r="GQ51">
        <v>7.0970500000000006E-2</v>
      </c>
      <c r="GR51">
        <v>0</v>
      </c>
      <c r="GS51">
        <v>26.453600000000002</v>
      </c>
      <c r="GT51">
        <v>999.9</v>
      </c>
      <c r="GU51">
        <v>40.4</v>
      </c>
      <c r="GV51">
        <v>34.9</v>
      </c>
      <c r="GW51">
        <v>22.758299999999998</v>
      </c>
      <c r="GX51">
        <v>60.968400000000003</v>
      </c>
      <c r="GY51">
        <v>30.288499999999999</v>
      </c>
      <c r="GZ51">
        <v>1</v>
      </c>
      <c r="HA51">
        <v>0.22937199999999999</v>
      </c>
      <c r="HB51">
        <v>1.4204699999999999</v>
      </c>
      <c r="HC51">
        <v>20.271899999999999</v>
      </c>
      <c r="HD51">
        <v>5.2755400000000003</v>
      </c>
      <c r="HE51">
        <v>12.0878</v>
      </c>
      <c r="HF51">
        <v>5.0145999999999997</v>
      </c>
      <c r="HG51">
        <v>3.2919499999999999</v>
      </c>
      <c r="HH51">
        <v>9999</v>
      </c>
      <c r="HI51">
        <v>9999</v>
      </c>
      <c r="HJ51">
        <v>9999</v>
      </c>
      <c r="HK51">
        <v>999.9</v>
      </c>
      <c r="HL51">
        <v>1.8751500000000001</v>
      </c>
      <c r="HM51">
        <v>1.87561</v>
      </c>
      <c r="HN51">
        <v>1.87544</v>
      </c>
      <c r="HO51">
        <v>1.87931</v>
      </c>
      <c r="HP51">
        <v>1.8728400000000001</v>
      </c>
      <c r="HQ51">
        <v>1.87605</v>
      </c>
      <c r="HR51">
        <v>1.8757600000000001</v>
      </c>
      <c r="HS51">
        <v>1.8771899999999999</v>
      </c>
      <c r="HT51">
        <v>0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423</v>
      </c>
      <c r="IB51" t="s">
        <v>423</v>
      </c>
      <c r="IC51" t="s">
        <v>423</v>
      </c>
      <c r="ID51">
        <v>0</v>
      </c>
      <c r="IE51">
        <v>100</v>
      </c>
      <c r="IF51">
        <v>100</v>
      </c>
      <c r="IG51">
        <v>-1.389</v>
      </c>
      <c r="IH51">
        <v>3.0000000000000001E-3</v>
      </c>
      <c r="II51">
        <v>-1.375155312042788</v>
      </c>
      <c r="IJ51">
        <v>-1.5404112972462821E-3</v>
      </c>
      <c r="IK51">
        <v>-5.8697186733976997E-8</v>
      </c>
      <c r="IL51">
        <v>1.160237123038427E-10</v>
      </c>
      <c r="IM51">
        <v>-0.1777805666329984</v>
      </c>
      <c r="IN51">
        <v>-3.128848753924141E-3</v>
      </c>
      <c r="IO51">
        <v>3.6841110403368089E-4</v>
      </c>
      <c r="IP51">
        <v>1.9296040270694169E-6</v>
      </c>
      <c r="IQ51">
        <v>1</v>
      </c>
      <c r="IR51">
        <v>1992</v>
      </c>
      <c r="IS51">
        <v>2</v>
      </c>
      <c r="IT51">
        <v>27</v>
      </c>
      <c r="IU51">
        <v>0.8</v>
      </c>
      <c r="IV51">
        <v>0.7</v>
      </c>
      <c r="IW51">
        <v>0.18188499999999999</v>
      </c>
      <c r="IX51">
        <v>2.7258300000000002</v>
      </c>
      <c r="IY51">
        <v>1.69434</v>
      </c>
      <c r="IZ51">
        <v>2.34619</v>
      </c>
      <c r="JA51">
        <v>1.5466299999999999</v>
      </c>
      <c r="JB51">
        <v>2.3571800000000001</v>
      </c>
      <c r="JC51">
        <v>38.501399999999997</v>
      </c>
      <c r="JD51">
        <v>24.105</v>
      </c>
      <c r="JE51">
        <v>18</v>
      </c>
      <c r="JF51">
        <v>534.745</v>
      </c>
      <c r="JG51">
        <v>540.65800000000002</v>
      </c>
      <c r="JH51">
        <v>25.604900000000001</v>
      </c>
      <c r="JI51">
        <v>30.178799999999999</v>
      </c>
      <c r="JJ51">
        <v>29.9999</v>
      </c>
      <c r="JK51">
        <v>30.1859</v>
      </c>
      <c r="JL51">
        <v>30.1496</v>
      </c>
      <c r="JM51">
        <v>3.71509</v>
      </c>
      <c r="JN51">
        <v>27.857900000000001</v>
      </c>
      <c r="JO51">
        <v>36.859499999999997</v>
      </c>
      <c r="JP51">
        <v>25.604099999999999</v>
      </c>
      <c r="JQ51">
        <v>10</v>
      </c>
      <c r="JR51">
        <v>17.311699999999998</v>
      </c>
      <c r="JS51">
        <v>99.621700000000004</v>
      </c>
      <c r="JT51">
        <v>98.8476</v>
      </c>
    </row>
    <row r="52" spans="1:280" x14ac:dyDescent="0.25">
      <c r="A52">
        <v>36</v>
      </c>
      <c r="B52">
        <v>1639673424.0999999</v>
      </c>
      <c r="C52">
        <v>6822</v>
      </c>
      <c r="D52" t="s">
        <v>599</v>
      </c>
      <c r="E52" t="s">
        <v>600</v>
      </c>
      <c r="F52" t="s">
        <v>412</v>
      </c>
      <c r="G52" t="s">
        <v>564</v>
      </c>
      <c r="H52" t="s">
        <v>565</v>
      </c>
      <c r="I52">
        <v>1639673424.0999999</v>
      </c>
      <c r="J52">
        <f t="shared" si="46"/>
        <v>6.0922486161335398E-3</v>
      </c>
      <c r="K52">
        <f t="shared" si="47"/>
        <v>6.0922486161335394</v>
      </c>
      <c r="L52">
        <f t="shared" si="48"/>
        <v>39.068457773037942</v>
      </c>
      <c r="M52">
        <f t="shared" si="49"/>
        <v>350.55500000000001</v>
      </c>
      <c r="N52">
        <f t="shared" si="50"/>
        <v>215.20577178693611</v>
      </c>
      <c r="O52">
        <f t="shared" si="51"/>
        <v>21.4819298805788</v>
      </c>
      <c r="P52">
        <f t="shared" si="52"/>
        <v>34.992546281435004</v>
      </c>
      <c r="Q52">
        <f t="shared" si="53"/>
        <v>0.52303339813417682</v>
      </c>
      <c r="R52">
        <f t="shared" si="54"/>
        <v>2.9202513475239478</v>
      </c>
      <c r="S52">
        <f t="shared" si="55"/>
        <v>0.47601741999718389</v>
      </c>
      <c r="T52">
        <f t="shared" si="56"/>
        <v>0.30138210576505925</v>
      </c>
      <c r="U52">
        <f t="shared" si="57"/>
        <v>289.52976284754914</v>
      </c>
      <c r="V52">
        <f t="shared" si="58"/>
        <v>28.128403689334647</v>
      </c>
      <c r="W52">
        <f t="shared" si="59"/>
        <v>27.561900000000001</v>
      </c>
      <c r="X52">
        <f t="shared" si="60"/>
        <v>3.6989935612950644</v>
      </c>
      <c r="Y52">
        <f t="shared" si="61"/>
        <v>64.828594156468611</v>
      </c>
      <c r="Z52">
        <f t="shared" si="62"/>
        <v>2.4608727403009998</v>
      </c>
      <c r="AA52">
        <f t="shared" si="63"/>
        <v>3.795968079087912</v>
      </c>
      <c r="AB52">
        <f t="shared" si="64"/>
        <v>1.2381208209940646</v>
      </c>
      <c r="AC52">
        <f t="shared" si="65"/>
        <v>-268.66816397148909</v>
      </c>
      <c r="AD52">
        <f t="shared" si="66"/>
        <v>69.775896975065137</v>
      </c>
      <c r="AE52">
        <f t="shared" si="67"/>
        <v>5.1970711725546739</v>
      </c>
      <c r="AF52">
        <f t="shared" si="68"/>
        <v>95.834567023679853</v>
      </c>
      <c r="AG52">
        <v>0</v>
      </c>
      <c r="AH52">
        <v>0</v>
      </c>
      <c r="AI52">
        <f t="shared" si="69"/>
        <v>1</v>
      </c>
      <c r="AJ52">
        <f t="shared" si="70"/>
        <v>0</v>
      </c>
      <c r="AK52">
        <f t="shared" si="71"/>
        <v>52427.091610483905</v>
      </c>
      <c r="AL52" t="s">
        <v>415</v>
      </c>
      <c r="AM52">
        <v>10204.299999999999</v>
      </c>
      <c r="AN52">
        <v>862.72538461538477</v>
      </c>
      <c r="AO52">
        <v>3252.56</v>
      </c>
      <c r="AP52">
        <f t="shared" si="72"/>
        <v>0.73475496697512588</v>
      </c>
      <c r="AQ52">
        <v>-6.6684750346205304</v>
      </c>
      <c r="AR52" t="s">
        <v>601</v>
      </c>
      <c r="AS52">
        <v>10034.9</v>
      </c>
      <c r="AT52">
        <v>766.43216000000018</v>
      </c>
      <c r="AU52">
        <v>1025.375583793412</v>
      </c>
      <c r="AV52">
        <f t="shared" si="73"/>
        <v>0.25253519577230599</v>
      </c>
      <c r="AW52">
        <v>0.5</v>
      </c>
      <c r="AX52">
        <f t="shared" si="74"/>
        <v>1512.99149992101</v>
      </c>
      <c r="AY52">
        <f t="shared" si="75"/>
        <v>39.068457773037942</v>
      </c>
      <c r="AZ52">
        <f t="shared" si="76"/>
        <v>191.04180231719357</v>
      </c>
      <c r="BA52">
        <f t="shared" si="77"/>
        <v>3.0229471090912469E-2</v>
      </c>
      <c r="BB52">
        <f t="shared" si="78"/>
        <v>2.1720669493289897</v>
      </c>
      <c r="BC52">
        <f t="shared" si="79"/>
        <v>547.36944363526118</v>
      </c>
      <c r="BD52" t="s">
        <v>602</v>
      </c>
      <c r="BE52">
        <v>557.42999999999995</v>
      </c>
      <c r="BF52">
        <f t="shared" si="80"/>
        <v>557.42999999999995</v>
      </c>
      <c r="BG52">
        <f t="shared" si="81"/>
        <v>0.45636505412215045</v>
      </c>
      <c r="BH52">
        <f t="shared" si="82"/>
        <v>0.55336225570135911</v>
      </c>
      <c r="BI52">
        <f t="shared" si="83"/>
        <v>0.8263736503272896</v>
      </c>
      <c r="BJ52">
        <f t="shared" si="84"/>
        <v>1.5920264783075226</v>
      </c>
      <c r="BK52">
        <f t="shared" si="85"/>
        <v>0.93194081375716853</v>
      </c>
      <c r="BL52">
        <f t="shared" si="86"/>
        <v>0.40246317716575009</v>
      </c>
      <c r="BM52">
        <f t="shared" si="87"/>
        <v>0.59753682283424991</v>
      </c>
      <c r="BN52">
        <v>4942</v>
      </c>
      <c r="BO52">
        <v>290.00000000000011</v>
      </c>
      <c r="BP52">
        <v>967.02</v>
      </c>
      <c r="BQ52">
        <v>295</v>
      </c>
      <c r="BR52">
        <v>10034.9</v>
      </c>
      <c r="BS52">
        <v>968.26</v>
      </c>
      <c r="BT52">
        <v>-1.24</v>
      </c>
      <c r="BU52">
        <v>300.00000000000011</v>
      </c>
      <c r="BV52">
        <v>24.1</v>
      </c>
      <c r="BW52">
        <v>1025.375583793412</v>
      </c>
      <c r="BX52">
        <v>2.3432234117564601</v>
      </c>
      <c r="BY52">
        <v>-57.312104929493763</v>
      </c>
      <c r="BZ52">
        <v>2.0955976715933549</v>
      </c>
      <c r="CA52">
        <v>0.96391554811835545</v>
      </c>
      <c r="CB52">
        <v>-6.8383383759733074E-3</v>
      </c>
      <c r="CC52">
        <v>289.99999999999989</v>
      </c>
      <c r="CD52">
        <v>968.39</v>
      </c>
      <c r="CE52">
        <v>635</v>
      </c>
      <c r="CF52">
        <v>10026.9</v>
      </c>
      <c r="CG52">
        <v>968.22</v>
      </c>
      <c r="CH52">
        <v>0.17</v>
      </c>
      <c r="CV52">
        <f t="shared" si="88"/>
        <v>1799.77</v>
      </c>
      <c r="CW52">
        <f t="shared" si="89"/>
        <v>1512.99149992101</v>
      </c>
      <c r="CX52">
        <f t="shared" si="90"/>
        <v>0.84065825073259914</v>
      </c>
      <c r="CY52">
        <f t="shared" si="91"/>
        <v>0.16087042391391629</v>
      </c>
      <c r="CZ52">
        <v>6</v>
      </c>
      <c r="DA52">
        <v>0.5</v>
      </c>
      <c r="DB52" t="s">
        <v>418</v>
      </c>
      <c r="DC52">
        <v>2</v>
      </c>
      <c r="DD52">
        <v>1639673424.0999999</v>
      </c>
      <c r="DE52">
        <v>350.55500000000001</v>
      </c>
      <c r="DF52">
        <v>399.98700000000002</v>
      </c>
      <c r="DG52">
        <v>24.652999999999999</v>
      </c>
      <c r="DH52">
        <v>17.5244</v>
      </c>
      <c r="DI52">
        <v>352.48700000000002</v>
      </c>
      <c r="DJ52">
        <v>24.651700000000002</v>
      </c>
      <c r="DK52">
        <v>500.13099999999997</v>
      </c>
      <c r="DL52">
        <v>99.720200000000006</v>
      </c>
      <c r="DM52">
        <v>0.100217</v>
      </c>
      <c r="DN52">
        <v>28.005099999999999</v>
      </c>
      <c r="DO52">
        <v>27.561900000000001</v>
      </c>
      <c r="DP52">
        <v>999.9</v>
      </c>
      <c r="DQ52">
        <v>0</v>
      </c>
      <c r="DR52">
        <v>0</v>
      </c>
      <c r="DS52">
        <v>9975</v>
      </c>
      <c r="DT52">
        <v>0</v>
      </c>
      <c r="DU52">
        <v>339.39499999999998</v>
      </c>
      <c r="DV52">
        <v>-49.432000000000002</v>
      </c>
      <c r="DW52">
        <v>359.416</v>
      </c>
      <c r="DX52">
        <v>407.12200000000001</v>
      </c>
      <c r="DY52">
        <v>7.1286300000000002</v>
      </c>
      <c r="DZ52">
        <v>399.98700000000002</v>
      </c>
      <c r="EA52">
        <v>17.5244</v>
      </c>
      <c r="EB52">
        <v>2.4584100000000002</v>
      </c>
      <c r="EC52">
        <v>1.7475400000000001</v>
      </c>
      <c r="ED52">
        <v>20.753699999999998</v>
      </c>
      <c r="EE52">
        <v>15.3253</v>
      </c>
      <c r="EF52">
        <v>1799.77</v>
      </c>
      <c r="EG52">
        <v>0.97799499999999995</v>
      </c>
      <c r="EH52">
        <v>2.2004800000000001E-2</v>
      </c>
      <c r="EI52">
        <v>0</v>
      </c>
      <c r="EJ52">
        <v>765.07500000000005</v>
      </c>
      <c r="EK52">
        <v>5.0001199999999999</v>
      </c>
      <c r="EL52">
        <v>13695.1</v>
      </c>
      <c r="EM52">
        <v>15627.9</v>
      </c>
      <c r="EN52">
        <v>47.25</v>
      </c>
      <c r="EO52">
        <v>47.875</v>
      </c>
      <c r="EP52">
        <v>47.875</v>
      </c>
      <c r="EQ52">
        <v>47.936999999999998</v>
      </c>
      <c r="ER52">
        <v>48.875</v>
      </c>
      <c r="ES52">
        <v>1755.28</v>
      </c>
      <c r="ET52">
        <v>39.49</v>
      </c>
      <c r="EU52">
        <v>0</v>
      </c>
      <c r="EV52">
        <v>187.79999995231631</v>
      </c>
      <c r="EW52">
        <v>0</v>
      </c>
      <c r="EX52">
        <v>766.43216000000018</v>
      </c>
      <c r="EY52">
        <v>-9.5349999984434639</v>
      </c>
      <c r="EZ52">
        <v>-175.46153871237331</v>
      </c>
      <c r="FA52">
        <v>13718.335999999999</v>
      </c>
      <c r="FB52">
        <v>15</v>
      </c>
      <c r="FC52">
        <v>1639673324.0999999</v>
      </c>
      <c r="FD52" t="s">
        <v>603</v>
      </c>
      <c r="FE52">
        <v>1639673310.0999999</v>
      </c>
      <c r="FF52">
        <v>1639673324.0999999</v>
      </c>
      <c r="FG52">
        <v>39</v>
      </c>
      <c r="FH52">
        <v>-1.0999999999999999E-2</v>
      </c>
      <c r="FI52">
        <v>3.0000000000000001E-3</v>
      </c>
      <c r="FJ52">
        <v>-2.008</v>
      </c>
      <c r="FK52">
        <v>-0.107</v>
      </c>
      <c r="FL52">
        <v>400</v>
      </c>
      <c r="FM52">
        <v>17</v>
      </c>
      <c r="FN52">
        <v>0.04</v>
      </c>
      <c r="FO52">
        <v>0.01</v>
      </c>
      <c r="FP52">
        <v>38.123697652105882</v>
      </c>
      <c r="FQ52">
        <v>5.4136433367637764</v>
      </c>
      <c r="FR52">
        <v>0.52189845876187646</v>
      </c>
      <c r="FS52">
        <v>0</v>
      </c>
      <c r="FT52">
        <v>0.52587814722223225</v>
      </c>
      <c r="FU52">
        <v>-1.822002736863438E-2</v>
      </c>
      <c r="FV52">
        <v>1.776007273320671E-3</v>
      </c>
      <c r="FW52">
        <v>1</v>
      </c>
      <c r="FX52">
        <v>1</v>
      </c>
      <c r="FY52">
        <v>2</v>
      </c>
      <c r="FZ52" t="s">
        <v>459</v>
      </c>
      <c r="GA52">
        <v>2.9235199999999999</v>
      </c>
      <c r="GB52">
        <v>2.7449699999999999</v>
      </c>
      <c r="GC52">
        <v>8.3578700000000006E-2</v>
      </c>
      <c r="GD52">
        <v>9.3728699999999998E-2</v>
      </c>
      <c r="GE52">
        <v>0.1196</v>
      </c>
      <c r="GF52">
        <v>9.5271999999999996E-2</v>
      </c>
      <c r="GG52">
        <v>28609.599999999999</v>
      </c>
      <c r="GH52">
        <v>27969.200000000001</v>
      </c>
      <c r="GI52">
        <v>28416.2</v>
      </c>
      <c r="GJ52">
        <v>28216.2</v>
      </c>
      <c r="GK52">
        <v>34333.5</v>
      </c>
      <c r="GL52">
        <v>35839.4</v>
      </c>
      <c r="GM52">
        <v>42762.3</v>
      </c>
      <c r="GN52">
        <v>43890.5</v>
      </c>
      <c r="GO52">
        <v>1.8155300000000001</v>
      </c>
      <c r="GP52">
        <v>2.0015200000000002</v>
      </c>
      <c r="GQ52">
        <v>7.0191900000000002E-2</v>
      </c>
      <c r="GR52">
        <v>0</v>
      </c>
      <c r="GS52">
        <v>26.414000000000001</v>
      </c>
      <c r="GT52">
        <v>999.9</v>
      </c>
      <c r="GU52">
        <v>39.799999999999997</v>
      </c>
      <c r="GV52">
        <v>34.799999999999997</v>
      </c>
      <c r="GW52">
        <v>22.2957</v>
      </c>
      <c r="GX52">
        <v>61.0184</v>
      </c>
      <c r="GY52">
        <v>29.723600000000001</v>
      </c>
      <c r="GZ52">
        <v>1</v>
      </c>
      <c r="HA52">
        <v>0.221308</v>
      </c>
      <c r="HB52">
        <v>1.3705099999999999</v>
      </c>
      <c r="HC52">
        <v>20.2727</v>
      </c>
      <c r="HD52">
        <v>5.2759900000000002</v>
      </c>
      <c r="HE52">
        <v>12.0878</v>
      </c>
      <c r="HF52">
        <v>5.0147000000000004</v>
      </c>
      <c r="HG52">
        <v>3.2918799999999999</v>
      </c>
      <c r="HH52">
        <v>9999</v>
      </c>
      <c r="HI52">
        <v>9999</v>
      </c>
      <c r="HJ52">
        <v>9999</v>
      </c>
      <c r="HK52">
        <v>999.9</v>
      </c>
      <c r="HL52">
        <v>1.8751500000000001</v>
      </c>
      <c r="HM52">
        <v>1.87561</v>
      </c>
      <c r="HN52">
        <v>1.87544</v>
      </c>
      <c r="HO52">
        <v>1.8792899999999999</v>
      </c>
      <c r="HP52">
        <v>1.8728199999999999</v>
      </c>
      <c r="HQ52">
        <v>1.87602</v>
      </c>
      <c r="HR52">
        <v>1.8757600000000001</v>
      </c>
      <c r="HS52">
        <v>1.87714</v>
      </c>
      <c r="HT52">
        <v>0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423</v>
      </c>
      <c r="IB52" t="s">
        <v>423</v>
      </c>
      <c r="IC52" t="s">
        <v>423</v>
      </c>
      <c r="ID52">
        <v>0</v>
      </c>
      <c r="IE52">
        <v>100</v>
      </c>
      <c r="IF52">
        <v>100</v>
      </c>
      <c r="IG52">
        <v>-1.9319999999999999</v>
      </c>
      <c r="IH52">
        <v>1.2999999999999999E-3</v>
      </c>
      <c r="II52">
        <v>-1.3864171466360511</v>
      </c>
      <c r="IJ52">
        <v>-1.5404112972462821E-3</v>
      </c>
      <c r="IK52">
        <v>-5.8697186733976997E-8</v>
      </c>
      <c r="IL52">
        <v>1.160237123038427E-10</v>
      </c>
      <c r="IM52">
        <v>-0.17430058807165411</v>
      </c>
      <c r="IN52">
        <v>-3.128848753924141E-3</v>
      </c>
      <c r="IO52">
        <v>3.6841110403368089E-4</v>
      </c>
      <c r="IP52">
        <v>1.9296040270694169E-6</v>
      </c>
      <c r="IQ52">
        <v>1</v>
      </c>
      <c r="IR52">
        <v>1992</v>
      </c>
      <c r="IS52">
        <v>2</v>
      </c>
      <c r="IT52">
        <v>27</v>
      </c>
      <c r="IU52">
        <v>1.9</v>
      </c>
      <c r="IV52">
        <v>1.7</v>
      </c>
      <c r="IW52">
        <v>1.0437000000000001</v>
      </c>
      <c r="IX52">
        <v>2.68188</v>
      </c>
      <c r="IY52">
        <v>1.69434</v>
      </c>
      <c r="IZ52">
        <v>2.34497</v>
      </c>
      <c r="JA52">
        <v>1.5466299999999999</v>
      </c>
      <c r="JB52">
        <v>2.4145500000000002</v>
      </c>
      <c r="JC52">
        <v>38.427900000000001</v>
      </c>
      <c r="JD52">
        <v>24.105</v>
      </c>
      <c r="JE52">
        <v>18</v>
      </c>
      <c r="JF52">
        <v>534.94500000000005</v>
      </c>
      <c r="JG52">
        <v>542.02</v>
      </c>
      <c r="JH52">
        <v>25.6465</v>
      </c>
      <c r="JI52">
        <v>30.082699999999999</v>
      </c>
      <c r="JJ52">
        <v>29.9999</v>
      </c>
      <c r="JK52">
        <v>30.091100000000001</v>
      </c>
      <c r="JL52">
        <v>30.058499999999999</v>
      </c>
      <c r="JM52">
        <v>20.9877</v>
      </c>
      <c r="JN52">
        <v>23.524999999999999</v>
      </c>
      <c r="JO52">
        <v>36.010300000000001</v>
      </c>
      <c r="JP52">
        <v>25.626799999999999</v>
      </c>
      <c r="JQ52">
        <v>400</v>
      </c>
      <c r="JR52">
        <v>17.620699999999999</v>
      </c>
      <c r="JS52">
        <v>99.637799999999999</v>
      </c>
      <c r="JT52">
        <v>98.861999999999995</v>
      </c>
    </row>
    <row r="53" spans="1:280" x14ac:dyDescent="0.25">
      <c r="A53">
        <v>37</v>
      </c>
      <c r="B53">
        <v>1639673613.5999999</v>
      </c>
      <c r="C53">
        <v>7011.5</v>
      </c>
      <c r="D53" t="s">
        <v>604</v>
      </c>
      <c r="E53" t="s">
        <v>605</v>
      </c>
      <c r="F53" t="s">
        <v>412</v>
      </c>
      <c r="G53" t="s">
        <v>564</v>
      </c>
      <c r="H53" t="s">
        <v>565</v>
      </c>
      <c r="I53">
        <v>1639673613.5999999</v>
      </c>
      <c r="J53">
        <f t="shared" si="46"/>
        <v>5.992037723153266E-3</v>
      </c>
      <c r="K53">
        <f t="shared" si="47"/>
        <v>5.992037723153266</v>
      </c>
      <c r="L53">
        <f t="shared" si="48"/>
        <v>47.233536531874591</v>
      </c>
      <c r="M53">
        <f t="shared" si="49"/>
        <v>340.85500000000002</v>
      </c>
      <c r="N53">
        <f t="shared" si="50"/>
        <v>175.39423014616509</v>
      </c>
      <c r="O53">
        <f t="shared" si="51"/>
        <v>17.508068735222121</v>
      </c>
      <c r="P53">
        <f t="shared" si="52"/>
        <v>34.024567192267</v>
      </c>
      <c r="Q53">
        <f t="shared" si="53"/>
        <v>0.5106049582758595</v>
      </c>
      <c r="R53">
        <f t="shared" si="54"/>
        <v>2.9268459339588562</v>
      </c>
      <c r="S53">
        <f t="shared" si="55"/>
        <v>0.46578590602161535</v>
      </c>
      <c r="T53">
        <f t="shared" si="56"/>
        <v>0.29481446874542216</v>
      </c>
      <c r="U53">
        <f t="shared" si="57"/>
        <v>289.56110384760467</v>
      </c>
      <c r="V53">
        <f t="shared" si="58"/>
        <v>28.172293892041868</v>
      </c>
      <c r="W53">
        <f t="shared" si="59"/>
        <v>27.6511</v>
      </c>
      <c r="X53">
        <f t="shared" si="60"/>
        <v>3.7183353243957433</v>
      </c>
      <c r="Y53">
        <f t="shared" si="61"/>
        <v>65.107221256229877</v>
      </c>
      <c r="Z53">
        <f t="shared" si="62"/>
        <v>2.4740293908948403</v>
      </c>
      <c r="AA53">
        <f t="shared" si="63"/>
        <v>3.7999308573749171</v>
      </c>
      <c r="AB53">
        <f t="shared" si="64"/>
        <v>1.244305933500903</v>
      </c>
      <c r="AC53">
        <f t="shared" si="65"/>
        <v>-264.24886359105903</v>
      </c>
      <c r="AD53">
        <f t="shared" si="66"/>
        <v>58.682888681072285</v>
      </c>
      <c r="AE53">
        <f t="shared" si="67"/>
        <v>4.363318942791075</v>
      </c>
      <c r="AF53">
        <f t="shared" si="68"/>
        <v>88.358447880408988</v>
      </c>
      <c r="AG53">
        <v>0</v>
      </c>
      <c r="AH53">
        <v>0</v>
      </c>
      <c r="AI53">
        <f t="shared" si="69"/>
        <v>1</v>
      </c>
      <c r="AJ53">
        <f t="shared" si="70"/>
        <v>0</v>
      </c>
      <c r="AK53">
        <f t="shared" si="71"/>
        <v>52613.597072554345</v>
      </c>
      <c r="AL53" t="s">
        <v>415</v>
      </c>
      <c r="AM53">
        <v>10204.299999999999</v>
      </c>
      <c r="AN53">
        <v>862.72538461538477</v>
      </c>
      <c r="AO53">
        <v>3252.56</v>
      </c>
      <c r="AP53">
        <f t="shared" si="72"/>
        <v>0.73475496697512588</v>
      </c>
      <c r="AQ53">
        <v>-6.6684750346205304</v>
      </c>
      <c r="AR53" t="s">
        <v>606</v>
      </c>
      <c r="AS53">
        <v>10033.799999999999</v>
      </c>
      <c r="AT53">
        <v>754.78199999999993</v>
      </c>
      <c r="AU53">
        <v>1081.5062026093549</v>
      </c>
      <c r="AV53">
        <f t="shared" si="73"/>
        <v>0.30210108996237472</v>
      </c>
      <c r="AW53">
        <v>0.5</v>
      </c>
      <c r="AX53">
        <f t="shared" si="74"/>
        <v>1513.1591999210386</v>
      </c>
      <c r="AY53">
        <f t="shared" si="75"/>
        <v>47.233536531874591</v>
      </c>
      <c r="AZ53">
        <f t="shared" si="76"/>
        <v>228.56352179137033</v>
      </c>
      <c r="BA53">
        <f t="shared" si="77"/>
        <v>3.5622168222159238E-2</v>
      </c>
      <c r="BB53">
        <f t="shared" si="78"/>
        <v>2.0074353638957718</v>
      </c>
      <c r="BC53">
        <f t="shared" si="79"/>
        <v>562.96680673738865</v>
      </c>
      <c r="BD53" t="s">
        <v>607</v>
      </c>
      <c r="BE53">
        <v>561</v>
      </c>
      <c r="BF53">
        <f t="shared" si="80"/>
        <v>561</v>
      </c>
      <c r="BG53">
        <f t="shared" si="81"/>
        <v>0.48127898051211104</v>
      </c>
      <c r="BH53">
        <f t="shared" si="82"/>
        <v>0.62770472469194516</v>
      </c>
      <c r="BI53">
        <f t="shared" si="83"/>
        <v>0.80661541908433954</v>
      </c>
      <c r="BJ53">
        <f t="shared" si="84"/>
        <v>1.4933859631988391</v>
      </c>
      <c r="BK53">
        <f t="shared" si="85"/>
        <v>0.90845357390609216</v>
      </c>
      <c r="BL53">
        <f t="shared" si="86"/>
        <v>0.46654842133514218</v>
      </c>
      <c r="BM53">
        <f t="shared" si="87"/>
        <v>0.53345157866485782</v>
      </c>
      <c r="BN53">
        <v>4944</v>
      </c>
      <c r="BO53">
        <v>290.00000000000011</v>
      </c>
      <c r="BP53">
        <v>995.01</v>
      </c>
      <c r="BQ53">
        <v>245</v>
      </c>
      <c r="BR53">
        <v>10033.799999999999</v>
      </c>
      <c r="BS53">
        <v>993.93</v>
      </c>
      <c r="BT53">
        <v>1.08</v>
      </c>
      <c r="BU53">
        <v>300.00000000000011</v>
      </c>
      <c r="BV53">
        <v>24.1</v>
      </c>
      <c r="BW53">
        <v>1081.5062026093549</v>
      </c>
      <c r="BX53">
        <v>1.796760510248649</v>
      </c>
      <c r="BY53">
        <v>-87.86731159340286</v>
      </c>
      <c r="BZ53">
        <v>1.606259699564268</v>
      </c>
      <c r="CA53">
        <v>0.99072977880130919</v>
      </c>
      <c r="CB53">
        <v>-6.8363630700778704E-3</v>
      </c>
      <c r="CC53">
        <v>289.99999999999989</v>
      </c>
      <c r="CD53">
        <v>991.02</v>
      </c>
      <c r="CE53">
        <v>675</v>
      </c>
      <c r="CF53">
        <v>10021.200000000001</v>
      </c>
      <c r="CG53">
        <v>993.82</v>
      </c>
      <c r="CH53">
        <v>-2.8</v>
      </c>
      <c r="CV53">
        <f t="shared" si="88"/>
        <v>1799.97</v>
      </c>
      <c r="CW53">
        <f t="shared" si="89"/>
        <v>1513.1591999210386</v>
      </c>
      <c r="CX53">
        <f t="shared" si="90"/>
        <v>0.84065801092298131</v>
      </c>
      <c r="CY53">
        <f t="shared" si="91"/>
        <v>0.16086996108135396</v>
      </c>
      <c r="CZ53">
        <v>6</v>
      </c>
      <c r="DA53">
        <v>0.5</v>
      </c>
      <c r="DB53" t="s">
        <v>418</v>
      </c>
      <c r="DC53">
        <v>2</v>
      </c>
      <c r="DD53">
        <v>1639673613.5999999</v>
      </c>
      <c r="DE53">
        <v>340.85500000000002</v>
      </c>
      <c r="DF53">
        <v>399.96899999999999</v>
      </c>
      <c r="DG53">
        <v>24.784600000000001</v>
      </c>
      <c r="DH53">
        <v>17.7744</v>
      </c>
      <c r="DI53">
        <v>342.88600000000002</v>
      </c>
      <c r="DJ53">
        <v>24.776</v>
      </c>
      <c r="DK53">
        <v>500.14499999999998</v>
      </c>
      <c r="DL53">
        <v>99.721299999999999</v>
      </c>
      <c r="DM53">
        <v>9.9935399999999994E-2</v>
      </c>
      <c r="DN53">
        <v>28.023</v>
      </c>
      <c r="DO53">
        <v>27.6511</v>
      </c>
      <c r="DP53">
        <v>999.9</v>
      </c>
      <c r="DQ53">
        <v>0</v>
      </c>
      <c r="DR53">
        <v>0</v>
      </c>
      <c r="DS53">
        <v>10012.5</v>
      </c>
      <c r="DT53">
        <v>0</v>
      </c>
      <c r="DU53">
        <v>334.67500000000001</v>
      </c>
      <c r="DV53">
        <v>-59.1145</v>
      </c>
      <c r="DW53">
        <v>349.517</v>
      </c>
      <c r="DX53">
        <v>407.20699999999999</v>
      </c>
      <c r="DY53">
        <v>7.0101500000000003</v>
      </c>
      <c r="DZ53">
        <v>399.96899999999999</v>
      </c>
      <c r="EA53">
        <v>17.7744</v>
      </c>
      <c r="EB53">
        <v>2.4715500000000001</v>
      </c>
      <c r="EC53">
        <v>1.7724899999999999</v>
      </c>
      <c r="ED53">
        <v>20.840299999999999</v>
      </c>
      <c r="EE53">
        <v>15.5463</v>
      </c>
      <c r="EF53">
        <v>1799.97</v>
      </c>
      <c r="EG53">
        <v>0.97800500000000001</v>
      </c>
      <c r="EH53">
        <v>2.19946E-2</v>
      </c>
      <c r="EI53">
        <v>0</v>
      </c>
      <c r="EJ53">
        <v>754.70600000000002</v>
      </c>
      <c r="EK53">
        <v>5.0001199999999999</v>
      </c>
      <c r="EL53">
        <v>13558.4</v>
      </c>
      <c r="EM53">
        <v>15629.7</v>
      </c>
      <c r="EN53">
        <v>48</v>
      </c>
      <c r="EO53">
        <v>48.5</v>
      </c>
      <c r="EP53">
        <v>48.686999999999998</v>
      </c>
      <c r="EQ53">
        <v>48.561999999999998</v>
      </c>
      <c r="ER53">
        <v>49.561999999999998</v>
      </c>
      <c r="ES53">
        <v>1755.49</v>
      </c>
      <c r="ET53">
        <v>39.479999999999997</v>
      </c>
      <c r="EU53">
        <v>0</v>
      </c>
      <c r="EV53">
        <v>187.79999995231631</v>
      </c>
      <c r="EW53">
        <v>0</v>
      </c>
      <c r="EX53">
        <v>754.78199999999993</v>
      </c>
      <c r="EY53">
        <v>-0.1233076926769625</v>
      </c>
      <c r="EZ53">
        <v>14.900000011289039</v>
      </c>
      <c r="FA53">
        <v>13555.644</v>
      </c>
      <c r="FB53">
        <v>15</v>
      </c>
      <c r="FC53">
        <v>1639673500.5999999</v>
      </c>
      <c r="FD53" t="s">
        <v>608</v>
      </c>
      <c r="FE53">
        <v>1639673491.5999999</v>
      </c>
      <c r="FF53">
        <v>1639673500.5999999</v>
      </c>
      <c r="FG53">
        <v>40</v>
      </c>
      <c r="FH53">
        <v>-0.114</v>
      </c>
      <c r="FI53">
        <v>5.0000000000000001E-3</v>
      </c>
      <c r="FJ53">
        <v>-2.1219999999999999</v>
      </c>
      <c r="FK53">
        <v>-9.7000000000000003E-2</v>
      </c>
      <c r="FL53">
        <v>400</v>
      </c>
      <c r="FM53">
        <v>18</v>
      </c>
      <c r="FN53">
        <v>0.05</v>
      </c>
      <c r="FO53">
        <v>0.01</v>
      </c>
      <c r="FP53">
        <v>47.150396118334221</v>
      </c>
      <c r="FQ53">
        <v>0.81370941671024077</v>
      </c>
      <c r="FR53">
        <v>8.2090014132284145E-2</v>
      </c>
      <c r="FS53">
        <v>0</v>
      </c>
      <c r="FT53">
        <v>0.51189650743629989</v>
      </c>
      <c r="FU53">
        <v>-2.8492962819048201E-3</v>
      </c>
      <c r="FV53">
        <v>5.4760208182029707E-4</v>
      </c>
      <c r="FW53">
        <v>1</v>
      </c>
      <c r="FX53">
        <v>1</v>
      </c>
      <c r="FY53">
        <v>2</v>
      </c>
      <c r="FZ53" t="s">
        <v>459</v>
      </c>
      <c r="GA53">
        <v>2.9234900000000001</v>
      </c>
      <c r="GB53">
        <v>2.7450199999999998</v>
      </c>
      <c r="GC53">
        <v>8.1774600000000003E-2</v>
      </c>
      <c r="GD53">
        <v>9.3730300000000003E-2</v>
      </c>
      <c r="GE53">
        <v>0.120022</v>
      </c>
      <c r="GF53">
        <v>9.6247299999999994E-2</v>
      </c>
      <c r="GG53">
        <v>28661.8</v>
      </c>
      <c r="GH53">
        <v>27967.4</v>
      </c>
      <c r="GI53">
        <v>28412.3</v>
      </c>
      <c r="GJ53">
        <v>28214.6</v>
      </c>
      <c r="GK53">
        <v>34310.300000000003</v>
      </c>
      <c r="GL53">
        <v>35799.300000000003</v>
      </c>
      <c r="GM53">
        <v>42753.9</v>
      </c>
      <c r="GN53">
        <v>43888.800000000003</v>
      </c>
      <c r="GO53">
        <v>1.81518</v>
      </c>
      <c r="GP53">
        <v>2.0015999999999998</v>
      </c>
      <c r="GQ53">
        <v>5.2988500000000001E-2</v>
      </c>
      <c r="GR53">
        <v>0</v>
      </c>
      <c r="GS53">
        <v>26.784800000000001</v>
      </c>
      <c r="GT53">
        <v>999.9</v>
      </c>
      <c r="GU53">
        <v>39.6</v>
      </c>
      <c r="GV53">
        <v>34.799999999999997</v>
      </c>
      <c r="GW53">
        <v>22.182200000000002</v>
      </c>
      <c r="GX53">
        <v>60.8384</v>
      </c>
      <c r="GY53">
        <v>29.6114</v>
      </c>
      <c r="GZ53">
        <v>1</v>
      </c>
      <c r="HA53">
        <v>0.228714</v>
      </c>
      <c r="HB53">
        <v>2.0890300000000002</v>
      </c>
      <c r="HC53">
        <v>20.2652</v>
      </c>
      <c r="HD53">
        <v>5.2755400000000003</v>
      </c>
      <c r="HE53">
        <v>12.0878</v>
      </c>
      <c r="HF53">
        <v>5.0133999999999999</v>
      </c>
      <c r="HG53">
        <v>3.2919</v>
      </c>
      <c r="HH53">
        <v>9999</v>
      </c>
      <c r="HI53">
        <v>9999</v>
      </c>
      <c r="HJ53">
        <v>9999</v>
      </c>
      <c r="HK53">
        <v>999.9</v>
      </c>
      <c r="HL53">
        <v>1.8751500000000001</v>
      </c>
      <c r="HM53">
        <v>1.8756200000000001</v>
      </c>
      <c r="HN53">
        <v>1.8754500000000001</v>
      </c>
      <c r="HO53">
        <v>1.8793200000000001</v>
      </c>
      <c r="HP53">
        <v>1.8728499999999999</v>
      </c>
      <c r="HQ53">
        <v>1.8760699999999999</v>
      </c>
      <c r="HR53">
        <v>1.8757600000000001</v>
      </c>
      <c r="HS53">
        <v>1.8771500000000001</v>
      </c>
      <c r="HT53">
        <v>0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423</v>
      </c>
      <c r="IB53" t="s">
        <v>423</v>
      </c>
      <c r="IC53" t="s">
        <v>423</v>
      </c>
      <c r="ID53">
        <v>0</v>
      </c>
      <c r="IE53">
        <v>100</v>
      </c>
      <c r="IF53">
        <v>100</v>
      </c>
      <c r="IG53">
        <v>-2.0310000000000001</v>
      </c>
      <c r="IH53">
        <v>8.6E-3</v>
      </c>
      <c r="II53">
        <v>-1.5005352162640551</v>
      </c>
      <c r="IJ53">
        <v>-1.5404112972462821E-3</v>
      </c>
      <c r="IK53">
        <v>-5.8697186733976997E-8</v>
      </c>
      <c r="IL53">
        <v>1.160237123038427E-10</v>
      </c>
      <c r="IM53">
        <v>-0.16943285817341011</v>
      </c>
      <c r="IN53">
        <v>-3.128848753924141E-3</v>
      </c>
      <c r="IO53">
        <v>3.6841110403368089E-4</v>
      </c>
      <c r="IP53">
        <v>1.9296040270694169E-6</v>
      </c>
      <c r="IQ53">
        <v>1</v>
      </c>
      <c r="IR53">
        <v>1992</v>
      </c>
      <c r="IS53">
        <v>2</v>
      </c>
      <c r="IT53">
        <v>27</v>
      </c>
      <c r="IU53">
        <v>2</v>
      </c>
      <c r="IV53">
        <v>1.9</v>
      </c>
      <c r="IW53">
        <v>1.0449200000000001</v>
      </c>
      <c r="IX53">
        <v>2.67578</v>
      </c>
      <c r="IY53">
        <v>1.69434</v>
      </c>
      <c r="IZ53">
        <v>2.34619</v>
      </c>
      <c r="JA53">
        <v>1.5466299999999999</v>
      </c>
      <c r="JB53">
        <v>2.47803</v>
      </c>
      <c r="JC53">
        <v>38.403399999999998</v>
      </c>
      <c r="JD53">
        <v>24.105</v>
      </c>
      <c r="JE53">
        <v>18</v>
      </c>
      <c r="JF53">
        <v>534.58699999999999</v>
      </c>
      <c r="JG53">
        <v>542.01199999999994</v>
      </c>
      <c r="JH53">
        <v>25.2057</v>
      </c>
      <c r="JI53">
        <v>30.111999999999998</v>
      </c>
      <c r="JJ53">
        <v>30.000699999999998</v>
      </c>
      <c r="JK53">
        <v>30.084700000000002</v>
      </c>
      <c r="JL53">
        <v>30.0518</v>
      </c>
      <c r="JM53">
        <v>20.990300000000001</v>
      </c>
      <c r="JN53">
        <v>22.234100000000002</v>
      </c>
      <c r="JO53">
        <v>35.479700000000001</v>
      </c>
      <c r="JP53">
        <v>25.180499999999999</v>
      </c>
      <c r="JQ53">
        <v>400</v>
      </c>
      <c r="JR53">
        <v>17.741499999999998</v>
      </c>
      <c r="JS53">
        <v>99.620699999999999</v>
      </c>
      <c r="JT53">
        <v>98.857299999999995</v>
      </c>
    </row>
    <row r="54" spans="1:280" x14ac:dyDescent="0.25">
      <c r="A54">
        <v>38</v>
      </c>
      <c r="B54">
        <v>1639673730.5999999</v>
      </c>
      <c r="C54">
        <v>7128.5</v>
      </c>
      <c r="D54" t="s">
        <v>609</v>
      </c>
      <c r="E54" t="s">
        <v>610</v>
      </c>
      <c r="F54" t="s">
        <v>412</v>
      </c>
      <c r="G54" t="s">
        <v>564</v>
      </c>
      <c r="H54" t="s">
        <v>565</v>
      </c>
      <c r="I54">
        <v>1639673730.5999999</v>
      </c>
      <c r="J54">
        <f t="shared" si="46"/>
        <v>6.0643905022879779E-3</v>
      </c>
      <c r="K54">
        <f t="shared" si="47"/>
        <v>6.0643905022879778</v>
      </c>
      <c r="L54">
        <f t="shared" si="48"/>
        <v>49.521562158840986</v>
      </c>
      <c r="M54">
        <f t="shared" si="49"/>
        <v>437.44299999999998</v>
      </c>
      <c r="N54">
        <f t="shared" si="50"/>
        <v>265.70923171263524</v>
      </c>
      <c r="O54">
        <f t="shared" si="51"/>
        <v>26.522576048007252</v>
      </c>
      <c r="P54">
        <f t="shared" si="52"/>
        <v>43.664705058934999</v>
      </c>
      <c r="Q54">
        <f t="shared" si="53"/>
        <v>0.52176873238802124</v>
      </c>
      <c r="R54">
        <f t="shared" si="54"/>
        <v>2.9287712385265592</v>
      </c>
      <c r="S54">
        <f t="shared" si="55"/>
        <v>0.47509207687108762</v>
      </c>
      <c r="T54">
        <f t="shared" si="56"/>
        <v>0.30077752052955897</v>
      </c>
      <c r="U54">
        <f t="shared" si="57"/>
        <v>289.58997284750325</v>
      </c>
      <c r="V54">
        <f t="shared" si="58"/>
        <v>28.129067062427293</v>
      </c>
      <c r="W54">
        <f t="shared" si="59"/>
        <v>27.659700000000001</v>
      </c>
      <c r="X54">
        <f t="shared" si="60"/>
        <v>3.7202047692623141</v>
      </c>
      <c r="Y54">
        <f t="shared" si="61"/>
        <v>65.507018377078836</v>
      </c>
      <c r="Z54">
        <f t="shared" si="62"/>
        <v>2.4856689565900001</v>
      </c>
      <c r="AA54">
        <f t="shared" si="63"/>
        <v>3.7945078530085339</v>
      </c>
      <c r="AB54">
        <f t="shared" si="64"/>
        <v>1.234535812672314</v>
      </c>
      <c r="AC54">
        <f t="shared" si="65"/>
        <v>-267.43962115089982</v>
      </c>
      <c r="AD54">
        <f t="shared" si="66"/>
        <v>53.495136005877036</v>
      </c>
      <c r="AE54">
        <f t="shared" si="67"/>
        <v>3.9746576166556253</v>
      </c>
      <c r="AF54">
        <f t="shared" si="68"/>
        <v>79.6201453191361</v>
      </c>
      <c r="AG54">
        <v>0</v>
      </c>
      <c r="AH54">
        <v>0</v>
      </c>
      <c r="AI54">
        <f t="shared" si="69"/>
        <v>1</v>
      </c>
      <c r="AJ54">
        <f t="shared" si="70"/>
        <v>0</v>
      </c>
      <c r="AK54">
        <f t="shared" si="71"/>
        <v>52673.224477654687</v>
      </c>
      <c r="AL54" t="s">
        <v>415</v>
      </c>
      <c r="AM54">
        <v>10204.299999999999</v>
      </c>
      <c r="AN54">
        <v>862.72538461538477</v>
      </c>
      <c r="AO54">
        <v>3252.56</v>
      </c>
      <c r="AP54">
        <f t="shared" si="72"/>
        <v>0.73475496697512588</v>
      </c>
      <c r="AQ54">
        <v>-6.6684750346205304</v>
      </c>
      <c r="AR54" t="s">
        <v>611</v>
      </c>
      <c r="AS54">
        <v>10033.6</v>
      </c>
      <c r="AT54">
        <v>754.92223999999999</v>
      </c>
      <c r="AU54">
        <v>1111.363905295585</v>
      </c>
      <c r="AV54">
        <f t="shared" si="73"/>
        <v>0.32072452919980665</v>
      </c>
      <c r="AW54">
        <v>0.5</v>
      </c>
      <c r="AX54">
        <f t="shared" si="74"/>
        <v>1513.3028999209862</v>
      </c>
      <c r="AY54">
        <f t="shared" si="75"/>
        <v>49.521562158840986</v>
      </c>
      <c r="AZ54">
        <f t="shared" si="76"/>
        <v>242.67668005693022</v>
      </c>
      <c r="BA54">
        <f t="shared" si="77"/>
        <v>3.7130727230084176E-2</v>
      </c>
      <c r="BB54">
        <f t="shared" si="78"/>
        <v>1.9266381466068303</v>
      </c>
      <c r="BC54">
        <f t="shared" si="79"/>
        <v>570.95140410534771</v>
      </c>
      <c r="BD54" t="s">
        <v>612</v>
      </c>
      <c r="BE54">
        <v>564.36</v>
      </c>
      <c r="BF54">
        <f t="shared" si="80"/>
        <v>564.36</v>
      </c>
      <c r="BG54">
        <f t="shared" si="81"/>
        <v>0.49219153392434545</v>
      </c>
      <c r="BH54">
        <f t="shared" si="82"/>
        <v>0.65162544882193174</v>
      </c>
      <c r="BI54">
        <f t="shared" si="83"/>
        <v>0.79651666345674244</v>
      </c>
      <c r="BJ54">
        <f t="shared" si="84"/>
        <v>1.4335737854314279</v>
      </c>
      <c r="BK54">
        <f t="shared" si="85"/>
        <v>0.89595994673456314</v>
      </c>
      <c r="BL54">
        <f t="shared" si="86"/>
        <v>0.48713803728599309</v>
      </c>
      <c r="BM54">
        <f t="shared" si="87"/>
        <v>0.51286196271400697</v>
      </c>
      <c r="BN54">
        <v>4946</v>
      </c>
      <c r="BO54">
        <v>290.00000000000011</v>
      </c>
      <c r="BP54">
        <v>1013.53</v>
      </c>
      <c r="BQ54">
        <v>215</v>
      </c>
      <c r="BR54">
        <v>10033.6</v>
      </c>
      <c r="BS54">
        <v>1012.36</v>
      </c>
      <c r="BT54">
        <v>1.17</v>
      </c>
      <c r="BU54">
        <v>300.00000000000011</v>
      </c>
      <c r="BV54">
        <v>24.1</v>
      </c>
      <c r="BW54">
        <v>1111.363905295585</v>
      </c>
      <c r="BX54">
        <v>1.3523211058240849</v>
      </c>
      <c r="BY54">
        <v>-99.335826806879808</v>
      </c>
      <c r="BZ54">
        <v>1.208637353662688</v>
      </c>
      <c r="CA54">
        <v>0.99587198043133729</v>
      </c>
      <c r="CB54">
        <v>-6.8352489432703112E-3</v>
      </c>
      <c r="CC54">
        <v>289.99999999999989</v>
      </c>
      <c r="CD54">
        <v>1007.45</v>
      </c>
      <c r="CE54">
        <v>635</v>
      </c>
      <c r="CF54">
        <v>10020.299999999999</v>
      </c>
      <c r="CG54">
        <v>1012.23</v>
      </c>
      <c r="CH54">
        <v>-4.78</v>
      </c>
      <c r="CV54">
        <f t="shared" si="88"/>
        <v>1800.14</v>
      </c>
      <c r="CW54">
        <f t="shared" si="89"/>
        <v>1513.3028999209862</v>
      </c>
      <c r="CX54">
        <f t="shared" si="90"/>
        <v>0.84065844874342333</v>
      </c>
      <c r="CY54">
        <f t="shared" si="91"/>
        <v>0.16087080607480708</v>
      </c>
      <c r="CZ54">
        <v>6</v>
      </c>
      <c r="DA54">
        <v>0.5</v>
      </c>
      <c r="DB54" t="s">
        <v>418</v>
      </c>
      <c r="DC54">
        <v>2</v>
      </c>
      <c r="DD54">
        <v>1639673730.5999999</v>
      </c>
      <c r="DE54">
        <v>437.44299999999998</v>
      </c>
      <c r="DF54">
        <v>500.04300000000001</v>
      </c>
      <c r="DG54">
        <v>24.902000000000001</v>
      </c>
      <c r="DH54">
        <v>17.806999999999999</v>
      </c>
      <c r="DI54">
        <v>439.66300000000001</v>
      </c>
      <c r="DJ54">
        <v>24.891100000000002</v>
      </c>
      <c r="DK54">
        <v>500.07400000000001</v>
      </c>
      <c r="DL54">
        <v>99.718299999999999</v>
      </c>
      <c r="DM54">
        <v>9.9745E-2</v>
      </c>
      <c r="DN54">
        <v>27.9985</v>
      </c>
      <c r="DO54">
        <v>27.659700000000001</v>
      </c>
      <c r="DP54">
        <v>999.9</v>
      </c>
      <c r="DQ54">
        <v>0</v>
      </c>
      <c r="DR54">
        <v>0</v>
      </c>
      <c r="DS54">
        <v>10023.799999999999</v>
      </c>
      <c r="DT54">
        <v>0</v>
      </c>
      <c r="DU54">
        <v>343.71</v>
      </c>
      <c r="DV54">
        <v>-62.599800000000002</v>
      </c>
      <c r="DW54">
        <v>448.61399999999998</v>
      </c>
      <c r="DX54">
        <v>509.108</v>
      </c>
      <c r="DY54">
        <v>7.0949900000000001</v>
      </c>
      <c r="DZ54">
        <v>500.04300000000001</v>
      </c>
      <c r="EA54">
        <v>17.806999999999999</v>
      </c>
      <c r="EB54">
        <v>2.4831799999999999</v>
      </c>
      <c r="EC54">
        <v>1.7756799999999999</v>
      </c>
      <c r="ED54">
        <v>20.916699999999999</v>
      </c>
      <c r="EE54">
        <v>15.574299999999999</v>
      </c>
      <c r="EF54">
        <v>1800.14</v>
      </c>
      <c r="EG54">
        <v>0.97799199999999997</v>
      </c>
      <c r="EH54">
        <v>2.2008199999999999E-2</v>
      </c>
      <c r="EI54">
        <v>0</v>
      </c>
      <c r="EJ54">
        <v>754.96500000000003</v>
      </c>
      <c r="EK54">
        <v>5.0001199999999999</v>
      </c>
      <c r="EL54">
        <v>13587</v>
      </c>
      <c r="EM54">
        <v>15631.1</v>
      </c>
      <c r="EN54">
        <v>48.5</v>
      </c>
      <c r="EO54">
        <v>48.936999999999998</v>
      </c>
      <c r="EP54">
        <v>49.186999999999998</v>
      </c>
      <c r="EQ54">
        <v>49</v>
      </c>
      <c r="ER54">
        <v>50</v>
      </c>
      <c r="ES54">
        <v>1755.63</v>
      </c>
      <c r="ET54">
        <v>39.51</v>
      </c>
      <c r="EU54">
        <v>0</v>
      </c>
      <c r="EV54">
        <v>115.2000000476837</v>
      </c>
      <c r="EW54">
        <v>0</v>
      </c>
      <c r="EX54">
        <v>754.92223999999999</v>
      </c>
      <c r="EY54">
        <v>0.54753844258229367</v>
      </c>
      <c r="EZ54">
        <v>16.469230749701691</v>
      </c>
      <c r="FA54">
        <v>13583.928</v>
      </c>
      <c r="FB54">
        <v>15</v>
      </c>
      <c r="FC54">
        <v>1639673690.0999999</v>
      </c>
      <c r="FD54" t="s">
        <v>613</v>
      </c>
      <c r="FE54">
        <v>1639673689.5999999</v>
      </c>
      <c r="FF54">
        <v>1639673690.0999999</v>
      </c>
      <c r="FG54">
        <v>41</v>
      </c>
      <c r="FH54">
        <v>-4.1000000000000002E-2</v>
      </c>
      <c r="FI54">
        <v>0</v>
      </c>
      <c r="FJ54">
        <v>-2.3159999999999998</v>
      </c>
      <c r="FK54">
        <v>-9.6000000000000002E-2</v>
      </c>
      <c r="FL54">
        <v>500</v>
      </c>
      <c r="FM54">
        <v>18</v>
      </c>
      <c r="FN54">
        <v>0.03</v>
      </c>
      <c r="FO54">
        <v>0.01</v>
      </c>
      <c r="FP54">
        <v>49.466272821655863</v>
      </c>
      <c r="FQ54">
        <v>0.25284071495460231</v>
      </c>
      <c r="FR54">
        <v>5.5632196365916868E-2</v>
      </c>
      <c r="FS54">
        <v>1</v>
      </c>
      <c r="FT54">
        <v>0.52314898234869445</v>
      </c>
      <c r="FU54">
        <v>3.227468986571165E-2</v>
      </c>
      <c r="FV54">
        <v>4.3668157694191764E-3</v>
      </c>
      <c r="FW54">
        <v>1</v>
      </c>
      <c r="FX54">
        <v>2</v>
      </c>
      <c r="FY54">
        <v>2</v>
      </c>
      <c r="FZ54" t="s">
        <v>420</v>
      </c>
      <c r="GA54">
        <v>2.923</v>
      </c>
      <c r="GB54">
        <v>2.7449300000000001</v>
      </c>
      <c r="GC54">
        <v>9.9080100000000004E-2</v>
      </c>
      <c r="GD54">
        <v>0.11071</v>
      </c>
      <c r="GE54">
        <v>0.120378</v>
      </c>
      <c r="GF54">
        <v>9.6349799999999999E-2</v>
      </c>
      <c r="GG54">
        <v>28112.2</v>
      </c>
      <c r="GH54">
        <v>27435.1</v>
      </c>
      <c r="GI54">
        <v>28403.3</v>
      </c>
      <c r="GJ54">
        <v>28206.6</v>
      </c>
      <c r="GK54">
        <v>34284.9</v>
      </c>
      <c r="GL54">
        <v>35786</v>
      </c>
      <c r="GM54">
        <v>42739.5</v>
      </c>
      <c r="GN54">
        <v>43877.1</v>
      </c>
      <c r="GO54">
        <v>1.8129200000000001</v>
      </c>
      <c r="GP54">
        <v>1.9997</v>
      </c>
      <c r="GQ54">
        <v>4.2691800000000002E-2</v>
      </c>
      <c r="GR54">
        <v>0</v>
      </c>
      <c r="GS54">
        <v>26.9619</v>
      </c>
      <c r="GT54">
        <v>999.9</v>
      </c>
      <c r="GU54">
        <v>39.4</v>
      </c>
      <c r="GV54">
        <v>34.799999999999997</v>
      </c>
      <c r="GW54">
        <v>22.0746</v>
      </c>
      <c r="GX54">
        <v>60.8384</v>
      </c>
      <c r="GY54">
        <v>29.715499999999999</v>
      </c>
      <c r="GZ54">
        <v>1</v>
      </c>
      <c r="HA54">
        <v>0.24336099999999999</v>
      </c>
      <c r="HB54">
        <v>2.0276200000000002</v>
      </c>
      <c r="HC54">
        <v>20.265699999999999</v>
      </c>
      <c r="HD54">
        <v>5.2761399999999998</v>
      </c>
      <c r="HE54">
        <v>12.0878</v>
      </c>
      <c r="HF54">
        <v>5.0142499999999997</v>
      </c>
      <c r="HG54">
        <v>3.2918799999999999</v>
      </c>
      <c r="HH54">
        <v>9999</v>
      </c>
      <c r="HI54">
        <v>9999</v>
      </c>
      <c r="HJ54">
        <v>9999</v>
      </c>
      <c r="HK54">
        <v>999.9</v>
      </c>
      <c r="HL54">
        <v>1.8751500000000001</v>
      </c>
      <c r="HM54">
        <v>1.8756200000000001</v>
      </c>
      <c r="HN54">
        <v>1.8754500000000001</v>
      </c>
      <c r="HO54">
        <v>1.8793299999999999</v>
      </c>
      <c r="HP54">
        <v>1.8728499999999999</v>
      </c>
      <c r="HQ54">
        <v>1.8760699999999999</v>
      </c>
      <c r="HR54">
        <v>1.8757600000000001</v>
      </c>
      <c r="HS54">
        <v>1.8771500000000001</v>
      </c>
      <c r="HT54">
        <v>0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423</v>
      </c>
      <c r="IB54" t="s">
        <v>423</v>
      </c>
      <c r="IC54" t="s">
        <v>423</v>
      </c>
      <c r="ID54">
        <v>0</v>
      </c>
      <c r="IE54">
        <v>100</v>
      </c>
      <c r="IF54">
        <v>100</v>
      </c>
      <c r="IG54">
        <v>-2.2200000000000002</v>
      </c>
      <c r="IH54">
        <v>1.09E-2</v>
      </c>
      <c r="II54">
        <v>-1.541397698420627</v>
      </c>
      <c r="IJ54">
        <v>-1.5404112972462821E-3</v>
      </c>
      <c r="IK54">
        <v>-5.8697186733976997E-8</v>
      </c>
      <c r="IL54">
        <v>1.160237123038427E-10</v>
      </c>
      <c r="IM54">
        <v>-0.16926314255585259</v>
      </c>
      <c r="IN54">
        <v>-3.128848753924141E-3</v>
      </c>
      <c r="IO54">
        <v>3.6841110403368089E-4</v>
      </c>
      <c r="IP54">
        <v>1.9296040270694169E-6</v>
      </c>
      <c r="IQ54">
        <v>1</v>
      </c>
      <c r="IR54">
        <v>1992</v>
      </c>
      <c r="IS54">
        <v>2</v>
      </c>
      <c r="IT54">
        <v>27</v>
      </c>
      <c r="IU54">
        <v>0.7</v>
      </c>
      <c r="IV54">
        <v>0.7</v>
      </c>
      <c r="IW54">
        <v>1.24878</v>
      </c>
      <c r="IX54">
        <v>2.6672400000000001</v>
      </c>
      <c r="IY54">
        <v>1.69434</v>
      </c>
      <c r="IZ54">
        <v>2.34619</v>
      </c>
      <c r="JA54">
        <v>1.5466299999999999</v>
      </c>
      <c r="JB54">
        <v>2.47559</v>
      </c>
      <c r="JC54">
        <v>38.403399999999998</v>
      </c>
      <c r="JD54">
        <v>24.105</v>
      </c>
      <c r="JE54">
        <v>18</v>
      </c>
      <c r="JF54">
        <v>533.755</v>
      </c>
      <c r="JG54">
        <v>541.46400000000006</v>
      </c>
      <c r="JH54">
        <v>25.1614</v>
      </c>
      <c r="JI54">
        <v>30.2605</v>
      </c>
      <c r="JJ54">
        <v>30.000699999999998</v>
      </c>
      <c r="JK54">
        <v>30.187000000000001</v>
      </c>
      <c r="JL54">
        <v>30.143599999999999</v>
      </c>
      <c r="JM54">
        <v>25.069400000000002</v>
      </c>
      <c r="JN54">
        <v>21.7042</v>
      </c>
      <c r="JO54">
        <v>35.348399999999998</v>
      </c>
      <c r="JP54">
        <v>25.152799999999999</v>
      </c>
      <c r="JQ54">
        <v>500</v>
      </c>
      <c r="JR54">
        <v>17.706</v>
      </c>
      <c r="JS54">
        <v>99.587800000000001</v>
      </c>
      <c r="JT54">
        <v>98.830399999999997</v>
      </c>
    </row>
    <row r="55" spans="1:280" x14ac:dyDescent="0.25">
      <c r="A55">
        <v>39</v>
      </c>
      <c r="B55">
        <v>1639673846.0999999</v>
      </c>
      <c r="C55">
        <v>7244</v>
      </c>
      <c r="D55" t="s">
        <v>614</v>
      </c>
      <c r="E55" t="s">
        <v>615</v>
      </c>
      <c r="F55" t="s">
        <v>412</v>
      </c>
      <c r="G55" t="s">
        <v>564</v>
      </c>
      <c r="H55" t="s">
        <v>565</v>
      </c>
      <c r="I55">
        <v>1639673846.0999999</v>
      </c>
      <c r="J55">
        <f t="shared" si="46"/>
        <v>6.01651582933553E-3</v>
      </c>
      <c r="K55">
        <f t="shared" si="47"/>
        <v>6.0165158293355301</v>
      </c>
      <c r="L55">
        <f t="shared" si="48"/>
        <v>50.141556566984463</v>
      </c>
      <c r="M55">
        <f t="shared" si="49"/>
        <v>536.01</v>
      </c>
      <c r="N55">
        <f t="shared" si="50"/>
        <v>357.69574092128687</v>
      </c>
      <c r="O55">
        <f t="shared" si="51"/>
        <v>35.699735930270805</v>
      </c>
      <c r="P55">
        <f t="shared" si="52"/>
        <v>53.496346941953988</v>
      </c>
      <c r="Q55">
        <f t="shared" si="53"/>
        <v>0.51327287243739528</v>
      </c>
      <c r="R55">
        <f t="shared" si="54"/>
        <v>2.9317006198570366</v>
      </c>
      <c r="S55">
        <f t="shared" si="55"/>
        <v>0.46807434435096057</v>
      </c>
      <c r="T55">
        <f t="shared" si="56"/>
        <v>0.29627498220528842</v>
      </c>
      <c r="U55">
        <f t="shared" si="57"/>
        <v>289.57822184753593</v>
      </c>
      <c r="V55">
        <f t="shared" si="58"/>
        <v>28.142809774303839</v>
      </c>
      <c r="W55">
        <f t="shared" si="59"/>
        <v>27.677800000000001</v>
      </c>
      <c r="X55">
        <f t="shared" si="60"/>
        <v>3.7241419783075203</v>
      </c>
      <c r="Y55">
        <f t="shared" si="61"/>
        <v>65.382372096034857</v>
      </c>
      <c r="Z55">
        <f t="shared" si="62"/>
        <v>2.4811561997195395</v>
      </c>
      <c r="AA55">
        <f t="shared" si="63"/>
        <v>3.7948396795319246</v>
      </c>
      <c r="AB55">
        <f t="shared" si="64"/>
        <v>1.2429857785879808</v>
      </c>
      <c r="AC55">
        <f t="shared" si="65"/>
        <v>-265.32834807369687</v>
      </c>
      <c r="AD55">
        <f t="shared" si="66"/>
        <v>50.924948478073219</v>
      </c>
      <c r="AE55">
        <f t="shared" si="67"/>
        <v>3.7802827792991347</v>
      </c>
      <c r="AF55">
        <f t="shared" si="68"/>
        <v>78.955105031211389</v>
      </c>
      <c r="AG55">
        <v>0</v>
      </c>
      <c r="AH55">
        <v>0</v>
      </c>
      <c r="AI55">
        <f t="shared" si="69"/>
        <v>1</v>
      </c>
      <c r="AJ55">
        <f t="shared" si="70"/>
        <v>0</v>
      </c>
      <c r="AK55">
        <f t="shared" si="71"/>
        <v>52757.017348406436</v>
      </c>
      <c r="AL55" t="s">
        <v>415</v>
      </c>
      <c r="AM55">
        <v>10204.299999999999</v>
      </c>
      <c r="AN55">
        <v>862.72538461538477</v>
      </c>
      <c r="AO55">
        <v>3252.56</v>
      </c>
      <c r="AP55">
        <f t="shared" si="72"/>
        <v>0.73475496697512588</v>
      </c>
      <c r="AQ55">
        <v>-6.6684750346205304</v>
      </c>
      <c r="AR55" t="s">
        <v>616</v>
      </c>
      <c r="AS55">
        <v>10035.799999999999</v>
      </c>
      <c r="AT55">
        <v>753.93719230769238</v>
      </c>
      <c r="AU55">
        <v>1116.809925791594</v>
      </c>
      <c r="AV55">
        <f t="shared" si="73"/>
        <v>0.32491897242648315</v>
      </c>
      <c r="AW55">
        <v>0.5</v>
      </c>
      <c r="AX55">
        <f t="shared" si="74"/>
        <v>1513.2437999210031</v>
      </c>
      <c r="AY55">
        <f t="shared" si="75"/>
        <v>50.141556566984463</v>
      </c>
      <c r="AZ55">
        <f t="shared" si="76"/>
        <v>245.8408102505395</v>
      </c>
      <c r="BA55">
        <f t="shared" si="77"/>
        <v>3.7541889551816227E-2</v>
      </c>
      <c r="BB55">
        <f t="shared" si="78"/>
        <v>1.9123666658805776</v>
      </c>
      <c r="BC55">
        <f t="shared" si="79"/>
        <v>572.3853453943841</v>
      </c>
      <c r="BD55" t="s">
        <v>617</v>
      </c>
      <c r="BE55">
        <v>560.57000000000005</v>
      </c>
      <c r="BF55">
        <f t="shared" si="80"/>
        <v>560.57000000000005</v>
      </c>
      <c r="BG55">
        <f t="shared" si="81"/>
        <v>0.4980614095073802</v>
      </c>
      <c r="BH55">
        <f t="shared" si="82"/>
        <v>0.65236729090866963</v>
      </c>
      <c r="BI55">
        <f t="shared" si="83"/>
        <v>0.79337221691328941</v>
      </c>
      <c r="BJ55">
        <f t="shared" si="84"/>
        <v>1.4281574620954491</v>
      </c>
      <c r="BK55">
        <f t="shared" si="85"/>
        <v>0.89368111937933514</v>
      </c>
      <c r="BL55">
        <f t="shared" si="86"/>
        <v>0.48505039411217515</v>
      </c>
      <c r="BM55">
        <f t="shared" si="87"/>
        <v>0.5149496058878249</v>
      </c>
      <c r="BN55">
        <v>4948</v>
      </c>
      <c r="BO55">
        <v>290.00000000000011</v>
      </c>
      <c r="BP55">
        <v>1020.51</v>
      </c>
      <c r="BQ55">
        <v>165</v>
      </c>
      <c r="BR55">
        <v>10035.799999999999</v>
      </c>
      <c r="BS55">
        <v>1018.13</v>
      </c>
      <c r="BT55">
        <v>2.38</v>
      </c>
      <c r="BU55">
        <v>300.00000000000011</v>
      </c>
      <c r="BV55">
        <v>24.1</v>
      </c>
      <c r="BW55">
        <v>1116.809925791594</v>
      </c>
      <c r="BX55">
        <v>1.765297953152462</v>
      </c>
      <c r="BY55">
        <v>-99.030742494717586</v>
      </c>
      <c r="BZ55">
        <v>1.57737805640384</v>
      </c>
      <c r="CA55">
        <v>0.99294632697017748</v>
      </c>
      <c r="CB55">
        <v>-6.834056729699672E-3</v>
      </c>
      <c r="CC55">
        <v>289.99999999999989</v>
      </c>
      <c r="CD55">
        <v>1013.76</v>
      </c>
      <c r="CE55">
        <v>665</v>
      </c>
      <c r="CF55">
        <v>10016.6</v>
      </c>
      <c r="CG55">
        <v>1017.94</v>
      </c>
      <c r="CH55">
        <v>-4.18</v>
      </c>
      <c r="CV55">
        <f t="shared" si="88"/>
        <v>1800.07</v>
      </c>
      <c r="CW55">
        <f t="shared" si="89"/>
        <v>1513.2437999210031</v>
      </c>
      <c r="CX55">
        <f t="shared" si="90"/>
        <v>0.84065830768859162</v>
      </c>
      <c r="CY55">
        <f t="shared" si="91"/>
        <v>0.16087053383898178</v>
      </c>
      <c r="CZ55">
        <v>6</v>
      </c>
      <c r="DA55">
        <v>0.5</v>
      </c>
      <c r="DB55" t="s">
        <v>418</v>
      </c>
      <c r="DC55">
        <v>2</v>
      </c>
      <c r="DD55">
        <v>1639673846.0999999</v>
      </c>
      <c r="DE55">
        <v>536.01</v>
      </c>
      <c r="DF55">
        <v>600.04399999999998</v>
      </c>
      <c r="DG55">
        <v>24.860099999999999</v>
      </c>
      <c r="DH55">
        <v>17.820399999999999</v>
      </c>
      <c r="DI55">
        <v>538.32100000000003</v>
      </c>
      <c r="DJ55">
        <v>24.850999999999999</v>
      </c>
      <c r="DK55">
        <v>500.04500000000002</v>
      </c>
      <c r="DL55">
        <v>99.704899999999995</v>
      </c>
      <c r="DM55">
        <v>9.9855399999999997E-2</v>
      </c>
      <c r="DN55">
        <v>28</v>
      </c>
      <c r="DO55">
        <v>27.677800000000001</v>
      </c>
      <c r="DP55">
        <v>999.9</v>
      </c>
      <c r="DQ55">
        <v>0</v>
      </c>
      <c r="DR55">
        <v>0</v>
      </c>
      <c r="DS55">
        <v>10041.9</v>
      </c>
      <c r="DT55">
        <v>0</v>
      </c>
      <c r="DU55">
        <v>353.1</v>
      </c>
      <c r="DV55">
        <v>-64.033799999999999</v>
      </c>
      <c r="DW55">
        <v>549.67499999999995</v>
      </c>
      <c r="DX55">
        <v>610.93100000000004</v>
      </c>
      <c r="DY55">
        <v>7.0397499999999997</v>
      </c>
      <c r="DZ55">
        <v>600.04399999999998</v>
      </c>
      <c r="EA55">
        <v>17.820399999999999</v>
      </c>
      <c r="EB55">
        <v>2.4786800000000002</v>
      </c>
      <c r="EC55">
        <v>1.77678</v>
      </c>
      <c r="ED55">
        <v>20.8872</v>
      </c>
      <c r="EE55">
        <v>15.584</v>
      </c>
      <c r="EF55">
        <v>1800.07</v>
      </c>
      <c r="EG55">
        <v>0.97799499999999995</v>
      </c>
      <c r="EH55">
        <v>2.2004800000000001E-2</v>
      </c>
      <c r="EI55">
        <v>0</v>
      </c>
      <c r="EJ55">
        <v>753.83900000000006</v>
      </c>
      <c r="EK55">
        <v>5.0001199999999999</v>
      </c>
      <c r="EL55">
        <v>13596.6</v>
      </c>
      <c r="EM55">
        <v>15630.6</v>
      </c>
      <c r="EN55">
        <v>48.875</v>
      </c>
      <c r="EO55">
        <v>49.311999999999998</v>
      </c>
      <c r="EP55">
        <v>49.561999999999998</v>
      </c>
      <c r="EQ55">
        <v>49.375</v>
      </c>
      <c r="ER55">
        <v>50.436999999999998</v>
      </c>
      <c r="ES55">
        <v>1755.57</v>
      </c>
      <c r="ET55">
        <v>39.5</v>
      </c>
      <c r="EU55">
        <v>0</v>
      </c>
      <c r="EV55">
        <v>113.4000000953674</v>
      </c>
      <c r="EW55">
        <v>0</v>
      </c>
      <c r="EX55">
        <v>753.93719230769238</v>
      </c>
      <c r="EY55">
        <v>-1.012615380128302</v>
      </c>
      <c r="EZ55">
        <v>28.68717942232362</v>
      </c>
      <c r="FA55">
        <v>13592.426923076921</v>
      </c>
      <c r="FB55">
        <v>15</v>
      </c>
      <c r="FC55">
        <v>1639673806.0999999</v>
      </c>
      <c r="FD55" t="s">
        <v>618</v>
      </c>
      <c r="FE55">
        <v>1639673802.0999999</v>
      </c>
      <c r="FF55">
        <v>1639673806.0999999</v>
      </c>
      <c r="FG55">
        <v>42</v>
      </c>
      <c r="FH55">
        <v>5.8000000000000003E-2</v>
      </c>
      <c r="FI55">
        <v>-1E-3</v>
      </c>
      <c r="FJ55">
        <v>-2.407</v>
      </c>
      <c r="FK55">
        <v>-0.1</v>
      </c>
      <c r="FL55">
        <v>600</v>
      </c>
      <c r="FM55">
        <v>18</v>
      </c>
      <c r="FN55">
        <v>0.02</v>
      </c>
      <c r="FO55">
        <v>0.01</v>
      </c>
      <c r="FP55">
        <v>50.178211500796252</v>
      </c>
      <c r="FQ55">
        <v>-0.1089243991152737</v>
      </c>
      <c r="FR55">
        <v>3.349135406895206E-2</v>
      </c>
      <c r="FS55">
        <v>1</v>
      </c>
      <c r="FT55">
        <v>0.51317202269522499</v>
      </c>
      <c r="FU55">
        <v>4.2468295968331952E-2</v>
      </c>
      <c r="FV55">
        <v>5.5862149875829728E-3</v>
      </c>
      <c r="FW55">
        <v>1</v>
      </c>
      <c r="FX55">
        <v>2</v>
      </c>
      <c r="FY55">
        <v>2</v>
      </c>
      <c r="FZ55" t="s">
        <v>420</v>
      </c>
      <c r="GA55">
        <v>2.9225699999999999</v>
      </c>
      <c r="GB55">
        <v>2.74519</v>
      </c>
      <c r="GC55">
        <v>0.114964</v>
      </c>
      <c r="GD55">
        <v>0.12607599999999999</v>
      </c>
      <c r="GE55">
        <v>0.120189</v>
      </c>
      <c r="GF55">
        <v>9.6359600000000004E-2</v>
      </c>
      <c r="GG55">
        <v>27607.4</v>
      </c>
      <c r="GH55">
        <v>26949.9</v>
      </c>
      <c r="GI55">
        <v>28394.6</v>
      </c>
      <c r="GJ55">
        <v>28195.8</v>
      </c>
      <c r="GK55">
        <v>34281.5</v>
      </c>
      <c r="GL55">
        <v>35773.4</v>
      </c>
      <c r="GM55">
        <v>42725.8</v>
      </c>
      <c r="GN55">
        <v>43861.9</v>
      </c>
      <c r="GO55">
        <v>1.81037</v>
      </c>
      <c r="GP55">
        <v>1.9975799999999999</v>
      </c>
      <c r="GQ55">
        <v>3.9111800000000002E-2</v>
      </c>
      <c r="GR55">
        <v>0</v>
      </c>
      <c r="GS55">
        <v>27.038499999999999</v>
      </c>
      <c r="GT55">
        <v>999.9</v>
      </c>
      <c r="GU55">
        <v>39.4</v>
      </c>
      <c r="GV55">
        <v>34.799999999999997</v>
      </c>
      <c r="GW55">
        <v>22.075299999999999</v>
      </c>
      <c r="GX55">
        <v>60.5184</v>
      </c>
      <c r="GY55">
        <v>30.132200000000001</v>
      </c>
      <c r="GZ55">
        <v>1</v>
      </c>
      <c r="HA55">
        <v>0.26058199999999998</v>
      </c>
      <c r="HB55">
        <v>2.41771</v>
      </c>
      <c r="HC55">
        <v>20.2606</v>
      </c>
      <c r="HD55">
        <v>5.2762900000000004</v>
      </c>
      <c r="HE55">
        <v>12.0878</v>
      </c>
      <c r="HF55">
        <v>5.0143500000000003</v>
      </c>
      <c r="HG55">
        <v>3.2918500000000002</v>
      </c>
      <c r="HH55">
        <v>9999</v>
      </c>
      <c r="HI55">
        <v>9999</v>
      </c>
      <c r="HJ55">
        <v>9999</v>
      </c>
      <c r="HK55">
        <v>999.9</v>
      </c>
      <c r="HL55">
        <v>1.8751500000000001</v>
      </c>
      <c r="HM55">
        <v>1.87561</v>
      </c>
      <c r="HN55">
        <v>1.8754299999999999</v>
      </c>
      <c r="HO55">
        <v>1.8793299999999999</v>
      </c>
      <c r="HP55">
        <v>1.8728499999999999</v>
      </c>
      <c r="HQ55">
        <v>1.8760699999999999</v>
      </c>
      <c r="HR55">
        <v>1.8757600000000001</v>
      </c>
      <c r="HS55">
        <v>1.87714</v>
      </c>
      <c r="HT55">
        <v>0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423</v>
      </c>
      <c r="IB55" t="s">
        <v>423</v>
      </c>
      <c r="IC55" t="s">
        <v>423</v>
      </c>
      <c r="ID55">
        <v>0</v>
      </c>
      <c r="IE55">
        <v>100</v>
      </c>
      <c r="IF55">
        <v>100</v>
      </c>
      <c r="IG55">
        <v>-2.3109999999999999</v>
      </c>
      <c r="IH55">
        <v>9.1000000000000004E-3</v>
      </c>
      <c r="II55">
        <v>-1.482853848565981</v>
      </c>
      <c r="IJ55">
        <v>-1.5404112972462821E-3</v>
      </c>
      <c r="IK55">
        <v>-5.8697186733976997E-8</v>
      </c>
      <c r="IL55">
        <v>1.160237123038427E-10</v>
      </c>
      <c r="IM55">
        <v>-0.1702654062889041</v>
      </c>
      <c r="IN55">
        <v>-3.128848753924141E-3</v>
      </c>
      <c r="IO55">
        <v>3.6841110403368089E-4</v>
      </c>
      <c r="IP55">
        <v>1.9296040270694169E-6</v>
      </c>
      <c r="IQ55">
        <v>1</v>
      </c>
      <c r="IR55">
        <v>1992</v>
      </c>
      <c r="IS55">
        <v>2</v>
      </c>
      <c r="IT55">
        <v>27</v>
      </c>
      <c r="IU55">
        <v>0.7</v>
      </c>
      <c r="IV55">
        <v>0.7</v>
      </c>
      <c r="IW55">
        <v>1.4465300000000001</v>
      </c>
      <c r="IX55">
        <v>2.6696800000000001</v>
      </c>
      <c r="IY55">
        <v>1.69434</v>
      </c>
      <c r="IZ55">
        <v>2.34619</v>
      </c>
      <c r="JA55">
        <v>1.5466299999999999</v>
      </c>
      <c r="JB55">
        <v>2.3828100000000001</v>
      </c>
      <c r="JC55">
        <v>38.476900000000001</v>
      </c>
      <c r="JD55">
        <v>24.096299999999999</v>
      </c>
      <c r="JE55">
        <v>18</v>
      </c>
      <c r="JF55">
        <v>533.04499999999996</v>
      </c>
      <c r="JG55">
        <v>541.11300000000006</v>
      </c>
      <c r="JH55">
        <v>24.924399999999999</v>
      </c>
      <c r="JI55">
        <v>30.435300000000002</v>
      </c>
      <c r="JJ55">
        <v>30.000699999999998</v>
      </c>
      <c r="JK55">
        <v>30.3263</v>
      </c>
      <c r="JL55">
        <v>30.273900000000001</v>
      </c>
      <c r="JM55">
        <v>29.0244</v>
      </c>
      <c r="JN55">
        <v>21.570699999999999</v>
      </c>
      <c r="JO55">
        <v>35.247700000000002</v>
      </c>
      <c r="JP55">
        <v>24.927399999999999</v>
      </c>
      <c r="JQ55">
        <v>600</v>
      </c>
      <c r="JR55">
        <v>17.793099999999999</v>
      </c>
      <c r="JS55">
        <v>99.5565</v>
      </c>
      <c r="JT55">
        <v>98.794600000000003</v>
      </c>
    </row>
    <row r="56" spans="1:280" x14ac:dyDescent="0.25">
      <c r="A56">
        <v>40</v>
      </c>
      <c r="B56">
        <v>1639673967.5999999</v>
      </c>
      <c r="C56">
        <v>7365.5</v>
      </c>
      <c r="D56" t="s">
        <v>619</v>
      </c>
      <c r="E56" t="s">
        <v>620</v>
      </c>
      <c r="F56" t="s">
        <v>412</v>
      </c>
      <c r="G56" t="s">
        <v>564</v>
      </c>
      <c r="H56" t="s">
        <v>565</v>
      </c>
      <c r="I56">
        <v>1639673967.5999999</v>
      </c>
      <c r="J56">
        <f t="shared" si="46"/>
        <v>5.8807497262971719E-3</v>
      </c>
      <c r="K56">
        <f t="shared" si="47"/>
        <v>5.8807497262971715</v>
      </c>
      <c r="L56">
        <f t="shared" si="48"/>
        <v>50.619125032020349</v>
      </c>
      <c r="M56">
        <f t="shared" si="49"/>
        <v>734.14300000000003</v>
      </c>
      <c r="N56">
        <f t="shared" si="50"/>
        <v>545.82191596011637</v>
      </c>
      <c r="O56">
        <f t="shared" si="51"/>
        <v>54.470739509423254</v>
      </c>
      <c r="P56">
        <f t="shared" si="52"/>
        <v>73.26439438644411</v>
      </c>
      <c r="Q56">
        <f t="shared" si="53"/>
        <v>0.49927354101879173</v>
      </c>
      <c r="R56">
        <f t="shared" si="54"/>
        <v>2.9294670662363473</v>
      </c>
      <c r="S56">
        <f t="shared" si="55"/>
        <v>0.4563670623529712</v>
      </c>
      <c r="T56">
        <f t="shared" si="56"/>
        <v>0.28877649028987151</v>
      </c>
      <c r="U56">
        <f t="shared" si="57"/>
        <v>289.56647084756861</v>
      </c>
      <c r="V56">
        <f t="shared" si="58"/>
        <v>28.180526274753486</v>
      </c>
      <c r="W56">
        <f t="shared" si="59"/>
        <v>27.688099999999999</v>
      </c>
      <c r="X56">
        <f t="shared" si="60"/>
        <v>3.7263841124166417</v>
      </c>
      <c r="Y56">
        <f t="shared" si="61"/>
        <v>65.353429000461489</v>
      </c>
      <c r="Z56">
        <f t="shared" si="62"/>
        <v>2.4804048660767601</v>
      </c>
      <c r="AA56">
        <f t="shared" si="63"/>
        <v>3.7953706546281523</v>
      </c>
      <c r="AB56">
        <f t="shared" si="64"/>
        <v>1.2459792463398816</v>
      </c>
      <c r="AC56">
        <f t="shared" si="65"/>
        <v>-259.34106292970529</v>
      </c>
      <c r="AD56">
        <f t="shared" si="66"/>
        <v>49.638476569672207</v>
      </c>
      <c r="AE56">
        <f t="shared" si="67"/>
        <v>3.6878277445369418</v>
      </c>
      <c r="AF56">
        <f t="shared" si="68"/>
        <v>83.551712232072475</v>
      </c>
      <c r="AG56">
        <v>0</v>
      </c>
      <c r="AH56">
        <v>0</v>
      </c>
      <c r="AI56">
        <f t="shared" si="69"/>
        <v>1</v>
      </c>
      <c r="AJ56">
        <f t="shared" si="70"/>
        <v>0</v>
      </c>
      <c r="AK56">
        <f t="shared" si="71"/>
        <v>52692.087928761444</v>
      </c>
      <c r="AL56" t="s">
        <v>415</v>
      </c>
      <c r="AM56">
        <v>10204.299999999999</v>
      </c>
      <c r="AN56">
        <v>862.72538461538477</v>
      </c>
      <c r="AO56">
        <v>3252.56</v>
      </c>
      <c r="AP56">
        <f t="shared" si="72"/>
        <v>0.73475496697512588</v>
      </c>
      <c r="AQ56">
        <v>-6.6684750346205304</v>
      </c>
      <c r="AR56" t="s">
        <v>621</v>
      </c>
      <c r="AS56">
        <v>10032.799999999999</v>
      </c>
      <c r="AT56">
        <v>752.90423999999996</v>
      </c>
      <c r="AU56">
        <v>1122.60593550813</v>
      </c>
      <c r="AV56">
        <f t="shared" si="73"/>
        <v>0.32932455086369228</v>
      </c>
      <c r="AW56">
        <v>0.5</v>
      </c>
      <c r="AX56">
        <f t="shared" si="74"/>
        <v>1513.18469992102</v>
      </c>
      <c r="AY56">
        <f t="shared" si="75"/>
        <v>50.619125032020349</v>
      </c>
      <c r="AZ56">
        <f t="shared" si="76"/>
        <v>249.16443583765044</v>
      </c>
      <c r="BA56">
        <f t="shared" si="77"/>
        <v>3.7858960687106459E-2</v>
      </c>
      <c r="BB56">
        <f t="shared" si="78"/>
        <v>1.8973301290517224</v>
      </c>
      <c r="BC56">
        <f t="shared" si="79"/>
        <v>573.9039693283828</v>
      </c>
      <c r="BD56" t="s">
        <v>622</v>
      </c>
      <c r="BE56">
        <v>559.38</v>
      </c>
      <c r="BF56">
        <f t="shared" si="80"/>
        <v>559.38</v>
      </c>
      <c r="BG56">
        <f t="shared" si="81"/>
        <v>0.50171294992591908</v>
      </c>
      <c r="BH56">
        <f t="shared" si="82"/>
        <v>0.65640033990017399</v>
      </c>
      <c r="BI56">
        <f t="shared" si="83"/>
        <v>0.79086955364731282</v>
      </c>
      <c r="BJ56">
        <f t="shared" si="84"/>
        <v>1.4225831607564541</v>
      </c>
      <c r="BK56">
        <f t="shared" si="85"/>
        <v>0.89125584288562965</v>
      </c>
      <c r="BL56">
        <f t="shared" si="86"/>
        <v>0.48768117195535965</v>
      </c>
      <c r="BM56">
        <f t="shared" si="87"/>
        <v>0.51231882804464035</v>
      </c>
      <c r="BN56">
        <v>4950</v>
      </c>
      <c r="BO56">
        <v>290.00000000000011</v>
      </c>
      <c r="BP56">
        <v>1023.92</v>
      </c>
      <c r="BQ56">
        <v>175</v>
      </c>
      <c r="BR56">
        <v>10032.799999999999</v>
      </c>
      <c r="BS56">
        <v>1021.54</v>
      </c>
      <c r="BT56">
        <v>2.38</v>
      </c>
      <c r="BU56">
        <v>300.00000000000011</v>
      </c>
      <c r="BV56">
        <v>24.1</v>
      </c>
      <c r="BW56">
        <v>1122.60593550813</v>
      </c>
      <c r="BX56">
        <v>1.7980136966760429</v>
      </c>
      <c r="BY56">
        <v>-101.3952508811519</v>
      </c>
      <c r="BZ56">
        <v>1.606252241642089</v>
      </c>
      <c r="CA56">
        <v>0.99302234778976728</v>
      </c>
      <c r="CB56">
        <v>-6.8327012235817608E-3</v>
      </c>
      <c r="CC56">
        <v>289.99999999999989</v>
      </c>
      <c r="CD56">
        <v>1017.24</v>
      </c>
      <c r="CE56">
        <v>685</v>
      </c>
      <c r="CF56">
        <v>10013.5</v>
      </c>
      <c r="CG56">
        <v>1021.35</v>
      </c>
      <c r="CH56">
        <v>-4.1100000000000003</v>
      </c>
      <c r="CV56">
        <f t="shared" si="88"/>
        <v>1800</v>
      </c>
      <c r="CW56">
        <f t="shared" si="89"/>
        <v>1513.18469992102</v>
      </c>
      <c r="CX56">
        <f t="shared" si="90"/>
        <v>0.84065816662278892</v>
      </c>
      <c r="CY56">
        <f t="shared" si="91"/>
        <v>0.16087026158198256</v>
      </c>
      <c r="CZ56">
        <v>6</v>
      </c>
      <c r="DA56">
        <v>0.5</v>
      </c>
      <c r="DB56" t="s">
        <v>418</v>
      </c>
      <c r="DC56">
        <v>2</v>
      </c>
      <c r="DD56">
        <v>1639673967.5999999</v>
      </c>
      <c r="DE56">
        <v>734.14300000000003</v>
      </c>
      <c r="DF56">
        <v>800.06</v>
      </c>
      <c r="DG56">
        <v>24.854800000000001</v>
      </c>
      <c r="DH56">
        <v>17.974</v>
      </c>
      <c r="DI56">
        <v>736.77499999999998</v>
      </c>
      <c r="DJ56">
        <v>24.8507</v>
      </c>
      <c r="DK56">
        <v>500.05099999999999</v>
      </c>
      <c r="DL56">
        <v>99.696200000000005</v>
      </c>
      <c r="DM56">
        <v>9.9608699999999994E-2</v>
      </c>
      <c r="DN56">
        <v>28.002400000000002</v>
      </c>
      <c r="DO56">
        <v>27.688099999999999</v>
      </c>
      <c r="DP56">
        <v>999.9</v>
      </c>
      <c r="DQ56">
        <v>0</v>
      </c>
      <c r="DR56">
        <v>0</v>
      </c>
      <c r="DS56">
        <v>10030</v>
      </c>
      <c r="DT56">
        <v>0</v>
      </c>
      <c r="DU56">
        <v>364.73200000000003</v>
      </c>
      <c r="DV56">
        <v>-65.917400000000001</v>
      </c>
      <c r="DW56">
        <v>752.85500000000002</v>
      </c>
      <c r="DX56">
        <v>814.70299999999997</v>
      </c>
      <c r="DY56">
        <v>6.88089</v>
      </c>
      <c r="DZ56">
        <v>800.06</v>
      </c>
      <c r="EA56">
        <v>17.974</v>
      </c>
      <c r="EB56">
        <v>2.4779300000000002</v>
      </c>
      <c r="EC56">
        <v>1.79193</v>
      </c>
      <c r="ED56">
        <v>20.882300000000001</v>
      </c>
      <c r="EE56">
        <v>15.7166</v>
      </c>
      <c r="EF56">
        <v>1800</v>
      </c>
      <c r="EG56">
        <v>0.97799899999999995</v>
      </c>
      <c r="EH56">
        <v>2.20015E-2</v>
      </c>
      <c r="EI56">
        <v>0</v>
      </c>
      <c r="EJ56">
        <v>753.26499999999999</v>
      </c>
      <c r="EK56">
        <v>5.0001199999999999</v>
      </c>
      <c r="EL56">
        <v>13597.9</v>
      </c>
      <c r="EM56">
        <v>15630</v>
      </c>
      <c r="EN56">
        <v>49.25</v>
      </c>
      <c r="EO56">
        <v>49.686999999999998</v>
      </c>
      <c r="EP56">
        <v>49.936999999999998</v>
      </c>
      <c r="EQ56">
        <v>49.686999999999998</v>
      </c>
      <c r="ER56">
        <v>50.75</v>
      </c>
      <c r="ES56">
        <v>1755.51</v>
      </c>
      <c r="ET56">
        <v>39.49</v>
      </c>
      <c r="EU56">
        <v>0</v>
      </c>
      <c r="EV56">
        <v>119.5999999046326</v>
      </c>
      <c r="EW56">
        <v>0</v>
      </c>
      <c r="EX56">
        <v>752.90423999999996</v>
      </c>
      <c r="EY56">
        <v>0.35907692244144351</v>
      </c>
      <c r="EZ56">
        <v>16.592307692910811</v>
      </c>
      <c r="FA56">
        <v>13596.263999999999</v>
      </c>
      <c r="FB56">
        <v>15</v>
      </c>
      <c r="FC56">
        <v>1639673927.5999999</v>
      </c>
      <c r="FD56" t="s">
        <v>623</v>
      </c>
      <c r="FE56">
        <v>1639673927.5999999</v>
      </c>
      <c r="FF56">
        <v>1639673925.5999999</v>
      </c>
      <c r="FG56">
        <v>43</v>
      </c>
      <c r="FH56">
        <v>-2.9000000000000001E-2</v>
      </c>
      <c r="FI56">
        <v>-5.0000000000000001E-3</v>
      </c>
      <c r="FJ56">
        <v>-2.7269999999999999</v>
      </c>
      <c r="FK56">
        <v>-0.10299999999999999</v>
      </c>
      <c r="FL56">
        <v>800</v>
      </c>
      <c r="FM56">
        <v>18</v>
      </c>
      <c r="FN56">
        <v>0.02</v>
      </c>
      <c r="FO56">
        <v>0.01</v>
      </c>
      <c r="FP56">
        <v>50.620153212170081</v>
      </c>
      <c r="FQ56">
        <v>-0.49605744409650232</v>
      </c>
      <c r="FR56">
        <v>5.657694709432614E-2</v>
      </c>
      <c r="FS56">
        <v>1</v>
      </c>
      <c r="FT56">
        <v>0.5004519537456954</v>
      </c>
      <c r="FU56">
        <v>2.9562371378578981E-2</v>
      </c>
      <c r="FV56">
        <v>4.0160014415013389E-3</v>
      </c>
      <c r="FW56">
        <v>1</v>
      </c>
      <c r="FX56">
        <v>2</v>
      </c>
      <c r="FY56">
        <v>2</v>
      </c>
      <c r="FZ56" t="s">
        <v>420</v>
      </c>
      <c r="GA56">
        <v>2.9222299999999999</v>
      </c>
      <c r="GB56">
        <v>2.74485</v>
      </c>
      <c r="GC56">
        <v>0.14307700000000001</v>
      </c>
      <c r="GD56">
        <v>0.15335699999999999</v>
      </c>
      <c r="GE56">
        <v>0.120134</v>
      </c>
      <c r="GF56">
        <v>9.6910200000000002E-2</v>
      </c>
      <c r="GG56">
        <v>26722.400000000001</v>
      </c>
      <c r="GH56">
        <v>26099.3</v>
      </c>
      <c r="GI56">
        <v>28387</v>
      </c>
      <c r="GJ56">
        <v>28186.7</v>
      </c>
      <c r="GK56">
        <v>34274.5</v>
      </c>
      <c r="GL56">
        <v>35741</v>
      </c>
      <c r="GM56">
        <v>42714.3</v>
      </c>
      <c r="GN56">
        <v>43848.6</v>
      </c>
      <c r="GO56">
        <v>1.80792</v>
      </c>
      <c r="GP56">
        <v>1.9958499999999999</v>
      </c>
      <c r="GQ56">
        <v>3.7215699999999997E-2</v>
      </c>
      <c r="GR56">
        <v>0</v>
      </c>
      <c r="GS56">
        <v>27.079899999999999</v>
      </c>
      <c r="GT56">
        <v>999.9</v>
      </c>
      <c r="GU56">
        <v>39.5</v>
      </c>
      <c r="GV56">
        <v>34.799999999999997</v>
      </c>
      <c r="GW56">
        <v>22.132899999999999</v>
      </c>
      <c r="GX56">
        <v>60.958399999999997</v>
      </c>
      <c r="GY56">
        <v>29.5473</v>
      </c>
      <c r="GZ56">
        <v>1</v>
      </c>
      <c r="HA56">
        <v>0.27601100000000001</v>
      </c>
      <c r="HB56">
        <v>2.49498</v>
      </c>
      <c r="HC56">
        <v>20.2592</v>
      </c>
      <c r="HD56">
        <v>5.2714999999999996</v>
      </c>
      <c r="HE56">
        <v>12.0878</v>
      </c>
      <c r="HF56">
        <v>5.0141</v>
      </c>
      <c r="HG56">
        <v>3.2919800000000001</v>
      </c>
      <c r="HH56">
        <v>9999</v>
      </c>
      <c r="HI56">
        <v>9999</v>
      </c>
      <c r="HJ56">
        <v>9999</v>
      </c>
      <c r="HK56">
        <v>999.9</v>
      </c>
      <c r="HL56">
        <v>1.87517</v>
      </c>
      <c r="HM56">
        <v>1.87564</v>
      </c>
      <c r="HN56">
        <v>1.8754599999999999</v>
      </c>
      <c r="HO56">
        <v>1.8794200000000001</v>
      </c>
      <c r="HP56">
        <v>1.8728400000000001</v>
      </c>
      <c r="HQ56">
        <v>1.8760699999999999</v>
      </c>
      <c r="HR56">
        <v>1.8757699999999999</v>
      </c>
      <c r="HS56">
        <v>1.8771599999999999</v>
      </c>
      <c r="HT56">
        <v>0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423</v>
      </c>
      <c r="IB56" t="s">
        <v>423</v>
      </c>
      <c r="IC56" t="s">
        <v>423</v>
      </c>
      <c r="ID56">
        <v>0</v>
      </c>
      <c r="IE56">
        <v>100</v>
      </c>
      <c r="IF56">
        <v>100</v>
      </c>
      <c r="IG56">
        <v>-2.6320000000000001</v>
      </c>
      <c r="IH56">
        <v>4.1000000000000003E-3</v>
      </c>
      <c r="II56">
        <v>-1.512142818565676</v>
      </c>
      <c r="IJ56">
        <v>-1.5404112972462821E-3</v>
      </c>
      <c r="IK56">
        <v>-5.8697186733976997E-8</v>
      </c>
      <c r="IL56">
        <v>1.160237123038427E-10</v>
      </c>
      <c r="IM56">
        <v>-0.17522989961203711</v>
      </c>
      <c r="IN56">
        <v>-3.128848753924141E-3</v>
      </c>
      <c r="IO56">
        <v>3.6841110403368089E-4</v>
      </c>
      <c r="IP56">
        <v>1.9296040270694169E-6</v>
      </c>
      <c r="IQ56">
        <v>1</v>
      </c>
      <c r="IR56">
        <v>1992</v>
      </c>
      <c r="IS56">
        <v>2</v>
      </c>
      <c r="IT56">
        <v>27</v>
      </c>
      <c r="IU56">
        <v>0.7</v>
      </c>
      <c r="IV56">
        <v>0.7</v>
      </c>
      <c r="IW56">
        <v>1.8273900000000001</v>
      </c>
      <c r="IX56">
        <v>2.65259</v>
      </c>
      <c r="IY56">
        <v>1.69434</v>
      </c>
      <c r="IZ56">
        <v>2.34619</v>
      </c>
      <c r="JA56">
        <v>1.5466299999999999</v>
      </c>
      <c r="JB56">
        <v>2.4731399999999999</v>
      </c>
      <c r="JC56">
        <v>38.5259</v>
      </c>
      <c r="JD56">
        <v>24.105</v>
      </c>
      <c r="JE56">
        <v>18</v>
      </c>
      <c r="JF56">
        <v>532.60500000000002</v>
      </c>
      <c r="JG56">
        <v>541.274</v>
      </c>
      <c r="JH56">
        <v>24.880299999999998</v>
      </c>
      <c r="JI56">
        <v>30.614799999999999</v>
      </c>
      <c r="JJ56">
        <v>30.000599999999999</v>
      </c>
      <c r="JK56">
        <v>30.4846</v>
      </c>
      <c r="JL56">
        <v>30.426600000000001</v>
      </c>
      <c r="JM56">
        <v>36.657400000000003</v>
      </c>
      <c r="JN56">
        <v>21.512499999999999</v>
      </c>
      <c r="JO56">
        <v>35.155999999999999</v>
      </c>
      <c r="JP56">
        <v>24.8794</v>
      </c>
      <c r="JQ56">
        <v>800</v>
      </c>
      <c r="JR56">
        <v>17.906300000000002</v>
      </c>
      <c r="JS56">
        <v>99.529799999999994</v>
      </c>
      <c r="JT56">
        <v>98.763900000000007</v>
      </c>
    </row>
    <row r="57" spans="1:280" x14ac:dyDescent="0.25">
      <c r="A57">
        <v>41</v>
      </c>
      <c r="B57">
        <v>1639674090.5999999</v>
      </c>
      <c r="C57">
        <v>7488.5</v>
      </c>
      <c r="D57" t="s">
        <v>624</v>
      </c>
      <c r="E57" t="s">
        <v>625</v>
      </c>
      <c r="F57" t="s">
        <v>412</v>
      </c>
      <c r="G57" t="s">
        <v>564</v>
      </c>
      <c r="H57" t="s">
        <v>565</v>
      </c>
      <c r="I57">
        <v>1639674090.5999999</v>
      </c>
      <c r="J57">
        <f t="shared" si="46"/>
        <v>5.7997008164631962E-3</v>
      </c>
      <c r="K57">
        <f t="shared" si="47"/>
        <v>5.7997008164631962</v>
      </c>
      <c r="L57">
        <f t="shared" si="48"/>
        <v>49.736182410395998</v>
      </c>
      <c r="M57">
        <f t="shared" si="49"/>
        <v>1132.45</v>
      </c>
      <c r="N57">
        <f t="shared" si="50"/>
        <v>936.38720642183034</v>
      </c>
      <c r="O57">
        <f t="shared" si="51"/>
        <v>93.445052451853556</v>
      </c>
      <c r="P57">
        <f t="shared" si="52"/>
        <v>113.010781141995</v>
      </c>
      <c r="Q57">
        <f t="shared" si="53"/>
        <v>0.49093685400021181</v>
      </c>
      <c r="R57">
        <f t="shared" si="54"/>
        <v>2.9248332520088751</v>
      </c>
      <c r="S57">
        <f t="shared" si="55"/>
        <v>0.44932762391857584</v>
      </c>
      <c r="T57">
        <f t="shared" si="56"/>
        <v>0.28427372583458288</v>
      </c>
      <c r="U57">
        <f t="shared" si="57"/>
        <v>289.56647084756861</v>
      </c>
      <c r="V57">
        <f t="shared" si="58"/>
        <v>28.210682786071061</v>
      </c>
      <c r="W57">
        <f t="shared" si="59"/>
        <v>27.708300000000001</v>
      </c>
      <c r="X57">
        <f t="shared" si="60"/>
        <v>3.7307847279357098</v>
      </c>
      <c r="Y57">
        <f t="shared" si="61"/>
        <v>65.383099935501079</v>
      </c>
      <c r="Z57">
        <f t="shared" si="62"/>
        <v>2.48280429990045</v>
      </c>
      <c r="AA57">
        <f t="shared" si="63"/>
        <v>3.7973181179076541</v>
      </c>
      <c r="AB57">
        <f t="shared" si="64"/>
        <v>1.2479804280352598</v>
      </c>
      <c r="AC57">
        <f t="shared" si="65"/>
        <v>-255.76680600602694</v>
      </c>
      <c r="AD57">
        <f t="shared" si="66"/>
        <v>47.762365554509032</v>
      </c>
      <c r="AE57">
        <f t="shared" si="67"/>
        <v>3.5545801019135386</v>
      </c>
      <c r="AF57">
        <f t="shared" si="68"/>
        <v>85.116610497964231</v>
      </c>
      <c r="AG57">
        <v>0</v>
      </c>
      <c r="AH57">
        <v>0</v>
      </c>
      <c r="AI57">
        <f t="shared" si="69"/>
        <v>1</v>
      </c>
      <c r="AJ57">
        <f t="shared" si="70"/>
        <v>0</v>
      </c>
      <c r="AK57">
        <f t="shared" si="71"/>
        <v>52557.162123685557</v>
      </c>
      <c r="AL57" t="s">
        <v>415</v>
      </c>
      <c r="AM57">
        <v>10204.299999999999</v>
      </c>
      <c r="AN57">
        <v>862.72538461538477</v>
      </c>
      <c r="AO57">
        <v>3252.56</v>
      </c>
      <c r="AP57">
        <f t="shared" si="72"/>
        <v>0.73475496697512588</v>
      </c>
      <c r="AQ57">
        <v>-6.6684750346205304</v>
      </c>
      <c r="AR57" t="s">
        <v>626</v>
      </c>
      <c r="AS57">
        <v>10028.4</v>
      </c>
      <c r="AT57">
        <v>751.77380769230797</v>
      </c>
      <c r="AU57">
        <v>1125.4388351777891</v>
      </c>
      <c r="AV57">
        <f t="shared" si="73"/>
        <v>0.33201717926008134</v>
      </c>
      <c r="AW57">
        <v>0.5</v>
      </c>
      <c r="AX57">
        <f t="shared" si="74"/>
        <v>1513.18469992102</v>
      </c>
      <c r="AY57">
        <f t="shared" si="75"/>
        <v>49.736182410395998</v>
      </c>
      <c r="AZ57">
        <f t="shared" si="76"/>
        <v>251.20165788364483</v>
      </c>
      <c r="BA57">
        <f t="shared" si="77"/>
        <v>3.7275461117179248E-2</v>
      </c>
      <c r="BB57">
        <f t="shared" si="78"/>
        <v>1.8900371111560075</v>
      </c>
      <c r="BC57">
        <f t="shared" si="79"/>
        <v>574.6434377670671</v>
      </c>
      <c r="BD57" t="s">
        <v>627</v>
      </c>
      <c r="BE57">
        <v>565.07000000000005</v>
      </c>
      <c r="BF57">
        <f t="shared" si="80"/>
        <v>565.07000000000005</v>
      </c>
      <c r="BG57">
        <f t="shared" si="81"/>
        <v>0.49791140812131818</v>
      </c>
      <c r="BH57">
        <f t="shared" si="82"/>
        <v>0.66681978730478086</v>
      </c>
      <c r="BI57">
        <f t="shared" si="83"/>
        <v>0.7914898901287859</v>
      </c>
      <c r="BJ57">
        <f t="shared" si="84"/>
        <v>1.422329259067463</v>
      </c>
      <c r="BK57">
        <f t="shared" si="85"/>
        <v>0.89007044718861272</v>
      </c>
      <c r="BL57">
        <f t="shared" si="86"/>
        <v>0.50121439900780929</v>
      </c>
      <c r="BM57">
        <f t="shared" si="87"/>
        <v>0.49878560099219071</v>
      </c>
      <c r="BN57">
        <v>4952</v>
      </c>
      <c r="BO57">
        <v>290.00000000000011</v>
      </c>
      <c r="BP57">
        <v>1026.0899999999999</v>
      </c>
      <c r="BQ57">
        <v>205</v>
      </c>
      <c r="BR57">
        <v>10028.4</v>
      </c>
      <c r="BS57">
        <v>1023.09</v>
      </c>
      <c r="BT57">
        <v>3</v>
      </c>
      <c r="BU57">
        <v>300.00000000000011</v>
      </c>
      <c r="BV57">
        <v>24.1</v>
      </c>
      <c r="BW57">
        <v>1125.4388351777891</v>
      </c>
      <c r="BX57">
        <v>1.920236723534303</v>
      </c>
      <c r="BY57">
        <v>-102.6437433257293</v>
      </c>
      <c r="BZ57">
        <v>1.7151051313068799</v>
      </c>
      <c r="CA57">
        <v>0.9922430210504114</v>
      </c>
      <c r="CB57">
        <v>-6.8316860956618526E-3</v>
      </c>
      <c r="CC57">
        <v>289.99999999999989</v>
      </c>
      <c r="CD57">
        <v>1018.15</v>
      </c>
      <c r="CE57">
        <v>665</v>
      </c>
      <c r="CF57">
        <v>10012.299999999999</v>
      </c>
      <c r="CG57">
        <v>1022.92</v>
      </c>
      <c r="CH57">
        <v>-4.7699999999999996</v>
      </c>
      <c r="CV57">
        <f t="shared" si="88"/>
        <v>1800</v>
      </c>
      <c r="CW57">
        <f t="shared" si="89"/>
        <v>1513.18469992102</v>
      </c>
      <c r="CX57">
        <f t="shared" si="90"/>
        <v>0.84065816662278892</v>
      </c>
      <c r="CY57">
        <f t="shared" si="91"/>
        <v>0.16087026158198256</v>
      </c>
      <c r="CZ57">
        <v>6</v>
      </c>
      <c r="DA57">
        <v>0.5</v>
      </c>
      <c r="DB57" t="s">
        <v>418</v>
      </c>
      <c r="DC57">
        <v>2</v>
      </c>
      <c r="DD57">
        <v>1639674090.5999999</v>
      </c>
      <c r="DE57">
        <v>1132.45</v>
      </c>
      <c r="DF57">
        <v>1200.01</v>
      </c>
      <c r="DG57">
        <v>24.8795</v>
      </c>
      <c r="DH57">
        <v>18.093499999999999</v>
      </c>
      <c r="DI57">
        <v>1135.93</v>
      </c>
      <c r="DJ57">
        <v>24.867599999999999</v>
      </c>
      <c r="DK57">
        <v>500.036</v>
      </c>
      <c r="DL57">
        <v>99.6935</v>
      </c>
      <c r="DM57">
        <v>9.9675100000000003E-2</v>
      </c>
      <c r="DN57">
        <v>28.011199999999999</v>
      </c>
      <c r="DO57">
        <v>27.708300000000001</v>
      </c>
      <c r="DP57">
        <v>999.9</v>
      </c>
      <c r="DQ57">
        <v>0</v>
      </c>
      <c r="DR57">
        <v>0</v>
      </c>
      <c r="DS57">
        <v>10003.799999999999</v>
      </c>
      <c r="DT57">
        <v>0</v>
      </c>
      <c r="DU57">
        <v>376.69299999999998</v>
      </c>
      <c r="DV57">
        <v>-67.557599999999994</v>
      </c>
      <c r="DW57">
        <v>1161.3399999999999</v>
      </c>
      <c r="DX57">
        <v>1222.1199999999999</v>
      </c>
      <c r="DY57">
        <v>6.78599</v>
      </c>
      <c r="DZ57">
        <v>1200.01</v>
      </c>
      <c r="EA57">
        <v>18.093499999999999</v>
      </c>
      <c r="EB57">
        <v>2.4803199999999999</v>
      </c>
      <c r="EC57">
        <v>1.8038099999999999</v>
      </c>
      <c r="ED57">
        <v>20.898</v>
      </c>
      <c r="EE57">
        <v>15.819800000000001</v>
      </c>
      <c r="EF57">
        <v>1800</v>
      </c>
      <c r="EG57">
        <v>0.97800200000000004</v>
      </c>
      <c r="EH57">
        <v>2.19981E-2</v>
      </c>
      <c r="EI57">
        <v>0</v>
      </c>
      <c r="EJ57">
        <v>751.82600000000002</v>
      </c>
      <c r="EK57">
        <v>5.0001199999999999</v>
      </c>
      <c r="EL57">
        <v>13598.4</v>
      </c>
      <c r="EM57">
        <v>15630</v>
      </c>
      <c r="EN57">
        <v>49.686999999999998</v>
      </c>
      <c r="EO57">
        <v>50</v>
      </c>
      <c r="EP57">
        <v>50.375</v>
      </c>
      <c r="EQ57">
        <v>50.061999999999998</v>
      </c>
      <c r="ER57">
        <v>51.125</v>
      </c>
      <c r="ES57">
        <v>1755.51</v>
      </c>
      <c r="ET57">
        <v>39.49</v>
      </c>
      <c r="EU57">
        <v>0</v>
      </c>
      <c r="EV57">
        <v>120.7999999523163</v>
      </c>
      <c r="EW57">
        <v>0</v>
      </c>
      <c r="EX57">
        <v>751.77380769230797</v>
      </c>
      <c r="EY57">
        <v>-0.30526497472358699</v>
      </c>
      <c r="EZ57">
        <v>13.131623959232879</v>
      </c>
      <c r="FA57">
        <v>13596.70384615385</v>
      </c>
      <c r="FB57">
        <v>15</v>
      </c>
      <c r="FC57">
        <v>1639674053.5999999</v>
      </c>
      <c r="FD57" t="s">
        <v>628</v>
      </c>
      <c r="FE57">
        <v>1639674053.5999999</v>
      </c>
      <c r="FF57">
        <v>1639674049.5999999</v>
      </c>
      <c r="FG57">
        <v>44</v>
      </c>
      <c r="FH57">
        <v>-0.312</v>
      </c>
      <c r="FI57">
        <v>7.0000000000000001E-3</v>
      </c>
      <c r="FJ57">
        <v>-3.5630000000000002</v>
      </c>
      <c r="FK57">
        <v>-9.2999999999999999E-2</v>
      </c>
      <c r="FL57">
        <v>1200</v>
      </c>
      <c r="FM57">
        <v>18</v>
      </c>
      <c r="FN57">
        <v>0.04</v>
      </c>
      <c r="FO57">
        <v>0.01</v>
      </c>
      <c r="FP57">
        <v>49.921694343705191</v>
      </c>
      <c r="FQ57">
        <v>-0.67550197614419083</v>
      </c>
      <c r="FR57">
        <v>7.6375004670964836E-2</v>
      </c>
      <c r="FS57">
        <v>1</v>
      </c>
      <c r="FT57">
        <v>0.49024544091315742</v>
      </c>
      <c r="FU57">
        <v>4.9947494348678463E-2</v>
      </c>
      <c r="FV57">
        <v>5.8190148999871976E-3</v>
      </c>
      <c r="FW57">
        <v>1</v>
      </c>
      <c r="FX57">
        <v>2</v>
      </c>
      <c r="FY57">
        <v>2</v>
      </c>
      <c r="FZ57" t="s">
        <v>420</v>
      </c>
      <c r="GA57">
        <v>2.9218600000000001</v>
      </c>
      <c r="GB57">
        <v>2.7446799999999998</v>
      </c>
      <c r="GC57">
        <v>0.18957199999999999</v>
      </c>
      <c r="GD57">
        <v>0.198712</v>
      </c>
      <c r="GE57">
        <v>0.120145</v>
      </c>
      <c r="GF57">
        <v>9.7333500000000003E-2</v>
      </c>
      <c r="GG57">
        <v>25265.8</v>
      </c>
      <c r="GH57">
        <v>24691.8</v>
      </c>
      <c r="GI57">
        <v>28381.4</v>
      </c>
      <c r="GJ57">
        <v>28178</v>
      </c>
      <c r="GK57">
        <v>34267.800000000003</v>
      </c>
      <c r="GL57">
        <v>35713.699999999997</v>
      </c>
      <c r="GM57">
        <v>42706.5</v>
      </c>
      <c r="GN57">
        <v>43835.5</v>
      </c>
      <c r="GO57">
        <v>1.80572</v>
      </c>
      <c r="GP57">
        <v>1.99495</v>
      </c>
      <c r="GQ57">
        <v>4.0277800000000002E-2</v>
      </c>
      <c r="GR57">
        <v>0</v>
      </c>
      <c r="GS57">
        <v>27.05</v>
      </c>
      <c r="GT57">
        <v>999.9</v>
      </c>
      <c r="GU57">
        <v>39.6</v>
      </c>
      <c r="GV57">
        <v>34.799999999999997</v>
      </c>
      <c r="GW57">
        <v>22.189599999999999</v>
      </c>
      <c r="GX57">
        <v>61.288400000000003</v>
      </c>
      <c r="GY57">
        <v>29.543299999999999</v>
      </c>
      <c r="GZ57">
        <v>1</v>
      </c>
      <c r="HA57">
        <v>0.28884399999999999</v>
      </c>
      <c r="HB57">
        <v>2.5140799999999999</v>
      </c>
      <c r="HC57">
        <v>20.258099999999999</v>
      </c>
      <c r="HD57">
        <v>5.27285</v>
      </c>
      <c r="HE57">
        <v>12.0878</v>
      </c>
      <c r="HF57">
        <v>5.0130499999999998</v>
      </c>
      <c r="HG57">
        <v>3.2913000000000001</v>
      </c>
      <c r="HH57">
        <v>9999</v>
      </c>
      <c r="HI57">
        <v>9999</v>
      </c>
      <c r="HJ57">
        <v>9999</v>
      </c>
      <c r="HK57">
        <v>999.9</v>
      </c>
      <c r="HL57">
        <v>1.8751899999999999</v>
      </c>
      <c r="HM57">
        <v>1.8756999999999999</v>
      </c>
      <c r="HN57">
        <v>1.8754599999999999</v>
      </c>
      <c r="HO57">
        <v>1.8793899999999999</v>
      </c>
      <c r="HP57">
        <v>1.87286</v>
      </c>
      <c r="HQ57">
        <v>1.8760699999999999</v>
      </c>
      <c r="HR57">
        <v>1.87584</v>
      </c>
      <c r="HS57">
        <v>1.8771899999999999</v>
      </c>
      <c r="HT57">
        <v>0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423</v>
      </c>
      <c r="IB57" t="s">
        <v>423</v>
      </c>
      <c r="IC57" t="s">
        <v>423</v>
      </c>
      <c r="ID57">
        <v>0</v>
      </c>
      <c r="IE57">
        <v>100</v>
      </c>
      <c r="IF57">
        <v>100</v>
      </c>
      <c r="IG57">
        <v>-3.48</v>
      </c>
      <c r="IH57">
        <v>1.1900000000000001E-2</v>
      </c>
      <c r="II57">
        <v>-1.825845641844434</v>
      </c>
      <c r="IJ57">
        <v>-1.5404112972462821E-3</v>
      </c>
      <c r="IK57">
        <v>-5.8697186733976997E-8</v>
      </c>
      <c r="IL57">
        <v>1.160237123038427E-10</v>
      </c>
      <c r="IM57">
        <v>-0.1677757807581628</v>
      </c>
      <c r="IN57">
        <v>-3.128848753924141E-3</v>
      </c>
      <c r="IO57">
        <v>3.6841110403368089E-4</v>
      </c>
      <c r="IP57">
        <v>1.9296040270694169E-6</v>
      </c>
      <c r="IQ57">
        <v>1</v>
      </c>
      <c r="IR57">
        <v>1992</v>
      </c>
      <c r="IS57">
        <v>2</v>
      </c>
      <c r="IT57">
        <v>27</v>
      </c>
      <c r="IU57">
        <v>0.6</v>
      </c>
      <c r="IV57">
        <v>0.7</v>
      </c>
      <c r="IW57">
        <v>2.5451700000000002</v>
      </c>
      <c r="IX57">
        <v>2.64893</v>
      </c>
      <c r="IY57">
        <v>1.69434</v>
      </c>
      <c r="IZ57">
        <v>2.34619</v>
      </c>
      <c r="JA57">
        <v>1.5466299999999999</v>
      </c>
      <c r="JB57">
        <v>2.47803</v>
      </c>
      <c r="JC57">
        <v>38.599499999999999</v>
      </c>
      <c r="JD57">
        <v>24.105</v>
      </c>
      <c r="JE57">
        <v>18</v>
      </c>
      <c r="JF57">
        <v>532.33900000000006</v>
      </c>
      <c r="JG57">
        <v>542.048</v>
      </c>
      <c r="JH57">
        <v>24.893000000000001</v>
      </c>
      <c r="JI57">
        <v>30.774999999999999</v>
      </c>
      <c r="JJ57">
        <v>30.000399999999999</v>
      </c>
      <c r="JK57">
        <v>30.64</v>
      </c>
      <c r="JL57">
        <v>30.578900000000001</v>
      </c>
      <c r="JM57">
        <v>51.004300000000001</v>
      </c>
      <c r="JN57">
        <v>21.252400000000002</v>
      </c>
      <c r="JO57">
        <v>35.2119</v>
      </c>
      <c r="JP57">
        <v>24.889099999999999</v>
      </c>
      <c r="JQ57">
        <v>1200</v>
      </c>
      <c r="JR57">
        <v>18.024799999999999</v>
      </c>
      <c r="JS57">
        <v>99.510999999999996</v>
      </c>
      <c r="JT57">
        <v>98.734099999999998</v>
      </c>
    </row>
    <row r="58" spans="1:280" x14ac:dyDescent="0.25">
      <c r="A58">
        <v>42</v>
      </c>
      <c r="B58">
        <v>1639674210</v>
      </c>
      <c r="C58">
        <v>7607.9000000953674</v>
      </c>
      <c r="D58" t="s">
        <v>629</v>
      </c>
      <c r="E58" t="s">
        <v>630</v>
      </c>
      <c r="F58" t="s">
        <v>412</v>
      </c>
      <c r="G58" t="s">
        <v>564</v>
      </c>
      <c r="H58" t="s">
        <v>565</v>
      </c>
      <c r="I58">
        <v>1639674210</v>
      </c>
      <c r="J58">
        <f t="shared" si="46"/>
        <v>5.6699917586004855E-3</v>
      </c>
      <c r="K58">
        <f t="shared" si="47"/>
        <v>5.6699917586004851</v>
      </c>
      <c r="L58">
        <f t="shared" si="48"/>
        <v>49.128156929742943</v>
      </c>
      <c r="M58">
        <f t="shared" si="49"/>
        <v>1431.36</v>
      </c>
      <c r="N58">
        <f t="shared" si="50"/>
        <v>1226.1771971794369</v>
      </c>
      <c r="O58">
        <f t="shared" si="51"/>
        <v>122.35817981794322</v>
      </c>
      <c r="P58">
        <f t="shared" si="52"/>
        <v>142.83302989737598</v>
      </c>
      <c r="Q58">
        <f t="shared" si="53"/>
        <v>0.47582598763126988</v>
      </c>
      <c r="R58">
        <f t="shared" si="54"/>
        <v>2.9262673993616697</v>
      </c>
      <c r="S58">
        <f t="shared" si="55"/>
        <v>0.43664683923375958</v>
      </c>
      <c r="T58">
        <f t="shared" si="56"/>
        <v>0.27615503421300969</v>
      </c>
      <c r="U58">
        <f t="shared" si="57"/>
        <v>289.56589184760719</v>
      </c>
      <c r="V58">
        <f t="shared" si="58"/>
        <v>28.243833025687511</v>
      </c>
      <c r="W58">
        <f t="shared" si="59"/>
        <v>27.724799999999998</v>
      </c>
      <c r="X58">
        <f t="shared" si="60"/>
        <v>3.7343826542810041</v>
      </c>
      <c r="Y58">
        <f t="shared" si="61"/>
        <v>65.283286014099886</v>
      </c>
      <c r="Z58">
        <f t="shared" si="62"/>
        <v>2.4789417957122</v>
      </c>
      <c r="AA58">
        <f t="shared" si="63"/>
        <v>3.7972074432294938</v>
      </c>
      <c r="AB58">
        <f t="shared" si="64"/>
        <v>1.2554408585688042</v>
      </c>
      <c r="AC58">
        <f t="shared" si="65"/>
        <v>-250.04663655428141</v>
      </c>
      <c r="AD58">
        <f t="shared" si="66"/>
        <v>45.103849325031312</v>
      </c>
      <c r="AE58">
        <f t="shared" si="67"/>
        <v>3.3553499280682439</v>
      </c>
      <c r="AF58">
        <f t="shared" si="68"/>
        <v>87.978454546425326</v>
      </c>
      <c r="AG58">
        <v>0</v>
      </c>
      <c r="AH58">
        <v>0</v>
      </c>
      <c r="AI58">
        <f t="shared" si="69"/>
        <v>1</v>
      </c>
      <c r="AJ58">
        <f t="shared" si="70"/>
        <v>0</v>
      </c>
      <c r="AK58">
        <f t="shared" si="71"/>
        <v>52598.388026791908</v>
      </c>
      <c r="AL58" t="s">
        <v>415</v>
      </c>
      <c r="AM58">
        <v>10204.299999999999</v>
      </c>
      <c r="AN58">
        <v>862.72538461538477</v>
      </c>
      <c r="AO58">
        <v>3252.56</v>
      </c>
      <c r="AP58">
        <f t="shared" si="72"/>
        <v>0.73475496697512588</v>
      </c>
      <c r="AQ58">
        <v>-6.6684750346205304</v>
      </c>
      <c r="AR58" t="s">
        <v>631</v>
      </c>
      <c r="AS58">
        <v>10028.5</v>
      </c>
      <c r="AT58">
        <v>750.84215384615368</v>
      </c>
      <c r="AU58">
        <v>1126.177725598578</v>
      </c>
      <c r="AV58">
        <f t="shared" si="73"/>
        <v>0.33328271659158293</v>
      </c>
      <c r="AW58">
        <v>0.5</v>
      </c>
      <c r="AX58">
        <f t="shared" si="74"/>
        <v>1513.18439992104</v>
      </c>
      <c r="AY58">
        <f t="shared" si="75"/>
        <v>49.128156929742943</v>
      </c>
      <c r="AZ58">
        <f t="shared" si="76"/>
        <v>252.15910375484424</v>
      </c>
      <c r="BA58">
        <f t="shared" si="77"/>
        <v>3.6873650010715818E-2</v>
      </c>
      <c r="BB58">
        <f t="shared" si="78"/>
        <v>1.8881409444243999</v>
      </c>
      <c r="BC58">
        <f t="shared" si="79"/>
        <v>574.83600998112047</v>
      </c>
      <c r="BD58" t="s">
        <v>632</v>
      </c>
      <c r="BE58">
        <v>560.01</v>
      </c>
      <c r="BF58">
        <f t="shared" si="80"/>
        <v>560.01</v>
      </c>
      <c r="BG58">
        <f t="shared" si="81"/>
        <v>0.50273390489733982</v>
      </c>
      <c r="BH58">
        <f t="shared" si="82"/>
        <v>0.66294060007677524</v>
      </c>
      <c r="BI58">
        <f t="shared" si="83"/>
        <v>0.7897280549670096</v>
      </c>
      <c r="BJ58">
        <f t="shared" si="84"/>
        <v>1.4246811030476612</v>
      </c>
      <c r="BK58">
        <f t="shared" si="85"/>
        <v>0.88976126662187727</v>
      </c>
      <c r="BL58">
        <f t="shared" si="86"/>
        <v>0.49444928411020472</v>
      </c>
      <c r="BM58">
        <f t="shared" si="87"/>
        <v>0.50555071588979528</v>
      </c>
      <c r="BN58">
        <v>4954</v>
      </c>
      <c r="BO58">
        <v>290.00000000000011</v>
      </c>
      <c r="BP58">
        <v>1025.33</v>
      </c>
      <c r="BQ58">
        <v>185</v>
      </c>
      <c r="BR58">
        <v>10028.5</v>
      </c>
      <c r="BS58">
        <v>1022.63</v>
      </c>
      <c r="BT58">
        <v>2.7</v>
      </c>
      <c r="BU58">
        <v>300.00000000000011</v>
      </c>
      <c r="BV58">
        <v>24.1</v>
      </c>
      <c r="BW58">
        <v>1126.177725598578</v>
      </c>
      <c r="BX58">
        <v>2.09686351349887</v>
      </c>
      <c r="BY58">
        <v>-103.8475124432946</v>
      </c>
      <c r="BZ58">
        <v>1.872526271399493</v>
      </c>
      <c r="CA58">
        <v>0.99097835274472945</v>
      </c>
      <c r="CB58">
        <v>-6.830792880978871E-3</v>
      </c>
      <c r="CC58">
        <v>289.99999999999989</v>
      </c>
      <c r="CD58">
        <v>1018.61</v>
      </c>
      <c r="CE58">
        <v>645</v>
      </c>
      <c r="CF58">
        <v>10011.4</v>
      </c>
      <c r="CG58">
        <v>1022.45</v>
      </c>
      <c r="CH58">
        <v>-3.84</v>
      </c>
      <c r="CV58">
        <f t="shared" si="88"/>
        <v>1800</v>
      </c>
      <c r="CW58">
        <f t="shared" si="89"/>
        <v>1513.18439992104</v>
      </c>
      <c r="CX58">
        <f t="shared" si="90"/>
        <v>0.84065799995613333</v>
      </c>
      <c r="CY58">
        <f t="shared" si="91"/>
        <v>0.16086993991533732</v>
      </c>
      <c r="CZ58">
        <v>6</v>
      </c>
      <c r="DA58">
        <v>0.5</v>
      </c>
      <c r="DB58" t="s">
        <v>418</v>
      </c>
      <c r="DC58">
        <v>2</v>
      </c>
      <c r="DD58">
        <v>1639674210</v>
      </c>
      <c r="DE58">
        <v>1431.36</v>
      </c>
      <c r="DF58">
        <v>1500.05</v>
      </c>
      <c r="DG58">
        <v>24.841999999999999</v>
      </c>
      <c r="DH58">
        <v>18.2073</v>
      </c>
      <c r="DI58">
        <v>1435.21</v>
      </c>
      <c r="DJ58">
        <v>24.8309</v>
      </c>
      <c r="DK58">
        <v>500.02</v>
      </c>
      <c r="DL58">
        <v>99.688400000000001</v>
      </c>
      <c r="DM58">
        <v>9.9934099999999998E-2</v>
      </c>
      <c r="DN58">
        <v>28.0107</v>
      </c>
      <c r="DO58">
        <v>27.724799999999998</v>
      </c>
      <c r="DP58">
        <v>999.9</v>
      </c>
      <c r="DQ58">
        <v>0</v>
      </c>
      <c r="DR58">
        <v>0</v>
      </c>
      <c r="DS58">
        <v>10012.5</v>
      </c>
      <c r="DT58">
        <v>0</v>
      </c>
      <c r="DU58">
        <v>403.18900000000002</v>
      </c>
      <c r="DV58">
        <v>-68.693100000000001</v>
      </c>
      <c r="DW58">
        <v>1467.82</v>
      </c>
      <c r="DX58">
        <v>1527.87</v>
      </c>
      <c r="DY58">
        <v>6.6347399999999999</v>
      </c>
      <c r="DZ58">
        <v>1500.05</v>
      </c>
      <c r="EA58">
        <v>18.2073</v>
      </c>
      <c r="EB58">
        <v>2.4764599999999999</v>
      </c>
      <c r="EC58">
        <v>1.8150500000000001</v>
      </c>
      <c r="ED58">
        <v>20.872599999999998</v>
      </c>
      <c r="EE58">
        <v>15.917</v>
      </c>
      <c r="EF58">
        <v>1800</v>
      </c>
      <c r="EG58">
        <v>0.97800500000000001</v>
      </c>
      <c r="EH58">
        <v>2.1994699999999999E-2</v>
      </c>
      <c r="EI58">
        <v>0</v>
      </c>
      <c r="EJ58">
        <v>750.91099999999994</v>
      </c>
      <c r="EK58">
        <v>5.0001199999999999</v>
      </c>
      <c r="EL58">
        <v>13601.1</v>
      </c>
      <c r="EM58">
        <v>15630</v>
      </c>
      <c r="EN58">
        <v>49.936999999999998</v>
      </c>
      <c r="EO58">
        <v>50.311999999999998</v>
      </c>
      <c r="EP58">
        <v>50.686999999999998</v>
      </c>
      <c r="EQ58">
        <v>50.375</v>
      </c>
      <c r="ER58">
        <v>51.311999999999998</v>
      </c>
      <c r="ES58">
        <v>1755.52</v>
      </c>
      <c r="ET58">
        <v>39.479999999999997</v>
      </c>
      <c r="EU58">
        <v>0</v>
      </c>
      <c r="EV58">
        <v>117.5999999046326</v>
      </c>
      <c r="EW58">
        <v>0</v>
      </c>
      <c r="EX58">
        <v>750.84215384615368</v>
      </c>
      <c r="EY58">
        <v>1.1177435903037931</v>
      </c>
      <c r="EZ58">
        <v>19.6991452817329</v>
      </c>
      <c r="FA58">
        <v>13599.3</v>
      </c>
      <c r="FB58">
        <v>15</v>
      </c>
      <c r="FC58">
        <v>1639674170</v>
      </c>
      <c r="FD58" t="s">
        <v>633</v>
      </c>
      <c r="FE58">
        <v>1639674170</v>
      </c>
      <c r="FF58">
        <v>1639674165</v>
      </c>
      <c r="FG58">
        <v>45</v>
      </c>
      <c r="FH58">
        <v>-3.5000000000000003E-2</v>
      </c>
      <c r="FI58">
        <v>0</v>
      </c>
      <c r="FJ58">
        <v>-3.915</v>
      </c>
      <c r="FK58">
        <v>-9.2999999999999999E-2</v>
      </c>
      <c r="FL58">
        <v>1500</v>
      </c>
      <c r="FM58">
        <v>18</v>
      </c>
      <c r="FN58">
        <v>0.05</v>
      </c>
      <c r="FO58">
        <v>0.01</v>
      </c>
      <c r="FP58">
        <v>49.147796424413272</v>
      </c>
      <c r="FQ58">
        <v>-0.23944333531108419</v>
      </c>
      <c r="FR58">
        <v>8.6525311354697348E-2</v>
      </c>
      <c r="FS58">
        <v>1</v>
      </c>
      <c r="FT58">
        <v>0.47817436642545719</v>
      </c>
      <c r="FU58">
        <v>3.029882896764137E-2</v>
      </c>
      <c r="FV58">
        <v>4.5213592210018106E-3</v>
      </c>
      <c r="FW58">
        <v>1</v>
      </c>
      <c r="FX58">
        <v>2</v>
      </c>
      <c r="FY58">
        <v>2</v>
      </c>
      <c r="FZ58" t="s">
        <v>420</v>
      </c>
      <c r="GA58">
        <v>2.9215599999999999</v>
      </c>
      <c r="GB58">
        <v>2.7450199999999998</v>
      </c>
      <c r="GC58">
        <v>0.218751</v>
      </c>
      <c r="GD58">
        <v>0.22738</v>
      </c>
      <c r="GE58">
        <v>0.119979</v>
      </c>
      <c r="GF58">
        <v>9.7735000000000002E-2</v>
      </c>
      <c r="GG58">
        <v>24349.5</v>
      </c>
      <c r="GH58">
        <v>23801.9</v>
      </c>
      <c r="GI58">
        <v>28375.5</v>
      </c>
      <c r="GJ58">
        <v>28172.3</v>
      </c>
      <c r="GK58">
        <v>34267.199999999997</v>
      </c>
      <c r="GL58">
        <v>35691.599999999999</v>
      </c>
      <c r="GM58">
        <v>42697.7</v>
      </c>
      <c r="GN58">
        <v>43827.7</v>
      </c>
      <c r="GO58">
        <v>1.80392</v>
      </c>
      <c r="GP58">
        <v>1.9942</v>
      </c>
      <c r="GQ58">
        <v>4.1380500000000001E-2</v>
      </c>
      <c r="GR58">
        <v>0</v>
      </c>
      <c r="GS58">
        <v>27.0486</v>
      </c>
      <c r="GT58">
        <v>999.9</v>
      </c>
      <c r="GU58">
        <v>39.700000000000003</v>
      </c>
      <c r="GV58">
        <v>34.9</v>
      </c>
      <c r="GW58">
        <v>22.366800000000001</v>
      </c>
      <c r="GX58">
        <v>61.288400000000003</v>
      </c>
      <c r="GY58">
        <v>29.839700000000001</v>
      </c>
      <c r="GZ58">
        <v>1</v>
      </c>
      <c r="HA58">
        <v>0.299174</v>
      </c>
      <c r="HB58">
        <v>2.5568300000000002</v>
      </c>
      <c r="HC58">
        <v>20.258099999999999</v>
      </c>
      <c r="HD58">
        <v>5.2721</v>
      </c>
      <c r="HE58">
        <v>12.0878</v>
      </c>
      <c r="HF58">
        <v>5.0133999999999999</v>
      </c>
      <c r="HG58">
        <v>3.2917800000000002</v>
      </c>
      <c r="HH58">
        <v>9999</v>
      </c>
      <c r="HI58">
        <v>9999</v>
      </c>
      <c r="HJ58">
        <v>9999</v>
      </c>
      <c r="HK58">
        <v>999.9</v>
      </c>
      <c r="HL58">
        <v>1.8751599999999999</v>
      </c>
      <c r="HM58">
        <v>1.8756699999999999</v>
      </c>
      <c r="HN58">
        <v>1.8754599999999999</v>
      </c>
      <c r="HO58">
        <v>1.8793500000000001</v>
      </c>
      <c r="HP58">
        <v>1.87286</v>
      </c>
      <c r="HQ58">
        <v>1.8760699999999999</v>
      </c>
      <c r="HR58">
        <v>1.8757699999999999</v>
      </c>
      <c r="HS58">
        <v>1.87717</v>
      </c>
      <c r="HT58">
        <v>0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423</v>
      </c>
      <c r="IB58" t="s">
        <v>423</v>
      </c>
      <c r="IC58" t="s">
        <v>423</v>
      </c>
      <c r="ID58">
        <v>0</v>
      </c>
      <c r="IE58">
        <v>100</v>
      </c>
      <c r="IF58">
        <v>100</v>
      </c>
      <c r="IG58">
        <v>-3.85</v>
      </c>
      <c r="IH58">
        <v>1.11E-2</v>
      </c>
      <c r="II58">
        <v>-1.8599816269436391</v>
      </c>
      <c r="IJ58">
        <v>-1.5404112972462821E-3</v>
      </c>
      <c r="IK58">
        <v>-5.8697186733976997E-8</v>
      </c>
      <c r="IL58">
        <v>1.160237123038427E-10</v>
      </c>
      <c r="IM58">
        <v>-0.16784641796837929</v>
      </c>
      <c r="IN58">
        <v>-3.128848753924141E-3</v>
      </c>
      <c r="IO58">
        <v>3.6841110403368089E-4</v>
      </c>
      <c r="IP58">
        <v>1.9296040270694169E-6</v>
      </c>
      <c r="IQ58">
        <v>1</v>
      </c>
      <c r="IR58">
        <v>1992</v>
      </c>
      <c r="IS58">
        <v>2</v>
      </c>
      <c r="IT58">
        <v>27</v>
      </c>
      <c r="IU58">
        <v>0.7</v>
      </c>
      <c r="IV58">
        <v>0.8</v>
      </c>
      <c r="IW58">
        <v>3.0493199999999998</v>
      </c>
      <c r="IX58">
        <v>2.6428199999999999</v>
      </c>
      <c r="IY58">
        <v>1.69434</v>
      </c>
      <c r="IZ58">
        <v>2.34619</v>
      </c>
      <c r="JA58">
        <v>1.5466299999999999</v>
      </c>
      <c r="JB58">
        <v>2.3877000000000002</v>
      </c>
      <c r="JC58">
        <v>38.673299999999998</v>
      </c>
      <c r="JD58">
        <v>24.096299999999999</v>
      </c>
      <c r="JE58">
        <v>18</v>
      </c>
      <c r="JF58">
        <v>532.17600000000004</v>
      </c>
      <c r="JG58">
        <v>542.75800000000004</v>
      </c>
      <c r="JH58">
        <v>24.847300000000001</v>
      </c>
      <c r="JI58">
        <v>30.903300000000002</v>
      </c>
      <c r="JJ58">
        <v>30.000399999999999</v>
      </c>
      <c r="JK58">
        <v>30.773</v>
      </c>
      <c r="JL58">
        <v>30.712800000000001</v>
      </c>
      <c r="JM58">
        <v>61.094799999999999</v>
      </c>
      <c r="JN58">
        <v>21.252199999999998</v>
      </c>
      <c r="JO58">
        <v>35.277900000000002</v>
      </c>
      <c r="JP58">
        <v>24.842300000000002</v>
      </c>
      <c r="JQ58">
        <v>1500</v>
      </c>
      <c r="JR58">
        <v>18.132300000000001</v>
      </c>
      <c r="JS58">
        <v>99.490399999999994</v>
      </c>
      <c r="JT58">
        <v>98.715500000000006</v>
      </c>
    </row>
    <row r="59" spans="1:280" x14ac:dyDescent="0.25">
      <c r="A59">
        <v>43</v>
      </c>
      <c r="B59">
        <v>1639675776.5999999</v>
      </c>
      <c r="C59">
        <v>9174.5</v>
      </c>
      <c r="D59" t="s">
        <v>634</v>
      </c>
      <c r="E59" t="s">
        <v>635</v>
      </c>
      <c r="F59" t="s">
        <v>412</v>
      </c>
      <c r="G59" t="s">
        <v>31</v>
      </c>
      <c r="H59" t="s">
        <v>636</v>
      </c>
      <c r="I59">
        <v>1639675776.5999999</v>
      </c>
      <c r="J59">
        <f t="shared" si="46"/>
        <v>5.507354751663673E-3</v>
      </c>
      <c r="K59">
        <f t="shared" si="47"/>
        <v>5.5073547516636729</v>
      </c>
      <c r="L59">
        <f t="shared" si="48"/>
        <v>54.37650982714959</v>
      </c>
      <c r="M59">
        <f t="shared" si="49"/>
        <v>332.65199999999999</v>
      </c>
      <c r="N59">
        <f t="shared" si="50"/>
        <v>125.47941150672382</v>
      </c>
      <c r="O59">
        <f t="shared" si="51"/>
        <v>12.514725081570379</v>
      </c>
      <c r="P59">
        <f t="shared" si="52"/>
        <v>33.177142591328398</v>
      </c>
      <c r="Q59">
        <f t="shared" si="53"/>
        <v>0.46174676975971013</v>
      </c>
      <c r="R59">
        <f t="shared" si="54"/>
        <v>2.9279580858109435</v>
      </c>
      <c r="S59">
        <f t="shared" si="55"/>
        <v>0.42477490115694116</v>
      </c>
      <c r="T59">
        <f t="shared" si="56"/>
        <v>0.26855896494231091</v>
      </c>
      <c r="U59">
        <f t="shared" si="57"/>
        <v>289.57923884757537</v>
      </c>
      <c r="V59">
        <f t="shared" si="58"/>
        <v>28.259279761809879</v>
      </c>
      <c r="W59">
        <f t="shared" si="59"/>
        <v>27.739000000000001</v>
      </c>
      <c r="X59">
        <f t="shared" si="60"/>
        <v>3.7374814751533636</v>
      </c>
      <c r="Y59">
        <f t="shared" si="61"/>
        <v>65.537643390166949</v>
      </c>
      <c r="Z59">
        <f t="shared" si="62"/>
        <v>2.48471517108577</v>
      </c>
      <c r="AA59">
        <f t="shared" si="63"/>
        <v>3.7912793969313956</v>
      </c>
      <c r="AB59">
        <f t="shared" si="64"/>
        <v>1.2527663040675936</v>
      </c>
      <c r="AC59">
        <f t="shared" si="65"/>
        <v>-242.87434454836799</v>
      </c>
      <c r="AD59">
        <f t="shared" si="66"/>
        <v>38.657973491316113</v>
      </c>
      <c r="AE59">
        <f t="shared" si="67"/>
        <v>2.873989260952627</v>
      </c>
      <c r="AF59">
        <f t="shared" si="68"/>
        <v>88.236857051476107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52650.556519678605</v>
      </c>
      <c r="AL59" t="s">
        <v>415</v>
      </c>
      <c r="AM59">
        <v>10204.299999999999</v>
      </c>
      <c r="AN59">
        <v>862.72538461538477</v>
      </c>
      <c r="AO59">
        <v>3252.56</v>
      </c>
      <c r="AP59">
        <f t="shared" si="72"/>
        <v>0.73475496697512588</v>
      </c>
      <c r="AQ59">
        <v>-6.6684750346205304</v>
      </c>
      <c r="AR59" t="s">
        <v>637</v>
      </c>
      <c r="AS59">
        <v>10042.6</v>
      </c>
      <c r="AT59">
        <v>732.86073076923094</v>
      </c>
      <c r="AU59">
        <v>1152.2749328431321</v>
      </c>
      <c r="AV59">
        <f t="shared" si="73"/>
        <v>0.36398795992119282</v>
      </c>
      <c r="AW59">
        <v>0.5</v>
      </c>
      <c r="AX59">
        <f t="shared" si="74"/>
        <v>1513.2518999210233</v>
      </c>
      <c r="AY59">
        <f t="shared" si="75"/>
        <v>54.37650982714959</v>
      </c>
      <c r="AZ59">
        <f t="shared" si="76"/>
        <v>275.40273594956113</v>
      </c>
      <c r="BA59">
        <f t="shared" si="77"/>
        <v>4.034026645858238E-2</v>
      </c>
      <c r="BB59">
        <f t="shared" si="78"/>
        <v>1.8227291137668056</v>
      </c>
      <c r="BC59">
        <f t="shared" si="79"/>
        <v>581.55909816328244</v>
      </c>
      <c r="BD59" t="s">
        <v>638</v>
      </c>
      <c r="BE59">
        <v>554.83000000000004</v>
      </c>
      <c r="BF59">
        <f t="shared" si="80"/>
        <v>554.83000000000004</v>
      </c>
      <c r="BG59">
        <f t="shared" si="81"/>
        <v>0.51849165144033105</v>
      </c>
      <c r="BH59">
        <f t="shared" si="82"/>
        <v>0.70201315471533932</v>
      </c>
      <c r="BI59">
        <f t="shared" si="83"/>
        <v>0.77853790674265688</v>
      </c>
      <c r="BJ59">
        <f t="shared" si="84"/>
        <v>1.4485058071788384</v>
      </c>
      <c r="BK59">
        <f t="shared" si="85"/>
        <v>0.87884117739203982</v>
      </c>
      <c r="BL59">
        <f t="shared" si="86"/>
        <v>0.5314760939938532</v>
      </c>
      <c r="BM59">
        <f t="shared" si="87"/>
        <v>0.4685239060061468</v>
      </c>
      <c r="BN59">
        <v>4956</v>
      </c>
      <c r="BO59">
        <v>290.00000000000011</v>
      </c>
      <c r="BP59">
        <v>1039.07</v>
      </c>
      <c r="BQ59">
        <v>285</v>
      </c>
      <c r="BR59">
        <v>10042.6</v>
      </c>
      <c r="BS59">
        <v>1040.1600000000001</v>
      </c>
      <c r="BT59">
        <v>-1.0900000000000001</v>
      </c>
      <c r="BU59">
        <v>300.00000000000011</v>
      </c>
      <c r="BV59">
        <v>24.1</v>
      </c>
      <c r="BW59">
        <v>1152.2749328431321</v>
      </c>
      <c r="BX59">
        <v>2.148859849913181</v>
      </c>
      <c r="BY59">
        <v>-112.59581940532669</v>
      </c>
      <c r="BZ59">
        <v>1.923229101983063</v>
      </c>
      <c r="CA59">
        <v>0.99189706881380957</v>
      </c>
      <c r="CB59">
        <v>-6.8439452725250318E-3</v>
      </c>
      <c r="CC59">
        <v>289.99999999999989</v>
      </c>
      <c r="CD59">
        <v>1037.6199999999999</v>
      </c>
      <c r="CE59">
        <v>655</v>
      </c>
      <c r="CF59">
        <v>10033.5</v>
      </c>
      <c r="CG59">
        <v>1040.06</v>
      </c>
      <c r="CH59">
        <v>-2.44</v>
      </c>
      <c r="CV59">
        <f t="shared" si="88"/>
        <v>1800.08</v>
      </c>
      <c r="CW59">
        <f t="shared" si="89"/>
        <v>1513.2518999210233</v>
      </c>
      <c r="CX59">
        <f t="shared" si="90"/>
        <v>0.84065813737224093</v>
      </c>
      <c r="CY59">
        <f t="shared" si="91"/>
        <v>0.16087020512842506</v>
      </c>
      <c r="CZ59">
        <v>6</v>
      </c>
      <c r="DA59">
        <v>0.5</v>
      </c>
      <c r="DB59" t="s">
        <v>418</v>
      </c>
      <c r="DC59">
        <v>2</v>
      </c>
      <c r="DD59">
        <v>1639675776.5999999</v>
      </c>
      <c r="DE59">
        <v>332.65199999999999</v>
      </c>
      <c r="DF59">
        <v>400.09199999999998</v>
      </c>
      <c r="DG59">
        <v>24.9131</v>
      </c>
      <c r="DH59">
        <v>18.469899999999999</v>
      </c>
      <c r="DI59">
        <v>334.43299999999999</v>
      </c>
      <c r="DJ59">
        <v>24.898800000000001</v>
      </c>
      <c r="DK59">
        <v>500.07600000000002</v>
      </c>
      <c r="DL59">
        <v>99.635300000000001</v>
      </c>
      <c r="DM59">
        <v>9.9986699999999998E-2</v>
      </c>
      <c r="DN59">
        <v>27.983899999999998</v>
      </c>
      <c r="DO59">
        <v>27.739000000000001</v>
      </c>
      <c r="DP59">
        <v>999.9</v>
      </c>
      <c r="DQ59">
        <v>0</v>
      </c>
      <c r="DR59">
        <v>0</v>
      </c>
      <c r="DS59">
        <v>10027.5</v>
      </c>
      <c r="DT59">
        <v>0</v>
      </c>
      <c r="DU59">
        <v>507.601</v>
      </c>
      <c r="DV59">
        <v>-67.439599999999999</v>
      </c>
      <c r="DW59">
        <v>341.15100000000001</v>
      </c>
      <c r="DX59">
        <v>407.62099999999998</v>
      </c>
      <c r="DY59">
        <v>6.4432099999999997</v>
      </c>
      <c r="DZ59">
        <v>400.09199999999998</v>
      </c>
      <c r="EA59">
        <v>18.469899999999999</v>
      </c>
      <c r="EB59">
        <v>2.4822199999999999</v>
      </c>
      <c r="EC59">
        <v>1.8402499999999999</v>
      </c>
      <c r="ED59">
        <v>20.910399999999999</v>
      </c>
      <c r="EE59">
        <v>16.132899999999999</v>
      </c>
      <c r="EF59">
        <v>1800.08</v>
      </c>
      <c r="EG59">
        <v>0.97800200000000004</v>
      </c>
      <c r="EH59">
        <v>2.1997900000000001E-2</v>
      </c>
      <c r="EI59">
        <v>0</v>
      </c>
      <c r="EJ59">
        <v>732.88300000000004</v>
      </c>
      <c r="EK59">
        <v>5.0001199999999999</v>
      </c>
      <c r="EL59">
        <v>13155.7</v>
      </c>
      <c r="EM59">
        <v>15630.7</v>
      </c>
      <c r="EN59">
        <v>47.5</v>
      </c>
      <c r="EO59">
        <v>48.5</v>
      </c>
      <c r="EP59">
        <v>48.311999999999998</v>
      </c>
      <c r="EQ59">
        <v>48.186999999999998</v>
      </c>
      <c r="ER59">
        <v>49.061999999999998</v>
      </c>
      <c r="ES59">
        <v>1755.59</v>
      </c>
      <c r="ET59">
        <v>39.49</v>
      </c>
      <c r="EU59">
        <v>0</v>
      </c>
      <c r="EV59">
        <v>1564.400000095367</v>
      </c>
      <c r="EW59">
        <v>0</v>
      </c>
      <c r="EX59">
        <v>732.86073076923094</v>
      </c>
      <c r="EY59">
        <v>0.23914530121430319</v>
      </c>
      <c r="EZ59">
        <v>25.972649585256431</v>
      </c>
      <c r="FA59">
        <v>13153.58846153846</v>
      </c>
      <c r="FB59">
        <v>15</v>
      </c>
      <c r="FC59">
        <v>1639675738</v>
      </c>
      <c r="FD59" t="s">
        <v>639</v>
      </c>
      <c r="FE59">
        <v>1639675730</v>
      </c>
      <c r="FF59">
        <v>1639675738</v>
      </c>
      <c r="FG59">
        <v>48</v>
      </c>
      <c r="FH59">
        <v>0.18099999999999999</v>
      </c>
      <c r="FI59">
        <v>-2E-3</v>
      </c>
      <c r="FJ59">
        <v>-1.885</v>
      </c>
      <c r="FK59">
        <v>-8.4000000000000005E-2</v>
      </c>
      <c r="FL59">
        <v>400</v>
      </c>
      <c r="FM59">
        <v>19</v>
      </c>
      <c r="FN59">
        <v>0.02</v>
      </c>
      <c r="FO59">
        <v>0.02</v>
      </c>
      <c r="FP59">
        <v>54.26299044920929</v>
      </c>
      <c r="FQ59">
        <v>0.20530649692798</v>
      </c>
      <c r="FR59">
        <v>4.1024930982310567E-2</v>
      </c>
      <c r="FS59">
        <v>1</v>
      </c>
      <c r="FT59">
        <v>0.46124819834868908</v>
      </c>
      <c r="FU59">
        <v>4.0011953722982177E-2</v>
      </c>
      <c r="FV59">
        <v>5.1824826101969888E-3</v>
      </c>
      <c r="FW59">
        <v>1</v>
      </c>
      <c r="FX59">
        <v>2</v>
      </c>
      <c r="FY59">
        <v>2</v>
      </c>
      <c r="FZ59" t="s">
        <v>420</v>
      </c>
      <c r="GA59">
        <v>2.9207800000000002</v>
      </c>
      <c r="GB59">
        <v>2.7452000000000001</v>
      </c>
      <c r="GC59">
        <v>7.9836799999999999E-2</v>
      </c>
      <c r="GD59">
        <v>9.3387600000000001E-2</v>
      </c>
      <c r="GE59">
        <v>0.11999</v>
      </c>
      <c r="GF59">
        <v>9.8553699999999994E-2</v>
      </c>
      <c r="GG59">
        <v>28666.3</v>
      </c>
      <c r="GH59">
        <v>27917.7</v>
      </c>
      <c r="GI59">
        <v>28362.2</v>
      </c>
      <c r="GJ59">
        <v>28159</v>
      </c>
      <c r="GK59">
        <v>34250.400000000001</v>
      </c>
      <c r="GL59">
        <v>35646</v>
      </c>
      <c r="GM59">
        <v>42675.4</v>
      </c>
      <c r="GN59">
        <v>43809.3</v>
      </c>
      <c r="GO59">
        <v>1.79745</v>
      </c>
      <c r="GP59">
        <v>1.9811799999999999</v>
      </c>
      <c r="GQ59">
        <v>4.1976600000000003E-2</v>
      </c>
      <c r="GR59">
        <v>0</v>
      </c>
      <c r="GS59">
        <v>27.053000000000001</v>
      </c>
      <c r="GT59">
        <v>999.9</v>
      </c>
      <c r="GU59">
        <v>41.1</v>
      </c>
      <c r="GV59">
        <v>35.200000000000003</v>
      </c>
      <c r="GW59">
        <v>23.5593</v>
      </c>
      <c r="GX59">
        <v>60.947499999999998</v>
      </c>
      <c r="GY59">
        <v>30.027999999999999</v>
      </c>
      <c r="GZ59">
        <v>1</v>
      </c>
      <c r="HA59">
        <v>0.33169199999999999</v>
      </c>
      <c r="HB59">
        <v>2.2868499999999998</v>
      </c>
      <c r="HC59">
        <v>20.2607</v>
      </c>
      <c r="HD59">
        <v>5.2767400000000002</v>
      </c>
      <c r="HE59">
        <v>12.0878</v>
      </c>
      <c r="HF59">
        <v>5.0142499999999997</v>
      </c>
      <c r="HG59">
        <v>3.2919499999999999</v>
      </c>
      <c r="HH59">
        <v>9999</v>
      </c>
      <c r="HI59">
        <v>9999</v>
      </c>
      <c r="HJ59">
        <v>9999</v>
      </c>
      <c r="HK59">
        <v>999.9</v>
      </c>
      <c r="HL59">
        <v>1.8752599999999999</v>
      </c>
      <c r="HM59">
        <v>1.87575</v>
      </c>
      <c r="HN59">
        <v>1.8754599999999999</v>
      </c>
      <c r="HO59">
        <v>1.8794200000000001</v>
      </c>
      <c r="HP59">
        <v>1.87286</v>
      </c>
      <c r="HQ59">
        <v>1.8760699999999999</v>
      </c>
      <c r="HR59">
        <v>1.87591</v>
      </c>
      <c r="HS59">
        <v>1.8772800000000001</v>
      </c>
      <c r="HT59">
        <v>0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423</v>
      </c>
      <c r="IB59" t="s">
        <v>423</v>
      </c>
      <c r="IC59" t="s">
        <v>423</v>
      </c>
      <c r="ID59">
        <v>0</v>
      </c>
      <c r="IE59">
        <v>100</v>
      </c>
      <c r="IF59">
        <v>100</v>
      </c>
      <c r="IG59">
        <v>-1.7809999999999999</v>
      </c>
      <c r="IH59">
        <v>1.43E-2</v>
      </c>
      <c r="II59">
        <v>-1.263485893109054</v>
      </c>
      <c r="IJ59">
        <v>-1.5404112972462821E-3</v>
      </c>
      <c r="IK59">
        <v>-5.8697186733976997E-8</v>
      </c>
      <c r="IL59">
        <v>1.160237123038427E-10</v>
      </c>
      <c r="IM59">
        <v>-0.1659784193607079</v>
      </c>
      <c r="IN59">
        <v>-3.128848753924141E-3</v>
      </c>
      <c r="IO59">
        <v>3.6841110403368089E-4</v>
      </c>
      <c r="IP59">
        <v>1.9296040270694169E-6</v>
      </c>
      <c r="IQ59">
        <v>1</v>
      </c>
      <c r="IR59">
        <v>1992</v>
      </c>
      <c r="IS59">
        <v>2</v>
      </c>
      <c r="IT59">
        <v>27</v>
      </c>
      <c r="IU59">
        <v>0.8</v>
      </c>
      <c r="IV59">
        <v>0.6</v>
      </c>
      <c r="IW59">
        <v>1.0437000000000001</v>
      </c>
      <c r="IX59">
        <v>2.65503</v>
      </c>
      <c r="IY59">
        <v>1.69434</v>
      </c>
      <c r="IZ59">
        <v>2.34619</v>
      </c>
      <c r="JA59">
        <v>1.5466299999999999</v>
      </c>
      <c r="JB59">
        <v>2.2839399999999999</v>
      </c>
      <c r="JC59">
        <v>39.142800000000001</v>
      </c>
      <c r="JD59">
        <v>24.096299999999999</v>
      </c>
      <c r="JE59">
        <v>18</v>
      </c>
      <c r="JF59">
        <v>532.38699999999994</v>
      </c>
      <c r="JG59">
        <v>538.41099999999994</v>
      </c>
      <c r="JH59">
        <v>25.081</v>
      </c>
      <c r="JI59">
        <v>31.3672</v>
      </c>
      <c r="JJ59">
        <v>30.0002</v>
      </c>
      <c r="JK59">
        <v>31.335799999999999</v>
      </c>
      <c r="JL59">
        <v>31.293399999999998</v>
      </c>
      <c r="JM59">
        <v>20.971</v>
      </c>
      <c r="JN59">
        <v>26.211500000000001</v>
      </c>
      <c r="JO59">
        <v>37.536299999999997</v>
      </c>
      <c r="JP59">
        <v>25.0808</v>
      </c>
      <c r="JQ59">
        <v>400</v>
      </c>
      <c r="JR59">
        <v>18.3842</v>
      </c>
      <c r="JS59">
        <v>99.440700000000007</v>
      </c>
      <c r="JT59">
        <v>98.6721</v>
      </c>
    </row>
    <row r="60" spans="1:280" x14ac:dyDescent="0.25">
      <c r="A60">
        <v>44</v>
      </c>
      <c r="B60">
        <v>1639675931.5999999</v>
      </c>
      <c r="C60">
        <v>9329.5</v>
      </c>
      <c r="D60" t="s">
        <v>640</v>
      </c>
      <c r="E60" t="s">
        <v>641</v>
      </c>
      <c r="F60" t="s">
        <v>412</v>
      </c>
      <c r="G60" t="s">
        <v>31</v>
      </c>
      <c r="H60" t="s">
        <v>636</v>
      </c>
      <c r="I60">
        <v>1639675931.5999999</v>
      </c>
      <c r="J60">
        <f t="shared" si="46"/>
        <v>5.779617766676578E-3</v>
      </c>
      <c r="K60">
        <f t="shared" si="47"/>
        <v>5.7796177666765782</v>
      </c>
      <c r="L60">
        <f t="shared" si="48"/>
        <v>46.410435258657579</v>
      </c>
      <c r="M60">
        <f t="shared" si="49"/>
        <v>242.59700000000001</v>
      </c>
      <c r="N60">
        <f t="shared" si="50"/>
        <v>74.805711562474983</v>
      </c>
      <c r="O60">
        <f t="shared" si="51"/>
        <v>7.4608111302908453</v>
      </c>
      <c r="P60">
        <f t="shared" si="52"/>
        <v>24.195617687073902</v>
      </c>
      <c r="Q60">
        <f t="shared" si="53"/>
        <v>0.48682159301858324</v>
      </c>
      <c r="R60">
        <f t="shared" si="54"/>
        <v>2.9246960988123325</v>
      </c>
      <c r="S60">
        <f t="shared" si="55"/>
        <v>0.44587413309390828</v>
      </c>
      <c r="T60">
        <f t="shared" si="56"/>
        <v>0.28206272730153298</v>
      </c>
      <c r="U60">
        <f t="shared" si="57"/>
        <v>289.57764284757451</v>
      </c>
      <c r="V60">
        <f t="shared" si="58"/>
        <v>28.193487950114047</v>
      </c>
      <c r="W60">
        <f t="shared" si="59"/>
        <v>27.691400000000002</v>
      </c>
      <c r="X60">
        <f t="shared" si="60"/>
        <v>3.7271027151681304</v>
      </c>
      <c r="Y60">
        <f t="shared" si="61"/>
        <v>65.249317649464757</v>
      </c>
      <c r="Z60">
        <f t="shared" si="62"/>
        <v>2.4744763270016099</v>
      </c>
      <c r="AA60">
        <f t="shared" si="63"/>
        <v>3.7923405426170125</v>
      </c>
      <c r="AB60">
        <f t="shared" si="64"/>
        <v>1.2526263881665205</v>
      </c>
      <c r="AC60">
        <f t="shared" si="65"/>
        <v>-254.88114351043708</v>
      </c>
      <c r="AD60">
        <f t="shared" si="66"/>
        <v>46.877139040337369</v>
      </c>
      <c r="AE60">
        <f t="shared" si="67"/>
        <v>3.4881778739938336</v>
      </c>
      <c r="AF60">
        <f t="shared" si="68"/>
        <v>85.061816251468628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52555.900711889051</v>
      </c>
      <c r="AL60" t="s">
        <v>415</v>
      </c>
      <c r="AM60">
        <v>10204.299999999999</v>
      </c>
      <c r="AN60">
        <v>862.72538461538477</v>
      </c>
      <c r="AO60">
        <v>3252.56</v>
      </c>
      <c r="AP60">
        <f t="shared" si="72"/>
        <v>0.73475496697512588</v>
      </c>
      <c r="AQ60">
        <v>-6.6684750346205304</v>
      </c>
      <c r="AR60" t="s">
        <v>642</v>
      </c>
      <c r="AS60">
        <v>10046.799999999999</v>
      </c>
      <c r="AT60">
        <v>718.09957692307694</v>
      </c>
      <c r="AU60">
        <v>1067.0674347113741</v>
      </c>
      <c r="AV60">
        <f t="shared" si="73"/>
        <v>0.3270344932630127</v>
      </c>
      <c r="AW60">
        <v>0.5</v>
      </c>
      <c r="AX60">
        <f t="shared" si="74"/>
        <v>1513.2434999210229</v>
      </c>
      <c r="AY60">
        <f t="shared" si="75"/>
        <v>46.410435258657579</v>
      </c>
      <c r="AZ60">
        <f t="shared" si="76"/>
        <v>247.44141059010977</v>
      </c>
      <c r="BA60">
        <f t="shared" si="77"/>
        <v>3.5076251968733603E-2</v>
      </c>
      <c r="BB60">
        <f t="shared" si="78"/>
        <v>2.0481297565601082</v>
      </c>
      <c r="BC60">
        <f t="shared" si="79"/>
        <v>559.02925224269393</v>
      </c>
      <c r="BD60" t="s">
        <v>643</v>
      </c>
      <c r="BE60">
        <v>545.9</v>
      </c>
      <c r="BF60">
        <f t="shared" si="80"/>
        <v>545.9</v>
      </c>
      <c r="BG60">
        <f t="shared" si="81"/>
        <v>0.48841096425395281</v>
      </c>
      <c r="BH60">
        <f t="shared" si="82"/>
        <v>0.66958876273909518</v>
      </c>
      <c r="BI60">
        <f t="shared" si="83"/>
        <v>0.8074499808947655</v>
      </c>
      <c r="BJ60">
        <f t="shared" si="84"/>
        <v>1.707763319514364</v>
      </c>
      <c r="BK60">
        <f t="shared" si="85"/>
        <v>0.91449531746651735</v>
      </c>
      <c r="BL60">
        <f t="shared" si="86"/>
        <v>0.5090220316595836</v>
      </c>
      <c r="BM60">
        <f t="shared" si="87"/>
        <v>0.4909779683404164</v>
      </c>
      <c r="BN60">
        <v>4958</v>
      </c>
      <c r="BO60">
        <v>290.00000000000011</v>
      </c>
      <c r="BP60">
        <v>970.98</v>
      </c>
      <c r="BQ60">
        <v>215</v>
      </c>
      <c r="BR60">
        <v>10046.799999999999</v>
      </c>
      <c r="BS60">
        <v>971.34</v>
      </c>
      <c r="BT60">
        <v>-0.36</v>
      </c>
      <c r="BU60">
        <v>300.00000000000011</v>
      </c>
      <c r="BV60">
        <v>24.1</v>
      </c>
      <c r="BW60">
        <v>1067.0674347113741</v>
      </c>
      <c r="BX60">
        <v>2.426510318123543</v>
      </c>
      <c r="BY60">
        <v>-96.175382755924886</v>
      </c>
      <c r="BZ60">
        <v>2.1716332609446329</v>
      </c>
      <c r="CA60">
        <v>0.9859250437864947</v>
      </c>
      <c r="CB60">
        <v>-6.8435597330367207E-3</v>
      </c>
      <c r="CC60">
        <v>289.99999999999989</v>
      </c>
      <c r="CD60">
        <v>968.94</v>
      </c>
      <c r="CE60">
        <v>695</v>
      </c>
      <c r="CF60">
        <v>10031.4</v>
      </c>
      <c r="CG60">
        <v>971.19</v>
      </c>
      <c r="CH60">
        <v>-2.25</v>
      </c>
      <c r="CV60">
        <f t="shared" si="88"/>
        <v>1800.07</v>
      </c>
      <c r="CW60">
        <f t="shared" si="89"/>
        <v>1513.2434999210229</v>
      </c>
      <c r="CX60">
        <f t="shared" si="90"/>
        <v>0.84065814102841718</v>
      </c>
      <c r="CY60">
        <f t="shared" si="91"/>
        <v>0.16087021218484532</v>
      </c>
      <c r="CZ60">
        <v>6</v>
      </c>
      <c r="DA60">
        <v>0.5</v>
      </c>
      <c r="DB60" t="s">
        <v>418</v>
      </c>
      <c r="DC60">
        <v>2</v>
      </c>
      <c r="DD60">
        <v>1639675931.5999999</v>
      </c>
      <c r="DE60">
        <v>242.59700000000001</v>
      </c>
      <c r="DF60">
        <v>299.96300000000002</v>
      </c>
      <c r="DG60">
        <v>24.810300000000002</v>
      </c>
      <c r="DH60">
        <v>18.047899999999998</v>
      </c>
      <c r="DI60">
        <v>244.30099999999999</v>
      </c>
      <c r="DJ60">
        <v>24.8017</v>
      </c>
      <c r="DK60">
        <v>500.07900000000001</v>
      </c>
      <c r="DL60">
        <v>99.635900000000007</v>
      </c>
      <c r="DM60">
        <v>9.9948700000000001E-2</v>
      </c>
      <c r="DN60">
        <v>27.988700000000001</v>
      </c>
      <c r="DO60">
        <v>27.691400000000002</v>
      </c>
      <c r="DP60">
        <v>999.9</v>
      </c>
      <c r="DQ60">
        <v>0</v>
      </c>
      <c r="DR60">
        <v>0</v>
      </c>
      <c r="DS60">
        <v>10008.799999999999</v>
      </c>
      <c r="DT60">
        <v>0</v>
      </c>
      <c r="DU60">
        <v>499.95800000000003</v>
      </c>
      <c r="DV60">
        <v>-57.365699999999997</v>
      </c>
      <c r="DW60">
        <v>248.76900000000001</v>
      </c>
      <c r="DX60">
        <v>305.476</v>
      </c>
      <c r="DY60">
        <v>6.7623800000000003</v>
      </c>
      <c r="DZ60">
        <v>299.96300000000002</v>
      </c>
      <c r="EA60">
        <v>18.047899999999998</v>
      </c>
      <c r="EB60">
        <v>2.472</v>
      </c>
      <c r="EC60">
        <v>1.7982199999999999</v>
      </c>
      <c r="ED60">
        <v>20.843299999999999</v>
      </c>
      <c r="EE60">
        <v>15.7713</v>
      </c>
      <c r="EF60">
        <v>1800.07</v>
      </c>
      <c r="EG60">
        <v>0.97800200000000004</v>
      </c>
      <c r="EH60">
        <v>2.1997900000000001E-2</v>
      </c>
      <c r="EI60">
        <v>0</v>
      </c>
      <c r="EJ60">
        <v>718.15700000000004</v>
      </c>
      <c r="EK60">
        <v>5.0001199999999999</v>
      </c>
      <c r="EL60">
        <v>12859.9</v>
      </c>
      <c r="EM60">
        <v>15630.6</v>
      </c>
      <c r="EN60">
        <v>47.5</v>
      </c>
      <c r="EO60">
        <v>48.5</v>
      </c>
      <c r="EP60">
        <v>48.311999999999998</v>
      </c>
      <c r="EQ60">
        <v>48.186999999999998</v>
      </c>
      <c r="ER60">
        <v>49.061999999999998</v>
      </c>
      <c r="ES60">
        <v>1755.58</v>
      </c>
      <c r="ET60">
        <v>39.49</v>
      </c>
      <c r="EU60">
        <v>0</v>
      </c>
      <c r="EV60">
        <v>153.20000004768369</v>
      </c>
      <c r="EW60">
        <v>0</v>
      </c>
      <c r="EX60">
        <v>718.09957692307694</v>
      </c>
      <c r="EY60">
        <v>-0.71470086716254155</v>
      </c>
      <c r="EZ60">
        <v>-35.052991468358698</v>
      </c>
      <c r="FA60">
        <v>12862.834615384611</v>
      </c>
      <c r="FB60">
        <v>15</v>
      </c>
      <c r="FC60">
        <v>1639675854.0999999</v>
      </c>
      <c r="FD60" t="s">
        <v>644</v>
      </c>
      <c r="FE60">
        <v>1639675847.5999999</v>
      </c>
      <c r="FF60">
        <v>1639675854.0999999</v>
      </c>
      <c r="FG60">
        <v>49</v>
      </c>
      <c r="FH60">
        <v>-6.2E-2</v>
      </c>
      <c r="FI60">
        <v>-4.0000000000000001E-3</v>
      </c>
      <c r="FJ60">
        <v>-1.7929999999999999</v>
      </c>
      <c r="FK60">
        <v>-9.1999999999999998E-2</v>
      </c>
      <c r="FL60">
        <v>300</v>
      </c>
      <c r="FM60">
        <v>18</v>
      </c>
      <c r="FN60">
        <v>0.02</v>
      </c>
      <c r="FO60">
        <v>0.01</v>
      </c>
      <c r="FP60">
        <v>46.306669355177959</v>
      </c>
      <c r="FQ60">
        <v>0.64877547806676394</v>
      </c>
      <c r="FR60">
        <v>7.218062032408222E-2</v>
      </c>
      <c r="FS60">
        <v>1</v>
      </c>
      <c r="FT60">
        <v>0.48649098860291662</v>
      </c>
      <c r="FU60">
        <v>-8.4484783878608517E-3</v>
      </c>
      <c r="FV60">
        <v>1.135247408100579E-3</v>
      </c>
      <c r="FW60">
        <v>1</v>
      </c>
      <c r="FX60">
        <v>2</v>
      </c>
      <c r="FY60">
        <v>2</v>
      </c>
      <c r="FZ60" t="s">
        <v>420</v>
      </c>
      <c r="GA60">
        <v>2.92076</v>
      </c>
      <c r="GB60">
        <v>2.7450000000000001</v>
      </c>
      <c r="GC60">
        <v>6.16185E-2</v>
      </c>
      <c r="GD60">
        <v>7.4392E-2</v>
      </c>
      <c r="GE60">
        <v>0.11966</v>
      </c>
      <c r="GF60">
        <v>9.6934999999999993E-2</v>
      </c>
      <c r="GG60">
        <v>29232.799999999999</v>
      </c>
      <c r="GH60">
        <v>28500.3</v>
      </c>
      <c r="GI60">
        <v>28361.7</v>
      </c>
      <c r="GJ60">
        <v>28157</v>
      </c>
      <c r="GK60">
        <v>34262.400000000001</v>
      </c>
      <c r="GL60">
        <v>35708.5</v>
      </c>
      <c r="GM60">
        <v>42674.2</v>
      </c>
      <c r="GN60">
        <v>43807.1</v>
      </c>
      <c r="GO60">
        <v>1.79745</v>
      </c>
      <c r="GP60">
        <v>1.9799199999999999</v>
      </c>
      <c r="GQ60">
        <v>4.11645E-2</v>
      </c>
      <c r="GR60">
        <v>0</v>
      </c>
      <c r="GS60">
        <v>27.018599999999999</v>
      </c>
      <c r="GT60">
        <v>999.9</v>
      </c>
      <c r="GU60">
        <v>40.700000000000003</v>
      </c>
      <c r="GV60">
        <v>35.299999999999997</v>
      </c>
      <c r="GW60">
        <v>23.4572</v>
      </c>
      <c r="GX60">
        <v>60.837499999999999</v>
      </c>
      <c r="GY60">
        <v>29.491199999999999</v>
      </c>
      <c r="GZ60">
        <v>1</v>
      </c>
      <c r="HA60">
        <v>0.33313799999999999</v>
      </c>
      <c r="HB60">
        <v>2.2310599999999998</v>
      </c>
      <c r="HC60">
        <v>20.261099999999999</v>
      </c>
      <c r="HD60">
        <v>5.27644</v>
      </c>
      <c r="HE60">
        <v>12.0878</v>
      </c>
      <c r="HF60">
        <v>5.0136500000000002</v>
      </c>
      <c r="HG60">
        <v>3.2919499999999999</v>
      </c>
      <c r="HH60">
        <v>9999</v>
      </c>
      <c r="HI60">
        <v>9999</v>
      </c>
      <c r="HJ60">
        <v>9999</v>
      </c>
      <c r="HK60">
        <v>999.9</v>
      </c>
      <c r="HL60">
        <v>1.8753</v>
      </c>
      <c r="HM60">
        <v>1.8757600000000001</v>
      </c>
      <c r="HN60">
        <v>1.87547</v>
      </c>
      <c r="HO60">
        <v>1.8794200000000001</v>
      </c>
      <c r="HP60">
        <v>1.8728800000000001</v>
      </c>
      <c r="HQ60">
        <v>1.8760699999999999</v>
      </c>
      <c r="HR60">
        <v>1.8758900000000001</v>
      </c>
      <c r="HS60">
        <v>1.8772800000000001</v>
      </c>
      <c r="HT60">
        <v>0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423</v>
      </c>
      <c r="IB60" t="s">
        <v>423</v>
      </c>
      <c r="IC60" t="s">
        <v>423</v>
      </c>
      <c r="ID60">
        <v>0</v>
      </c>
      <c r="IE60">
        <v>100</v>
      </c>
      <c r="IF60">
        <v>100</v>
      </c>
      <c r="IG60">
        <v>-1.704</v>
      </c>
      <c r="IH60">
        <v>8.6E-3</v>
      </c>
      <c r="II60">
        <v>-1.3257827549930701</v>
      </c>
      <c r="IJ60">
        <v>-1.5404112972462821E-3</v>
      </c>
      <c r="IK60">
        <v>-5.8697186733976997E-8</v>
      </c>
      <c r="IL60">
        <v>1.160237123038427E-10</v>
      </c>
      <c r="IM60">
        <v>-0.16988440141855379</v>
      </c>
      <c r="IN60">
        <v>-3.128848753924141E-3</v>
      </c>
      <c r="IO60">
        <v>3.6841110403368089E-4</v>
      </c>
      <c r="IP60">
        <v>1.9296040270694169E-6</v>
      </c>
      <c r="IQ60">
        <v>1</v>
      </c>
      <c r="IR60">
        <v>1992</v>
      </c>
      <c r="IS60">
        <v>2</v>
      </c>
      <c r="IT60">
        <v>27</v>
      </c>
      <c r="IU60">
        <v>1.4</v>
      </c>
      <c r="IV60">
        <v>1.3</v>
      </c>
      <c r="IW60">
        <v>0.83129900000000001</v>
      </c>
      <c r="IX60">
        <v>2.65137</v>
      </c>
      <c r="IY60">
        <v>1.69434</v>
      </c>
      <c r="IZ60">
        <v>2.34619</v>
      </c>
      <c r="JA60">
        <v>1.5466299999999999</v>
      </c>
      <c r="JB60">
        <v>2.4719199999999999</v>
      </c>
      <c r="JC60">
        <v>39.217300000000002</v>
      </c>
      <c r="JD60">
        <v>24.105</v>
      </c>
      <c r="JE60">
        <v>18</v>
      </c>
      <c r="JF60">
        <v>532.577</v>
      </c>
      <c r="JG60">
        <v>537.673</v>
      </c>
      <c r="JH60">
        <v>25.1311</v>
      </c>
      <c r="JI60">
        <v>31.389199999999999</v>
      </c>
      <c r="JJ60">
        <v>30</v>
      </c>
      <c r="JK60">
        <v>31.355</v>
      </c>
      <c r="JL60">
        <v>31.315300000000001</v>
      </c>
      <c r="JM60">
        <v>16.734300000000001</v>
      </c>
      <c r="JN60">
        <v>27.207100000000001</v>
      </c>
      <c r="JO60">
        <v>36.387300000000003</v>
      </c>
      <c r="JP60">
        <v>25.1372</v>
      </c>
      <c r="JQ60">
        <v>300</v>
      </c>
      <c r="JR60">
        <v>18.012599999999999</v>
      </c>
      <c r="JS60">
        <v>99.438199999999995</v>
      </c>
      <c r="JT60">
        <v>98.666399999999996</v>
      </c>
    </row>
    <row r="61" spans="1:280" x14ac:dyDescent="0.25">
      <c r="A61">
        <v>45</v>
      </c>
      <c r="B61">
        <v>1639676058.5999999</v>
      </c>
      <c r="C61">
        <v>9456.5</v>
      </c>
      <c r="D61" t="s">
        <v>645</v>
      </c>
      <c r="E61" t="s">
        <v>646</v>
      </c>
      <c r="F61" t="s">
        <v>412</v>
      </c>
      <c r="G61" t="s">
        <v>31</v>
      </c>
      <c r="H61" t="s">
        <v>636</v>
      </c>
      <c r="I61">
        <v>1639676058.5999999</v>
      </c>
      <c r="J61">
        <f t="shared" si="46"/>
        <v>6.1971677635435001E-3</v>
      </c>
      <c r="K61">
        <f t="shared" si="47"/>
        <v>6.1971677635434999</v>
      </c>
      <c r="L61">
        <f t="shared" si="48"/>
        <v>33.413266681045144</v>
      </c>
      <c r="M61">
        <f t="shared" si="49"/>
        <v>158.74299999999999</v>
      </c>
      <c r="N61">
        <f t="shared" si="50"/>
        <v>47.948462604273466</v>
      </c>
      <c r="O61">
        <f t="shared" si="51"/>
        <v>4.7820776807327539</v>
      </c>
      <c r="P61">
        <f t="shared" si="52"/>
        <v>15.832027056586002</v>
      </c>
      <c r="Q61">
        <f t="shared" si="53"/>
        <v>0.53438367093261707</v>
      </c>
      <c r="R61">
        <f t="shared" si="54"/>
        <v>2.914771007865443</v>
      </c>
      <c r="S61">
        <f t="shared" si="55"/>
        <v>0.48532411811278764</v>
      </c>
      <c r="T61">
        <f t="shared" si="56"/>
        <v>0.30735917416163216</v>
      </c>
      <c r="U61">
        <f t="shared" si="57"/>
        <v>289.57923884757537</v>
      </c>
      <c r="V61">
        <f t="shared" si="58"/>
        <v>28.076118427944735</v>
      </c>
      <c r="W61">
        <f t="shared" si="59"/>
        <v>27.6661</v>
      </c>
      <c r="X61">
        <f t="shared" si="60"/>
        <v>3.721596516277617</v>
      </c>
      <c r="Y61">
        <f t="shared" si="61"/>
        <v>65.633168864045473</v>
      </c>
      <c r="Z61">
        <f t="shared" si="62"/>
        <v>2.4877275425773999</v>
      </c>
      <c r="AA61">
        <f t="shared" si="63"/>
        <v>3.7903511069693336</v>
      </c>
      <c r="AB61">
        <f t="shared" si="64"/>
        <v>1.2338689737002171</v>
      </c>
      <c r="AC61">
        <f t="shared" si="65"/>
        <v>-273.29509837226834</v>
      </c>
      <c r="AD61">
        <f t="shared" si="66"/>
        <v>49.279459803046855</v>
      </c>
      <c r="AE61">
        <f t="shared" si="67"/>
        <v>3.6787942931046267</v>
      </c>
      <c r="AF61">
        <f t="shared" si="68"/>
        <v>69.242394571458476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52272.330337769657</v>
      </c>
      <c r="AL61" t="s">
        <v>415</v>
      </c>
      <c r="AM61">
        <v>10204.299999999999</v>
      </c>
      <c r="AN61">
        <v>862.72538461538477</v>
      </c>
      <c r="AO61">
        <v>3252.56</v>
      </c>
      <c r="AP61">
        <f t="shared" si="72"/>
        <v>0.73475496697512588</v>
      </c>
      <c r="AQ61">
        <v>-6.6684750346205304</v>
      </c>
      <c r="AR61" t="s">
        <v>647</v>
      </c>
      <c r="AS61">
        <v>10047.799999999999</v>
      </c>
      <c r="AT61">
        <v>718.6511999999999</v>
      </c>
      <c r="AU61">
        <v>971.51089472536148</v>
      </c>
      <c r="AV61">
        <f t="shared" si="73"/>
        <v>0.26027468770367523</v>
      </c>
      <c r="AW61">
        <v>0.5</v>
      </c>
      <c r="AX61">
        <f t="shared" si="74"/>
        <v>1513.2518999210233</v>
      </c>
      <c r="AY61">
        <f t="shared" si="75"/>
        <v>33.413266681045144</v>
      </c>
      <c r="AZ61">
        <f t="shared" si="76"/>
        <v>196.93058283446877</v>
      </c>
      <c r="BA61">
        <f t="shared" si="77"/>
        <v>2.6487157701739903E-2</v>
      </c>
      <c r="BB61">
        <f t="shared" si="78"/>
        <v>2.3479398096914528</v>
      </c>
      <c r="BC61">
        <f t="shared" si="79"/>
        <v>531.63442875148837</v>
      </c>
      <c r="BD61" t="s">
        <v>648</v>
      </c>
      <c r="BE61">
        <v>538.11</v>
      </c>
      <c r="BF61">
        <f t="shared" si="80"/>
        <v>538.11</v>
      </c>
      <c r="BG61">
        <f t="shared" si="81"/>
        <v>0.44611017444933598</v>
      </c>
      <c r="BH61">
        <f t="shared" si="82"/>
        <v>0.58343140912432667</v>
      </c>
      <c r="BI61">
        <f t="shared" si="83"/>
        <v>0.84033565004867961</v>
      </c>
      <c r="BJ61">
        <f t="shared" si="84"/>
        <v>2.3243876364575859</v>
      </c>
      <c r="BK61">
        <f t="shared" si="85"/>
        <v>0.95447990023674967</v>
      </c>
      <c r="BL61">
        <f t="shared" si="86"/>
        <v>0.43686043460846019</v>
      </c>
      <c r="BM61">
        <f t="shared" si="87"/>
        <v>0.56313956539153986</v>
      </c>
      <c r="BN61">
        <v>4960</v>
      </c>
      <c r="BO61">
        <v>290.00000000000011</v>
      </c>
      <c r="BP61">
        <v>903.62</v>
      </c>
      <c r="BQ61">
        <v>195</v>
      </c>
      <c r="BR61">
        <v>10047.799999999999</v>
      </c>
      <c r="BS61">
        <v>903.44</v>
      </c>
      <c r="BT61">
        <v>0.18</v>
      </c>
      <c r="BU61">
        <v>300.00000000000011</v>
      </c>
      <c r="BV61">
        <v>24.1</v>
      </c>
      <c r="BW61">
        <v>971.51089472536148</v>
      </c>
      <c r="BX61">
        <v>1.8237835882502129</v>
      </c>
      <c r="BY61">
        <v>-68.392405697051927</v>
      </c>
      <c r="BZ61">
        <v>1.63213155538449</v>
      </c>
      <c r="CA61">
        <v>0.98430425422285128</v>
      </c>
      <c r="CB61">
        <v>-6.8429410456062384E-3</v>
      </c>
      <c r="CC61">
        <v>289.99999999999989</v>
      </c>
      <c r="CD61">
        <v>903.42</v>
      </c>
      <c r="CE61">
        <v>675</v>
      </c>
      <c r="CF61">
        <v>10031.700000000001</v>
      </c>
      <c r="CG61">
        <v>903.33</v>
      </c>
      <c r="CH61">
        <v>0.09</v>
      </c>
      <c r="CV61">
        <f t="shared" si="88"/>
        <v>1800.08</v>
      </c>
      <c r="CW61">
        <f t="shared" si="89"/>
        <v>1513.2518999210233</v>
      </c>
      <c r="CX61">
        <f t="shared" si="90"/>
        <v>0.84065813737224093</v>
      </c>
      <c r="CY61">
        <f t="shared" si="91"/>
        <v>0.16087020512842506</v>
      </c>
      <c r="CZ61">
        <v>6</v>
      </c>
      <c r="DA61">
        <v>0.5</v>
      </c>
      <c r="DB61" t="s">
        <v>418</v>
      </c>
      <c r="DC61">
        <v>2</v>
      </c>
      <c r="DD61">
        <v>1639676058.5999999</v>
      </c>
      <c r="DE61">
        <v>158.74299999999999</v>
      </c>
      <c r="DF61">
        <v>200.012</v>
      </c>
      <c r="DG61">
        <v>24.9437</v>
      </c>
      <c r="DH61">
        <v>17.693899999999999</v>
      </c>
      <c r="DI61">
        <v>160.30099999999999</v>
      </c>
      <c r="DJ61">
        <v>24.9298</v>
      </c>
      <c r="DK61">
        <v>500.09</v>
      </c>
      <c r="DL61">
        <v>99.633200000000002</v>
      </c>
      <c r="DM61">
        <v>0.10050199999999999</v>
      </c>
      <c r="DN61">
        <v>27.979700000000001</v>
      </c>
      <c r="DO61">
        <v>27.6661</v>
      </c>
      <c r="DP61">
        <v>999.9</v>
      </c>
      <c r="DQ61">
        <v>0</v>
      </c>
      <c r="DR61">
        <v>0</v>
      </c>
      <c r="DS61">
        <v>9952.5</v>
      </c>
      <c r="DT61">
        <v>0</v>
      </c>
      <c r="DU61">
        <v>464.16399999999999</v>
      </c>
      <c r="DV61">
        <v>-41.268700000000003</v>
      </c>
      <c r="DW61">
        <v>162.804</v>
      </c>
      <c r="DX61">
        <v>203.61500000000001</v>
      </c>
      <c r="DY61">
        <v>7.2497400000000001</v>
      </c>
      <c r="DZ61">
        <v>200.012</v>
      </c>
      <c r="EA61">
        <v>17.693899999999999</v>
      </c>
      <c r="EB61">
        <v>2.48522</v>
      </c>
      <c r="EC61">
        <v>1.76291</v>
      </c>
      <c r="ED61">
        <v>20.93</v>
      </c>
      <c r="EE61">
        <v>15.4617</v>
      </c>
      <c r="EF61">
        <v>1800.08</v>
      </c>
      <c r="EG61">
        <v>0.97800200000000004</v>
      </c>
      <c r="EH61">
        <v>2.1997900000000001E-2</v>
      </c>
      <c r="EI61">
        <v>0</v>
      </c>
      <c r="EJ61">
        <v>717.97900000000004</v>
      </c>
      <c r="EK61">
        <v>5.0001199999999999</v>
      </c>
      <c r="EL61">
        <v>12838.5</v>
      </c>
      <c r="EM61">
        <v>15630.7</v>
      </c>
      <c r="EN61">
        <v>47.5</v>
      </c>
      <c r="EO61">
        <v>48.436999999999998</v>
      </c>
      <c r="EP61">
        <v>48.25</v>
      </c>
      <c r="EQ61">
        <v>48.125</v>
      </c>
      <c r="ER61">
        <v>49</v>
      </c>
      <c r="ES61">
        <v>1755.59</v>
      </c>
      <c r="ET61">
        <v>39.49</v>
      </c>
      <c r="EU61">
        <v>0</v>
      </c>
      <c r="EV61">
        <v>124.80000019073491</v>
      </c>
      <c r="EW61">
        <v>0</v>
      </c>
      <c r="EX61">
        <v>718.6511999999999</v>
      </c>
      <c r="EY61">
        <v>-3.0477692194220301</v>
      </c>
      <c r="EZ61">
        <v>-78.907692156955008</v>
      </c>
      <c r="FA61">
        <v>12846.603999999999</v>
      </c>
      <c r="FB61">
        <v>15</v>
      </c>
      <c r="FC61">
        <v>1639676015.5999999</v>
      </c>
      <c r="FD61" t="s">
        <v>649</v>
      </c>
      <c r="FE61">
        <v>1639676006.0999999</v>
      </c>
      <c r="FF61">
        <v>1639676015.5999999</v>
      </c>
      <c r="FG61">
        <v>50</v>
      </c>
      <c r="FH61">
        <v>1.6E-2</v>
      </c>
      <c r="FI61">
        <v>3.0000000000000001E-3</v>
      </c>
      <c r="FJ61">
        <v>-1.6220000000000001</v>
      </c>
      <c r="FK61">
        <v>-9.4E-2</v>
      </c>
      <c r="FL61">
        <v>200</v>
      </c>
      <c r="FM61">
        <v>18</v>
      </c>
      <c r="FN61">
        <v>0.05</v>
      </c>
      <c r="FO61">
        <v>0.01</v>
      </c>
      <c r="FP61">
        <v>33.36371447171949</v>
      </c>
      <c r="FQ61">
        <v>0.47476865577628402</v>
      </c>
      <c r="FR61">
        <v>5.5463187092671708E-2</v>
      </c>
      <c r="FS61">
        <v>1</v>
      </c>
      <c r="FT61">
        <v>0.52948534504110023</v>
      </c>
      <c r="FU61">
        <v>4.7009849050146407E-2</v>
      </c>
      <c r="FV61">
        <v>4.6369565056334086E-3</v>
      </c>
      <c r="FW61">
        <v>1</v>
      </c>
      <c r="FX61">
        <v>2</v>
      </c>
      <c r="FY61">
        <v>2</v>
      </c>
      <c r="FZ61" t="s">
        <v>420</v>
      </c>
      <c r="GA61">
        <v>2.9207800000000002</v>
      </c>
      <c r="GB61">
        <v>2.7450600000000001</v>
      </c>
      <c r="GC61">
        <v>4.2516999999999999E-2</v>
      </c>
      <c r="GD61">
        <v>5.28075E-2</v>
      </c>
      <c r="GE61">
        <v>0.120083</v>
      </c>
      <c r="GF61">
        <v>9.5564899999999994E-2</v>
      </c>
      <c r="GG61">
        <v>29827.7</v>
      </c>
      <c r="GH61">
        <v>29164.799999999999</v>
      </c>
      <c r="GI61">
        <v>28361.9</v>
      </c>
      <c r="GJ61">
        <v>28157.3</v>
      </c>
      <c r="GK61">
        <v>34246.5</v>
      </c>
      <c r="GL61">
        <v>35763</v>
      </c>
      <c r="GM61">
        <v>42674.8</v>
      </c>
      <c r="GN61">
        <v>43807.4</v>
      </c>
      <c r="GO61">
        <v>1.7972699999999999</v>
      </c>
      <c r="GP61">
        <v>1.97885</v>
      </c>
      <c r="GQ61">
        <v>4.1574199999999999E-2</v>
      </c>
      <c r="GR61">
        <v>0</v>
      </c>
      <c r="GS61">
        <v>26.986599999999999</v>
      </c>
      <c r="GT61">
        <v>999.9</v>
      </c>
      <c r="GU61">
        <v>40.200000000000003</v>
      </c>
      <c r="GV61">
        <v>35.299999999999997</v>
      </c>
      <c r="GW61">
        <v>23.169899999999998</v>
      </c>
      <c r="GX61">
        <v>61.157499999999999</v>
      </c>
      <c r="GY61">
        <v>29.5032</v>
      </c>
      <c r="GZ61">
        <v>1</v>
      </c>
      <c r="HA61">
        <v>0.33297300000000002</v>
      </c>
      <c r="HB61">
        <v>2.1546099999999999</v>
      </c>
      <c r="HC61">
        <v>20.262</v>
      </c>
      <c r="HD61">
        <v>5.27135</v>
      </c>
      <c r="HE61">
        <v>12.0878</v>
      </c>
      <c r="HF61">
        <v>5.0141999999999998</v>
      </c>
      <c r="HG61">
        <v>3.2919999999999998</v>
      </c>
      <c r="HH61">
        <v>9999</v>
      </c>
      <c r="HI61">
        <v>9999</v>
      </c>
      <c r="HJ61">
        <v>9999</v>
      </c>
      <c r="HK61">
        <v>999.9</v>
      </c>
      <c r="HL61">
        <v>1.87531</v>
      </c>
      <c r="HM61">
        <v>1.8757600000000001</v>
      </c>
      <c r="HN61">
        <v>1.8754900000000001</v>
      </c>
      <c r="HO61">
        <v>1.8794299999999999</v>
      </c>
      <c r="HP61">
        <v>1.8729199999999999</v>
      </c>
      <c r="HQ61">
        <v>1.8760699999999999</v>
      </c>
      <c r="HR61">
        <v>1.87591</v>
      </c>
      <c r="HS61">
        <v>1.8772800000000001</v>
      </c>
      <c r="HT61">
        <v>0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423</v>
      </c>
      <c r="IB61" t="s">
        <v>423</v>
      </c>
      <c r="IC61" t="s">
        <v>423</v>
      </c>
      <c r="ID61">
        <v>0</v>
      </c>
      <c r="IE61">
        <v>100</v>
      </c>
      <c r="IF61">
        <v>100</v>
      </c>
      <c r="IG61">
        <v>-1.5580000000000001</v>
      </c>
      <c r="IH61">
        <v>1.3899999999999999E-2</v>
      </c>
      <c r="II61">
        <v>-1.3097389700610971</v>
      </c>
      <c r="IJ61">
        <v>-1.5404112972462821E-3</v>
      </c>
      <c r="IK61">
        <v>-5.8697186733976997E-8</v>
      </c>
      <c r="IL61">
        <v>1.160237123038427E-10</v>
      </c>
      <c r="IM61">
        <v>-0.1670111039686977</v>
      </c>
      <c r="IN61">
        <v>-3.128848753924141E-3</v>
      </c>
      <c r="IO61">
        <v>3.6841110403368089E-4</v>
      </c>
      <c r="IP61">
        <v>1.9296040270694169E-6</v>
      </c>
      <c r="IQ61">
        <v>1</v>
      </c>
      <c r="IR61">
        <v>1992</v>
      </c>
      <c r="IS61">
        <v>2</v>
      </c>
      <c r="IT61">
        <v>27</v>
      </c>
      <c r="IU61">
        <v>0.9</v>
      </c>
      <c r="IV61">
        <v>0.7</v>
      </c>
      <c r="IW61">
        <v>0.611572</v>
      </c>
      <c r="IX61">
        <v>2.65625</v>
      </c>
      <c r="IY61">
        <v>1.69434</v>
      </c>
      <c r="IZ61">
        <v>2.34619</v>
      </c>
      <c r="JA61">
        <v>1.5466299999999999</v>
      </c>
      <c r="JB61">
        <v>2.4450699999999999</v>
      </c>
      <c r="JC61">
        <v>39.217300000000002</v>
      </c>
      <c r="JD61">
        <v>24.105</v>
      </c>
      <c r="JE61">
        <v>18</v>
      </c>
      <c r="JF61">
        <v>532.54</v>
      </c>
      <c r="JG61">
        <v>536.94200000000001</v>
      </c>
      <c r="JH61">
        <v>25.164400000000001</v>
      </c>
      <c r="JI61">
        <v>31.3919</v>
      </c>
      <c r="JJ61">
        <v>30</v>
      </c>
      <c r="JK61">
        <v>31.366</v>
      </c>
      <c r="JL61">
        <v>31.323399999999999</v>
      </c>
      <c r="JM61">
        <v>12.324999999999999</v>
      </c>
      <c r="JN61">
        <v>28.082799999999999</v>
      </c>
      <c r="JO61">
        <v>35.097200000000001</v>
      </c>
      <c r="JP61">
        <v>25.170400000000001</v>
      </c>
      <c r="JQ61">
        <v>200</v>
      </c>
      <c r="JR61">
        <v>17.650400000000001</v>
      </c>
      <c r="JS61">
        <v>99.439400000000006</v>
      </c>
      <c r="JT61">
        <v>98.667199999999994</v>
      </c>
    </row>
    <row r="62" spans="1:280" x14ac:dyDescent="0.25">
      <c r="A62">
        <v>46</v>
      </c>
      <c r="B62">
        <v>1639676182.5999999</v>
      </c>
      <c r="C62">
        <v>9580.5</v>
      </c>
      <c r="D62" t="s">
        <v>650</v>
      </c>
      <c r="E62" t="s">
        <v>651</v>
      </c>
      <c r="F62" t="s">
        <v>412</v>
      </c>
      <c r="G62" t="s">
        <v>31</v>
      </c>
      <c r="H62" t="s">
        <v>636</v>
      </c>
      <c r="I62">
        <v>1639676182.5999999</v>
      </c>
      <c r="J62">
        <f t="shared" si="46"/>
        <v>6.5451794467449543E-3</v>
      </c>
      <c r="K62">
        <f t="shared" si="47"/>
        <v>6.545179446744954</v>
      </c>
      <c r="L62">
        <f t="shared" si="48"/>
        <v>21.194444956585276</v>
      </c>
      <c r="M62">
        <f t="shared" si="49"/>
        <v>93.868600000000001</v>
      </c>
      <c r="N62">
        <f t="shared" si="50"/>
        <v>27.769392265724406</v>
      </c>
      <c r="O62">
        <f t="shared" si="51"/>
        <v>2.7695546231647858</v>
      </c>
      <c r="P62">
        <f t="shared" si="52"/>
        <v>9.3618978986764017</v>
      </c>
      <c r="Q62">
        <f t="shared" si="53"/>
        <v>0.57095035608552669</v>
      </c>
      <c r="R62">
        <f t="shared" si="54"/>
        <v>2.9198338297834243</v>
      </c>
      <c r="S62">
        <f t="shared" si="55"/>
        <v>0.51540707070407443</v>
      </c>
      <c r="T62">
        <f t="shared" si="56"/>
        <v>0.32666830572084138</v>
      </c>
      <c r="U62">
        <f t="shared" si="57"/>
        <v>289.59360284758299</v>
      </c>
      <c r="V62">
        <f t="shared" si="58"/>
        <v>27.994322871087149</v>
      </c>
      <c r="W62">
        <f t="shared" si="59"/>
        <v>27.6386</v>
      </c>
      <c r="X62">
        <f t="shared" si="60"/>
        <v>3.7156195696923957</v>
      </c>
      <c r="Y62">
        <f t="shared" si="61"/>
        <v>65.61870694954915</v>
      </c>
      <c r="Z62">
        <f t="shared" si="62"/>
        <v>2.4884848271887998</v>
      </c>
      <c r="AA62">
        <f t="shared" si="63"/>
        <v>3.7923405426170125</v>
      </c>
      <c r="AB62">
        <f t="shared" si="64"/>
        <v>1.2271347425035959</v>
      </c>
      <c r="AC62">
        <f t="shared" si="65"/>
        <v>-288.64241360145246</v>
      </c>
      <c r="AD62">
        <f t="shared" si="66"/>
        <v>55.110669909092714</v>
      </c>
      <c r="AE62">
        <f t="shared" si="67"/>
        <v>4.1065917180554266</v>
      </c>
      <c r="AF62">
        <f t="shared" si="68"/>
        <v>60.168450873278665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52416.12460405365</v>
      </c>
      <c r="AL62" t="s">
        <v>415</v>
      </c>
      <c r="AM62">
        <v>10204.299999999999</v>
      </c>
      <c r="AN62">
        <v>862.72538461538477</v>
      </c>
      <c r="AO62">
        <v>3252.56</v>
      </c>
      <c r="AP62">
        <f t="shared" si="72"/>
        <v>0.73475496697512588</v>
      </c>
      <c r="AQ62">
        <v>-6.6684750346205304</v>
      </c>
      <c r="AR62" t="s">
        <v>652</v>
      </c>
      <c r="AS62">
        <v>10042.700000000001</v>
      </c>
      <c r="AT62">
        <v>738.59826923076912</v>
      </c>
      <c r="AU62">
        <v>904.3385555468617</v>
      </c>
      <c r="AV62">
        <f t="shared" si="73"/>
        <v>0.1832723876467568</v>
      </c>
      <c r="AW62">
        <v>0.5</v>
      </c>
      <c r="AX62">
        <f t="shared" si="74"/>
        <v>1513.3274999210275</v>
      </c>
      <c r="AY62">
        <f t="shared" si="75"/>
        <v>21.194444956585276</v>
      </c>
      <c r="AZ62">
        <f t="shared" si="76"/>
        <v>138.67557210101194</v>
      </c>
      <c r="BA62">
        <f t="shared" si="77"/>
        <v>1.8411692110702954E-2</v>
      </c>
      <c r="BB62">
        <f t="shared" si="78"/>
        <v>2.596617638438679</v>
      </c>
      <c r="BC62">
        <f t="shared" si="79"/>
        <v>510.86929884541979</v>
      </c>
      <c r="BD62" t="s">
        <v>653</v>
      </c>
      <c r="BE62">
        <v>538.54999999999995</v>
      </c>
      <c r="BF62">
        <f t="shared" si="80"/>
        <v>538.54999999999995</v>
      </c>
      <c r="BG62">
        <f t="shared" si="81"/>
        <v>0.40448187606649821</v>
      </c>
      <c r="BH62">
        <f t="shared" si="82"/>
        <v>0.45310407830640653</v>
      </c>
      <c r="BI62">
        <f t="shared" si="83"/>
        <v>0.86522210472811012</v>
      </c>
      <c r="BJ62">
        <f t="shared" si="84"/>
        <v>3.9828804824561863</v>
      </c>
      <c r="BK62">
        <f t="shared" si="85"/>
        <v>0.98258742648399555</v>
      </c>
      <c r="BL62">
        <f t="shared" si="86"/>
        <v>0.33038149632553954</v>
      </c>
      <c r="BM62">
        <f t="shared" si="87"/>
        <v>0.66961850367446041</v>
      </c>
      <c r="BN62">
        <v>4962</v>
      </c>
      <c r="BO62">
        <v>290.00000000000011</v>
      </c>
      <c r="BP62">
        <v>867.87</v>
      </c>
      <c r="BQ62">
        <v>265</v>
      </c>
      <c r="BR62">
        <v>10042.700000000001</v>
      </c>
      <c r="BS62">
        <v>868.36</v>
      </c>
      <c r="BT62">
        <v>-0.49</v>
      </c>
      <c r="BU62">
        <v>300.00000000000011</v>
      </c>
      <c r="BV62">
        <v>24.1</v>
      </c>
      <c r="BW62">
        <v>904.3385555468617</v>
      </c>
      <c r="BX62">
        <v>2.2382262390065062</v>
      </c>
      <c r="BY62">
        <v>-36.129575347732988</v>
      </c>
      <c r="BZ62">
        <v>2.003012802289692</v>
      </c>
      <c r="CA62">
        <v>0.92075970688300424</v>
      </c>
      <c r="CB62">
        <v>-6.842715239154612E-3</v>
      </c>
      <c r="CC62">
        <v>289.99999999999989</v>
      </c>
      <c r="CD62">
        <v>869.82</v>
      </c>
      <c r="CE62">
        <v>705</v>
      </c>
      <c r="CF62">
        <v>10030.5</v>
      </c>
      <c r="CG62">
        <v>868.32</v>
      </c>
      <c r="CH62">
        <v>1.5</v>
      </c>
      <c r="CV62">
        <f t="shared" si="88"/>
        <v>1800.17</v>
      </c>
      <c r="CW62">
        <f t="shared" si="89"/>
        <v>1513.3274999210275</v>
      </c>
      <c r="CX62">
        <f t="shared" si="90"/>
        <v>0.8406581044684821</v>
      </c>
      <c r="CY62">
        <f t="shared" si="91"/>
        <v>0.16087014162417049</v>
      </c>
      <c r="CZ62">
        <v>6</v>
      </c>
      <c r="DA62">
        <v>0.5</v>
      </c>
      <c r="DB62" t="s">
        <v>418</v>
      </c>
      <c r="DC62">
        <v>2</v>
      </c>
      <c r="DD62">
        <v>1639676182.5999999</v>
      </c>
      <c r="DE62">
        <v>93.868600000000001</v>
      </c>
      <c r="DF62">
        <v>120.03700000000001</v>
      </c>
      <c r="DG62">
        <v>24.9512</v>
      </c>
      <c r="DH62">
        <v>17.293600000000001</v>
      </c>
      <c r="DI62">
        <v>95.3005</v>
      </c>
      <c r="DJ62">
        <v>24.9419</v>
      </c>
      <c r="DK62">
        <v>500.04199999999997</v>
      </c>
      <c r="DL62">
        <v>99.634</v>
      </c>
      <c r="DM62">
        <v>0.100074</v>
      </c>
      <c r="DN62">
        <v>27.988700000000001</v>
      </c>
      <c r="DO62">
        <v>27.6386</v>
      </c>
      <c r="DP62">
        <v>999.9</v>
      </c>
      <c r="DQ62">
        <v>0</v>
      </c>
      <c r="DR62">
        <v>0</v>
      </c>
      <c r="DS62">
        <v>9981.25</v>
      </c>
      <c r="DT62">
        <v>0</v>
      </c>
      <c r="DU62">
        <v>461.09800000000001</v>
      </c>
      <c r="DV62">
        <v>-26.168099999999999</v>
      </c>
      <c r="DW62">
        <v>96.270700000000005</v>
      </c>
      <c r="DX62">
        <v>122.149</v>
      </c>
      <c r="DY62">
        <v>7.65761</v>
      </c>
      <c r="DZ62">
        <v>120.03700000000001</v>
      </c>
      <c r="EA62">
        <v>17.293600000000001</v>
      </c>
      <c r="EB62">
        <v>2.4859900000000001</v>
      </c>
      <c r="EC62">
        <v>1.7230300000000001</v>
      </c>
      <c r="ED62">
        <v>20.935099999999998</v>
      </c>
      <c r="EE62">
        <v>15.105499999999999</v>
      </c>
      <c r="EF62">
        <v>1800.17</v>
      </c>
      <c r="EG62">
        <v>0.97800200000000004</v>
      </c>
      <c r="EH62">
        <v>2.1997900000000001E-2</v>
      </c>
      <c r="EI62">
        <v>0</v>
      </c>
      <c r="EJ62">
        <v>738.22699999999998</v>
      </c>
      <c r="EK62">
        <v>5.0001199999999999</v>
      </c>
      <c r="EL62">
        <v>13186.7</v>
      </c>
      <c r="EM62">
        <v>15631.4</v>
      </c>
      <c r="EN62">
        <v>47.375</v>
      </c>
      <c r="EO62">
        <v>48.375</v>
      </c>
      <c r="EP62">
        <v>48.25</v>
      </c>
      <c r="EQ62">
        <v>48.061999999999998</v>
      </c>
      <c r="ER62">
        <v>49</v>
      </c>
      <c r="ES62">
        <v>1755.68</v>
      </c>
      <c r="ET62">
        <v>39.49</v>
      </c>
      <c r="EU62">
        <v>0</v>
      </c>
      <c r="EV62">
        <v>121.80000019073491</v>
      </c>
      <c r="EW62">
        <v>0</v>
      </c>
      <c r="EX62">
        <v>738.59826923076912</v>
      </c>
      <c r="EY62">
        <v>-2.883794866988235</v>
      </c>
      <c r="EZ62">
        <v>-56.799999906679638</v>
      </c>
      <c r="FA62">
        <v>13191.91538461538</v>
      </c>
      <c r="FB62">
        <v>15</v>
      </c>
      <c r="FC62">
        <v>1639676141.0999999</v>
      </c>
      <c r="FD62" t="s">
        <v>654</v>
      </c>
      <c r="FE62">
        <v>1639676132.0999999</v>
      </c>
      <c r="FF62">
        <v>1639676141.0999999</v>
      </c>
      <c r="FG62">
        <v>51</v>
      </c>
      <c r="FH62">
        <v>2.5000000000000001E-2</v>
      </c>
      <c r="FI62">
        <v>-5.0000000000000001E-3</v>
      </c>
      <c r="FJ62">
        <v>-1.472</v>
      </c>
      <c r="FK62">
        <v>-0.104</v>
      </c>
      <c r="FL62">
        <v>120</v>
      </c>
      <c r="FM62">
        <v>17</v>
      </c>
      <c r="FN62">
        <v>7.0000000000000007E-2</v>
      </c>
      <c r="FO62">
        <v>0.01</v>
      </c>
      <c r="FP62">
        <v>21.13410563497694</v>
      </c>
      <c r="FQ62">
        <v>0.31443504044529791</v>
      </c>
      <c r="FR62">
        <v>3.3094177732418011E-2</v>
      </c>
      <c r="FS62">
        <v>1</v>
      </c>
      <c r="FT62">
        <v>0.56900136944328261</v>
      </c>
      <c r="FU62">
        <v>4.4633131241284631E-2</v>
      </c>
      <c r="FV62">
        <v>5.7072092711948196E-3</v>
      </c>
      <c r="FW62">
        <v>1</v>
      </c>
      <c r="FX62">
        <v>2</v>
      </c>
      <c r="FY62">
        <v>2</v>
      </c>
      <c r="FZ62" t="s">
        <v>420</v>
      </c>
      <c r="GA62">
        <v>2.9206699999999999</v>
      </c>
      <c r="GB62">
        <v>2.7448800000000002</v>
      </c>
      <c r="GC62">
        <v>2.61528E-2</v>
      </c>
      <c r="GD62">
        <v>3.3216099999999998E-2</v>
      </c>
      <c r="GE62">
        <v>0.12012299999999999</v>
      </c>
      <c r="GF62">
        <v>9.4006699999999999E-2</v>
      </c>
      <c r="GG62">
        <v>30337.8</v>
      </c>
      <c r="GH62">
        <v>29767.1</v>
      </c>
      <c r="GI62">
        <v>28362.799999999999</v>
      </c>
      <c r="GJ62">
        <v>28157</v>
      </c>
      <c r="GK62">
        <v>34246.199999999997</v>
      </c>
      <c r="GL62">
        <v>35824.400000000001</v>
      </c>
      <c r="GM62">
        <v>42676.3</v>
      </c>
      <c r="GN62">
        <v>43806.8</v>
      </c>
      <c r="GO62">
        <v>1.7975699999999999</v>
      </c>
      <c r="GP62">
        <v>1.9775199999999999</v>
      </c>
      <c r="GQ62">
        <v>4.1611500000000003E-2</v>
      </c>
      <c r="GR62">
        <v>0</v>
      </c>
      <c r="GS62">
        <v>26.958400000000001</v>
      </c>
      <c r="GT62">
        <v>999.9</v>
      </c>
      <c r="GU62">
        <v>39.799999999999997</v>
      </c>
      <c r="GV62">
        <v>35.299999999999997</v>
      </c>
      <c r="GW62">
        <v>22.942599999999999</v>
      </c>
      <c r="GX62">
        <v>61.207500000000003</v>
      </c>
      <c r="GY62">
        <v>29.755600000000001</v>
      </c>
      <c r="GZ62">
        <v>1</v>
      </c>
      <c r="HA62">
        <v>0.33303899999999997</v>
      </c>
      <c r="HB62">
        <v>2.1894100000000001</v>
      </c>
      <c r="HC62">
        <v>20.261399999999998</v>
      </c>
      <c r="HD62">
        <v>5.2755400000000003</v>
      </c>
      <c r="HE62">
        <v>12.0878</v>
      </c>
      <c r="HF62">
        <v>5.0138999999999996</v>
      </c>
      <c r="HG62">
        <v>3.2919499999999999</v>
      </c>
      <c r="HH62">
        <v>9999</v>
      </c>
      <c r="HI62">
        <v>9999</v>
      </c>
      <c r="HJ62">
        <v>9999</v>
      </c>
      <c r="HK62">
        <v>999.9</v>
      </c>
      <c r="HL62">
        <v>1.8753</v>
      </c>
      <c r="HM62">
        <v>1.8757600000000001</v>
      </c>
      <c r="HN62">
        <v>1.87547</v>
      </c>
      <c r="HO62">
        <v>1.8794200000000001</v>
      </c>
      <c r="HP62">
        <v>1.8728800000000001</v>
      </c>
      <c r="HQ62">
        <v>1.87608</v>
      </c>
      <c r="HR62">
        <v>1.87592</v>
      </c>
      <c r="HS62">
        <v>1.87727</v>
      </c>
      <c r="HT62">
        <v>0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423</v>
      </c>
      <c r="IB62" t="s">
        <v>423</v>
      </c>
      <c r="IC62" t="s">
        <v>423</v>
      </c>
      <c r="ID62">
        <v>0</v>
      </c>
      <c r="IE62">
        <v>100</v>
      </c>
      <c r="IF62">
        <v>100</v>
      </c>
      <c r="IG62">
        <v>-1.4319999999999999</v>
      </c>
      <c r="IH62">
        <v>9.2999999999999992E-3</v>
      </c>
      <c r="II62">
        <v>-1.2846860927060999</v>
      </c>
      <c r="IJ62">
        <v>-1.5404112972462821E-3</v>
      </c>
      <c r="IK62">
        <v>-5.8697186733976997E-8</v>
      </c>
      <c r="IL62">
        <v>1.160237123038427E-10</v>
      </c>
      <c r="IM62">
        <v>-0.17173635191980019</v>
      </c>
      <c r="IN62">
        <v>-3.128848753924141E-3</v>
      </c>
      <c r="IO62">
        <v>3.6841110403368089E-4</v>
      </c>
      <c r="IP62">
        <v>1.9296040270694169E-6</v>
      </c>
      <c r="IQ62">
        <v>1</v>
      </c>
      <c r="IR62">
        <v>1992</v>
      </c>
      <c r="IS62">
        <v>2</v>
      </c>
      <c r="IT62">
        <v>27</v>
      </c>
      <c r="IU62">
        <v>0.8</v>
      </c>
      <c r="IV62">
        <v>0.7</v>
      </c>
      <c r="IW62">
        <v>0.43090800000000001</v>
      </c>
      <c r="IX62">
        <v>2.6855500000000001</v>
      </c>
      <c r="IY62">
        <v>1.69434</v>
      </c>
      <c r="IZ62">
        <v>2.34619</v>
      </c>
      <c r="JA62">
        <v>1.5466299999999999</v>
      </c>
      <c r="JB62">
        <v>2.3913600000000002</v>
      </c>
      <c r="JC62">
        <v>39.267099999999999</v>
      </c>
      <c r="JD62">
        <v>24.105</v>
      </c>
      <c r="JE62">
        <v>18</v>
      </c>
      <c r="JF62">
        <v>532.81700000000001</v>
      </c>
      <c r="JG62">
        <v>535.97199999999998</v>
      </c>
      <c r="JH62">
        <v>25.207000000000001</v>
      </c>
      <c r="JI62">
        <v>31.389199999999999</v>
      </c>
      <c r="JJ62">
        <v>30</v>
      </c>
      <c r="JK62">
        <v>31.3687</v>
      </c>
      <c r="JL62">
        <v>31.3261</v>
      </c>
      <c r="JM62">
        <v>8.6849500000000006</v>
      </c>
      <c r="JN62">
        <v>29.305</v>
      </c>
      <c r="JO62">
        <v>33.5854</v>
      </c>
      <c r="JP62">
        <v>25.207599999999999</v>
      </c>
      <c r="JQ62">
        <v>120</v>
      </c>
      <c r="JR62">
        <v>17.195699999999999</v>
      </c>
      <c r="JS62">
        <v>99.442599999999999</v>
      </c>
      <c r="JT62">
        <v>98.665999999999997</v>
      </c>
    </row>
    <row r="63" spans="1:280" x14ac:dyDescent="0.25">
      <c r="A63">
        <v>47</v>
      </c>
      <c r="B63">
        <v>1639676313.5999999</v>
      </c>
      <c r="C63">
        <v>9711.5</v>
      </c>
      <c r="D63" t="s">
        <v>655</v>
      </c>
      <c r="E63" t="s">
        <v>656</v>
      </c>
      <c r="F63" t="s">
        <v>412</v>
      </c>
      <c r="G63" t="s">
        <v>31</v>
      </c>
      <c r="H63" t="s">
        <v>636</v>
      </c>
      <c r="I63">
        <v>1639676313.5999999</v>
      </c>
      <c r="J63">
        <f t="shared" si="46"/>
        <v>6.9690713759449109E-3</v>
      </c>
      <c r="K63">
        <f t="shared" si="47"/>
        <v>6.9690713759449112</v>
      </c>
      <c r="L63">
        <f t="shared" si="48"/>
        <v>12.950326245249972</v>
      </c>
      <c r="M63">
        <f t="shared" si="49"/>
        <v>54.018900000000002</v>
      </c>
      <c r="N63">
        <f t="shared" si="50"/>
        <v>16.259553821613096</v>
      </c>
      <c r="O63">
        <f t="shared" si="51"/>
        <v>1.6215648928887176</v>
      </c>
      <c r="P63">
        <f t="shared" si="52"/>
        <v>5.3873035357237198</v>
      </c>
      <c r="Q63">
        <f t="shared" si="53"/>
        <v>0.61465573210043678</v>
      </c>
      <c r="R63">
        <f t="shared" si="54"/>
        <v>2.9223937453550901</v>
      </c>
      <c r="S63">
        <f t="shared" si="55"/>
        <v>0.55084134348322711</v>
      </c>
      <c r="T63">
        <f t="shared" si="56"/>
        <v>0.34945557487538609</v>
      </c>
      <c r="U63">
        <f t="shared" si="57"/>
        <v>289.56487484756775</v>
      </c>
      <c r="V63">
        <f t="shared" si="58"/>
        <v>27.903934386476259</v>
      </c>
      <c r="W63">
        <f t="shared" si="59"/>
        <v>27.609500000000001</v>
      </c>
      <c r="X63">
        <f t="shared" si="60"/>
        <v>3.7093039967016121</v>
      </c>
      <c r="Y63">
        <f t="shared" si="61"/>
        <v>65.495708395077585</v>
      </c>
      <c r="Z63">
        <f t="shared" si="62"/>
        <v>2.4867469756430398</v>
      </c>
      <c r="AA63">
        <f t="shared" si="63"/>
        <v>3.7968090376894601</v>
      </c>
      <c r="AB63">
        <f t="shared" si="64"/>
        <v>1.2225570210585723</v>
      </c>
      <c r="AC63">
        <f t="shared" si="65"/>
        <v>-307.33604767917058</v>
      </c>
      <c r="AD63">
        <f t="shared" si="66"/>
        <v>62.926305384873686</v>
      </c>
      <c r="AE63">
        <f t="shared" si="67"/>
        <v>4.6846618407663465</v>
      </c>
      <c r="AF63">
        <f t="shared" si="68"/>
        <v>49.839794394037213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52486.066086743194</v>
      </c>
      <c r="AL63" t="s">
        <v>415</v>
      </c>
      <c r="AM63">
        <v>10204.299999999999</v>
      </c>
      <c r="AN63">
        <v>862.72538461538477</v>
      </c>
      <c r="AO63">
        <v>3252.56</v>
      </c>
      <c r="AP63">
        <f t="shared" si="72"/>
        <v>0.73475496697512588</v>
      </c>
      <c r="AQ63">
        <v>-6.6684750346205304</v>
      </c>
      <c r="AR63" t="s">
        <v>657</v>
      </c>
      <c r="AS63">
        <v>10048.700000000001</v>
      </c>
      <c r="AT63">
        <v>756.00896153846156</v>
      </c>
      <c r="AU63">
        <v>871.71466261883779</v>
      </c>
      <c r="AV63">
        <f t="shared" si="73"/>
        <v>0.13273345745128207</v>
      </c>
      <c r="AW63">
        <v>0.5</v>
      </c>
      <c r="AX63">
        <f t="shared" si="74"/>
        <v>1513.1762999210193</v>
      </c>
      <c r="AY63">
        <f t="shared" si="75"/>
        <v>12.950326245249972</v>
      </c>
      <c r="AZ63">
        <f t="shared" si="76"/>
        <v>100.42456101092752</v>
      </c>
      <c r="BA63">
        <f t="shared" si="77"/>
        <v>1.2965310969313035E-2</v>
      </c>
      <c r="BB63">
        <f t="shared" si="78"/>
        <v>2.7312209367094247</v>
      </c>
      <c r="BC63">
        <f t="shared" si="79"/>
        <v>500.29226300875985</v>
      </c>
      <c r="BD63" t="s">
        <v>658</v>
      </c>
      <c r="BE63">
        <v>552.77</v>
      </c>
      <c r="BF63">
        <f t="shared" si="80"/>
        <v>552.77</v>
      </c>
      <c r="BG63">
        <f t="shared" si="81"/>
        <v>0.3658819523129877</v>
      </c>
      <c r="BH63">
        <f t="shared" si="82"/>
        <v>0.36277672788226906</v>
      </c>
      <c r="BI63">
        <f t="shared" si="83"/>
        <v>0.88186315875722265</v>
      </c>
      <c r="BJ63">
        <f t="shared" si="84"/>
        <v>12.871523278725006</v>
      </c>
      <c r="BK63">
        <f t="shared" si="85"/>
        <v>0.99623853552644015</v>
      </c>
      <c r="BL63">
        <f t="shared" si="86"/>
        <v>0.26525094552239631</v>
      </c>
      <c r="BM63">
        <f t="shared" si="87"/>
        <v>0.73474905447760364</v>
      </c>
      <c r="BN63">
        <v>4964</v>
      </c>
      <c r="BO63">
        <v>290.00000000000011</v>
      </c>
      <c r="BP63">
        <v>841.85</v>
      </c>
      <c r="BQ63">
        <v>185</v>
      </c>
      <c r="BR63">
        <v>10048.700000000001</v>
      </c>
      <c r="BS63">
        <v>842.49</v>
      </c>
      <c r="BT63">
        <v>-0.64</v>
      </c>
      <c r="BU63">
        <v>300.00000000000011</v>
      </c>
      <c r="BV63">
        <v>24.1</v>
      </c>
      <c r="BW63">
        <v>871.71466261883779</v>
      </c>
      <c r="BX63">
        <v>1.507435251297816</v>
      </c>
      <c r="BY63">
        <v>-29.36197144075356</v>
      </c>
      <c r="BZ63">
        <v>1.3490527264724721</v>
      </c>
      <c r="CA63">
        <v>0.94419087002981195</v>
      </c>
      <c r="CB63">
        <v>-6.8426211345940071E-3</v>
      </c>
      <c r="CC63">
        <v>289.99999999999989</v>
      </c>
      <c r="CD63">
        <v>840.92</v>
      </c>
      <c r="CE63">
        <v>635</v>
      </c>
      <c r="CF63">
        <v>10033.6</v>
      </c>
      <c r="CG63">
        <v>842.45</v>
      </c>
      <c r="CH63">
        <v>-1.53</v>
      </c>
      <c r="CV63">
        <f t="shared" si="88"/>
        <v>1799.99</v>
      </c>
      <c r="CW63">
        <f t="shared" si="89"/>
        <v>1513.1762999210193</v>
      </c>
      <c r="CX63">
        <f t="shared" si="90"/>
        <v>0.84065817027929013</v>
      </c>
      <c r="CY63">
        <f t="shared" si="91"/>
        <v>0.16087026863903006</v>
      </c>
      <c r="CZ63">
        <v>6</v>
      </c>
      <c r="DA63">
        <v>0.5</v>
      </c>
      <c r="DB63" t="s">
        <v>418</v>
      </c>
      <c r="DC63">
        <v>2</v>
      </c>
      <c r="DD63">
        <v>1639676313.5999999</v>
      </c>
      <c r="DE63">
        <v>54.018900000000002</v>
      </c>
      <c r="DF63">
        <v>70.007400000000004</v>
      </c>
      <c r="DG63">
        <v>24.934799999999999</v>
      </c>
      <c r="DH63">
        <v>16.782299999999999</v>
      </c>
      <c r="DI63">
        <v>55.352899999999998</v>
      </c>
      <c r="DJ63">
        <v>24.9223</v>
      </c>
      <c r="DK63">
        <v>500.11399999999998</v>
      </c>
      <c r="DL63">
        <v>99.63</v>
      </c>
      <c r="DM63">
        <v>9.9974800000000003E-2</v>
      </c>
      <c r="DN63">
        <v>28.008900000000001</v>
      </c>
      <c r="DO63">
        <v>27.609500000000001</v>
      </c>
      <c r="DP63">
        <v>999.9</v>
      </c>
      <c r="DQ63">
        <v>0</v>
      </c>
      <c r="DR63">
        <v>0</v>
      </c>
      <c r="DS63">
        <v>9996.25</v>
      </c>
      <c r="DT63">
        <v>0</v>
      </c>
      <c r="DU63">
        <v>452.95699999999999</v>
      </c>
      <c r="DV63">
        <v>-15.9885</v>
      </c>
      <c r="DW63">
        <v>55.400300000000001</v>
      </c>
      <c r="DX63">
        <v>71.202299999999994</v>
      </c>
      <c r="DY63">
        <v>8.1524699999999992</v>
      </c>
      <c r="DZ63">
        <v>70.007400000000004</v>
      </c>
      <c r="EA63">
        <v>16.782299999999999</v>
      </c>
      <c r="EB63">
        <v>2.4842499999999998</v>
      </c>
      <c r="EC63">
        <v>1.6720200000000001</v>
      </c>
      <c r="ED63">
        <v>20.9237</v>
      </c>
      <c r="EE63">
        <v>14.639099999999999</v>
      </c>
      <c r="EF63">
        <v>1799.99</v>
      </c>
      <c r="EG63">
        <v>0.97799899999999995</v>
      </c>
      <c r="EH63">
        <v>2.2001300000000001E-2</v>
      </c>
      <c r="EI63">
        <v>0</v>
      </c>
      <c r="EJ63">
        <v>755.572</v>
      </c>
      <c r="EK63">
        <v>5.0001199999999999</v>
      </c>
      <c r="EL63">
        <v>13481.6</v>
      </c>
      <c r="EM63">
        <v>15629.9</v>
      </c>
      <c r="EN63">
        <v>47.311999999999998</v>
      </c>
      <c r="EO63">
        <v>48.25</v>
      </c>
      <c r="EP63">
        <v>48.125</v>
      </c>
      <c r="EQ63">
        <v>47.875</v>
      </c>
      <c r="ER63">
        <v>48.875</v>
      </c>
      <c r="ES63">
        <v>1755.5</v>
      </c>
      <c r="ET63">
        <v>39.49</v>
      </c>
      <c r="EU63">
        <v>0</v>
      </c>
      <c r="EV63">
        <v>129</v>
      </c>
      <c r="EW63">
        <v>0</v>
      </c>
      <c r="EX63">
        <v>756.00896153846156</v>
      </c>
      <c r="EY63">
        <v>-1.971247867674738</v>
      </c>
      <c r="EZ63">
        <v>-39.863247885861242</v>
      </c>
      <c r="FA63">
        <v>13486.02307692308</v>
      </c>
      <c r="FB63">
        <v>15</v>
      </c>
      <c r="FC63">
        <v>1639676273.0999999</v>
      </c>
      <c r="FD63" t="s">
        <v>659</v>
      </c>
      <c r="FE63">
        <v>1639676261.0999999</v>
      </c>
      <c r="FF63">
        <v>1639676273.0999999</v>
      </c>
      <c r="FG63">
        <v>52</v>
      </c>
      <c r="FH63">
        <v>3.5999999999999997E-2</v>
      </c>
      <c r="FI63">
        <v>4.0000000000000001E-3</v>
      </c>
      <c r="FJ63">
        <v>-1.359</v>
      </c>
      <c r="FK63">
        <v>-0.106</v>
      </c>
      <c r="FL63">
        <v>70</v>
      </c>
      <c r="FM63">
        <v>17</v>
      </c>
      <c r="FN63">
        <v>0.1</v>
      </c>
      <c r="FO63">
        <v>0.01</v>
      </c>
      <c r="FP63">
        <v>12.96649347721938</v>
      </c>
      <c r="FQ63">
        <v>3.5960586988529677E-2</v>
      </c>
      <c r="FR63">
        <v>1.0395107648072711E-2</v>
      </c>
      <c r="FS63">
        <v>1</v>
      </c>
      <c r="FT63">
        <v>0.61430344000918691</v>
      </c>
      <c r="FU63">
        <v>4.0450286369415493E-2</v>
      </c>
      <c r="FV63">
        <v>6.0571120466878601E-3</v>
      </c>
      <c r="FW63">
        <v>1</v>
      </c>
      <c r="FX63">
        <v>2</v>
      </c>
      <c r="FY63">
        <v>2</v>
      </c>
      <c r="FZ63" t="s">
        <v>420</v>
      </c>
      <c r="GA63">
        <v>2.9208799999999999</v>
      </c>
      <c r="GB63">
        <v>2.74491</v>
      </c>
      <c r="GC63">
        <v>1.54396E-2</v>
      </c>
      <c r="GD63">
        <v>1.98465E-2</v>
      </c>
      <c r="GE63">
        <v>0.120055</v>
      </c>
      <c r="GF63">
        <v>9.19933E-2</v>
      </c>
      <c r="GG63">
        <v>30672</v>
      </c>
      <c r="GH63">
        <v>30178.7</v>
      </c>
      <c r="GI63">
        <v>28363.5</v>
      </c>
      <c r="GJ63">
        <v>28157.4</v>
      </c>
      <c r="GK63">
        <v>34250.1</v>
      </c>
      <c r="GL63">
        <v>35904.9</v>
      </c>
      <c r="GM63">
        <v>42677.7</v>
      </c>
      <c r="GN63">
        <v>43807.7</v>
      </c>
      <c r="GO63">
        <v>1.7981799999999999</v>
      </c>
      <c r="GP63">
        <v>1.97668</v>
      </c>
      <c r="GQ63">
        <v>4.0009599999999999E-2</v>
      </c>
      <c r="GR63">
        <v>0</v>
      </c>
      <c r="GS63">
        <v>26.955500000000001</v>
      </c>
      <c r="GT63">
        <v>999.9</v>
      </c>
      <c r="GU63">
        <v>39.1</v>
      </c>
      <c r="GV63">
        <v>35.4</v>
      </c>
      <c r="GW63">
        <v>22.6617</v>
      </c>
      <c r="GX63">
        <v>61.3675</v>
      </c>
      <c r="GY63">
        <v>29.799700000000001</v>
      </c>
      <c r="GZ63">
        <v>1</v>
      </c>
      <c r="HA63">
        <v>0.33249000000000001</v>
      </c>
      <c r="HB63">
        <v>2.26478</v>
      </c>
      <c r="HC63">
        <v>20.260100000000001</v>
      </c>
      <c r="HD63">
        <v>5.2750899999999996</v>
      </c>
      <c r="HE63">
        <v>12.0878</v>
      </c>
      <c r="HF63">
        <v>5.0134499999999997</v>
      </c>
      <c r="HG63">
        <v>3.2918799999999999</v>
      </c>
      <c r="HH63">
        <v>9999</v>
      </c>
      <c r="HI63">
        <v>9999</v>
      </c>
      <c r="HJ63">
        <v>9999</v>
      </c>
      <c r="HK63">
        <v>999.9</v>
      </c>
      <c r="HL63">
        <v>1.8752800000000001</v>
      </c>
      <c r="HM63">
        <v>1.8757600000000001</v>
      </c>
      <c r="HN63">
        <v>1.87548</v>
      </c>
      <c r="HO63">
        <v>1.8794200000000001</v>
      </c>
      <c r="HP63">
        <v>1.8728899999999999</v>
      </c>
      <c r="HQ63">
        <v>1.8760699999999999</v>
      </c>
      <c r="HR63">
        <v>1.87588</v>
      </c>
      <c r="HS63">
        <v>1.8772899999999999</v>
      </c>
      <c r="HT63">
        <v>0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423</v>
      </c>
      <c r="IB63" t="s">
        <v>423</v>
      </c>
      <c r="IC63" t="s">
        <v>423</v>
      </c>
      <c r="ID63">
        <v>0</v>
      </c>
      <c r="IE63">
        <v>100</v>
      </c>
      <c r="IF63">
        <v>100</v>
      </c>
      <c r="IG63">
        <v>-1.3340000000000001</v>
      </c>
      <c r="IH63">
        <v>1.2500000000000001E-2</v>
      </c>
      <c r="II63">
        <v>-1.2486286114094609</v>
      </c>
      <c r="IJ63">
        <v>-1.5404112972462821E-3</v>
      </c>
      <c r="IK63">
        <v>-5.8697186733976997E-8</v>
      </c>
      <c r="IL63">
        <v>1.160237123038427E-10</v>
      </c>
      <c r="IM63">
        <v>-0.16822078448207201</v>
      </c>
      <c r="IN63">
        <v>-3.128848753924141E-3</v>
      </c>
      <c r="IO63">
        <v>3.6841110403368089E-4</v>
      </c>
      <c r="IP63">
        <v>1.9296040270694169E-6</v>
      </c>
      <c r="IQ63">
        <v>1</v>
      </c>
      <c r="IR63">
        <v>1992</v>
      </c>
      <c r="IS63">
        <v>2</v>
      </c>
      <c r="IT63">
        <v>27</v>
      </c>
      <c r="IU63">
        <v>0.9</v>
      </c>
      <c r="IV63">
        <v>0.7</v>
      </c>
      <c r="IW63">
        <v>0.316162</v>
      </c>
      <c r="IX63">
        <v>2.6989700000000001</v>
      </c>
      <c r="IY63">
        <v>1.69434</v>
      </c>
      <c r="IZ63">
        <v>2.34619</v>
      </c>
      <c r="JA63">
        <v>1.5466299999999999</v>
      </c>
      <c r="JB63">
        <v>2.4377399999999998</v>
      </c>
      <c r="JC63">
        <v>39.267099999999999</v>
      </c>
      <c r="JD63">
        <v>24.105</v>
      </c>
      <c r="JE63">
        <v>18</v>
      </c>
      <c r="JF63">
        <v>533.26400000000001</v>
      </c>
      <c r="JG63">
        <v>535.28499999999997</v>
      </c>
      <c r="JH63">
        <v>25.204000000000001</v>
      </c>
      <c r="JI63">
        <v>31.3795</v>
      </c>
      <c r="JJ63">
        <v>30.0001</v>
      </c>
      <c r="JK63">
        <v>31.363199999999999</v>
      </c>
      <c r="JL63">
        <v>31.320699999999999</v>
      </c>
      <c r="JM63">
        <v>6.3999899999999998</v>
      </c>
      <c r="JN63">
        <v>29.905899999999999</v>
      </c>
      <c r="JO63">
        <v>31.936199999999999</v>
      </c>
      <c r="JP63">
        <v>25.1935</v>
      </c>
      <c r="JQ63">
        <v>70</v>
      </c>
      <c r="JR63">
        <v>16.718800000000002</v>
      </c>
      <c r="JS63">
        <v>99.445700000000002</v>
      </c>
      <c r="JT63">
        <v>98.667699999999996</v>
      </c>
    </row>
    <row r="64" spans="1:280" x14ac:dyDescent="0.25">
      <c r="A64">
        <v>48</v>
      </c>
      <c r="B64">
        <v>1639676450.0999999</v>
      </c>
      <c r="C64">
        <v>9848</v>
      </c>
      <c r="D64" t="s">
        <v>660</v>
      </c>
      <c r="E64" t="s">
        <v>661</v>
      </c>
      <c r="F64" t="s">
        <v>412</v>
      </c>
      <c r="G64" t="s">
        <v>31</v>
      </c>
      <c r="H64" t="s">
        <v>636</v>
      </c>
      <c r="I64">
        <v>1639676450.0999999</v>
      </c>
      <c r="J64">
        <f t="shared" si="46"/>
        <v>7.2081293527082738E-3</v>
      </c>
      <c r="K64">
        <f t="shared" si="47"/>
        <v>7.2081293527082737</v>
      </c>
      <c r="L64">
        <f t="shared" si="48"/>
        <v>5.8535544667691912</v>
      </c>
      <c r="M64">
        <f t="shared" si="49"/>
        <v>22.7927</v>
      </c>
      <c r="N64">
        <f t="shared" si="50"/>
        <v>6.4871784282501981</v>
      </c>
      <c r="O64">
        <f t="shared" si="51"/>
        <v>0.64696241882951366</v>
      </c>
      <c r="P64">
        <f t="shared" si="52"/>
        <v>2.2731023181726999</v>
      </c>
      <c r="Q64">
        <f t="shared" si="53"/>
        <v>0.64574245218515236</v>
      </c>
      <c r="R64">
        <f t="shared" si="54"/>
        <v>2.9217241334158022</v>
      </c>
      <c r="S64">
        <f t="shared" si="55"/>
        <v>0.57568841156156814</v>
      </c>
      <c r="T64">
        <f t="shared" si="56"/>
        <v>0.36546399427448073</v>
      </c>
      <c r="U64">
        <f t="shared" si="57"/>
        <v>289.58243084757703</v>
      </c>
      <c r="V64">
        <f t="shared" si="58"/>
        <v>27.821630983497531</v>
      </c>
      <c r="W64">
        <f t="shared" si="59"/>
        <v>27.563099999999999</v>
      </c>
      <c r="X64">
        <f t="shared" si="60"/>
        <v>3.6992531806154672</v>
      </c>
      <c r="Y64">
        <f t="shared" si="61"/>
        <v>65.639706476145292</v>
      </c>
      <c r="Z64">
        <f t="shared" si="62"/>
        <v>2.4892957136604998</v>
      </c>
      <c r="AA64">
        <f t="shared" si="63"/>
        <v>3.7923626525739516</v>
      </c>
      <c r="AB64">
        <f t="shared" si="64"/>
        <v>1.2099574669549673</v>
      </c>
      <c r="AC64">
        <f t="shared" si="65"/>
        <v>-317.87850445443485</v>
      </c>
      <c r="AD64">
        <f t="shared" si="66"/>
        <v>67.054557573339821</v>
      </c>
      <c r="AE64">
        <f t="shared" si="67"/>
        <v>4.991485805186036</v>
      </c>
      <c r="AF64">
        <f t="shared" si="68"/>
        <v>43.74996977166802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52470.313479903518</v>
      </c>
      <c r="AL64" t="s">
        <v>415</v>
      </c>
      <c r="AM64">
        <v>10204.299999999999</v>
      </c>
      <c r="AN64">
        <v>862.72538461538477</v>
      </c>
      <c r="AO64">
        <v>3252.56</v>
      </c>
      <c r="AP64">
        <f t="shared" si="72"/>
        <v>0.73475496697512588</v>
      </c>
      <c r="AQ64">
        <v>-6.6684750346205304</v>
      </c>
      <c r="AR64" t="s">
        <v>662</v>
      </c>
      <c r="AS64">
        <v>10049.200000000001</v>
      </c>
      <c r="AT64">
        <v>772.19332000000009</v>
      </c>
      <c r="AU64">
        <v>847.39382153976464</v>
      </c>
      <c r="AV64">
        <f t="shared" si="73"/>
        <v>8.8743273349716878E-2</v>
      </c>
      <c r="AW64">
        <v>0.5</v>
      </c>
      <c r="AX64">
        <f t="shared" si="74"/>
        <v>1513.2686999210243</v>
      </c>
      <c r="AY64">
        <f t="shared" si="75"/>
        <v>5.8535544667691912</v>
      </c>
      <c r="AZ64">
        <f t="shared" si="76"/>
        <v>67.146208944331079</v>
      </c>
      <c r="BA64">
        <f t="shared" si="77"/>
        <v>8.2748222454103685E-3</v>
      </c>
      <c r="BB64">
        <f t="shared" si="78"/>
        <v>2.838309788582015</v>
      </c>
      <c r="BC64">
        <f t="shared" si="79"/>
        <v>492.18505796253868</v>
      </c>
      <c r="BD64" t="s">
        <v>663</v>
      </c>
      <c r="BE64">
        <v>573.99</v>
      </c>
      <c r="BF64">
        <f t="shared" si="80"/>
        <v>573.99</v>
      </c>
      <c r="BG64">
        <f t="shared" si="81"/>
        <v>0.32264080123097161</v>
      </c>
      <c r="BH64">
        <f t="shared" si="82"/>
        <v>0.27505285447821431</v>
      </c>
      <c r="BI64">
        <f t="shared" si="83"/>
        <v>0.89792918552072021</v>
      </c>
      <c r="BJ64">
        <f t="shared" si="84"/>
        <v>-4.9049468191111281</v>
      </c>
      <c r="BK64">
        <f t="shared" si="85"/>
        <v>1.0064153238792855</v>
      </c>
      <c r="BL64">
        <f t="shared" si="86"/>
        <v>0.20445344948328509</v>
      </c>
      <c r="BM64">
        <f t="shared" si="87"/>
        <v>0.79554655051671497</v>
      </c>
      <c r="BN64">
        <v>4966</v>
      </c>
      <c r="BO64">
        <v>290.00000000000011</v>
      </c>
      <c r="BP64">
        <v>826.24</v>
      </c>
      <c r="BQ64">
        <v>185</v>
      </c>
      <c r="BR64">
        <v>10049.200000000001</v>
      </c>
      <c r="BS64">
        <v>824.44</v>
      </c>
      <c r="BT64">
        <v>1.8</v>
      </c>
      <c r="BU64">
        <v>300.00000000000011</v>
      </c>
      <c r="BV64">
        <v>24.1</v>
      </c>
      <c r="BW64">
        <v>847.39382153976464</v>
      </c>
      <c r="BX64">
        <v>1.9119225593393661</v>
      </c>
      <c r="BY64">
        <v>-23.06491635755081</v>
      </c>
      <c r="BZ64">
        <v>1.711123719087007</v>
      </c>
      <c r="CA64">
        <v>0.86647219313193102</v>
      </c>
      <c r="CB64">
        <v>-6.8429305895439437E-3</v>
      </c>
      <c r="CC64">
        <v>289.99999999999989</v>
      </c>
      <c r="CD64">
        <v>822.19</v>
      </c>
      <c r="CE64">
        <v>645</v>
      </c>
      <c r="CF64">
        <v>10033.6</v>
      </c>
      <c r="CG64">
        <v>824.41</v>
      </c>
      <c r="CH64">
        <v>-2.2200000000000002</v>
      </c>
      <c r="CV64">
        <f t="shared" si="88"/>
        <v>1800.1</v>
      </c>
      <c r="CW64">
        <f t="shared" si="89"/>
        <v>1513.2686999210243</v>
      </c>
      <c r="CX64">
        <f t="shared" si="90"/>
        <v>0.84065813006001022</v>
      </c>
      <c r="CY64">
        <f t="shared" si="91"/>
        <v>0.1608701910158197</v>
      </c>
      <c r="CZ64">
        <v>6</v>
      </c>
      <c r="DA64">
        <v>0.5</v>
      </c>
      <c r="DB64" t="s">
        <v>418</v>
      </c>
      <c r="DC64">
        <v>2</v>
      </c>
      <c r="DD64">
        <v>1639676450.0999999</v>
      </c>
      <c r="DE64">
        <v>22.7927</v>
      </c>
      <c r="DF64">
        <v>30.0139</v>
      </c>
      <c r="DG64">
        <v>24.9605</v>
      </c>
      <c r="DH64">
        <v>16.526900000000001</v>
      </c>
      <c r="DI64">
        <v>24.0473</v>
      </c>
      <c r="DJ64">
        <v>24.945699999999999</v>
      </c>
      <c r="DK64">
        <v>500.01499999999999</v>
      </c>
      <c r="DL64">
        <v>99.629300000000001</v>
      </c>
      <c r="DM64">
        <v>0.100101</v>
      </c>
      <c r="DN64">
        <v>27.988800000000001</v>
      </c>
      <c r="DO64">
        <v>27.563099999999999</v>
      </c>
      <c r="DP64">
        <v>999.9</v>
      </c>
      <c r="DQ64">
        <v>0</v>
      </c>
      <c r="DR64">
        <v>0</v>
      </c>
      <c r="DS64">
        <v>9992.5</v>
      </c>
      <c r="DT64">
        <v>0</v>
      </c>
      <c r="DU64">
        <v>434.142</v>
      </c>
      <c r="DV64">
        <v>-7.2211499999999997</v>
      </c>
      <c r="DW64">
        <v>23.376200000000001</v>
      </c>
      <c r="DX64">
        <v>30.5183</v>
      </c>
      <c r="DY64">
        <v>8.4336199999999995</v>
      </c>
      <c r="DZ64">
        <v>30.0139</v>
      </c>
      <c r="EA64">
        <v>16.526900000000001</v>
      </c>
      <c r="EB64">
        <v>2.4868000000000001</v>
      </c>
      <c r="EC64">
        <v>1.64656</v>
      </c>
      <c r="ED64">
        <v>20.9404</v>
      </c>
      <c r="EE64">
        <v>14.4016</v>
      </c>
      <c r="EF64">
        <v>1800.1</v>
      </c>
      <c r="EG64">
        <v>0.97799899999999995</v>
      </c>
      <c r="EH64">
        <v>2.2001300000000001E-2</v>
      </c>
      <c r="EI64">
        <v>0</v>
      </c>
      <c r="EJ64">
        <v>772.46500000000003</v>
      </c>
      <c r="EK64">
        <v>5.0001199999999999</v>
      </c>
      <c r="EL64">
        <v>13756.2</v>
      </c>
      <c r="EM64">
        <v>15630.8</v>
      </c>
      <c r="EN64">
        <v>47.186999999999998</v>
      </c>
      <c r="EO64">
        <v>48.125</v>
      </c>
      <c r="EP64">
        <v>47.936999999999998</v>
      </c>
      <c r="EQ64">
        <v>47.686999999999998</v>
      </c>
      <c r="ER64">
        <v>48.811999999999998</v>
      </c>
      <c r="ES64">
        <v>1755.61</v>
      </c>
      <c r="ET64">
        <v>39.49</v>
      </c>
      <c r="EU64">
        <v>0</v>
      </c>
      <c r="EV64">
        <v>134.60000014305109</v>
      </c>
      <c r="EW64">
        <v>0</v>
      </c>
      <c r="EX64">
        <v>772.19332000000009</v>
      </c>
      <c r="EY64">
        <v>-1.818846146141663</v>
      </c>
      <c r="EZ64">
        <v>-15.20769224715292</v>
      </c>
      <c r="FA64">
        <v>13757.248</v>
      </c>
      <c r="FB64">
        <v>15</v>
      </c>
      <c r="FC64">
        <v>1639676410.0999999</v>
      </c>
      <c r="FD64" t="s">
        <v>664</v>
      </c>
      <c r="FE64">
        <v>1639676394.5999999</v>
      </c>
      <c r="FF64">
        <v>1639676410.0999999</v>
      </c>
      <c r="FG64">
        <v>53</v>
      </c>
      <c r="FH64">
        <v>3.1E-2</v>
      </c>
      <c r="FI64">
        <v>2E-3</v>
      </c>
      <c r="FJ64">
        <v>-1.266</v>
      </c>
      <c r="FK64">
        <v>-0.106</v>
      </c>
      <c r="FL64">
        <v>30</v>
      </c>
      <c r="FM64">
        <v>17</v>
      </c>
      <c r="FN64">
        <v>0.24</v>
      </c>
      <c r="FO64">
        <v>0.01</v>
      </c>
      <c r="FP64">
        <v>5.8686349715643491</v>
      </c>
      <c r="FQ64">
        <v>-3.70483627918003E-2</v>
      </c>
      <c r="FR64">
        <v>1.8811903594637702E-2</v>
      </c>
      <c r="FS64">
        <v>1</v>
      </c>
      <c r="FT64">
        <v>0.64907764508032351</v>
      </c>
      <c r="FU64">
        <v>3.3187352741978308E-2</v>
      </c>
      <c r="FV64">
        <v>5.9159723398872922E-3</v>
      </c>
      <c r="FW64">
        <v>1</v>
      </c>
      <c r="FX64">
        <v>2</v>
      </c>
      <c r="FY64">
        <v>2</v>
      </c>
      <c r="FZ64" t="s">
        <v>420</v>
      </c>
      <c r="GA64">
        <v>2.9206799999999999</v>
      </c>
      <c r="GB64">
        <v>2.7450000000000001</v>
      </c>
      <c r="GC64">
        <v>6.7686700000000001E-3</v>
      </c>
      <c r="GD64">
        <v>8.6295599999999997E-3</v>
      </c>
      <c r="GE64">
        <v>0.12013799999999999</v>
      </c>
      <c r="GF64">
        <v>9.0983300000000003E-2</v>
      </c>
      <c r="GG64">
        <v>30945</v>
      </c>
      <c r="GH64">
        <v>30525.5</v>
      </c>
      <c r="GI64">
        <v>28366.400000000001</v>
      </c>
      <c r="GJ64">
        <v>28159</v>
      </c>
      <c r="GK64">
        <v>34251.1</v>
      </c>
      <c r="GL64">
        <v>35946.1</v>
      </c>
      <c r="GM64">
        <v>42683.1</v>
      </c>
      <c r="GN64">
        <v>43809.3</v>
      </c>
      <c r="GO64">
        <v>1.7984500000000001</v>
      </c>
      <c r="GP64">
        <v>1.9762999999999999</v>
      </c>
      <c r="GQ64">
        <v>3.9264599999999997E-2</v>
      </c>
      <c r="GR64">
        <v>0</v>
      </c>
      <c r="GS64">
        <v>26.921199999999999</v>
      </c>
      <c r="GT64">
        <v>999.9</v>
      </c>
      <c r="GU64">
        <v>38.5</v>
      </c>
      <c r="GV64">
        <v>35.4</v>
      </c>
      <c r="GW64">
        <v>22.317</v>
      </c>
      <c r="GX64">
        <v>61.137500000000003</v>
      </c>
      <c r="GY64">
        <v>29.767600000000002</v>
      </c>
      <c r="GZ64">
        <v>1</v>
      </c>
      <c r="HA64">
        <v>0.32971499999999998</v>
      </c>
      <c r="HB64">
        <v>2.0773600000000001</v>
      </c>
      <c r="HC64">
        <v>20.263100000000001</v>
      </c>
      <c r="HD64">
        <v>5.2753899999999998</v>
      </c>
      <c r="HE64">
        <v>12.0878</v>
      </c>
      <c r="HF64">
        <v>5.0129999999999999</v>
      </c>
      <c r="HG64">
        <v>3.2919800000000001</v>
      </c>
      <c r="HH64">
        <v>9999</v>
      </c>
      <c r="HI64">
        <v>9999</v>
      </c>
      <c r="HJ64">
        <v>9999</v>
      </c>
      <c r="HK64">
        <v>999.9</v>
      </c>
      <c r="HL64">
        <v>1.87527</v>
      </c>
      <c r="HM64">
        <v>1.8757600000000001</v>
      </c>
      <c r="HN64">
        <v>1.87548</v>
      </c>
      <c r="HO64">
        <v>1.8794299999999999</v>
      </c>
      <c r="HP64">
        <v>1.8728800000000001</v>
      </c>
      <c r="HQ64">
        <v>1.8760699999999999</v>
      </c>
      <c r="HR64">
        <v>1.8758999999999999</v>
      </c>
      <c r="HS64">
        <v>1.8772800000000001</v>
      </c>
      <c r="HT64">
        <v>0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423</v>
      </c>
      <c r="IB64" t="s">
        <v>423</v>
      </c>
      <c r="IC64" t="s">
        <v>423</v>
      </c>
      <c r="ID64">
        <v>0</v>
      </c>
      <c r="IE64">
        <v>100</v>
      </c>
      <c r="IF64">
        <v>100</v>
      </c>
      <c r="IG64">
        <v>-1.2549999999999999</v>
      </c>
      <c r="IH64">
        <v>1.4800000000000001E-2</v>
      </c>
      <c r="II64">
        <v>-1.2174938787826419</v>
      </c>
      <c r="IJ64">
        <v>-1.5404112972462821E-3</v>
      </c>
      <c r="IK64">
        <v>-5.8697186733976997E-8</v>
      </c>
      <c r="IL64">
        <v>1.160237123038427E-10</v>
      </c>
      <c r="IM64">
        <v>-0.16635992211164771</v>
      </c>
      <c r="IN64">
        <v>-3.128848753924141E-3</v>
      </c>
      <c r="IO64">
        <v>3.6841110403368089E-4</v>
      </c>
      <c r="IP64">
        <v>1.9296040270694169E-6</v>
      </c>
      <c r="IQ64">
        <v>1</v>
      </c>
      <c r="IR64">
        <v>1992</v>
      </c>
      <c r="IS64">
        <v>2</v>
      </c>
      <c r="IT64">
        <v>27</v>
      </c>
      <c r="IU64">
        <v>0.9</v>
      </c>
      <c r="IV64">
        <v>0.7</v>
      </c>
      <c r="IW64">
        <v>0.224609</v>
      </c>
      <c r="IX64">
        <v>2.7111800000000001</v>
      </c>
      <c r="IY64">
        <v>1.69434</v>
      </c>
      <c r="IZ64">
        <v>2.34619</v>
      </c>
      <c r="JA64">
        <v>1.5466299999999999</v>
      </c>
      <c r="JB64">
        <v>2.4279799999999998</v>
      </c>
      <c r="JC64">
        <v>39.267099999999999</v>
      </c>
      <c r="JD64">
        <v>24.105</v>
      </c>
      <c r="JE64">
        <v>18</v>
      </c>
      <c r="JF64">
        <v>533.29200000000003</v>
      </c>
      <c r="JG64">
        <v>534.82600000000002</v>
      </c>
      <c r="JH64">
        <v>25.233499999999999</v>
      </c>
      <c r="JI64">
        <v>31.351099999999999</v>
      </c>
      <c r="JJ64">
        <v>29.9998</v>
      </c>
      <c r="JK64">
        <v>31.3428</v>
      </c>
      <c r="JL64">
        <v>31.301600000000001</v>
      </c>
      <c r="JM64">
        <v>4.5858499999999998</v>
      </c>
      <c r="JN64">
        <v>29.6568</v>
      </c>
      <c r="JO64">
        <v>30.738</v>
      </c>
      <c r="JP64">
        <v>25.241299999999999</v>
      </c>
      <c r="JQ64">
        <v>30</v>
      </c>
      <c r="JR64">
        <v>16.440999999999999</v>
      </c>
      <c r="JS64">
        <v>99.4572</v>
      </c>
      <c r="JT64">
        <v>98.6721</v>
      </c>
    </row>
    <row r="65" spans="1:280" x14ac:dyDescent="0.25">
      <c r="A65">
        <v>49</v>
      </c>
      <c r="B65">
        <v>1639676569.5999999</v>
      </c>
      <c r="C65">
        <v>9967.5</v>
      </c>
      <c r="D65" t="s">
        <v>665</v>
      </c>
      <c r="E65" t="s">
        <v>666</v>
      </c>
      <c r="F65" t="s">
        <v>412</v>
      </c>
      <c r="G65" t="s">
        <v>31</v>
      </c>
      <c r="H65" t="s">
        <v>636</v>
      </c>
      <c r="I65">
        <v>1639676569.5999999</v>
      </c>
      <c r="J65">
        <f t="shared" si="46"/>
        <v>7.323784207123857E-3</v>
      </c>
      <c r="K65">
        <f t="shared" si="47"/>
        <v>7.3237842071238566</v>
      </c>
      <c r="L65">
        <f t="shared" si="48"/>
        <v>2.0835966828950667</v>
      </c>
      <c r="M65">
        <f t="shared" si="49"/>
        <v>7.4546099999999997</v>
      </c>
      <c r="N65">
        <f t="shared" si="50"/>
        <v>1.7648063399060574</v>
      </c>
      <c r="O65">
        <f t="shared" si="51"/>
        <v>0.17599215500858947</v>
      </c>
      <c r="P65">
        <f t="shared" si="52"/>
        <v>0.74339764595270996</v>
      </c>
      <c r="Q65">
        <f t="shared" si="53"/>
        <v>0.65894842566326994</v>
      </c>
      <c r="R65">
        <f t="shared" si="54"/>
        <v>2.9141489183376361</v>
      </c>
      <c r="S65">
        <f t="shared" si="55"/>
        <v>0.58600527945605108</v>
      </c>
      <c r="T65">
        <f t="shared" si="56"/>
        <v>0.37213185503041762</v>
      </c>
      <c r="U65">
        <f t="shared" si="57"/>
        <v>289.56704984752997</v>
      </c>
      <c r="V65">
        <f t="shared" si="58"/>
        <v>27.815833839988887</v>
      </c>
      <c r="W65">
        <f t="shared" si="59"/>
        <v>27.5502</v>
      </c>
      <c r="X65">
        <f t="shared" si="60"/>
        <v>3.6964631060746909</v>
      </c>
      <c r="Y65">
        <f t="shared" si="61"/>
        <v>65.531236508789107</v>
      </c>
      <c r="Z65">
        <f t="shared" si="62"/>
        <v>2.4887921769269998</v>
      </c>
      <c r="AA65">
        <f t="shared" si="63"/>
        <v>3.7978715335139466</v>
      </c>
      <c r="AB65">
        <f t="shared" si="64"/>
        <v>1.207670929147691</v>
      </c>
      <c r="AC65">
        <f t="shared" si="65"/>
        <v>-322.97888353416209</v>
      </c>
      <c r="AD65">
        <f t="shared" si="66"/>
        <v>72.819370970991514</v>
      </c>
      <c r="AE65">
        <f t="shared" si="67"/>
        <v>5.4350301701287487</v>
      </c>
      <c r="AF65">
        <f t="shared" si="68"/>
        <v>44.842567454488147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52248.363814898388</v>
      </c>
      <c r="AL65" t="s">
        <v>415</v>
      </c>
      <c r="AM65">
        <v>10204.299999999999</v>
      </c>
      <c r="AN65">
        <v>862.72538461538477</v>
      </c>
      <c r="AO65">
        <v>3252.56</v>
      </c>
      <c r="AP65">
        <f t="shared" si="72"/>
        <v>0.73475496697512588</v>
      </c>
      <c r="AQ65">
        <v>-6.6684750346205304</v>
      </c>
      <c r="AR65" t="s">
        <v>667</v>
      </c>
      <c r="AS65">
        <v>10058.799999999999</v>
      </c>
      <c r="AT65">
        <v>780.43119999999999</v>
      </c>
      <c r="AU65">
        <v>841.18734061057137</v>
      </c>
      <c r="AV65">
        <f t="shared" si="73"/>
        <v>7.2226646404916051E-2</v>
      </c>
      <c r="AW65">
        <v>0.5</v>
      </c>
      <c r="AX65">
        <f t="shared" si="74"/>
        <v>1513.1849999209999</v>
      </c>
      <c r="AY65">
        <f t="shared" si="75"/>
        <v>2.0835966828950667</v>
      </c>
      <c r="AZ65">
        <f t="shared" si="76"/>
        <v>54.646138967258487</v>
      </c>
      <c r="BA65">
        <f t="shared" si="77"/>
        <v>5.7838742242174784E-3</v>
      </c>
      <c r="BB65">
        <f t="shared" si="78"/>
        <v>2.8666297541272394</v>
      </c>
      <c r="BC65">
        <f t="shared" si="79"/>
        <v>490.0848268596726</v>
      </c>
      <c r="BD65" t="s">
        <v>668</v>
      </c>
      <c r="BE65">
        <v>587.30999999999995</v>
      </c>
      <c r="BF65">
        <f t="shared" si="80"/>
        <v>587.30999999999995</v>
      </c>
      <c r="BG65">
        <f t="shared" si="81"/>
        <v>0.30180832301434291</v>
      </c>
      <c r="BH65">
        <f t="shared" si="82"/>
        <v>0.23931297084038189</v>
      </c>
      <c r="BI65">
        <f t="shared" si="83"/>
        <v>0.90474539326120573</v>
      </c>
      <c r="BJ65">
        <f t="shared" si="84"/>
        <v>-2.8208754981182773</v>
      </c>
      <c r="BK65">
        <f t="shared" si="85"/>
        <v>1.0090123575356058</v>
      </c>
      <c r="BL65">
        <f t="shared" si="86"/>
        <v>0.18009390309391099</v>
      </c>
      <c r="BM65">
        <f t="shared" si="87"/>
        <v>0.81990609690608895</v>
      </c>
      <c r="BN65">
        <v>4968</v>
      </c>
      <c r="BO65">
        <v>290.00000000000011</v>
      </c>
      <c r="BP65">
        <v>822.87</v>
      </c>
      <c r="BQ65">
        <v>95</v>
      </c>
      <c r="BR65">
        <v>10058.799999999999</v>
      </c>
      <c r="BS65">
        <v>820.51</v>
      </c>
      <c r="BT65">
        <v>2.36</v>
      </c>
      <c r="BU65">
        <v>300.00000000000011</v>
      </c>
      <c r="BV65">
        <v>24.1</v>
      </c>
      <c r="BW65">
        <v>841.18734061057137</v>
      </c>
      <c r="BX65">
        <v>2.0583122951443911</v>
      </c>
      <c r="BY65">
        <v>-20.80268033491382</v>
      </c>
      <c r="BZ65">
        <v>1.8422893853491891</v>
      </c>
      <c r="CA65">
        <v>0.81994001096053737</v>
      </c>
      <c r="CB65">
        <v>-6.8434667408231419E-3</v>
      </c>
      <c r="CC65">
        <v>289.99999999999989</v>
      </c>
      <c r="CD65">
        <v>817.65</v>
      </c>
      <c r="CE65">
        <v>685</v>
      </c>
      <c r="CF65">
        <v>10032.799999999999</v>
      </c>
      <c r="CG65">
        <v>820.45</v>
      </c>
      <c r="CH65">
        <v>-2.8</v>
      </c>
      <c r="CV65">
        <f t="shared" si="88"/>
        <v>1800</v>
      </c>
      <c r="CW65">
        <f t="shared" si="89"/>
        <v>1513.1849999209999</v>
      </c>
      <c r="CX65">
        <f t="shared" si="90"/>
        <v>0.84065833328944439</v>
      </c>
      <c r="CY65">
        <f t="shared" si="91"/>
        <v>0.16087058324862777</v>
      </c>
      <c r="CZ65">
        <v>6</v>
      </c>
      <c r="DA65">
        <v>0.5</v>
      </c>
      <c r="DB65" t="s">
        <v>418</v>
      </c>
      <c r="DC65">
        <v>2</v>
      </c>
      <c r="DD65">
        <v>1639676569.5999999</v>
      </c>
      <c r="DE65">
        <v>7.4546099999999997</v>
      </c>
      <c r="DF65">
        <v>10.020200000000001</v>
      </c>
      <c r="DG65">
        <v>24.957000000000001</v>
      </c>
      <c r="DH65">
        <v>16.3886</v>
      </c>
      <c r="DI65">
        <v>8.6950199999999995</v>
      </c>
      <c r="DJ65">
        <v>24.944199999999999</v>
      </c>
      <c r="DK65">
        <v>500.04700000000003</v>
      </c>
      <c r="DL65">
        <v>99.622799999999998</v>
      </c>
      <c r="DM65">
        <v>0.100411</v>
      </c>
      <c r="DN65">
        <v>28.0137</v>
      </c>
      <c r="DO65">
        <v>27.5502</v>
      </c>
      <c r="DP65">
        <v>999.9</v>
      </c>
      <c r="DQ65">
        <v>0</v>
      </c>
      <c r="DR65">
        <v>0</v>
      </c>
      <c r="DS65">
        <v>9950</v>
      </c>
      <c r="DT65">
        <v>0</v>
      </c>
      <c r="DU65">
        <v>446.22699999999998</v>
      </c>
      <c r="DV65">
        <v>-2.56562</v>
      </c>
      <c r="DW65">
        <v>7.6454199999999997</v>
      </c>
      <c r="DX65">
        <v>10.187200000000001</v>
      </c>
      <c r="DY65">
        <v>8.5684900000000006</v>
      </c>
      <c r="DZ65">
        <v>10.020200000000001</v>
      </c>
      <c r="EA65">
        <v>16.3886</v>
      </c>
      <c r="EB65">
        <v>2.4862899999999999</v>
      </c>
      <c r="EC65">
        <v>1.6326700000000001</v>
      </c>
      <c r="ED65">
        <v>20.937000000000001</v>
      </c>
      <c r="EE65">
        <v>14.2707</v>
      </c>
      <c r="EF65">
        <v>1800</v>
      </c>
      <c r="EG65">
        <v>0.97799499999999995</v>
      </c>
      <c r="EH65">
        <v>2.2004699999999999E-2</v>
      </c>
      <c r="EI65">
        <v>0</v>
      </c>
      <c r="EJ65">
        <v>780.31299999999999</v>
      </c>
      <c r="EK65">
        <v>5.0001199999999999</v>
      </c>
      <c r="EL65">
        <v>13898.5</v>
      </c>
      <c r="EM65">
        <v>15629.9</v>
      </c>
      <c r="EN65">
        <v>47.125</v>
      </c>
      <c r="EO65">
        <v>48.061999999999998</v>
      </c>
      <c r="EP65">
        <v>47.936999999999998</v>
      </c>
      <c r="EQ65">
        <v>47.75</v>
      </c>
      <c r="ER65">
        <v>48.75</v>
      </c>
      <c r="ES65">
        <v>1755.5</v>
      </c>
      <c r="ET65">
        <v>39.5</v>
      </c>
      <c r="EU65">
        <v>0</v>
      </c>
      <c r="EV65">
        <v>117.80000019073491</v>
      </c>
      <c r="EW65">
        <v>0</v>
      </c>
      <c r="EX65">
        <v>780.43119999999999</v>
      </c>
      <c r="EY65">
        <v>7.6538462377245528E-2</v>
      </c>
      <c r="EZ65">
        <v>-5.0461538728803843</v>
      </c>
      <c r="FA65">
        <v>13899.075999999999</v>
      </c>
      <c r="FB65">
        <v>15</v>
      </c>
      <c r="FC65">
        <v>1639676530.0999999</v>
      </c>
      <c r="FD65" t="s">
        <v>669</v>
      </c>
      <c r="FE65">
        <v>1639676516.0999999</v>
      </c>
      <c r="FF65">
        <v>1639676530.0999999</v>
      </c>
      <c r="FG65">
        <v>54</v>
      </c>
      <c r="FH65">
        <v>-0.01</v>
      </c>
      <c r="FI65">
        <v>-2E-3</v>
      </c>
      <c r="FJ65">
        <v>-1.244</v>
      </c>
      <c r="FK65">
        <v>-0.113</v>
      </c>
      <c r="FL65">
        <v>10</v>
      </c>
      <c r="FM65">
        <v>16</v>
      </c>
      <c r="FN65">
        <v>0.38</v>
      </c>
      <c r="FO65">
        <v>0.01</v>
      </c>
      <c r="FP65">
        <v>2.100887971776356</v>
      </c>
      <c r="FQ65">
        <v>-6.3935668622273317E-2</v>
      </c>
      <c r="FR65">
        <v>1.96217189310357E-2</v>
      </c>
      <c r="FS65">
        <v>1</v>
      </c>
      <c r="FT65">
        <v>0.65802994297017925</v>
      </c>
      <c r="FU65">
        <v>4.3253361722323011E-2</v>
      </c>
      <c r="FV65">
        <v>5.6373599270733163E-3</v>
      </c>
      <c r="FW65">
        <v>1</v>
      </c>
      <c r="FX65">
        <v>2</v>
      </c>
      <c r="FY65">
        <v>2</v>
      </c>
      <c r="FZ65" t="s">
        <v>420</v>
      </c>
      <c r="GA65">
        <v>2.9208500000000002</v>
      </c>
      <c r="GB65">
        <v>2.7449499999999998</v>
      </c>
      <c r="GC65">
        <v>2.45473E-3</v>
      </c>
      <c r="GD65">
        <v>2.8945199999999998E-3</v>
      </c>
      <c r="GE65">
        <v>0.120134</v>
      </c>
      <c r="GF65">
        <v>9.0432799999999994E-2</v>
      </c>
      <c r="GG65">
        <v>31081.200000000001</v>
      </c>
      <c r="GH65">
        <v>30705.4</v>
      </c>
      <c r="GI65">
        <v>28368</v>
      </c>
      <c r="GJ65">
        <v>28162.1</v>
      </c>
      <c r="GK65">
        <v>34253.300000000003</v>
      </c>
      <c r="GL65">
        <v>35971.599999999999</v>
      </c>
      <c r="GM65">
        <v>42685.599999999999</v>
      </c>
      <c r="GN65">
        <v>43813.8</v>
      </c>
      <c r="GO65">
        <v>1.79928</v>
      </c>
      <c r="GP65">
        <v>1.9763999999999999</v>
      </c>
      <c r="GQ65">
        <v>4.2937700000000002E-2</v>
      </c>
      <c r="GR65">
        <v>0</v>
      </c>
      <c r="GS65">
        <v>26.848199999999999</v>
      </c>
      <c r="GT65">
        <v>999.9</v>
      </c>
      <c r="GU65">
        <v>38</v>
      </c>
      <c r="GV65">
        <v>35.4</v>
      </c>
      <c r="GW65">
        <v>22.026199999999999</v>
      </c>
      <c r="GX65">
        <v>61.537500000000001</v>
      </c>
      <c r="GY65">
        <v>29.899799999999999</v>
      </c>
      <c r="GZ65">
        <v>1</v>
      </c>
      <c r="HA65">
        <v>0.32617400000000002</v>
      </c>
      <c r="HB65">
        <v>2.1489500000000001</v>
      </c>
      <c r="HC65">
        <v>20.262</v>
      </c>
      <c r="HD65">
        <v>5.2755400000000003</v>
      </c>
      <c r="HE65">
        <v>12.0878</v>
      </c>
      <c r="HF65">
        <v>5.0134499999999997</v>
      </c>
      <c r="HG65">
        <v>3.2919999999999998</v>
      </c>
      <c r="HH65">
        <v>9999</v>
      </c>
      <c r="HI65">
        <v>9999</v>
      </c>
      <c r="HJ65">
        <v>9999</v>
      </c>
      <c r="HK65">
        <v>999.9</v>
      </c>
      <c r="HL65">
        <v>1.8752200000000001</v>
      </c>
      <c r="HM65">
        <v>1.8757600000000001</v>
      </c>
      <c r="HN65">
        <v>1.87547</v>
      </c>
      <c r="HO65">
        <v>1.8794200000000001</v>
      </c>
      <c r="HP65">
        <v>1.87287</v>
      </c>
      <c r="HQ65">
        <v>1.8760699999999999</v>
      </c>
      <c r="HR65">
        <v>1.8758999999999999</v>
      </c>
      <c r="HS65">
        <v>1.8772899999999999</v>
      </c>
      <c r="HT65">
        <v>0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423</v>
      </c>
      <c r="IB65" t="s">
        <v>423</v>
      </c>
      <c r="IC65" t="s">
        <v>423</v>
      </c>
      <c r="ID65">
        <v>0</v>
      </c>
      <c r="IE65">
        <v>100</v>
      </c>
      <c r="IF65">
        <v>100</v>
      </c>
      <c r="IG65">
        <v>-1.24</v>
      </c>
      <c r="IH65">
        <v>1.2800000000000001E-2</v>
      </c>
      <c r="II65">
        <v>-1.2270094393040001</v>
      </c>
      <c r="IJ65">
        <v>-1.5404112972462821E-3</v>
      </c>
      <c r="IK65">
        <v>-5.8697186733976997E-8</v>
      </c>
      <c r="IL65">
        <v>1.160237123038427E-10</v>
      </c>
      <c r="IM65">
        <v>-0.16829250545007721</v>
      </c>
      <c r="IN65">
        <v>-3.128848753924141E-3</v>
      </c>
      <c r="IO65">
        <v>3.6841110403368089E-4</v>
      </c>
      <c r="IP65">
        <v>1.9296040270694169E-6</v>
      </c>
      <c r="IQ65">
        <v>1</v>
      </c>
      <c r="IR65">
        <v>1992</v>
      </c>
      <c r="IS65">
        <v>2</v>
      </c>
      <c r="IT65">
        <v>27</v>
      </c>
      <c r="IU65">
        <v>0.9</v>
      </c>
      <c r="IV65">
        <v>0.7</v>
      </c>
      <c r="IW65">
        <v>0.18066399999999999</v>
      </c>
      <c r="IX65">
        <v>2.7307100000000002</v>
      </c>
      <c r="IY65">
        <v>1.69434</v>
      </c>
      <c r="IZ65">
        <v>2.34619</v>
      </c>
      <c r="JA65">
        <v>1.5466299999999999</v>
      </c>
      <c r="JB65">
        <v>2.4255399999999998</v>
      </c>
      <c r="JC65">
        <v>39.242199999999997</v>
      </c>
      <c r="JD65">
        <v>24.105</v>
      </c>
      <c r="JE65">
        <v>18</v>
      </c>
      <c r="JF65">
        <v>533.65800000000002</v>
      </c>
      <c r="JG65">
        <v>534.60400000000004</v>
      </c>
      <c r="JH65">
        <v>25.263200000000001</v>
      </c>
      <c r="JI65">
        <v>31.3095</v>
      </c>
      <c r="JJ65">
        <v>29.9999</v>
      </c>
      <c r="JK65">
        <v>31.310300000000002</v>
      </c>
      <c r="JL65">
        <v>31.269500000000001</v>
      </c>
      <c r="JM65">
        <v>3.7005699999999999</v>
      </c>
      <c r="JN65">
        <v>29.043800000000001</v>
      </c>
      <c r="JO65">
        <v>29.234500000000001</v>
      </c>
      <c r="JP65">
        <v>25.256900000000002</v>
      </c>
      <c r="JQ65">
        <v>10</v>
      </c>
      <c r="JR65">
        <v>16.289899999999999</v>
      </c>
      <c r="JS65">
        <v>99.462999999999994</v>
      </c>
      <c r="JT65">
        <v>98.682599999999994</v>
      </c>
    </row>
    <row r="66" spans="1:280" x14ac:dyDescent="0.25">
      <c r="A66">
        <v>50</v>
      </c>
      <c r="B66">
        <v>1639676759.0999999</v>
      </c>
      <c r="C66">
        <v>10157</v>
      </c>
      <c r="D66" t="s">
        <v>670</v>
      </c>
      <c r="E66" t="s">
        <v>671</v>
      </c>
      <c r="F66" t="s">
        <v>412</v>
      </c>
      <c r="G66" t="s">
        <v>31</v>
      </c>
      <c r="H66" t="s">
        <v>636</v>
      </c>
      <c r="I66">
        <v>1639676759.0999999</v>
      </c>
      <c r="J66">
        <f t="shared" si="46"/>
        <v>6.8424817671131708E-3</v>
      </c>
      <c r="K66">
        <f t="shared" si="47"/>
        <v>6.8424817671131706</v>
      </c>
      <c r="L66">
        <f t="shared" si="48"/>
        <v>45.998740968116202</v>
      </c>
      <c r="M66">
        <f t="shared" si="49"/>
        <v>342.04399999999998</v>
      </c>
      <c r="N66">
        <f t="shared" si="50"/>
        <v>202.05961576020977</v>
      </c>
      <c r="O66">
        <f t="shared" si="51"/>
        <v>20.146876515538072</v>
      </c>
      <c r="P66">
        <f t="shared" si="52"/>
        <v>34.104381545784001</v>
      </c>
      <c r="Q66">
        <f t="shared" si="53"/>
        <v>0.60009819171737999</v>
      </c>
      <c r="R66">
        <f t="shared" si="54"/>
        <v>2.9215599142297979</v>
      </c>
      <c r="S66">
        <f t="shared" si="55"/>
        <v>0.5390950693340979</v>
      </c>
      <c r="T66">
        <f t="shared" si="56"/>
        <v>0.3418970677562323</v>
      </c>
      <c r="U66">
        <f t="shared" si="57"/>
        <v>289.57822184753593</v>
      </c>
      <c r="V66">
        <f t="shared" si="58"/>
        <v>27.915166730387686</v>
      </c>
      <c r="W66">
        <f t="shared" si="59"/>
        <v>27.5032</v>
      </c>
      <c r="X66">
        <f t="shared" si="60"/>
        <v>3.6863132459568533</v>
      </c>
      <c r="Y66">
        <f t="shared" si="61"/>
        <v>64.867741015584429</v>
      </c>
      <c r="Z66">
        <f t="shared" si="62"/>
        <v>2.4597761758614003</v>
      </c>
      <c r="AA66">
        <f t="shared" si="63"/>
        <v>3.791986798600619</v>
      </c>
      <c r="AB66">
        <f t="shared" si="64"/>
        <v>1.226537070095453</v>
      </c>
      <c r="AC66">
        <f t="shared" si="65"/>
        <v>-301.75344592969083</v>
      </c>
      <c r="AD66">
        <f t="shared" si="66"/>
        <v>76.217704124633855</v>
      </c>
      <c r="AE66">
        <f t="shared" si="67"/>
        <v>5.6721597201629885</v>
      </c>
      <c r="AF66">
        <f t="shared" si="68"/>
        <v>69.714639762641951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52465.423846967817</v>
      </c>
      <c r="AL66" t="s">
        <v>415</v>
      </c>
      <c r="AM66">
        <v>10204.299999999999</v>
      </c>
      <c r="AN66">
        <v>862.72538461538477</v>
      </c>
      <c r="AO66">
        <v>3252.56</v>
      </c>
      <c r="AP66">
        <f t="shared" si="72"/>
        <v>0.73475496697512588</v>
      </c>
      <c r="AQ66">
        <v>-6.6684750346205304</v>
      </c>
      <c r="AR66" t="s">
        <v>672</v>
      </c>
      <c r="AS66">
        <v>10045.200000000001</v>
      </c>
      <c r="AT66">
        <v>705.25184615384615</v>
      </c>
      <c r="AU66">
        <v>1006.623147931889</v>
      </c>
      <c r="AV66">
        <f t="shared" si="73"/>
        <v>0.29938840806235312</v>
      </c>
      <c r="AW66">
        <v>0.5</v>
      </c>
      <c r="AX66">
        <f t="shared" si="74"/>
        <v>1513.2437999210031</v>
      </c>
      <c r="AY66">
        <f t="shared" si="75"/>
        <v>45.998740968116202</v>
      </c>
      <c r="AZ66">
        <f t="shared" si="76"/>
        <v>226.52382613428756</v>
      </c>
      <c r="BA66">
        <f t="shared" si="77"/>
        <v>3.4804184233555857E-2</v>
      </c>
      <c r="BB66">
        <f t="shared" si="78"/>
        <v>2.2311595522936232</v>
      </c>
      <c r="BC66">
        <f t="shared" si="79"/>
        <v>541.97965987375437</v>
      </c>
      <c r="BD66" t="s">
        <v>673</v>
      </c>
      <c r="BE66">
        <v>550.45000000000005</v>
      </c>
      <c r="BF66">
        <f t="shared" si="80"/>
        <v>550.45000000000005</v>
      </c>
      <c r="BG66">
        <f t="shared" si="81"/>
        <v>0.4531717245615684</v>
      </c>
      <c r="BH66">
        <f t="shared" si="82"/>
        <v>0.66065112149705152</v>
      </c>
      <c r="BI66">
        <f t="shared" si="83"/>
        <v>0.83117891280077838</v>
      </c>
      <c r="BJ66">
        <f t="shared" si="84"/>
        <v>2.0943431977825422</v>
      </c>
      <c r="BK66">
        <f t="shared" si="85"/>
        <v>0.9397875642146285</v>
      </c>
      <c r="BL66">
        <f t="shared" si="86"/>
        <v>0.51563907533355535</v>
      </c>
      <c r="BM66">
        <f t="shared" si="87"/>
        <v>0.48436092466644465</v>
      </c>
      <c r="BN66">
        <v>4970</v>
      </c>
      <c r="BO66">
        <v>290.00000000000011</v>
      </c>
      <c r="BP66">
        <v>936.46</v>
      </c>
      <c r="BQ66">
        <v>285</v>
      </c>
      <c r="BR66">
        <v>10045.200000000001</v>
      </c>
      <c r="BS66">
        <v>938.34</v>
      </c>
      <c r="BT66">
        <v>-1.88</v>
      </c>
      <c r="BU66">
        <v>300.00000000000011</v>
      </c>
      <c r="BV66">
        <v>24.1</v>
      </c>
      <c r="BW66">
        <v>1006.623147931889</v>
      </c>
      <c r="BX66">
        <v>2.7307256118596648</v>
      </c>
      <c r="BY66">
        <v>-68.587530443781034</v>
      </c>
      <c r="BZ66">
        <v>2.4446775598354131</v>
      </c>
      <c r="CA66">
        <v>0.96564970404098616</v>
      </c>
      <c r="CB66">
        <v>-6.84506985539489E-3</v>
      </c>
      <c r="CC66">
        <v>289.99999999999989</v>
      </c>
      <c r="CD66">
        <v>937.34</v>
      </c>
      <c r="CE66">
        <v>635</v>
      </c>
      <c r="CF66">
        <v>10037.200000000001</v>
      </c>
      <c r="CG66">
        <v>938.29</v>
      </c>
      <c r="CH66">
        <v>-0.95</v>
      </c>
      <c r="CV66">
        <f t="shared" si="88"/>
        <v>1800.07</v>
      </c>
      <c r="CW66">
        <f t="shared" si="89"/>
        <v>1513.2437999210031</v>
      </c>
      <c r="CX66">
        <f t="shared" si="90"/>
        <v>0.84065830768859162</v>
      </c>
      <c r="CY66">
        <f t="shared" si="91"/>
        <v>0.16087053383898178</v>
      </c>
      <c r="CZ66">
        <v>6</v>
      </c>
      <c r="DA66">
        <v>0.5</v>
      </c>
      <c r="DB66" t="s">
        <v>418</v>
      </c>
      <c r="DC66">
        <v>2</v>
      </c>
      <c r="DD66">
        <v>1639676759.0999999</v>
      </c>
      <c r="DE66">
        <v>342.04399999999998</v>
      </c>
      <c r="DF66">
        <v>400.02699999999999</v>
      </c>
      <c r="DG66">
        <v>24.669899999999998</v>
      </c>
      <c r="DH66">
        <v>16.6648</v>
      </c>
      <c r="DI66">
        <v>343.863</v>
      </c>
      <c r="DJ66">
        <v>24.663399999999999</v>
      </c>
      <c r="DK66">
        <v>500.20699999999999</v>
      </c>
      <c r="DL66">
        <v>99.607500000000002</v>
      </c>
      <c r="DM66">
        <v>0.10008599999999999</v>
      </c>
      <c r="DN66">
        <v>27.987100000000002</v>
      </c>
      <c r="DO66">
        <v>27.5032</v>
      </c>
      <c r="DP66">
        <v>999.9</v>
      </c>
      <c r="DQ66">
        <v>0</v>
      </c>
      <c r="DR66">
        <v>0</v>
      </c>
      <c r="DS66">
        <v>9993.75</v>
      </c>
      <c r="DT66">
        <v>0</v>
      </c>
      <c r="DU66">
        <v>466.72800000000001</v>
      </c>
      <c r="DV66">
        <v>-57.982999999999997</v>
      </c>
      <c r="DW66">
        <v>350.69600000000003</v>
      </c>
      <c r="DX66">
        <v>406.80599999999998</v>
      </c>
      <c r="DY66">
        <v>8.0050699999999999</v>
      </c>
      <c r="DZ66">
        <v>400.02699999999999</v>
      </c>
      <c r="EA66">
        <v>16.6648</v>
      </c>
      <c r="EB66">
        <v>2.4573100000000001</v>
      </c>
      <c r="EC66">
        <v>1.65994</v>
      </c>
      <c r="ED66">
        <v>20.746500000000001</v>
      </c>
      <c r="EE66">
        <v>14.5268</v>
      </c>
      <c r="EF66">
        <v>1800.07</v>
      </c>
      <c r="EG66">
        <v>0.97799499999999995</v>
      </c>
      <c r="EH66">
        <v>2.2004699999999999E-2</v>
      </c>
      <c r="EI66">
        <v>0</v>
      </c>
      <c r="EJ66">
        <v>704.69399999999996</v>
      </c>
      <c r="EK66">
        <v>5.0001199999999999</v>
      </c>
      <c r="EL66">
        <v>12583.4</v>
      </c>
      <c r="EM66">
        <v>15630.5</v>
      </c>
      <c r="EN66">
        <v>47.125</v>
      </c>
      <c r="EO66">
        <v>47.875</v>
      </c>
      <c r="EP66">
        <v>47.811999999999998</v>
      </c>
      <c r="EQ66">
        <v>47.625</v>
      </c>
      <c r="ER66">
        <v>48.625</v>
      </c>
      <c r="ES66">
        <v>1755.57</v>
      </c>
      <c r="ET66">
        <v>39.5</v>
      </c>
      <c r="EU66">
        <v>0</v>
      </c>
      <c r="EV66">
        <v>187.80000019073489</v>
      </c>
      <c r="EW66">
        <v>0</v>
      </c>
      <c r="EX66">
        <v>705.25184615384615</v>
      </c>
      <c r="EY66">
        <v>-3.8243418698044498</v>
      </c>
      <c r="EZ66">
        <v>-61.811965770174531</v>
      </c>
      <c r="FA66">
        <v>12589.75384615385</v>
      </c>
      <c r="FB66">
        <v>15</v>
      </c>
      <c r="FC66">
        <v>1639676653.0999999</v>
      </c>
      <c r="FD66" t="s">
        <v>674</v>
      </c>
      <c r="FE66">
        <v>1639676647.0999999</v>
      </c>
      <c r="FF66">
        <v>1639676653.0999999</v>
      </c>
      <c r="FG66">
        <v>55</v>
      </c>
      <c r="FH66">
        <v>-0.06</v>
      </c>
      <c r="FI66">
        <v>-1E-3</v>
      </c>
      <c r="FJ66">
        <v>-1.9079999999999999</v>
      </c>
      <c r="FK66">
        <v>-0.115</v>
      </c>
      <c r="FL66">
        <v>400</v>
      </c>
      <c r="FM66">
        <v>16</v>
      </c>
      <c r="FN66">
        <v>0.05</v>
      </c>
      <c r="FO66">
        <v>0.01</v>
      </c>
      <c r="FP66">
        <v>44.967544327794812</v>
      </c>
      <c r="FQ66">
        <v>5.733246361242605</v>
      </c>
      <c r="FR66">
        <v>0.55238911548911318</v>
      </c>
      <c r="FS66">
        <v>0</v>
      </c>
      <c r="FT66">
        <v>0.60249327871075153</v>
      </c>
      <c r="FU66">
        <v>-2.1498175085283469E-2</v>
      </c>
      <c r="FV66">
        <v>2.6157146398819858E-3</v>
      </c>
      <c r="FW66">
        <v>1</v>
      </c>
      <c r="FX66">
        <v>1</v>
      </c>
      <c r="FY66">
        <v>2</v>
      </c>
      <c r="FZ66" t="s">
        <v>459</v>
      </c>
      <c r="GA66">
        <v>2.9214199999999999</v>
      </c>
      <c r="GB66">
        <v>2.7450100000000002</v>
      </c>
      <c r="GC66">
        <v>8.1623000000000001E-2</v>
      </c>
      <c r="GD66">
        <v>9.3357099999999998E-2</v>
      </c>
      <c r="GE66">
        <v>0.119195</v>
      </c>
      <c r="GF66">
        <v>9.1534500000000005E-2</v>
      </c>
      <c r="GG66">
        <v>28622.2</v>
      </c>
      <c r="GH66">
        <v>27926.5</v>
      </c>
      <c r="GI66">
        <v>28373.1</v>
      </c>
      <c r="GJ66">
        <v>28166.400000000001</v>
      </c>
      <c r="GK66">
        <v>34295.9</v>
      </c>
      <c r="GL66">
        <v>35934</v>
      </c>
      <c r="GM66">
        <v>42693.7</v>
      </c>
      <c r="GN66">
        <v>43822.1</v>
      </c>
      <c r="GO66">
        <v>1.8005500000000001</v>
      </c>
      <c r="GP66">
        <v>1.9787300000000001</v>
      </c>
      <c r="GQ66">
        <v>4.4010599999999997E-2</v>
      </c>
      <c r="GR66">
        <v>0</v>
      </c>
      <c r="GS66">
        <v>26.7837</v>
      </c>
      <c r="GT66">
        <v>999.9</v>
      </c>
      <c r="GU66">
        <v>37.299999999999997</v>
      </c>
      <c r="GV66">
        <v>35.5</v>
      </c>
      <c r="GW66">
        <v>21.7455</v>
      </c>
      <c r="GX66">
        <v>61.527500000000003</v>
      </c>
      <c r="GY66">
        <v>29.639399999999998</v>
      </c>
      <c r="GZ66">
        <v>1</v>
      </c>
      <c r="HA66">
        <v>0.31706000000000001</v>
      </c>
      <c r="HB66">
        <v>1.80386</v>
      </c>
      <c r="HC66">
        <v>20.266100000000002</v>
      </c>
      <c r="HD66">
        <v>5.27569</v>
      </c>
      <c r="HE66">
        <v>12.0878</v>
      </c>
      <c r="HF66">
        <v>5.0131500000000004</v>
      </c>
      <c r="HG66">
        <v>3.2919800000000001</v>
      </c>
      <c r="HH66">
        <v>9999</v>
      </c>
      <c r="HI66">
        <v>9999</v>
      </c>
      <c r="HJ66">
        <v>9999</v>
      </c>
      <c r="HK66">
        <v>999.9</v>
      </c>
      <c r="HL66">
        <v>1.8752200000000001</v>
      </c>
      <c r="HM66">
        <v>1.8757600000000001</v>
      </c>
      <c r="HN66">
        <v>1.8754599999999999</v>
      </c>
      <c r="HO66">
        <v>1.8794299999999999</v>
      </c>
      <c r="HP66">
        <v>1.87286</v>
      </c>
      <c r="HQ66">
        <v>1.8760699999999999</v>
      </c>
      <c r="HR66">
        <v>1.87592</v>
      </c>
      <c r="HS66">
        <v>1.8772800000000001</v>
      </c>
      <c r="HT66">
        <v>0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423</v>
      </c>
      <c r="IB66" t="s">
        <v>423</v>
      </c>
      <c r="IC66" t="s">
        <v>423</v>
      </c>
      <c r="ID66">
        <v>0</v>
      </c>
      <c r="IE66">
        <v>100</v>
      </c>
      <c r="IF66">
        <v>100</v>
      </c>
      <c r="IG66">
        <v>-1.819</v>
      </c>
      <c r="IH66">
        <v>6.4999999999999997E-3</v>
      </c>
      <c r="II66">
        <v>-1.286623727141746</v>
      </c>
      <c r="IJ66">
        <v>-1.5404112972462821E-3</v>
      </c>
      <c r="IK66">
        <v>-5.8697186733976997E-8</v>
      </c>
      <c r="IL66">
        <v>1.160237123038427E-10</v>
      </c>
      <c r="IM66">
        <v>-0.16933412065005349</v>
      </c>
      <c r="IN66">
        <v>-3.128848753924141E-3</v>
      </c>
      <c r="IO66">
        <v>3.6841110403368089E-4</v>
      </c>
      <c r="IP66">
        <v>1.9296040270694169E-6</v>
      </c>
      <c r="IQ66">
        <v>1</v>
      </c>
      <c r="IR66">
        <v>1992</v>
      </c>
      <c r="IS66">
        <v>2</v>
      </c>
      <c r="IT66">
        <v>27</v>
      </c>
      <c r="IU66">
        <v>1.9</v>
      </c>
      <c r="IV66">
        <v>1.8</v>
      </c>
      <c r="IW66">
        <v>1.0424800000000001</v>
      </c>
      <c r="IX66">
        <v>2.6904300000000001</v>
      </c>
      <c r="IY66">
        <v>1.69434</v>
      </c>
      <c r="IZ66">
        <v>2.34497</v>
      </c>
      <c r="JA66">
        <v>1.5466299999999999</v>
      </c>
      <c r="JB66">
        <v>2.3071299999999999</v>
      </c>
      <c r="JC66">
        <v>39.242199999999997</v>
      </c>
      <c r="JD66">
        <v>24.096299999999999</v>
      </c>
      <c r="JE66">
        <v>18</v>
      </c>
      <c r="JF66">
        <v>533.94000000000005</v>
      </c>
      <c r="JG66">
        <v>535.673</v>
      </c>
      <c r="JH66">
        <v>25.444600000000001</v>
      </c>
      <c r="JI66">
        <v>31.219899999999999</v>
      </c>
      <c r="JJ66">
        <v>29.9999</v>
      </c>
      <c r="JK66">
        <v>31.231400000000001</v>
      </c>
      <c r="JL66">
        <v>31.197199999999999</v>
      </c>
      <c r="JM66">
        <v>20.950800000000001</v>
      </c>
      <c r="JN66">
        <v>24.519400000000001</v>
      </c>
      <c r="JO66">
        <v>27.498999999999999</v>
      </c>
      <c r="JP66">
        <v>25.452500000000001</v>
      </c>
      <c r="JQ66">
        <v>400</v>
      </c>
      <c r="JR66">
        <v>16.7362</v>
      </c>
      <c r="JS66">
        <v>99.481499999999997</v>
      </c>
      <c r="JT66">
        <v>98.6999</v>
      </c>
    </row>
    <row r="67" spans="1:280" x14ac:dyDescent="0.25">
      <c r="A67">
        <v>51</v>
      </c>
      <c r="B67">
        <v>1639676948.5999999</v>
      </c>
      <c r="C67">
        <v>10346.5</v>
      </c>
      <c r="D67" t="s">
        <v>675</v>
      </c>
      <c r="E67" t="s">
        <v>676</v>
      </c>
      <c r="F67" t="s">
        <v>412</v>
      </c>
      <c r="G67" t="s">
        <v>31</v>
      </c>
      <c r="H67" t="s">
        <v>636</v>
      </c>
      <c r="I67">
        <v>1639676948.5999999</v>
      </c>
      <c r="J67">
        <f t="shared" si="46"/>
        <v>6.614068655838609E-3</v>
      </c>
      <c r="K67">
        <f t="shared" si="47"/>
        <v>6.6140686558386088</v>
      </c>
      <c r="L67">
        <f t="shared" si="48"/>
        <v>54.097077386396265</v>
      </c>
      <c r="M67">
        <f t="shared" si="49"/>
        <v>332.435</v>
      </c>
      <c r="N67">
        <f t="shared" si="50"/>
        <v>162.64212282868809</v>
      </c>
      <c r="O67">
        <f t="shared" si="51"/>
        <v>16.215922860748236</v>
      </c>
      <c r="P67">
        <f t="shared" si="52"/>
        <v>33.14479805389</v>
      </c>
      <c r="Q67">
        <f t="shared" si="53"/>
        <v>0.57397344019008734</v>
      </c>
      <c r="R67">
        <f t="shared" si="54"/>
        <v>2.9195064464837301</v>
      </c>
      <c r="S67">
        <f t="shared" si="55"/>
        <v>0.5178656650815594</v>
      </c>
      <c r="T67">
        <f t="shared" si="56"/>
        <v>0.32824883678910344</v>
      </c>
      <c r="U67">
        <f t="shared" si="57"/>
        <v>289.54470584751812</v>
      </c>
      <c r="V67">
        <f t="shared" si="58"/>
        <v>27.973973533311028</v>
      </c>
      <c r="W67">
        <f t="shared" si="59"/>
        <v>27.554300000000001</v>
      </c>
      <c r="X67">
        <f t="shared" si="60"/>
        <v>3.697349674807342</v>
      </c>
      <c r="Y67">
        <f t="shared" si="61"/>
        <v>64.962682140021855</v>
      </c>
      <c r="Z67">
        <f t="shared" si="62"/>
        <v>2.4633045216015996</v>
      </c>
      <c r="AA67">
        <f t="shared" si="63"/>
        <v>3.7918762594994835</v>
      </c>
      <c r="AB67">
        <f t="shared" si="64"/>
        <v>1.2340451532057424</v>
      </c>
      <c r="AC67">
        <f t="shared" si="65"/>
        <v>-291.68042772248265</v>
      </c>
      <c r="AD67">
        <f t="shared" si="66"/>
        <v>68.04247735596546</v>
      </c>
      <c r="AE67">
        <f t="shared" si="67"/>
        <v>5.0685951977094179</v>
      </c>
      <c r="AF67">
        <f t="shared" si="68"/>
        <v>70.97535067871037</v>
      </c>
      <c r="AG67">
        <v>0</v>
      </c>
      <c r="AH67">
        <v>0</v>
      </c>
      <c r="AI67">
        <f t="shared" si="69"/>
        <v>1</v>
      </c>
      <c r="AJ67">
        <f t="shared" si="70"/>
        <v>0</v>
      </c>
      <c r="AK67">
        <f t="shared" si="71"/>
        <v>52406.425854657755</v>
      </c>
      <c r="AL67" t="s">
        <v>415</v>
      </c>
      <c r="AM67">
        <v>10204.299999999999</v>
      </c>
      <c r="AN67">
        <v>862.72538461538477</v>
      </c>
      <c r="AO67">
        <v>3252.56</v>
      </c>
      <c r="AP67">
        <f t="shared" si="72"/>
        <v>0.73475496697512588</v>
      </c>
      <c r="AQ67">
        <v>-6.6684750346205304</v>
      </c>
      <c r="AR67" t="s">
        <v>677</v>
      </c>
      <c r="AS67">
        <v>10049.299999999999</v>
      </c>
      <c r="AT67">
        <v>713.94461538461542</v>
      </c>
      <c r="AU67">
        <v>1089.789226345905</v>
      </c>
      <c r="AV67">
        <f t="shared" si="73"/>
        <v>0.34487825891021839</v>
      </c>
      <c r="AW67">
        <v>0.5</v>
      </c>
      <c r="AX67">
        <f t="shared" si="74"/>
        <v>1513.0673999209937</v>
      </c>
      <c r="AY67">
        <f t="shared" si="75"/>
        <v>54.097077386396265</v>
      </c>
      <c r="AZ67">
        <f t="shared" si="76"/>
        <v>260.91202524928173</v>
      </c>
      <c r="BA67">
        <f t="shared" si="77"/>
        <v>4.0160506018561845E-2</v>
      </c>
      <c r="BB67">
        <f t="shared" si="78"/>
        <v>1.98457712864893</v>
      </c>
      <c r="BC67">
        <f t="shared" si="79"/>
        <v>565.20297567227215</v>
      </c>
      <c r="BD67" t="s">
        <v>678</v>
      </c>
      <c r="BE67">
        <v>553.74</v>
      </c>
      <c r="BF67">
        <f t="shared" si="80"/>
        <v>553.74</v>
      </c>
      <c r="BG67">
        <f t="shared" si="81"/>
        <v>0.49188339670350167</v>
      </c>
      <c r="BH67">
        <f t="shared" si="82"/>
        <v>0.70113823971599654</v>
      </c>
      <c r="BI67">
        <f t="shared" si="83"/>
        <v>0.80137644365096428</v>
      </c>
      <c r="BJ67">
        <f t="shared" si="84"/>
        <v>1.6552376111355616</v>
      </c>
      <c r="BK67">
        <f t="shared" si="85"/>
        <v>0.90498763375976266</v>
      </c>
      <c r="BL67">
        <f t="shared" si="86"/>
        <v>0.54380729330268751</v>
      </c>
      <c r="BM67">
        <f t="shared" si="87"/>
        <v>0.45619270669731249</v>
      </c>
      <c r="BN67">
        <v>4972</v>
      </c>
      <c r="BO67">
        <v>290.00000000000011</v>
      </c>
      <c r="BP67">
        <v>993.37</v>
      </c>
      <c r="BQ67">
        <v>235</v>
      </c>
      <c r="BR67">
        <v>10049.299999999999</v>
      </c>
      <c r="BS67">
        <v>995.99</v>
      </c>
      <c r="BT67">
        <v>-2.62</v>
      </c>
      <c r="BU67">
        <v>300.00000000000011</v>
      </c>
      <c r="BV67">
        <v>24.1</v>
      </c>
      <c r="BW67">
        <v>1089.789226345905</v>
      </c>
      <c r="BX67">
        <v>2.1786653527303241</v>
      </c>
      <c r="BY67">
        <v>-94.259830559960989</v>
      </c>
      <c r="BZ67">
        <v>1.9506236261083449</v>
      </c>
      <c r="CA67">
        <v>0.98815118070896912</v>
      </c>
      <c r="CB67">
        <v>-6.8458796440489401E-3</v>
      </c>
      <c r="CC67">
        <v>289.99999999999989</v>
      </c>
      <c r="CD67">
        <v>995.36</v>
      </c>
      <c r="CE67">
        <v>665</v>
      </c>
      <c r="CF67">
        <v>10036.9</v>
      </c>
      <c r="CG67">
        <v>995.88</v>
      </c>
      <c r="CH67">
        <v>-0.52</v>
      </c>
      <c r="CV67">
        <f t="shared" si="88"/>
        <v>1799.86</v>
      </c>
      <c r="CW67">
        <f t="shared" si="89"/>
        <v>1513.0673999209937</v>
      </c>
      <c r="CX67">
        <f t="shared" si="90"/>
        <v>0.84065838449712416</v>
      </c>
      <c r="CY67">
        <f t="shared" si="91"/>
        <v>0.1608706820794496</v>
      </c>
      <c r="CZ67">
        <v>6</v>
      </c>
      <c r="DA67">
        <v>0.5</v>
      </c>
      <c r="DB67" t="s">
        <v>418</v>
      </c>
      <c r="DC67">
        <v>2</v>
      </c>
      <c r="DD67">
        <v>1639676948.5999999</v>
      </c>
      <c r="DE67">
        <v>332.435</v>
      </c>
      <c r="DF67">
        <v>399.97</v>
      </c>
      <c r="DG67">
        <v>24.706399999999999</v>
      </c>
      <c r="DH67">
        <v>16.9679</v>
      </c>
      <c r="DI67">
        <v>334.303</v>
      </c>
      <c r="DJ67">
        <v>24.693000000000001</v>
      </c>
      <c r="DK67">
        <v>500.14800000000002</v>
      </c>
      <c r="DL67">
        <v>99.602900000000005</v>
      </c>
      <c r="DM67">
        <v>0.10019400000000001</v>
      </c>
      <c r="DN67">
        <v>27.986599999999999</v>
      </c>
      <c r="DO67">
        <v>27.554300000000001</v>
      </c>
      <c r="DP67">
        <v>999.9</v>
      </c>
      <c r="DQ67">
        <v>0</v>
      </c>
      <c r="DR67">
        <v>0</v>
      </c>
      <c r="DS67">
        <v>9982.5</v>
      </c>
      <c r="DT67">
        <v>0</v>
      </c>
      <c r="DU67">
        <v>482.6</v>
      </c>
      <c r="DV67">
        <v>-67.535399999999996</v>
      </c>
      <c r="DW67">
        <v>340.85599999999999</v>
      </c>
      <c r="DX67">
        <v>406.87400000000002</v>
      </c>
      <c r="DY67">
        <v>7.7385200000000003</v>
      </c>
      <c r="DZ67">
        <v>399.97</v>
      </c>
      <c r="EA67">
        <v>16.9679</v>
      </c>
      <c r="EB67">
        <v>2.4608300000000001</v>
      </c>
      <c r="EC67">
        <v>1.6900500000000001</v>
      </c>
      <c r="ED67">
        <v>20.7697</v>
      </c>
      <c r="EE67">
        <v>14.805400000000001</v>
      </c>
      <c r="EF67">
        <v>1799.86</v>
      </c>
      <c r="EG67">
        <v>0.97799199999999997</v>
      </c>
      <c r="EH67">
        <v>2.2008099999999999E-2</v>
      </c>
      <c r="EI67">
        <v>0</v>
      </c>
      <c r="EJ67">
        <v>714.64599999999996</v>
      </c>
      <c r="EK67">
        <v>5.0001199999999999</v>
      </c>
      <c r="EL67">
        <v>12761.1</v>
      </c>
      <c r="EM67">
        <v>15628.7</v>
      </c>
      <c r="EN67">
        <v>46.875</v>
      </c>
      <c r="EO67">
        <v>47.811999999999998</v>
      </c>
      <c r="EP67">
        <v>47.686999999999998</v>
      </c>
      <c r="EQ67">
        <v>47.5</v>
      </c>
      <c r="ER67">
        <v>48.5</v>
      </c>
      <c r="ES67">
        <v>1755.36</v>
      </c>
      <c r="ET67">
        <v>39.5</v>
      </c>
      <c r="EU67">
        <v>0</v>
      </c>
      <c r="EV67">
        <v>187.80000019073489</v>
      </c>
      <c r="EW67">
        <v>0</v>
      </c>
      <c r="EX67">
        <v>713.94461538461542</v>
      </c>
      <c r="EY67">
        <v>4.6745299145891233</v>
      </c>
      <c r="EZ67">
        <v>70.311111014813577</v>
      </c>
      <c r="FA67">
        <v>12753.707692307689</v>
      </c>
      <c r="FB67">
        <v>15</v>
      </c>
      <c r="FC67">
        <v>1639676836.5999999</v>
      </c>
      <c r="FD67" t="s">
        <v>679</v>
      </c>
      <c r="FE67">
        <v>1639676820.5999999</v>
      </c>
      <c r="FF67">
        <v>1639676836.5999999</v>
      </c>
      <c r="FG67">
        <v>56</v>
      </c>
      <c r="FH67">
        <v>-6.4000000000000001E-2</v>
      </c>
      <c r="FI67">
        <v>6.0000000000000001E-3</v>
      </c>
      <c r="FJ67">
        <v>-1.972</v>
      </c>
      <c r="FK67">
        <v>-0.10100000000000001</v>
      </c>
      <c r="FL67">
        <v>400</v>
      </c>
      <c r="FM67">
        <v>17</v>
      </c>
      <c r="FN67">
        <v>0.04</v>
      </c>
      <c r="FO67">
        <v>0.01</v>
      </c>
      <c r="FP67">
        <v>53.981677283005752</v>
      </c>
      <c r="FQ67">
        <v>0.77772188149474586</v>
      </c>
      <c r="FR67">
        <v>8.4641389710890524E-2</v>
      </c>
      <c r="FS67">
        <v>0</v>
      </c>
      <c r="FT67">
        <v>0.57519059934737815</v>
      </c>
      <c r="FU67">
        <v>-1.106204221918153E-2</v>
      </c>
      <c r="FV67">
        <v>1.504743652351543E-3</v>
      </c>
      <c r="FW67">
        <v>1</v>
      </c>
      <c r="FX67">
        <v>1</v>
      </c>
      <c r="FY67">
        <v>2</v>
      </c>
      <c r="FZ67" t="s">
        <v>459</v>
      </c>
      <c r="GA67">
        <v>2.9214199999999999</v>
      </c>
      <c r="GB67">
        <v>2.7450199999999998</v>
      </c>
      <c r="GC67">
        <v>7.9824300000000001E-2</v>
      </c>
      <c r="GD67">
        <v>9.3363799999999997E-2</v>
      </c>
      <c r="GE67">
        <v>0.119312</v>
      </c>
      <c r="GF67">
        <v>9.27457E-2</v>
      </c>
      <c r="GG67">
        <v>28682.2</v>
      </c>
      <c r="GH67">
        <v>27931.1</v>
      </c>
      <c r="GI67">
        <v>28376.6</v>
      </c>
      <c r="GJ67">
        <v>28170.9</v>
      </c>
      <c r="GK67">
        <v>34295.599999999999</v>
      </c>
      <c r="GL67">
        <v>35891.199999999997</v>
      </c>
      <c r="GM67">
        <v>42699.1</v>
      </c>
      <c r="GN67">
        <v>43828.6</v>
      </c>
      <c r="GO67">
        <v>1.8015000000000001</v>
      </c>
      <c r="GP67">
        <v>1.98062</v>
      </c>
      <c r="GQ67">
        <v>4.6245799999999997E-2</v>
      </c>
      <c r="GR67">
        <v>0</v>
      </c>
      <c r="GS67">
        <v>26.798200000000001</v>
      </c>
      <c r="GT67">
        <v>999.9</v>
      </c>
      <c r="GU67">
        <v>36.799999999999997</v>
      </c>
      <c r="GV67">
        <v>35.5</v>
      </c>
      <c r="GW67">
        <v>21.4543</v>
      </c>
      <c r="GX67">
        <v>61.2575</v>
      </c>
      <c r="GY67">
        <v>29.475200000000001</v>
      </c>
      <c r="GZ67">
        <v>1</v>
      </c>
      <c r="HA67">
        <v>0.31030200000000002</v>
      </c>
      <c r="HB67">
        <v>1.85938</v>
      </c>
      <c r="HC67">
        <v>20.265899999999998</v>
      </c>
      <c r="HD67">
        <v>5.2759900000000002</v>
      </c>
      <c r="HE67">
        <v>12.0878</v>
      </c>
      <c r="HF67">
        <v>5.0133999999999999</v>
      </c>
      <c r="HG67">
        <v>3.2919999999999998</v>
      </c>
      <c r="HH67">
        <v>9999</v>
      </c>
      <c r="HI67">
        <v>9999</v>
      </c>
      <c r="HJ67">
        <v>9999</v>
      </c>
      <c r="HK67">
        <v>999.9</v>
      </c>
      <c r="HL67">
        <v>1.8752800000000001</v>
      </c>
      <c r="HM67">
        <v>1.87575</v>
      </c>
      <c r="HN67">
        <v>1.8754599999999999</v>
      </c>
      <c r="HO67">
        <v>1.8794299999999999</v>
      </c>
      <c r="HP67">
        <v>1.87286</v>
      </c>
      <c r="HQ67">
        <v>1.8760699999999999</v>
      </c>
      <c r="HR67">
        <v>1.8758900000000001</v>
      </c>
      <c r="HS67">
        <v>1.87727</v>
      </c>
      <c r="HT67">
        <v>0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423</v>
      </c>
      <c r="IB67" t="s">
        <v>423</v>
      </c>
      <c r="IC67" t="s">
        <v>423</v>
      </c>
      <c r="ID67">
        <v>0</v>
      </c>
      <c r="IE67">
        <v>100</v>
      </c>
      <c r="IF67">
        <v>100</v>
      </c>
      <c r="IG67">
        <v>-1.8680000000000001</v>
      </c>
      <c r="IH67">
        <v>1.34E-2</v>
      </c>
      <c r="II67">
        <v>-1.3510630824988279</v>
      </c>
      <c r="IJ67">
        <v>-1.5404112972462821E-3</v>
      </c>
      <c r="IK67">
        <v>-5.8697186733976997E-8</v>
      </c>
      <c r="IL67">
        <v>1.160237123038427E-10</v>
      </c>
      <c r="IM67">
        <v>-0.16300732072240751</v>
      </c>
      <c r="IN67">
        <v>-3.128848753924141E-3</v>
      </c>
      <c r="IO67">
        <v>3.6841110403368089E-4</v>
      </c>
      <c r="IP67">
        <v>1.9296040270694169E-6</v>
      </c>
      <c r="IQ67">
        <v>1</v>
      </c>
      <c r="IR67">
        <v>1992</v>
      </c>
      <c r="IS67">
        <v>2</v>
      </c>
      <c r="IT67">
        <v>27</v>
      </c>
      <c r="IU67">
        <v>2.1</v>
      </c>
      <c r="IV67">
        <v>1.9</v>
      </c>
      <c r="IW67">
        <v>1.0424800000000001</v>
      </c>
      <c r="IX67">
        <v>2.6867700000000001</v>
      </c>
      <c r="IY67">
        <v>1.69434</v>
      </c>
      <c r="IZ67">
        <v>2.34497</v>
      </c>
      <c r="JA67">
        <v>1.5466299999999999</v>
      </c>
      <c r="JB67">
        <v>2.4719199999999999</v>
      </c>
      <c r="JC67">
        <v>39.192399999999999</v>
      </c>
      <c r="JD67">
        <v>24.105</v>
      </c>
      <c r="JE67">
        <v>18</v>
      </c>
      <c r="JF67">
        <v>533.92200000000003</v>
      </c>
      <c r="JG67">
        <v>536.36900000000003</v>
      </c>
      <c r="JH67">
        <v>25.392800000000001</v>
      </c>
      <c r="JI67">
        <v>31.134899999999998</v>
      </c>
      <c r="JJ67">
        <v>29.9999</v>
      </c>
      <c r="JK67">
        <v>31.150099999999998</v>
      </c>
      <c r="JL67">
        <v>31.119</v>
      </c>
      <c r="JM67">
        <v>20.954599999999999</v>
      </c>
      <c r="JN67">
        <v>20.857500000000002</v>
      </c>
      <c r="JO67">
        <v>26.5779</v>
      </c>
      <c r="JP67">
        <v>25.401900000000001</v>
      </c>
      <c r="JQ67">
        <v>400</v>
      </c>
      <c r="JR67">
        <v>17.046600000000002</v>
      </c>
      <c r="JS67">
        <v>99.494</v>
      </c>
      <c r="JT67">
        <v>98.7149</v>
      </c>
    </row>
    <row r="68" spans="1:280" x14ac:dyDescent="0.25">
      <c r="A68">
        <v>52</v>
      </c>
      <c r="B68">
        <v>1639677074.0999999</v>
      </c>
      <c r="C68">
        <v>10472</v>
      </c>
      <c r="D68" t="s">
        <v>680</v>
      </c>
      <c r="E68" t="s">
        <v>681</v>
      </c>
      <c r="F68" t="s">
        <v>412</v>
      </c>
      <c r="G68" t="s">
        <v>31</v>
      </c>
      <c r="H68" t="s">
        <v>636</v>
      </c>
      <c r="I68">
        <v>1639677074.0999999</v>
      </c>
      <c r="J68">
        <f t="shared" si="46"/>
        <v>6.5356075429507674E-3</v>
      </c>
      <c r="K68">
        <f t="shared" si="47"/>
        <v>6.5356075429507676</v>
      </c>
      <c r="L68">
        <f t="shared" si="48"/>
        <v>57.18285231329299</v>
      </c>
      <c r="M68">
        <f t="shared" si="49"/>
        <v>428.096</v>
      </c>
      <c r="N68">
        <f t="shared" si="50"/>
        <v>246.41451347116163</v>
      </c>
      <c r="O68">
        <f t="shared" si="51"/>
        <v>24.565601756481065</v>
      </c>
      <c r="P68">
        <f t="shared" si="52"/>
        <v>42.677826485951996</v>
      </c>
      <c r="Q68">
        <f t="shared" si="53"/>
        <v>0.57130172377650068</v>
      </c>
      <c r="R68">
        <f t="shared" si="54"/>
        <v>2.9221652678232282</v>
      </c>
      <c r="S68">
        <f t="shared" si="55"/>
        <v>0.51573336636650924</v>
      </c>
      <c r="T68">
        <f t="shared" si="56"/>
        <v>0.32687436374364603</v>
      </c>
      <c r="U68">
        <f t="shared" si="57"/>
        <v>289.54310984751731</v>
      </c>
      <c r="V68">
        <f t="shared" si="58"/>
        <v>27.993513927207385</v>
      </c>
      <c r="W68">
        <f t="shared" si="59"/>
        <v>27.599499999999999</v>
      </c>
      <c r="X68">
        <f t="shared" si="60"/>
        <v>3.7071358604213782</v>
      </c>
      <c r="Y68">
        <f t="shared" si="61"/>
        <v>65.485883138283057</v>
      </c>
      <c r="Z68">
        <f t="shared" si="62"/>
        <v>2.4830133631716005</v>
      </c>
      <c r="AA68">
        <f t="shared" si="63"/>
        <v>3.7916772962019203</v>
      </c>
      <c r="AB68">
        <f t="shared" si="64"/>
        <v>1.2241224972497777</v>
      </c>
      <c r="AC68">
        <f t="shared" si="65"/>
        <v>-288.22029264412885</v>
      </c>
      <c r="AD68">
        <f t="shared" si="66"/>
        <v>60.841860687474096</v>
      </c>
      <c r="AE68">
        <f t="shared" si="67"/>
        <v>4.5290857428059361</v>
      </c>
      <c r="AF68">
        <f t="shared" si="68"/>
        <v>66.693763633668496</v>
      </c>
      <c r="AG68">
        <v>0</v>
      </c>
      <c r="AH68">
        <v>0</v>
      </c>
      <c r="AI68">
        <f t="shared" si="69"/>
        <v>1</v>
      </c>
      <c r="AJ68">
        <f t="shared" si="70"/>
        <v>0</v>
      </c>
      <c r="AK68">
        <f t="shared" si="71"/>
        <v>52482.730916285349</v>
      </c>
      <c r="AL68" t="s">
        <v>415</v>
      </c>
      <c r="AM68">
        <v>10204.299999999999</v>
      </c>
      <c r="AN68">
        <v>862.72538461538477</v>
      </c>
      <c r="AO68">
        <v>3252.56</v>
      </c>
      <c r="AP68">
        <f t="shared" si="72"/>
        <v>0.73475496697512588</v>
      </c>
      <c r="AQ68">
        <v>-6.6684750346205304</v>
      </c>
      <c r="AR68" t="s">
        <v>682</v>
      </c>
      <c r="AS68">
        <v>10047</v>
      </c>
      <c r="AT68">
        <v>724.75243999999986</v>
      </c>
      <c r="AU68">
        <v>1131.819014593832</v>
      </c>
      <c r="AV68">
        <f t="shared" si="73"/>
        <v>0.35965694987012853</v>
      </c>
      <c r="AW68">
        <v>0.5</v>
      </c>
      <c r="AX68">
        <f t="shared" si="74"/>
        <v>1513.0589999209933</v>
      </c>
      <c r="AY68">
        <f t="shared" si="75"/>
        <v>57.18285231329299</v>
      </c>
      <c r="AZ68">
        <f t="shared" si="76"/>
        <v>272.09109244256575</v>
      </c>
      <c r="BA68">
        <f t="shared" si="77"/>
        <v>4.2200157000650745E-2</v>
      </c>
      <c r="BB68">
        <f t="shared" si="78"/>
        <v>1.8737456767036411</v>
      </c>
      <c r="BC68">
        <f t="shared" si="79"/>
        <v>576.30219463357787</v>
      </c>
      <c r="BD68" t="s">
        <v>683</v>
      </c>
      <c r="BE68">
        <v>559.89</v>
      </c>
      <c r="BF68">
        <f t="shared" si="80"/>
        <v>559.89</v>
      </c>
      <c r="BG68">
        <f t="shared" si="81"/>
        <v>0.5053184362687847</v>
      </c>
      <c r="BH68">
        <f t="shared" si="82"/>
        <v>0.71174317827347755</v>
      </c>
      <c r="BI68">
        <f t="shared" si="83"/>
        <v>0.78759780641748445</v>
      </c>
      <c r="BJ68">
        <f t="shared" si="84"/>
        <v>1.5127321097360638</v>
      </c>
      <c r="BK68">
        <f t="shared" si="85"/>
        <v>0.88740073131163522</v>
      </c>
      <c r="BL68">
        <f t="shared" si="86"/>
        <v>0.54984000893261897</v>
      </c>
      <c r="BM68">
        <f t="shared" si="87"/>
        <v>0.45015999106738103</v>
      </c>
      <c r="BN68">
        <v>4974</v>
      </c>
      <c r="BO68">
        <v>290.00000000000011</v>
      </c>
      <c r="BP68">
        <v>1031.94</v>
      </c>
      <c r="BQ68">
        <v>275</v>
      </c>
      <c r="BR68">
        <v>10047</v>
      </c>
      <c r="BS68">
        <v>1032.5999999999999</v>
      </c>
      <c r="BT68">
        <v>-0.66</v>
      </c>
      <c r="BU68">
        <v>300.00000000000011</v>
      </c>
      <c r="BV68">
        <v>24.1</v>
      </c>
      <c r="BW68">
        <v>1131.819014593832</v>
      </c>
      <c r="BX68">
        <v>2.278020205910221</v>
      </c>
      <c r="BY68">
        <v>-99.681575120506551</v>
      </c>
      <c r="BZ68">
        <v>2.039628258852884</v>
      </c>
      <c r="CA68">
        <v>0.98841305985428518</v>
      </c>
      <c r="CB68">
        <v>-6.8460378197997829E-3</v>
      </c>
      <c r="CC68">
        <v>289.99999999999989</v>
      </c>
      <c r="CD68">
        <v>1032.71</v>
      </c>
      <c r="CE68">
        <v>675</v>
      </c>
      <c r="CF68">
        <v>10036.700000000001</v>
      </c>
      <c r="CG68">
        <v>1032.5</v>
      </c>
      <c r="CH68">
        <v>0.21</v>
      </c>
      <c r="CV68">
        <f t="shared" si="88"/>
        <v>1799.85</v>
      </c>
      <c r="CW68">
        <f t="shared" si="89"/>
        <v>1513.0589999209933</v>
      </c>
      <c r="CX68">
        <f t="shared" si="90"/>
        <v>0.8406583881551204</v>
      </c>
      <c r="CY68">
        <f t="shared" si="91"/>
        <v>0.16087068913938235</v>
      </c>
      <c r="CZ68">
        <v>6</v>
      </c>
      <c r="DA68">
        <v>0.5</v>
      </c>
      <c r="DB68" t="s">
        <v>418</v>
      </c>
      <c r="DC68">
        <v>2</v>
      </c>
      <c r="DD68">
        <v>1639677074.0999999</v>
      </c>
      <c r="DE68">
        <v>428.096</v>
      </c>
      <c r="DF68">
        <v>500.072</v>
      </c>
      <c r="DG68">
        <v>24.9068</v>
      </c>
      <c r="DH68">
        <v>17.259499999999999</v>
      </c>
      <c r="DI68">
        <v>430.27100000000002</v>
      </c>
      <c r="DJ68">
        <v>24.891999999999999</v>
      </c>
      <c r="DK68">
        <v>500.00599999999997</v>
      </c>
      <c r="DL68">
        <v>99.592100000000002</v>
      </c>
      <c r="DM68">
        <v>0.100087</v>
      </c>
      <c r="DN68">
        <v>27.985700000000001</v>
      </c>
      <c r="DO68">
        <v>27.599499999999999</v>
      </c>
      <c r="DP68">
        <v>999.9</v>
      </c>
      <c r="DQ68">
        <v>0</v>
      </c>
      <c r="DR68">
        <v>0</v>
      </c>
      <c r="DS68">
        <v>9998.75</v>
      </c>
      <c r="DT68">
        <v>0</v>
      </c>
      <c r="DU68">
        <v>462.185</v>
      </c>
      <c r="DV68">
        <v>-71.975999999999999</v>
      </c>
      <c r="DW68">
        <v>439.03100000000001</v>
      </c>
      <c r="DX68">
        <v>508.85500000000002</v>
      </c>
      <c r="DY68">
        <v>7.6472600000000002</v>
      </c>
      <c r="DZ68">
        <v>500.072</v>
      </c>
      <c r="EA68">
        <v>17.259499999999999</v>
      </c>
      <c r="EB68">
        <v>2.4805199999999998</v>
      </c>
      <c r="EC68">
        <v>1.7189099999999999</v>
      </c>
      <c r="ED68">
        <v>20.8992</v>
      </c>
      <c r="EE68">
        <v>15.068300000000001</v>
      </c>
      <c r="EF68">
        <v>1799.85</v>
      </c>
      <c r="EG68">
        <v>0.97799199999999997</v>
      </c>
      <c r="EH68">
        <v>2.2008099999999999E-2</v>
      </c>
      <c r="EI68">
        <v>0</v>
      </c>
      <c r="EJ68">
        <v>725.03499999999997</v>
      </c>
      <c r="EK68">
        <v>5.0001199999999999</v>
      </c>
      <c r="EL68">
        <v>12951.1</v>
      </c>
      <c r="EM68">
        <v>15628.6</v>
      </c>
      <c r="EN68">
        <v>46.936999999999998</v>
      </c>
      <c r="EO68">
        <v>47.75</v>
      </c>
      <c r="EP68">
        <v>47.686999999999998</v>
      </c>
      <c r="EQ68">
        <v>47.436999999999998</v>
      </c>
      <c r="ER68">
        <v>48.5</v>
      </c>
      <c r="ES68">
        <v>1755.35</v>
      </c>
      <c r="ET68">
        <v>39.5</v>
      </c>
      <c r="EU68">
        <v>0</v>
      </c>
      <c r="EV68">
        <v>123.6000001430511</v>
      </c>
      <c r="EW68">
        <v>0</v>
      </c>
      <c r="EX68">
        <v>724.75243999999986</v>
      </c>
      <c r="EY68">
        <v>2.5457692130113081</v>
      </c>
      <c r="EZ68">
        <v>49.692307588420043</v>
      </c>
      <c r="FA68">
        <v>12947.172</v>
      </c>
      <c r="FB68">
        <v>15</v>
      </c>
      <c r="FC68">
        <v>1639677033.5999999</v>
      </c>
      <c r="FD68" t="s">
        <v>684</v>
      </c>
      <c r="FE68">
        <v>1639677033.5999999</v>
      </c>
      <c r="FF68">
        <v>1639677029.0999999</v>
      </c>
      <c r="FG68">
        <v>57</v>
      </c>
      <c r="FH68">
        <v>-0.159</v>
      </c>
      <c r="FI68">
        <v>-2E-3</v>
      </c>
      <c r="FJ68">
        <v>-2.2839999999999998</v>
      </c>
      <c r="FK68">
        <v>-0.10299999999999999</v>
      </c>
      <c r="FL68">
        <v>500</v>
      </c>
      <c r="FM68">
        <v>17</v>
      </c>
      <c r="FN68">
        <v>0.03</v>
      </c>
      <c r="FO68">
        <v>0.01</v>
      </c>
      <c r="FP68">
        <v>57.12293796961329</v>
      </c>
      <c r="FQ68">
        <v>0.3923336148011925</v>
      </c>
      <c r="FR68">
        <v>4.6909595202953167E-2</v>
      </c>
      <c r="FS68">
        <v>1</v>
      </c>
      <c r="FT68">
        <v>0.57138179900923269</v>
      </c>
      <c r="FU68">
        <v>3.8557014398425307E-2</v>
      </c>
      <c r="FV68">
        <v>4.7056895955821607E-3</v>
      </c>
      <c r="FW68">
        <v>1</v>
      </c>
      <c r="FX68">
        <v>2</v>
      </c>
      <c r="FY68">
        <v>2</v>
      </c>
      <c r="FZ68" t="s">
        <v>420</v>
      </c>
      <c r="GA68">
        <v>2.9211399999999998</v>
      </c>
      <c r="GB68">
        <v>2.74505</v>
      </c>
      <c r="GC68">
        <v>9.7136799999999995E-2</v>
      </c>
      <c r="GD68">
        <v>0.11032599999999999</v>
      </c>
      <c r="GE68">
        <v>0.11998</v>
      </c>
      <c r="GF68">
        <v>9.3891500000000003E-2</v>
      </c>
      <c r="GG68">
        <v>28145.5</v>
      </c>
      <c r="GH68">
        <v>27412.3</v>
      </c>
      <c r="GI68">
        <v>28379.200000000001</v>
      </c>
      <c r="GJ68">
        <v>28174.400000000001</v>
      </c>
      <c r="GK68">
        <v>34271.699999999997</v>
      </c>
      <c r="GL68">
        <v>35849.699999999997</v>
      </c>
      <c r="GM68">
        <v>42702.1</v>
      </c>
      <c r="GN68">
        <v>43833.5</v>
      </c>
      <c r="GO68">
        <v>1.80193</v>
      </c>
      <c r="GP68">
        <v>1.98177</v>
      </c>
      <c r="GQ68">
        <v>5.0351E-2</v>
      </c>
      <c r="GR68">
        <v>0</v>
      </c>
      <c r="GS68">
        <v>26.776399999999999</v>
      </c>
      <c r="GT68">
        <v>999.9</v>
      </c>
      <c r="GU68">
        <v>36.6</v>
      </c>
      <c r="GV68">
        <v>35.5</v>
      </c>
      <c r="GW68">
        <v>21.340599999999998</v>
      </c>
      <c r="GX68">
        <v>61.287500000000001</v>
      </c>
      <c r="GY68">
        <v>30.072099999999999</v>
      </c>
      <c r="GZ68">
        <v>1</v>
      </c>
      <c r="HA68">
        <v>0.30605199999999999</v>
      </c>
      <c r="HB68">
        <v>1.8718399999999999</v>
      </c>
      <c r="HC68">
        <v>20.265799999999999</v>
      </c>
      <c r="HD68">
        <v>5.2768899999999999</v>
      </c>
      <c r="HE68">
        <v>12.0878</v>
      </c>
      <c r="HF68">
        <v>5.0138999999999996</v>
      </c>
      <c r="HG68">
        <v>3.2919999999999998</v>
      </c>
      <c r="HH68">
        <v>9999</v>
      </c>
      <c r="HI68">
        <v>9999</v>
      </c>
      <c r="HJ68">
        <v>9999</v>
      </c>
      <c r="HK68">
        <v>999.9</v>
      </c>
      <c r="HL68">
        <v>1.8752800000000001</v>
      </c>
      <c r="HM68">
        <v>1.8757600000000001</v>
      </c>
      <c r="HN68">
        <v>1.8754599999999999</v>
      </c>
      <c r="HO68">
        <v>1.8794299999999999</v>
      </c>
      <c r="HP68">
        <v>1.8728800000000001</v>
      </c>
      <c r="HQ68">
        <v>1.8760699999999999</v>
      </c>
      <c r="HR68">
        <v>1.87592</v>
      </c>
      <c r="HS68">
        <v>1.8772899999999999</v>
      </c>
      <c r="HT68">
        <v>0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423</v>
      </c>
      <c r="IB68" t="s">
        <v>423</v>
      </c>
      <c r="IC68" t="s">
        <v>423</v>
      </c>
      <c r="ID68">
        <v>0</v>
      </c>
      <c r="IE68">
        <v>100</v>
      </c>
      <c r="IF68">
        <v>100</v>
      </c>
      <c r="IG68">
        <v>-2.1749999999999998</v>
      </c>
      <c r="IH68">
        <v>1.4800000000000001E-2</v>
      </c>
      <c r="II68">
        <v>-1.510312442057411</v>
      </c>
      <c r="IJ68">
        <v>-1.5404112972462821E-3</v>
      </c>
      <c r="IK68">
        <v>-5.8697186733976997E-8</v>
      </c>
      <c r="IL68">
        <v>1.160237123038427E-10</v>
      </c>
      <c r="IM68">
        <v>-0.16541805096214521</v>
      </c>
      <c r="IN68">
        <v>-3.128848753924141E-3</v>
      </c>
      <c r="IO68">
        <v>3.6841110403368089E-4</v>
      </c>
      <c r="IP68">
        <v>1.9296040270694169E-6</v>
      </c>
      <c r="IQ68">
        <v>1</v>
      </c>
      <c r="IR68">
        <v>1992</v>
      </c>
      <c r="IS68">
        <v>2</v>
      </c>
      <c r="IT68">
        <v>27</v>
      </c>
      <c r="IU68">
        <v>0.7</v>
      </c>
      <c r="IV68">
        <v>0.8</v>
      </c>
      <c r="IW68">
        <v>1.24756</v>
      </c>
      <c r="IX68">
        <v>2.6831100000000001</v>
      </c>
      <c r="IY68">
        <v>1.69434</v>
      </c>
      <c r="IZ68">
        <v>2.34497</v>
      </c>
      <c r="JA68">
        <v>1.5466299999999999</v>
      </c>
      <c r="JB68">
        <v>2.3046899999999999</v>
      </c>
      <c r="JC68">
        <v>39.192399999999999</v>
      </c>
      <c r="JD68">
        <v>24.096299999999999</v>
      </c>
      <c r="JE68">
        <v>18</v>
      </c>
      <c r="JF68">
        <v>533.81600000000003</v>
      </c>
      <c r="JG68">
        <v>536.77300000000002</v>
      </c>
      <c r="JH68">
        <v>25.377800000000001</v>
      </c>
      <c r="JI68">
        <v>31.085999999999999</v>
      </c>
      <c r="JJ68">
        <v>29.9999</v>
      </c>
      <c r="JK68">
        <v>31.1038</v>
      </c>
      <c r="JL68">
        <v>31.069900000000001</v>
      </c>
      <c r="JM68">
        <v>25.042100000000001</v>
      </c>
      <c r="JN68">
        <v>20.021100000000001</v>
      </c>
      <c r="JO68">
        <v>26.546900000000001</v>
      </c>
      <c r="JP68">
        <v>25.379899999999999</v>
      </c>
      <c r="JQ68">
        <v>500</v>
      </c>
      <c r="JR68">
        <v>17.151</v>
      </c>
      <c r="JS68">
        <v>99.501800000000003</v>
      </c>
      <c r="JT68">
        <v>98.726500000000001</v>
      </c>
    </row>
    <row r="69" spans="1:280" x14ac:dyDescent="0.25">
      <c r="A69">
        <v>53</v>
      </c>
      <c r="B69">
        <v>1639677193.0999999</v>
      </c>
      <c r="C69">
        <v>10591</v>
      </c>
      <c r="D69" t="s">
        <v>685</v>
      </c>
      <c r="E69" t="s">
        <v>686</v>
      </c>
      <c r="F69" t="s">
        <v>412</v>
      </c>
      <c r="G69" t="s">
        <v>31</v>
      </c>
      <c r="H69" t="s">
        <v>636</v>
      </c>
      <c r="I69">
        <v>1639677193.0999999</v>
      </c>
      <c r="J69">
        <f t="shared" si="46"/>
        <v>6.4022289678807446E-3</v>
      </c>
      <c r="K69">
        <f t="shared" si="47"/>
        <v>6.4022289678807445</v>
      </c>
      <c r="L69">
        <f t="shared" si="48"/>
        <v>58.208146026118214</v>
      </c>
      <c r="M69">
        <f t="shared" si="49"/>
        <v>526.18100000000004</v>
      </c>
      <c r="N69">
        <f t="shared" si="50"/>
        <v>333.9349988277433</v>
      </c>
      <c r="O69">
        <f t="shared" si="51"/>
        <v>33.290315971746551</v>
      </c>
      <c r="P69">
        <f t="shared" si="52"/>
        <v>52.455513228086005</v>
      </c>
      <c r="Q69">
        <f t="shared" si="53"/>
        <v>0.55277184469759522</v>
      </c>
      <c r="R69">
        <f t="shared" si="54"/>
        <v>2.9181954865940192</v>
      </c>
      <c r="S69">
        <f t="shared" si="55"/>
        <v>0.50050982893561413</v>
      </c>
      <c r="T69">
        <f t="shared" si="56"/>
        <v>0.31710139839637907</v>
      </c>
      <c r="U69">
        <f t="shared" si="57"/>
        <v>289.58939384754188</v>
      </c>
      <c r="V69">
        <f t="shared" si="58"/>
        <v>28.057085849684665</v>
      </c>
      <c r="W69">
        <f t="shared" si="59"/>
        <v>27.650500000000001</v>
      </c>
      <c r="X69">
        <f t="shared" si="60"/>
        <v>3.7182049286061365</v>
      </c>
      <c r="Y69">
        <f t="shared" si="61"/>
        <v>65.368260275908469</v>
      </c>
      <c r="Z69">
        <f t="shared" si="62"/>
        <v>2.4826749061221998</v>
      </c>
      <c r="AA69">
        <f t="shared" si="63"/>
        <v>3.7979822250787239</v>
      </c>
      <c r="AB69">
        <f t="shared" si="64"/>
        <v>1.2355300224839367</v>
      </c>
      <c r="AC69">
        <f t="shared" si="65"/>
        <v>-282.33829748354083</v>
      </c>
      <c r="AD69">
        <f t="shared" si="66"/>
        <v>57.219377120143157</v>
      </c>
      <c r="AE69">
        <f t="shared" si="67"/>
        <v>4.2669123302592453</v>
      </c>
      <c r="AF69">
        <f t="shared" si="68"/>
        <v>68.737385814403439</v>
      </c>
      <c r="AG69">
        <v>0</v>
      </c>
      <c r="AH69">
        <v>0</v>
      </c>
      <c r="AI69">
        <f t="shared" si="69"/>
        <v>1</v>
      </c>
      <c r="AJ69">
        <f t="shared" si="70"/>
        <v>0</v>
      </c>
      <c r="AK69">
        <f t="shared" si="71"/>
        <v>52363.721909065731</v>
      </c>
      <c r="AL69" t="s">
        <v>415</v>
      </c>
      <c r="AM69">
        <v>10204.299999999999</v>
      </c>
      <c r="AN69">
        <v>862.72538461538477</v>
      </c>
      <c r="AO69">
        <v>3252.56</v>
      </c>
      <c r="AP69">
        <f t="shared" si="72"/>
        <v>0.73475496697512588</v>
      </c>
      <c r="AQ69">
        <v>-6.6684750346205304</v>
      </c>
      <c r="AR69" t="s">
        <v>687</v>
      </c>
      <c r="AS69">
        <v>10051</v>
      </c>
      <c r="AT69">
        <v>729.21035999999992</v>
      </c>
      <c r="AU69">
        <v>1156.9242846670541</v>
      </c>
      <c r="AV69">
        <f t="shared" si="73"/>
        <v>0.3696991500097554</v>
      </c>
      <c r="AW69">
        <v>0.5</v>
      </c>
      <c r="AX69">
        <f t="shared" si="74"/>
        <v>1513.3025999210063</v>
      </c>
      <c r="AY69">
        <f t="shared" si="75"/>
        <v>58.208146026118214</v>
      </c>
      <c r="AZ69">
        <f t="shared" si="76"/>
        <v>279.73334244917447</v>
      </c>
      <c r="BA69">
        <f t="shared" si="77"/>
        <v>4.2870884556813205E-2</v>
      </c>
      <c r="BB69">
        <f t="shared" si="78"/>
        <v>1.8113853629894539</v>
      </c>
      <c r="BC69">
        <f t="shared" si="79"/>
        <v>582.74105285369717</v>
      </c>
      <c r="BD69" t="s">
        <v>688</v>
      </c>
      <c r="BE69">
        <v>561.91</v>
      </c>
      <c r="BF69">
        <f t="shared" si="80"/>
        <v>561.91</v>
      </c>
      <c r="BG69">
        <f t="shared" si="81"/>
        <v>0.51430702298577002</v>
      </c>
      <c r="BH69">
        <f t="shared" si="82"/>
        <v>0.71882967466299663</v>
      </c>
      <c r="BI69">
        <f t="shared" si="83"/>
        <v>0.77885853430693175</v>
      </c>
      <c r="BJ69">
        <f t="shared" si="84"/>
        <v>1.4538257097220146</v>
      </c>
      <c r="BK69">
        <f t="shared" si="85"/>
        <v>0.87689570727708221</v>
      </c>
      <c r="BL69">
        <f t="shared" si="86"/>
        <v>0.55391092152048482</v>
      </c>
      <c r="BM69">
        <f t="shared" si="87"/>
        <v>0.44608907847951518</v>
      </c>
      <c r="BN69">
        <v>4976</v>
      </c>
      <c r="BO69">
        <v>290.00000000000011</v>
      </c>
      <c r="BP69">
        <v>1045.81</v>
      </c>
      <c r="BQ69">
        <v>215</v>
      </c>
      <c r="BR69">
        <v>10051</v>
      </c>
      <c r="BS69">
        <v>1048.57</v>
      </c>
      <c r="BT69">
        <v>-2.76</v>
      </c>
      <c r="BU69">
        <v>300.00000000000011</v>
      </c>
      <c r="BV69">
        <v>24.1</v>
      </c>
      <c r="BW69">
        <v>1156.9242846670541</v>
      </c>
      <c r="BX69">
        <v>3.148770162576541</v>
      </c>
      <c r="BY69">
        <v>-108.911478393721</v>
      </c>
      <c r="BZ69">
        <v>2.8192871806408921</v>
      </c>
      <c r="CA69">
        <v>0.98158310414431094</v>
      </c>
      <c r="CB69">
        <v>-6.84621735261401E-3</v>
      </c>
      <c r="CC69">
        <v>289.99999999999989</v>
      </c>
      <c r="CD69">
        <v>1046.49</v>
      </c>
      <c r="CE69">
        <v>695</v>
      </c>
      <c r="CF69">
        <v>10036.1</v>
      </c>
      <c r="CG69">
        <v>1048.4000000000001</v>
      </c>
      <c r="CH69">
        <v>-1.91</v>
      </c>
      <c r="CV69">
        <f t="shared" si="88"/>
        <v>1800.14</v>
      </c>
      <c r="CW69">
        <f t="shared" si="89"/>
        <v>1513.3025999210063</v>
      </c>
      <c r="CX69">
        <f t="shared" si="90"/>
        <v>0.84065828208972981</v>
      </c>
      <c r="CY69">
        <f t="shared" si="91"/>
        <v>0.16087048443317847</v>
      </c>
      <c r="CZ69">
        <v>6</v>
      </c>
      <c r="DA69">
        <v>0.5</v>
      </c>
      <c r="DB69" t="s">
        <v>418</v>
      </c>
      <c r="DC69">
        <v>2</v>
      </c>
      <c r="DD69">
        <v>1639677193.0999999</v>
      </c>
      <c r="DE69">
        <v>526.18100000000004</v>
      </c>
      <c r="DF69">
        <v>600.05700000000002</v>
      </c>
      <c r="DG69">
        <v>24.903700000000001</v>
      </c>
      <c r="DH69">
        <v>17.414000000000001</v>
      </c>
      <c r="DI69">
        <v>528.48</v>
      </c>
      <c r="DJ69">
        <v>24.886700000000001</v>
      </c>
      <c r="DK69">
        <v>500.11</v>
      </c>
      <c r="DL69">
        <v>99.590699999999998</v>
      </c>
      <c r="DM69">
        <v>0.10030600000000001</v>
      </c>
      <c r="DN69">
        <v>28.014199999999999</v>
      </c>
      <c r="DO69">
        <v>27.650500000000001</v>
      </c>
      <c r="DP69">
        <v>999.9</v>
      </c>
      <c r="DQ69">
        <v>0</v>
      </c>
      <c r="DR69">
        <v>0</v>
      </c>
      <c r="DS69">
        <v>9976.25</v>
      </c>
      <c r="DT69">
        <v>0</v>
      </c>
      <c r="DU69">
        <v>456.08499999999998</v>
      </c>
      <c r="DV69">
        <v>-73.876199999999997</v>
      </c>
      <c r="DW69">
        <v>539.62</v>
      </c>
      <c r="DX69">
        <v>610.69200000000001</v>
      </c>
      <c r="DY69">
        <v>7.4896799999999999</v>
      </c>
      <c r="DZ69">
        <v>600.05700000000002</v>
      </c>
      <c r="EA69">
        <v>17.414000000000001</v>
      </c>
      <c r="EB69">
        <v>2.4801799999999998</v>
      </c>
      <c r="EC69">
        <v>1.73427</v>
      </c>
      <c r="ED69">
        <v>20.896999999999998</v>
      </c>
      <c r="EE69">
        <v>15.2067</v>
      </c>
      <c r="EF69">
        <v>1800.14</v>
      </c>
      <c r="EG69">
        <v>0.97799499999999995</v>
      </c>
      <c r="EH69">
        <v>2.2004699999999999E-2</v>
      </c>
      <c r="EI69">
        <v>0</v>
      </c>
      <c r="EJ69">
        <v>729.41700000000003</v>
      </c>
      <c r="EK69">
        <v>5.0001199999999999</v>
      </c>
      <c r="EL69">
        <v>13031</v>
      </c>
      <c r="EM69">
        <v>15631.1</v>
      </c>
      <c r="EN69">
        <v>46.75</v>
      </c>
      <c r="EO69">
        <v>47.686999999999998</v>
      </c>
      <c r="EP69">
        <v>47.5</v>
      </c>
      <c r="EQ69">
        <v>47.25</v>
      </c>
      <c r="ER69">
        <v>48.436999999999998</v>
      </c>
      <c r="ES69">
        <v>1755.64</v>
      </c>
      <c r="ET69">
        <v>39.5</v>
      </c>
      <c r="EU69">
        <v>0</v>
      </c>
      <c r="EV69">
        <v>117.2000000476837</v>
      </c>
      <c r="EW69">
        <v>0</v>
      </c>
      <c r="EX69">
        <v>729.21035999999992</v>
      </c>
      <c r="EY69">
        <v>2.4568461526373828</v>
      </c>
      <c r="EZ69">
        <v>33.538461602642897</v>
      </c>
      <c r="FA69">
        <v>13025.704</v>
      </c>
      <c r="FB69">
        <v>15</v>
      </c>
      <c r="FC69">
        <v>1639677154.5999999</v>
      </c>
      <c r="FD69" t="s">
        <v>689</v>
      </c>
      <c r="FE69">
        <v>1639677154.5999999</v>
      </c>
      <c r="FF69">
        <v>1639677149.5999999</v>
      </c>
      <c r="FG69">
        <v>58</v>
      </c>
      <c r="FH69">
        <v>2.5000000000000001E-2</v>
      </c>
      <c r="FI69">
        <v>2E-3</v>
      </c>
      <c r="FJ69">
        <v>-2.4089999999999998</v>
      </c>
      <c r="FK69">
        <v>-9.9000000000000005E-2</v>
      </c>
      <c r="FL69">
        <v>600</v>
      </c>
      <c r="FM69">
        <v>17</v>
      </c>
      <c r="FN69">
        <v>0.02</v>
      </c>
      <c r="FO69">
        <v>0.01</v>
      </c>
      <c r="FP69">
        <v>58.210340323373813</v>
      </c>
      <c r="FQ69">
        <v>-1.3233676744400199E-2</v>
      </c>
      <c r="FR69">
        <v>6.6001808695498349E-2</v>
      </c>
      <c r="FS69">
        <v>1</v>
      </c>
      <c r="FT69">
        <v>0.55078801471901961</v>
      </c>
      <c r="FU69">
        <v>4.7277900584755353E-2</v>
      </c>
      <c r="FV69">
        <v>6.158007391518742E-3</v>
      </c>
      <c r="FW69">
        <v>1</v>
      </c>
      <c r="FX69">
        <v>2</v>
      </c>
      <c r="FY69">
        <v>2</v>
      </c>
      <c r="FZ69" t="s">
        <v>420</v>
      </c>
      <c r="GA69">
        <v>2.9215</v>
      </c>
      <c r="GB69">
        <v>2.7450800000000002</v>
      </c>
      <c r="GC69">
        <v>0.113119</v>
      </c>
      <c r="GD69">
        <v>0.12571399999999999</v>
      </c>
      <c r="GE69">
        <v>0.119973</v>
      </c>
      <c r="GF69">
        <v>9.4504400000000002E-2</v>
      </c>
      <c r="GG69">
        <v>27649.7</v>
      </c>
      <c r="GH69">
        <v>26939.4</v>
      </c>
      <c r="GI69">
        <v>28381.5</v>
      </c>
      <c r="GJ69">
        <v>28175.599999999999</v>
      </c>
      <c r="GK69">
        <v>34274.9</v>
      </c>
      <c r="GL69">
        <v>35826.800000000003</v>
      </c>
      <c r="GM69">
        <v>42706</v>
      </c>
      <c r="GN69">
        <v>43835.6</v>
      </c>
      <c r="GO69">
        <v>1.8023800000000001</v>
      </c>
      <c r="GP69">
        <v>1.98302</v>
      </c>
      <c r="GQ69">
        <v>5.5000199999999999E-2</v>
      </c>
      <c r="GR69">
        <v>0</v>
      </c>
      <c r="GS69">
        <v>26.751300000000001</v>
      </c>
      <c r="GT69">
        <v>999.9</v>
      </c>
      <c r="GU69">
        <v>36.5</v>
      </c>
      <c r="GV69">
        <v>35.5</v>
      </c>
      <c r="GW69">
        <v>21.281099999999999</v>
      </c>
      <c r="GX69">
        <v>61.297499999999999</v>
      </c>
      <c r="GY69">
        <v>29.6554</v>
      </c>
      <c r="GZ69">
        <v>1</v>
      </c>
      <c r="HA69">
        <v>0.30184699999999998</v>
      </c>
      <c r="HB69">
        <v>1.91666</v>
      </c>
      <c r="HC69">
        <v>20.2653</v>
      </c>
      <c r="HD69">
        <v>5.27644</v>
      </c>
      <c r="HE69">
        <v>12.0878</v>
      </c>
      <c r="HF69">
        <v>5.0133999999999999</v>
      </c>
      <c r="HG69">
        <v>3.2919</v>
      </c>
      <c r="HH69">
        <v>9999</v>
      </c>
      <c r="HI69">
        <v>9999</v>
      </c>
      <c r="HJ69">
        <v>9999</v>
      </c>
      <c r="HK69">
        <v>999.9</v>
      </c>
      <c r="HL69">
        <v>1.8752899999999999</v>
      </c>
      <c r="HM69">
        <v>1.8757600000000001</v>
      </c>
      <c r="HN69">
        <v>1.87547</v>
      </c>
      <c r="HO69">
        <v>1.8794299999999999</v>
      </c>
      <c r="HP69">
        <v>1.87286</v>
      </c>
      <c r="HQ69">
        <v>1.8760699999999999</v>
      </c>
      <c r="HR69">
        <v>1.87592</v>
      </c>
      <c r="HS69">
        <v>1.8772899999999999</v>
      </c>
      <c r="HT69">
        <v>0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423</v>
      </c>
      <c r="IB69" t="s">
        <v>423</v>
      </c>
      <c r="IC69" t="s">
        <v>423</v>
      </c>
      <c r="ID69">
        <v>0</v>
      </c>
      <c r="IE69">
        <v>100</v>
      </c>
      <c r="IF69">
        <v>100</v>
      </c>
      <c r="IG69">
        <v>-2.2989999999999999</v>
      </c>
      <c r="IH69">
        <v>1.7000000000000001E-2</v>
      </c>
      <c r="II69">
        <v>-1.485323410307416</v>
      </c>
      <c r="IJ69">
        <v>-1.5404112972462821E-3</v>
      </c>
      <c r="IK69">
        <v>-5.8697186733976997E-8</v>
      </c>
      <c r="IL69">
        <v>1.160237123038427E-10</v>
      </c>
      <c r="IM69">
        <v>-0.1630620775314125</v>
      </c>
      <c r="IN69">
        <v>-3.128848753924141E-3</v>
      </c>
      <c r="IO69">
        <v>3.6841110403368089E-4</v>
      </c>
      <c r="IP69">
        <v>1.9296040270694169E-6</v>
      </c>
      <c r="IQ69">
        <v>1</v>
      </c>
      <c r="IR69">
        <v>1992</v>
      </c>
      <c r="IS69">
        <v>2</v>
      </c>
      <c r="IT69">
        <v>27</v>
      </c>
      <c r="IU69">
        <v>0.6</v>
      </c>
      <c r="IV69">
        <v>0.7</v>
      </c>
      <c r="IW69">
        <v>1.4453100000000001</v>
      </c>
      <c r="IX69">
        <v>2.6709000000000001</v>
      </c>
      <c r="IY69">
        <v>1.69434</v>
      </c>
      <c r="IZ69">
        <v>2.34497</v>
      </c>
      <c r="JA69">
        <v>1.5466299999999999</v>
      </c>
      <c r="JB69">
        <v>2.3913600000000002</v>
      </c>
      <c r="JC69">
        <v>39.1676</v>
      </c>
      <c r="JD69">
        <v>24.096299999999999</v>
      </c>
      <c r="JE69">
        <v>18</v>
      </c>
      <c r="JF69">
        <v>533.71600000000001</v>
      </c>
      <c r="JG69">
        <v>537.26400000000001</v>
      </c>
      <c r="JH69">
        <v>25.393899999999999</v>
      </c>
      <c r="JI69">
        <v>31.037199999999999</v>
      </c>
      <c r="JJ69">
        <v>29.9999</v>
      </c>
      <c r="JK69">
        <v>31.056100000000001</v>
      </c>
      <c r="JL69">
        <v>31.022300000000001</v>
      </c>
      <c r="JM69">
        <v>28.996600000000001</v>
      </c>
      <c r="JN69">
        <v>18.671099999999999</v>
      </c>
      <c r="JO69">
        <v>26.722100000000001</v>
      </c>
      <c r="JP69">
        <v>25.3781</v>
      </c>
      <c r="JQ69">
        <v>600</v>
      </c>
      <c r="JR69">
        <v>17.309899999999999</v>
      </c>
      <c r="JS69">
        <v>99.510400000000004</v>
      </c>
      <c r="JT69">
        <v>98.730900000000005</v>
      </c>
    </row>
    <row r="70" spans="1:280" x14ac:dyDescent="0.25">
      <c r="A70">
        <v>54</v>
      </c>
      <c r="B70">
        <v>1639677326.0999999</v>
      </c>
      <c r="C70">
        <v>10724</v>
      </c>
      <c r="D70" t="s">
        <v>690</v>
      </c>
      <c r="E70" t="s">
        <v>691</v>
      </c>
      <c r="F70" t="s">
        <v>412</v>
      </c>
      <c r="G70" t="s">
        <v>31</v>
      </c>
      <c r="H70" t="s">
        <v>636</v>
      </c>
      <c r="I70">
        <v>1639677326.0999999</v>
      </c>
      <c r="J70">
        <f t="shared" si="46"/>
        <v>6.2041888741524373E-3</v>
      </c>
      <c r="K70">
        <f t="shared" si="47"/>
        <v>6.2041888741524369</v>
      </c>
      <c r="L70">
        <f t="shared" si="48"/>
        <v>58.754933859493939</v>
      </c>
      <c r="M70">
        <f t="shared" si="49"/>
        <v>724.178</v>
      </c>
      <c r="N70">
        <f t="shared" si="50"/>
        <v>517.82452730957368</v>
      </c>
      <c r="O70">
        <f t="shared" si="51"/>
        <v>51.623170424181474</v>
      </c>
      <c r="P70">
        <f t="shared" si="52"/>
        <v>72.195043571378008</v>
      </c>
      <c r="Q70">
        <f t="shared" si="53"/>
        <v>0.52688749674942492</v>
      </c>
      <c r="R70">
        <f t="shared" si="54"/>
        <v>2.9166842413328471</v>
      </c>
      <c r="S70">
        <f t="shared" si="55"/>
        <v>0.47915718819888981</v>
      </c>
      <c r="T70">
        <f t="shared" si="56"/>
        <v>0.30340048158152572</v>
      </c>
      <c r="U70">
        <f t="shared" si="57"/>
        <v>289.59577784754521</v>
      </c>
      <c r="V70">
        <f t="shared" si="58"/>
        <v>28.094323927834395</v>
      </c>
      <c r="W70">
        <f t="shared" si="59"/>
        <v>27.703299999999999</v>
      </c>
      <c r="X70">
        <f t="shared" si="60"/>
        <v>3.7296950445768302</v>
      </c>
      <c r="Y70">
        <f t="shared" si="61"/>
        <v>65.328300294928027</v>
      </c>
      <c r="Z70">
        <f t="shared" si="62"/>
        <v>2.4790609049071</v>
      </c>
      <c r="AA70">
        <f t="shared" si="63"/>
        <v>3.7947733122019862</v>
      </c>
      <c r="AB70">
        <f t="shared" si="64"/>
        <v>1.2506341396697302</v>
      </c>
      <c r="AC70">
        <f t="shared" si="65"/>
        <v>-273.60472935012251</v>
      </c>
      <c r="AD70">
        <f t="shared" si="66"/>
        <v>46.607204834673801</v>
      </c>
      <c r="AE70">
        <f t="shared" si="67"/>
        <v>3.4780153895778718</v>
      </c>
      <c r="AF70">
        <f t="shared" si="68"/>
        <v>66.076268721674381</v>
      </c>
      <c r="AG70">
        <v>0</v>
      </c>
      <c r="AH70">
        <v>0</v>
      </c>
      <c r="AI70">
        <f t="shared" si="69"/>
        <v>1</v>
      </c>
      <c r="AJ70">
        <f t="shared" si="70"/>
        <v>0</v>
      </c>
      <c r="AK70">
        <f t="shared" si="71"/>
        <v>52322.895721213936</v>
      </c>
      <c r="AL70" t="s">
        <v>415</v>
      </c>
      <c r="AM70">
        <v>10204.299999999999</v>
      </c>
      <c r="AN70">
        <v>862.72538461538477</v>
      </c>
      <c r="AO70">
        <v>3252.56</v>
      </c>
      <c r="AP70">
        <f t="shared" si="72"/>
        <v>0.73475496697512588</v>
      </c>
      <c r="AQ70">
        <v>-6.6684750346205304</v>
      </c>
      <c r="AR70" t="s">
        <v>692</v>
      </c>
      <c r="AS70">
        <v>10047.299999999999</v>
      </c>
      <c r="AT70">
        <v>732.17808000000002</v>
      </c>
      <c r="AU70">
        <v>1173.793812466896</v>
      </c>
      <c r="AV70">
        <f t="shared" si="73"/>
        <v>0.37622939205888062</v>
      </c>
      <c r="AW70">
        <v>0.5</v>
      </c>
      <c r="AX70">
        <f t="shared" si="74"/>
        <v>1513.3361999210078</v>
      </c>
      <c r="AY70">
        <f t="shared" si="75"/>
        <v>58.754933859493939</v>
      </c>
      <c r="AZ70">
        <f t="shared" si="76"/>
        <v>284.6807792384887</v>
      </c>
      <c r="BA70">
        <f t="shared" si="77"/>
        <v>4.3231245573541029E-2</v>
      </c>
      <c r="BB70">
        <f t="shared" si="78"/>
        <v>1.7709806998933475</v>
      </c>
      <c r="BC70">
        <f t="shared" si="79"/>
        <v>586.9903071017726</v>
      </c>
      <c r="BD70" t="s">
        <v>693</v>
      </c>
      <c r="BE70">
        <v>563.63</v>
      </c>
      <c r="BF70">
        <f t="shared" si="80"/>
        <v>563.63</v>
      </c>
      <c r="BG70">
        <f t="shared" si="81"/>
        <v>0.51982197042302447</v>
      </c>
      <c r="BH70">
        <f t="shared" si="82"/>
        <v>0.72376585343768729</v>
      </c>
      <c r="BI70">
        <f t="shared" si="83"/>
        <v>0.77308304326743504</v>
      </c>
      <c r="BJ70">
        <f t="shared" si="84"/>
        <v>1.4196739139264289</v>
      </c>
      <c r="BK70">
        <f t="shared" si="85"/>
        <v>0.86983683898082287</v>
      </c>
      <c r="BL70">
        <f t="shared" si="86"/>
        <v>0.55715427587381972</v>
      </c>
      <c r="BM70">
        <f t="shared" si="87"/>
        <v>0.44284572412618028</v>
      </c>
      <c r="BN70">
        <v>4978</v>
      </c>
      <c r="BO70">
        <v>290.00000000000011</v>
      </c>
      <c r="BP70">
        <v>1058.3599999999999</v>
      </c>
      <c r="BQ70">
        <v>275</v>
      </c>
      <c r="BR70">
        <v>10047.299999999999</v>
      </c>
      <c r="BS70">
        <v>1059.43</v>
      </c>
      <c r="BT70">
        <v>-1.07</v>
      </c>
      <c r="BU70">
        <v>300.00000000000011</v>
      </c>
      <c r="BV70">
        <v>24.1</v>
      </c>
      <c r="BW70">
        <v>1173.793812466896</v>
      </c>
      <c r="BX70">
        <v>2.3552037873286782</v>
      </c>
      <c r="BY70">
        <v>-114.9083734951115</v>
      </c>
      <c r="BZ70">
        <v>2.108813438950536</v>
      </c>
      <c r="CA70">
        <v>0.99065768277999799</v>
      </c>
      <c r="CB70">
        <v>-6.8463864293659641E-3</v>
      </c>
      <c r="CC70">
        <v>289.99999999999989</v>
      </c>
      <c r="CD70">
        <v>1056.8</v>
      </c>
      <c r="CE70">
        <v>655</v>
      </c>
      <c r="CF70">
        <v>10037.9</v>
      </c>
      <c r="CG70">
        <v>1059.32</v>
      </c>
      <c r="CH70">
        <v>-2.52</v>
      </c>
      <c r="CV70">
        <f t="shared" si="88"/>
        <v>1800.18</v>
      </c>
      <c r="CW70">
        <f t="shared" si="89"/>
        <v>1513.3361999210078</v>
      </c>
      <c r="CX70">
        <f t="shared" si="90"/>
        <v>0.84065826746270256</v>
      </c>
      <c r="CY70">
        <f t="shared" si="91"/>
        <v>0.16087045620301593</v>
      </c>
      <c r="CZ70">
        <v>6</v>
      </c>
      <c r="DA70">
        <v>0.5</v>
      </c>
      <c r="DB70" t="s">
        <v>418</v>
      </c>
      <c r="DC70">
        <v>2</v>
      </c>
      <c r="DD70">
        <v>1639677326.0999999</v>
      </c>
      <c r="DE70">
        <v>724.178</v>
      </c>
      <c r="DF70">
        <v>800.06299999999999</v>
      </c>
      <c r="DG70">
        <v>24.867100000000001</v>
      </c>
      <c r="DH70">
        <v>17.6084</v>
      </c>
      <c r="DI70">
        <v>726.75300000000004</v>
      </c>
      <c r="DJ70">
        <v>24.85</v>
      </c>
      <c r="DK70">
        <v>500.08199999999999</v>
      </c>
      <c r="DL70">
        <v>99.592100000000002</v>
      </c>
      <c r="DM70">
        <v>0.100301</v>
      </c>
      <c r="DN70">
        <v>27.999700000000001</v>
      </c>
      <c r="DO70">
        <v>27.703299999999999</v>
      </c>
      <c r="DP70">
        <v>999.9</v>
      </c>
      <c r="DQ70">
        <v>0</v>
      </c>
      <c r="DR70">
        <v>0</v>
      </c>
      <c r="DS70">
        <v>9967.5</v>
      </c>
      <c r="DT70">
        <v>0</v>
      </c>
      <c r="DU70">
        <v>455.26100000000002</v>
      </c>
      <c r="DV70">
        <v>-75.885300000000001</v>
      </c>
      <c r="DW70">
        <v>742.64499999999998</v>
      </c>
      <c r="DX70">
        <v>814.40300000000002</v>
      </c>
      <c r="DY70">
        <v>7.2586500000000003</v>
      </c>
      <c r="DZ70">
        <v>800.06299999999999</v>
      </c>
      <c r="EA70">
        <v>17.6084</v>
      </c>
      <c r="EB70">
        <v>2.4765600000000001</v>
      </c>
      <c r="EC70">
        <v>1.75366</v>
      </c>
      <c r="ED70">
        <v>20.8733</v>
      </c>
      <c r="EE70">
        <v>15.379799999999999</v>
      </c>
      <c r="EF70">
        <v>1800.18</v>
      </c>
      <c r="EG70">
        <v>0.97799499999999995</v>
      </c>
      <c r="EH70">
        <v>2.2004699999999999E-2</v>
      </c>
      <c r="EI70">
        <v>0</v>
      </c>
      <c r="EJ70">
        <v>732.11400000000003</v>
      </c>
      <c r="EK70">
        <v>5.0001199999999999</v>
      </c>
      <c r="EL70">
        <v>13080.2</v>
      </c>
      <c r="EM70">
        <v>15631.5</v>
      </c>
      <c r="EN70">
        <v>46.875</v>
      </c>
      <c r="EO70">
        <v>47.686999999999998</v>
      </c>
      <c r="EP70">
        <v>47.561999999999998</v>
      </c>
      <c r="EQ70">
        <v>47.375</v>
      </c>
      <c r="ER70">
        <v>48.375</v>
      </c>
      <c r="ES70">
        <v>1755.68</v>
      </c>
      <c r="ET70">
        <v>39.5</v>
      </c>
      <c r="EU70">
        <v>0</v>
      </c>
      <c r="EV70">
        <v>130.80000019073489</v>
      </c>
      <c r="EW70">
        <v>0</v>
      </c>
      <c r="EX70">
        <v>732.17808000000002</v>
      </c>
      <c r="EY70">
        <v>0.35869228863061259</v>
      </c>
      <c r="EZ70">
        <v>24.976923044624002</v>
      </c>
      <c r="FA70">
        <v>13075.364</v>
      </c>
      <c r="FB70">
        <v>15</v>
      </c>
      <c r="FC70">
        <v>1639677285.5999999</v>
      </c>
      <c r="FD70" t="s">
        <v>694</v>
      </c>
      <c r="FE70">
        <v>1639677285.5999999</v>
      </c>
      <c r="FF70">
        <v>1639677284.0999999</v>
      </c>
      <c r="FG70">
        <v>59</v>
      </c>
      <c r="FH70">
        <v>1.7000000000000001E-2</v>
      </c>
      <c r="FI70">
        <v>1E-3</v>
      </c>
      <c r="FJ70">
        <v>-2.6829999999999998</v>
      </c>
      <c r="FK70">
        <v>-9.6000000000000002E-2</v>
      </c>
      <c r="FL70">
        <v>800</v>
      </c>
      <c r="FM70">
        <v>17</v>
      </c>
      <c r="FN70">
        <v>0.05</v>
      </c>
      <c r="FO70">
        <v>0.01</v>
      </c>
      <c r="FP70">
        <v>58.698219397092998</v>
      </c>
      <c r="FQ70">
        <v>-0.57379037521075715</v>
      </c>
      <c r="FR70">
        <v>7.5582034177930385E-2</v>
      </c>
      <c r="FS70">
        <v>1</v>
      </c>
      <c r="FT70">
        <v>0.52745378739583804</v>
      </c>
      <c r="FU70">
        <v>2.9926916634034059E-2</v>
      </c>
      <c r="FV70">
        <v>3.9800012730091712E-3</v>
      </c>
      <c r="FW70">
        <v>1</v>
      </c>
      <c r="FX70">
        <v>2</v>
      </c>
      <c r="FY70">
        <v>2</v>
      </c>
      <c r="FZ70" t="s">
        <v>420</v>
      </c>
      <c r="GA70">
        <v>2.9215399999999998</v>
      </c>
      <c r="GB70">
        <v>2.74499</v>
      </c>
      <c r="GC70">
        <v>0.14144799999999999</v>
      </c>
      <c r="GD70">
        <v>0.15301300000000001</v>
      </c>
      <c r="GE70">
        <v>0.119867</v>
      </c>
      <c r="GF70">
        <v>9.5274899999999996E-2</v>
      </c>
      <c r="GG70">
        <v>26769.4</v>
      </c>
      <c r="GH70">
        <v>26101.3</v>
      </c>
      <c r="GI70">
        <v>28384.5</v>
      </c>
      <c r="GJ70">
        <v>28179</v>
      </c>
      <c r="GK70">
        <v>34282.400000000001</v>
      </c>
      <c r="GL70">
        <v>35799.699999999997</v>
      </c>
      <c r="GM70">
        <v>42710.5</v>
      </c>
      <c r="GN70">
        <v>43840.1</v>
      </c>
      <c r="GO70">
        <v>1.80315</v>
      </c>
      <c r="GP70">
        <v>1.9847999999999999</v>
      </c>
      <c r="GQ70">
        <v>5.89229E-2</v>
      </c>
      <c r="GR70">
        <v>0</v>
      </c>
      <c r="GS70">
        <v>26.740100000000002</v>
      </c>
      <c r="GT70">
        <v>999.9</v>
      </c>
      <c r="GU70">
        <v>36.4</v>
      </c>
      <c r="GV70">
        <v>35.5</v>
      </c>
      <c r="GW70">
        <v>21.221499999999999</v>
      </c>
      <c r="GX70">
        <v>61.407499999999999</v>
      </c>
      <c r="GY70">
        <v>29.988</v>
      </c>
      <c r="GZ70">
        <v>1</v>
      </c>
      <c r="HA70">
        <v>0.29700700000000002</v>
      </c>
      <c r="HB70">
        <v>1.8736299999999999</v>
      </c>
      <c r="HC70">
        <v>20.265599999999999</v>
      </c>
      <c r="HD70">
        <v>5.2727000000000004</v>
      </c>
      <c r="HE70">
        <v>12.0878</v>
      </c>
      <c r="HF70">
        <v>5.0133999999999999</v>
      </c>
      <c r="HG70">
        <v>3.2919800000000001</v>
      </c>
      <c r="HH70">
        <v>9999</v>
      </c>
      <c r="HI70">
        <v>9999</v>
      </c>
      <c r="HJ70">
        <v>9999</v>
      </c>
      <c r="HK70">
        <v>999.9</v>
      </c>
      <c r="HL70">
        <v>1.8752500000000001</v>
      </c>
      <c r="HM70">
        <v>1.87575</v>
      </c>
      <c r="HN70">
        <v>1.87547</v>
      </c>
      <c r="HO70">
        <v>1.8794299999999999</v>
      </c>
      <c r="HP70">
        <v>1.87287</v>
      </c>
      <c r="HQ70">
        <v>1.8760699999999999</v>
      </c>
      <c r="HR70">
        <v>1.8758999999999999</v>
      </c>
      <c r="HS70">
        <v>1.8772800000000001</v>
      </c>
      <c r="HT70">
        <v>0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423</v>
      </c>
      <c r="IB70" t="s">
        <v>423</v>
      </c>
      <c r="IC70" t="s">
        <v>423</v>
      </c>
      <c r="ID70">
        <v>0</v>
      </c>
      <c r="IE70">
        <v>100</v>
      </c>
      <c r="IF70">
        <v>100</v>
      </c>
      <c r="IG70">
        <v>-2.5750000000000002</v>
      </c>
      <c r="IH70">
        <v>1.7100000000000001E-2</v>
      </c>
      <c r="II70">
        <v>-1.4689250368246181</v>
      </c>
      <c r="IJ70">
        <v>-1.5404112972462821E-3</v>
      </c>
      <c r="IK70">
        <v>-5.8697186733976997E-8</v>
      </c>
      <c r="IL70">
        <v>1.160237123038427E-10</v>
      </c>
      <c r="IM70">
        <v>-0.16223696054284109</v>
      </c>
      <c r="IN70">
        <v>-3.128848753924141E-3</v>
      </c>
      <c r="IO70">
        <v>3.6841110403368089E-4</v>
      </c>
      <c r="IP70">
        <v>1.9296040270694169E-6</v>
      </c>
      <c r="IQ70">
        <v>1</v>
      </c>
      <c r="IR70">
        <v>1992</v>
      </c>
      <c r="IS70">
        <v>2</v>
      </c>
      <c r="IT70">
        <v>27</v>
      </c>
      <c r="IU70">
        <v>0.7</v>
      </c>
      <c r="IV70">
        <v>0.7</v>
      </c>
      <c r="IW70">
        <v>1.8261700000000001</v>
      </c>
      <c r="IX70">
        <v>2.677</v>
      </c>
      <c r="IY70">
        <v>1.69434</v>
      </c>
      <c r="IZ70">
        <v>2.34497</v>
      </c>
      <c r="JA70">
        <v>1.5466299999999999</v>
      </c>
      <c r="JB70">
        <v>2.3120099999999999</v>
      </c>
      <c r="JC70">
        <v>39.1676</v>
      </c>
      <c r="JD70">
        <v>24.096299999999999</v>
      </c>
      <c r="JE70">
        <v>18</v>
      </c>
      <c r="JF70">
        <v>533.79499999999996</v>
      </c>
      <c r="JG70">
        <v>538.06500000000005</v>
      </c>
      <c r="JH70">
        <v>25.381799999999998</v>
      </c>
      <c r="JI70">
        <v>30.980499999999999</v>
      </c>
      <c r="JJ70">
        <v>30</v>
      </c>
      <c r="JK70">
        <v>30.999199999999998</v>
      </c>
      <c r="JL70">
        <v>30.965499999999999</v>
      </c>
      <c r="JM70">
        <v>36.630000000000003</v>
      </c>
      <c r="JN70">
        <v>16.794</v>
      </c>
      <c r="JO70">
        <v>26.760400000000001</v>
      </c>
      <c r="JP70">
        <v>25.382400000000001</v>
      </c>
      <c r="JQ70">
        <v>800</v>
      </c>
      <c r="JR70">
        <v>17.5397</v>
      </c>
      <c r="JS70">
        <v>99.520899999999997</v>
      </c>
      <c r="JT70">
        <v>98.741699999999994</v>
      </c>
    </row>
    <row r="71" spans="1:280" x14ac:dyDescent="0.25">
      <c r="A71">
        <v>55</v>
      </c>
      <c r="B71">
        <v>1639677450.5</v>
      </c>
      <c r="C71">
        <v>10848.400000095369</v>
      </c>
      <c r="D71" t="s">
        <v>695</v>
      </c>
      <c r="E71" t="s">
        <v>696</v>
      </c>
      <c r="F71" t="s">
        <v>412</v>
      </c>
      <c r="G71" t="s">
        <v>31</v>
      </c>
      <c r="H71" t="s">
        <v>636</v>
      </c>
      <c r="I71">
        <v>1639677450.5</v>
      </c>
      <c r="J71">
        <f t="shared" si="46"/>
        <v>5.99376603079792E-3</v>
      </c>
      <c r="K71">
        <f t="shared" si="47"/>
        <v>5.9937660307979197</v>
      </c>
      <c r="L71">
        <f t="shared" si="48"/>
        <v>57.803892328505647</v>
      </c>
      <c r="M71">
        <f t="shared" si="49"/>
        <v>1122.6199999999999</v>
      </c>
      <c r="N71">
        <f t="shared" si="50"/>
        <v>901.12985672124557</v>
      </c>
      <c r="O71">
        <f t="shared" si="51"/>
        <v>89.831833246940533</v>
      </c>
      <c r="P71">
        <f t="shared" si="52"/>
        <v>111.91174267226199</v>
      </c>
      <c r="Q71">
        <f t="shared" si="53"/>
        <v>0.49855245163839074</v>
      </c>
      <c r="R71">
        <f t="shared" si="54"/>
        <v>2.9252764527313366</v>
      </c>
      <c r="S71">
        <f t="shared" si="55"/>
        <v>0.4557084784370844</v>
      </c>
      <c r="T71">
        <f t="shared" si="56"/>
        <v>0.28835971188635739</v>
      </c>
      <c r="U71">
        <f t="shared" si="57"/>
        <v>289.59577784754521</v>
      </c>
      <c r="V71">
        <f t="shared" si="58"/>
        <v>28.1422263630676</v>
      </c>
      <c r="W71">
        <f t="shared" si="59"/>
        <v>27.7758</v>
      </c>
      <c r="X71">
        <f t="shared" si="60"/>
        <v>3.7455226665649266</v>
      </c>
      <c r="Y71">
        <f t="shared" si="61"/>
        <v>65.253583403753396</v>
      </c>
      <c r="Z71">
        <f t="shared" si="62"/>
        <v>2.4752729800830204</v>
      </c>
      <c r="AA71">
        <f t="shared" si="63"/>
        <v>3.7933134871189957</v>
      </c>
      <c r="AB71">
        <f t="shared" si="64"/>
        <v>1.2702496864819062</v>
      </c>
      <c r="AC71">
        <f t="shared" si="65"/>
        <v>-264.32508195818826</v>
      </c>
      <c r="AD71">
        <f t="shared" si="66"/>
        <v>34.269840645200034</v>
      </c>
      <c r="AE71">
        <f t="shared" si="67"/>
        <v>2.5506781672691536</v>
      </c>
      <c r="AF71">
        <f t="shared" si="68"/>
        <v>62.091214701826132</v>
      </c>
      <c r="AG71">
        <v>0</v>
      </c>
      <c r="AH71">
        <v>0</v>
      </c>
      <c r="AI71">
        <f t="shared" si="69"/>
        <v>1</v>
      </c>
      <c r="AJ71">
        <f t="shared" si="70"/>
        <v>0</v>
      </c>
      <c r="AK71">
        <f t="shared" si="71"/>
        <v>52570.785286403327</v>
      </c>
      <c r="AL71" t="s">
        <v>415</v>
      </c>
      <c r="AM71">
        <v>10204.299999999999</v>
      </c>
      <c r="AN71">
        <v>862.72538461538477</v>
      </c>
      <c r="AO71">
        <v>3252.56</v>
      </c>
      <c r="AP71">
        <f t="shared" si="72"/>
        <v>0.73475496697512588</v>
      </c>
      <c r="AQ71">
        <v>-6.6684750346205304</v>
      </c>
      <c r="AR71" t="s">
        <v>697</v>
      </c>
      <c r="AS71">
        <v>10046.9</v>
      </c>
      <c r="AT71">
        <v>734.22369230769232</v>
      </c>
      <c r="AU71">
        <v>1183.8329053373541</v>
      </c>
      <c r="AV71">
        <f t="shared" si="73"/>
        <v>0.37979110987925924</v>
      </c>
      <c r="AW71">
        <v>0.5</v>
      </c>
      <c r="AX71">
        <f t="shared" si="74"/>
        <v>1513.3361999210078</v>
      </c>
      <c r="AY71">
        <f t="shared" si="75"/>
        <v>57.803892328505647</v>
      </c>
      <c r="AZ71">
        <f t="shared" si="76"/>
        <v>287.37581749423003</v>
      </c>
      <c r="BA71">
        <f t="shared" si="77"/>
        <v>4.2602805223645263E-2</v>
      </c>
      <c r="BB71">
        <f t="shared" si="78"/>
        <v>1.7474823392184098</v>
      </c>
      <c r="BC71">
        <f t="shared" si="79"/>
        <v>589.49019055054555</v>
      </c>
      <c r="BD71" t="s">
        <v>698</v>
      </c>
      <c r="BE71">
        <v>563.67999999999995</v>
      </c>
      <c r="BF71">
        <f t="shared" si="80"/>
        <v>563.67999999999995</v>
      </c>
      <c r="BG71">
        <f t="shared" si="81"/>
        <v>0.52385172142231562</v>
      </c>
      <c r="BH71">
        <f t="shared" si="82"/>
        <v>0.72499735010526301</v>
      </c>
      <c r="BI71">
        <f t="shared" si="83"/>
        <v>0.76936385954845354</v>
      </c>
      <c r="BJ71">
        <f t="shared" si="84"/>
        <v>1.4001827550434596</v>
      </c>
      <c r="BK71">
        <f t="shared" si="85"/>
        <v>0.8656360910270392</v>
      </c>
      <c r="BL71">
        <f t="shared" si="86"/>
        <v>0.55659673010943111</v>
      </c>
      <c r="BM71">
        <f t="shared" si="87"/>
        <v>0.44340326989056889</v>
      </c>
      <c r="BN71">
        <v>4980</v>
      </c>
      <c r="BO71">
        <v>290.00000000000011</v>
      </c>
      <c r="BP71">
        <v>1064.51</v>
      </c>
      <c r="BQ71">
        <v>285</v>
      </c>
      <c r="BR71">
        <v>10046.9</v>
      </c>
      <c r="BS71">
        <v>1065.55</v>
      </c>
      <c r="BT71">
        <v>-1.04</v>
      </c>
      <c r="BU71">
        <v>300.00000000000011</v>
      </c>
      <c r="BV71">
        <v>24.1</v>
      </c>
      <c r="BW71">
        <v>1183.8329053373541</v>
      </c>
      <c r="BX71">
        <v>2.6270054162268059</v>
      </c>
      <c r="BY71">
        <v>-118.8383140919033</v>
      </c>
      <c r="BZ71">
        <v>2.3522249653080398</v>
      </c>
      <c r="CA71">
        <v>0.98914913023918105</v>
      </c>
      <c r="CB71">
        <v>-6.8462809788654147E-3</v>
      </c>
      <c r="CC71">
        <v>289.99999999999989</v>
      </c>
      <c r="CD71">
        <v>1062.45</v>
      </c>
      <c r="CE71">
        <v>655</v>
      </c>
      <c r="CF71">
        <v>10038.200000000001</v>
      </c>
      <c r="CG71">
        <v>1065.45</v>
      </c>
      <c r="CH71">
        <v>-3</v>
      </c>
      <c r="CV71">
        <f t="shared" si="88"/>
        <v>1800.18</v>
      </c>
      <c r="CW71">
        <f t="shared" si="89"/>
        <v>1513.3361999210078</v>
      </c>
      <c r="CX71">
        <f t="shared" si="90"/>
        <v>0.84065826746270256</v>
      </c>
      <c r="CY71">
        <f t="shared" si="91"/>
        <v>0.16087045620301593</v>
      </c>
      <c r="CZ71">
        <v>6</v>
      </c>
      <c r="DA71">
        <v>0.5</v>
      </c>
      <c r="DB71" t="s">
        <v>418</v>
      </c>
      <c r="DC71">
        <v>2</v>
      </c>
      <c r="DD71">
        <v>1639677450.5</v>
      </c>
      <c r="DE71">
        <v>1122.6199999999999</v>
      </c>
      <c r="DF71">
        <v>1200.05</v>
      </c>
      <c r="DG71">
        <v>24.830200000000001</v>
      </c>
      <c r="DH71">
        <v>17.8171</v>
      </c>
      <c r="DI71">
        <v>1125.78</v>
      </c>
      <c r="DJ71">
        <v>24.8125</v>
      </c>
      <c r="DK71">
        <v>500.05900000000003</v>
      </c>
      <c r="DL71">
        <v>99.588300000000004</v>
      </c>
      <c r="DM71">
        <v>9.97001E-2</v>
      </c>
      <c r="DN71">
        <v>27.993099999999998</v>
      </c>
      <c r="DO71">
        <v>27.7758</v>
      </c>
      <c r="DP71">
        <v>999.9</v>
      </c>
      <c r="DQ71">
        <v>0</v>
      </c>
      <c r="DR71">
        <v>0</v>
      </c>
      <c r="DS71">
        <v>10016.9</v>
      </c>
      <c r="DT71">
        <v>0</v>
      </c>
      <c r="DU71">
        <v>434.23099999999999</v>
      </c>
      <c r="DV71">
        <v>-77.430300000000003</v>
      </c>
      <c r="DW71">
        <v>1151.21</v>
      </c>
      <c r="DX71">
        <v>1221.82</v>
      </c>
      <c r="DY71">
        <v>7.0130699999999999</v>
      </c>
      <c r="DZ71">
        <v>1200.05</v>
      </c>
      <c r="EA71">
        <v>17.8171</v>
      </c>
      <c r="EB71">
        <v>2.4727999999999999</v>
      </c>
      <c r="EC71">
        <v>1.7743800000000001</v>
      </c>
      <c r="ED71">
        <v>20.848500000000001</v>
      </c>
      <c r="EE71">
        <v>15.562900000000001</v>
      </c>
      <c r="EF71">
        <v>1800.18</v>
      </c>
      <c r="EG71">
        <v>0.97799499999999995</v>
      </c>
      <c r="EH71">
        <v>2.2004699999999999E-2</v>
      </c>
      <c r="EI71">
        <v>0</v>
      </c>
      <c r="EJ71">
        <v>734.77099999999996</v>
      </c>
      <c r="EK71">
        <v>5.0001199999999999</v>
      </c>
      <c r="EL71">
        <v>13105.1</v>
      </c>
      <c r="EM71">
        <v>15631.5</v>
      </c>
      <c r="EN71">
        <v>46.75</v>
      </c>
      <c r="EO71">
        <v>47.561999999999998</v>
      </c>
      <c r="EP71">
        <v>47.5</v>
      </c>
      <c r="EQ71">
        <v>47.311999999999998</v>
      </c>
      <c r="ER71">
        <v>48.375</v>
      </c>
      <c r="ES71">
        <v>1755.68</v>
      </c>
      <c r="ET71">
        <v>39.5</v>
      </c>
      <c r="EU71">
        <v>0</v>
      </c>
      <c r="EV71">
        <v>122.4000000953674</v>
      </c>
      <c r="EW71">
        <v>0</v>
      </c>
      <c r="EX71">
        <v>734.22369230769232</v>
      </c>
      <c r="EY71">
        <v>1.720205130671109</v>
      </c>
      <c r="EZ71">
        <v>17.603418821539631</v>
      </c>
      <c r="FA71">
        <v>13101.83461538462</v>
      </c>
      <c r="FB71">
        <v>15</v>
      </c>
      <c r="FC71">
        <v>1639677407.5999999</v>
      </c>
      <c r="FD71" t="s">
        <v>699</v>
      </c>
      <c r="FE71">
        <v>1639677401.5999999</v>
      </c>
      <c r="FF71">
        <v>1639677407.5999999</v>
      </c>
      <c r="FG71">
        <v>60</v>
      </c>
      <c r="FH71">
        <v>-4.1000000000000002E-2</v>
      </c>
      <c r="FI71">
        <v>1E-3</v>
      </c>
      <c r="FJ71">
        <v>-3.246</v>
      </c>
      <c r="FK71">
        <v>-9.0999999999999998E-2</v>
      </c>
      <c r="FL71">
        <v>1200</v>
      </c>
      <c r="FM71">
        <v>18</v>
      </c>
      <c r="FN71">
        <v>0.04</v>
      </c>
      <c r="FO71">
        <v>0.01</v>
      </c>
      <c r="FP71">
        <v>57.781450816283247</v>
      </c>
      <c r="FQ71">
        <v>-0.35291132871130959</v>
      </c>
      <c r="FR71">
        <v>0.1153173419496545</v>
      </c>
      <c r="FS71">
        <v>1</v>
      </c>
      <c r="FT71">
        <v>0.50483046990118774</v>
      </c>
      <c r="FU71">
        <v>-7.6739828955370553E-4</v>
      </c>
      <c r="FV71">
        <v>2.1614669648924111E-3</v>
      </c>
      <c r="FW71">
        <v>1</v>
      </c>
      <c r="FX71">
        <v>2</v>
      </c>
      <c r="FY71">
        <v>2</v>
      </c>
      <c r="FZ71" t="s">
        <v>420</v>
      </c>
      <c r="GA71">
        <v>2.9216000000000002</v>
      </c>
      <c r="GB71">
        <v>2.7448399999999999</v>
      </c>
      <c r="GC71">
        <v>0.188194</v>
      </c>
      <c r="GD71">
        <v>0.19836799999999999</v>
      </c>
      <c r="GE71">
        <v>0.119752</v>
      </c>
      <c r="GF71">
        <v>9.6091800000000005E-2</v>
      </c>
      <c r="GG71">
        <v>25313.1</v>
      </c>
      <c r="GH71">
        <v>24705</v>
      </c>
      <c r="GI71">
        <v>28386.799999999999</v>
      </c>
      <c r="GJ71">
        <v>28181.599999999999</v>
      </c>
      <c r="GK71">
        <v>34290</v>
      </c>
      <c r="GL71">
        <v>35770.6</v>
      </c>
      <c r="GM71">
        <v>42714.8</v>
      </c>
      <c r="GN71">
        <v>43844.6</v>
      </c>
      <c r="GO71">
        <v>1.8038700000000001</v>
      </c>
      <c r="GP71">
        <v>1.9873000000000001</v>
      </c>
      <c r="GQ71">
        <v>6.5572599999999995E-2</v>
      </c>
      <c r="GR71">
        <v>0</v>
      </c>
      <c r="GS71">
        <v>26.703900000000001</v>
      </c>
      <c r="GT71">
        <v>999.9</v>
      </c>
      <c r="GU71">
        <v>36.5</v>
      </c>
      <c r="GV71">
        <v>35.5</v>
      </c>
      <c r="GW71">
        <v>21.2837</v>
      </c>
      <c r="GX71">
        <v>61.427500000000002</v>
      </c>
      <c r="GY71">
        <v>30.132200000000001</v>
      </c>
      <c r="GZ71">
        <v>1</v>
      </c>
      <c r="HA71">
        <v>0.29263499999999998</v>
      </c>
      <c r="HB71">
        <v>1.7652099999999999</v>
      </c>
      <c r="HC71">
        <v>20.266300000000001</v>
      </c>
      <c r="HD71">
        <v>5.2767400000000002</v>
      </c>
      <c r="HE71">
        <v>12.0878</v>
      </c>
      <c r="HF71">
        <v>5.0136000000000003</v>
      </c>
      <c r="HG71">
        <v>3.2918500000000002</v>
      </c>
      <c r="HH71">
        <v>9999</v>
      </c>
      <c r="HI71">
        <v>9999</v>
      </c>
      <c r="HJ71">
        <v>9999</v>
      </c>
      <c r="HK71">
        <v>999.9</v>
      </c>
      <c r="HL71">
        <v>1.8752899999999999</v>
      </c>
      <c r="HM71">
        <v>1.87575</v>
      </c>
      <c r="HN71">
        <v>1.8754599999999999</v>
      </c>
      <c r="HO71">
        <v>1.8794299999999999</v>
      </c>
      <c r="HP71">
        <v>1.87286</v>
      </c>
      <c r="HQ71">
        <v>1.8760699999999999</v>
      </c>
      <c r="HR71">
        <v>1.8758999999999999</v>
      </c>
      <c r="HS71">
        <v>1.8772800000000001</v>
      </c>
      <c r="HT71">
        <v>0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423</v>
      </c>
      <c r="IB71" t="s">
        <v>423</v>
      </c>
      <c r="IC71" t="s">
        <v>423</v>
      </c>
      <c r="ID71">
        <v>0</v>
      </c>
      <c r="IE71">
        <v>100</v>
      </c>
      <c r="IF71">
        <v>100</v>
      </c>
      <c r="IG71">
        <v>-3.16</v>
      </c>
      <c r="IH71">
        <v>1.77E-2</v>
      </c>
      <c r="II71">
        <v>-1.5094616461397199</v>
      </c>
      <c r="IJ71">
        <v>-1.5404112972462821E-3</v>
      </c>
      <c r="IK71">
        <v>-5.8697186733976997E-8</v>
      </c>
      <c r="IL71">
        <v>1.160237123038427E-10</v>
      </c>
      <c r="IM71">
        <v>-0.16097589724759151</v>
      </c>
      <c r="IN71">
        <v>-3.128848753924141E-3</v>
      </c>
      <c r="IO71">
        <v>3.6841110403368089E-4</v>
      </c>
      <c r="IP71">
        <v>1.9296040270694169E-6</v>
      </c>
      <c r="IQ71">
        <v>1</v>
      </c>
      <c r="IR71">
        <v>1992</v>
      </c>
      <c r="IS71">
        <v>2</v>
      </c>
      <c r="IT71">
        <v>27</v>
      </c>
      <c r="IU71">
        <v>0.8</v>
      </c>
      <c r="IV71">
        <v>0.7</v>
      </c>
      <c r="IW71">
        <v>2.5451700000000002</v>
      </c>
      <c r="IX71">
        <v>2.66357</v>
      </c>
      <c r="IY71">
        <v>1.69434</v>
      </c>
      <c r="IZ71">
        <v>2.34497</v>
      </c>
      <c r="JA71">
        <v>1.5466299999999999</v>
      </c>
      <c r="JB71">
        <v>2.4121100000000002</v>
      </c>
      <c r="JC71">
        <v>39.118000000000002</v>
      </c>
      <c r="JD71">
        <v>24.105</v>
      </c>
      <c r="JE71">
        <v>18</v>
      </c>
      <c r="JF71">
        <v>533.86300000000006</v>
      </c>
      <c r="JG71">
        <v>539.44299999999998</v>
      </c>
      <c r="JH71">
        <v>25.453399999999998</v>
      </c>
      <c r="JI71">
        <v>30.9268</v>
      </c>
      <c r="JJ71">
        <v>29.9999</v>
      </c>
      <c r="JK71">
        <v>30.945599999999999</v>
      </c>
      <c r="JL71">
        <v>30.912099999999999</v>
      </c>
      <c r="JM71">
        <v>50.984299999999998</v>
      </c>
      <c r="JN71">
        <v>15.8123</v>
      </c>
      <c r="JO71">
        <v>27.4361</v>
      </c>
      <c r="JP71">
        <v>25.452200000000001</v>
      </c>
      <c r="JQ71">
        <v>1200</v>
      </c>
      <c r="JR71">
        <v>17.758700000000001</v>
      </c>
      <c r="JS71">
        <v>99.530199999999994</v>
      </c>
      <c r="JT71">
        <v>98.751499999999993</v>
      </c>
    </row>
    <row r="72" spans="1:280" x14ac:dyDescent="0.25">
      <c r="A72">
        <v>56</v>
      </c>
      <c r="B72">
        <v>1639677576</v>
      </c>
      <c r="C72">
        <v>10973.900000095369</v>
      </c>
      <c r="D72" t="s">
        <v>700</v>
      </c>
      <c r="E72" t="s">
        <v>701</v>
      </c>
      <c r="F72" t="s">
        <v>412</v>
      </c>
      <c r="G72" t="s">
        <v>31</v>
      </c>
      <c r="H72" t="s">
        <v>636</v>
      </c>
      <c r="I72">
        <v>1639677576</v>
      </c>
      <c r="J72">
        <f t="shared" si="46"/>
        <v>5.7669609061720573E-3</v>
      </c>
      <c r="K72">
        <f t="shared" si="47"/>
        <v>5.7669609061720575</v>
      </c>
      <c r="L72">
        <f t="shared" si="48"/>
        <v>57.164831406176681</v>
      </c>
      <c r="M72">
        <f t="shared" si="49"/>
        <v>1421.61</v>
      </c>
      <c r="N72">
        <f t="shared" si="50"/>
        <v>1186.5056926853679</v>
      </c>
      <c r="O72">
        <f t="shared" si="51"/>
        <v>118.26947669160886</v>
      </c>
      <c r="P72">
        <f t="shared" si="52"/>
        <v>141.70439450570998</v>
      </c>
      <c r="Q72">
        <f t="shared" si="53"/>
        <v>0.47404140968157688</v>
      </c>
      <c r="R72">
        <f t="shared" si="54"/>
        <v>2.9175440852960581</v>
      </c>
      <c r="S72">
        <f t="shared" si="55"/>
        <v>0.43503667168999022</v>
      </c>
      <c r="T72">
        <f t="shared" si="56"/>
        <v>0.27513439785199556</v>
      </c>
      <c r="U72">
        <f t="shared" si="57"/>
        <v>289.55587784752407</v>
      </c>
      <c r="V72">
        <f t="shared" si="58"/>
        <v>28.193328828438453</v>
      </c>
      <c r="W72">
        <f t="shared" si="59"/>
        <v>27.816800000000001</v>
      </c>
      <c r="X72">
        <f t="shared" si="60"/>
        <v>3.7544993772442981</v>
      </c>
      <c r="Y72">
        <f t="shared" si="61"/>
        <v>65.262206099954128</v>
      </c>
      <c r="Z72">
        <f t="shared" si="62"/>
        <v>2.4744168363829</v>
      </c>
      <c r="AA72">
        <f t="shared" si="63"/>
        <v>3.7915004475839185</v>
      </c>
      <c r="AB72">
        <f t="shared" si="64"/>
        <v>1.2800825408613981</v>
      </c>
      <c r="AC72">
        <f t="shared" si="65"/>
        <v>-254.32297596218774</v>
      </c>
      <c r="AD72">
        <f t="shared" si="66"/>
        <v>26.440556033721318</v>
      </c>
      <c r="AE72">
        <f t="shared" si="67"/>
        <v>1.9734886916553931</v>
      </c>
      <c r="AF72">
        <f t="shared" si="68"/>
        <v>63.646946610713059</v>
      </c>
      <c r="AG72">
        <v>0</v>
      </c>
      <c r="AH72">
        <v>0</v>
      </c>
      <c r="AI72">
        <f t="shared" si="69"/>
        <v>1</v>
      </c>
      <c r="AJ72">
        <f t="shared" si="70"/>
        <v>0</v>
      </c>
      <c r="AK72">
        <f t="shared" si="71"/>
        <v>52349.863264865467</v>
      </c>
      <c r="AL72" t="s">
        <v>415</v>
      </c>
      <c r="AM72">
        <v>10204.299999999999</v>
      </c>
      <c r="AN72">
        <v>862.72538461538477</v>
      </c>
      <c r="AO72">
        <v>3252.56</v>
      </c>
      <c r="AP72">
        <f t="shared" si="72"/>
        <v>0.73475496697512588</v>
      </c>
      <c r="AQ72">
        <v>-6.6684750346205304</v>
      </c>
      <c r="AR72" t="s">
        <v>702</v>
      </c>
      <c r="AS72">
        <v>10049.6</v>
      </c>
      <c r="AT72">
        <v>736.04095999999993</v>
      </c>
      <c r="AU72">
        <v>1188.180143640245</v>
      </c>
      <c r="AV72">
        <f t="shared" si="73"/>
        <v>0.38053083622069261</v>
      </c>
      <c r="AW72">
        <v>0.5</v>
      </c>
      <c r="AX72">
        <f t="shared" si="74"/>
        <v>1513.1261999209971</v>
      </c>
      <c r="AY72">
        <f t="shared" si="75"/>
        <v>57.164831406176681</v>
      </c>
      <c r="AZ72">
        <f t="shared" si="76"/>
        <v>287.895589081688</v>
      </c>
      <c r="BA72">
        <f t="shared" si="77"/>
        <v>4.2186373115560387E-2</v>
      </c>
      <c r="BB72">
        <f t="shared" si="78"/>
        <v>1.737430024739417</v>
      </c>
      <c r="BC72">
        <f t="shared" si="79"/>
        <v>590.56612512810818</v>
      </c>
      <c r="BD72" t="s">
        <v>703</v>
      </c>
      <c r="BE72">
        <v>563.45000000000005</v>
      </c>
      <c r="BF72">
        <f t="shared" si="80"/>
        <v>563.45000000000005</v>
      </c>
      <c r="BG72">
        <f t="shared" si="81"/>
        <v>0.52578739594675428</v>
      </c>
      <c r="BH72">
        <f t="shared" si="82"/>
        <v>0.7237351810906254</v>
      </c>
      <c r="BI72">
        <f t="shared" si="83"/>
        <v>0.76768144715528741</v>
      </c>
      <c r="BJ72">
        <f t="shared" si="84"/>
        <v>1.3892535632140131</v>
      </c>
      <c r="BK72">
        <f t="shared" si="85"/>
        <v>0.86381703699087042</v>
      </c>
      <c r="BL72">
        <f t="shared" si="86"/>
        <v>0.55402974827041274</v>
      </c>
      <c r="BM72">
        <f t="shared" si="87"/>
        <v>0.44597025172958726</v>
      </c>
      <c r="BN72">
        <v>4982</v>
      </c>
      <c r="BO72">
        <v>290.00000000000011</v>
      </c>
      <c r="BP72">
        <v>1069.73</v>
      </c>
      <c r="BQ72">
        <v>245</v>
      </c>
      <c r="BR72">
        <v>10049.6</v>
      </c>
      <c r="BS72">
        <v>1069.82</v>
      </c>
      <c r="BT72">
        <v>-0.09</v>
      </c>
      <c r="BU72">
        <v>300.00000000000011</v>
      </c>
      <c r="BV72">
        <v>24.1</v>
      </c>
      <c r="BW72">
        <v>1188.180143640245</v>
      </c>
      <c r="BX72">
        <v>2.151592279137521</v>
      </c>
      <c r="BY72">
        <v>-118.9465737690476</v>
      </c>
      <c r="BZ72">
        <v>1.9265789991891471</v>
      </c>
      <c r="CA72">
        <v>0.9927079556066376</v>
      </c>
      <c r="CB72">
        <v>-6.8465010011123564E-3</v>
      </c>
      <c r="CC72">
        <v>289.99999999999989</v>
      </c>
      <c r="CD72">
        <v>1066.81</v>
      </c>
      <c r="CE72">
        <v>645</v>
      </c>
      <c r="CF72">
        <v>10038.799999999999</v>
      </c>
      <c r="CG72">
        <v>1069.69</v>
      </c>
      <c r="CH72">
        <v>-2.88</v>
      </c>
      <c r="CV72">
        <f t="shared" si="88"/>
        <v>1799.93</v>
      </c>
      <c r="CW72">
        <f t="shared" si="89"/>
        <v>1513.1261999209971</v>
      </c>
      <c r="CX72">
        <f t="shared" si="90"/>
        <v>0.84065835889228857</v>
      </c>
      <c r="CY72">
        <f t="shared" si="91"/>
        <v>0.1608706326621169</v>
      </c>
      <c r="CZ72">
        <v>6</v>
      </c>
      <c r="DA72">
        <v>0.5</v>
      </c>
      <c r="DB72" t="s">
        <v>418</v>
      </c>
      <c r="DC72">
        <v>2</v>
      </c>
      <c r="DD72">
        <v>1639677576</v>
      </c>
      <c r="DE72">
        <v>1421.61</v>
      </c>
      <c r="DF72">
        <v>1500.03</v>
      </c>
      <c r="DG72">
        <v>24.823899999999998</v>
      </c>
      <c r="DH72">
        <v>18.076699999999999</v>
      </c>
      <c r="DI72">
        <v>1425.24</v>
      </c>
      <c r="DJ72">
        <v>24.803799999999999</v>
      </c>
      <c r="DK72">
        <v>500.101</v>
      </c>
      <c r="DL72">
        <v>99.578599999999994</v>
      </c>
      <c r="DM72">
        <v>0.10021099999999999</v>
      </c>
      <c r="DN72">
        <v>27.9849</v>
      </c>
      <c r="DO72">
        <v>27.816800000000001</v>
      </c>
      <c r="DP72">
        <v>999.9</v>
      </c>
      <c r="DQ72">
        <v>0</v>
      </c>
      <c r="DR72">
        <v>0</v>
      </c>
      <c r="DS72">
        <v>9973.75</v>
      </c>
      <c r="DT72">
        <v>0</v>
      </c>
      <c r="DU72">
        <v>407.81900000000002</v>
      </c>
      <c r="DV72">
        <v>-78.424199999999999</v>
      </c>
      <c r="DW72">
        <v>1457.79</v>
      </c>
      <c r="DX72">
        <v>1527.64</v>
      </c>
      <c r="DY72">
        <v>6.7471199999999998</v>
      </c>
      <c r="DZ72">
        <v>1500.03</v>
      </c>
      <c r="EA72">
        <v>18.076699999999999</v>
      </c>
      <c r="EB72">
        <v>2.47193</v>
      </c>
      <c r="EC72">
        <v>1.80006</v>
      </c>
      <c r="ED72">
        <v>20.8428</v>
      </c>
      <c r="EE72">
        <v>15.7873</v>
      </c>
      <c r="EF72">
        <v>1799.93</v>
      </c>
      <c r="EG72">
        <v>0.97799199999999997</v>
      </c>
      <c r="EH72">
        <v>2.2008099999999999E-2</v>
      </c>
      <c r="EI72">
        <v>0</v>
      </c>
      <c r="EJ72">
        <v>736.24400000000003</v>
      </c>
      <c r="EK72">
        <v>5.0001199999999999</v>
      </c>
      <c r="EL72">
        <v>13127.8</v>
      </c>
      <c r="EM72">
        <v>15629.3</v>
      </c>
      <c r="EN72">
        <v>46.686999999999998</v>
      </c>
      <c r="EO72">
        <v>47.5</v>
      </c>
      <c r="EP72">
        <v>47.375</v>
      </c>
      <c r="EQ72">
        <v>47</v>
      </c>
      <c r="ER72">
        <v>48.186999999999998</v>
      </c>
      <c r="ES72">
        <v>1755.43</v>
      </c>
      <c r="ET72">
        <v>39.5</v>
      </c>
      <c r="EU72">
        <v>0</v>
      </c>
      <c r="EV72">
        <v>123.80000019073491</v>
      </c>
      <c r="EW72">
        <v>0</v>
      </c>
      <c r="EX72">
        <v>736.04095999999993</v>
      </c>
      <c r="EY72">
        <v>1.587846156512206</v>
      </c>
      <c r="EZ72">
        <v>18.146153791314141</v>
      </c>
      <c r="FA72">
        <v>13126.276</v>
      </c>
      <c r="FB72">
        <v>15</v>
      </c>
      <c r="FC72">
        <v>1639677529</v>
      </c>
      <c r="FD72" t="s">
        <v>704</v>
      </c>
      <c r="FE72">
        <v>1639677529</v>
      </c>
      <c r="FF72">
        <v>1639677529</v>
      </c>
      <c r="FG72">
        <v>61</v>
      </c>
      <c r="FH72">
        <v>-0.14799999999999999</v>
      </c>
      <c r="FI72">
        <v>3.0000000000000001E-3</v>
      </c>
      <c r="FJ72">
        <v>-3.7120000000000002</v>
      </c>
      <c r="FK72">
        <v>-8.5999999999999993E-2</v>
      </c>
      <c r="FL72">
        <v>1500</v>
      </c>
      <c r="FM72">
        <v>18</v>
      </c>
      <c r="FN72">
        <v>0.05</v>
      </c>
      <c r="FO72">
        <v>0.01</v>
      </c>
      <c r="FP72">
        <v>57.181468135910187</v>
      </c>
      <c r="FQ72">
        <v>-0.62285230060126207</v>
      </c>
      <c r="FR72">
        <v>0.12645243936150991</v>
      </c>
      <c r="FS72">
        <v>1</v>
      </c>
      <c r="FT72">
        <v>0.4785895778562545</v>
      </c>
      <c r="FU72">
        <v>5.6045019914017268E-3</v>
      </c>
      <c r="FV72">
        <v>2.3747757485017128E-3</v>
      </c>
      <c r="FW72">
        <v>1</v>
      </c>
      <c r="FX72">
        <v>2</v>
      </c>
      <c r="FY72">
        <v>2</v>
      </c>
      <c r="FZ72" t="s">
        <v>420</v>
      </c>
      <c r="GA72">
        <v>2.9218000000000002</v>
      </c>
      <c r="GB72">
        <v>2.7449699999999999</v>
      </c>
      <c r="GC72">
        <v>0.21754799999999999</v>
      </c>
      <c r="GD72">
        <v>0.22706200000000001</v>
      </c>
      <c r="GE72">
        <v>0.119725</v>
      </c>
      <c r="GF72">
        <v>9.7094600000000003E-2</v>
      </c>
      <c r="GG72">
        <v>24398.9</v>
      </c>
      <c r="GH72">
        <v>23821.7</v>
      </c>
      <c r="GI72">
        <v>28389.3</v>
      </c>
      <c r="GJ72">
        <v>28184</v>
      </c>
      <c r="GK72">
        <v>34294.1</v>
      </c>
      <c r="GL72">
        <v>35733.599999999999</v>
      </c>
      <c r="GM72">
        <v>42718.9</v>
      </c>
      <c r="GN72">
        <v>43848.2</v>
      </c>
      <c r="GO72">
        <v>1.8042499999999999</v>
      </c>
      <c r="GP72">
        <v>1.98983</v>
      </c>
      <c r="GQ72">
        <v>6.9495299999999996E-2</v>
      </c>
      <c r="GR72">
        <v>0</v>
      </c>
      <c r="GS72">
        <v>26.680800000000001</v>
      </c>
      <c r="GT72">
        <v>999.9</v>
      </c>
      <c r="GU72">
        <v>36.6</v>
      </c>
      <c r="GV72">
        <v>35.5</v>
      </c>
      <c r="GW72">
        <v>21.3444</v>
      </c>
      <c r="GX72">
        <v>61.157400000000003</v>
      </c>
      <c r="GY72">
        <v>29.5032</v>
      </c>
      <c r="GZ72">
        <v>1</v>
      </c>
      <c r="HA72">
        <v>0.28843200000000002</v>
      </c>
      <c r="HB72">
        <v>1.7160899999999999</v>
      </c>
      <c r="HC72">
        <v>20.267399999999999</v>
      </c>
      <c r="HD72">
        <v>5.2762900000000004</v>
      </c>
      <c r="HE72">
        <v>12.0878</v>
      </c>
      <c r="HF72">
        <v>5.0136500000000002</v>
      </c>
      <c r="HG72">
        <v>3.2918799999999999</v>
      </c>
      <c r="HH72">
        <v>9999</v>
      </c>
      <c r="HI72">
        <v>9999</v>
      </c>
      <c r="HJ72">
        <v>9999</v>
      </c>
      <c r="HK72">
        <v>999.9</v>
      </c>
      <c r="HL72">
        <v>1.8752899999999999</v>
      </c>
      <c r="HM72">
        <v>1.8757600000000001</v>
      </c>
      <c r="HN72">
        <v>1.8754599999999999</v>
      </c>
      <c r="HO72">
        <v>1.8794299999999999</v>
      </c>
      <c r="HP72">
        <v>1.87286</v>
      </c>
      <c r="HQ72">
        <v>1.8760699999999999</v>
      </c>
      <c r="HR72">
        <v>1.8758900000000001</v>
      </c>
      <c r="HS72">
        <v>1.8772899999999999</v>
      </c>
      <c r="HT72">
        <v>0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423</v>
      </c>
      <c r="IB72" t="s">
        <v>423</v>
      </c>
      <c r="IC72" t="s">
        <v>423</v>
      </c>
      <c r="ID72">
        <v>0</v>
      </c>
      <c r="IE72">
        <v>100</v>
      </c>
      <c r="IF72">
        <v>100</v>
      </c>
      <c r="IG72">
        <v>-3.63</v>
      </c>
      <c r="IH72">
        <v>2.01E-2</v>
      </c>
      <c r="II72">
        <v>-1.6571772953115529</v>
      </c>
      <c r="IJ72">
        <v>-1.5404112972462821E-3</v>
      </c>
      <c r="IK72">
        <v>-5.8697186733976997E-8</v>
      </c>
      <c r="IL72">
        <v>1.160237123038427E-10</v>
      </c>
      <c r="IM72">
        <v>-0.15848112647739249</v>
      </c>
      <c r="IN72">
        <v>-3.128848753924141E-3</v>
      </c>
      <c r="IO72">
        <v>3.6841110403368089E-4</v>
      </c>
      <c r="IP72">
        <v>1.9296040270694169E-6</v>
      </c>
      <c r="IQ72">
        <v>1</v>
      </c>
      <c r="IR72">
        <v>1992</v>
      </c>
      <c r="IS72">
        <v>2</v>
      </c>
      <c r="IT72">
        <v>27</v>
      </c>
      <c r="IU72">
        <v>0.8</v>
      </c>
      <c r="IV72">
        <v>0.8</v>
      </c>
      <c r="IW72">
        <v>3.0493199999999998</v>
      </c>
      <c r="IX72">
        <v>2.65381</v>
      </c>
      <c r="IY72">
        <v>1.69434</v>
      </c>
      <c r="IZ72">
        <v>2.34497</v>
      </c>
      <c r="JA72">
        <v>1.5466299999999999</v>
      </c>
      <c r="JB72">
        <v>2.4377399999999998</v>
      </c>
      <c r="JC72">
        <v>39.0931</v>
      </c>
      <c r="JD72">
        <v>24.105</v>
      </c>
      <c r="JE72">
        <v>18</v>
      </c>
      <c r="JF72">
        <v>533.66</v>
      </c>
      <c r="JG72">
        <v>540.86300000000006</v>
      </c>
      <c r="JH72">
        <v>25.456900000000001</v>
      </c>
      <c r="JI72">
        <v>30.875299999999999</v>
      </c>
      <c r="JJ72">
        <v>29.9999</v>
      </c>
      <c r="JK72">
        <v>30.894100000000002</v>
      </c>
      <c r="JL72">
        <v>30.861000000000001</v>
      </c>
      <c r="JM72">
        <v>61.086799999999997</v>
      </c>
      <c r="JN72">
        <v>14.9276</v>
      </c>
      <c r="JO72">
        <v>28.275099999999998</v>
      </c>
      <c r="JP72">
        <v>25.4587</v>
      </c>
      <c r="JQ72">
        <v>1500</v>
      </c>
      <c r="JR72">
        <v>18.0379</v>
      </c>
      <c r="JS72">
        <v>99.539400000000001</v>
      </c>
      <c r="JT72">
        <v>98.759699999999995</v>
      </c>
    </row>
    <row r="73" spans="1:280" x14ac:dyDescent="0.25">
      <c r="A73">
        <v>57</v>
      </c>
      <c r="B73">
        <v>1639678911.5</v>
      </c>
      <c r="C73">
        <v>12309.400000095369</v>
      </c>
      <c r="D73" t="s">
        <v>705</v>
      </c>
      <c r="E73" t="s">
        <v>706</v>
      </c>
      <c r="F73" t="s">
        <v>412</v>
      </c>
      <c r="G73" t="s">
        <v>707</v>
      </c>
      <c r="H73" t="s">
        <v>414</v>
      </c>
      <c r="I73">
        <v>1639678911.5</v>
      </c>
      <c r="J73">
        <f t="shared" si="46"/>
        <v>5.0631568068255214E-3</v>
      </c>
      <c r="K73">
        <f t="shared" si="47"/>
        <v>5.0631568068255213</v>
      </c>
      <c r="L73">
        <f t="shared" si="48"/>
        <v>52.246932184555902</v>
      </c>
      <c r="M73">
        <f t="shared" si="49"/>
        <v>335.339</v>
      </c>
      <c r="N73">
        <f t="shared" si="50"/>
        <v>118.32289202243058</v>
      </c>
      <c r="O73">
        <f t="shared" si="51"/>
        <v>11.788982787117066</v>
      </c>
      <c r="P73">
        <f t="shared" si="52"/>
        <v>33.411165255322004</v>
      </c>
      <c r="Q73">
        <f t="shared" si="53"/>
        <v>0.42052764756667188</v>
      </c>
      <c r="R73">
        <f t="shared" si="54"/>
        <v>2.9168670326095301</v>
      </c>
      <c r="S73">
        <f t="shared" si="55"/>
        <v>0.38951714026616485</v>
      </c>
      <c r="T73">
        <f t="shared" si="56"/>
        <v>0.2460435464005748</v>
      </c>
      <c r="U73">
        <f t="shared" si="57"/>
        <v>289.53339284762882</v>
      </c>
      <c r="V73">
        <f t="shared" si="58"/>
        <v>28.39558682430031</v>
      </c>
      <c r="W73">
        <f t="shared" si="59"/>
        <v>27.7439</v>
      </c>
      <c r="X73">
        <f t="shared" si="60"/>
        <v>3.7385513071699963</v>
      </c>
      <c r="Y73">
        <f t="shared" si="61"/>
        <v>65.440821722429305</v>
      </c>
      <c r="Z73">
        <f t="shared" si="62"/>
        <v>2.4838954969396001</v>
      </c>
      <c r="AA73">
        <f t="shared" si="63"/>
        <v>3.7956361664820988</v>
      </c>
      <c r="AB73">
        <f t="shared" si="64"/>
        <v>1.2546558102303962</v>
      </c>
      <c r="AC73">
        <f t="shared" si="65"/>
        <v>-223.2852151810055</v>
      </c>
      <c r="AD73">
        <f t="shared" si="66"/>
        <v>40.838898979492882</v>
      </c>
      <c r="AE73">
        <f t="shared" si="67"/>
        <v>3.0480464330858741</v>
      </c>
      <c r="AF73">
        <f t="shared" si="68"/>
        <v>110.13512307920206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52326.232485753259</v>
      </c>
      <c r="AL73" t="s">
        <v>415</v>
      </c>
      <c r="AM73">
        <v>10204.299999999999</v>
      </c>
      <c r="AN73">
        <v>862.72538461538477</v>
      </c>
      <c r="AO73">
        <v>3252.56</v>
      </c>
      <c r="AP73">
        <f t="shared" si="72"/>
        <v>0.73475496697512588</v>
      </c>
      <c r="AQ73">
        <v>-6.6684750346205304</v>
      </c>
      <c r="AR73" t="s">
        <v>708</v>
      </c>
      <c r="AS73">
        <v>10039.1</v>
      </c>
      <c r="AT73">
        <v>745.50446153846144</v>
      </c>
      <c r="AU73">
        <v>1149.6983947180679</v>
      </c>
      <c r="AV73">
        <f t="shared" si="73"/>
        <v>0.35156518878042264</v>
      </c>
      <c r="AW73">
        <v>0.5</v>
      </c>
      <c r="AX73">
        <f t="shared" si="74"/>
        <v>1513.0160999210509</v>
      </c>
      <c r="AY73">
        <f t="shared" si="75"/>
        <v>52.246932184555902</v>
      </c>
      <c r="AZ73">
        <f t="shared" si="76"/>
        <v>265.96189539828151</v>
      </c>
      <c r="BA73">
        <f t="shared" si="77"/>
        <v>3.8939048449154398E-2</v>
      </c>
      <c r="BB73">
        <f t="shared" si="78"/>
        <v>1.8290550068982234</v>
      </c>
      <c r="BC73">
        <f t="shared" si="79"/>
        <v>580.90205590588346</v>
      </c>
      <c r="BD73" t="s">
        <v>709</v>
      </c>
      <c r="BE73">
        <v>559.75</v>
      </c>
      <c r="BF73">
        <f t="shared" si="80"/>
        <v>559.75</v>
      </c>
      <c r="BG73">
        <f t="shared" si="81"/>
        <v>0.51313318121378837</v>
      </c>
      <c r="BH73">
        <f t="shared" si="82"/>
        <v>0.68513438937785032</v>
      </c>
      <c r="BI73">
        <f t="shared" si="83"/>
        <v>0.78091718512703534</v>
      </c>
      <c r="BJ73">
        <f t="shared" si="84"/>
        <v>1.4084736855043614</v>
      </c>
      <c r="BK73">
        <f t="shared" si="85"/>
        <v>0.87991930142140895</v>
      </c>
      <c r="BL73">
        <f t="shared" si="86"/>
        <v>0.51442210508416431</v>
      </c>
      <c r="BM73">
        <f t="shared" si="87"/>
        <v>0.48557789491583569</v>
      </c>
      <c r="BN73">
        <v>4984</v>
      </c>
      <c r="BO73">
        <v>290.00000000000011</v>
      </c>
      <c r="BP73">
        <v>1043.19</v>
      </c>
      <c r="BQ73">
        <v>145</v>
      </c>
      <c r="BR73">
        <v>10039.1</v>
      </c>
      <c r="BS73">
        <v>1041.81</v>
      </c>
      <c r="BT73">
        <v>1.38</v>
      </c>
      <c r="BU73">
        <v>300.00000000000011</v>
      </c>
      <c r="BV73">
        <v>24.1</v>
      </c>
      <c r="BW73">
        <v>1149.6983947180679</v>
      </c>
      <c r="BX73">
        <v>1.990706538855284</v>
      </c>
      <c r="BY73">
        <v>-108.3135787261204</v>
      </c>
      <c r="BZ73">
        <v>1.778899420037781</v>
      </c>
      <c r="CA73">
        <v>0.9925040394767316</v>
      </c>
      <c r="CB73">
        <v>-6.8357835372636344E-3</v>
      </c>
      <c r="CC73">
        <v>289.99999999999989</v>
      </c>
      <c r="CD73">
        <v>1040.29</v>
      </c>
      <c r="CE73">
        <v>705</v>
      </c>
      <c r="CF73">
        <v>10015.299999999999</v>
      </c>
      <c r="CG73">
        <v>1041.55</v>
      </c>
      <c r="CH73">
        <v>-1.26</v>
      </c>
      <c r="CV73">
        <f t="shared" si="88"/>
        <v>1799.8</v>
      </c>
      <c r="CW73">
        <f t="shared" si="89"/>
        <v>1513.0160999210509</v>
      </c>
      <c r="CX73">
        <f t="shared" si="90"/>
        <v>0.84065790639018279</v>
      </c>
      <c r="CY73">
        <f t="shared" si="91"/>
        <v>0.16086975933305303</v>
      </c>
      <c r="CZ73">
        <v>6</v>
      </c>
      <c r="DA73">
        <v>0.5</v>
      </c>
      <c r="DB73" t="s">
        <v>418</v>
      </c>
      <c r="DC73">
        <v>2</v>
      </c>
      <c r="DD73">
        <v>1639678911.5</v>
      </c>
      <c r="DE73">
        <v>335.339</v>
      </c>
      <c r="DF73">
        <v>400.05399999999997</v>
      </c>
      <c r="DG73">
        <v>24.930199999999999</v>
      </c>
      <c r="DH73">
        <v>19.0076</v>
      </c>
      <c r="DI73">
        <v>337.27</v>
      </c>
      <c r="DJ73">
        <v>24.9193</v>
      </c>
      <c r="DK73">
        <v>500.14499999999998</v>
      </c>
      <c r="DL73">
        <v>99.533799999999999</v>
      </c>
      <c r="DM73">
        <v>0.100198</v>
      </c>
      <c r="DN73">
        <v>28.003599999999999</v>
      </c>
      <c r="DO73">
        <v>27.7439</v>
      </c>
      <c r="DP73">
        <v>999.9</v>
      </c>
      <c r="DQ73">
        <v>0</v>
      </c>
      <c r="DR73">
        <v>0</v>
      </c>
      <c r="DS73">
        <v>9974.3799999999992</v>
      </c>
      <c r="DT73">
        <v>0</v>
      </c>
      <c r="DU73">
        <v>344.036</v>
      </c>
      <c r="DV73">
        <v>-64.714600000000004</v>
      </c>
      <c r="DW73">
        <v>343.91300000000001</v>
      </c>
      <c r="DX73">
        <v>407.80500000000001</v>
      </c>
      <c r="DY73">
        <v>5.9225399999999997</v>
      </c>
      <c r="DZ73">
        <v>400.05399999999997</v>
      </c>
      <c r="EA73">
        <v>19.0076</v>
      </c>
      <c r="EB73">
        <v>2.4813900000000002</v>
      </c>
      <c r="EC73">
        <v>1.8918999999999999</v>
      </c>
      <c r="ED73">
        <v>20.905000000000001</v>
      </c>
      <c r="EE73">
        <v>16.567499999999999</v>
      </c>
      <c r="EF73">
        <v>1799.8</v>
      </c>
      <c r="EG73">
        <v>0.97800799999999999</v>
      </c>
      <c r="EH73">
        <v>2.1991799999999999E-2</v>
      </c>
      <c r="EI73">
        <v>0</v>
      </c>
      <c r="EJ73">
        <v>745.93700000000001</v>
      </c>
      <c r="EK73">
        <v>5.0001199999999999</v>
      </c>
      <c r="EL73">
        <v>13440.2</v>
      </c>
      <c r="EM73">
        <v>15628.3</v>
      </c>
      <c r="EN73">
        <v>49.625</v>
      </c>
      <c r="EO73">
        <v>50.125</v>
      </c>
      <c r="EP73">
        <v>50.375</v>
      </c>
      <c r="EQ73">
        <v>50</v>
      </c>
      <c r="ER73">
        <v>51.061999999999998</v>
      </c>
      <c r="ES73">
        <v>1755.33</v>
      </c>
      <c r="ET73">
        <v>39.47</v>
      </c>
      <c r="EU73">
        <v>0</v>
      </c>
      <c r="EV73">
        <v>1333.8000001907351</v>
      </c>
      <c r="EW73">
        <v>0</v>
      </c>
      <c r="EX73">
        <v>745.50446153846144</v>
      </c>
      <c r="EY73">
        <v>0.68533334062660056</v>
      </c>
      <c r="EZ73">
        <v>19.733333248823779</v>
      </c>
      <c r="FA73">
        <v>13439.623076923081</v>
      </c>
      <c r="FB73">
        <v>15</v>
      </c>
      <c r="FC73">
        <v>1639678873.5</v>
      </c>
      <c r="FD73" t="s">
        <v>710</v>
      </c>
      <c r="FE73">
        <v>1639678870.5</v>
      </c>
      <c r="FF73">
        <v>1639678873.5</v>
      </c>
      <c r="FG73">
        <v>63</v>
      </c>
      <c r="FH73">
        <v>0.16700000000000001</v>
      </c>
      <c r="FI73">
        <v>-7.0000000000000001E-3</v>
      </c>
      <c r="FJ73">
        <v>-2.0299999999999998</v>
      </c>
      <c r="FK73">
        <v>-8.3000000000000004E-2</v>
      </c>
      <c r="FL73">
        <v>400</v>
      </c>
      <c r="FM73">
        <v>19</v>
      </c>
      <c r="FN73">
        <v>0.04</v>
      </c>
      <c r="FO73">
        <v>0.02</v>
      </c>
      <c r="FP73">
        <v>52.175625349445717</v>
      </c>
      <c r="FQ73">
        <v>2.0697542705505841E-2</v>
      </c>
      <c r="FR73">
        <v>3.6150050624672289E-2</v>
      </c>
      <c r="FS73">
        <v>1</v>
      </c>
      <c r="FT73">
        <v>0.41783906721253139</v>
      </c>
      <c r="FU73">
        <v>3.6462268457992081E-2</v>
      </c>
      <c r="FV73">
        <v>3.6472526596933669E-3</v>
      </c>
      <c r="FW73">
        <v>1</v>
      </c>
      <c r="FX73">
        <v>2</v>
      </c>
      <c r="FY73">
        <v>2</v>
      </c>
      <c r="FZ73" t="s">
        <v>420</v>
      </c>
      <c r="GA73">
        <v>2.9220299999999999</v>
      </c>
      <c r="GB73">
        <v>2.7449499999999998</v>
      </c>
      <c r="GC73">
        <v>8.0415600000000004E-2</v>
      </c>
      <c r="GD73">
        <v>9.3426499999999996E-2</v>
      </c>
      <c r="GE73">
        <v>0.120092</v>
      </c>
      <c r="GF73">
        <v>0.100623</v>
      </c>
      <c r="GG73">
        <v>28677.200000000001</v>
      </c>
      <c r="GH73">
        <v>27940.400000000001</v>
      </c>
      <c r="GI73">
        <v>28388.6</v>
      </c>
      <c r="GJ73">
        <v>28180.9</v>
      </c>
      <c r="GK73">
        <v>34279.4</v>
      </c>
      <c r="GL73">
        <v>35591.199999999997</v>
      </c>
      <c r="GM73">
        <v>42717.5</v>
      </c>
      <c r="GN73">
        <v>43844.1</v>
      </c>
      <c r="GO73">
        <v>1.80385</v>
      </c>
      <c r="GP73">
        <v>1.9915</v>
      </c>
      <c r="GQ73">
        <v>5.7108699999999998E-2</v>
      </c>
      <c r="GR73">
        <v>0</v>
      </c>
      <c r="GS73">
        <v>26.810400000000001</v>
      </c>
      <c r="GT73">
        <v>999.9</v>
      </c>
      <c r="GU73">
        <v>41.5</v>
      </c>
      <c r="GV73">
        <v>35</v>
      </c>
      <c r="GW73">
        <v>23.551300000000001</v>
      </c>
      <c r="GX73">
        <v>60.8874</v>
      </c>
      <c r="GY73">
        <v>29.423100000000002</v>
      </c>
      <c r="GZ73">
        <v>1</v>
      </c>
      <c r="HA73">
        <v>0.29114299999999999</v>
      </c>
      <c r="HB73">
        <v>2.2793999999999999</v>
      </c>
      <c r="HC73">
        <v>20.2621</v>
      </c>
      <c r="HD73">
        <v>5.2767400000000002</v>
      </c>
      <c r="HE73">
        <v>12.0878</v>
      </c>
      <c r="HF73">
        <v>5.0135500000000004</v>
      </c>
      <c r="HG73">
        <v>3.2919800000000001</v>
      </c>
      <c r="HH73">
        <v>9999</v>
      </c>
      <c r="HI73">
        <v>9999</v>
      </c>
      <c r="HJ73">
        <v>9999</v>
      </c>
      <c r="HK73">
        <v>999.9</v>
      </c>
      <c r="HL73">
        <v>1.8751599999999999</v>
      </c>
      <c r="HM73">
        <v>1.87565</v>
      </c>
      <c r="HN73">
        <v>1.8754599999999999</v>
      </c>
      <c r="HO73">
        <v>1.8793800000000001</v>
      </c>
      <c r="HP73">
        <v>1.8728499999999999</v>
      </c>
      <c r="HQ73">
        <v>1.8760600000000001</v>
      </c>
      <c r="HR73">
        <v>1.8757699999999999</v>
      </c>
      <c r="HS73">
        <v>1.8772</v>
      </c>
      <c r="HT73">
        <v>0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423</v>
      </c>
      <c r="IB73" t="s">
        <v>423</v>
      </c>
      <c r="IC73" t="s">
        <v>423</v>
      </c>
      <c r="ID73">
        <v>0</v>
      </c>
      <c r="IE73">
        <v>100</v>
      </c>
      <c r="IF73">
        <v>100</v>
      </c>
      <c r="IG73">
        <v>-1.931</v>
      </c>
      <c r="IH73">
        <v>1.09E-2</v>
      </c>
      <c r="II73">
        <v>-1.4091514425902081</v>
      </c>
      <c r="IJ73">
        <v>-1.5404112972462821E-3</v>
      </c>
      <c r="IK73">
        <v>-5.8697186733976997E-8</v>
      </c>
      <c r="IL73">
        <v>1.160237123038427E-10</v>
      </c>
      <c r="IM73">
        <v>-0.16979255169824081</v>
      </c>
      <c r="IN73">
        <v>-3.128848753924141E-3</v>
      </c>
      <c r="IO73">
        <v>3.6841110403368089E-4</v>
      </c>
      <c r="IP73">
        <v>1.9296040270694169E-6</v>
      </c>
      <c r="IQ73">
        <v>1</v>
      </c>
      <c r="IR73">
        <v>1992</v>
      </c>
      <c r="IS73">
        <v>2</v>
      </c>
      <c r="IT73">
        <v>27</v>
      </c>
      <c r="IU73">
        <v>0.7</v>
      </c>
      <c r="IV73">
        <v>0.6</v>
      </c>
      <c r="IW73">
        <v>1.0449200000000001</v>
      </c>
      <c r="IX73">
        <v>2.6428199999999999</v>
      </c>
      <c r="IY73">
        <v>1.69434</v>
      </c>
      <c r="IZ73">
        <v>2.34741</v>
      </c>
      <c r="JA73">
        <v>1.5466299999999999</v>
      </c>
      <c r="JB73">
        <v>2.4719199999999999</v>
      </c>
      <c r="JC73">
        <v>38.599499999999999</v>
      </c>
      <c r="JD73">
        <v>24.105</v>
      </c>
      <c r="JE73">
        <v>18</v>
      </c>
      <c r="JF73">
        <v>532.13199999999995</v>
      </c>
      <c r="JG73">
        <v>540.84500000000003</v>
      </c>
      <c r="JH73">
        <v>24.982600000000001</v>
      </c>
      <c r="JI73">
        <v>30.840399999999999</v>
      </c>
      <c r="JJ73">
        <v>30.0002</v>
      </c>
      <c r="JK73">
        <v>30.774899999999999</v>
      </c>
      <c r="JL73">
        <v>30.725999999999999</v>
      </c>
      <c r="JM73">
        <v>21.000599999999999</v>
      </c>
      <c r="JN73">
        <v>24.0306</v>
      </c>
      <c r="JO73">
        <v>42.552199999999999</v>
      </c>
      <c r="JP73">
        <v>24.9815</v>
      </c>
      <c r="JQ73">
        <v>400</v>
      </c>
      <c r="JR73">
        <v>18.913799999999998</v>
      </c>
      <c r="JS73">
        <v>99.536500000000004</v>
      </c>
      <c r="JT73">
        <v>98.749899999999997</v>
      </c>
    </row>
    <row r="74" spans="1:280" x14ac:dyDescent="0.25">
      <c r="A74">
        <v>58</v>
      </c>
      <c r="B74">
        <v>1639679030</v>
      </c>
      <c r="C74">
        <v>12427.900000095369</v>
      </c>
      <c r="D74" t="s">
        <v>711</v>
      </c>
      <c r="E74" t="s">
        <v>712</v>
      </c>
      <c r="F74" t="s">
        <v>412</v>
      </c>
      <c r="G74" t="s">
        <v>707</v>
      </c>
      <c r="H74" t="s">
        <v>414</v>
      </c>
      <c r="I74">
        <v>1639679030</v>
      </c>
      <c r="J74">
        <f t="shared" si="46"/>
        <v>5.2424918266450867E-3</v>
      </c>
      <c r="K74">
        <f t="shared" si="47"/>
        <v>5.2424918266450868</v>
      </c>
      <c r="L74">
        <f t="shared" si="48"/>
        <v>43.718636798300601</v>
      </c>
      <c r="M74">
        <f t="shared" si="49"/>
        <v>246.01900000000001</v>
      </c>
      <c r="N74">
        <f t="shared" si="50"/>
        <v>73.00704197596859</v>
      </c>
      <c r="O74">
        <f t="shared" si="51"/>
        <v>7.2739200311000936</v>
      </c>
      <c r="P74">
        <f t="shared" si="52"/>
        <v>24.511642763451</v>
      </c>
      <c r="Q74">
        <f t="shared" si="53"/>
        <v>0.44152908067681668</v>
      </c>
      <c r="R74">
        <f t="shared" si="54"/>
        <v>2.9187157094020328</v>
      </c>
      <c r="S74">
        <f t="shared" si="55"/>
        <v>0.40749799002630477</v>
      </c>
      <c r="T74">
        <f t="shared" si="56"/>
        <v>0.25752487293904208</v>
      </c>
      <c r="U74">
        <f t="shared" si="57"/>
        <v>289.59737384754607</v>
      </c>
      <c r="V74">
        <f t="shared" si="58"/>
        <v>28.329871105034812</v>
      </c>
      <c r="W74">
        <f t="shared" si="59"/>
        <v>27.690100000000001</v>
      </c>
      <c r="X74">
        <f t="shared" si="60"/>
        <v>3.7268196148019732</v>
      </c>
      <c r="Y74">
        <f t="shared" si="61"/>
        <v>65.542592222022492</v>
      </c>
      <c r="Z74">
        <f t="shared" si="62"/>
        <v>2.4849897236406</v>
      </c>
      <c r="AA74">
        <f t="shared" si="63"/>
        <v>3.7914120259736031</v>
      </c>
      <c r="AB74">
        <f t="shared" si="64"/>
        <v>1.2418298911613732</v>
      </c>
      <c r="AC74">
        <f t="shared" si="65"/>
        <v>-231.19388955504832</v>
      </c>
      <c r="AD74">
        <f t="shared" si="66"/>
        <v>46.324959110163071</v>
      </c>
      <c r="AE74">
        <f t="shared" si="67"/>
        <v>3.4540578542448896</v>
      </c>
      <c r="AF74">
        <f t="shared" si="68"/>
        <v>108.18250125690568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52382.597569410354</v>
      </c>
      <c r="AL74" t="s">
        <v>415</v>
      </c>
      <c r="AM74">
        <v>10204.299999999999</v>
      </c>
      <c r="AN74">
        <v>862.72538461538477</v>
      </c>
      <c r="AO74">
        <v>3252.56</v>
      </c>
      <c r="AP74">
        <f t="shared" si="72"/>
        <v>0.73475496697512588</v>
      </c>
      <c r="AQ74">
        <v>-6.6684750346205304</v>
      </c>
      <c r="AR74" t="s">
        <v>713</v>
      </c>
      <c r="AS74">
        <v>10038.4</v>
      </c>
      <c r="AT74">
        <v>727.43211538461537</v>
      </c>
      <c r="AU74">
        <v>1067.31888116659</v>
      </c>
      <c r="AV74">
        <f t="shared" si="73"/>
        <v>0.31844912685370563</v>
      </c>
      <c r="AW74">
        <v>0.5</v>
      </c>
      <c r="AX74">
        <f t="shared" si="74"/>
        <v>1513.3445999210082</v>
      </c>
      <c r="AY74">
        <f t="shared" si="75"/>
        <v>43.718636798300601</v>
      </c>
      <c r="AZ74">
        <f t="shared" si="76"/>
        <v>240.96163323680778</v>
      </c>
      <c r="BA74">
        <f t="shared" si="77"/>
        <v>3.3295200468915785E-2</v>
      </c>
      <c r="BB74">
        <f t="shared" si="78"/>
        <v>2.0474116568095564</v>
      </c>
      <c r="BC74">
        <f t="shared" si="79"/>
        <v>559.09825749237064</v>
      </c>
      <c r="BD74" t="s">
        <v>714</v>
      </c>
      <c r="BE74">
        <v>548.29</v>
      </c>
      <c r="BF74">
        <f t="shared" si="80"/>
        <v>548.29</v>
      </c>
      <c r="BG74">
        <f t="shared" si="81"/>
        <v>0.48629223217646667</v>
      </c>
      <c r="BH74">
        <f t="shared" si="82"/>
        <v>0.65485135435629627</v>
      </c>
      <c r="BI74">
        <f t="shared" si="83"/>
        <v>0.80807061381940781</v>
      </c>
      <c r="BJ74">
        <f t="shared" si="84"/>
        <v>1.6612784448742655</v>
      </c>
      <c r="BK74">
        <f t="shared" si="85"/>
        <v>0.91439010246394048</v>
      </c>
      <c r="BL74">
        <f t="shared" si="86"/>
        <v>0.49358344440178292</v>
      </c>
      <c r="BM74">
        <f t="shared" si="87"/>
        <v>0.50641655559821708</v>
      </c>
      <c r="BN74">
        <v>4986</v>
      </c>
      <c r="BO74">
        <v>290.00000000000011</v>
      </c>
      <c r="BP74">
        <v>970.71</v>
      </c>
      <c r="BQ74">
        <v>135</v>
      </c>
      <c r="BR74">
        <v>10038.4</v>
      </c>
      <c r="BS74">
        <v>969.63</v>
      </c>
      <c r="BT74">
        <v>1.08</v>
      </c>
      <c r="BU74">
        <v>300.00000000000011</v>
      </c>
      <c r="BV74">
        <v>24.1</v>
      </c>
      <c r="BW74">
        <v>1067.31888116659</v>
      </c>
      <c r="BX74">
        <v>2.151090412982918</v>
      </c>
      <c r="BY74">
        <v>-98.068134959722286</v>
      </c>
      <c r="BZ74">
        <v>1.9218766743735931</v>
      </c>
      <c r="CA74">
        <v>0.98936082528346658</v>
      </c>
      <c r="CB74">
        <v>-6.8343581757508258E-3</v>
      </c>
      <c r="CC74">
        <v>289.99999999999989</v>
      </c>
      <c r="CD74">
        <v>966.8</v>
      </c>
      <c r="CE74">
        <v>695</v>
      </c>
      <c r="CF74">
        <v>10013.9</v>
      </c>
      <c r="CG74">
        <v>969.39</v>
      </c>
      <c r="CH74">
        <v>-2.59</v>
      </c>
      <c r="CV74">
        <f t="shared" si="88"/>
        <v>1800.19</v>
      </c>
      <c r="CW74">
        <f t="shared" si="89"/>
        <v>1513.3445999210082</v>
      </c>
      <c r="CX74">
        <f t="shared" si="90"/>
        <v>0.84065826380604725</v>
      </c>
      <c r="CY74">
        <f t="shared" si="91"/>
        <v>0.16087044914567133</v>
      </c>
      <c r="CZ74">
        <v>6</v>
      </c>
      <c r="DA74">
        <v>0.5</v>
      </c>
      <c r="DB74" t="s">
        <v>418</v>
      </c>
      <c r="DC74">
        <v>2</v>
      </c>
      <c r="DD74">
        <v>1639679030</v>
      </c>
      <c r="DE74">
        <v>246.01900000000001</v>
      </c>
      <c r="DF74">
        <v>300.01600000000002</v>
      </c>
      <c r="DG74">
        <v>24.941400000000002</v>
      </c>
      <c r="DH74">
        <v>18.808800000000002</v>
      </c>
      <c r="DI74">
        <v>247.82900000000001</v>
      </c>
      <c r="DJ74">
        <v>24.932500000000001</v>
      </c>
      <c r="DK74">
        <v>500.12099999999998</v>
      </c>
      <c r="DL74">
        <v>99.533000000000001</v>
      </c>
      <c r="DM74">
        <v>0.100129</v>
      </c>
      <c r="DN74">
        <v>27.984500000000001</v>
      </c>
      <c r="DO74">
        <v>27.690100000000001</v>
      </c>
      <c r="DP74">
        <v>999.9</v>
      </c>
      <c r="DQ74">
        <v>0</v>
      </c>
      <c r="DR74">
        <v>0</v>
      </c>
      <c r="DS74">
        <v>9985</v>
      </c>
      <c r="DT74">
        <v>0</v>
      </c>
      <c r="DU74">
        <v>336.529</v>
      </c>
      <c r="DV74">
        <v>-53.997</v>
      </c>
      <c r="DW74">
        <v>252.31200000000001</v>
      </c>
      <c r="DX74">
        <v>305.767</v>
      </c>
      <c r="DY74">
        <v>6.1325900000000004</v>
      </c>
      <c r="DZ74">
        <v>300.01600000000002</v>
      </c>
      <c r="EA74">
        <v>18.808800000000002</v>
      </c>
      <c r="EB74">
        <v>2.4824899999999999</v>
      </c>
      <c r="EC74">
        <v>1.8721000000000001</v>
      </c>
      <c r="ED74">
        <v>20.912199999999999</v>
      </c>
      <c r="EE74">
        <v>16.402100000000001</v>
      </c>
      <c r="EF74">
        <v>1800.19</v>
      </c>
      <c r="EG74">
        <v>0.97799499999999995</v>
      </c>
      <c r="EH74">
        <v>2.2004800000000001E-2</v>
      </c>
      <c r="EI74">
        <v>0</v>
      </c>
      <c r="EJ74">
        <v>726.84699999999998</v>
      </c>
      <c r="EK74">
        <v>5.0001199999999999</v>
      </c>
      <c r="EL74">
        <v>13098</v>
      </c>
      <c r="EM74">
        <v>15631.6</v>
      </c>
      <c r="EN74">
        <v>49.875</v>
      </c>
      <c r="EO74">
        <v>50.186999999999998</v>
      </c>
      <c r="EP74">
        <v>50.561999999999998</v>
      </c>
      <c r="EQ74">
        <v>50.061999999999998</v>
      </c>
      <c r="ER74">
        <v>51.311999999999998</v>
      </c>
      <c r="ES74">
        <v>1755.69</v>
      </c>
      <c r="ET74">
        <v>39.5</v>
      </c>
      <c r="EU74">
        <v>0</v>
      </c>
      <c r="EV74">
        <v>116.4000000953674</v>
      </c>
      <c r="EW74">
        <v>0</v>
      </c>
      <c r="EX74">
        <v>727.43211538461537</v>
      </c>
      <c r="EY74">
        <v>-4.0247179342685726</v>
      </c>
      <c r="EZ74">
        <v>-60.800000031023643</v>
      </c>
      <c r="FA74">
        <v>13102.80769230769</v>
      </c>
      <c r="FB74">
        <v>15</v>
      </c>
      <c r="FC74">
        <v>1639678992.5</v>
      </c>
      <c r="FD74" t="s">
        <v>715</v>
      </c>
      <c r="FE74">
        <v>1639678992.5</v>
      </c>
      <c r="FF74">
        <v>1639678991.5</v>
      </c>
      <c r="FG74">
        <v>64</v>
      </c>
      <c r="FH74">
        <v>-1.7000000000000001E-2</v>
      </c>
      <c r="FI74">
        <v>-2E-3</v>
      </c>
      <c r="FJ74">
        <v>-1.8939999999999999</v>
      </c>
      <c r="FK74">
        <v>-8.6999999999999994E-2</v>
      </c>
      <c r="FL74">
        <v>300</v>
      </c>
      <c r="FM74">
        <v>19</v>
      </c>
      <c r="FN74">
        <v>0.03</v>
      </c>
      <c r="FO74">
        <v>0.01</v>
      </c>
      <c r="FP74">
        <v>43.601439797301957</v>
      </c>
      <c r="FQ74">
        <v>0.57800876541694302</v>
      </c>
      <c r="FR74">
        <v>6.1290429619461358E-2</v>
      </c>
      <c r="FS74">
        <v>1</v>
      </c>
      <c r="FT74">
        <v>0.43939188012540409</v>
      </c>
      <c r="FU74">
        <v>3.4991073695693799E-2</v>
      </c>
      <c r="FV74">
        <v>5.2854287055487028E-3</v>
      </c>
      <c r="FW74">
        <v>1</v>
      </c>
      <c r="FX74">
        <v>2</v>
      </c>
      <c r="FY74">
        <v>2</v>
      </c>
      <c r="FZ74" t="s">
        <v>420</v>
      </c>
      <c r="GA74">
        <v>2.9219400000000002</v>
      </c>
      <c r="GB74">
        <v>2.74498</v>
      </c>
      <c r="GC74">
        <v>6.2407600000000001E-2</v>
      </c>
      <c r="GD74">
        <v>7.4444499999999997E-2</v>
      </c>
      <c r="GE74">
        <v>0.120129</v>
      </c>
      <c r="GF74">
        <v>9.9866099999999999E-2</v>
      </c>
      <c r="GG74">
        <v>29238.9</v>
      </c>
      <c r="GH74">
        <v>28524.799999999999</v>
      </c>
      <c r="GI74">
        <v>28389.1</v>
      </c>
      <c r="GJ74">
        <v>28180.5</v>
      </c>
      <c r="GK74">
        <v>34279</v>
      </c>
      <c r="GL74">
        <v>35620.6</v>
      </c>
      <c r="GM74">
        <v>42718.7</v>
      </c>
      <c r="GN74">
        <v>43843.3</v>
      </c>
      <c r="GO74">
        <v>1.804</v>
      </c>
      <c r="GP74">
        <v>1.9904999999999999</v>
      </c>
      <c r="GQ74">
        <v>5.8323100000000003E-2</v>
      </c>
      <c r="GR74">
        <v>0</v>
      </c>
      <c r="GS74">
        <v>26.736599999999999</v>
      </c>
      <c r="GT74">
        <v>999.9</v>
      </c>
      <c r="GU74">
        <v>41.4</v>
      </c>
      <c r="GV74">
        <v>35</v>
      </c>
      <c r="GW74">
        <v>23.496700000000001</v>
      </c>
      <c r="GX74">
        <v>61.3474</v>
      </c>
      <c r="GY74">
        <v>29.651399999999999</v>
      </c>
      <c r="GZ74">
        <v>1</v>
      </c>
      <c r="HA74">
        <v>0.290935</v>
      </c>
      <c r="HB74">
        <v>2.0392299999999999</v>
      </c>
      <c r="HC74">
        <v>20.265599999999999</v>
      </c>
      <c r="HD74">
        <v>5.27644</v>
      </c>
      <c r="HE74">
        <v>12.0878</v>
      </c>
      <c r="HF74">
        <v>5.0146499999999996</v>
      </c>
      <c r="HG74">
        <v>3.29183</v>
      </c>
      <c r="HH74">
        <v>9999</v>
      </c>
      <c r="HI74">
        <v>9999</v>
      </c>
      <c r="HJ74">
        <v>9999</v>
      </c>
      <c r="HK74">
        <v>999.9</v>
      </c>
      <c r="HL74">
        <v>1.8751500000000001</v>
      </c>
      <c r="HM74">
        <v>1.87568</v>
      </c>
      <c r="HN74">
        <v>1.8754599999999999</v>
      </c>
      <c r="HO74">
        <v>1.8793200000000001</v>
      </c>
      <c r="HP74">
        <v>1.87286</v>
      </c>
      <c r="HQ74">
        <v>1.8760600000000001</v>
      </c>
      <c r="HR74">
        <v>1.8757600000000001</v>
      </c>
      <c r="HS74">
        <v>1.8771500000000001</v>
      </c>
      <c r="HT74">
        <v>0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423</v>
      </c>
      <c r="IB74" t="s">
        <v>423</v>
      </c>
      <c r="IC74" t="s">
        <v>423</v>
      </c>
      <c r="ID74">
        <v>0</v>
      </c>
      <c r="IE74">
        <v>100</v>
      </c>
      <c r="IF74">
        <v>100</v>
      </c>
      <c r="IG74">
        <v>-1.81</v>
      </c>
      <c r="IH74">
        <v>8.8999999999999999E-3</v>
      </c>
      <c r="II74">
        <v>-1.4264907182717459</v>
      </c>
      <c r="IJ74">
        <v>-1.5404112972462821E-3</v>
      </c>
      <c r="IK74">
        <v>-5.8697186733976997E-8</v>
      </c>
      <c r="IL74">
        <v>1.160237123038427E-10</v>
      </c>
      <c r="IM74">
        <v>-0.17205759765640111</v>
      </c>
      <c r="IN74">
        <v>-3.128848753924141E-3</v>
      </c>
      <c r="IO74">
        <v>3.6841110403368089E-4</v>
      </c>
      <c r="IP74">
        <v>1.9296040270694169E-6</v>
      </c>
      <c r="IQ74">
        <v>1</v>
      </c>
      <c r="IR74">
        <v>1992</v>
      </c>
      <c r="IS74">
        <v>2</v>
      </c>
      <c r="IT74">
        <v>27</v>
      </c>
      <c r="IU74">
        <v>0.6</v>
      </c>
      <c r="IV74">
        <v>0.6</v>
      </c>
      <c r="IW74">
        <v>0.83252000000000004</v>
      </c>
      <c r="IX74">
        <v>2.6660200000000001</v>
      </c>
      <c r="IY74">
        <v>1.69434</v>
      </c>
      <c r="IZ74">
        <v>2.34741</v>
      </c>
      <c r="JA74">
        <v>1.5466299999999999</v>
      </c>
      <c r="JB74">
        <v>2.31934</v>
      </c>
      <c r="JC74">
        <v>38.575000000000003</v>
      </c>
      <c r="JD74">
        <v>24.096299999999999</v>
      </c>
      <c r="JE74">
        <v>18</v>
      </c>
      <c r="JF74">
        <v>532.49900000000002</v>
      </c>
      <c r="JG74">
        <v>540.33399999999995</v>
      </c>
      <c r="JH74">
        <v>25.092700000000001</v>
      </c>
      <c r="JI74">
        <v>30.8538</v>
      </c>
      <c r="JJ74">
        <v>30</v>
      </c>
      <c r="JK74">
        <v>30.798999999999999</v>
      </c>
      <c r="JL74">
        <v>30.7514</v>
      </c>
      <c r="JM74">
        <v>16.757200000000001</v>
      </c>
      <c r="JN74">
        <v>24.627300000000002</v>
      </c>
      <c r="JO74">
        <v>42.179200000000002</v>
      </c>
      <c r="JP74">
        <v>25.098099999999999</v>
      </c>
      <c r="JQ74">
        <v>300</v>
      </c>
      <c r="JR74">
        <v>18.706800000000001</v>
      </c>
      <c r="JS74">
        <v>99.538899999999998</v>
      </c>
      <c r="JT74">
        <v>98.748199999999997</v>
      </c>
    </row>
    <row r="75" spans="1:280" x14ac:dyDescent="0.25">
      <c r="A75">
        <v>59</v>
      </c>
      <c r="B75">
        <v>1639679158.5</v>
      </c>
      <c r="C75">
        <v>12556.400000095369</v>
      </c>
      <c r="D75" t="s">
        <v>716</v>
      </c>
      <c r="E75" t="s">
        <v>717</v>
      </c>
      <c r="F75" t="s">
        <v>412</v>
      </c>
      <c r="G75" t="s">
        <v>707</v>
      </c>
      <c r="H75" t="s">
        <v>414</v>
      </c>
      <c r="I75">
        <v>1639679158.5</v>
      </c>
      <c r="J75">
        <f t="shared" si="46"/>
        <v>5.6889249595627944E-3</v>
      </c>
      <c r="K75">
        <f t="shared" si="47"/>
        <v>5.6889249595627946</v>
      </c>
      <c r="L75">
        <f t="shared" si="48"/>
        <v>31.654590393082998</v>
      </c>
      <c r="M75">
        <f t="shared" si="49"/>
        <v>160.941</v>
      </c>
      <c r="N75">
        <f t="shared" si="50"/>
        <v>46.991361092665898</v>
      </c>
      <c r="O75">
        <f t="shared" si="51"/>
        <v>4.6819067267219641</v>
      </c>
      <c r="P75">
        <f t="shared" si="52"/>
        <v>16.035090982349999</v>
      </c>
      <c r="Q75">
        <f t="shared" si="53"/>
        <v>0.48856819921127598</v>
      </c>
      <c r="R75">
        <f t="shared" si="54"/>
        <v>2.9224301885056323</v>
      </c>
      <c r="S75">
        <f t="shared" si="55"/>
        <v>0.4473106307548172</v>
      </c>
      <c r="T75">
        <f t="shared" si="56"/>
        <v>0.28298506692738623</v>
      </c>
      <c r="U75">
        <f t="shared" si="57"/>
        <v>289.57662584753513</v>
      </c>
      <c r="V75">
        <f t="shared" si="58"/>
        <v>28.232750710437976</v>
      </c>
      <c r="W75">
        <f t="shared" si="59"/>
        <v>27.638100000000001</v>
      </c>
      <c r="X75">
        <f t="shared" si="60"/>
        <v>3.715510975515369</v>
      </c>
      <c r="Y75">
        <f t="shared" si="61"/>
        <v>65.541788933062691</v>
      </c>
      <c r="Z75">
        <f t="shared" si="62"/>
        <v>2.4878148594950003</v>
      </c>
      <c r="AA75">
        <f t="shared" si="63"/>
        <v>3.7957689284858951</v>
      </c>
      <c r="AB75">
        <f t="shared" si="64"/>
        <v>1.2276961160203688</v>
      </c>
      <c r="AC75">
        <f t="shared" si="65"/>
        <v>-250.88159071671924</v>
      </c>
      <c r="AD75">
        <f t="shared" si="66"/>
        <v>57.680540019746118</v>
      </c>
      <c r="AE75">
        <f t="shared" si="67"/>
        <v>4.2945893462183786</v>
      </c>
      <c r="AF75">
        <f t="shared" si="68"/>
        <v>100.6701644967804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52485.841615497535</v>
      </c>
      <c r="AL75" t="s">
        <v>415</v>
      </c>
      <c r="AM75">
        <v>10204.299999999999</v>
      </c>
      <c r="AN75">
        <v>862.72538461538477</v>
      </c>
      <c r="AO75">
        <v>3252.56</v>
      </c>
      <c r="AP75">
        <f t="shared" si="72"/>
        <v>0.73475496697512588</v>
      </c>
      <c r="AQ75">
        <v>-6.6684750346205304</v>
      </c>
      <c r="AR75" t="s">
        <v>718</v>
      </c>
      <c r="AS75">
        <v>10031.200000000001</v>
      </c>
      <c r="AT75">
        <v>722.38938461538464</v>
      </c>
      <c r="AU75">
        <v>968.0482451823284</v>
      </c>
      <c r="AV75">
        <f t="shared" si="73"/>
        <v>0.25376716686333622</v>
      </c>
      <c r="AW75">
        <v>0.5</v>
      </c>
      <c r="AX75">
        <f t="shared" si="74"/>
        <v>1513.2353999210027</v>
      </c>
      <c r="AY75">
        <f t="shared" si="75"/>
        <v>31.654590393082998</v>
      </c>
      <c r="AZ75">
        <f t="shared" si="76"/>
        <v>192.0047301176302</v>
      </c>
      <c r="BA75">
        <f t="shared" si="77"/>
        <v>2.532525040697842E-2</v>
      </c>
      <c r="BB75">
        <f t="shared" si="78"/>
        <v>2.3599151862388759</v>
      </c>
      <c r="BC75">
        <f t="shared" si="79"/>
        <v>530.59584671747587</v>
      </c>
      <c r="BD75" t="s">
        <v>719</v>
      </c>
      <c r="BE75">
        <v>537.19000000000005</v>
      </c>
      <c r="BF75">
        <f t="shared" si="80"/>
        <v>537.19000000000005</v>
      </c>
      <c r="BG75">
        <f t="shared" si="81"/>
        <v>0.44507931017547353</v>
      </c>
      <c r="BH75">
        <f t="shared" si="82"/>
        <v>0.5701616791921601</v>
      </c>
      <c r="BI75">
        <f t="shared" si="83"/>
        <v>0.84132613780724963</v>
      </c>
      <c r="BJ75">
        <f t="shared" si="84"/>
        <v>2.3324362749414882</v>
      </c>
      <c r="BK75">
        <f t="shared" si="85"/>
        <v>0.95592880783928502</v>
      </c>
      <c r="BL75">
        <f t="shared" si="86"/>
        <v>0.42398899951763441</v>
      </c>
      <c r="BM75">
        <f t="shared" si="87"/>
        <v>0.57601100048236553</v>
      </c>
      <c r="BN75">
        <v>4988</v>
      </c>
      <c r="BO75">
        <v>290.00000000000011</v>
      </c>
      <c r="BP75">
        <v>900.69</v>
      </c>
      <c r="BQ75">
        <v>195</v>
      </c>
      <c r="BR75">
        <v>10031.200000000001</v>
      </c>
      <c r="BS75">
        <v>899.7</v>
      </c>
      <c r="BT75">
        <v>0.99</v>
      </c>
      <c r="BU75">
        <v>300.00000000000011</v>
      </c>
      <c r="BV75">
        <v>24.1</v>
      </c>
      <c r="BW75">
        <v>968.0482451823284</v>
      </c>
      <c r="BX75">
        <v>1.991923714547658</v>
      </c>
      <c r="BY75">
        <v>-68.558793905328301</v>
      </c>
      <c r="BZ75">
        <v>1.779420114348776</v>
      </c>
      <c r="CA75">
        <v>0.98148714914724411</v>
      </c>
      <c r="CB75">
        <v>-6.8334729699666202E-3</v>
      </c>
      <c r="CC75">
        <v>289.99999999999989</v>
      </c>
      <c r="CD75">
        <v>898.83</v>
      </c>
      <c r="CE75">
        <v>715</v>
      </c>
      <c r="CF75">
        <v>10011.6</v>
      </c>
      <c r="CG75">
        <v>899.57</v>
      </c>
      <c r="CH75">
        <v>-0.74</v>
      </c>
      <c r="CV75">
        <f t="shared" si="88"/>
        <v>1800.06</v>
      </c>
      <c r="CW75">
        <f t="shared" si="89"/>
        <v>1513.2353999210027</v>
      </c>
      <c r="CX75">
        <f t="shared" si="90"/>
        <v>0.84065831134573443</v>
      </c>
      <c r="CY75">
        <f t="shared" si="91"/>
        <v>0.16087054089726738</v>
      </c>
      <c r="CZ75">
        <v>6</v>
      </c>
      <c r="DA75">
        <v>0.5</v>
      </c>
      <c r="DB75" t="s">
        <v>418</v>
      </c>
      <c r="DC75">
        <v>2</v>
      </c>
      <c r="DD75">
        <v>1639679158.5</v>
      </c>
      <c r="DE75">
        <v>160.941</v>
      </c>
      <c r="DF75">
        <v>200.012</v>
      </c>
      <c r="DG75">
        <v>24.9697</v>
      </c>
      <c r="DH75">
        <v>18.3157</v>
      </c>
      <c r="DI75">
        <v>162.56800000000001</v>
      </c>
      <c r="DJ75">
        <v>24.958600000000001</v>
      </c>
      <c r="DK75">
        <v>500.16899999999998</v>
      </c>
      <c r="DL75">
        <v>99.533000000000001</v>
      </c>
      <c r="DM75">
        <v>0.10034999999999999</v>
      </c>
      <c r="DN75">
        <v>28.004200000000001</v>
      </c>
      <c r="DO75">
        <v>27.638100000000001</v>
      </c>
      <c r="DP75">
        <v>999.9</v>
      </c>
      <c r="DQ75">
        <v>0</v>
      </c>
      <c r="DR75">
        <v>0</v>
      </c>
      <c r="DS75">
        <v>10006.200000000001</v>
      </c>
      <c r="DT75">
        <v>0</v>
      </c>
      <c r="DU75">
        <v>336.10599999999999</v>
      </c>
      <c r="DV75">
        <v>-39.070500000000003</v>
      </c>
      <c r="DW75">
        <v>165.06299999999999</v>
      </c>
      <c r="DX75">
        <v>203.74299999999999</v>
      </c>
      <c r="DY75">
        <v>6.6539900000000003</v>
      </c>
      <c r="DZ75">
        <v>200.012</v>
      </c>
      <c r="EA75">
        <v>18.3157</v>
      </c>
      <c r="EB75">
        <v>2.4853000000000001</v>
      </c>
      <c r="EC75">
        <v>1.82301</v>
      </c>
      <c r="ED75">
        <v>20.930599999999998</v>
      </c>
      <c r="EE75">
        <v>15.9855</v>
      </c>
      <c r="EF75">
        <v>1800.06</v>
      </c>
      <c r="EG75">
        <v>0.97799499999999995</v>
      </c>
      <c r="EH75">
        <v>2.2004900000000001E-2</v>
      </c>
      <c r="EI75">
        <v>0</v>
      </c>
      <c r="EJ75">
        <v>722.32500000000005</v>
      </c>
      <c r="EK75">
        <v>5.0001199999999999</v>
      </c>
      <c r="EL75">
        <v>12990.7</v>
      </c>
      <c r="EM75">
        <v>15630.4</v>
      </c>
      <c r="EN75">
        <v>50</v>
      </c>
      <c r="EO75">
        <v>50.375</v>
      </c>
      <c r="EP75">
        <v>50.75</v>
      </c>
      <c r="EQ75">
        <v>50.311999999999998</v>
      </c>
      <c r="ER75">
        <v>51.375</v>
      </c>
      <c r="ES75">
        <v>1755.56</v>
      </c>
      <c r="ET75">
        <v>39.5</v>
      </c>
      <c r="EU75">
        <v>0</v>
      </c>
      <c r="EV75">
        <v>126.80000019073491</v>
      </c>
      <c r="EW75">
        <v>0</v>
      </c>
      <c r="EX75">
        <v>722.38938461538464</v>
      </c>
      <c r="EY75">
        <v>-4.8788375932775008</v>
      </c>
      <c r="EZ75">
        <v>-85.569230764544912</v>
      </c>
      <c r="FA75">
        <v>13000.81923076923</v>
      </c>
      <c r="FB75">
        <v>15</v>
      </c>
      <c r="FC75">
        <v>1639679118</v>
      </c>
      <c r="FD75" t="s">
        <v>720</v>
      </c>
      <c r="FE75">
        <v>1639679107.5</v>
      </c>
      <c r="FF75">
        <v>1639679118</v>
      </c>
      <c r="FG75">
        <v>65</v>
      </c>
      <c r="FH75">
        <v>5.0999999999999997E-2</v>
      </c>
      <c r="FI75">
        <v>2E-3</v>
      </c>
      <c r="FJ75">
        <v>-1.6879999999999999</v>
      </c>
      <c r="FK75">
        <v>-8.6999999999999994E-2</v>
      </c>
      <c r="FL75">
        <v>200</v>
      </c>
      <c r="FM75">
        <v>19</v>
      </c>
      <c r="FN75">
        <v>0.03</v>
      </c>
      <c r="FO75">
        <v>0.02</v>
      </c>
      <c r="FP75">
        <v>31.54032840627751</v>
      </c>
      <c r="FQ75">
        <v>0.66712266396791708</v>
      </c>
      <c r="FR75">
        <v>6.5822061602117635E-2</v>
      </c>
      <c r="FS75">
        <v>1</v>
      </c>
      <c r="FT75">
        <v>0.48533243210917892</v>
      </c>
      <c r="FU75">
        <v>4.0769716348081193E-2</v>
      </c>
      <c r="FV75">
        <v>4.5339142137193634E-3</v>
      </c>
      <c r="FW75">
        <v>1</v>
      </c>
      <c r="FX75">
        <v>2</v>
      </c>
      <c r="FY75">
        <v>2</v>
      </c>
      <c r="FZ75" t="s">
        <v>420</v>
      </c>
      <c r="GA75">
        <v>2.9221400000000002</v>
      </c>
      <c r="GB75">
        <v>2.7453799999999999</v>
      </c>
      <c r="GC75">
        <v>4.3094100000000003E-2</v>
      </c>
      <c r="GD75">
        <v>5.2845299999999998E-2</v>
      </c>
      <c r="GE75">
        <v>0.12021900000000001</v>
      </c>
      <c r="GF75">
        <v>9.7992899999999994E-2</v>
      </c>
      <c r="GG75">
        <v>29843.3</v>
      </c>
      <c r="GH75">
        <v>29192.3</v>
      </c>
      <c r="GI75">
        <v>28391.4</v>
      </c>
      <c r="GJ75">
        <v>28182.6</v>
      </c>
      <c r="GK75">
        <v>34278.5</v>
      </c>
      <c r="GL75">
        <v>35697.699999999997</v>
      </c>
      <c r="GM75">
        <v>42722.400000000001</v>
      </c>
      <c r="GN75">
        <v>43846.7</v>
      </c>
      <c r="GO75">
        <v>1.8047500000000001</v>
      </c>
      <c r="GP75">
        <v>1.99013</v>
      </c>
      <c r="GQ75">
        <v>6.1556699999999999E-2</v>
      </c>
      <c r="GR75">
        <v>0</v>
      </c>
      <c r="GS75">
        <v>26.631599999999999</v>
      </c>
      <c r="GT75">
        <v>999.9</v>
      </c>
      <c r="GU75">
        <v>41.2</v>
      </c>
      <c r="GV75">
        <v>34.9</v>
      </c>
      <c r="GW75">
        <v>23.2514</v>
      </c>
      <c r="GX75">
        <v>60.757399999999997</v>
      </c>
      <c r="GY75">
        <v>29.715499999999999</v>
      </c>
      <c r="GZ75">
        <v>1</v>
      </c>
      <c r="HA75">
        <v>0.28734999999999999</v>
      </c>
      <c r="HB75">
        <v>2.0144600000000001</v>
      </c>
      <c r="HC75">
        <v>20.263400000000001</v>
      </c>
      <c r="HD75">
        <v>5.2727000000000004</v>
      </c>
      <c r="HE75">
        <v>12.0878</v>
      </c>
      <c r="HF75">
        <v>5.0133999999999999</v>
      </c>
      <c r="HG75">
        <v>3.2919999999999998</v>
      </c>
      <c r="HH75">
        <v>9999</v>
      </c>
      <c r="HI75">
        <v>9999</v>
      </c>
      <c r="HJ75">
        <v>9999</v>
      </c>
      <c r="HK75">
        <v>999.9</v>
      </c>
      <c r="HL75">
        <v>1.8751500000000001</v>
      </c>
      <c r="HM75">
        <v>1.87565</v>
      </c>
      <c r="HN75">
        <v>1.8754599999999999</v>
      </c>
      <c r="HO75">
        <v>1.8792899999999999</v>
      </c>
      <c r="HP75">
        <v>1.87286</v>
      </c>
      <c r="HQ75">
        <v>1.8760600000000001</v>
      </c>
      <c r="HR75">
        <v>1.8757600000000001</v>
      </c>
      <c r="HS75">
        <v>1.8772</v>
      </c>
      <c r="HT75">
        <v>0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423</v>
      </c>
      <c r="IB75" t="s">
        <v>423</v>
      </c>
      <c r="IC75" t="s">
        <v>423</v>
      </c>
      <c r="ID75">
        <v>0</v>
      </c>
      <c r="IE75">
        <v>100</v>
      </c>
      <c r="IF75">
        <v>100</v>
      </c>
      <c r="IG75">
        <v>-1.627</v>
      </c>
      <c r="IH75">
        <v>1.11E-2</v>
      </c>
      <c r="II75">
        <v>-1.3754755298794601</v>
      </c>
      <c r="IJ75">
        <v>-1.5404112972462821E-3</v>
      </c>
      <c r="IK75">
        <v>-5.8697186733976997E-8</v>
      </c>
      <c r="IL75">
        <v>1.160237123038427E-10</v>
      </c>
      <c r="IM75">
        <v>-0.17037822390787069</v>
      </c>
      <c r="IN75">
        <v>-3.128848753924141E-3</v>
      </c>
      <c r="IO75">
        <v>3.6841110403368089E-4</v>
      </c>
      <c r="IP75">
        <v>1.9296040270694169E-6</v>
      </c>
      <c r="IQ75">
        <v>1</v>
      </c>
      <c r="IR75">
        <v>1992</v>
      </c>
      <c r="IS75">
        <v>2</v>
      </c>
      <c r="IT75">
        <v>27</v>
      </c>
      <c r="IU75">
        <v>0.8</v>
      </c>
      <c r="IV75">
        <v>0.7</v>
      </c>
      <c r="IW75">
        <v>0.61279300000000003</v>
      </c>
      <c r="IX75">
        <v>2.677</v>
      </c>
      <c r="IY75">
        <v>1.69434</v>
      </c>
      <c r="IZ75">
        <v>2.34619</v>
      </c>
      <c r="JA75">
        <v>1.5466299999999999</v>
      </c>
      <c r="JB75">
        <v>2.3278799999999999</v>
      </c>
      <c r="JC75">
        <v>38.5259</v>
      </c>
      <c r="JD75">
        <v>24.096299999999999</v>
      </c>
      <c r="JE75">
        <v>18</v>
      </c>
      <c r="JF75">
        <v>533.04399999999998</v>
      </c>
      <c r="JG75">
        <v>540.00199999999995</v>
      </c>
      <c r="JH75">
        <v>25.132400000000001</v>
      </c>
      <c r="JI75">
        <v>30.822700000000001</v>
      </c>
      <c r="JJ75">
        <v>30</v>
      </c>
      <c r="JK75">
        <v>30.791</v>
      </c>
      <c r="JL75">
        <v>30.746200000000002</v>
      </c>
      <c r="JM75">
        <v>12.3368</v>
      </c>
      <c r="JN75">
        <v>26.211500000000001</v>
      </c>
      <c r="JO75">
        <v>41.5685</v>
      </c>
      <c r="JP75">
        <v>25.128900000000002</v>
      </c>
      <c r="JQ75">
        <v>200</v>
      </c>
      <c r="JR75">
        <v>18.251999999999999</v>
      </c>
      <c r="JS75">
        <v>99.547200000000004</v>
      </c>
      <c r="JT75">
        <v>98.755700000000004</v>
      </c>
    </row>
    <row r="76" spans="1:280" x14ac:dyDescent="0.25">
      <c r="A76">
        <v>60</v>
      </c>
      <c r="B76">
        <v>1639679277.5999999</v>
      </c>
      <c r="C76">
        <v>12675.5</v>
      </c>
      <c r="D76" t="s">
        <v>721</v>
      </c>
      <c r="E76" t="s">
        <v>722</v>
      </c>
      <c r="F76" t="s">
        <v>412</v>
      </c>
      <c r="G76" t="s">
        <v>707</v>
      </c>
      <c r="H76" t="s">
        <v>414</v>
      </c>
      <c r="I76">
        <v>1639679277.5999999</v>
      </c>
      <c r="J76">
        <f t="shared" si="46"/>
        <v>5.9972159124397403E-3</v>
      </c>
      <c r="K76">
        <f t="shared" si="47"/>
        <v>5.9972159124397404</v>
      </c>
      <c r="L76">
        <f t="shared" si="48"/>
        <v>20.068773468502958</v>
      </c>
      <c r="M76">
        <f t="shared" si="49"/>
        <v>95.258200000000002</v>
      </c>
      <c r="N76">
        <f t="shared" si="50"/>
        <v>27.151216709656687</v>
      </c>
      <c r="O76">
        <f t="shared" si="51"/>
        <v>2.7049790624516095</v>
      </c>
      <c r="P76">
        <f t="shared" si="52"/>
        <v>9.4902353468079994</v>
      </c>
      <c r="Q76">
        <f t="shared" si="53"/>
        <v>0.52055536598412822</v>
      </c>
      <c r="R76">
        <f t="shared" si="54"/>
        <v>2.9190361521988892</v>
      </c>
      <c r="S76">
        <f t="shared" si="55"/>
        <v>0.47394507319855728</v>
      </c>
      <c r="T76">
        <f t="shared" si="56"/>
        <v>0.30005485975271939</v>
      </c>
      <c r="U76">
        <f t="shared" si="57"/>
        <v>289.56545384752911</v>
      </c>
      <c r="V76">
        <f t="shared" si="58"/>
        <v>28.15544268619503</v>
      </c>
      <c r="W76">
        <f t="shared" si="59"/>
        <v>27.617000000000001</v>
      </c>
      <c r="X76">
        <f t="shared" si="60"/>
        <v>3.7109308249982962</v>
      </c>
      <c r="Y76">
        <f t="shared" si="61"/>
        <v>65.575238049829181</v>
      </c>
      <c r="Z76">
        <f t="shared" si="62"/>
        <v>2.489505333296</v>
      </c>
      <c r="AA76">
        <f t="shared" si="63"/>
        <v>3.796410668618968</v>
      </c>
      <c r="AB76">
        <f t="shared" si="64"/>
        <v>1.2214254917022962</v>
      </c>
      <c r="AC76">
        <f t="shared" si="65"/>
        <v>-264.47722173859256</v>
      </c>
      <c r="AD76">
        <f t="shared" si="66"/>
        <v>61.390457152268937</v>
      </c>
      <c r="AE76">
        <f t="shared" si="67"/>
        <v>4.5757097915544138</v>
      </c>
      <c r="AF76">
        <f t="shared" si="68"/>
        <v>91.054399052759891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52387.720534087959</v>
      </c>
      <c r="AL76" t="s">
        <v>415</v>
      </c>
      <c r="AM76">
        <v>10204.299999999999</v>
      </c>
      <c r="AN76">
        <v>862.72538461538477</v>
      </c>
      <c r="AO76">
        <v>3252.56</v>
      </c>
      <c r="AP76">
        <f t="shared" si="72"/>
        <v>0.73475496697512588</v>
      </c>
      <c r="AQ76">
        <v>-6.6684750346205304</v>
      </c>
      <c r="AR76" t="s">
        <v>723</v>
      </c>
      <c r="AS76">
        <v>10027</v>
      </c>
      <c r="AT76">
        <v>737.56687999999997</v>
      </c>
      <c r="AU76">
        <v>897.90660156105525</v>
      </c>
      <c r="AV76">
        <f t="shared" si="73"/>
        <v>0.17857060108734779</v>
      </c>
      <c r="AW76">
        <v>0.5</v>
      </c>
      <c r="AX76">
        <f t="shared" si="74"/>
        <v>1513.1765999209995</v>
      </c>
      <c r="AY76">
        <f t="shared" si="75"/>
        <v>20.068773468502958</v>
      </c>
      <c r="AZ76">
        <f t="shared" si="76"/>
        <v>135.10442749960103</v>
      </c>
      <c r="BA76">
        <f t="shared" si="77"/>
        <v>1.7669615367115376E-2</v>
      </c>
      <c r="BB76">
        <f t="shared" si="78"/>
        <v>2.6223812079622344</v>
      </c>
      <c r="BC76">
        <f t="shared" si="79"/>
        <v>508.81034574237594</v>
      </c>
      <c r="BD76" t="s">
        <v>724</v>
      </c>
      <c r="BE76">
        <v>530.85</v>
      </c>
      <c r="BF76">
        <f t="shared" si="80"/>
        <v>530.85</v>
      </c>
      <c r="BG76">
        <f t="shared" si="81"/>
        <v>0.40879151676010517</v>
      </c>
      <c r="BH76">
        <f t="shared" si="82"/>
        <v>0.43682560367841472</v>
      </c>
      <c r="BI76">
        <f t="shared" si="83"/>
        <v>0.86513750489175734</v>
      </c>
      <c r="BJ76">
        <f t="shared" si="84"/>
        <v>4.5575376715553668</v>
      </c>
      <c r="BK76">
        <f t="shared" si="85"/>
        <v>0.98527880686002689</v>
      </c>
      <c r="BL76">
        <f t="shared" si="86"/>
        <v>0.31439707774390097</v>
      </c>
      <c r="BM76">
        <f t="shared" si="87"/>
        <v>0.68560292225609909</v>
      </c>
      <c r="BN76">
        <v>4990</v>
      </c>
      <c r="BO76">
        <v>290.00000000000011</v>
      </c>
      <c r="BP76">
        <v>862.18</v>
      </c>
      <c r="BQ76">
        <v>235</v>
      </c>
      <c r="BR76">
        <v>10027</v>
      </c>
      <c r="BS76">
        <v>862.31</v>
      </c>
      <c r="BT76">
        <v>-0.13</v>
      </c>
      <c r="BU76">
        <v>300.00000000000011</v>
      </c>
      <c r="BV76">
        <v>24.1</v>
      </c>
      <c r="BW76">
        <v>897.90660156105525</v>
      </c>
      <c r="BX76">
        <v>1.9834501718557049</v>
      </c>
      <c r="BY76">
        <v>-35.690558111018177</v>
      </c>
      <c r="BZ76">
        <v>1.7716800358313529</v>
      </c>
      <c r="CA76">
        <v>0.93545747034215465</v>
      </c>
      <c r="CB76">
        <v>-6.8326496106785404E-3</v>
      </c>
      <c r="CC76">
        <v>289.99999999999989</v>
      </c>
      <c r="CD76">
        <v>862.77</v>
      </c>
      <c r="CE76">
        <v>695</v>
      </c>
      <c r="CF76">
        <v>10011.4</v>
      </c>
      <c r="CG76">
        <v>862.26</v>
      </c>
      <c r="CH76">
        <v>0.51</v>
      </c>
      <c r="CV76">
        <f t="shared" si="88"/>
        <v>1799.99</v>
      </c>
      <c r="CW76">
        <f t="shared" si="89"/>
        <v>1513.1765999209995</v>
      </c>
      <c r="CX76">
        <f t="shared" si="90"/>
        <v>0.84065833694687164</v>
      </c>
      <c r="CY76">
        <f t="shared" si="91"/>
        <v>0.16087059030746234</v>
      </c>
      <c r="CZ76">
        <v>6</v>
      </c>
      <c r="DA76">
        <v>0.5</v>
      </c>
      <c r="DB76" t="s">
        <v>418</v>
      </c>
      <c r="DC76">
        <v>2</v>
      </c>
      <c r="DD76">
        <v>1639679277.5999999</v>
      </c>
      <c r="DE76">
        <v>95.258200000000002</v>
      </c>
      <c r="DF76">
        <v>120.023</v>
      </c>
      <c r="DG76">
        <v>24.988399999999999</v>
      </c>
      <c r="DH76">
        <v>17.9725</v>
      </c>
      <c r="DI76">
        <v>96.704300000000003</v>
      </c>
      <c r="DJ76">
        <v>24.9788</v>
      </c>
      <c r="DK76">
        <v>500.06599999999997</v>
      </c>
      <c r="DL76">
        <v>99.526300000000006</v>
      </c>
      <c r="DM76">
        <v>0.10014000000000001</v>
      </c>
      <c r="DN76">
        <v>28.007100000000001</v>
      </c>
      <c r="DO76">
        <v>27.617000000000001</v>
      </c>
      <c r="DP76">
        <v>999.9</v>
      </c>
      <c r="DQ76">
        <v>0</v>
      </c>
      <c r="DR76">
        <v>0</v>
      </c>
      <c r="DS76">
        <v>9987.5</v>
      </c>
      <c r="DT76">
        <v>0</v>
      </c>
      <c r="DU76">
        <v>337.78</v>
      </c>
      <c r="DV76">
        <v>-24.764399999999998</v>
      </c>
      <c r="DW76">
        <v>97.699600000000004</v>
      </c>
      <c r="DX76">
        <v>122.21899999999999</v>
      </c>
      <c r="DY76">
        <v>7.0159700000000003</v>
      </c>
      <c r="DZ76">
        <v>120.023</v>
      </c>
      <c r="EA76">
        <v>17.9725</v>
      </c>
      <c r="EB76">
        <v>2.4870000000000001</v>
      </c>
      <c r="EC76">
        <v>1.7887299999999999</v>
      </c>
      <c r="ED76">
        <v>20.941700000000001</v>
      </c>
      <c r="EE76">
        <v>15.688700000000001</v>
      </c>
      <c r="EF76">
        <v>1799.99</v>
      </c>
      <c r="EG76">
        <v>0.97799499999999995</v>
      </c>
      <c r="EH76">
        <v>2.2004800000000001E-2</v>
      </c>
      <c r="EI76">
        <v>0</v>
      </c>
      <c r="EJ76">
        <v>737.19899999999996</v>
      </c>
      <c r="EK76">
        <v>5.0001199999999999</v>
      </c>
      <c r="EL76">
        <v>13263.9</v>
      </c>
      <c r="EM76">
        <v>15629.9</v>
      </c>
      <c r="EN76">
        <v>50.125</v>
      </c>
      <c r="EO76">
        <v>50.436999999999998</v>
      </c>
      <c r="EP76">
        <v>50.811999999999998</v>
      </c>
      <c r="EQ76">
        <v>50.311999999999998</v>
      </c>
      <c r="ER76">
        <v>51.436999999999998</v>
      </c>
      <c r="ES76">
        <v>1755.49</v>
      </c>
      <c r="ET76">
        <v>39.5</v>
      </c>
      <c r="EU76">
        <v>0</v>
      </c>
      <c r="EV76">
        <v>117</v>
      </c>
      <c r="EW76">
        <v>0</v>
      </c>
      <c r="EX76">
        <v>737.56687999999997</v>
      </c>
      <c r="EY76">
        <v>-3.638230768677555</v>
      </c>
      <c r="EZ76">
        <v>-65.653846055303219</v>
      </c>
      <c r="FA76">
        <v>13271.328</v>
      </c>
      <c r="FB76">
        <v>15</v>
      </c>
      <c r="FC76">
        <v>1639679236</v>
      </c>
      <c r="FD76" t="s">
        <v>725</v>
      </c>
      <c r="FE76">
        <v>1639679226.5</v>
      </c>
      <c r="FF76">
        <v>1639679236</v>
      </c>
      <c r="FG76">
        <v>66</v>
      </c>
      <c r="FH76">
        <v>7.9000000000000001E-2</v>
      </c>
      <c r="FI76">
        <v>-2E-3</v>
      </c>
      <c r="FJ76">
        <v>-1.484</v>
      </c>
      <c r="FK76">
        <v>-9.6000000000000002E-2</v>
      </c>
      <c r="FL76">
        <v>120</v>
      </c>
      <c r="FM76">
        <v>18</v>
      </c>
      <c r="FN76">
        <v>0.06</v>
      </c>
      <c r="FO76">
        <v>0.01</v>
      </c>
      <c r="FP76">
        <v>19.992379905736779</v>
      </c>
      <c r="FQ76">
        <v>0.27867779474646159</v>
      </c>
      <c r="FR76">
        <v>2.9890287590791379E-2</v>
      </c>
      <c r="FS76">
        <v>1</v>
      </c>
      <c r="FT76">
        <v>0.51704072365950027</v>
      </c>
      <c r="FU76">
        <v>4.2125240131851219E-2</v>
      </c>
      <c r="FV76">
        <v>4.7466933552812148E-3</v>
      </c>
      <c r="FW76">
        <v>1</v>
      </c>
      <c r="FX76">
        <v>2</v>
      </c>
      <c r="FY76">
        <v>2</v>
      </c>
      <c r="FZ76" t="s">
        <v>420</v>
      </c>
      <c r="GA76">
        <v>2.9219400000000002</v>
      </c>
      <c r="GB76">
        <v>2.7450100000000002</v>
      </c>
      <c r="GC76">
        <v>2.6542699999999999E-2</v>
      </c>
      <c r="GD76">
        <v>3.3238999999999998E-2</v>
      </c>
      <c r="GE76">
        <v>0.120283</v>
      </c>
      <c r="GF76">
        <v>9.6673200000000001E-2</v>
      </c>
      <c r="GG76">
        <v>30360.9</v>
      </c>
      <c r="GH76">
        <v>29798</v>
      </c>
      <c r="GI76">
        <v>28393</v>
      </c>
      <c r="GJ76">
        <v>28184.3</v>
      </c>
      <c r="GK76">
        <v>34277.599999999999</v>
      </c>
      <c r="GL76">
        <v>35751.699999999997</v>
      </c>
      <c r="GM76">
        <v>42724.4</v>
      </c>
      <c r="GN76">
        <v>43848.7</v>
      </c>
      <c r="GO76">
        <v>1.8051999999999999</v>
      </c>
      <c r="GP76">
        <v>1.9901800000000001</v>
      </c>
      <c r="GQ76">
        <v>5.6475400000000002E-2</v>
      </c>
      <c r="GR76">
        <v>0</v>
      </c>
      <c r="GS76">
        <v>26.6937</v>
      </c>
      <c r="GT76">
        <v>999.9</v>
      </c>
      <c r="GU76">
        <v>41</v>
      </c>
      <c r="GV76">
        <v>34.9</v>
      </c>
      <c r="GW76">
        <v>23.142099999999999</v>
      </c>
      <c r="GX76">
        <v>61.127400000000002</v>
      </c>
      <c r="GY76">
        <v>29.883800000000001</v>
      </c>
      <c r="GZ76">
        <v>1</v>
      </c>
      <c r="HA76">
        <v>0.28575499999999998</v>
      </c>
      <c r="HB76">
        <v>2.2488199999999998</v>
      </c>
      <c r="HC76">
        <v>20.261900000000001</v>
      </c>
      <c r="HD76">
        <v>5.2762900000000004</v>
      </c>
      <c r="HE76">
        <v>12.0878</v>
      </c>
      <c r="HF76">
        <v>5.0132500000000002</v>
      </c>
      <c r="HG76">
        <v>3.2919499999999999</v>
      </c>
      <c r="HH76">
        <v>9999</v>
      </c>
      <c r="HI76">
        <v>9999</v>
      </c>
      <c r="HJ76">
        <v>9999</v>
      </c>
      <c r="HK76">
        <v>999.9</v>
      </c>
      <c r="HL76">
        <v>1.8751500000000001</v>
      </c>
      <c r="HM76">
        <v>1.8756600000000001</v>
      </c>
      <c r="HN76">
        <v>1.8754500000000001</v>
      </c>
      <c r="HO76">
        <v>1.8793299999999999</v>
      </c>
      <c r="HP76">
        <v>1.8728400000000001</v>
      </c>
      <c r="HQ76">
        <v>1.87602</v>
      </c>
      <c r="HR76">
        <v>1.8757600000000001</v>
      </c>
      <c r="HS76">
        <v>1.87714</v>
      </c>
      <c r="HT76">
        <v>0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423</v>
      </c>
      <c r="IB76" t="s">
        <v>423</v>
      </c>
      <c r="IC76" t="s">
        <v>423</v>
      </c>
      <c r="ID76">
        <v>0</v>
      </c>
      <c r="IE76">
        <v>100</v>
      </c>
      <c r="IF76">
        <v>100</v>
      </c>
      <c r="IG76">
        <v>-1.446</v>
      </c>
      <c r="IH76">
        <v>9.5999999999999992E-3</v>
      </c>
      <c r="II76">
        <v>-1.296604121224092</v>
      </c>
      <c r="IJ76">
        <v>-1.5404112972462821E-3</v>
      </c>
      <c r="IK76">
        <v>-5.8697186733976997E-8</v>
      </c>
      <c r="IL76">
        <v>1.160237123038427E-10</v>
      </c>
      <c r="IM76">
        <v>-0.17212930328536871</v>
      </c>
      <c r="IN76">
        <v>-3.128848753924141E-3</v>
      </c>
      <c r="IO76">
        <v>3.6841110403368089E-4</v>
      </c>
      <c r="IP76">
        <v>1.9296040270694169E-6</v>
      </c>
      <c r="IQ76">
        <v>1</v>
      </c>
      <c r="IR76">
        <v>1992</v>
      </c>
      <c r="IS76">
        <v>2</v>
      </c>
      <c r="IT76">
        <v>27</v>
      </c>
      <c r="IU76">
        <v>0.9</v>
      </c>
      <c r="IV76">
        <v>0.7</v>
      </c>
      <c r="IW76">
        <v>0.43090800000000001</v>
      </c>
      <c r="IX76">
        <v>2.6855500000000001</v>
      </c>
      <c r="IY76">
        <v>1.69434</v>
      </c>
      <c r="IZ76">
        <v>2.34741</v>
      </c>
      <c r="JA76">
        <v>1.5466299999999999</v>
      </c>
      <c r="JB76">
        <v>2.3852500000000001</v>
      </c>
      <c r="JC76">
        <v>38.476900000000001</v>
      </c>
      <c r="JD76">
        <v>24.105</v>
      </c>
      <c r="JE76">
        <v>18</v>
      </c>
      <c r="JF76">
        <v>533.23</v>
      </c>
      <c r="JG76">
        <v>539.904</v>
      </c>
      <c r="JH76">
        <v>24.967400000000001</v>
      </c>
      <c r="JI76">
        <v>30.792100000000001</v>
      </c>
      <c r="JJ76">
        <v>30.0002</v>
      </c>
      <c r="JK76">
        <v>30.772200000000002</v>
      </c>
      <c r="JL76">
        <v>30.731999999999999</v>
      </c>
      <c r="JM76">
        <v>8.6956699999999998</v>
      </c>
      <c r="JN76">
        <v>27.325600000000001</v>
      </c>
      <c r="JO76">
        <v>40.892699999999998</v>
      </c>
      <c r="JP76">
        <v>24.962800000000001</v>
      </c>
      <c r="JQ76">
        <v>120</v>
      </c>
      <c r="JR76">
        <v>17.868600000000001</v>
      </c>
      <c r="JS76">
        <v>99.552199999999999</v>
      </c>
      <c r="JT76">
        <v>98.760800000000003</v>
      </c>
    </row>
    <row r="77" spans="1:280" x14ac:dyDescent="0.25">
      <c r="A77">
        <v>61</v>
      </c>
      <c r="B77">
        <v>1639679395.0999999</v>
      </c>
      <c r="C77">
        <v>12793</v>
      </c>
      <c r="D77" t="s">
        <v>726</v>
      </c>
      <c r="E77" t="s">
        <v>727</v>
      </c>
      <c r="F77" t="s">
        <v>412</v>
      </c>
      <c r="G77" t="s">
        <v>707</v>
      </c>
      <c r="H77" t="s">
        <v>414</v>
      </c>
      <c r="I77">
        <v>1639679395.0999999</v>
      </c>
      <c r="J77">
        <f t="shared" si="46"/>
        <v>6.3769631117962461E-3</v>
      </c>
      <c r="K77">
        <f t="shared" si="47"/>
        <v>6.376963111796246</v>
      </c>
      <c r="L77">
        <f t="shared" si="48"/>
        <v>12.29521374038384</v>
      </c>
      <c r="M77">
        <f t="shared" si="49"/>
        <v>54.855400000000003</v>
      </c>
      <c r="N77">
        <f t="shared" si="50"/>
        <v>15.560739662751072</v>
      </c>
      <c r="O77">
        <f t="shared" si="51"/>
        <v>1.5502379264253321</v>
      </c>
      <c r="P77">
        <f t="shared" si="52"/>
        <v>5.4649665370853997</v>
      </c>
      <c r="Q77">
        <f t="shared" si="53"/>
        <v>0.55561085175044711</v>
      </c>
      <c r="R77">
        <f t="shared" si="54"/>
        <v>2.919887888191504</v>
      </c>
      <c r="S77">
        <f t="shared" si="55"/>
        <v>0.50286550712460887</v>
      </c>
      <c r="T77">
        <f t="shared" si="56"/>
        <v>0.3186115924017322</v>
      </c>
      <c r="U77">
        <f t="shared" si="57"/>
        <v>289.59737384754607</v>
      </c>
      <c r="V77">
        <f t="shared" si="58"/>
        <v>28.053096662551731</v>
      </c>
      <c r="W77">
        <f t="shared" si="59"/>
        <v>27.638200000000001</v>
      </c>
      <c r="X77">
        <f t="shared" si="60"/>
        <v>3.7155326941292075</v>
      </c>
      <c r="Y77">
        <f t="shared" si="61"/>
        <v>65.641707747458071</v>
      </c>
      <c r="Z77">
        <f t="shared" si="62"/>
        <v>2.4915203995590001</v>
      </c>
      <c r="AA77">
        <f t="shared" si="63"/>
        <v>3.7956361664820988</v>
      </c>
      <c r="AB77">
        <f t="shared" si="64"/>
        <v>1.2240122945702074</v>
      </c>
      <c r="AC77">
        <f t="shared" si="65"/>
        <v>-281.22407323021446</v>
      </c>
      <c r="AD77">
        <f t="shared" si="66"/>
        <v>57.520170275616714</v>
      </c>
      <c r="AE77">
        <f t="shared" si="67"/>
        <v>4.2863672015681136</v>
      </c>
      <c r="AF77">
        <f t="shared" si="68"/>
        <v>70.179838094516441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52412.753449903714</v>
      </c>
      <c r="AL77" t="s">
        <v>415</v>
      </c>
      <c r="AM77">
        <v>10204.299999999999</v>
      </c>
      <c r="AN77">
        <v>862.72538461538477</v>
      </c>
      <c r="AO77">
        <v>3252.56</v>
      </c>
      <c r="AP77">
        <f t="shared" si="72"/>
        <v>0.73475496697512588</v>
      </c>
      <c r="AQ77">
        <v>-6.6684750346205304</v>
      </c>
      <c r="AR77" t="s">
        <v>728</v>
      </c>
      <c r="AS77">
        <v>10024.6</v>
      </c>
      <c r="AT77">
        <v>751.54119230769243</v>
      </c>
      <c r="AU77">
        <v>864.29908754030203</v>
      </c>
      <c r="AV77">
        <f t="shared" si="73"/>
        <v>0.13046166177671881</v>
      </c>
      <c r="AW77">
        <v>0.5</v>
      </c>
      <c r="AX77">
        <f t="shared" si="74"/>
        <v>1513.3445999210082</v>
      </c>
      <c r="AY77">
        <f t="shared" si="75"/>
        <v>12.29521374038384</v>
      </c>
      <c r="AZ77">
        <f t="shared" si="76"/>
        <v>98.716725673259205</v>
      </c>
      <c r="BA77">
        <f t="shared" si="77"/>
        <v>1.2530978586102739E-2</v>
      </c>
      <c r="BB77">
        <f t="shared" si="78"/>
        <v>2.7632343327544402</v>
      </c>
      <c r="BC77">
        <f t="shared" si="79"/>
        <v>497.84082606987056</v>
      </c>
      <c r="BD77" t="s">
        <v>729</v>
      </c>
      <c r="BE77">
        <v>538.95000000000005</v>
      </c>
      <c r="BF77">
        <f t="shared" si="80"/>
        <v>538.95000000000005</v>
      </c>
      <c r="BG77">
        <f t="shared" si="81"/>
        <v>0.37643113620102142</v>
      </c>
      <c r="BH77">
        <f t="shared" si="82"/>
        <v>0.3465751082478199</v>
      </c>
      <c r="BI77">
        <f t="shared" si="83"/>
        <v>0.88010469907602717</v>
      </c>
      <c r="BJ77">
        <f t="shared" si="84"/>
        <v>71.651322144259396</v>
      </c>
      <c r="BK77">
        <f t="shared" si="85"/>
        <v>0.99934150132616439</v>
      </c>
      <c r="BL77">
        <f t="shared" si="86"/>
        <v>0.24853814601514118</v>
      </c>
      <c r="BM77">
        <f t="shared" si="87"/>
        <v>0.75146185398485876</v>
      </c>
      <c r="BN77">
        <v>4992</v>
      </c>
      <c r="BO77">
        <v>290.00000000000011</v>
      </c>
      <c r="BP77">
        <v>834.53</v>
      </c>
      <c r="BQ77">
        <v>255</v>
      </c>
      <c r="BR77">
        <v>10024.6</v>
      </c>
      <c r="BS77">
        <v>834.55</v>
      </c>
      <c r="BT77">
        <v>-0.02</v>
      </c>
      <c r="BU77">
        <v>300.00000000000011</v>
      </c>
      <c r="BV77">
        <v>24.1</v>
      </c>
      <c r="BW77">
        <v>864.29908754030203</v>
      </c>
      <c r="BX77">
        <v>2.4771547522962019</v>
      </c>
      <c r="BY77">
        <v>-29.82064418454603</v>
      </c>
      <c r="BZ77">
        <v>2.2124781341266559</v>
      </c>
      <c r="CA77">
        <v>0.86645490834212291</v>
      </c>
      <c r="CB77">
        <v>-6.8321292547274806E-3</v>
      </c>
      <c r="CC77">
        <v>289.99999999999989</v>
      </c>
      <c r="CD77">
        <v>832.05</v>
      </c>
      <c r="CE77">
        <v>625</v>
      </c>
      <c r="CF77">
        <v>10013.799999999999</v>
      </c>
      <c r="CG77">
        <v>834.52</v>
      </c>
      <c r="CH77">
        <v>-2.4700000000000002</v>
      </c>
      <c r="CV77">
        <f t="shared" si="88"/>
        <v>1800.19</v>
      </c>
      <c r="CW77">
        <f t="shared" si="89"/>
        <v>1513.3445999210082</v>
      </c>
      <c r="CX77">
        <f t="shared" si="90"/>
        <v>0.84065826380604725</v>
      </c>
      <c r="CY77">
        <f t="shared" si="91"/>
        <v>0.16087044914567133</v>
      </c>
      <c r="CZ77">
        <v>6</v>
      </c>
      <c r="DA77">
        <v>0.5</v>
      </c>
      <c r="DB77" t="s">
        <v>418</v>
      </c>
      <c r="DC77">
        <v>2</v>
      </c>
      <c r="DD77">
        <v>1639679395.0999999</v>
      </c>
      <c r="DE77">
        <v>54.855400000000003</v>
      </c>
      <c r="DF77">
        <v>70.025000000000006</v>
      </c>
      <c r="DG77">
        <v>25.009</v>
      </c>
      <c r="DH77">
        <v>17.5502</v>
      </c>
      <c r="DI77">
        <v>56.2121</v>
      </c>
      <c r="DJ77">
        <v>24.995899999999999</v>
      </c>
      <c r="DK77">
        <v>500.14600000000002</v>
      </c>
      <c r="DL77">
        <v>99.524900000000002</v>
      </c>
      <c r="DM77">
        <v>0.100051</v>
      </c>
      <c r="DN77">
        <v>28.003599999999999</v>
      </c>
      <c r="DO77">
        <v>27.638200000000001</v>
      </c>
      <c r="DP77">
        <v>999.9</v>
      </c>
      <c r="DQ77">
        <v>0</v>
      </c>
      <c r="DR77">
        <v>0</v>
      </c>
      <c r="DS77">
        <v>9992.5</v>
      </c>
      <c r="DT77">
        <v>0</v>
      </c>
      <c r="DU77">
        <v>334.46600000000001</v>
      </c>
      <c r="DV77">
        <v>-15.169600000000001</v>
      </c>
      <c r="DW77">
        <v>56.262500000000003</v>
      </c>
      <c r="DX77">
        <v>71.275899999999993</v>
      </c>
      <c r="DY77">
        <v>7.4588000000000001</v>
      </c>
      <c r="DZ77">
        <v>70.025000000000006</v>
      </c>
      <c r="EA77">
        <v>17.5502</v>
      </c>
      <c r="EB77">
        <v>2.48902</v>
      </c>
      <c r="EC77">
        <v>1.74668</v>
      </c>
      <c r="ED77">
        <v>20.954899999999999</v>
      </c>
      <c r="EE77">
        <v>15.317600000000001</v>
      </c>
      <c r="EF77">
        <v>1800.19</v>
      </c>
      <c r="EG77">
        <v>0.97799899999999995</v>
      </c>
      <c r="EH77">
        <v>2.20015E-2</v>
      </c>
      <c r="EI77">
        <v>0</v>
      </c>
      <c r="EJ77">
        <v>751.452</v>
      </c>
      <c r="EK77">
        <v>5.0001199999999999</v>
      </c>
      <c r="EL77">
        <v>13522.8</v>
      </c>
      <c r="EM77">
        <v>15631.6</v>
      </c>
      <c r="EN77">
        <v>50.25</v>
      </c>
      <c r="EO77">
        <v>50.561999999999998</v>
      </c>
      <c r="EP77">
        <v>51</v>
      </c>
      <c r="EQ77">
        <v>50.5</v>
      </c>
      <c r="ER77">
        <v>51.625</v>
      </c>
      <c r="ES77">
        <v>1755.69</v>
      </c>
      <c r="ET77">
        <v>39.5</v>
      </c>
      <c r="EU77">
        <v>0</v>
      </c>
      <c r="EV77">
        <v>115.4000000953674</v>
      </c>
      <c r="EW77">
        <v>0</v>
      </c>
      <c r="EX77">
        <v>751.54119230769243</v>
      </c>
      <c r="EY77">
        <v>-3.6394871593265261</v>
      </c>
      <c r="EZ77">
        <v>-41.692307652366203</v>
      </c>
      <c r="FA77">
        <v>13526.38846153846</v>
      </c>
      <c r="FB77">
        <v>15</v>
      </c>
      <c r="FC77">
        <v>1639679355.0999999</v>
      </c>
      <c r="FD77" t="s">
        <v>730</v>
      </c>
      <c r="FE77">
        <v>1639679347.0999999</v>
      </c>
      <c r="FF77">
        <v>1639679355.0999999</v>
      </c>
      <c r="FG77">
        <v>67</v>
      </c>
      <c r="FH77">
        <v>2.7E-2</v>
      </c>
      <c r="FI77">
        <v>3.0000000000000001E-3</v>
      </c>
      <c r="FJ77">
        <v>-1.38</v>
      </c>
      <c r="FK77">
        <v>-9.8000000000000004E-2</v>
      </c>
      <c r="FL77">
        <v>70</v>
      </c>
      <c r="FM77">
        <v>18</v>
      </c>
      <c r="FN77">
        <v>0.17</v>
      </c>
      <c r="FO77">
        <v>0.01</v>
      </c>
      <c r="FP77">
        <v>12.293346791261129</v>
      </c>
      <c r="FQ77">
        <v>0.1343456851649738</v>
      </c>
      <c r="FR77">
        <v>1.9379099186630229E-2</v>
      </c>
      <c r="FS77">
        <v>1</v>
      </c>
      <c r="FT77">
        <v>0.55272558975771979</v>
      </c>
      <c r="FU77">
        <v>4.3530142911481828E-2</v>
      </c>
      <c r="FV77">
        <v>5.5401099550622728E-3</v>
      </c>
      <c r="FW77">
        <v>1</v>
      </c>
      <c r="FX77">
        <v>2</v>
      </c>
      <c r="FY77">
        <v>2</v>
      </c>
      <c r="FZ77" t="s">
        <v>420</v>
      </c>
      <c r="GA77">
        <v>2.9220899999999999</v>
      </c>
      <c r="GB77">
        <v>2.7449599999999998</v>
      </c>
      <c r="GC77">
        <v>1.5687199999999998E-2</v>
      </c>
      <c r="GD77">
        <v>1.9867099999999999E-2</v>
      </c>
      <c r="GE77">
        <v>0.12033199999999999</v>
      </c>
      <c r="GF77">
        <v>9.5033099999999995E-2</v>
      </c>
      <c r="GG77">
        <v>30695.599999999999</v>
      </c>
      <c r="GH77">
        <v>30206.1</v>
      </c>
      <c r="GI77">
        <v>28389.9</v>
      </c>
      <c r="GJ77">
        <v>28181.1</v>
      </c>
      <c r="GK77">
        <v>34271.4</v>
      </c>
      <c r="GL77">
        <v>35813.300000000003</v>
      </c>
      <c r="GM77">
        <v>42718.8</v>
      </c>
      <c r="GN77">
        <v>43844.5</v>
      </c>
      <c r="GO77">
        <v>1.8048999999999999</v>
      </c>
      <c r="GP77">
        <v>1.9888300000000001</v>
      </c>
      <c r="GQ77">
        <v>4.5373999999999998E-2</v>
      </c>
      <c r="GR77">
        <v>0</v>
      </c>
      <c r="GS77">
        <v>26.8965</v>
      </c>
      <c r="GT77">
        <v>999.9</v>
      </c>
      <c r="GU77">
        <v>40.799999999999997</v>
      </c>
      <c r="GV77">
        <v>34.9</v>
      </c>
      <c r="GW77">
        <v>23.027999999999999</v>
      </c>
      <c r="GX77">
        <v>61.447400000000002</v>
      </c>
      <c r="GY77">
        <v>29.555299999999999</v>
      </c>
      <c r="GZ77">
        <v>1</v>
      </c>
      <c r="HA77">
        <v>0.29169499999999998</v>
      </c>
      <c r="HB77">
        <v>2.5285099999999998</v>
      </c>
      <c r="HC77">
        <v>20.258500000000002</v>
      </c>
      <c r="HD77">
        <v>5.2767400000000002</v>
      </c>
      <c r="HE77">
        <v>12.0878</v>
      </c>
      <c r="HF77">
        <v>5.0134499999999997</v>
      </c>
      <c r="HG77">
        <v>3.2919499999999999</v>
      </c>
      <c r="HH77">
        <v>9999</v>
      </c>
      <c r="HI77">
        <v>9999</v>
      </c>
      <c r="HJ77">
        <v>9999</v>
      </c>
      <c r="HK77">
        <v>999.9</v>
      </c>
      <c r="HL77">
        <v>1.8751500000000001</v>
      </c>
      <c r="HM77">
        <v>1.8756299999999999</v>
      </c>
      <c r="HN77">
        <v>1.8754599999999999</v>
      </c>
      <c r="HO77">
        <v>1.8792800000000001</v>
      </c>
      <c r="HP77">
        <v>1.8728400000000001</v>
      </c>
      <c r="HQ77">
        <v>1.87598</v>
      </c>
      <c r="HR77">
        <v>1.8757600000000001</v>
      </c>
      <c r="HS77">
        <v>1.8771500000000001</v>
      </c>
      <c r="HT77">
        <v>0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423</v>
      </c>
      <c r="IB77" t="s">
        <v>423</v>
      </c>
      <c r="IC77" t="s">
        <v>423</v>
      </c>
      <c r="ID77">
        <v>0</v>
      </c>
      <c r="IE77">
        <v>100</v>
      </c>
      <c r="IF77">
        <v>100</v>
      </c>
      <c r="IG77">
        <v>-1.357</v>
      </c>
      <c r="IH77">
        <v>1.3100000000000001E-2</v>
      </c>
      <c r="II77">
        <v>-1.2699133810280281</v>
      </c>
      <c r="IJ77">
        <v>-1.5404112972462821E-3</v>
      </c>
      <c r="IK77">
        <v>-5.8697186733976997E-8</v>
      </c>
      <c r="IL77">
        <v>1.160237123038427E-10</v>
      </c>
      <c r="IM77">
        <v>-0.16898643400029911</v>
      </c>
      <c r="IN77">
        <v>-3.128848753924141E-3</v>
      </c>
      <c r="IO77">
        <v>3.6841110403368089E-4</v>
      </c>
      <c r="IP77">
        <v>1.9296040270694169E-6</v>
      </c>
      <c r="IQ77">
        <v>1</v>
      </c>
      <c r="IR77">
        <v>1992</v>
      </c>
      <c r="IS77">
        <v>2</v>
      </c>
      <c r="IT77">
        <v>27</v>
      </c>
      <c r="IU77">
        <v>0.8</v>
      </c>
      <c r="IV77">
        <v>0.7</v>
      </c>
      <c r="IW77">
        <v>0.316162</v>
      </c>
      <c r="IX77">
        <v>2.6940900000000001</v>
      </c>
      <c r="IY77">
        <v>1.69434</v>
      </c>
      <c r="IZ77">
        <v>2.34741</v>
      </c>
      <c r="JA77">
        <v>1.5466299999999999</v>
      </c>
      <c r="JB77">
        <v>2.4291999999999998</v>
      </c>
      <c r="JC77">
        <v>38.452399999999997</v>
      </c>
      <c r="JD77">
        <v>24.105</v>
      </c>
      <c r="JE77">
        <v>18</v>
      </c>
      <c r="JF77">
        <v>533.22400000000005</v>
      </c>
      <c r="JG77">
        <v>539.11199999999997</v>
      </c>
      <c r="JH77">
        <v>24.843900000000001</v>
      </c>
      <c r="JI77">
        <v>30.831700000000001</v>
      </c>
      <c r="JJ77">
        <v>30.000399999999999</v>
      </c>
      <c r="JK77">
        <v>30.796600000000002</v>
      </c>
      <c r="JL77">
        <v>30.755600000000001</v>
      </c>
      <c r="JM77">
        <v>6.4054799999999998</v>
      </c>
      <c r="JN77">
        <v>28.787199999999999</v>
      </c>
      <c r="JO77">
        <v>39.994100000000003</v>
      </c>
      <c r="JP77">
        <v>24.837399999999999</v>
      </c>
      <c r="JQ77">
        <v>70</v>
      </c>
      <c r="JR77">
        <v>17.450500000000002</v>
      </c>
      <c r="JS77">
        <v>99.540199999999999</v>
      </c>
      <c r="JT77">
        <v>98.750600000000006</v>
      </c>
    </row>
    <row r="78" spans="1:280" x14ac:dyDescent="0.25">
      <c r="A78">
        <v>62</v>
      </c>
      <c r="B78">
        <v>1639679511.5999999</v>
      </c>
      <c r="C78">
        <v>12909.5</v>
      </c>
      <c r="D78" t="s">
        <v>731</v>
      </c>
      <c r="E78" t="s">
        <v>732</v>
      </c>
      <c r="F78" t="s">
        <v>412</v>
      </c>
      <c r="G78" t="s">
        <v>707</v>
      </c>
      <c r="H78" t="s">
        <v>414</v>
      </c>
      <c r="I78">
        <v>1639679511.5999999</v>
      </c>
      <c r="J78">
        <f t="shared" si="46"/>
        <v>6.6616058704832316E-3</v>
      </c>
      <c r="K78">
        <f t="shared" si="47"/>
        <v>6.6616058704832319</v>
      </c>
      <c r="L78">
        <f t="shared" si="48"/>
        <v>5.5149899289280455</v>
      </c>
      <c r="M78">
        <f t="shared" si="49"/>
        <v>23.226700000000001</v>
      </c>
      <c r="N78">
        <f t="shared" si="50"/>
        <v>6.300682843151634</v>
      </c>
      <c r="O78">
        <f t="shared" si="51"/>
        <v>0.62772187033007176</v>
      </c>
      <c r="P78">
        <f t="shared" si="52"/>
        <v>2.3140202305917903</v>
      </c>
      <c r="Q78">
        <f t="shared" si="53"/>
        <v>0.58038700394648235</v>
      </c>
      <c r="R78">
        <f t="shared" si="54"/>
        <v>2.9232121642709896</v>
      </c>
      <c r="S78">
        <f t="shared" si="55"/>
        <v>0.5231502055235685</v>
      </c>
      <c r="T78">
        <f t="shared" si="56"/>
        <v>0.33163973369250827</v>
      </c>
      <c r="U78">
        <f t="shared" si="57"/>
        <v>289.53935155143961</v>
      </c>
      <c r="V78">
        <f t="shared" si="58"/>
        <v>27.992178020650194</v>
      </c>
      <c r="W78">
        <f t="shared" si="59"/>
        <v>27.636199999999999</v>
      </c>
      <c r="X78">
        <f t="shared" si="60"/>
        <v>3.7150983429004367</v>
      </c>
      <c r="Y78">
        <f t="shared" si="61"/>
        <v>65.443246042203612</v>
      </c>
      <c r="Z78">
        <f t="shared" si="62"/>
        <v>2.4859575317992499</v>
      </c>
      <c r="AA78">
        <f t="shared" si="63"/>
        <v>3.7986464335770935</v>
      </c>
      <c r="AB78">
        <f t="shared" si="64"/>
        <v>1.2291408111011868</v>
      </c>
      <c r="AC78">
        <f t="shared" si="65"/>
        <v>-293.77681888831052</v>
      </c>
      <c r="AD78">
        <f t="shared" si="66"/>
        <v>60.044157610267703</v>
      </c>
      <c r="AE78">
        <f t="shared" si="67"/>
        <v>4.4696234805517143</v>
      </c>
      <c r="AF78">
        <f t="shared" si="68"/>
        <v>60.276313753948514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52505.926765332311</v>
      </c>
      <c r="AL78" t="s">
        <v>415</v>
      </c>
      <c r="AM78">
        <v>10204.299999999999</v>
      </c>
      <c r="AN78">
        <v>862.72538461538477</v>
      </c>
      <c r="AO78">
        <v>3252.56</v>
      </c>
      <c r="AP78">
        <f t="shared" si="72"/>
        <v>0.73475496697512588</v>
      </c>
      <c r="AQ78">
        <v>-6.6684750346205304</v>
      </c>
      <c r="AR78" t="s">
        <v>733</v>
      </c>
      <c r="AS78">
        <v>10029.6</v>
      </c>
      <c r="AT78">
        <v>765.14942307692297</v>
      </c>
      <c r="AU78">
        <v>839.74932245466232</v>
      </c>
      <c r="AV78">
        <f t="shared" si="73"/>
        <v>8.8835914936706506E-2</v>
      </c>
      <c r="AW78">
        <v>0.5</v>
      </c>
      <c r="AX78">
        <f t="shared" si="74"/>
        <v>1513.0419065033366</v>
      </c>
      <c r="AY78">
        <f t="shared" si="75"/>
        <v>5.5149899289280455</v>
      </c>
      <c r="AZ78">
        <f t="shared" si="76"/>
        <v>67.206231050901323</v>
      </c>
      <c r="BA78">
        <f t="shared" si="77"/>
        <v>8.0522984268854483E-3</v>
      </c>
      <c r="BB78">
        <f t="shared" si="78"/>
        <v>2.8732511155739622</v>
      </c>
      <c r="BC78">
        <f t="shared" si="79"/>
        <v>489.59636414373659</v>
      </c>
      <c r="BD78" t="s">
        <v>734</v>
      </c>
      <c r="BE78">
        <v>554.05999999999995</v>
      </c>
      <c r="BF78">
        <f t="shared" si="80"/>
        <v>554.05999999999995</v>
      </c>
      <c r="BG78">
        <f t="shared" si="81"/>
        <v>0.34020786300793548</v>
      </c>
      <c r="BH78">
        <f t="shared" si="82"/>
        <v>0.26112246245947124</v>
      </c>
      <c r="BI78">
        <f t="shared" si="83"/>
        <v>0.89413032334457565</v>
      </c>
      <c r="BJ78">
        <f t="shared" si="84"/>
        <v>-3.2468531315722058</v>
      </c>
      <c r="BK78">
        <f t="shared" si="85"/>
        <v>1.0096140804107587</v>
      </c>
      <c r="BL78">
        <f t="shared" si="86"/>
        <v>0.18908399743477255</v>
      </c>
      <c r="BM78">
        <f t="shared" si="87"/>
        <v>0.81091600256522745</v>
      </c>
      <c r="BN78">
        <v>4994</v>
      </c>
      <c r="BO78">
        <v>290.00000000000011</v>
      </c>
      <c r="BP78">
        <v>817.22</v>
      </c>
      <c r="BQ78">
        <v>185</v>
      </c>
      <c r="BR78">
        <v>10029.6</v>
      </c>
      <c r="BS78">
        <v>816.14</v>
      </c>
      <c r="BT78">
        <v>1.08</v>
      </c>
      <c r="BU78">
        <v>300.00000000000011</v>
      </c>
      <c r="BV78">
        <v>24.1</v>
      </c>
      <c r="BW78">
        <v>839.74932245466232</v>
      </c>
      <c r="BX78">
        <v>1.8468252862757131</v>
      </c>
      <c r="BY78">
        <v>-23.68314040537123</v>
      </c>
      <c r="BZ78">
        <v>1.649362338878454</v>
      </c>
      <c r="CA78">
        <v>0.8804338292367534</v>
      </c>
      <c r="CB78">
        <v>-6.8316918798665346E-3</v>
      </c>
      <c r="CC78">
        <v>289.99999999999989</v>
      </c>
      <c r="CD78">
        <v>813.41</v>
      </c>
      <c r="CE78">
        <v>705</v>
      </c>
      <c r="CF78">
        <v>10009.200000000001</v>
      </c>
      <c r="CG78">
        <v>816.09</v>
      </c>
      <c r="CH78">
        <v>-2.68</v>
      </c>
      <c r="CV78">
        <f t="shared" si="88"/>
        <v>1799.83</v>
      </c>
      <c r="CW78">
        <f t="shared" si="89"/>
        <v>1513.0419065033366</v>
      </c>
      <c r="CX78">
        <f t="shared" si="90"/>
        <v>0.84065823244602911</v>
      </c>
      <c r="CY78">
        <f t="shared" si="91"/>
        <v>0.16087038862083619</v>
      </c>
      <c r="CZ78">
        <v>6</v>
      </c>
      <c r="DA78">
        <v>0.5</v>
      </c>
      <c r="DB78" t="s">
        <v>418</v>
      </c>
      <c r="DC78">
        <v>2</v>
      </c>
      <c r="DD78">
        <v>1639679511.5999999</v>
      </c>
      <c r="DE78">
        <v>23.226700000000001</v>
      </c>
      <c r="DF78">
        <v>30.029</v>
      </c>
      <c r="DG78">
        <v>24.952500000000001</v>
      </c>
      <c r="DH78">
        <v>17.159600000000001</v>
      </c>
      <c r="DI78">
        <v>24.5017</v>
      </c>
      <c r="DJ78">
        <v>24.9422</v>
      </c>
      <c r="DK78">
        <v>500.1</v>
      </c>
      <c r="DL78">
        <v>99.527699999999996</v>
      </c>
      <c r="DM78">
        <v>9.9893700000000002E-2</v>
      </c>
      <c r="DN78">
        <v>28.017199999999999</v>
      </c>
      <c r="DO78">
        <v>27.636199999999999</v>
      </c>
      <c r="DP78">
        <v>999.9</v>
      </c>
      <c r="DQ78">
        <v>0</v>
      </c>
      <c r="DR78">
        <v>0</v>
      </c>
      <c r="DS78">
        <v>10011.200000000001</v>
      </c>
      <c r="DT78">
        <v>0</v>
      </c>
      <c r="DU78">
        <v>338.26</v>
      </c>
      <c r="DV78">
        <v>-6.8023199999999999</v>
      </c>
      <c r="DW78">
        <v>23.821100000000001</v>
      </c>
      <c r="DX78">
        <v>30.5533</v>
      </c>
      <c r="DY78">
        <v>7.7928899999999999</v>
      </c>
      <c r="DZ78">
        <v>30.029</v>
      </c>
      <c r="EA78">
        <v>17.159600000000001</v>
      </c>
      <c r="EB78">
        <v>2.48346</v>
      </c>
      <c r="EC78">
        <v>1.7078500000000001</v>
      </c>
      <c r="ED78">
        <v>20.918500000000002</v>
      </c>
      <c r="EE78">
        <v>14.968</v>
      </c>
      <c r="EF78">
        <v>1799.83</v>
      </c>
      <c r="EG78">
        <v>0.97799499999999995</v>
      </c>
      <c r="EH78">
        <v>2.2004800000000001E-2</v>
      </c>
      <c r="EI78">
        <v>0</v>
      </c>
      <c r="EJ78">
        <v>765.149</v>
      </c>
      <c r="EK78">
        <v>5.0001199999999999</v>
      </c>
      <c r="EL78">
        <v>13771.6</v>
      </c>
      <c r="EM78">
        <v>15628.5</v>
      </c>
      <c r="EN78">
        <v>50.375</v>
      </c>
      <c r="EO78">
        <v>50.686999999999998</v>
      </c>
      <c r="EP78">
        <v>51.125</v>
      </c>
      <c r="EQ78">
        <v>50.625</v>
      </c>
      <c r="ER78">
        <v>51.75</v>
      </c>
      <c r="ES78">
        <v>1755.33</v>
      </c>
      <c r="ET78">
        <v>39.49</v>
      </c>
      <c r="EU78">
        <v>0</v>
      </c>
      <c r="EV78">
        <v>114.7999999523163</v>
      </c>
      <c r="EW78">
        <v>0</v>
      </c>
      <c r="EX78">
        <v>765.14942307692297</v>
      </c>
      <c r="EY78">
        <v>-1.8364786313620829</v>
      </c>
      <c r="EZ78">
        <v>-14.79999996573317</v>
      </c>
      <c r="FA78">
        <v>13775.234615384619</v>
      </c>
      <c r="FB78">
        <v>15</v>
      </c>
      <c r="FC78">
        <v>1639679472.5999999</v>
      </c>
      <c r="FD78" t="s">
        <v>735</v>
      </c>
      <c r="FE78">
        <v>1639679466.5999999</v>
      </c>
      <c r="FF78">
        <v>1639679472.5999999</v>
      </c>
      <c r="FG78">
        <v>68</v>
      </c>
      <c r="FH78">
        <v>3.3000000000000002E-2</v>
      </c>
      <c r="FI78">
        <v>-2E-3</v>
      </c>
      <c r="FJ78">
        <v>-1.2849999999999999</v>
      </c>
      <c r="FK78">
        <v>-0.105</v>
      </c>
      <c r="FL78">
        <v>30</v>
      </c>
      <c r="FM78">
        <v>17</v>
      </c>
      <c r="FN78">
        <v>0.37</v>
      </c>
      <c r="FO78">
        <v>0.01</v>
      </c>
      <c r="FP78">
        <v>5.534357902628928</v>
      </c>
      <c r="FQ78">
        <v>-1.5331382087874001E-2</v>
      </c>
      <c r="FR78">
        <v>1.5760081912418459E-2</v>
      </c>
      <c r="FS78">
        <v>1</v>
      </c>
      <c r="FT78">
        <v>0.58137419098927323</v>
      </c>
      <c r="FU78">
        <v>3.0395442457936881E-2</v>
      </c>
      <c r="FV78">
        <v>6.0625751615024153E-3</v>
      </c>
      <c r="FW78">
        <v>1</v>
      </c>
      <c r="FX78">
        <v>2</v>
      </c>
      <c r="FY78">
        <v>2</v>
      </c>
      <c r="FZ78" t="s">
        <v>420</v>
      </c>
      <c r="GA78">
        <v>2.92177</v>
      </c>
      <c r="GB78">
        <v>2.7449699999999999</v>
      </c>
      <c r="GC78">
        <v>6.8997499999999996E-3</v>
      </c>
      <c r="GD78">
        <v>8.6388999999999997E-3</v>
      </c>
      <c r="GE78">
        <v>0.12013600000000001</v>
      </c>
      <c r="GF78">
        <v>9.3495700000000001E-2</v>
      </c>
      <c r="GG78">
        <v>30964.3</v>
      </c>
      <c r="GH78">
        <v>30546.799999999999</v>
      </c>
      <c r="GI78">
        <v>28385.8</v>
      </c>
      <c r="GJ78">
        <v>28177</v>
      </c>
      <c r="GK78">
        <v>34274</v>
      </c>
      <c r="GL78">
        <v>35869.4</v>
      </c>
      <c r="GM78">
        <v>42712.2</v>
      </c>
      <c r="GN78">
        <v>43838.2</v>
      </c>
      <c r="GO78">
        <v>1.8038700000000001</v>
      </c>
      <c r="GP78">
        <v>1.98665</v>
      </c>
      <c r="GQ78">
        <v>3.7364700000000001E-2</v>
      </c>
      <c r="GR78">
        <v>0</v>
      </c>
      <c r="GS78">
        <v>27.025500000000001</v>
      </c>
      <c r="GT78">
        <v>999.9</v>
      </c>
      <c r="GU78">
        <v>40.6</v>
      </c>
      <c r="GV78">
        <v>34.799999999999997</v>
      </c>
      <c r="GW78">
        <v>22.785399999999999</v>
      </c>
      <c r="GX78">
        <v>60.677399999999999</v>
      </c>
      <c r="GY78">
        <v>29.5152</v>
      </c>
      <c r="GZ78">
        <v>1</v>
      </c>
      <c r="HA78">
        <v>0.30142000000000002</v>
      </c>
      <c r="HB78">
        <v>2.58589</v>
      </c>
      <c r="HC78">
        <v>20.257100000000001</v>
      </c>
      <c r="HD78">
        <v>5.2752400000000002</v>
      </c>
      <c r="HE78">
        <v>12.0878</v>
      </c>
      <c r="HF78">
        <v>5.0145999999999997</v>
      </c>
      <c r="HG78">
        <v>3.2919200000000002</v>
      </c>
      <c r="HH78">
        <v>9999</v>
      </c>
      <c r="HI78">
        <v>9999</v>
      </c>
      <c r="HJ78">
        <v>9999</v>
      </c>
      <c r="HK78">
        <v>999.9</v>
      </c>
      <c r="HL78">
        <v>1.8751500000000001</v>
      </c>
      <c r="HM78">
        <v>1.8756299999999999</v>
      </c>
      <c r="HN78">
        <v>1.8754599999999999</v>
      </c>
      <c r="HO78">
        <v>1.8793299999999999</v>
      </c>
      <c r="HP78">
        <v>1.87283</v>
      </c>
      <c r="HQ78">
        <v>1.8760699999999999</v>
      </c>
      <c r="HR78">
        <v>1.8757600000000001</v>
      </c>
      <c r="HS78">
        <v>1.87717</v>
      </c>
      <c r="HT78">
        <v>0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423</v>
      </c>
      <c r="IB78" t="s">
        <v>423</v>
      </c>
      <c r="IC78" t="s">
        <v>423</v>
      </c>
      <c r="ID78">
        <v>0</v>
      </c>
      <c r="IE78">
        <v>100</v>
      </c>
      <c r="IF78">
        <v>100</v>
      </c>
      <c r="IG78">
        <v>-1.2749999999999999</v>
      </c>
      <c r="IH78">
        <v>1.03E-2</v>
      </c>
      <c r="II78">
        <v>-1.2372480077550769</v>
      </c>
      <c r="IJ78">
        <v>-1.5404112972462821E-3</v>
      </c>
      <c r="IK78">
        <v>-5.8697186733976997E-8</v>
      </c>
      <c r="IL78">
        <v>1.160237123038427E-10</v>
      </c>
      <c r="IM78">
        <v>-0.1708558054101072</v>
      </c>
      <c r="IN78">
        <v>-3.128848753924141E-3</v>
      </c>
      <c r="IO78">
        <v>3.6841110403368089E-4</v>
      </c>
      <c r="IP78">
        <v>1.9296040270694169E-6</v>
      </c>
      <c r="IQ78">
        <v>1</v>
      </c>
      <c r="IR78">
        <v>1992</v>
      </c>
      <c r="IS78">
        <v>2</v>
      </c>
      <c r="IT78">
        <v>27</v>
      </c>
      <c r="IU78">
        <v>0.8</v>
      </c>
      <c r="IV78">
        <v>0.7</v>
      </c>
      <c r="IW78">
        <v>0.22583</v>
      </c>
      <c r="IX78">
        <v>2.7099600000000001</v>
      </c>
      <c r="IY78">
        <v>1.69434</v>
      </c>
      <c r="IZ78">
        <v>2.34741</v>
      </c>
      <c r="JA78">
        <v>1.5466299999999999</v>
      </c>
      <c r="JB78">
        <v>2.4609399999999999</v>
      </c>
      <c r="JC78">
        <v>38.452399999999997</v>
      </c>
      <c r="JD78">
        <v>24.096299999999999</v>
      </c>
      <c r="JE78">
        <v>18</v>
      </c>
      <c r="JF78">
        <v>533.09199999999998</v>
      </c>
      <c r="JG78">
        <v>538.09799999999996</v>
      </c>
      <c r="JH78">
        <v>24.830500000000001</v>
      </c>
      <c r="JI78">
        <v>30.930800000000001</v>
      </c>
      <c r="JJ78">
        <v>30.000599999999999</v>
      </c>
      <c r="JK78">
        <v>30.8687</v>
      </c>
      <c r="JL78">
        <v>30.821300000000001</v>
      </c>
      <c r="JM78">
        <v>4.5897199999999998</v>
      </c>
      <c r="JN78">
        <v>29.7486</v>
      </c>
      <c r="JO78">
        <v>38.487200000000001</v>
      </c>
      <c r="JP78">
        <v>24.832899999999999</v>
      </c>
      <c r="JQ78">
        <v>30</v>
      </c>
      <c r="JR78">
        <v>17.080100000000002</v>
      </c>
      <c r="JS78">
        <v>99.525300000000001</v>
      </c>
      <c r="JT78">
        <v>98.736400000000003</v>
      </c>
    </row>
    <row r="79" spans="1:280" x14ac:dyDescent="0.25">
      <c r="A79">
        <v>63</v>
      </c>
      <c r="B79">
        <v>1639679624.5999999</v>
      </c>
      <c r="C79">
        <v>13022.5</v>
      </c>
      <c r="D79" t="s">
        <v>736</v>
      </c>
      <c r="E79" t="s">
        <v>737</v>
      </c>
      <c r="F79" t="s">
        <v>412</v>
      </c>
      <c r="G79" t="s">
        <v>707</v>
      </c>
      <c r="H79" t="s">
        <v>414</v>
      </c>
      <c r="I79">
        <v>1639679624.5999999</v>
      </c>
      <c r="J79">
        <f t="shared" si="46"/>
        <v>6.8175149195824729E-3</v>
      </c>
      <c r="K79">
        <f t="shared" si="47"/>
        <v>6.8175149195824725</v>
      </c>
      <c r="L79">
        <f t="shared" si="48"/>
        <v>1.9702206236831168</v>
      </c>
      <c r="M79">
        <f t="shared" si="49"/>
        <v>7.6175199999999998</v>
      </c>
      <c r="N79">
        <f t="shared" si="50"/>
        <v>1.7534233312009884</v>
      </c>
      <c r="O79">
        <f t="shared" si="51"/>
        <v>0.17468786435488137</v>
      </c>
      <c r="P79">
        <f t="shared" si="52"/>
        <v>0.7589087454249599</v>
      </c>
      <c r="Q79">
        <f t="shared" si="53"/>
        <v>0.59934436639778788</v>
      </c>
      <c r="R79">
        <f t="shared" si="54"/>
        <v>2.9139948068684181</v>
      </c>
      <c r="S79">
        <f t="shared" si="55"/>
        <v>0.53834528884360466</v>
      </c>
      <c r="T79">
        <f t="shared" si="56"/>
        <v>0.34142750533453936</v>
      </c>
      <c r="U79">
        <f t="shared" si="57"/>
        <v>289.52976284754914</v>
      </c>
      <c r="V79">
        <f t="shared" si="58"/>
        <v>27.928627150841152</v>
      </c>
      <c r="W79">
        <f t="shared" si="59"/>
        <v>27.616900000000001</v>
      </c>
      <c r="X79">
        <f t="shared" si="60"/>
        <v>3.7109091298595729</v>
      </c>
      <c r="Y79">
        <f t="shared" si="61"/>
        <v>65.597101504596679</v>
      </c>
      <c r="Z79">
        <f t="shared" si="62"/>
        <v>2.4885067995684</v>
      </c>
      <c r="AA79">
        <f t="shared" si="63"/>
        <v>3.7936231060362013</v>
      </c>
      <c r="AB79">
        <f t="shared" si="64"/>
        <v>1.2224023302911728</v>
      </c>
      <c r="AC79">
        <f t="shared" si="65"/>
        <v>-300.65240795358704</v>
      </c>
      <c r="AD79">
        <f t="shared" si="66"/>
        <v>59.320691159330934</v>
      </c>
      <c r="AE79">
        <f t="shared" si="67"/>
        <v>4.4288094218478804</v>
      </c>
      <c r="AF79">
        <f t="shared" si="68"/>
        <v>52.626855475140886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52245.266841032761</v>
      </c>
      <c r="AL79" t="s">
        <v>415</v>
      </c>
      <c r="AM79">
        <v>10204.299999999999</v>
      </c>
      <c r="AN79">
        <v>862.72538461538477</v>
      </c>
      <c r="AO79">
        <v>3252.56</v>
      </c>
      <c r="AP79">
        <f t="shared" si="72"/>
        <v>0.73475496697512588</v>
      </c>
      <c r="AQ79">
        <v>-6.6684750346205304</v>
      </c>
      <c r="AR79" t="s">
        <v>738</v>
      </c>
      <c r="AS79">
        <v>10030.1</v>
      </c>
      <c r="AT79">
        <v>771.96023076923063</v>
      </c>
      <c r="AU79">
        <v>833.21432663519727</v>
      </c>
      <c r="AV79">
        <f t="shared" si="73"/>
        <v>7.3515413631126014E-2</v>
      </c>
      <c r="AW79">
        <v>0.5</v>
      </c>
      <c r="AX79">
        <f t="shared" si="74"/>
        <v>1512.99149992101</v>
      </c>
      <c r="AY79">
        <f t="shared" si="75"/>
        <v>1.9702206236831168</v>
      </c>
      <c r="AZ79">
        <f t="shared" si="76"/>
        <v>55.614097968535404</v>
      </c>
      <c r="BA79">
        <f t="shared" si="77"/>
        <v>5.7096789101291406E-3</v>
      </c>
      <c r="BB79">
        <f t="shared" si="78"/>
        <v>2.9036294696647178</v>
      </c>
      <c r="BC79">
        <f t="shared" si="79"/>
        <v>487.36775504422326</v>
      </c>
      <c r="BD79" t="s">
        <v>739</v>
      </c>
      <c r="BE79">
        <v>561.58000000000004</v>
      </c>
      <c r="BF79">
        <f t="shared" si="80"/>
        <v>561.58000000000004</v>
      </c>
      <c r="BG79">
        <f t="shared" si="81"/>
        <v>0.32600774848909397</v>
      </c>
      <c r="BH79">
        <f t="shared" si="82"/>
        <v>0.22550204396011556</v>
      </c>
      <c r="BI79">
        <f t="shared" si="83"/>
        <v>0.89905747101977818</v>
      </c>
      <c r="BJ79">
        <f t="shared" si="84"/>
        <v>-2.0756319853761287</v>
      </c>
      <c r="BK79">
        <f t="shared" si="85"/>
        <v>1.0123485775083387</v>
      </c>
      <c r="BL79">
        <f t="shared" si="86"/>
        <v>0.16404658271182188</v>
      </c>
      <c r="BM79">
        <f t="shared" si="87"/>
        <v>0.83595341728817818</v>
      </c>
      <c r="BN79">
        <v>4996</v>
      </c>
      <c r="BO79">
        <v>290.00000000000011</v>
      </c>
      <c r="BP79">
        <v>812.95</v>
      </c>
      <c r="BQ79">
        <v>175</v>
      </c>
      <c r="BR79">
        <v>10030.1</v>
      </c>
      <c r="BS79">
        <v>810.64</v>
      </c>
      <c r="BT79">
        <v>2.31</v>
      </c>
      <c r="BU79">
        <v>300.00000000000011</v>
      </c>
      <c r="BV79">
        <v>24.1</v>
      </c>
      <c r="BW79">
        <v>833.21432663519727</v>
      </c>
      <c r="BX79">
        <v>1.3545912027591731</v>
      </c>
      <c r="BY79">
        <v>-22.643738900677249</v>
      </c>
      <c r="BZ79">
        <v>1.209694978544847</v>
      </c>
      <c r="CA79">
        <v>0.92600113963283803</v>
      </c>
      <c r="CB79">
        <v>-6.8315632925472786E-3</v>
      </c>
      <c r="CC79">
        <v>289.99999999999989</v>
      </c>
      <c r="CD79">
        <v>807.99</v>
      </c>
      <c r="CE79">
        <v>675</v>
      </c>
      <c r="CF79">
        <v>10010</v>
      </c>
      <c r="CG79">
        <v>810.59</v>
      </c>
      <c r="CH79">
        <v>-2.6</v>
      </c>
      <c r="CV79">
        <f t="shared" si="88"/>
        <v>1799.77</v>
      </c>
      <c r="CW79">
        <f t="shared" si="89"/>
        <v>1512.99149992101</v>
      </c>
      <c r="CX79">
        <f t="shared" si="90"/>
        <v>0.84065825073259914</v>
      </c>
      <c r="CY79">
        <f t="shared" si="91"/>
        <v>0.16087042391391629</v>
      </c>
      <c r="CZ79">
        <v>6</v>
      </c>
      <c r="DA79">
        <v>0.5</v>
      </c>
      <c r="DB79" t="s">
        <v>418</v>
      </c>
      <c r="DC79">
        <v>2</v>
      </c>
      <c r="DD79">
        <v>1639679624.5999999</v>
      </c>
      <c r="DE79">
        <v>7.6175199999999998</v>
      </c>
      <c r="DF79">
        <v>10.043900000000001</v>
      </c>
      <c r="DG79">
        <v>24.978300000000001</v>
      </c>
      <c r="DH79">
        <v>17.002300000000002</v>
      </c>
      <c r="DI79">
        <v>8.8500700000000005</v>
      </c>
      <c r="DJ79">
        <v>24.969899999999999</v>
      </c>
      <c r="DK79">
        <v>500.04199999999997</v>
      </c>
      <c r="DL79">
        <v>99.526499999999999</v>
      </c>
      <c r="DM79">
        <v>0.100248</v>
      </c>
      <c r="DN79">
        <v>27.994499999999999</v>
      </c>
      <c r="DO79">
        <v>27.616900000000001</v>
      </c>
      <c r="DP79">
        <v>999.9</v>
      </c>
      <c r="DQ79">
        <v>0</v>
      </c>
      <c r="DR79">
        <v>0</v>
      </c>
      <c r="DS79">
        <v>9958.75</v>
      </c>
      <c r="DT79">
        <v>0</v>
      </c>
      <c r="DU79">
        <v>351.916</v>
      </c>
      <c r="DV79">
        <v>-2.4263599999999999</v>
      </c>
      <c r="DW79">
        <v>7.8126699999999998</v>
      </c>
      <c r="DX79">
        <v>10.217599999999999</v>
      </c>
      <c r="DY79">
        <v>7.9759399999999996</v>
      </c>
      <c r="DZ79">
        <v>10.043900000000001</v>
      </c>
      <c r="EA79">
        <v>17.002300000000002</v>
      </c>
      <c r="EB79">
        <v>2.4860000000000002</v>
      </c>
      <c r="EC79">
        <v>1.69218</v>
      </c>
      <c r="ED79">
        <v>20.935099999999998</v>
      </c>
      <c r="EE79">
        <v>14.8249</v>
      </c>
      <c r="EF79">
        <v>1799.77</v>
      </c>
      <c r="EG79">
        <v>0.97799499999999995</v>
      </c>
      <c r="EH79">
        <v>2.2004800000000001E-2</v>
      </c>
      <c r="EI79">
        <v>0</v>
      </c>
      <c r="EJ79">
        <v>771.54899999999998</v>
      </c>
      <c r="EK79">
        <v>5.0001199999999999</v>
      </c>
      <c r="EL79">
        <v>13901.5</v>
      </c>
      <c r="EM79">
        <v>15628</v>
      </c>
      <c r="EN79">
        <v>50.5</v>
      </c>
      <c r="EO79">
        <v>50.811999999999998</v>
      </c>
      <c r="EP79">
        <v>51.186999999999998</v>
      </c>
      <c r="EQ79">
        <v>50.686999999999998</v>
      </c>
      <c r="ER79">
        <v>51.936999999999998</v>
      </c>
      <c r="ES79">
        <v>1755.28</v>
      </c>
      <c r="ET79">
        <v>39.49</v>
      </c>
      <c r="EU79">
        <v>0</v>
      </c>
      <c r="EV79">
        <v>111</v>
      </c>
      <c r="EW79">
        <v>0</v>
      </c>
      <c r="EX79">
        <v>771.96023076923063</v>
      </c>
      <c r="EY79">
        <v>-0.83165812642952297</v>
      </c>
      <c r="EZ79">
        <v>-4.3418803517696052</v>
      </c>
      <c r="FA79">
        <v>13903.23076923077</v>
      </c>
      <c r="FB79">
        <v>15</v>
      </c>
      <c r="FC79">
        <v>1639679586.0999999</v>
      </c>
      <c r="FD79" t="s">
        <v>740</v>
      </c>
      <c r="FE79">
        <v>1639679581.0999999</v>
      </c>
      <c r="FF79">
        <v>1639679586.0999999</v>
      </c>
      <c r="FG79">
        <v>69</v>
      </c>
      <c r="FH79">
        <v>1.7999999999999999E-2</v>
      </c>
      <c r="FI79">
        <v>-2E-3</v>
      </c>
      <c r="FJ79">
        <v>-1.236</v>
      </c>
      <c r="FK79">
        <v>-0.11</v>
      </c>
      <c r="FL79">
        <v>10</v>
      </c>
      <c r="FM79">
        <v>17</v>
      </c>
      <c r="FN79">
        <v>0.25</v>
      </c>
      <c r="FO79">
        <v>0.01</v>
      </c>
      <c r="FP79">
        <v>1.995662675236558</v>
      </c>
      <c r="FQ79">
        <v>-0.12579299791308751</v>
      </c>
      <c r="FR79">
        <v>2.055291123123773E-2</v>
      </c>
      <c r="FS79">
        <v>1</v>
      </c>
      <c r="FT79">
        <v>0.60038660350723072</v>
      </c>
      <c r="FU79">
        <v>4.0445124778055931E-2</v>
      </c>
      <c r="FV79">
        <v>7.3206159582667766E-3</v>
      </c>
      <c r="FW79">
        <v>1</v>
      </c>
      <c r="FX79">
        <v>2</v>
      </c>
      <c r="FY79">
        <v>2</v>
      </c>
      <c r="FZ79" t="s">
        <v>420</v>
      </c>
      <c r="GA79">
        <v>2.9213900000000002</v>
      </c>
      <c r="GB79">
        <v>2.7448600000000001</v>
      </c>
      <c r="GC79">
        <v>2.4990300000000002E-3</v>
      </c>
      <c r="GD79">
        <v>2.9021300000000002E-3</v>
      </c>
      <c r="GE79">
        <v>0.12020400000000001</v>
      </c>
      <c r="GF79">
        <v>9.2859300000000006E-2</v>
      </c>
      <c r="GG79">
        <v>31095.1</v>
      </c>
      <c r="GH79">
        <v>30716.400000000001</v>
      </c>
      <c r="GI79">
        <v>28380.7</v>
      </c>
      <c r="GJ79">
        <v>28171.1</v>
      </c>
      <c r="GK79">
        <v>34265.4</v>
      </c>
      <c r="GL79">
        <v>35887.599999999999</v>
      </c>
      <c r="GM79">
        <v>42704.7</v>
      </c>
      <c r="GN79">
        <v>43829.3</v>
      </c>
      <c r="GO79">
        <v>1.80257</v>
      </c>
      <c r="GP79">
        <v>1.98465</v>
      </c>
      <c r="GQ79">
        <v>3.4820299999999998E-2</v>
      </c>
      <c r="GR79">
        <v>0</v>
      </c>
      <c r="GS79">
        <v>27.047799999999999</v>
      </c>
      <c r="GT79">
        <v>999.9</v>
      </c>
      <c r="GU79">
        <v>40.299999999999997</v>
      </c>
      <c r="GV79">
        <v>34.799999999999997</v>
      </c>
      <c r="GW79">
        <v>22.6175</v>
      </c>
      <c r="GX79">
        <v>61.3474</v>
      </c>
      <c r="GY79">
        <v>29.823699999999999</v>
      </c>
      <c r="GZ79">
        <v>1</v>
      </c>
      <c r="HA79">
        <v>0.31037300000000001</v>
      </c>
      <c r="HB79">
        <v>2.5416699999999999</v>
      </c>
      <c r="HC79">
        <v>20.258400000000002</v>
      </c>
      <c r="HD79">
        <v>5.2725499999999998</v>
      </c>
      <c r="HE79">
        <v>12.0878</v>
      </c>
      <c r="HF79">
        <v>5.0138499999999997</v>
      </c>
      <c r="HG79">
        <v>3.2917999999999998</v>
      </c>
      <c r="HH79">
        <v>9999</v>
      </c>
      <c r="HI79">
        <v>9999</v>
      </c>
      <c r="HJ79">
        <v>9999</v>
      </c>
      <c r="HK79">
        <v>999.9</v>
      </c>
      <c r="HL79">
        <v>1.8751500000000001</v>
      </c>
      <c r="HM79">
        <v>1.8756299999999999</v>
      </c>
      <c r="HN79">
        <v>1.8754500000000001</v>
      </c>
      <c r="HO79">
        <v>1.8792899999999999</v>
      </c>
      <c r="HP79">
        <v>1.87283</v>
      </c>
      <c r="HQ79">
        <v>1.8760399999999999</v>
      </c>
      <c r="HR79">
        <v>1.8757600000000001</v>
      </c>
      <c r="HS79">
        <v>1.87714</v>
      </c>
      <c r="HT79">
        <v>0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423</v>
      </c>
      <c r="IB79" t="s">
        <v>423</v>
      </c>
      <c r="IC79" t="s">
        <v>423</v>
      </c>
      <c r="ID79">
        <v>0</v>
      </c>
      <c r="IE79">
        <v>100</v>
      </c>
      <c r="IF79">
        <v>100</v>
      </c>
      <c r="IG79">
        <v>-1.2330000000000001</v>
      </c>
      <c r="IH79">
        <v>8.3999999999999995E-3</v>
      </c>
      <c r="II79">
        <v>-1.2189115968440241</v>
      </c>
      <c r="IJ79">
        <v>-1.5404112972462821E-3</v>
      </c>
      <c r="IK79">
        <v>-5.8697186733976997E-8</v>
      </c>
      <c r="IL79">
        <v>1.160237123038427E-10</v>
      </c>
      <c r="IM79">
        <v>-0.1732202875295423</v>
      </c>
      <c r="IN79">
        <v>-3.128848753924141E-3</v>
      </c>
      <c r="IO79">
        <v>3.6841110403368089E-4</v>
      </c>
      <c r="IP79">
        <v>1.9296040270694169E-6</v>
      </c>
      <c r="IQ79">
        <v>1</v>
      </c>
      <c r="IR79">
        <v>1992</v>
      </c>
      <c r="IS79">
        <v>2</v>
      </c>
      <c r="IT79">
        <v>27</v>
      </c>
      <c r="IU79">
        <v>0.7</v>
      </c>
      <c r="IV79">
        <v>0.6</v>
      </c>
      <c r="IW79">
        <v>0.18066399999999999</v>
      </c>
      <c r="IX79">
        <v>2.7355999999999998</v>
      </c>
      <c r="IY79">
        <v>1.69434</v>
      </c>
      <c r="IZ79">
        <v>2.34619</v>
      </c>
      <c r="JA79">
        <v>1.5466299999999999</v>
      </c>
      <c r="JB79">
        <v>2.3706100000000001</v>
      </c>
      <c r="JC79">
        <v>38.501399999999997</v>
      </c>
      <c r="JD79">
        <v>24.096299999999999</v>
      </c>
      <c r="JE79">
        <v>18</v>
      </c>
      <c r="JF79">
        <v>532.88300000000004</v>
      </c>
      <c r="JG79">
        <v>537.37599999999998</v>
      </c>
      <c r="JH79">
        <v>24.854299999999999</v>
      </c>
      <c r="JI79">
        <v>31.0381</v>
      </c>
      <c r="JJ79">
        <v>30.000499999999999</v>
      </c>
      <c r="JK79">
        <v>30.956099999999999</v>
      </c>
      <c r="JL79">
        <v>30.904199999999999</v>
      </c>
      <c r="JM79">
        <v>3.7011500000000002</v>
      </c>
      <c r="JN79">
        <v>29.9389</v>
      </c>
      <c r="JO79">
        <v>37.527299999999997</v>
      </c>
      <c r="JP79">
        <v>24.852900000000002</v>
      </c>
      <c r="JQ79">
        <v>10</v>
      </c>
      <c r="JR79">
        <v>16.931699999999999</v>
      </c>
      <c r="JS79">
        <v>99.507400000000004</v>
      </c>
      <c r="JT79">
        <v>98.716200000000001</v>
      </c>
    </row>
    <row r="80" spans="1:280" x14ac:dyDescent="0.25">
      <c r="A80">
        <v>64</v>
      </c>
      <c r="B80">
        <v>1639679814.0999999</v>
      </c>
      <c r="C80">
        <v>13212</v>
      </c>
      <c r="D80" t="s">
        <v>741</v>
      </c>
      <c r="E80" t="s">
        <v>742</v>
      </c>
      <c r="F80" t="s">
        <v>412</v>
      </c>
      <c r="G80" t="s">
        <v>707</v>
      </c>
      <c r="H80" t="s">
        <v>414</v>
      </c>
      <c r="I80">
        <v>1639679814.0999999</v>
      </c>
      <c r="J80">
        <f t="shared" si="46"/>
        <v>6.0968670433889927E-3</v>
      </c>
      <c r="K80">
        <f t="shared" si="47"/>
        <v>6.0968670433889924</v>
      </c>
      <c r="L80">
        <f t="shared" si="48"/>
        <v>45.394280611366568</v>
      </c>
      <c r="M80">
        <f t="shared" si="49"/>
        <v>343.04700000000003</v>
      </c>
      <c r="N80">
        <f t="shared" si="50"/>
        <v>186.24033741445496</v>
      </c>
      <c r="O80">
        <f t="shared" si="51"/>
        <v>18.553746638105281</v>
      </c>
      <c r="P80">
        <f t="shared" si="52"/>
        <v>34.175234062199998</v>
      </c>
      <c r="Q80">
        <f t="shared" si="53"/>
        <v>0.52002009468829258</v>
      </c>
      <c r="R80">
        <f t="shared" si="54"/>
        <v>2.9205027345006305</v>
      </c>
      <c r="S80">
        <f t="shared" si="55"/>
        <v>0.47352215289454952</v>
      </c>
      <c r="T80">
        <f t="shared" si="56"/>
        <v>0.29978176372259918</v>
      </c>
      <c r="U80">
        <f t="shared" si="57"/>
        <v>289.56371684764497</v>
      </c>
      <c r="V80">
        <f t="shared" si="58"/>
        <v>28.104392708377972</v>
      </c>
      <c r="W80">
        <f t="shared" si="59"/>
        <v>27.5562</v>
      </c>
      <c r="X80">
        <f t="shared" si="60"/>
        <v>3.6977605866486432</v>
      </c>
      <c r="Y80">
        <f t="shared" si="61"/>
        <v>64.751983282652972</v>
      </c>
      <c r="Z80">
        <f t="shared" si="62"/>
        <v>2.4546709772199997</v>
      </c>
      <c r="AA80">
        <f t="shared" si="63"/>
        <v>3.7908815340913353</v>
      </c>
      <c r="AB80">
        <f t="shared" si="64"/>
        <v>1.2430896094286434</v>
      </c>
      <c r="AC80">
        <f t="shared" si="65"/>
        <v>-268.8718366134546</v>
      </c>
      <c r="AD80">
        <f t="shared" si="66"/>
        <v>67.058016083599099</v>
      </c>
      <c r="AE80">
        <f t="shared" si="67"/>
        <v>4.9934921828916661</v>
      </c>
      <c r="AF80">
        <f t="shared" si="68"/>
        <v>92.743388500681121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52434.102440356663</v>
      </c>
      <c r="AL80" t="s">
        <v>415</v>
      </c>
      <c r="AM80">
        <v>10204.299999999999</v>
      </c>
      <c r="AN80">
        <v>862.72538461538477</v>
      </c>
      <c r="AO80">
        <v>3252.56</v>
      </c>
      <c r="AP80">
        <f t="shared" si="72"/>
        <v>0.73475496697512588</v>
      </c>
      <c r="AQ80">
        <v>-6.6684750346205304</v>
      </c>
      <c r="AR80" t="s">
        <v>743</v>
      </c>
      <c r="AS80">
        <v>10027.1</v>
      </c>
      <c r="AT80">
        <v>709.33271999999999</v>
      </c>
      <c r="AU80">
        <v>1009.560205553306</v>
      </c>
      <c r="AV80">
        <f t="shared" si="73"/>
        <v>0.29738442928102682</v>
      </c>
      <c r="AW80">
        <v>0.5</v>
      </c>
      <c r="AX80">
        <f t="shared" si="74"/>
        <v>1513.1756999210595</v>
      </c>
      <c r="AY80">
        <f t="shared" si="75"/>
        <v>45.394280611366568</v>
      </c>
      <c r="AZ80">
        <f t="shared" si="76"/>
        <v>224.9974459614713</v>
      </c>
      <c r="BA80">
        <f t="shared" si="77"/>
        <v>3.4406285832308266E-2</v>
      </c>
      <c r="BB80">
        <f t="shared" si="78"/>
        <v>2.2217593186702334</v>
      </c>
      <c r="BC80">
        <f t="shared" si="79"/>
        <v>542.82993624198753</v>
      </c>
      <c r="BD80" t="s">
        <v>744</v>
      </c>
      <c r="BE80">
        <v>546.92999999999995</v>
      </c>
      <c r="BF80">
        <f t="shared" si="80"/>
        <v>546.92999999999995</v>
      </c>
      <c r="BG80">
        <f t="shared" si="81"/>
        <v>0.45824924854259086</v>
      </c>
      <c r="BH80">
        <f t="shared" si="82"/>
        <v>0.6489578111187827</v>
      </c>
      <c r="BI80">
        <f t="shared" si="83"/>
        <v>0.82901202102530425</v>
      </c>
      <c r="BJ80">
        <f t="shared" si="84"/>
        <v>2.0446613659864514</v>
      </c>
      <c r="BK80">
        <f t="shared" si="85"/>
        <v>0.93855858476872478</v>
      </c>
      <c r="BL80">
        <f t="shared" si="86"/>
        <v>0.50037801109075553</v>
      </c>
      <c r="BM80">
        <f t="shared" si="87"/>
        <v>0.49962198890924447</v>
      </c>
      <c r="BN80">
        <v>4998</v>
      </c>
      <c r="BO80">
        <v>290.00000000000011</v>
      </c>
      <c r="BP80">
        <v>935.13</v>
      </c>
      <c r="BQ80">
        <v>275</v>
      </c>
      <c r="BR80">
        <v>10027.1</v>
      </c>
      <c r="BS80">
        <v>937.48</v>
      </c>
      <c r="BT80">
        <v>-2.35</v>
      </c>
      <c r="BU80">
        <v>300.00000000000011</v>
      </c>
      <c r="BV80">
        <v>24.1</v>
      </c>
      <c r="BW80">
        <v>1009.560205553306</v>
      </c>
      <c r="BX80">
        <v>2.6159146145058498</v>
      </c>
      <c r="BY80">
        <v>-72.27336856702199</v>
      </c>
      <c r="BZ80">
        <v>2.3373508047240472</v>
      </c>
      <c r="CA80">
        <v>0.97154795562042084</v>
      </c>
      <c r="CB80">
        <v>-6.8345704115684207E-3</v>
      </c>
      <c r="CC80">
        <v>289.99999999999989</v>
      </c>
      <c r="CD80">
        <v>936.22</v>
      </c>
      <c r="CE80">
        <v>685</v>
      </c>
      <c r="CF80">
        <v>10015</v>
      </c>
      <c r="CG80">
        <v>937.4</v>
      </c>
      <c r="CH80">
        <v>-1.18</v>
      </c>
      <c r="CV80">
        <f t="shared" si="88"/>
        <v>1799.99</v>
      </c>
      <c r="CW80">
        <f t="shared" si="89"/>
        <v>1513.1756999210595</v>
      </c>
      <c r="CX80">
        <f t="shared" si="90"/>
        <v>0.84065783694412721</v>
      </c>
      <c r="CY80">
        <f t="shared" si="91"/>
        <v>0.16086962530216556</v>
      </c>
      <c r="CZ80">
        <v>6</v>
      </c>
      <c r="DA80">
        <v>0.5</v>
      </c>
      <c r="DB80" t="s">
        <v>418</v>
      </c>
      <c r="DC80">
        <v>2</v>
      </c>
      <c r="DD80">
        <v>1639679814.0999999</v>
      </c>
      <c r="DE80">
        <v>343.04700000000003</v>
      </c>
      <c r="DF80">
        <v>400.02300000000002</v>
      </c>
      <c r="DG80">
        <v>24.639700000000001</v>
      </c>
      <c r="DH80">
        <v>17.5046</v>
      </c>
      <c r="DI80">
        <v>344.82900000000001</v>
      </c>
      <c r="DJ80">
        <v>24.6312</v>
      </c>
      <c r="DK80">
        <v>500.06099999999998</v>
      </c>
      <c r="DL80">
        <v>99.522499999999994</v>
      </c>
      <c r="DM80">
        <v>0.10009999999999999</v>
      </c>
      <c r="DN80">
        <v>27.982099999999999</v>
      </c>
      <c r="DO80">
        <v>27.5562</v>
      </c>
      <c r="DP80">
        <v>999.9</v>
      </c>
      <c r="DQ80">
        <v>0</v>
      </c>
      <c r="DR80">
        <v>0</v>
      </c>
      <c r="DS80">
        <v>9996.25</v>
      </c>
      <c r="DT80">
        <v>0</v>
      </c>
      <c r="DU80">
        <v>346.65800000000002</v>
      </c>
      <c r="DV80">
        <v>-56.975999999999999</v>
      </c>
      <c r="DW80">
        <v>351.714</v>
      </c>
      <c r="DX80">
        <v>407.15</v>
      </c>
      <c r="DY80">
        <v>7.1351000000000004</v>
      </c>
      <c r="DZ80">
        <v>400.02300000000002</v>
      </c>
      <c r="EA80">
        <v>17.5046</v>
      </c>
      <c r="EB80">
        <v>2.4521999999999999</v>
      </c>
      <c r="EC80">
        <v>1.7421</v>
      </c>
      <c r="ED80">
        <v>20.712700000000002</v>
      </c>
      <c r="EE80">
        <v>15.2767</v>
      </c>
      <c r="EF80">
        <v>1799.99</v>
      </c>
      <c r="EG80">
        <v>0.97800900000000002</v>
      </c>
      <c r="EH80">
        <v>2.1991299999999998E-2</v>
      </c>
      <c r="EI80">
        <v>0</v>
      </c>
      <c r="EJ80">
        <v>709.53599999999994</v>
      </c>
      <c r="EK80">
        <v>5.0001199999999999</v>
      </c>
      <c r="EL80">
        <v>12773.6</v>
      </c>
      <c r="EM80">
        <v>15629.9</v>
      </c>
      <c r="EN80">
        <v>49.936999999999998</v>
      </c>
      <c r="EO80">
        <v>50.25</v>
      </c>
      <c r="EP80">
        <v>50.686999999999998</v>
      </c>
      <c r="EQ80">
        <v>49.936999999999998</v>
      </c>
      <c r="ER80">
        <v>51.186999999999998</v>
      </c>
      <c r="ES80">
        <v>1755.52</v>
      </c>
      <c r="ET80">
        <v>39.47</v>
      </c>
      <c r="EU80">
        <v>0</v>
      </c>
      <c r="EV80">
        <v>187.39999985694891</v>
      </c>
      <c r="EW80">
        <v>0</v>
      </c>
      <c r="EX80">
        <v>709.33271999999999</v>
      </c>
      <c r="EY80">
        <v>-1.364846157396405</v>
      </c>
      <c r="EZ80">
        <v>-34.515384686014947</v>
      </c>
      <c r="FA80">
        <v>12778.075999999999</v>
      </c>
      <c r="FB80">
        <v>15</v>
      </c>
      <c r="FC80">
        <v>1639679724.0999999</v>
      </c>
      <c r="FD80" t="s">
        <v>745</v>
      </c>
      <c r="FE80">
        <v>1639679704.0999999</v>
      </c>
      <c r="FF80">
        <v>1639679724.0999999</v>
      </c>
      <c r="FG80">
        <v>70</v>
      </c>
      <c r="FH80">
        <v>-0.03</v>
      </c>
      <c r="FI80">
        <v>6.0000000000000001E-3</v>
      </c>
      <c r="FJ80">
        <v>-1.87</v>
      </c>
      <c r="FK80">
        <v>-0.10299999999999999</v>
      </c>
      <c r="FL80">
        <v>400</v>
      </c>
      <c r="FM80">
        <v>17</v>
      </c>
      <c r="FN80">
        <v>0.05</v>
      </c>
      <c r="FO80">
        <v>0.01</v>
      </c>
      <c r="FP80">
        <v>44.178881874518389</v>
      </c>
      <c r="FQ80">
        <v>6.0019632051858078</v>
      </c>
      <c r="FR80">
        <v>0.57816565485223403</v>
      </c>
      <c r="FS80">
        <v>0</v>
      </c>
      <c r="FT80">
        <v>0.53205553444559361</v>
      </c>
      <c r="FU80">
        <v>-7.3458625063280811E-2</v>
      </c>
      <c r="FV80">
        <v>7.1201519002784446E-3</v>
      </c>
      <c r="FW80">
        <v>0</v>
      </c>
      <c r="FX80">
        <v>0</v>
      </c>
      <c r="FY80">
        <v>2</v>
      </c>
      <c r="FZ80" t="s">
        <v>746</v>
      </c>
      <c r="GA80">
        <v>2.9211499999999999</v>
      </c>
      <c r="GB80">
        <v>2.7450399999999999</v>
      </c>
      <c r="GC80">
        <v>8.1768499999999994E-2</v>
      </c>
      <c r="GD80">
        <v>9.3325099999999994E-2</v>
      </c>
      <c r="GE80">
        <v>0.11902799999999999</v>
      </c>
      <c r="GF80">
        <v>9.4791299999999995E-2</v>
      </c>
      <c r="GG80">
        <v>28619.7</v>
      </c>
      <c r="GH80">
        <v>27925.3</v>
      </c>
      <c r="GI80">
        <v>28374.9</v>
      </c>
      <c r="GJ80">
        <v>28164</v>
      </c>
      <c r="GK80">
        <v>34305.199999999997</v>
      </c>
      <c r="GL80">
        <v>35803.1</v>
      </c>
      <c r="GM80">
        <v>42697.2</v>
      </c>
      <c r="GN80">
        <v>43819.8</v>
      </c>
      <c r="GO80">
        <v>1.8005500000000001</v>
      </c>
      <c r="GP80">
        <v>1.9846999999999999</v>
      </c>
      <c r="GQ80">
        <v>3.6243299999999999E-2</v>
      </c>
      <c r="GR80">
        <v>0</v>
      </c>
      <c r="GS80">
        <v>26.963799999999999</v>
      </c>
      <c r="GT80">
        <v>999.9</v>
      </c>
      <c r="GU80">
        <v>39.799999999999997</v>
      </c>
      <c r="GV80">
        <v>34.799999999999997</v>
      </c>
      <c r="GW80">
        <v>22.340800000000002</v>
      </c>
      <c r="GX80">
        <v>61.217500000000001</v>
      </c>
      <c r="GY80">
        <v>29.911899999999999</v>
      </c>
      <c r="GZ80">
        <v>1</v>
      </c>
      <c r="HA80">
        <v>0.32014500000000001</v>
      </c>
      <c r="HB80">
        <v>2.3182800000000001</v>
      </c>
      <c r="HC80">
        <v>20.2606</v>
      </c>
      <c r="HD80">
        <v>5.2755400000000003</v>
      </c>
      <c r="HE80">
        <v>12.0878</v>
      </c>
      <c r="HF80">
        <v>5.0140500000000001</v>
      </c>
      <c r="HG80">
        <v>3.2919800000000001</v>
      </c>
      <c r="HH80">
        <v>9999</v>
      </c>
      <c r="HI80">
        <v>9999</v>
      </c>
      <c r="HJ80">
        <v>9999</v>
      </c>
      <c r="HK80">
        <v>999.9</v>
      </c>
      <c r="HL80">
        <v>1.8751500000000001</v>
      </c>
      <c r="HM80">
        <v>1.87564</v>
      </c>
      <c r="HN80">
        <v>1.8754500000000001</v>
      </c>
      <c r="HO80">
        <v>1.87937</v>
      </c>
      <c r="HP80">
        <v>1.8728400000000001</v>
      </c>
      <c r="HQ80">
        <v>1.8760300000000001</v>
      </c>
      <c r="HR80">
        <v>1.8757600000000001</v>
      </c>
      <c r="HS80">
        <v>1.87714</v>
      </c>
      <c r="HT80">
        <v>0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423</v>
      </c>
      <c r="IB80" t="s">
        <v>423</v>
      </c>
      <c r="IC80" t="s">
        <v>423</v>
      </c>
      <c r="ID80">
        <v>0</v>
      </c>
      <c r="IE80">
        <v>100</v>
      </c>
      <c r="IF80">
        <v>100</v>
      </c>
      <c r="IG80">
        <v>-1.782</v>
      </c>
      <c r="IH80">
        <v>8.5000000000000006E-3</v>
      </c>
      <c r="II80">
        <v>-1.2484647624178551</v>
      </c>
      <c r="IJ80">
        <v>-1.5404112972462821E-3</v>
      </c>
      <c r="IK80">
        <v>-5.8697186733976997E-8</v>
      </c>
      <c r="IL80">
        <v>1.160237123038427E-10</v>
      </c>
      <c r="IM80">
        <v>-0.16683882219361451</v>
      </c>
      <c r="IN80">
        <v>-3.128848753924141E-3</v>
      </c>
      <c r="IO80">
        <v>3.6841110403368089E-4</v>
      </c>
      <c r="IP80">
        <v>1.9296040270694169E-6</v>
      </c>
      <c r="IQ80">
        <v>1</v>
      </c>
      <c r="IR80">
        <v>1992</v>
      </c>
      <c r="IS80">
        <v>2</v>
      </c>
      <c r="IT80">
        <v>27</v>
      </c>
      <c r="IU80">
        <v>1.8</v>
      </c>
      <c r="IV80">
        <v>1.5</v>
      </c>
      <c r="IW80">
        <v>1.0437000000000001</v>
      </c>
      <c r="IX80">
        <v>2.6843300000000001</v>
      </c>
      <c r="IY80">
        <v>1.69434</v>
      </c>
      <c r="IZ80">
        <v>2.34619</v>
      </c>
      <c r="JA80">
        <v>1.5466299999999999</v>
      </c>
      <c r="JB80">
        <v>2.3120099999999999</v>
      </c>
      <c r="JC80">
        <v>38.501399999999997</v>
      </c>
      <c r="JD80">
        <v>24.096299999999999</v>
      </c>
      <c r="JE80">
        <v>18</v>
      </c>
      <c r="JF80">
        <v>532.47199999999998</v>
      </c>
      <c r="JG80">
        <v>538.62300000000005</v>
      </c>
      <c r="JH80">
        <v>24.953900000000001</v>
      </c>
      <c r="JI80">
        <v>31.169499999999999</v>
      </c>
      <c r="JJ80">
        <v>30.0002</v>
      </c>
      <c r="JK80">
        <v>31.084299999999999</v>
      </c>
      <c r="JL80">
        <v>31.033000000000001</v>
      </c>
      <c r="JM80">
        <v>20.969100000000001</v>
      </c>
      <c r="JN80">
        <v>24.194700000000001</v>
      </c>
      <c r="JO80">
        <v>36.232300000000002</v>
      </c>
      <c r="JP80">
        <v>24.965699999999998</v>
      </c>
      <c r="JQ80">
        <v>400</v>
      </c>
      <c r="JR80">
        <v>17.622299999999999</v>
      </c>
      <c r="JS80">
        <v>99.488900000000001</v>
      </c>
      <c r="JT80">
        <v>98.693399999999997</v>
      </c>
    </row>
    <row r="81" spans="1:280" x14ac:dyDescent="0.25">
      <c r="A81">
        <v>65</v>
      </c>
      <c r="B81">
        <v>1639679990.5999999</v>
      </c>
      <c r="C81">
        <v>13388.5</v>
      </c>
      <c r="D81" t="s">
        <v>747</v>
      </c>
      <c r="E81" t="s">
        <v>748</v>
      </c>
      <c r="F81" t="s">
        <v>412</v>
      </c>
      <c r="G81" t="s">
        <v>707</v>
      </c>
      <c r="H81" t="s">
        <v>414</v>
      </c>
      <c r="I81">
        <v>1639679990.5999999</v>
      </c>
      <c r="J81">
        <f t="shared" ref="J81:J112" si="92">(K81)/1000</f>
        <v>5.7266123063454038E-3</v>
      </c>
      <c r="K81">
        <f t="shared" ref="K81:K112" si="93">1000*DK81*AI81*(DG81-DH81)/(100*CZ81*(1000-AI81*DG81))</f>
        <v>5.7266123063454035</v>
      </c>
      <c r="L81">
        <f t="shared" ref="L81:L112" si="94">DK81*AI81*(DF81-DE81*(1000-AI81*DH81)/(1000-AI81*DG81))/(100*CZ81)</f>
        <v>52.389817010361838</v>
      </c>
      <c r="M81">
        <f t="shared" ref="M81:M112" si="95">DE81 - IF(AI81&gt;1, L81*CZ81*100/(AK81*DS81), 0)</f>
        <v>334.87099999999998</v>
      </c>
      <c r="N81">
        <f t="shared" ref="N81:N112" si="96">((T81-J81/2)*M81-L81)/(T81+J81/2)</f>
        <v>143.98581174810934</v>
      </c>
      <c r="O81">
        <f t="shared" ref="O81:O112" si="97">N81*(DL81+DM81)/1000</f>
        <v>14.342454641476651</v>
      </c>
      <c r="P81">
        <f t="shared" ref="P81:P112" si="98">(DE81 - IF(AI81&gt;1, L81*CZ81*100/(AK81*DS81), 0))*(DL81+DM81)/1000</f>
        <v>33.356565274974002</v>
      </c>
      <c r="Q81">
        <f t="shared" ref="Q81:Q112" si="99">2/((1/S81-1/R81)+SIGN(S81)*SQRT((1/S81-1/R81)*(1/S81-1/R81) + 4*DA81/((DA81+1)*(DA81+1))*(2*1/S81*1/R81-1/R81*1/R81)))</f>
        <v>0.48611547700602453</v>
      </c>
      <c r="R81">
        <f t="shared" ref="R81:R112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2.9185302641925546</v>
      </c>
      <c r="S81">
        <f t="shared" ref="S81:S112" si="101">J81*(1000-(1000*0.61365*EXP(17.502*W81/(240.97+W81))/(DL81+DM81)+DG81)/2)/(1000*0.61365*EXP(17.502*W81/(240.97+W81))/(DL81+DM81)-DG81)</f>
        <v>0.44520288716802692</v>
      </c>
      <c r="T81">
        <f t="shared" ref="T81:T112" si="102">1/((DA81+1)/(Q81/1.6)+1/(R81/1.37)) + DA81/((DA81+1)/(Q81/1.6) + DA81/(R81/1.37))</f>
        <v>0.28164013749975381</v>
      </c>
      <c r="U81">
        <f t="shared" ref="U81:U112" si="103">(CV81*CY81)</f>
        <v>289.53933884755418</v>
      </c>
      <c r="V81">
        <f t="shared" ref="V81:V112" si="104">(DN81+(U81+2*0.95*0.0000000567*(((DN81+$B$7)+273)^4-(DN81+273)^4)-44100*J81)/(1.84*29.3*R81+8*0.95*0.0000000567*(DN81+273)^3))</f>
        <v>28.202488672740014</v>
      </c>
      <c r="W81">
        <f t="shared" ref="W81:W112" si="105">($C$7*DO81+$D$7*DP81+$E$7*V81)</f>
        <v>27.574100000000001</v>
      </c>
      <c r="X81">
        <f t="shared" ref="X81:X112" si="106">0.61365*EXP(17.502*W81/(240.97+W81))</f>
        <v>3.7016337654416636</v>
      </c>
      <c r="Y81">
        <f t="shared" ref="Y81:Y112" si="107">(Z81/AA81*100)</f>
        <v>64.886064566299666</v>
      </c>
      <c r="Z81">
        <f t="shared" ref="Z81:Z112" si="108">DG81*(DL81+DM81)/1000</f>
        <v>2.4599833120434003</v>
      </c>
      <c r="AA81">
        <f t="shared" ref="AA81:AA112" si="109">0.61365*EXP(17.502*DN81/(240.97+DN81))</f>
        <v>3.7912351881501829</v>
      </c>
      <c r="AB81">
        <f t="shared" ref="AB81:AB112" si="110">(X81-DG81*(DL81+DM81)/1000)</f>
        <v>1.2416504533982633</v>
      </c>
      <c r="AC81">
        <f t="shared" ref="AC81:AC112" si="111">(-J81*44100)</f>
        <v>-252.5436027098323</v>
      </c>
      <c r="AD81">
        <f t="shared" ref="AD81:AD112" si="112">2*29.3*R81*0.92*(DN81-W81)</f>
        <v>64.448021955849441</v>
      </c>
      <c r="AE81">
        <f t="shared" ref="AE81:AE112" si="113">2*0.95*0.0000000567*(((DN81+$B$7)+273)^4-(W81+273)^4)</f>
        <v>4.8028486443861063</v>
      </c>
      <c r="AF81">
        <f t="shared" ref="AF81:AF112" si="114">U81+AE81+AC81+AD81</f>
        <v>106.24660673795745</v>
      </c>
      <c r="AG81">
        <v>0</v>
      </c>
      <c r="AH81">
        <v>0</v>
      </c>
      <c r="AI81">
        <f t="shared" ref="AI81:AI112" si="115">IF(AG81*$H$13&gt;=AK81,1,(AK81/(AK81-AG81*$H$13)))</f>
        <v>1</v>
      </c>
      <c r="AJ81">
        <f t="shared" ref="AJ81:AJ112" si="116">(AI81-1)*100</f>
        <v>0</v>
      </c>
      <c r="AK81">
        <f t="shared" ref="AK81:AK112" si="117">MAX(0,($B$13+$C$13*DS81)/(1+$D$13*DS81)*DL81/(DN81+273)*$E$13)</f>
        <v>52376.922692361943</v>
      </c>
      <c r="AL81" t="s">
        <v>415</v>
      </c>
      <c r="AM81">
        <v>10204.299999999999</v>
      </c>
      <c r="AN81">
        <v>862.72538461538477</v>
      </c>
      <c r="AO81">
        <v>3252.56</v>
      </c>
      <c r="AP81">
        <f t="shared" ref="AP81:AP112" si="118">1-AN81/AO81</f>
        <v>0.73475496697512588</v>
      </c>
      <c r="AQ81">
        <v>-6.6684750346205304</v>
      </c>
      <c r="AR81" t="s">
        <v>749</v>
      </c>
      <c r="AS81">
        <v>10038.799999999999</v>
      </c>
      <c r="AT81">
        <v>724.07719230769226</v>
      </c>
      <c r="AU81">
        <v>1094.7263370106709</v>
      </c>
      <c r="AV81">
        <f t="shared" ref="AV81:AV112" si="119">1-AT81/AU81</f>
        <v>0.33857698693455818</v>
      </c>
      <c r="AW81">
        <v>0.5</v>
      </c>
      <c r="AX81">
        <f t="shared" ref="AX81:AX112" si="120">CW81</f>
        <v>1513.0418999210124</v>
      </c>
      <c r="AY81">
        <f t="shared" ref="AY81:AY112" si="121">L81</f>
        <v>52.389817010361838</v>
      </c>
      <c r="AZ81">
        <f t="shared" ref="AZ81:AZ112" si="122">AV81*AW81*AX81</f>
        <v>256.14058379049783</v>
      </c>
      <c r="BA81">
        <f t="shared" ref="BA81:BA112" si="123">(AY81-AQ81)/AX81</f>
        <v>3.903281994243879E-2</v>
      </c>
      <c r="BB81">
        <f t="shared" ref="BB81:BB112" si="124">(AO81-AU81)/AU81</f>
        <v>1.971116972376536</v>
      </c>
      <c r="BC81">
        <f t="shared" ref="BC81:BC112" si="125">AN81/(AP81+AN81/AU81)</f>
        <v>566.52808181414912</v>
      </c>
      <c r="BD81" t="s">
        <v>750</v>
      </c>
      <c r="BE81">
        <v>559.28</v>
      </c>
      <c r="BF81">
        <f t="shared" ref="BF81:BF112" si="126">IF(BE81&lt;&gt;0, BE81, BC81)</f>
        <v>559.28</v>
      </c>
      <c r="BG81">
        <f t="shared" ref="BG81:BG112" si="127">1-BF81/AU81</f>
        <v>0.4891143283103927</v>
      </c>
      <c r="BH81">
        <f t="shared" ref="BH81:BH112" si="128">(AU81-AT81)/(AU81-BF81)</f>
        <v>0.69222463407307233</v>
      </c>
      <c r="BI81">
        <f t="shared" ref="BI81:BI112" si="129">(AO81-AU81)/(AO81-BF81)</f>
        <v>0.80119173015406098</v>
      </c>
      <c r="BJ81">
        <f t="shared" ref="BJ81:BJ112" si="130">(AU81-AT81)/(AU81-AN81)</f>
        <v>1.597619065250482</v>
      </c>
      <c r="BK81">
        <f t="shared" ref="BK81:BK112" si="131">(AO81-AU81)/(AO81-AN81)</f>
        <v>0.902921754123999</v>
      </c>
      <c r="BL81">
        <f t="shared" ref="BL81:BL112" si="132">(BH81*BF81/AT81)</f>
        <v>0.53467696187269476</v>
      </c>
      <c r="BM81">
        <f t="shared" ref="BM81:BM112" si="133">(1-BL81)</f>
        <v>0.46532303812730524</v>
      </c>
      <c r="BN81">
        <v>5000</v>
      </c>
      <c r="BO81">
        <v>290.00000000000011</v>
      </c>
      <c r="BP81">
        <v>998.14</v>
      </c>
      <c r="BQ81">
        <v>185</v>
      </c>
      <c r="BR81">
        <v>10038.799999999999</v>
      </c>
      <c r="BS81">
        <v>997.32</v>
      </c>
      <c r="BT81">
        <v>0.82</v>
      </c>
      <c r="BU81">
        <v>300.00000000000011</v>
      </c>
      <c r="BV81">
        <v>24.1</v>
      </c>
      <c r="BW81">
        <v>1094.7263370106709</v>
      </c>
      <c r="BX81">
        <v>1.758176927835954</v>
      </c>
      <c r="BY81">
        <v>-97.783050891195046</v>
      </c>
      <c r="BZ81">
        <v>1.5717356552042969</v>
      </c>
      <c r="CA81">
        <v>0.99281776821967793</v>
      </c>
      <c r="CB81">
        <v>-6.8375768631813256E-3</v>
      </c>
      <c r="CC81">
        <v>289.99999999999989</v>
      </c>
      <c r="CD81">
        <v>994.86</v>
      </c>
      <c r="CE81">
        <v>675</v>
      </c>
      <c r="CF81">
        <v>10020.6</v>
      </c>
      <c r="CG81">
        <v>997.14</v>
      </c>
      <c r="CH81">
        <v>-2.2799999999999998</v>
      </c>
      <c r="CV81">
        <f t="shared" ref="CV81:CV112" si="134">$B$11*DT81+$C$11*DU81+$F$11*EF81*(1-EI81)</f>
        <v>1799.83</v>
      </c>
      <c r="CW81">
        <f t="shared" ref="CW81:CW112" si="135">CV81*CX81</f>
        <v>1513.0418999210124</v>
      </c>
      <c r="CX81">
        <f t="shared" ref="CX81:CX112" si="136">($B$11*$D$9+$C$11*$D$9+$F$11*((ES81+EK81)/MAX(ES81+EK81+ET81, 0.1)*$I$9+ET81/MAX(ES81+EK81+ET81, 0.1)*$J$9))/($B$11+$C$11+$F$11)</f>
        <v>0.840658228788837</v>
      </c>
      <c r="CY81">
        <f t="shared" ref="CY81:CY112" si="137">($B$11*$K$9+$C$11*$K$9+$F$11*((ES81+EK81)/MAX(ES81+EK81+ET81, 0.1)*$P$9+ET81/MAX(ES81+EK81+ET81, 0.1)*$Q$9))/($B$11+$C$11+$F$11)</f>
        <v>0.16087038156245545</v>
      </c>
      <c r="CZ81">
        <v>6</v>
      </c>
      <c r="DA81">
        <v>0.5</v>
      </c>
      <c r="DB81" t="s">
        <v>418</v>
      </c>
      <c r="DC81">
        <v>2</v>
      </c>
      <c r="DD81">
        <v>1639679990.5999999</v>
      </c>
      <c r="DE81">
        <v>334.87099999999998</v>
      </c>
      <c r="DF81">
        <v>400.03100000000001</v>
      </c>
      <c r="DG81">
        <v>24.696100000000001</v>
      </c>
      <c r="DH81">
        <v>17.994800000000001</v>
      </c>
      <c r="DI81">
        <v>336.70800000000003</v>
      </c>
      <c r="DJ81">
        <v>24.690200000000001</v>
      </c>
      <c r="DK81">
        <v>500.06900000000002</v>
      </c>
      <c r="DL81">
        <v>99.51</v>
      </c>
      <c r="DM81">
        <v>0.10019400000000001</v>
      </c>
      <c r="DN81">
        <v>27.983699999999999</v>
      </c>
      <c r="DO81">
        <v>27.574100000000001</v>
      </c>
      <c r="DP81">
        <v>999.9</v>
      </c>
      <c r="DQ81">
        <v>0</v>
      </c>
      <c r="DR81">
        <v>0</v>
      </c>
      <c r="DS81">
        <v>9986.25</v>
      </c>
      <c r="DT81">
        <v>0</v>
      </c>
      <c r="DU81">
        <v>338.10899999999998</v>
      </c>
      <c r="DV81">
        <v>-65.160499999999999</v>
      </c>
      <c r="DW81">
        <v>343.35</v>
      </c>
      <c r="DX81">
        <v>407.36200000000002</v>
      </c>
      <c r="DY81">
        <v>6.7012600000000004</v>
      </c>
      <c r="DZ81">
        <v>400.03100000000001</v>
      </c>
      <c r="EA81">
        <v>17.994800000000001</v>
      </c>
      <c r="EB81">
        <v>2.4575100000000001</v>
      </c>
      <c r="EC81">
        <v>1.7906599999999999</v>
      </c>
      <c r="ED81">
        <v>20.747800000000002</v>
      </c>
      <c r="EE81">
        <v>15.705500000000001</v>
      </c>
      <c r="EF81">
        <v>1799.83</v>
      </c>
      <c r="EG81">
        <v>0.97799899999999995</v>
      </c>
      <c r="EH81">
        <v>2.2001300000000001E-2</v>
      </c>
      <c r="EI81">
        <v>0</v>
      </c>
      <c r="EJ81">
        <v>724.28899999999999</v>
      </c>
      <c r="EK81">
        <v>5.0001199999999999</v>
      </c>
      <c r="EL81">
        <v>13023.3</v>
      </c>
      <c r="EM81">
        <v>15628.5</v>
      </c>
      <c r="EN81">
        <v>49</v>
      </c>
      <c r="EO81">
        <v>49.561999999999998</v>
      </c>
      <c r="EP81">
        <v>49.811999999999998</v>
      </c>
      <c r="EQ81">
        <v>49.186999999999998</v>
      </c>
      <c r="ER81">
        <v>50.436999999999998</v>
      </c>
      <c r="ES81">
        <v>1755.34</v>
      </c>
      <c r="ET81">
        <v>39.49</v>
      </c>
      <c r="EU81">
        <v>0</v>
      </c>
      <c r="EV81">
        <v>174.79999995231631</v>
      </c>
      <c r="EW81">
        <v>0</v>
      </c>
      <c r="EX81">
        <v>724.07719230769226</v>
      </c>
      <c r="EY81">
        <v>6.1049914497964917</v>
      </c>
      <c r="EZ81">
        <v>96.252991349647317</v>
      </c>
      <c r="FA81">
        <v>13012.484615384619</v>
      </c>
      <c r="FB81">
        <v>15</v>
      </c>
      <c r="FC81">
        <v>1639679879.5999999</v>
      </c>
      <c r="FD81" t="s">
        <v>751</v>
      </c>
      <c r="FE81">
        <v>1639679874.5999999</v>
      </c>
      <c r="FF81">
        <v>1639679879.5999999</v>
      </c>
      <c r="FG81">
        <v>71</v>
      </c>
      <c r="FH81">
        <v>-6.8000000000000005E-2</v>
      </c>
      <c r="FI81">
        <v>-4.0000000000000001E-3</v>
      </c>
      <c r="FJ81">
        <v>-1.9379999999999999</v>
      </c>
      <c r="FK81">
        <v>-0.1</v>
      </c>
      <c r="FL81">
        <v>400</v>
      </c>
      <c r="FM81">
        <v>18</v>
      </c>
      <c r="FN81">
        <v>0.02</v>
      </c>
      <c r="FO81">
        <v>0.01</v>
      </c>
      <c r="FP81">
        <v>52.19869678845928</v>
      </c>
      <c r="FQ81">
        <v>0.65219091124822937</v>
      </c>
      <c r="FR81">
        <v>7.3238524935710828E-2</v>
      </c>
      <c r="FS81">
        <v>1</v>
      </c>
      <c r="FT81">
        <v>0.48847785619924028</v>
      </c>
      <c r="FU81">
        <v>9.4450790844024923E-3</v>
      </c>
      <c r="FV81">
        <v>1.555702390343478E-3</v>
      </c>
      <c r="FW81">
        <v>1</v>
      </c>
      <c r="FX81">
        <v>2</v>
      </c>
      <c r="FY81">
        <v>2</v>
      </c>
      <c r="FZ81" t="s">
        <v>420</v>
      </c>
      <c r="GA81">
        <v>2.9210799999999999</v>
      </c>
      <c r="GB81">
        <v>2.74505</v>
      </c>
      <c r="GC81">
        <v>8.0212000000000006E-2</v>
      </c>
      <c r="GD81">
        <v>9.3305600000000002E-2</v>
      </c>
      <c r="GE81">
        <v>0.119197</v>
      </c>
      <c r="GF81">
        <v>9.6661800000000006E-2</v>
      </c>
      <c r="GG81">
        <v>28667.8</v>
      </c>
      <c r="GH81">
        <v>27923</v>
      </c>
      <c r="GI81">
        <v>28374.6</v>
      </c>
      <c r="GJ81">
        <v>28161.1</v>
      </c>
      <c r="GK81">
        <v>34298.699999999997</v>
      </c>
      <c r="GL81">
        <v>35726.1</v>
      </c>
      <c r="GM81">
        <v>42697.2</v>
      </c>
      <c r="GN81">
        <v>43816.2</v>
      </c>
      <c r="GO81">
        <v>1.7999799999999999</v>
      </c>
      <c r="GP81">
        <v>1.9853499999999999</v>
      </c>
      <c r="GQ81">
        <v>4.3176100000000002E-2</v>
      </c>
      <c r="GR81">
        <v>0</v>
      </c>
      <c r="GS81">
        <v>26.868200000000002</v>
      </c>
      <c r="GT81">
        <v>999.9</v>
      </c>
      <c r="GU81">
        <v>39.6</v>
      </c>
      <c r="GV81">
        <v>34.799999999999997</v>
      </c>
      <c r="GW81">
        <v>22.229700000000001</v>
      </c>
      <c r="GX81">
        <v>60.987400000000001</v>
      </c>
      <c r="GY81">
        <v>29.563300000000002</v>
      </c>
      <c r="GZ81">
        <v>1</v>
      </c>
      <c r="HA81">
        <v>0.32085599999999997</v>
      </c>
      <c r="HB81">
        <v>2.0916399999999999</v>
      </c>
      <c r="HC81">
        <v>20.264299999999999</v>
      </c>
      <c r="HD81">
        <v>5.2755400000000003</v>
      </c>
      <c r="HE81">
        <v>12.0878</v>
      </c>
      <c r="HF81">
        <v>5.0134999999999996</v>
      </c>
      <c r="HG81">
        <v>3.2919</v>
      </c>
      <c r="HH81">
        <v>9999</v>
      </c>
      <c r="HI81">
        <v>9999</v>
      </c>
      <c r="HJ81">
        <v>9999</v>
      </c>
      <c r="HK81">
        <v>999.9</v>
      </c>
      <c r="HL81">
        <v>1.8751500000000001</v>
      </c>
      <c r="HM81">
        <v>1.87565</v>
      </c>
      <c r="HN81">
        <v>1.8754500000000001</v>
      </c>
      <c r="HO81">
        <v>1.8793299999999999</v>
      </c>
      <c r="HP81">
        <v>1.87279</v>
      </c>
      <c r="HQ81">
        <v>1.8760699999999999</v>
      </c>
      <c r="HR81">
        <v>1.8757699999999999</v>
      </c>
      <c r="HS81">
        <v>1.8771500000000001</v>
      </c>
      <c r="HT81">
        <v>0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423</v>
      </c>
      <c r="IB81" t="s">
        <v>423</v>
      </c>
      <c r="IC81" t="s">
        <v>423</v>
      </c>
      <c r="ID81">
        <v>0</v>
      </c>
      <c r="IE81">
        <v>100</v>
      </c>
      <c r="IF81">
        <v>100</v>
      </c>
      <c r="IG81">
        <v>-1.837</v>
      </c>
      <c r="IH81">
        <v>5.8999999999999999E-3</v>
      </c>
      <c r="II81">
        <v>-1.3164085617974881</v>
      </c>
      <c r="IJ81">
        <v>-1.5404112972462821E-3</v>
      </c>
      <c r="IK81">
        <v>-5.8697186733976997E-8</v>
      </c>
      <c r="IL81">
        <v>1.160237123038427E-10</v>
      </c>
      <c r="IM81">
        <v>-0.17054817602910419</v>
      </c>
      <c r="IN81">
        <v>-3.128848753924141E-3</v>
      </c>
      <c r="IO81">
        <v>3.6841110403368089E-4</v>
      </c>
      <c r="IP81">
        <v>1.9296040270694169E-6</v>
      </c>
      <c r="IQ81">
        <v>1</v>
      </c>
      <c r="IR81">
        <v>1992</v>
      </c>
      <c r="IS81">
        <v>2</v>
      </c>
      <c r="IT81">
        <v>27</v>
      </c>
      <c r="IU81">
        <v>1.9</v>
      </c>
      <c r="IV81">
        <v>1.9</v>
      </c>
      <c r="IW81">
        <v>1.0437000000000001</v>
      </c>
      <c r="IX81">
        <v>2.67822</v>
      </c>
      <c r="IY81">
        <v>1.69434</v>
      </c>
      <c r="IZ81">
        <v>2.34741</v>
      </c>
      <c r="JA81">
        <v>1.5466299999999999</v>
      </c>
      <c r="JB81">
        <v>2.4133300000000002</v>
      </c>
      <c r="JC81">
        <v>38.476900000000001</v>
      </c>
      <c r="JD81">
        <v>24.096299999999999</v>
      </c>
      <c r="JE81">
        <v>18</v>
      </c>
      <c r="JF81">
        <v>532.54</v>
      </c>
      <c r="JG81">
        <v>539.67200000000003</v>
      </c>
      <c r="JH81">
        <v>25.119700000000002</v>
      </c>
      <c r="JI81">
        <v>31.200199999999999</v>
      </c>
      <c r="JJ81">
        <v>30</v>
      </c>
      <c r="JK81">
        <v>31.139199999999999</v>
      </c>
      <c r="JL81">
        <v>31.092500000000001</v>
      </c>
      <c r="JM81">
        <v>20.970700000000001</v>
      </c>
      <c r="JN81">
        <v>20.977599999999999</v>
      </c>
      <c r="JO81">
        <v>35.764899999999997</v>
      </c>
      <c r="JP81">
        <v>25.126300000000001</v>
      </c>
      <c r="JQ81">
        <v>400</v>
      </c>
      <c r="JR81">
        <v>18.108499999999999</v>
      </c>
      <c r="JS81">
        <v>99.488600000000005</v>
      </c>
      <c r="JT81">
        <v>98.6845</v>
      </c>
    </row>
    <row r="82" spans="1:280" x14ac:dyDescent="0.25">
      <c r="A82">
        <v>66</v>
      </c>
      <c r="B82">
        <v>1639680112.5999999</v>
      </c>
      <c r="C82">
        <v>13510.5</v>
      </c>
      <c r="D82" t="s">
        <v>752</v>
      </c>
      <c r="E82" t="s">
        <v>753</v>
      </c>
      <c r="F82" t="s">
        <v>412</v>
      </c>
      <c r="G82" t="s">
        <v>707</v>
      </c>
      <c r="H82" t="s">
        <v>414</v>
      </c>
      <c r="I82">
        <v>1639680112.5999999</v>
      </c>
      <c r="J82">
        <f t="shared" si="92"/>
        <v>5.6973467571409704E-3</v>
      </c>
      <c r="K82">
        <f t="shared" si="93"/>
        <v>5.6973467571409708</v>
      </c>
      <c r="L82">
        <f t="shared" si="94"/>
        <v>56.174224603427461</v>
      </c>
      <c r="M82">
        <f t="shared" si="95"/>
        <v>429.72699999999998</v>
      </c>
      <c r="N82">
        <f t="shared" si="96"/>
        <v>224.44665430622319</v>
      </c>
      <c r="O82">
        <f t="shared" si="97"/>
        <v>22.355249474693188</v>
      </c>
      <c r="P82">
        <f t="shared" si="98"/>
        <v>42.801503638831996</v>
      </c>
      <c r="Q82">
        <f t="shared" si="99"/>
        <v>0.48808700373511449</v>
      </c>
      <c r="R82">
        <f t="shared" si="100"/>
        <v>2.9221050164441698</v>
      </c>
      <c r="S82">
        <f t="shared" si="101"/>
        <v>0.44690283078720305</v>
      </c>
      <c r="T82">
        <f t="shared" si="102"/>
        <v>0.28272434694741078</v>
      </c>
      <c r="U82">
        <f t="shared" si="103"/>
        <v>289.59737384754607</v>
      </c>
      <c r="V82">
        <f t="shared" si="104"/>
        <v>28.241001429489462</v>
      </c>
      <c r="W82">
        <f t="shared" si="105"/>
        <v>27.622</v>
      </c>
      <c r="X82">
        <f t="shared" si="106"/>
        <v>3.7120157230631619</v>
      </c>
      <c r="Y82">
        <f t="shared" si="107"/>
        <v>65.342071663666644</v>
      </c>
      <c r="Z82">
        <f t="shared" si="108"/>
        <v>2.4817236650639996</v>
      </c>
      <c r="AA82">
        <f t="shared" si="109"/>
        <v>3.7980486413686174</v>
      </c>
      <c r="AB82">
        <f t="shared" si="110"/>
        <v>1.2302920579991623</v>
      </c>
      <c r="AC82">
        <f t="shared" si="111"/>
        <v>-251.25299198991681</v>
      </c>
      <c r="AD82">
        <f t="shared" si="112"/>
        <v>61.833086316266488</v>
      </c>
      <c r="AE82">
        <f t="shared" si="113"/>
        <v>4.6041454859485169</v>
      </c>
      <c r="AF82">
        <f t="shared" si="114"/>
        <v>104.78161365984424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52474.025157062395</v>
      </c>
      <c r="AL82" t="s">
        <v>415</v>
      </c>
      <c r="AM82">
        <v>10204.299999999999</v>
      </c>
      <c r="AN82">
        <v>862.72538461538477</v>
      </c>
      <c r="AO82">
        <v>3252.56</v>
      </c>
      <c r="AP82">
        <f t="shared" si="118"/>
        <v>0.73475496697512588</v>
      </c>
      <c r="AQ82">
        <v>-6.6684750346205304</v>
      </c>
      <c r="AR82" t="s">
        <v>754</v>
      </c>
      <c r="AS82">
        <v>10047.200000000001</v>
      </c>
      <c r="AT82">
        <v>743.24279999999999</v>
      </c>
      <c r="AU82">
        <v>1158.614808750523</v>
      </c>
      <c r="AV82">
        <f t="shared" si="119"/>
        <v>0.35850742249572121</v>
      </c>
      <c r="AW82">
        <v>0.5</v>
      </c>
      <c r="AX82">
        <f t="shared" si="120"/>
        <v>1513.3445999210082</v>
      </c>
      <c r="AY82">
        <f t="shared" si="121"/>
        <v>56.174224603427461</v>
      </c>
      <c r="AZ82">
        <f t="shared" si="122"/>
        <v>271.27263593274955</v>
      </c>
      <c r="BA82">
        <f t="shared" si="123"/>
        <v>4.1525703822730249E-2</v>
      </c>
      <c r="BB82">
        <f t="shared" si="124"/>
        <v>1.8072832967737016</v>
      </c>
      <c r="BC82">
        <f t="shared" si="125"/>
        <v>583.16964862009843</v>
      </c>
      <c r="BD82" t="s">
        <v>755</v>
      </c>
      <c r="BE82">
        <v>562.35</v>
      </c>
      <c r="BF82">
        <f t="shared" si="126"/>
        <v>562.35</v>
      </c>
      <c r="BG82">
        <f t="shared" si="127"/>
        <v>0.51463592925551227</v>
      </c>
      <c r="BH82">
        <f t="shared" si="128"/>
        <v>0.69662338386351852</v>
      </c>
      <c r="BI82">
        <f t="shared" si="129"/>
        <v>0.77835752273966596</v>
      </c>
      <c r="BJ82">
        <f t="shared" si="130"/>
        <v>1.4038082299312422</v>
      </c>
      <c r="BK82">
        <f t="shared" si="131"/>
        <v>0.87618832607480734</v>
      </c>
      <c r="BL82">
        <f t="shared" si="132"/>
        <v>0.52707696585241004</v>
      </c>
      <c r="BM82">
        <f t="shared" si="133"/>
        <v>0.47292303414758996</v>
      </c>
      <c r="BN82">
        <v>5002</v>
      </c>
      <c r="BO82">
        <v>290.00000000000011</v>
      </c>
      <c r="BP82">
        <v>1050.67</v>
      </c>
      <c r="BQ82">
        <v>125</v>
      </c>
      <c r="BR82">
        <v>10047.200000000001</v>
      </c>
      <c r="BS82">
        <v>1050.03</v>
      </c>
      <c r="BT82">
        <v>0.64</v>
      </c>
      <c r="BU82">
        <v>300.00000000000011</v>
      </c>
      <c r="BV82">
        <v>24.1</v>
      </c>
      <c r="BW82">
        <v>1158.614808750523</v>
      </c>
      <c r="BX82">
        <v>1.523106004757121</v>
      </c>
      <c r="BY82">
        <v>-109.1004137382056</v>
      </c>
      <c r="BZ82">
        <v>1.3619742756326001</v>
      </c>
      <c r="CA82">
        <v>0.99565537707453422</v>
      </c>
      <c r="CB82">
        <v>-6.8391721913236931E-3</v>
      </c>
      <c r="CC82">
        <v>289.99999999999989</v>
      </c>
      <c r="CD82">
        <v>1047.69</v>
      </c>
      <c r="CE82">
        <v>685</v>
      </c>
      <c r="CF82">
        <v>10023.1</v>
      </c>
      <c r="CG82">
        <v>1049.77</v>
      </c>
      <c r="CH82">
        <v>-2.08</v>
      </c>
      <c r="CV82">
        <f t="shared" si="134"/>
        <v>1800.19</v>
      </c>
      <c r="CW82">
        <f t="shared" si="135"/>
        <v>1513.3445999210082</v>
      </c>
      <c r="CX82">
        <f t="shared" si="136"/>
        <v>0.84065826380604725</v>
      </c>
      <c r="CY82">
        <f t="shared" si="137"/>
        <v>0.16087044914567133</v>
      </c>
      <c r="CZ82">
        <v>6</v>
      </c>
      <c r="DA82">
        <v>0.5</v>
      </c>
      <c r="DB82" t="s">
        <v>418</v>
      </c>
      <c r="DC82">
        <v>2</v>
      </c>
      <c r="DD82">
        <v>1639680112.5999999</v>
      </c>
      <c r="DE82">
        <v>429.72699999999998</v>
      </c>
      <c r="DF82">
        <v>500.06700000000001</v>
      </c>
      <c r="DG82">
        <v>24.916499999999999</v>
      </c>
      <c r="DH82">
        <v>18.250699999999998</v>
      </c>
      <c r="DI82">
        <v>431.85899999999998</v>
      </c>
      <c r="DJ82">
        <v>24.906500000000001</v>
      </c>
      <c r="DK82">
        <v>500.05</v>
      </c>
      <c r="DL82">
        <v>99.501599999999996</v>
      </c>
      <c r="DM82">
        <v>0.10001599999999999</v>
      </c>
      <c r="DN82">
        <v>28.014500000000002</v>
      </c>
      <c r="DO82">
        <v>27.622</v>
      </c>
      <c r="DP82">
        <v>999.9</v>
      </c>
      <c r="DQ82">
        <v>0</v>
      </c>
      <c r="DR82">
        <v>0</v>
      </c>
      <c r="DS82">
        <v>10007.5</v>
      </c>
      <c r="DT82">
        <v>0</v>
      </c>
      <c r="DU82">
        <v>329.80500000000001</v>
      </c>
      <c r="DV82">
        <v>-70.339600000000004</v>
      </c>
      <c r="DW82">
        <v>440.70800000000003</v>
      </c>
      <c r="DX82">
        <v>509.363</v>
      </c>
      <c r="DY82">
        <v>6.6658299999999997</v>
      </c>
      <c r="DZ82">
        <v>500.06700000000001</v>
      </c>
      <c r="EA82">
        <v>18.250699999999998</v>
      </c>
      <c r="EB82">
        <v>2.4792299999999998</v>
      </c>
      <c r="EC82">
        <v>1.8159700000000001</v>
      </c>
      <c r="ED82">
        <v>20.890799999999999</v>
      </c>
      <c r="EE82">
        <v>15.925000000000001</v>
      </c>
      <c r="EF82">
        <v>1800.19</v>
      </c>
      <c r="EG82">
        <v>0.97799899999999995</v>
      </c>
      <c r="EH82">
        <v>2.2001400000000001E-2</v>
      </c>
      <c r="EI82">
        <v>0</v>
      </c>
      <c r="EJ82">
        <v>743.68200000000002</v>
      </c>
      <c r="EK82">
        <v>5.0001199999999999</v>
      </c>
      <c r="EL82">
        <v>13351.9</v>
      </c>
      <c r="EM82">
        <v>15631.6</v>
      </c>
      <c r="EN82">
        <v>48.561999999999998</v>
      </c>
      <c r="EO82">
        <v>49.186999999999998</v>
      </c>
      <c r="EP82">
        <v>49.311999999999998</v>
      </c>
      <c r="EQ82">
        <v>48.75</v>
      </c>
      <c r="ER82">
        <v>49.936999999999998</v>
      </c>
      <c r="ES82">
        <v>1755.69</v>
      </c>
      <c r="ET82">
        <v>39.5</v>
      </c>
      <c r="EU82">
        <v>0</v>
      </c>
      <c r="EV82">
        <v>120</v>
      </c>
      <c r="EW82">
        <v>0</v>
      </c>
      <c r="EX82">
        <v>743.24279999999999</v>
      </c>
      <c r="EY82">
        <v>5.262538466818433</v>
      </c>
      <c r="EZ82">
        <v>86.223076933464242</v>
      </c>
      <c r="FA82">
        <v>13340.46</v>
      </c>
      <c r="FB82">
        <v>15</v>
      </c>
      <c r="FC82">
        <v>1639680074.0999999</v>
      </c>
      <c r="FD82" t="s">
        <v>756</v>
      </c>
      <c r="FE82">
        <v>1639680071.5999999</v>
      </c>
      <c r="FF82">
        <v>1639680074.0999999</v>
      </c>
      <c r="FG82">
        <v>72</v>
      </c>
      <c r="FH82">
        <v>-0.14799999999999999</v>
      </c>
      <c r="FI82">
        <v>0</v>
      </c>
      <c r="FJ82">
        <v>-2.2389999999999999</v>
      </c>
      <c r="FK82">
        <v>-9.4E-2</v>
      </c>
      <c r="FL82">
        <v>500</v>
      </c>
      <c r="FM82">
        <v>18</v>
      </c>
      <c r="FN82">
        <v>0.04</v>
      </c>
      <c r="FO82">
        <v>0.02</v>
      </c>
      <c r="FP82">
        <v>56.077599001799889</v>
      </c>
      <c r="FQ82">
        <v>0.37100073606297029</v>
      </c>
      <c r="FR82">
        <v>5.1060656847143129E-2</v>
      </c>
      <c r="FS82">
        <v>1</v>
      </c>
      <c r="FT82">
        <v>0.48440594827575129</v>
      </c>
      <c r="FU82">
        <v>3.556419260667143E-2</v>
      </c>
      <c r="FV82">
        <v>4.0424665171273884E-3</v>
      </c>
      <c r="FW82">
        <v>1</v>
      </c>
      <c r="FX82">
        <v>2</v>
      </c>
      <c r="FY82">
        <v>2</v>
      </c>
      <c r="FZ82" t="s">
        <v>420</v>
      </c>
      <c r="GA82">
        <v>2.9210699999999998</v>
      </c>
      <c r="GB82">
        <v>2.7450600000000001</v>
      </c>
      <c r="GC82">
        <v>9.7312800000000005E-2</v>
      </c>
      <c r="GD82">
        <v>0.110233</v>
      </c>
      <c r="GE82">
        <v>0.119911</v>
      </c>
      <c r="GF82">
        <v>9.7634200000000004E-2</v>
      </c>
      <c r="GG82">
        <v>28136.7</v>
      </c>
      <c r="GH82">
        <v>27404.799999999999</v>
      </c>
      <c r="GI82">
        <v>28376.3</v>
      </c>
      <c r="GJ82">
        <v>28164.1</v>
      </c>
      <c r="GK82">
        <v>34272.5</v>
      </c>
      <c r="GL82">
        <v>35690.9</v>
      </c>
      <c r="GM82">
        <v>42699.6</v>
      </c>
      <c r="GN82">
        <v>43820.3</v>
      </c>
      <c r="GO82">
        <v>1.7999799999999999</v>
      </c>
      <c r="GP82">
        <v>1.98647</v>
      </c>
      <c r="GQ82">
        <v>4.7065299999999997E-2</v>
      </c>
      <c r="GR82">
        <v>0</v>
      </c>
      <c r="GS82">
        <v>26.852699999999999</v>
      </c>
      <c r="GT82">
        <v>999.9</v>
      </c>
      <c r="GU82">
        <v>39.6</v>
      </c>
      <c r="GV82">
        <v>34.799999999999997</v>
      </c>
      <c r="GW82">
        <v>22.231100000000001</v>
      </c>
      <c r="GX82">
        <v>60.757399999999997</v>
      </c>
      <c r="GY82">
        <v>29.899799999999999</v>
      </c>
      <c r="GZ82">
        <v>1</v>
      </c>
      <c r="HA82">
        <v>0.31888699999999998</v>
      </c>
      <c r="HB82">
        <v>2.3898100000000002</v>
      </c>
      <c r="HC82">
        <v>20.259599999999999</v>
      </c>
      <c r="HD82">
        <v>5.2755400000000003</v>
      </c>
      <c r="HE82">
        <v>12.0878</v>
      </c>
      <c r="HF82">
        <v>5.0134999999999996</v>
      </c>
      <c r="HG82">
        <v>3.2918799999999999</v>
      </c>
      <c r="HH82">
        <v>9999</v>
      </c>
      <c r="HI82">
        <v>9999</v>
      </c>
      <c r="HJ82">
        <v>9999</v>
      </c>
      <c r="HK82">
        <v>999.9</v>
      </c>
      <c r="HL82">
        <v>1.8751500000000001</v>
      </c>
      <c r="HM82">
        <v>1.87564</v>
      </c>
      <c r="HN82">
        <v>1.8754299999999999</v>
      </c>
      <c r="HO82">
        <v>1.8793</v>
      </c>
      <c r="HP82">
        <v>1.8728199999999999</v>
      </c>
      <c r="HQ82">
        <v>1.8760699999999999</v>
      </c>
      <c r="HR82">
        <v>1.8757600000000001</v>
      </c>
      <c r="HS82">
        <v>1.87721</v>
      </c>
      <c r="HT82">
        <v>0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423</v>
      </c>
      <c r="IB82" t="s">
        <v>423</v>
      </c>
      <c r="IC82" t="s">
        <v>423</v>
      </c>
      <c r="ID82">
        <v>0</v>
      </c>
      <c r="IE82">
        <v>100</v>
      </c>
      <c r="IF82">
        <v>100</v>
      </c>
      <c r="IG82">
        <v>-2.1320000000000001</v>
      </c>
      <c r="IH82">
        <v>0.01</v>
      </c>
      <c r="II82">
        <v>-1.4646970241760839</v>
      </c>
      <c r="IJ82">
        <v>-1.5404112972462821E-3</v>
      </c>
      <c r="IK82">
        <v>-5.8697186733976997E-8</v>
      </c>
      <c r="IL82">
        <v>1.160237123038427E-10</v>
      </c>
      <c r="IM82">
        <v>-0.1703859616935606</v>
      </c>
      <c r="IN82">
        <v>-3.128848753924141E-3</v>
      </c>
      <c r="IO82">
        <v>3.6841110403368089E-4</v>
      </c>
      <c r="IP82">
        <v>1.9296040270694169E-6</v>
      </c>
      <c r="IQ82">
        <v>1</v>
      </c>
      <c r="IR82">
        <v>1992</v>
      </c>
      <c r="IS82">
        <v>2</v>
      </c>
      <c r="IT82">
        <v>27</v>
      </c>
      <c r="IU82">
        <v>0.7</v>
      </c>
      <c r="IV82">
        <v>0.6</v>
      </c>
      <c r="IW82">
        <v>1.24756</v>
      </c>
      <c r="IX82">
        <v>2.6843300000000001</v>
      </c>
      <c r="IY82">
        <v>1.69434</v>
      </c>
      <c r="IZ82">
        <v>2.34619</v>
      </c>
      <c r="JA82">
        <v>1.5466299999999999</v>
      </c>
      <c r="JB82">
        <v>2.3144499999999999</v>
      </c>
      <c r="JC82">
        <v>38.427900000000001</v>
      </c>
      <c r="JD82">
        <v>24.096299999999999</v>
      </c>
      <c r="JE82">
        <v>18</v>
      </c>
      <c r="JF82">
        <v>532.56799999999998</v>
      </c>
      <c r="JG82">
        <v>540.54499999999996</v>
      </c>
      <c r="JH82">
        <v>25.032</v>
      </c>
      <c r="JI82">
        <v>31.1782</v>
      </c>
      <c r="JJ82">
        <v>30</v>
      </c>
      <c r="JK82">
        <v>31.1419</v>
      </c>
      <c r="JL82">
        <v>31.095099999999999</v>
      </c>
      <c r="JM82">
        <v>25.059100000000001</v>
      </c>
      <c r="JN82">
        <v>20.2196</v>
      </c>
      <c r="JO82">
        <v>36.213999999999999</v>
      </c>
      <c r="JP82">
        <v>25.016100000000002</v>
      </c>
      <c r="JQ82">
        <v>500</v>
      </c>
      <c r="JR82">
        <v>18.182400000000001</v>
      </c>
      <c r="JS82">
        <v>99.494200000000006</v>
      </c>
      <c r="JT82">
        <v>98.694199999999995</v>
      </c>
    </row>
    <row r="83" spans="1:280" x14ac:dyDescent="0.25">
      <c r="A83">
        <v>67</v>
      </c>
      <c r="B83">
        <v>1639680228.0999999</v>
      </c>
      <c r="C83">
        <v>13626</v>
      </c>
      <c r="D83" t="s">
        <v>757</v>
      </c>
      <c r="E83" t="s">
        <v>758</v>
      </c>
      <c r="F83" t="s">
        <v>412</v>
      </c>
      <c r="G83" t="s">
        <v>707</v>
      </c>
      <c r="H83" t="s">
        <v>414</v>
      </c>
      <c r="I83">
        <v>1639680228.0999999</v>
      </c>
      <c r="J83">
        <f t="shared" si="92"/>
        <v>5.5281648333875832E-3</v>
      </c>
      <c r="K83">
        <f t="shared" si="93"/>
        <v>5.5281648333875832</v>
      </c>
      <c r="L83">
        <f t="shared" si="94"/>
        <v>57.159034959246007</v>
      </c>
      <c r="M83">
        <f t="shared" si="95"/>
        <v>527.96799999999996</v>
      </c>
      <c r="N83">
        <f t="shared" si="96"/>
        <v>309.3899067499666</v>
      </c>
      <c r="O83">
        <f t="shared" si="97"/>
        <v>30.814514761983666</v>
      </c>
      <c r="P83">
        <f t="shared" si="98"/>
        <v>52.584384218463995</v>
      </c>
      <c r="Q83">
        <f t="shared" si="99"/>
        <v>0.46836985505596163</v>
      </c>
      <c r="R83">
        <f t="shared" si="100"/>
        <v>2.9205006880561628</v>
      </c>
      <c r="S83">
        <f t="shared" si="101"/>
        <v>0.43028791613459033</v>
      </c>
      <c r="T83">
        <f t="shared" si="102"/>
        <v>0.27209296385315612</v>
      </c>
      <c r="U83">
        <f t="shared" si="103"/>
        <v>289.57981784753679</v>
      </c>
      <c r="V83">
        <f t="shared" si="104"/>
        <v>28.271310466266144</v>
      </c>
      <c r="W83">
        <f t="shared" si="105"/>
        <v>27.665099999999999</v>
      </c>
      <c r="X83">
        <f t="shared" si="106"/>
        <v>3.721379025862479</v>
      </c>
      <c r="Y83">
        <f t="shared" si="107"/>
        <v>65.392330675051298</v>
      </c>
      <c r="Z83">
        <f t="shared" si="108"/>
        <v>2.4816353790718</v>
      </c>
      <c r="AA83">
        <f t="shared" si="109"/>
        <v>3.7949945405732444</v>
      </c>
      <c r="AB83">
        <f t="shared" si="110"/>
        <v>1.2397436467906791</v>
      </c>
      <c r="AC83">
        <f t="shared" si="111"/>
        <v>-243.79206915239243</v>
      </c>
      <c r="AD83">
        <f t="shared" si="112"/>
        <v>52.840231106508689</v>
      </c>
      <c r="AE83">
        <f t="shared" si="113"/>
        <v>3.93726575307022</v>
      </c>
      <c r="AF83">
        <f t="shared" si="114"/>
        <v>102.56524555472328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52430.265978402393</v>
      </c>
      <c r="AL83" t="s">
        <v>415</v>
      </c>
      <c r="AM83">
        <v>10204.299999999999</v>
      </c>
      <c r="AN83">
        <v>862.72538461538477</v>
      </c>
      <c r="AO83">
        <v>3252.56</v>
      </c>
      <c r="AP83">
        <f t="shared" si="118"/>
        <v>0.73475496697512588</v>
      </c>
      <c r="AQ83">
        <v>-6.6684750346205304</v>
      </c>
      <c r="AR83" t="s">
        <v>759</v>
      </c>
      <c r="AS83">
        <v>10046.5</v>
      </c>
      <c r="AT83">
        <v>750.71857692307697</v>
      </c>
      <c r="AU83">
        <v>1183.9770504620431</v>
      </c>
      <c r="AV83">
        <f t="shared" si="119"/>
        <v>0.36593485774904877</v>
      </c>
      <c r="AW83">
        <v>0.5</v>
      </c>
      <c r="AX83">
        <f t="shared" si="120"/>
        <v>1513.2521999210035</v>
      </c>
      <c r="AY83">
        <f t="shared" si="121"/>
        <v>57.159034959246007</v>
      </c>
      <c r="AZ83">
        <f t="shared" si="122"/>
        <v>276.87586425826373</v>
      </c>
      <c r="BA83">
        <f t="shared" si="123"/>
        <v>4.2179030036895722E-2</v>
      </c>
      <c r="BB83">
        <f t="shared" si="124"/>
        <v>1.7471478427142648</v>
      </c>
      <c r="BC83">
        <f t="shared" si="125"/>
        <v>589.52592982742362</v>
      </c>
      <c r="BD83" t="s">
        <v>760</v>
      </c>
      <c r="BE83">
        <v>569.47</v>
      </c>
      <c r="BF83">
        <f t="shared" si="126"/>
        <v>569.47</v>
      </c>
      <c r="BG83">
        <f t="shared" si="127"/>
        <v>0.5190193933423235</v>
      </c>
      <c r="BH83">
        <f t="shared" si="128"/>
        <v>0.70505045176162329</v>
      </c>
      <c r="BI83">
        <f t="shared" si="129"/>
        <v>0.77097039217393248</v>
      </c>
      <c r="BJ83">
        <f t="shared" si="130"/>
        <v>1.3486575155870835</v>
      </c>
      <c r="BK83">
        <f t="shared" si="131"/>
        <v>0.86557577508560912</v>
      </c>
      <c r="BL83">
        <f t="shared" si="132"/>
        <v>0.53482768790711865</v>
      </c>
      <c r="BM83">
        <f t="shared" si="133"/>
        <v>0.46517231209288135</v>
      </c>
      <c r="BN83">
        <v>5004</v>
      </c>
      <c r="BO83">
        <v>290.00000000000011</v>
      </c>
      <c r="BP83">
        <v>1071.27</v>
      </c>
      <c r="BQ83">
        <v>145</v>
      </c>
      <c r="BR83">
        <v>10046.5</v>
      </c>
      <c r="BS83">
        <v>1069.8</v>
      </c>
      <c r="BT83">
        <v>1.47</v>
      </c>
      <c r="BU83">
        <v>300.00000000000011</v>
      </c>
      <c r="BV83">
        <v>24.1</v>
      </c>
      <c r="BW83">
        <v>1183.9770504620431</v>
      </c>
      <c r="BX83">
        <v>2.392433556259614</v>
      </c>
      <c r="BY83">
        <v>-114.7034975691969</v>
      </c>
      <c r="BZ83">
        <v>2.1396597189502709</v>
      </c>
      <c r="CA83">
        <v>0.99035097866871913</v>
      </c>
      <c r="CB83">
        <v>-6.8400547274749821E-3</v>
      </c>
      <c r="CC83">
        <v>289.99999999999989</v>
      </c>
      <c r="CD83">
        <v>1067.56</v>
      </c>
      <c r="CE83">
        <v>655</v>
      </c>
      <c r="CF83">
        <v>10026</v>
      </c>
      <c r="CG83">
        <v>1069.57</v>
      </c>
      <c r="CH83">
        <v>-2.0099999999999998</v>
      </c>
      <c r="CV83">
        <f t="shared" si="134"/>
        <v>1800.08</v>
      </c>
      <c r="CW83">
        <f t="shared" si="135"/>
        <v>1513.2521999210035</v>
      </c>
      <c r="CX83">
        <f t="shared" si="136"/>
        <v>0.84065830403148945</v>
      </c>
      <c r="CY83">
        <f t="shared" si="137"/>
        <v>0.16087052678077463</v>
      </c>
      <c r="CZ83">
        <v>6</v>
      </c>
      <c r="DA83">
        <v>0.5</v>
      </c>
      <c r="DB83" t="s">
        <v>418</v>
      </c>
      <c r="DC83">
        <v>2</v>
      </c>
      <c r="DD83">
        <v>1639680228.0999999</v>
      </c>
      <c r="DE83">
        <v>527.96799999999996</v>
      </c>
      <c r="DF83">
        <v>600.03</v>
      </c>
      <c r="DG83">
        <v>24.916599999999999</v>
      </c>
      <c r="DH83">
        <v>18.450900000000001</v>
      </c>
      <c r="DI83">
        <v>530.15899999999999</v>
      </c>
      <c r="DJ83">
        <v>24.901</v>
      </c>
      <c r="DK83">
        <v>500.21699999999998</v>
      </c>
      <c r="DL83">
        <v>99.497500000000002</v>
      </c>
      <c r="DM83">
        <v>0.100173</v>
      </c>
      <c r="DN83">
        <v>28.000699999999998</v>
      </c>
      <c r="DO83">
        <v>27.665099999999999</v>
      </c>
      <c r="DP83">
        <v>999.9</v>
      </c>
      <c r="DQ83">
        <v>0</v>
      </c>
      <c r="DR83">
        <v>0</v>
      </c>
      <c r="DS83">
        <v>9998.75</v>
      </c>
      <c r="DT83">
        <v>0</v>
      </c>
      <c r="DU83">
        <v>325.58300000000003</v>
      </c>
      <c r="DV83">
        <v>-72.061800000000005</v>
      </c>
      <c r="DW83">
        <v>541.45899999999995</v>
      </c>
      <c r="DX83">
        <v>611.30899999999997</v>
      </c>
      <c r="DY83">
        <v>6.4656700000000003</v>
      </c>
      <c r="DZ83">
        <v>600.03</v>
      </c>
      <c r="EA83">
        <v>18.450900000000001</v>
      </c>
      <c r="EB83">
        <v>2.4791400000000001</v>
      </c>
      <c r="EC83">
        <v>1.83582</v>
      </c>
      <c r="ED83">
        <v>20.8902</v>
      </c>
      <c r="EE83">
        <v>16.095199999999998</v>
      </c>
      <c r="EF83">
        <v>1800.08</v>
      </c>
      <c r="EG83">
        <v>0.97799499999999995</v>
      </c>
      <c r="EH83">
        <v>2.2004800000000001E-2</v>
      </c>
      <c r="EI83">
        <v>0</v>
      </c>
      <c r="EJ83">
        <v>750.76900000000001</v>
      </c>
      <c r="EK83">
        <v>5.0001199999999999</v>
      </c>
      <c r="EL83">
        <v>13466.2</v>
      </c>
      <c r="EM83">
        <v>15630.6</v>
      </c>
      <c r="EN83">
        <v>48.311999999999998</v>
      </c>
      <c r="EO83">
        <v>48.936999999999998</v>
      </c>
      <c r="EP83">
        <v>49.061999999999998</v>
      </c>
      <c r="EQ83">
        <v>48.686999999999998</v>
      </c>
      <c r="ER83">
        <v>49.75</v>
      </c>
      <c r="ES83">
        <v>1755.58</v>
      </c>
      <c r="ET83">
        <v>39.5</v>
      </c>
      <c r="EU83">
        <v>0</v>
      </c>
      <c r="EV83">
        <v>113.5999999046326</v>
      </c>
      <c r="EW83">
        <v>0</v>
      </c>
      <c r="EX83">
        <v>750.71857692307697</v>
      </c>
      <c r="EY83">
        <v>2.3715897373611292</v>
      </c>
      <c r="EZ83">
        <v>45.894017083706821</v>
      </c>
      <c r="FA83">
        <v>13460.438461538461</v>
      </c>
      <c r="FB83">
        <v>15</v>
      </c>
      <c r="FC83">
        <v>1639680191.0999999</v>
      </c>
      <c r="FD83" t="s">
        <v>761</v>
      </c>
      <c r="FE83">
        <v>1639680183.0999999</v>
      </c>
      <c r="FF83">
        <v>1639680191.0999999</v>
      </c>
      <c r="FG83">
        <v>73</v>
      </c>
      <c r="FH83">
        <v>0.09</v>
      </c>
      <c r="FI83">
        <v>6.0000000000000001E-3</v>
      </c>
      <c r="FJ83">
        <v>-2.2989999999999999</v>
      </c>
      <c r="FK83">
        <v>-8.7999999999999995E-2</v>
      </c>
      <c r="FL83">
        <v>600</v>
      </c>
      <c r="FM83">
        <v>18</v>
      </c>
      <c r="FN83">
        <v>0.03</v>
      </c>
      <c r="FO83">
        <v>0.01</v>
      </c>
      <c r="FP83">
        <v>57.206040046115547</v>
      </c>
      <c r="FQ83">
        <v>-0.3839349798625894</v>
      </c>
      <c r="FR83">
        <v>6.7317297450780966E-2</v>
      </c>
      <c r="FS83">
        <v>1</v>
      </c>
      <c r="FT83">
        <v>0.46741217731017848</v>
      </c>
      <c r="FU83">
        <v>3.6726585856757803E-2</v>
      </c>
      <c r="FV83">
        <v>4.6656808899124434E-3</v>
      </c>
      <c r="FW83">
        <v>1</v>
      </c>
      <c r="FX83">
        <v>2</v>
      </c>
      <c r="FY83">
        <v>2</v>
      </c>
      <c r="FZ83" t="s">
        <v>420</v>
      </c>
      <c r="GA83">
        <v>2.9214600000000002</v>
      </c>
      <c r="GB83">
        <v>2.7451300000000001</v>
      </c>
      <c r="GC83">
        <v>0.113248</v>
      </c>
      <c r="GD83">
        <v>0.125583</v>
      </c>
      <c r="GE83">
        <v>0.119882</v>
      </c>
      <c r="GF83">
        <v>9.8388900000000001E-2</v>
      </c>
      <c r="GG83">
        <v>27639</v>
      </c>
      <c r="GH83">
        <v>26930.2</v>
      </c>
      <c r="GI83">
        <v>28375.3</v>
      </c>
      <c r="GJ83">
        <v>28162.3</v>
      </c>
      <c r="GK83">
        <v>34271.699999999997</v>
      </c>
      <c r="GL83">
        <v>35659.199999999997</v>
      </c>
      <c r="GM83">
        <v>42697.3</v>
      </c>
      <c r="GN83">
        <v>43818.2</v>
      </c>
      <c r="GO83">
        <v>1.7996300000000001</v>
      </c>
      <c r="GP83">
        <v>1.9866999999999999</v>
      </c>
      <c r="GQ83">
        <v>3.9301799999999998E-2</v>
      </c>
      <c r="GR83">
        <v>0</v>
      </c>
      <c r="GS83">
        <v>27.0228</v>
      </c>
      <c r="GT83">
        <v>999.9</v>
      </c>
      <c r="GU83">
        <v>39.6</v>
      </c>
      <c r="GV83">
        <v>34.799999999999997</v>
      </c>
      <c r="GW83">
        <v>22.231999999999999</v>
      </c>
      <c r="GX83">
        <v>60.857399999999998</v>
      </c>
      <c r="GY83">
        <v>29.322900000000001</v>
      </c>
      <c r="GZ83">
        <v>1</v>
      </c>
      <c r="HA83">
        <v>0.32175799999999999</v>
      </c>
      <c r="HB83">
        <v>2.4964599999999999</v>
      </c>
      <c r="HC83">
        <v>20.258500000000002</v>
      </c>
      <c r="HD83">
        <v>5.2755400000000003</v>
      </c>
      <c r="HE83">
        <v>12.0878</v>
      </c>
      <c r="HF83">
        <v>5.0132500000000002</v>
      </c>
      <c r="HG83">
        <v>3.2919200000000002</v>
      </c>
      <c r="HH83">
        <v>9999</v>
      </c>
      <c r="HI83">
        <v>9999</v>
      </c>
      <c r="HJ83">
        <v>9999</v>
      </c>
      <c r="HK83">
        <v>999.9</v>
      </c>
      <c r="HL83">
        <v>1.8751500000000001</v>
      </c>
      <c r="HM83">
        <v>1.8756299999999999</v>
      </c>
      <c r="HN83">
        <v>1.8754599999999999</v>
      </c>
      <c r="HO83">
        <v>1.87931</v>
      </c>
      <c r="HP83">
        <v>1.87283</v>
      </c>
      <c r="HQ83">
        <v>1.8760300000000001</v>
      </c>
      <c r="HR83">
        <v>1.8757600000000001</v>
      </c>
      <c r="HS83">
        <v>1.8771800000000001</v>
      </c>
      <c r="HT83">
        <v>0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423</v>
      </c>
      <c r="IB83" t="s">
        <v>423</v>
      </c>
      <c r="IC83" t="s">
        <v>423</v>
      </c>
      <c r="ID83">
        <v>0</v>
      </c>
      <c r="IE83">
        <v>100</v>
      </c>
      <c r="IF83">
        <v>100</v>
      </c>
      <c r="IG83">
        <v>-2.1909999999999998</v>
      </c>
      <c r="IH83">
        <v>1.5599999999999999E-2</v>
      </c>
      <c r="II83">
        <v>-1.375166768190665</v>
      </c>
      <c r="IJ83">
        <v>-1.5404112972462821E-3</v>
      </c>
      <c r="IK83">
        <v>-5.8697186733976997E-8</v>
      </c>
      <c r="IL83">
        <v>1.160237123038427E-10</v>
      </c>
      <c r="IM83">
        <v>-0.16472327741403889</v>
      </c>
      <c r="IN83">
        <v>-3.128848753924141E-3</v>
      </c>
      <c r="IO83">
        <v>3.6841110403368089E-4</v>
      </c>
      <c r="IP83">
        <v>1.9296040270694169E-6</v>
      </c>
      <c r="IQ83">
        <v>1</v>
      </c>
      <c r="IR83">
        <v>1992</v>
      </c>
      <c r="IS83">
        <v>2</v>
      </c>
      <c r="IT83">
        <v>27</v>
      </c>
      <c r="IU83">
        <v>0.8</v>
      </c>
      <c r="IV83">
        <v>0.6</v>
      </c>
      <c r="IW83">
        <v>1.4465300000000001</v>
      </c>
      <c r="IX83">
        <v>2.67456</v>
      </c>
      <c r="IY83">
        <v>1.69434</v>
      </c>
      <c r="IZ83">
        <v>2.34619</v>
      </c>
      <c r="JA83">
        <v>1.5466299999999999</v>
      </c>
      <c r="JB83">
        <v>2.4536099999999998</v>
      </c>
      <c r="JC83">
        <v>38.427900000000001</v>
      </c>
      <c r="JD83">
        <v>24.096299999999999</v>
      </c>
      <c r="JE83">
        <v>18</v>
      </c>
      <c r="JF83">
        <v>532.46500000000003</v>
      </c>
      <c r="JG83">
        <v>540.923</v>
      </c>
      <c r="JH83">
        <v>24.9542</v>
      </c>
      <c r="JI83">
        <v>31.200199999999999</v>
      </c>
      <c r="JJ83">
        <v>30.000299999999999</v>
      </c>
      <c r="JK83">
        <v>31.160900000000002</v>
      </c>
      <c r="JL83">
        <v>31.1173</v>
      </c>
      <c r="JM83">
        <v>29.017299999999999</v>
      </c>
      <c r="JN83">
        <v>19.404399999999999</v>
      </c>
      <c r="JO83">
        <v>36.319499999999998</v>
      </c>
      <c r="JP83">
        <v>24.950600000000001</v>
      </c>
      <c r="JQ83">
        <v>600</v>
      </c>
      <c r="JR83">
        <v>18.350000000000001</v>
      </c>
      <c r="JS83">
        <v>99.489699999999999</v>
      </c>
      <c r="JT83">
        <v>98.688900000000004</v>
      </c>
    </row>
    <row r="84" spans="1:280" x14ac:dyDescent="0.25">
      <c r="A84">
        <v>68</v>
      </c>
      <c r="B84">
        <v>1639680346.5999999</v>
      </c>
      <c r="C84">
        <v>13744.5</v>
      </c>
      <c r="D84" t="s">
        <v>762</v>
      </c>
      <c r="E84" t="s">
        <v>763</v>
      </c>
      <c r="F84" t="s">
        <v>412</v>
      </c>
      <c r="G84" t="s">
        <v>707</v>
      </c>
      <c r="H84" t="s">
        <v>414</v>
      </c>
      <c r="I84">
        <v>1639680346.5999999</v>
      </c>
      <c r="J84">
        <f t="shared" si="92"/>
        <v>5.2974781845599337E-3</v>
      </c>
      <c r="K84">
        <f t="shared" si="93"/>
        <v>5.2974781845599335</v>
      </c>
      <c r="L84">
        <f t="shared" si="94"/>
        <v>57.606367509685057</v>
      </c>
      <c r="M84">
        <f t="shared" si="95"/>
        <v>726.30600000000004</v>
      </c>
      <c r="N84">
        <f t="shared" si="96"/>
        <v>489.50305731309976</v>
      </c>
      <c r="O84">
        <f t="shared" si="97"/>
        <v>48.749468011428043</v>
      </c>
      <c r="P84">
        <f t="shared" si="98"/>
        <v>72.332604637565993</v>
      </c>
      <c r="Q84">
        <f t="shared" si="99"/>
        <v>0.44028606984451185</v>
      </c>
      <c r="R84">
        <f t="shared" si="100"/>
        <v>2.9218937342181062</v>
      </c>
      <c r="S84">
        <f t="shared" si="101"/>
        <v>0.40647224008719646</v>
      </c>
      <c r="T84">
        <f t="shared" si="102"/>
        <v>0.25686643839119488</v>
      </c>
      <c r="U84">
        <f t="shared" si="103"/>
        <v>289.55268584752241</v>
      </c>
      <c r="V84">
        <f t="shared" si="104"/>
        <v>28.34392569689938</v>
      </c>
      <c r="W84">
        <f t="shared" si="105"/>
        <v>27.742599999999999</v>
      </c>
      <c r="X84">
        <f t="shared" si="106"/>
        <v>3.7382674481471292</v>
      </c>
      <c r="Y84">
        <f t="shared" si="107"/>
        <v>65.323123050542023</v>
      </c>
      <c r="Z84">
        <f t="shared" si="108"/>
        <v>2.4808593727787995</v>
      </c>
      <c r="AA84">
        <f t="shared" si="109"/>
        <v>3.7978272576761229</v>
      </c>
      <c r="AB84">
        <f t="shared" si="110"/>
        <v>1.2574080753683297</v>
      </c>
      <c r="AC84">
        <f t="shared" si="111"/>
        <v>-233.61878793909307</v>
      </c>
      <c r="AD84">
        <f t="shared" si="112"/>
        <v>42.673559071274376</v>
      </c>
      <c r="AE84">
        <f t="shared" si="113"/>
        <v>3.1796349458782425</v>
      </c>
      <c r="AF84">
        <f t="shared" si="114"/>
        <v>101.78709192558199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52467.871036646138</v>
      </c>
      <c r="AL84" t="s">
        <v>415</v>
      </c>
      <c r="AM84">
        <v>10204.299999999999</v>
      </c>
      <c r="AN84">
        <v>862.72538461538477</v>
      </c>
      <c r="AO84">
        <v>3252.56</v>
      </c>
      <c r="AP84">
        <f t="shared" si="118"/>
        <v>0.73475496697512588</v>
      </c>
      <c r="AQ84">
        <v>-6.6684750346205304</v>
      </c>
      <c r="AR84" t="s">
        <v>764</v>
      </c>
      <c r="AS84">
        <v>10046.5</v>
      </c>
      <c r="AT84">
        <v>753.43332000000009</v>
      </c>
      <c r="AU84">
        <v>1203.0309872675221</v>
      </c>
      <c r="AV84">
        <f t="shared" si="119"/>
        <v>0.3737207703092551</v>
      </c>
      <c r="AW84">
        <v>0.5</v>
      </c>
      <c r="AX84">
        <f t="shared" si="120"/>
        <v>1513.1093999209961</v>
      </c>
      <c r="AY84">
        <f t="shared" si="121"/>
        <v>57.606367509685057</v>
      </c>
      <c r="AZ84">
        <f t="shared" si="122"/>
        <v>282.74020525032472</v>
      </c>
      <c r="BA84">
        <f t="shared" si="123"/>
        <v>4.2478648634171175E-2</v>
      </c>
      <c r="BB84">
        <f t="shared" si="124"/>
        <v>1.7036377569854875</v>
      </c>
      <c r="BC84">
        <f t="shared" si="125"/>
        <v>594.21200178911704</v>
      </c>
      <c r="BD84" t="s">
        <v>765</v>
      </c>
      <c r="BE84">
        <v>574.25</v>
      </c>
      <c r="BF84">
        <f t="shared" si="126"/>
        <v>574.25</v>
      </c>
      <c r="BG84">
        <f t="shared" si="127"/>
        <v>0.52266399944999753</v>
      </c>
      <c r="BH84">
        <f t="shared" si="128"/>
        <v>0.71503063287795543</v>
      </c>
      <c r="BI84">
        <f t="shared" si="129"/>
        <v>0.76523218474802313</v>
      </c>
      <c r="BJ84">
        <f t="shared" si="130"/>
        <v>1.3211585814739106</v>
      </c>
      <c r="BK84">
        <f t="shared" si="131"/>
        <v>0.8576028648754972</v>
      </c>
      <c r="BL84">
        <f t="shared" si="132"/>
        <v>0.54498033207526031</v>
      </c>
      <c r="BM84">
        <f t="shared" si="133"/>
        <v>0.45501966792473969</v>
      </c>
      <c r="BN84">
        <v>5006</v>
      </c>
      <c r="BO84">
        <v>290.00000000000011</v>
      </c>
      <c r="BP84">
        <v>1081.1400000000001</v>
      </c>
      <c r="BQ84">
        <v>155</v>
      </c>
      <c r="BR84">
        <v>10046.5</v>
      </c>
      <c r="BS84">
        <v>1079.93</v>
      </c>
      <c r="BT84">
        <v>1.21</v>
      </c>
      <c r="BU84">
        <v>300.00000000000011</v>
      </c>
      <c r="BV84">
        <v>24.1</v>
      </c>
      <c r="BW84">
        <v>1203.0309872675221</v>
      </c>
      <c r="BX84">
        <v>2.3654347395760151</v>
      </c>
      <c r="BY84">
        <v>-123.67459276473291</v>
      </c>
      <c r="BZ84">
        <v>2.115726241437816</v>
      </c>
      <c r="CA84">
        <v>0.99187222397650321</v>
      </c>
      <c r="CB84">
        <v>-6.8405621802002251E-3</v>
      </c>
      <c r="CC84">
        <v>289.99999999999989</v>
      </c>
      <c r="CD84">
        <v>1076.43</v>
      </c>
      <c r="CE84">
        <v>655</v>
      </c>
      <c r="CF84">
        <v>10027</v>
      </c>
      <c r="CG84">
        <v>1079.69</v>
      </c>
      <c r="CH84">
        <v>-3.26</v>
      </c>
      <c r="CV84">
        <f t="shared" si="134"/>
        <v>1799.91</v>
      </c>
      <c r="CW84">
        <f t="shared" si="135"/>
        <v>1513.1093999209961</v>
      </c>
      <c r="CX84">
        <f t="shared" si="136"/>
        <v>0.84065836620775269</v>
      </c>
      <c r="CY84">
        <f t="shared" si="137"/>
        <v>0.16087064678096261</v>
      </c>
      <c r="CZ84">
        <v>6</v>
      </c>
      <c r="DA84">
        <v>0.5</v>
      </c>
      <c r="DB84" t="s">
        <v>418</v>
      </c>
      <c r="DC84">
        <v>2</v>
      </c>
      <c r="DD84">
        <v>1639680346.5999999</v>
      </c>
      <c r="DE84">
        <v>726.30600000000004</v>
      </c>
      <c r="DF84">
        <v>800.02200000000005</v>
      </c>
      <c r="DG84">
        <v>24.910799999999998</v>
      </c>
      <c r="DH84">
        <v>18.714600000000001</v>
      </c>
      <c r="DI84">
        <v>728.78</v>
      </c>
      <c r="DJ84">
        <v>24.895299999999999</v>
      </c>
      <c r="DK84">
        <v>500.19499999999999</v>
      </c>
      <c r="DL84">
        <v>99.489599999999996</v>
      </c>
      <c r="DM84">
        <v>0.10011100000000001</v>
      </c>
      <c r="DN84">
        <v>28.013500000000001</v>
      </c>
      <c r="DO84">
        <v>27.742599999999999</v>
      </c>
      <c r="DP84">
        <v>999.9</v>
      </c>
      <c r="DQ84">
        <v>0</v>
      </c>
      <c r="DR84">
        <v>0</v>
      </c>
      <c r="DS84">
        <v>10007.5</v>
      </c>
      <c r="DT84">
        <v>0</v>
      </c>
      <c r="DU84">
        <v>333.11799999999999</v>
      </c>
      <c r="DV84">
        <v>-73.7166</v>
      </c>
      <c r="DW84">
        <v>744.86099999999999</v>
      </c>
      <c r="DX84">
        <v>815.28</v>
      </c>
      <c r="DY84">
        <v>6.1962000000000002</v>
      </c>
      <c r="DZ84">
        <v>800.02200000000005</v>
      </c>
      <c r="EA84">
        <v>18.714600000000001</v>
      </c>
      <c r="EB84">
        <v>2.47837</v>
      </c>
      <c r="EC84">
        <v>1.86191</v>
      </c>
      <c r="ED84">
        <v>20.885100000000001</v>
      </c>
      <c r="EE84">
        <v>16.316500000000001</v>
      </c>
      <c r="EF84">
        <v>1799.91</v>
      </c>
      <c r="EG84">
        <v>0.97799199999999997</v>
      </c>
      <c r="EH84">
        <v>2.2008099999999999E-2</v>
      </c>
      <c r="EI84">
        <v>0</v>
      </c>
      <c r="EJ84">
        <v>753.79200000000003</v>
      </c>
      <c r="EK84">
        <v>5.0001199999999999</v>
      </c>
      <c r="EL84">
        <v>13502.7</v>
      </c>
      <c r="EM84">
        <v>15629.2</v>
      </c>
      <c r="EN84">
        <v>48.061999999999998</v>
      </c>
      <c r="EO84">
        <v>48.686999999999998</v>
      </c>
      <c r="EP84">
        <v>48.875</v>
      </c>
      <c r="EQ84">
        <v>48.5</v>
      </c>
      <c r="ER84">
        <v>49.561999999999998</v>
      </c>
      <c r="ES84">
        <v>1755.41</v>
      </c>
      <c r="ET84">
        <v>39.5</v>
      </c>
      <c r="EU84">
        <v>0</v>
      </c>
      <c r="EV84">
        <v>116.5999999046326</v>
      </c>
      <c r="EW84">
        <v>0</v>
      </c>
      <c r="EX84">
        <v>753.43332000000009</v>
      </c>
      <c r="EY84">
        <v>2.5433076818524358</v>
      </c>
      <c r="EZ84">
        <v>25.292307662031519</v>
      </c>
      <c r="FA84">
        <v>13499.26</v>
      </c>
      <c r="FB84">
        <v>15</v>
      </c>
      <c r="FC84">
        <v>1639680310.5999999</v>
      </c>
      <c r="FD84" t="s">
        <v>766</v>
      </c>
      <c r="FE84">
        <v>1639680304.5999999</v>
      </c>
      <c r="FF84">
        <v>1639680310.5999999</v>
      </c>
      <c r="FG84">
        <v>74</v>
      </c>
      <c r="FH84">
        <v>8.9999999999999993E-3</v>
      </c>
      <c r="FI84">
        <v>0</v>
      </c>
      <c r="FJ84">
        <v>-2.58</v>
      </c>
      <c r="FK84">
        <v>-8.5999999999999993E-2</v>
      </c>
      <c r="FL84">
        <v>800</v>
      </c>
      <c r="FM84">
        <v>18</v>
      </c>
      <c r="FN84">
        <v>0.03</v>
      </c>
      <c r="FO84">
        <v>0.02</v>
      </c>
      <c r="FP84">
        <v>57.646296512078131</v>
      </c>
      <c r="FQ84">
        <v>-0.5010670899012124</v>
      </c>
      <c r="FR84">
        <v>7.915535121361765E-2</v>
      </c>
      <c r="FS84">
        <v>1</v>
      </c>
      <c r="FT84">
        <v>0.43812735168684058</v>
      </c>
      <c r="FU84">
        <v>3.5905314428174129E-2</v>
      </c>
      <c r="FV84">
        <v>4.6758448781242289E-3</v>
      </c>
      <c r="FW84">
        <v>1</v>
      </c>
      <c r="FX84">
        <v>2</v>
      </c>
      <c r="FY84">
        <v>2</v>
      </c>
      <c r="FZ84" t="s">
        <v>420</v>
      </c>
      <c r="GA84">
        <v>2.9212600000000002</v>
      </c>
      <c r="GB84">
        <v>2.7451500000000002</v>
      </c>
      <c r="GC84">
        <v>0.14150499999999999</v>
      </c>
      <c r="GD84">
        <v>0.152808</v>
      </c>
      <c r="GE84">
        <v>0.119838</v>
      </c>
      <c r="GF84">
        <v>9.9368999999999999E-2</v>
      </c>
      <c r="GG84">
        <v>26754.400000000001</v>
      </c>
      <c r="GH84">
        <v>26088.1</v>
      </c>
      <c r="GI84">
        <v>28371.8</v>
      </c>
      <c r="GJ84">
        <v>28159.1</v>
      </c>
      <c r="GK84">
        <v>34268.699999999997</v>
      </c>
      <c r="GL84">
        <v>35617.1</v>
      </c>
      <c r="GM84">
        <v>42691.4</v>
      </c>
      <c r="GN84">
        <v>43814</v>
      </c>
      <c r="GO84">
        <v>1.7981799999999999</v>
      </c>
      <c r="GP84">
        <v>1.9867300000000001</v>
      </c>
      <c r="GQ84">
        <v>3.5256099999999999E-2</v>
      </c>
      <c r="GR84">
        <v>0</v>
      </c>
      <c r="GS84">
        <v>27.166499999999999</v>
      </c>
      <c r="GT84">
        <v>999.9</v>
      </c>
      <c r="GU84">
        <v>39.799999999999997</v>
      </c>
      <c r="GV84">
        <v>34.799999999999997</v>
      </c>
      <c r="GW84">
        <v>22.3459</v>
      </c>
      <c r="GX84">
        <v>61.2074</v>
      </c>
      <c r="GY84">
        <v>29.274799999999999</v>
      </c>
      <c r="GZ84">
        <v>1</v>
      </c>
      <c r="HA84">
        <v>0.32986300000000002</v>
      </c>
      <c r="HB84">
        <v>2.6798000000000002</v>
      </c>
      <c r="HC84">
        <v>20.255099999999999</v>
      </c>
      <c r="HD84">
        <v>5.2744900000000001</v>
      </c>
      <c r="HE84">
        <v>12.0878</v>
      </c>
      <c r="HF84">
        <v>5.0132500000000002</v>
      </c>
      <c r="HG84">
        <v>3.2916500000000002</v>
      </c>
      <c r="HH84">
        <v>9999</v>
      </c>
      <c r="HI84">
        <v>9999</v>
      </c>
      <c r="HJ84">
        <v>9999</v>
      </c>
      <c r="HK84">
        <v>999.9</v>
      </c>
      <c r="HL84">
        <v>1.8751500000000001</v>
      </c>
      <c r="HM84">
        <v>1.8756200000000001</v>
      </c>
      <c r="HN84">
        <v>1.8754599999999999</v>
      </c>
      <c r="HO84">
        <v>1.8793200000000001</v>
      </c>
      <c r="HP84">
        <v>1.87279</v>
      </c>
      <c r="HQ84">
        <v>1.8760600000000001</v>
      </c>
      <c r="HR84">
        <v>1.8757600000000001</v>
      </c>
      <c r="HS84">
        <v>1.87717</v>
      </c>
      <c r="HT84">
        <v>0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423</v>
      </c>
      <c r="IB84" t="s">
        <v>423</v>
      </c>
      <c r="IC84" t="s">
        <v>423</v>
      </c>
      <c r="ID84">
        <v>0</v>
      </c>
      <c r="IE84">
        <v>100</v>
      </c>
      <c r="IF84">
        <v>100</v>
      </c>
      <c r="IG84">
        <v>-2.4740000000000002</v>
      </c>
      <c r="IH84">
        <v>1.55E-2</v>
      </c>
      <c r="II84">
        <v>-1.3659346222581019</v>
      </c>
      <c r="IJ84">
        <v>-1.5404112972462821E-3</v>
      </c>
      <c r="IK84">
        <v>-5.8697186733976997E-8</v>
      </c>
      <c r="IL84">
        <v>1.160237123038427E-10</v>
      </c>
      <c r="IM84">
        <v>-0.16468190592488</v>
      </c>
      <c r="IN84">
        <v>-3.128848753924141E-3</v>
      </c>
      <c r="IO84">
        <v>3.6841110403368089E-4</v>
      </c>
      <c r="IP84">
        <v>1.9296040270694169E-6</v>
      </c>
      <c r="IQ84">
        <v>1</v>
      </c>
      <c r="IR84">
        <v>1992</v>
      </c>
      <c r="IS84">
        <v>2</v>
      </c>
      <c r="IT84">
        <v>27</v>
      </c>
      <c r="IU84">
        <v>0.7</v>
      </c>
      <c r="IV84">
        <v>0.6</v>
      </c>
      <c r="IW84">
        <v>1.8286100000000001</v>
      </c>
      <c r="IX84">
        <v>2.6672400000000001</v>
      </c>
      <c r="IY84">
        <v>1.69434</v>
      </c>
      <c r="IZ84">
        <v>2.34619</v>
      </c>
      <c r="JA84">
        <v>1.5466299999999999</v>
      </c>
      <c r="JB84">
        <v>2.4621599999999999</v>
      </c>
      <c r="JC84">
        <v>38.452399999999997</v>
      </c>
      <c r="JD84">
        <v>24.105</v>
      </c>
      <c r="JE84">
        <v>18</v>
      </c>
      <c r="JF84">
        <v>531.827</v>
      </c>
      <c r="JG84">
        <v>541.46799999999996</v>
      </c>
      <c r="JH84">
        <v>24.904699999999998</v>
      </c>
      <c r="JI84">
        <v>31.273499999999999</v>
      </c>
      <c r="JJ84">
        <v>30.000599999999999</v>
      </c>
      <c r="JK84">
        <v>31.218399999999999</v>
      </c>
      <c r="JL84">
        <v>31.173200000000001</v>
      </c>
      <c r="JM84">
        <v>36.659199999999998</v>
      </c>
      <c r="JN84">
        <v>18.098199999999999</v>
      </c>
      <c r="JO84">
        <v>36.667200000000001</v>
      </c>
      <c r="JP84">
        <v>24.8993</v>
      </c>
      <c r="JQ84">
        <v>800</v>
      </c>
      <c r="JR84">
        <v>18.615600000000001</v>
      </c>
      <c r="JS84">
        <v>99.476500000000001</v>
      </c>
      <c r="JT84">
        <v>98.678799999999995</v>
      </c>
    </row>
    <row r="85" spans="1:280" x14ac:dyDescent="0.25">
      <c r="A85">
        <v>69</v>
      </c>
      <c r="B85">
        <v>1639680464.0999999</v>
      </c>
      <c r="C85">
        <v>13862</v>
      </c>
      <c r="D85" t="s">
        <v>767</v>
      </c>
      <c r="E85" t="s">
        <v>768</v>
      </c>
      <c r="F85" t="s">
        <v>412</v>
      </c>
      <c r="G85" t="s">
        <v>707</v>
      </c>
      <c r="H85" t="s">
        <v>414</v>
      </c>
      <c r="I85">
        <v>1639680464.0999999</v>
      </c>
      <c r="J85">
        <f t="shared" si="92"/>
        <v>5.0852506079301788E-3</v>
      </c>
      <c r="K85">
        <f t="shared" si="93"/>
        <v>5.0852506079301785</v>
      </c>
      <c r="L85">
        <f t="shared" si="94"/>
        <v>56.650124920969127</v>
      </c>
      <c r="M85">
        <f t="shared" si="95"/>
        <v>1125.18</v>
      </c>
      <c r="N85">
        <f t="shared" si="96"/>
        <v>871.5804388447699</v>
      </c>
      <c r="O85">
        <f t="shared" si="97"/>
        <v>86.786876125112315</v>
      </c>
      <c r="P85">
        <f t="shared" si="98"/>
        <v>112.03883534592002</v>
      </c>
      <c r="Q85">
        <f t="shared" si="99"/>
        <v>0.41570369426695164</v>
      </c>
      <c r="R85">
        <f t="shared" si="100"/>
        <v>2.9178933204972974</v>
      </c>
      <c r="S85">
        <f t="shared" si="101"/>
        <v>0.38538290255811009</v>
      </c>
      <c r="T85">
        <f t="shared" si="102"/>
        <v>0.24340396433473566</v>
      </c>
      <c r="U85">
        <f t="shared" si="103"/>
        <v>289.5309081368701</v>
      </c>
      <c r="V85">
        <f t="shared" si="104"/>
        <v>28.390380443824409</v>
      </c>
      <c r="W85">
        <f t="shared" si="105"/>
        <v>27.788599999999999</v>
      </c>
      <c r="X85">
        <f t="shared" si="106"/>
        <v>3.7483231390355245</v>
      </c>
      <c r="Y85">
        <f t="shared" si="107"/>
        <v>65.216260007025895</v>
      </c>
      <c r="Z85">
        <f t="shared" si="108"/>
        <v>2.4754729643264004</v>
      </c>
      <c r="AA85">
        <f t="shared" si="109"/>
        <v>3.7957910558804078</v>
      </c>
      <c r="AB85">
        <f t="shared" si="110"/>
        <v>1.2728501747091241</v>
      </c>
      <c r="AC85">
        <f t="shared" si="111"/>
        <v>-224.25955180972088</v>
      </c>
      <c r="AD85">
        <f t="shared" si="112"/>
        <v>33.931651534636352</v>
      </c>
      <c r="AE85">
        <f t="shared" si="113"/>
        <v>2.5322002297734958</v>
      </c>
      <c r="AF85">
        <f t="shared" si="114"/>
        <v>101.73520809155906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52354.28563785916</v>
      </c>
      <c r="AL85" t="s">
        <v>415</v>
      </c>
      <c r="AM85">
        <v>10204.299999999999</v>
      </c>
      <c r="AN85">
        <v>862.72538461538477</v>
      </c>
      <c r="AO85">
        <v>3252.56</v>
      </c>
      <c r="AP85">
        <f t="shared" si="118"/>
        <v>0.73475496697512588</v>
      </c>
      <c r="AQ85">
        <v>-6.6684750346205304</v>
      </c>
      <c r="AR85" t="s">
        <v>769</v>
      </c>
      <c r="AS85">
        <v>10044.5</v>
      </c>
      <c r="AT85">
        <v>753.80287999999996</v>
      </c>
      <c r="AU85">
        <v>1209.95642941083</v>
      </c>
      <c r="AV85">
        <f t="shared" si="119"/>
        <v>0.3769999797703022</v>
      </c>
      <c r="AW85">
        <v>0.5</v>
      </c>
      <c r="AX85">
        <f t="shared" si="120"/>
        <v>1512.9920933351659</v>
      </c>
      <c r="AY85">
        <f t="shared" si="121"/>
        <v>56.650124920969127</v>
      </c>
      <c r="AZ85">
        <f t="shared" si="122"/>
        <v>285.19899428999236</v>
      </c>
      <c r="BA85">
        <f t="shared" si="123"/>
        <v>4.1849921248440385E-2</v>
      </c>
      <c r="BB85">
        <f t="shared" si="124"/>
        <v>1.6881629130924862</v>
      </c>
      <c r="BC85">
        <f t="shared" si="125"/>
        <v>595.89666594189657</v>
      </c>
      <c r="BD85" t="s">
        <v>770</v>
      </c>
      <c r="BE85">
        <v>570.19000000000005</v>
      </c>
      <c r="BF85">
        <f t="shared" si="126"/>
        <v>570.19000000000005</v>
      </c>
      <c r="BG85">
        <f t="shared" si="127"/>
        <v>0.52875162597578373</v>
      </c>
      <c r="BH85">
        <f t="shared" si="128"/>
        <v>0.71300013323754474</v>
      </c>
      <c r="BI85">
        <f t="shared" si="129"/>
        <v>0.7614921023532063</v>
      </c>
      <c r="BJ85">
        <f t="shared" si="130"/>
        <v>1.3136888427690887</v>
      </c>
      <c r="BK85">
        <f t="shared" si="131"/>
        <v>0.85470498980969756</v>
      </c>
      <c r="BL85">
        <f t="shared" si="132"/>
        <v>0.53932607151980594</v>
      </c>
      <c r="BM85">
        <f t="shared" si="133"/>
        <v>0.46067392848019406</v>
      </c>
      <c r="BN85">
        <v>5008</v>
      </c>
      <c r="BO85">
        <v>290.00000000000011</v>
      </c>
      <c r="BP85">
        <v>1084.55</v>
      </c>
      <c r="BQ85">
        <v>185</v>
      </c>
      <c r="BR85">
        <v>10044.5</v>
      </c>
      <c r="BS85">
        <v>1082.8800000000001</v>
      </c>
      <c r="BT85">
        <v>1.67</v>
      </c>
      <c r="BU85">
        <v>300.00000000000011</v>
      </c>
      <c r="BV85">
        <v>24.1</v>
      </c>
      <c r="BW85">
        <v>1209.95642941083</v>
      </c>
      <c r="BX85">
        <v>2.7140087699852522</v>
      </c>
      <c r="BY85">
        <v>-127.63967645496609</v>
      </c>
      <c r="BZ85">
        <v>2.427684610918984</v>
      </c>
      <c r="CA85">
        <v>0.98997246267926164</v>
      </c>
      <c r="CB85">
        <v>-6.8410362625138986E-3</v>
      </c>
      <c r="CC85">
        <v>289.99999999999989</v>
      </c>
      <c r="CD85">
        <v>1078.49</v>
      </c>
      <c r="CE85">
        <v>655</v>
      </c>
      <c r="CF85">
        <v>10027.799999999999</v>
      </c>
      <c r="CG85">
        <v>1082.67</v>
      </c>
      <c r="CH85">
        <v>-4.18</v>
      </c>
      <c r="CV85">
        <f t="shared" si="134"/>
        <v>1799.77</v>
      </c>
      <c r="CW85">
        <f t="shared" si="135"/>
        <v>1512.9920933351659</v>
      </c>
      <c r="CX85">
        <f t="shared" si="136"/>
        <v>0.84065858044926067</v>
      </c>
      <c r="CY85">
        <f t="shared" si="137"/>
        <v>0.16087106026707307</v>
      </c>
      <c r="CZ85">
        <v>6</v>
      </c>
      <c r="DA85">
        <v>0.5</v>
      </c>
      <c r="DB85" t="s">
        <v>418</v>
      </c>
      <c r="DC85">
        <v>2</v>
      </c>
      <c r="DD85">
        <v>1639680464.0999999</v>
      </c>
      <c r="DE85">
        <v>1125.18</v>
      </c>
      <c r="DF85">
        <v>1200</v>
      </c>
      <c r="DG85">
        <v>24.860600000000002</v>
      </c>
      <c r="DH85">
        <v>18.912099999999999</v>
      </c>
      <c r="DI85">
        <v>1128.22</v>
      </c>
      <c r="DJ85">
        <v>24.843699999999998</v>
      </c>
      <c r="DK85">
        <v>500.17599999999999</v>
      </c>
      <c r="DL85">
        <v>99.473799999999997</v>
      </c>
      <c r="DM85">
        <v>0.100344</v>
      </c>
      <c r="DN85">
        <v>28.004300000000001</v>
      </c>
      <c r="DO85">
        <v>27.788599999999999</v>
      </c>
      <c r="DP85">
        <v>999.9</v>
      </c>
      <c r="DQ85">
        <v>0</v>
      </c>
      <c r="DR85">
        <v>0</v>
      </c>
      <c r="DS85">
        <v>9986.25</v>
      </c>
      <c r="DT85">
        <v>0</v>
      </c>
      <c r="DU85">
        <v>337.88</v>
      </c>
      <c r="DV85">
        <v>-74.815700000000007</v>
      </c>
      <c r="DW85">
        <v>1153.8699999999999</v>
      </c>
      <c r="DX85">
        <v>1223.1300000000001</v>
      </c>
      <c r="DY85">
        <v>5.9484300000000001</v>
      </c>
      <c r="DZ85">
        <v>1200</v>
      </c>
      <c r="EA85">
        <v>18.912099999999999</v>
      </c>
      <c r="EB85">
        <v>2.4729700000000001</v>
      </c>
      <c r="EC85">
        <v>1.8812599999999999</v>
      </c>
      <c r="ED85">
        <v>20.849699999999999</v>
      </c>
      <c r="EE85">
        <v>16.478899999999999</v>
      </c>
      <c r="EF85">
        <v>1799.77</v>
      </c>
      <c r="EG85">
        <v>0.977989</v>
      </c>
      <c r="EH85">
        <v>2.20114E-2</v>
      </c>
      <c r="EI85">
        <v>0</v>
      </c>
      <c r="EJ85">
        <v>753.97699999999998</v>
      </c>
      <c r="EK85">
        <v>5.0001199999999999</v>
      </c>
      <c r="EL85">
        <v>13497.3</v>
      </c>
      <c r="EM85">
        <v>15627.9</v>
      </c>
      <c r="EN85">
        <v>47.936999999999998</v>
      </c>
      <c r="EO85">
        <v>48.561999999999998</v>
      </c>
      <c r="EP85">
        <v>48.686999999999998</v>
      </c>
      <c r="EQ85">
        <v>48.311999999999998</v>
      </c>
      <c r="ER85">
        <v>49.436999999999998</v>
      </c>
      <c r="ES85">
        <v>1755.27</v>
      </c>
      <c r="ET85">
        <v>39.51</v>
      </c>
      <c r="EU85">
        <v>0</v>
      </c>
      <c r="EV85">
        <v>115.3999998569489</v>
      </c>
      <c r="EW85">
        <v>0</v>
      </c>
      <c r="EX85">
        <v>753.80287999999996</v>
      </c>
      <c r="EY85">
        <v>1.4528461462739519</v>
      </c>
      <c r="EZ85">
        <v>5.7692308095254097</v>
      </c>
      <c r="FA85">
        <v>13499.044</v>
      </c>
      <c r="FB85">
        <v>15</v>
      </c>
      <c r="FC85">
        <v>1639680426.5999999</v>
      </c>
      <c r="FD85" t="s">
        <v>771</v>
      </c>
      <c r="FE85">
        <v>1639680423.5999999</v>
      </c>
      <c r="FF85">
        <v>1639680426.5999999</v>
      </c>
      <c r="FG85">
        <v>75</v>
      </c>
      <c r="FH85">
        <v>-2.3E-2</v>
      </c>
      <c r="FI85">
        <v>2E-3</v>
      </c>
      <c r="FJ85">
        <v>-3.1259999999999999</v>
      </c>
      <c r="FK85">
        <v>-0.08</v>
      </c>
      <c r="FL85">
        <v>1200</v>
      </c>
      <c r="FM85">
        <v>19</v>
      </c>
      <c r="FN85">
        <v>0.06</v>
      </c>
      <c r="FO85">
        <v>0.01</v>
      </c>
      <c r="FP85">
        <v>56.695632787907812</v>
      </c>
      <c r="FQ85">
        <v>-0.68462302481929271</v>
      </c>
      <c r="FR85">
        <v>0.10906966295487119</v>
      </c>
      <c r="FS85">
        <v>1</v>
      </c>
      <c r="FT85">
        <v>0.41761375845363358</v>
      </c>
      <c r="FU85">
        <v>2.2657240021684118E-2</v>
      </c>
      <c r="FV85">
        <v>4.6644489060107021E-3</v>
      </c>
      <c r="FW85">
        <v>1</v>
      </c>
      <c r="FX85">
        <v>2</v>
      </c>
      <c r="FY85">
        <v>2</v>
      </c>
      <c r="FZ85" t="s">
        <v>420</v>
      </c>
      <c r="GA85">
        <v>2.9210099999999999</v>
      </c>
      <c r="GB85">
        <v>2.7452000000000001</v>
      </c>
      <c r="GC85">
        <v>0.18810299999999999</v>
      </c>
      <c r="GD85">
        <v>0.19803899999999999</v>
      </c>
      <c r="GE85">
        <v>0.119626</v>
      </c>
      <c r="GF85">
        <v>0.100082</v>
      </c>
      <c r="GG85">
        <v>25296.1</v>
      </c>
      <c r="GH85">
        <v>24687.599999999999</v>
      </c>
      <c r="GI85">
        <v>28366.7</v>
      </c>
      <c r="GJ85">
        <v>28152.2</v>
      </c>
      <c r="GK85">
        <v>34271.199999999997</v>
      </c>
      <c r="GL85">
        <v>35580.199999999997</v>
      </c>
      <c r="GM85">
        <v>42684.4</v>
      </c>
      <c r="GN85">
        <v>43803.5</v>
      </c>
      <c r="GO85">
        <v>1.7968500000000001</v>
      </c>
      <c r="GP85">
        <v>1.98685</v>
      </c>
      <c r="GQ85">
        <v>3.4488699999999997E-2</v>
      </c>
      <c r="GR85">
        <v>0</v>
      </c>
      <c r="GS85">
        <v>27.225000000000001</v>
      </c>
      <c r="GT85">
        <v>999.9</v>
      </c>
      <c r="GU85">
        <v>39.9</v>
      </c>
      <c r="GV85">
        <v>34.799999999999997</v>
      </c>
      <c r="GW85">
        <v>22.407499999999999</v>
      </c>
      <c r="GX85">
        <v>60.927399999999999</v>
      </c>
      <c r="GY85">
        <v>29.663499999999999</v>
      </c>
      <c r="GZ85">
        <v>1</v>
      </c>
      <c r="HA85">
        <v>0.337752</v>
      </c>
      <c r="HB85">
        <v>2.62479</v>
      </c>
      <c r="HC85">
        <v>20.2562</v>
      </c>
      <c r="HD85">
        <v>5.2753899999999998</v>
      </c>
      <c r="HE85">
        <v>12.0878</v>
      </c>
      <c r="HF85">
        <v>5.0130999999999997</v>
      </c>
      <c r="HG85">
        <v>3.2919800000000001</v>
      </c>
      <c r="HH85">
        <v>9999</v>
      </c>
      <c r="HI85">
        <v>9999</v>
      </c>
      <c r="HJ85">
        <v>9999</v>
      </c>
      <c r="HK85">
        <v>999.9</v>
      </c>
      <c r="HL85">
        <v>1.8751500000000001</v>
      </c>
      <c r="HM85">
        <v>1.87561</v>
      </c>
      <c r="HN85">
        <v>1.8754599999999999</v>
      </c>
      <c r="HO85">
        <v>1.8793</v>
      </c>
      <c r="HP85">
        <v>1.87277</v>
      </c>
      <c r="HQ85">
        <v>1.87605</v>
      </c>
      <c r="HR85">
        <v>1.8757600000000001</v>
      </c>
      <c r="HS85">
        <v>1.87714</v>
      </c>
      <c r="HT85">
        <v>0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423</v>
      </c>
      <c r="IB85" t="s">
        <v>423</v>
      </c>
      <c r="IC85" t="s">
        <v>423</v>
      </c>
      <c r="ID85">
        <v>0</v>
      </c>
      <c r="IE85">
        <v>100</v>
      </c>
      <c r="IF85">
        <v>100</v>
      </c>
      <c r="IG85">
        <v>-3.04</v>
      </c>
      <c r="IH85">
        <v>1.6899999999999998E-2</v>
      </c>
      <c r="II85">
        <v>-1.3896051023843541</v>
      </c>
      <c r="IJ85">
        <v>-1.5404112972462821E-3</v>
      </c>
      <c r="IK85">
        <v>-5.8697186733976997E-8</v>
      </c>
      <c r="IL85">
        <v>1.160237123038427E-10</v>
      </c>
      <c r="IM85">
        <v>-0.16239964684059391</v>
      </c>
      <c r="IN85">
        <v>-3.128848753924141E-3</v>
      </c>
      <c r="IO85">
        <v>3.6841110403368089E-4</v>
      </c>
      <c r="IP85">
        <v>1.9296040270694169E-6</v>
      </c>
      <c r="IQ85">
        <v>1</v>
      </c>
      <c r="IR85">
        <v>1992</v>
      </c>
      <c r="IS85">
        <v>2</v>
      </c>
      <c r="IT85">
        <v>27</v>
      </c>
      <c r="IU85">
        <v>0.7</v>
      </c>
      <c r="IV85">
        <v>0.6</v>
      </c>
      <c r="IW85">
        <v>2.5451700000000002</v>
      </c>
      <c r="IX85">
        <v>2.66113</v>
      </c>
      <c r="IY85">
        <v>1.69434</v>
      </c>
      <c r="IZ85">
        <v>2.34619</v>
      </c>
      <c r="JA85">
        <v>1.5466299999999999</v>
      </c>
      <c r="JB85">
        <v>2.3071299999999999</v>
      </c>
      <c r="JC85">
        <v>38.476900000000001</v>
      </c>
      <c r="JD85">
        <v>24.096299999999999</v>
      </c>
      <c r="JE85">
        <v>18</v>
      </c>
      <c r="JF85">
        <v>531.49</v>
      </c>
      <c r="JG85">
        <v>542.24900000000002</v>
      </c>
      <c r="JH85">
        <v>24.9331</v>
      </c>
      <c r="JI85">
        <v>31.367699999999999</v>
      </c>
      <c r="JJ85">
        <v>30.000499999999999</v>
      </c>
      <c r="JK85">
        <v>31.2959</v>
      </c>
      <c r="JL85">
        <v>31.246099999999998</v>
      </c>
      <c r="JM85">
        <v>51.0032</v>
      </c>
      <c r="JN85">
        <v>17.242100000000001</v>
      </c>
      <c r="JO85">
        <v>37.172600000000003</v>
      </c>
      <c r="JP85">
        <v>24.930399999999999</v>
      </c>
      <c r="JQ85">
        <v>1200</v>
      </c>
      <c r="JR85">
        <v>18.8584</v>
      </c>
      <c r="JS85">
        <v>99.459500000000006</v>
      </c>
      <c r="JT85">
        <v>98.654899999999998</v>
      </c>
    </row>
    <row r="86" spans="1:280" x14ac:dyDescent="0.25">
      <c r="A86">
        <v>70</v>
      </c>
      <c r="B86">
        <v>1639680583.0999999</v>
      </c>
      <c r="C86">
        <v>13981</v>
      </c>
      <c r="D86" t="s">
        <v>772</v>
      </c>
      <c r="E86" t="s">
        <v>773</v>
      </c>
      <c r="F86" t="s">
        <v>412</v>
      </c>
      <c r="G86" t="s">
        <v>707</v>
      </c>
      <c r="H86" t="s">
        <v>414</v>
      </c>
      <c r="I86">
        <v>1639680583.0999999</v>
      </c>
      <c r="J86">
        <f t="shared" si="92"/>
        <v>4.8702764961915087E-3</v>
      </c>
      <c r="K86">
        <f t="shared" si="93"/>
        <v>4.8702764961915088</v>
      </c>
      <c r="L86">
        <f t="shared" si="94"/>
        <v>55.841052231328902</v>
      </c>
      <c r="M86">
        <f t="shared" si="95"/>
        <v>1424.62</v>
      </c>
      <c r="N86">
        <f t="shared" si="96"/>
        <v>1156.245647687701</v>
      </c>
      <c r="O86">
        <f t="shared" si="97"/>
        <v>115.10848261764423</v>
      </c>
      <c r="P86">
        <f t="shared" si="98"/>
        <v>141.82613083533997</v>
      </c>
      <c r="Q86">
        <f t="shared" si="99"/>
        <v>0.39406034651552407</v>
      </c>
      <c r="R86">
        <f t="shared" si="100"/>
        <v>2.9179742246826321</v>
      </c>
      <c r="S86">
        <f t="shared" si="101"/>
        <v>0.36670398342136262</v>
      </c>
      <c r="T86">
        <f t="shared" si="102"/>
        <v>0.23148939661311491</v>
      </c>
      <c r="U86">
        <f t="shared" si="103"/>
        <v>289.58678084750153</v>
      </c>
      <c r="V86">
        <f t="shared" si="104"/>
        <v>28.432980119169784</v>
      </c>
      <c r="W86">
        <f t="shared" si="105"/>
        <v>27.814</v>
      </c>
      <c r="X86">
        <f t="shared" si="106"/>
        <v>3.7538857369320686</v>
      </c>
      <c r="Y86">
        <f t="shared" si="107"/>
        <v>65.204659751053541</v>
      </c>
      <c r="Z86">
        <f t="shared" si="108"/>
        <v>2.4730422596341</v>
      </c>
      <c r="AA86">
        <f t="shared" si="109"/>
        <v>3.7927385390491848</v>
      </c>
      <c r="AB86">
        <f t="shared" si="110"/>
        <v>1.2808434772979687</v>
      </c>
      <c r="AC86">
        <f t="shared" si="111"/>
        <v>-214.77919348204554</v>
      </c>
      <c r="AD86">
        <f t="shared" si="112"/>
        <v>27.765890359792518</v>
      </c>
      <c r="AE86">
        <f t="shared" si="113"/>
        <v>2.0721333657025403</v>
      </c>
      <c r="AF86">
        <f t="shared" si="114"/>
        <v>104.64561109095105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52358.574165026774</v>
      </c>
      <c r="AL86" t="s">
        <v>415</v>
      </c>
      <c r="AM86">
        <v>10204.299999999999</v>
      </c>
      <c r="AN86">
        <v>862.72538461538477</v>
      </c>
      <c r="AO86">
        <v>3252.56</v>
      </c>
      <c r="AP86">
        <f t="shared" si="118"/>
        <v>0.73475496697512588</v>
      </c>
      <c r="AQ86">
        <v>-6.6684750346205304</v>
      </c>
      <c r="AR86" t="s">
        <v>774</v>
      </c>
      <c r="AS86">
        <v>10050.700000000001</v>
      </c>
      <c r="AT86">
        <v>753.78375999999992</v>
      </c>
      <c r="AU86">
        <v>1203.708727673564</v>
      </c>
      <c r="AV86">
        <f t="shared" si="119"/>
        <v>0.37378225922075403</v>
      </c>
      <c r="AW86">
        <v>0.5</v>
      </c>
      <c r="AX86">
        <f t="shared" si="120"/>
        <v>1513.2860999209852</v>
      </c>
      <c r="AY86">
        <f t="shared" si="121"/>
        <v>55.841052231328902</v>
      </c>
      <c r="AZ86">
        <f t="shared" si="122"/>
        <v>282.81974863791481</v>
      </c>
      <c r="BA86">
        <f t="shared" si="123"/>
        <v>4.1307144279732234E-2</v>
      </c>
      <c r="BB86">
        <f t="shared" si="124"/>
        <v>1.7021154912503613</v>
      </c>
      <c r="BC86">
        <f t="shared" si="125"/>
        <v>594.37730024227733</v>
      </c>
      <c r="BD86" t="s">
        <v>775</v>
      </c>
      <c r="BE86">
        <v>572.55999999999995</v>
      </c>
      <c r="BF86">
        <f t="shared" si="126"/>
        <v>572.55999999999995</v>
      </c>
      <c r="BG86">
        <f t="shared" si="127"/>
        <v>0.52433675453479511</v>
      </c>
      <c r="BH86">
        <f t="shared" si="128"/>
        <v>0.71286679026036071</v>
      </c>
      <c r="BI86">
        <f t="shared" si="129"/>
        <v>0.76449674340538643</v>
      </c>
      <c r="BJ86">
        <f t="shared" si="130"/>
        <v>1.3194925113887368</v>
      </c>
      <c r="BK86">
        <f t="shared" si="131"/>
        <v>0.85731927185961265</v>
      </c>
      <c r="BL86">
        <f t="shared" si="132"/>
        <v>0.54148023755708419</v>
      </c>
      <c r="BM86">
        <f t="shared" si="133"/>
        <v>0.45851976244291581</v>
      </c>
      <c r="BN86">
        <v>5010</v>
      </c>
      <c r="BO86">
        <v>290.00000000000011</v>
      </c>
      <c r="BP86">
        <v>1084.81</v>
      </c>
      <c r="BQ86">
        <v>125</v>
      </c>
      <c r="BR86">
        <v>10050.700000000001</v>
      </c>
      <c r="BS86">
        <v>1081.83</v>
      </c>
      <c r="BT86">
        <v>2.98</v>
      </c>
      <c r="BU86">
        <v>300.00000000000011</v>
      </c>
      <c r="BV86">
        <v>24.1</v>
      </c>
      <c r="BW86">
        <v>1203.708727673564</v>
      </c>
      <c r="BX86">
        <v>2.8310341190055879</v>
      </c>
      <c r="BY86">
        <v>-122.4920751526715</v>
      </c>
      <c r="BZ86">
        <v>2.5325215245403441</v>
      </c>
      <c r="CA86">
        <v>0.98817281904831489</v>
      </c>
      <c r="CB86">
        <v>-6.8412533926585127E-3</v>
      </c>
      <c r="CC86">
        <v>289.99999999999989</v>
      </c>
      <c r="CD86">
        <v>1078.02</v>
      </c>
      <c r="CE86">
        <v>705</v>
      </c>
      <c r="CF86">
        <v>10026.4</v>
      </c>
      <c r="CG86">
        <v>1081.54</v>
      </c>
      <c r="CH86">
        <v>-3.52</v>
      </c>
      <c r="CV86">
        <f t="shared" si="134"/>
        <v>1800.12</v>
      </c>
      <c r="CW86">
        <f t="shared" si="135"/>
        <v>1513.2860999209852</v>
      </c>
      <c r="CX86">
        <f t="shared" si="136"/>
        <v>0.84065845605903233</v>
      </c>
      <c r="CY86">
        <f t="shared" si="137"/>
        <v>0.16087082019393237</v>
      </c>
      <c r="CZ86">
        <v>6</v>
      </c>
      <c r="DA86">
        <v>0.5</v>
      </c>
      <c r="DB86" t="s">
        <v>418</v>
      </c>
      <c r="DC86">
        <v>2</v>
      </c>
      <c r="DD86">
        <v>1639680583.0999999</v>
      </c>
      <c r="DE86">
        <v>1424.62</v>
      </c>
      <c r="DF86">
        <v>1499.94</v>
      </c>
      <c r="DG86">
        <v>24.8413</v>
      </c>
      <c r="DH86">
        <v>19.1433</v>
      </c>
      <c r="DI86">
        <v>1428.2</v>
      </c>
      <c r="DJ86">
        <v>24.8261</v>
      </c>
      <c r="DK86">
        <v>500.101</v>
      </c>
      <c r="DL86">
        <v>99.453500000000005</v>
      </c>
      <c r="DM86">
        <v>0.100157</v>
      </c>
      <c r="DN86">
        <v>27.990500000000001</v>
      </c>
      <c r="DO86">
        <v>27.814</v>
      </c>
      <c r="DP86">
        <v>999.9</v>
      </c>
      <c r="DQ86">
        <v>0</v>
      </c>
      <c r="DR86">
        <v>0</v>
      </c>
      <c r="DS86">
        <v>9988.75</v>
      </c>
      <c r="DT86">
        <v>0</v>
      </c>
      <c r="DU86">
        <v>351.19</v>
      </c>
      <c r="DV86">
        <v>-75.321799999999996</v>
      </c>
      <c r="DW86">
        <v>1460.91</v>
      </c>
      <c r="DX86">
        <v>1529.22</v>
      </c>
      <c r="DY86">
        <v>5.6980599999999999</v>
      </c>
      <c r="DZ86">
        <v>1499.94</v>
      </c>
      <c r="EA86">
        <v>19.1433</v>
      </c>
      <c r="EB86">
        <v>2.4705599999999999</v>
      </c>
      <c r="EC86">
        <v>1.90387</v>
      </c>
      <c r="ED86">
        <v>20.8338</v>
      </c>
      <c r="EE86">
        <v>16.666699999999999</v>
      </c>
      <c r="EF86">
        <v>1800.12</v>
      </c>
      <c r="EG86">
        <v>0.97799199999999997</v>
      </c>
      <c r="EH86">
        <v>2.2008099999999999E-2</v>
      </c>
      <c r="EI86">
        <v>0</v>
      </c>
      <c r="EJ86">
        <v>754.11800000000005</v>
      </c>
      <c r="EK86">
        <v>5.0001199999999999</v>
      </c>
      <c r="EL86">
        <v>13492.6</v>
      </c>
      <c r="EM86">
        <v>15631</v>
      </c>
      <c r="EN86">
        <v>47.811999999999998</v>
      </c>
      <c r="EO86">
        <v>48.436999999999998</v>
      </c>
      <c r="EP86">
        <v>48.5</v>
      </c>
      <c r="EQ86">
        <v>48.125</v>
      </c>
      <c r="ER86">
        <v>49.25</v>
      </c>
      <c r="ES86">
        <v>1755.61</v>
      </c>
      <c r="ET86">
        <v>39.51</v>
      </c>
      <c r="EU86">
        <v>0</v>
      </c>
      <c r="EV86">
        <v>117.2000000476837</v>
      </c>
      <c r="EW86">
        <v>0</v>
      </c>
      <c r="EX86">
        <v>753.78375999999992</v>
      </c>
      <c r="EY86">
        <v>0.19084614978440509</v>
      </c>
      <c r="EZ86">
        <v>4.0923077451586387</v>
      </c>
      <c r="FA86">
        <v>13491.98</v>
      </c>
      <c r="FB86">
        <v>15</v>
      </c>
      <c r="FC86">
        <v>1639680541.5999999</v>
      </c>
      <c r="FD86" t="s">
        <v>776</v>
      </c>
      <c r="FE86">
        <v>1639680541.5999999</v>
      </c>
      <c r="FF86">
        <v>1639680535.5999999</v>
      </c>
      <c r="FG86">
        <v>76</v>
      </c>
      <c r="FH86">
        <v>-0.20399999999999999</v>
      </c>
      <c r="FI86">
        <v>-1E-3</v>
      </c>
      <c r="FJ86">
        <v>-3.6480000000000001</v>
      </c>
      <c r="FK86">
        <v>-7.8E-2</v>
      </c>
      <c r="FL86">
        <v>1500</v>
      </c>
      <c r="FM86">
        <v>19</v>
      </c>
      <c r="FN86">
        <v>0.05</v>
      </c>
      <c r="FO86">
        <v>0.02</v>
      </c>
      <c r="FP86">
        <v>55.808626325189799</v>
      </c>
      <c r="FQ86">
        <v>-0.69216785983282803</v>
      </c>
      <c r="FR86">
        <v>0.1143966210594419</v>
      </c>
      <c r="FS86">
        <v>1</v>
      </c>
      <c r="FT86">
        <v>0.39799226386671099</v>
      </c>
      <c r="FU86">
        <v>-9.6729973044063216E-4</v>
      </c>
      <c r="FV86">
        <v>3.5244272598722671E-3</v>
      </c>
      <c r="FW86">
        <v>1</v>
      </c>
      <c r="FX86">
        <v>2</v>
      </c>
      <c r="FY86">
        <v>2</v>
      </c>
      <c r="FZ86" t="s">
        <v>420</v>
      </c>
      <c r="GA86">
        <v>2.9206500000000002</v>
      </c>
      <c r="GB86">
        <v>2.7450299999999999</v>
      </c>
      <c r="GC86">
        <v>0.21734700000000001</v>
      </c>
      <c r="GD86">
        <v>0.22661200000000001</v>
      </c>
      <c r="GE86">
        <v>0.119522</v>
      </c>
      <c r="GF86">
        <v>0.100913</v>
      </c>
      <c r="GG86">
        <v>24380.5</v>
      </c>
      <c r="GH86">
        <v>23803.4</v>
      </c>
      <c r="GI86">
        <v>28363.5</v>
      </c>
      <c r="GJ86">
        <v>28148.7</v>
      </c>
      <c r="GK86">
        <v>34271.800000000003</v>
      </c>
      <c r="GL86">
        <v>35542.800000000003</v>
      </c>
      <c r="GM86">
        <v>42680.1</v>
      </c>
      <c r="GN86">
        <v>43797.9</v>
      </c>
      <c r="GO86">
        <v>1.79583</v>
      </c>
      <c r="GP86">
        <v>1.9876499999999999</v>
      </c>
      <c r="GQ86">
        <v>3.7267799999999997E-2</v>
      </c>
      <c r="GR86">
        <v>0</v>
      </c>
      <c r="GS86">
        <v>27.204999999999998</v>
      </c>
      <c r="GT86">
        <v>999.9</v>
      </c>
      <c r="GU86">
        <v>40.1</v>
      </c>
      <c r="GV86">
        <v>34.799999999999997</v>
      </c>
      <c r="GW86">
        <v>22.521699999999999</v>
      </c>
      <c r="GX86">
        <v>61.267499999999998</v>
      </c>
      <c r="GY86">
        <v>29.6995</v>
      </c>
      <c r="GZ86">
        <v>1</v>
      </c>
      <c r="HA86">
        <v>0.34370200000000001</v>
      </c>
      <c r="HB86">
        <v>2.4497300000000002</v>
      </c>
      <c r="HC86">
        <v>20.258700000000001</v>
      </c>
      <c r="HD86">
        <v>5.27644</v>
      </c>
      <c r="HE86">
        <v>12.0878</v>
      </c>
      <c r="HF86">
        <v>5.0136500000000002</v>
      </c>
      <c r="HG86">
        <v>3.2919200000000002</v>
      </c>
      <c r="HH86">
        <v>9999</v>
      </c>
      <c r="HI86">
        <v>9999</v>
      </c>
      <c r="HJ86">
        <v>9999</v>
      </c>
      <c r="HK86">
        <v>999.9</v>
      </c>
      <c r="HL86">
        <v>1.8751500000000001</v>
      </c>
      <c r="HM86">
        <v>1.8756200000000001</v>
      </c>
      <c r="HN86">
        <v>1.8754500000000001</v>
      </c>
      <c r="HO86">
        <v>1.87931</v>
      </c>
      <c r="HP86">
        <v>1.8728400000000001</v>
      </c>
      <c r="HQ86">
        <v>1.8760600000000001</v>
      </c>
      <c r="HR86">
        <v>1.8757600000000001</v>
      </c>
      <c r="HS86">
        <v>1.8771500000000001</v>
      </c>
      <c r="HT86">
        <v>0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423</v>
      </c>
      <c r="IB86" t="s">
        <v>423</v>
      </c>
      <c r="IC86" t="s">
        <v>423</v>
      </c>
      <c r="ID86">
        <v>0</v>
      </c>
      <c r="IE86">
        <v>100</v>
      </c>
      <c r="IF86">
        <v>100</v>
      </c>
      <c r="IG86">
        <v>-3.58</v>
      </c>
      <c r="IH86">
        <v>1.52E-2</v>
      </c>
      <c r="II86">
        <v>-1.5927293565411651</v>
      </c>
      <c r="IJ86">
        <v>-1.5404112972462821E-3</v>
      </c>
      <c r="IK86">
        <v>-5.8697186733976997E-8</v>
      </c>
      <c r="IL86">
        <v>1.160237123038427E-10</v>
      </c>
      <c r="IM86">
        <v>-0.16366662416539951</v>
      </c>
      <c r="IN86">
        <v>-3.128848753924141E-3</v>
      </c>
      <c r="IO86">
        <v>3.6841110403368089E-4</v>
      </c>
      <c r="IP86">
        <v>1.9296040270694169E-6</v>
      </c>
      <c r="IQ86">
        <v>1</v>
      </c>
      <c r="IR86">
        <v>1992</v>
      </c>
      <c r="IS86">
        <v>2</v>
      </c>
      <c r="IT86">
        <v>27</v>
      </c>
      <c r="IU86">
        <v>0.7</v>
      </c>
      <c r="IV86">
        <v>0.8</v>
      </c>
      <c r="IW86">
        <v>3.0505399999999998</v>
      </c>
      <c r="IX86">
        <v>2.65259</v>
      </c>
      <c r="IY86">
        <v>1.69434</v>
      </c>
      <c r="IZ86">
        <v>2.34741</v>
      </c>
      <c r="JA86">
        <v>1.5466299999999999</v>
      </c>
      <c r="JB86">
        <v>2.3877000000000002</v>
      </c>
      <c r="JC86">
        <v>38.501399999999997</v>
      </c>
      <c r="JD86">
        <v>24.096299999999999</v>
      </c>
      <c r="JE86">
        <v>18</v>
      </c>
      <c r="JF86">
        <v>531.38400000000001</v>
      </c>
      <c r="JG86">
        <v>543.55600000000004</v>
      </c>
      <c r="JH86">
        <v>25.025400000000001</v>
      </c>
      <c r="JI86">
        <v>31.4496</v>
      </c>
      <c r="JJ86">
        <v>30.000299999999999</v>
      </c>
      <c r="JK86">
        <v>31.371400000000001</v>
      </c>
      <c r="JL86">
        <v>31.320399999999999</v>
      </c>
      <c r="JM86">
        <v>61.098599999999998</v>
      </c>
      <c r="JN86">
        <v>16.767700000000001</v>
      </c>
      <c r="JO86">
        <v>38.094799999999999</v>
      </c>
      <c r="JP86">
        <v>25.031099999999999</v>
      </c>
      <c r="JQ86">
        <v>1500</v>
      </c>
      <c r="JR86">
        <v>19.134499999999999</v>
      </c>
      <c r="JS86">
        <v>99.448999999999998</v>
      </c>
      <c r="JT86">
        <v>98.642399999999995</v>
      </c>
    </row>
    <row r="87" spans="1:280" x14ac:dyDescent="0.25">
      <c r="A87">
        <v>71</v>
      </c>
      <c r="B87">
        <v>1639683293.0999999</v>
      </c>
      <c r="C87">
        <v>16691</v>
      </c>
      <c r="D87" t="s">
        <v>777</v>
      </c>
      <c r="E87" t="s">
        <v>778</v>
      </c>
      <c r="F87" t="s">
        <v>412</v>
      </c>
      <c r="G87" t="s">
        <v>779</v>
      </c>
      <c r="H87" t="s">
        <v>493</v>
      </c>
      <c r="I87">
        <v>1639683293.0999999</v>
      </c>
      <c r="J87">
        <f t="shared" si="92"/>
        <v>5.4094649895418158E-3</v>
      </c>
      <c r="K87">
        <f t="shared" si="93"/>
        <v>5.4094649895418154</v>
      </c>
      <c r="L87">
        <f t="shared" si="94"/>
        <v>50.172827368421267</v>
      </c>
      <c r="M87">
        <f t="shared" si="95"/>
        <v>337.654</v>
      </c>
      <c r="N87">
        <f t="shared" si="96"/>
        <v>142.18825473682583</v>
      </c>
      <c r="O87">
        <f t="shared" si="97"/>
        <v>14.14875822988988</v>
      </c>
      <c r="P87">
        <f t="shared" si="98"/>
        <v>33.599011537188005</v>
      </c>
      <c r="Q87">
        <f t="shared" si="99"/>
        <v>0.45221014878463744</v>
      </c>
      <c r="R87">
        <f t="shared" si="100"/>
        <v>2.9173728975624797</v>
      </c>
      <c r="S87">
        <f t="shared" si="101"/>
        <v>0.41656877602436376</v>
      </c>
      <c r="T87">
        <f t="shared" si="102"/>
        <v>0.26332323465614005</v>
      </c>
      <c r="U87">
        <f t="shared" si="103"/>
        <v>289.56545384752911</v>
      </c>
      <c r="V87">
        <f t="shared" si="104"/>
        <v>28.293565586358412</v>
      </c>
      <c r="W87">
        <f t="shared" si="105"/>
        <v>27.7363</v>
      </c>
      <c r="X87">
        <f t="shared" si="106"/>
        <v>3.7368920900389861</v>
      </c>
      <c r="Y87">
        <f t="shared" si="107"/>
        <v>65.517960101698279</v>
      </c>
      <c r="Z87">
        <f t="shared" si="108"/>
        <v>2.4851132636724</v>
      </c>
      <c r="AA87">
        <f t="shared" si="109"/>
        <v>3.7930260035797172</v>
      </c>
      <c r="AB87">
        <f t="shared" si="110"/>
        <v>1.2517788263665861</v>
      </c>
      <c r="AC87">
        <f t="shared" si="111"/>
        <v>-238.55740603879408</v>
      </c>
      <c r="AD87">
        <f t="shared" si="112"/>
        <v>40.18539965544096</v>
      </c>
      <c r="AE87">
        <f t="shared" si="113"/>
        <v>2.9984618388664348</v>
      </c>
      <c r="AF87">
        <f t="shared" si="114"/>
        <v>94.191909303042422</v>
      </c>
      <c r="AG87">
        <v>0</v>
      </c>
      <c r="AH87">
        <v>0</v>
      </c>
      <c r="AI87">
        <f t="shared" si="115"/>
        <v>1</v>
      </c>
      <c r="AJ87">
        <f t="shared" si="116"/>
        <v>0</v>
      </c>
      <c r="AK87">
        <f t="shared" si="117"/>
        <v>52340.098037978256</v>
      </c>
      <c r="AL87" t="s">
        <v>415</v>
      </c>
      <c r="AM87">
        <v>10204.299999999999</v>
      </c>
      <c r="AN87">
        <v>862.72538461538477</v>
      </c>
      <c r="AO87">
        <v>3252.56</v>
      </c>
      <c r="AP87">
        <f t="shared" si="118"/>
        <v>0.73475496697512588</v>
      </c>
      <c r="AQ87">
        <v>-6.6684750346205304</v>
      </c>
      <c r="AR87" t="s">
        <v>780</v>
      </c>
      <c r="AS87">
        <v>10036.799999999999</v>
      </c>
      <c r="AT87">
        <v>762.67738461538465</v>
      </c>
      <c r="AU87">
        <v>1152.527289332792</v>
      </c>
      <c r="AV87">
        <f t="shared" si="119"/>
        <v>0.3382565500406457</v>
      </c>
      <c r="AW87">
        <v>0.5</v>
      </c>
      <c r="AX87">
        <f t="shared" si="120"/>
        <v>1513.1765999209995</v>
      </c>
      <c r="AY87">
        <f t="shared" si="121"/>
        <v>50.172827368421267</v>
      </c>
      <c r="AZ87">
        <f t="shared" si="122"/>
        <v>255.92094814575583</v>
      </c>
      <c r="BA87">
        <f t="shared" si="123"/>
        <v>3.7564222448331137E-2</v>
      </c>
      <c r="BB87">
        <f t="shared" si="124"/>
        <v>1.8221110511690661</v>
      </c>
      <c r="BC87">
        <f t="shared" si="125"/>
        <v>581.62337327667092</v>
      </c>
      <c r="BD87" t="s">
        <v>781</v>
      </c>
      <c r="BE87">
        <v>563.19000000000005</v>
      </c>
      <c r="BF87">
        <f t="shared" si="126"/>
        <v>563.19000000000005</v>
      </c>
      <c r="BG87">
        <f t="shared" si="127"/>
        <v>0.511343457796964</v>
      </c>
      <c r="BH87">
        <f t="shared" si="128"/>
        <v>0.66150557884903094</v>
      </c>
      <c r="BI87">
        <f t="shared" si="129"/>
        <v>0.78086418405321989</v>
      </c>
      <c r="BJ87">
        <f t="shared" si="130"/>
        <v>1.3452289249015092</v>
      </c>
      <c r="BK87">
        <f t="shared" si="131"/>
        <v>0.87873558159556286</v>
      </c>
      <c r="BL87">
        <f t="shared" si="132"/>
        <v>0.48848088912438775</v>
      </c>
      <c r="BM87">
        <f t="shared" si="133"/>
        <v>0.5115191108756123</v>
      </c>
      <c r="BN87">
        <v>5012</v>
      </c>
      <c r="BO87">
        <v>290.00000000000011</v>
      </c>
      <c r="BP87">
        <v>1053.76</v>
      </c>
      <c r="BQ87">
        <v>135</v>
      </c>
      <c r="BR87">
        <v>10036.799999999999</v>
      </c>
      <c r="BS87">
        <v>1051.9100000000001</v>
      </c>
      <c r="BT87">
        <v>1.85</v>
      </c>
      <c r="BU87">
        <v>300.00000000000011</v>
      </c>
      <c r="BV87">
        <v>24.1</v>
      </c>
      <c r="BW87">
        <v>1152.527289332792</v>
      </c>
      <c r="BX87">
        <v>1.891772146672311</v>
      </c>
      <c r="BY87">
        <v>-100.98461200121839</v>
      </c>
      <c r="BZ87">
        <v>1.689993482950406</v>
      </c>
      <c r="CA87">
        <v>0.99221918110182761</v>
      </c>
      <c r="CB87">
        <v>-6.8321087875417184E-3</v>
      </c>
      <c r="CC87">
        <v>289.99999999999989</v>
      </c>
      <c r="CD87">
        <v>1051.08</v>
      </c>
      <c r="CE87">
        <v>655</v>
      </c>
      <c r="CF87">
        <v>10014.700000000001</v>
      </c>
      <c r="CG87">
        <v>1051.69</v>
      </c>
      <c r="CH87">
        <v>-0.61</v>
      </c>
      <c r="CV87">
        <f t="shared" si="134"/>
        <v>1799.99</v>
      </c>
      <c r="CW87">
        <f t="shared" si="135"/>
        <v>1513.1765999209995</v>
      </c>
      <c r="CX87">
        <f t="shared" si="136"/>
        <v>0.84065833694687164</v>
      </c>
      <c r="CY87">
        <f t="shared" si="137"/>
        <v>0.16087059030746234</v>
      </c>
      <c r="CZ87">
        <v>6</v>
      </c>
      <c r="DA87">
        <v>0.5</v>
      </c>
      <c r="DB87" t="s">
        <v>418</v>
      </c>
      <c r="DC87">
        <v>2</v>
      </c>
      <c r="DD87">
        <v>1639683293.0999999</v>
      </c>
      <c r="DE87">
        <v>337.654</v>
      </c>
      <c r="DF87">
        <v>400.04</v>
      </c>
      <c r="DG87">
        <v>24.9742</v>
      </c>
      <c r="DH87">
        <v>18.6463</v>
      </c>
      <c r="DI87">
        <v>339.55099999999999</v>
      </c>
      <c r="DJ87">
        <v>24.9726</v>
      </c>
      <c r="DK87">
        <v>500.10599999999999</v>
      </c>
      <c r="DL87">
        <v>99.406899999999993</v>
      </c>
      <c r="DM87">
        <v>0.10032199999999999</v>
      </c>
      <c r="DN87">
        <v>27.991800000000001</v>
      </c>
      <c r="DO87">
        <v>27.7363</v>
      </c>
      <c r="DP87">
        <v>999.9</v>
      </c>
      <c r="DQ87">
        <v>0</v>
      </c>
      <c r="DR87">
        <v>0</v>
      </c>
      <c r="DS87">
        <v>9990</v>
      </c>
      <c r="DT87">
        <v>0</v>
      </c>
      <c r="DU87">
        <v>238.15</v>
      </c>
      <c r="DV87">
        <v>-62.385800000000003</v>
      </c>
      <c r="DW87">
        <v>346.303</v>
      </c>
      <c r="DX87">
        <v>407.64100000000002</v>
      </c>
      <c r="DY87">
        <v>6.3278600000000003</v>
      </c>
      <c r="DZ87">
        <v>400.04</v>
      </c>
      <c r="EA87">
        <v>18.6463</v>
      </c>
      <c r="EB87">
        <v>2.4826000000000001</v>
      </c>
      <c r="EC87">
        <v>1.8535699999999999</v>
      </c>
      <c r="ED87">
        <v>20.9129</v>
      </c>
      <c r="EE87">
        <v>16.245999999999999</v>
      </c>
      <c r="EF87">
        <v>1799.99</v>
      </c>
      <c r="EG87">
        <v>0.97799499999999995</v>
      </c>
      <c r="EH87">
        <v>2.2004800000000001E-2</v>
      </c>
      <c r="EI87">
        <v>0</v>
      </c>
      <c r="EJ87">
        <v>762.70799999999997</v>
      </c>
      <c r="EK87">
        <v>5.0001199999999999</v>
      </c>
      <c r="EL87">
        <v>13807.1</v>
      </c>
      <c r="EM87">
        <v>15629.8</v>
      </c>
      <c r="EN87">
        <v>49.811999999999998</v>
      </c>
      <c r="EO87">
        <v>50.061999999999998</v>
      </c>
      <c r="EP87">
        <v>50.375</v>
      </c>
      <c r="EQ87">
        <v>49.625</v>
      </c>
      <c r="ER87">
        <v>51.061999999999998</v>
      </c>
      <c r="ES87">
        <v>1755.49</v>
      </c>
      <c r="ET87">
        <v>39.5</v>
      </c>
      <c r="EU87">
        <v>0</v>
      </c>
      <c r="EV87">
        <v>2708.400000095367</v>
      </c>
      <c r="EW87">
        <v>0</v>
      </c>
      <c r="EX87">
        <v>762.67738461538465</v>
      </c>
      <c r="EY87">
        <v>1.63364102384459</v>
      </c>
      <c r="EZ87">
        <v>4.0307692502941954</v>
      </c>
      <c r="FA87">
        <v>13807.126923076919</v>
      </c>
      <c r="FB87">
        <v>15</v>
      </c>
      <c r="FC87">
        <v>1639683255.5999999</v>
      </c>
      <c r="FD87" t="s">
        <v>782</v>
      </c>
      <c r="FE87">
        <v>1639683255.5999999</v>
      </c>
      <c r="FF87">
        <v>1639683252.5999999</v>
      </c>
      <c r="FG87">
        <v>78</v>
      </c>
      <c r="FH87">
        <v>0.252</v>
      </c>
      <c r="FI87">
        <v>-1.6E-2</v>
      </c>
      <c r="FJ87">
        <v>-1.9930000000000001</v>
      </c>
      <c r="FK87">
        <v>-9.5000000000000001E-2</v>
      </c>
      <c r="FL87">
        <v>400</v>
      </c>
      <c r="FM87">
        <v>19</v>
      </c>
      <c r="FN87">
        <v>0.04</v>
      </c>
      <c r="FO87">
        <v>0.02</v>
      </c>
      <c r="FP87">
        <v>50.194361126855767</v>
      </c>
      <c r="FQ87">
        <v>-0.1233042816141863</v>
      </c>
      <c r="FR87">
        <v>2.685564814367274E-2</v>
      </c>
      <c r="FS87">
        <v>1</v>
      </c>
      <c r="FT87">
        <v>0.44645269350893813</v>
      </c>
      <c r="FU87">
        <v>4.9949421115116521E-2</v>
      </c>
      <c r="FV87">
        <v>5.4276731889401526E-3</v>
      </c>
      <c r="FW87">
        <v>1</v>
      </c>
      <c r="FX87">
        <v>2</v>
      </c>
      <c r="FY87">
        <v>2</v>
      </c>
      <c r="FZ87" t="s">
        <v>420</v>
      </c>
      <c r="GA87">
        <v>2.9213100000000001</v>
      </c>
      <c r="GB87">
        <v>2.7452200000000002</v>
      </c>
      <c r="GC87">
        <v>8.0664799999999995E-2</v>
      </c>
      <c r="GD87">
        <v>9.3208799999999994E-2</v>
      </c>
      <c r="GE87">
        <v>0.12001199999999999</v>
      </c>
      <c r="GF87">
        <v>9.9038299999999996E-2</v>
      </c>
      <c r="GG87">
        <v>28664.3</v>
      </c>
      <c r="GH87">
        <v>27922</v>
      </c>
      <c r="GI87">
        <v>28384.9</v>
      </c>
      <c r="GJ87">
        <v>28156.799999999999</v>
      </c>
      <c r="GK87">
        <v>34284.9</v>
      </c>
      <c r="GL87">
        <v>35628.800000000003</v>
      </c>
      <c r="GM87">
        <v>42719.9</v>
      </c>
      <c r="GN87">
        <v>43812.3</v>
      </c>
      <c r="GO87">
        <v>1.79975</v>
      </c>
      <c r="GP87">
        <v>1.9882500000000001</v>
      </c>
      <c r="GQ87">
        <v>6.4067499999999999E-2</v>
      </c>
      <c r="GR87">
        <v>0</v>
      </c>
      <c r="GS87">
        <v>26.6889</v>
      </c>
      <c r="GT87">
        <v>999.9</v>
      </c>
      <c r="GU87">
        <v>42.7</v>
      </c>
      <c r="GV87">
        <v>34.5</v>
      </c>
      <c r="GW87">
        <v>23.599</v>
      </c>
      <c r="GX87">
        <v>61.418399999999998</v>
      </c>
      <c r="GY87">
        <v>29.0625</v>
      </c>
      <c r="GZ87">
        <v>1</v>
      </c>
      <c r="HA87">
        <v>0.31358000000000003</v>
      </c>
      <c r="HB87">
        <v>2.0644900000000002</v>
      </c>
      <c r="HC87">
        <v>20.264099999999999</v>
      </c>
      <c r="HD87">
        <v>5.2716500000000002</v>
      </c>
      <c r="HE87">
        <v>12.0878</v>
      </c>
      <c r="HF87">
        <v>5.0134999999999996</v>
      </c>
      <c r="HG87">
        <v>3.2917999999999998</v>
      </c>
      <c r="HH87">
        <v>9999</v>
      </c>
      <c r="HI87">
        <v>9999</v>
      </c>
      <c r="HJ87">
        <v>9999</v>
      </c>
      <c r="HK87">
        <v>999.9</v>
      </c>
      <c r="HL87">
        <v>1.8751500000000001</v>
      </c>
      <c r="HM87">
        <v>1.87561</v>
      </c>
      <c r="HN87">
        <v>1.8754</v>
      </c>
      <c r="HO87">
        <v>1.87927</v>
      </c>
      <c r="HP87">
        <v>1.87273</v>
      </c>
      <c r="HQ87">
        <v>1.8759300000000001</v>
      </c>
      <c r="HR87">
        <v>1.8757600000000001</v>
      </c>
      <c r="HS87">
        <v>1.87714</v>
      </c>
      <c r="HT87">
        <v>0</v>
      </c>
      <c r="HU87">
        <v>0</v>
      </c>
      <c r="HV87">
        <v>0</v>
      </c>
      <c r="HW87">
        <v>0</v>
      </c>
      <c r="HX87" t="s">
        <v>421</v>
      </c>
      <c r="HY87" t="s">
        <v>422</v>
      </c>
      <c r="HZ87" t="s">
        <v>423</v>
      </c>
      <c r="IA87" t="s">
        <v>423</v>
      </c>
      <c r="IB87" t="s">
        <v>423</v>
      </c>
      <c r="IC87" t="s">
        <v>423</v>
      </c>
      <c r="ID87">
        <v>0</v>
      </c>
      <c r="IE87">
        <v>100</v>
      </c>
      <c r="IF87">
        <v>100</v>
      </c>
      <c r="IG87">
        <v>-1.897</v>
      </c>
      <c r="IH87">
        <v>1.6000000000000001E-3</v>
      </c>
      <c r="II87">
        <v>-1.3717744865255601</v>
      </c>
      <c r="IJ87">
        <v>-1.5404112972462821E-3</v>
      </c>
      <c r="IK87">
        <v>-5.8697186733976997E-8</v>
      </c>
      <c r="IL87">
        <v>1.160237123038427E-10</v>
      </c>
      <c r="IM87">
        <v>-0.18013157698788021</v>
      </c>
      <c r="IN87">
        <v>-3.128848753924141E-3</v>
      </c>
      <c r="IO87">
        <v>3.6841110403368089E-4</v>
      </c>
      <c r="IP87">
        <v>1.9296040270694169E-6</v>
      </c>
      <c r="IQ87">
        <v>1</v>
      </c>
      <c r="IR87">
        <v>1992</v>
      </c>
      <c r="IS87">
        <v>2</v>
      </c>
      <c r="IT87">
        <v>27</v>
      </c>
      <c r="IU87">
        <v>0.6</v>
      </c>
      <c r="IV87">
        <v>0.7</v>
      </c>
      <c r="IW87">
        <v>1.0424800000000001</v>
      </c>
      <c r="IX87">
        <v>2.6440399999999999</v>
      </c>
      <c r="IY87">
        <v>1.69434</v>
      </c>
      <c r="IZ87">
        <v>2.34863</v>
      </c>
      <c r="JA87">
        <v>1.5466299999999999</v>
      </c>
      <c r="JB87">
        <v>2.4658199999999999</v>
      </c>
      <c r="JC87">
        <v>38.452399999999997</v>
      </c>
      <c r="JD87">
        <v>24.105</v>
      </c>
      <c r="JE87">
        <v>18</v>
      </c>
      <c r="JF87">
        <v>532.68100000000004</v>
      </c>
      <c r="JG87">
        <v>542.27200000000005</v>
      </c>
      <c r="JH87">
        <v>25.0684</v>
      </c>
      <c r="JI87">
        <v>31.148</v>
      </c>
      <c r="JJ87">
        <v>29.999700000000001</v>
      </c>
      <c r="JK87">
        <v>31.172000000000001</v>
      </c>
      <c r="JL87">
        <v>31.136099999999999</v>
      </c>
      <c r="JM87">
        <v>20.953099999999999</v>
      </c>
      <c r="JN87">
        <v>25.2682</v>
      </c>
      <c r="JO87">
        <v>43.942799999999998</v>
      </c>
      <c r="JP87">
        <v>25.074400000000001</v>
      </c>
      <c r="JQ87">
        <v>400</v>
      </c>
      <c r="JR87">
        <v>18.602699999999999</v>
      </c>
      <c r="JS87">
        <v>99.534599999999998</v>
      </c>
      <c r="JT87">
        <v>98.673199999999994</v>
      </c>
    </row>
    <row r="88" spans="1:280" x14ac:dyDescent="0.25">
      <c r="A88">
        <v>72</v>
      </c>
      <c r="B88">
        <v>1639683413.5999999</v>
      </c>
      <c r="C88">
        <v>16811.5</v>
      </c>
      <c r="D88" t="s">
        <v>783</v>
      </c>
      <c r="E88" t="s">
        <v>784</v>
      </c>
      <c r="F88" t="s">
        <v>412</v>
      </c>
      <c r="G88" t="s">
        <v>779</v>
      </c>
      <c r="H88" t="s">
        <v>493</v>
      </c>
      <c r="I88">
        <v>1639683413.5999999</v>
      </c>
      <c r="J88">
        <f t="shared" si="92"/>
        <v>5.5212238821797516E-3</v>
      </c>
      <c r="K88">
        <f t="shared" si="93"/>
        <v>5.5212238821797515</v>
      </c>
      <c r="L88">
        <f t="shared" si="94"/>
        <v>43.309473720644711</v>
      </c>
      <c r="M88">
        <f t="shared" si="95"/>
        <v>246.47200000000001</v>
      </c>
      <c r="N88">
        <f t="shared" si="96"/>
        <v>81.221212999976032</v>
      </c>
      <c r="O88">
        <f t="shared" si="97"/>
        <v>8.0821692350926195</v>
      </c>
      <c r="P88">
        <f t="shared" si="98"/>
        <v>24.525962394975998</v>
      </c>
      <c r="Q88">
        <f t="shared" si="99"/>
        <v>0.46004409507157729</v>
      </c>
      <c r="R88">
        <f t="shared" si="100"/>
        <v>2.9154186940864597</v>
      </c>
      <c r="S88">
        <f t="shared" si="101"/>
        <v>0.42318842977020155</v>
      </c>
      <c r="T88">
        <f t="shared" si="102"/>
        <v>0.26755762148025442</v>
      </c>
      <c r="U88">
        <f t="shared" si="103"/>
        <v>289.58997284750325</v>
      </c>
      <c r="V88">
        <f t="shared" si="104"/>
        <v>28.270222115485847</v>
      </c>
      <c r="W88">
        <f t="shared" si="105"/>
        <v>27.7425</v>
      </c>
      <c r="X88">
        <f t="shared" si="106"/>
        <v>3.7382456136166589</v>
      </c>
      <c r="Y88">
        <f t="shared" si="107"/>
        <v>65.376898726794536</v>
      </c>
      <c r="Z88">
        <f t="shared" si="108"/>
        <v>2.4805580178455999</v>
      </c>
      <c r="AA88">
        <f t="shared" si="109"/>
        <v>3.7942424100165377</v>
      </c>
      <c r="AB88">
        <f t="shared" si="110"/>
        <v>1.2576875957710589</v>
      </c>
      <c r="AC88">
        <f t="shared" si="111"/>
        <v>-243.48597320412705</v>
      </c>
      <c r="AD88">
        <f t="shared" si="112"/>
        <v>40.048458211548052</v>
      </c>
      <c r="AE88">
        <f t="shared" si="113"/>
        <v>2.9904213024078738</v>
      </c>
      <c r="AF88">
        <f t="shared" si="114"/>
        <v>89.142879157332118</v>
      </c>
      <c r="AG88">
        <v>0</v>
      </c>
      <c r="AH88">
        <v>0</v>
      </c>
      <c r="AI88">
        <f t="shared" si="115"/>
        <v>1</v>
      </c>
      <c r="AJ88">
        <f t="shared" si="116"/>
        <v>0</v>
      </c>
      <c r="AK88">
        <f t="shared" si="117"/>
        <v>52283.112688761554</v>
      </c>
      <c r="AL88" t="s">
        <v>415</v>
      </c>
      <c r="AM88">
        <v>10204.299999999999</v>
      </c>
      <c r="AN88">
        <v>862.72538461538477</v>
      </c>
      <c r="AO88">
        <v>3252.56</v>
      </c>
      <c r="AP88">
        <f t="shared" si="118"/>
        <v>0.73475496697512588</v>
      </c>
      <c r="AQ88">
        <v>-6.6684750346205304</v>
      </c>
      <c r="AR88" t="s">
        <v>785</v>
      </c>
      <c r="AS88">
        <v>10035.200000000001</v>
      </c>
      <c r="AT88">
        <v>755.05484000000001</v>
      </c>
      <c r="AU88">
        <v>1103.3231529079119</v>
      </c>
      <c r="AV88">
        <f t="shared" si="119"/>
        <v>0.31565395141941688</v>
      </c>
      <c r="AW88">
        <v>0.5</v>
      </c>
      <c r="AX88">
        <f t="shared" si="120"/>
        <v>1513.3028999209862</v>
      </c>
      <c r="AY88">
        <f t="shared" si="121"/>
        <v>43.309473720644711</v>
      </c>
      <c r="AZ88">
        <f t="shared" si="122"/>
        <v>238.84002002726083</v>
      </c>
      <c r="BA88">
        <f t="shared" si="123"/>
        <v>3.3025740423727946E-2</v>
      </c>
      <c r="BB88">
        <f t="shared" si="124"/>
        <v>1.947966777845251</v>
      </c>
      <c r="BC88">
        <f t="shared" si="125"/>
        <v>568.82173076869572</v>
      </c>
      <c r="BD88" t="s">
        <v>786</v>
      </c>
      <c r="BE88">
        <v>558.83000000000004</v>
      </c>
      <c r="BF88">
        <f t="shared" si="126"/>
        <v>558.83000000000004</v>
      </c>
      <c r="BG88">
        <f t="shared" si="127"/>
        <v>0.49350287943550264</v>
      </c>
      <c r="BH88">
        <f t="shared" si="128"/>
        <v>0.63961926986217443</v>
      </c>
      <c r="BI88">
        <f t="shared" si="129"/>
        <v>0.79786647031888436</v>
      </c>
      <c r="BJ88">
        <f t="shared" si="130"/>
        <v>1.4475126489306218</v>
      </c>
      <c r="BK88">
        <f t="shared" si="131"/>
        <v>0.89932451110061207</v>
      </c>
      <c r="BL88">
        <f t="shared" si="132"/>
        <v>0.47339400748305771</v>
      </c>
      <c r="BM88">
        <f t="shared" si="133"/>
        <v>0.52660599251694229</v>
      </c>
      <c r="BN88">
        <v>5014</v>
      </c>
      <c r="BO88">
        <v>290.00000000000011</v>
      </c>
      <c r="BP88">
        <v>1005.29</v>
      </c>
      <c r="BQ88">
        <v>175</v>
      </c>
      <c r="BR88">
        <v>10035.200000000001</v>
      </c>
      <c r="BS88">
        <v>1004.29</v>
      </c>
      <c r="BT88">
        <v>1</v>
      </c>
      <c r="BU88">
        <v>300.00000000000011</v>
      </c>
      <c r="BV88">
        <v>24.1</v>
      </c>
      <c r="BW88">
        <v>1103.3231529079119</v>
      </c>
      <c r="BX88">
        <v>1.7811353237490439</v>
      </c>
      <c r="BY88">
        <v>-99.384986049371648</v>
      </c>
      <c r="BZ88">
        <v>1.5915867100932299</v>
      </c>
      <c r="CA88">
        <v>0.99287032704370926</v>
      </c>
      <c r="CB88">
        <v>-6.8333890989988912E-3</v>
      </c>
      <c r="CC88">
        <v>289.99999999999989</v>
      </c>
      <c r="CD88">
        <v>1001.75</v>
      </c>
      <c r="CE88">
        <v>675</v>
      </c>
      <c r="CF88">
        <v>10016.6</v>
      </c>
      <c r="CG88">
        <v>1004.1</v>
      </c>
      <c r="CH88">
        <v>-2.35</v>
      </c>
      <c r="CV88">
        <f t="shared" si="134"/>
        <v>1800.14</v>
      </c>
      <c r="CW88">
        <f t="shared" si="135"/>
        <v>1513.3028999209862</v>
      </c>
      <c r="CX88">
        <f t="shared" si="136"/>
        <v>0.84065844874342333</v>
      </c>
      <c r="CY88">
        <f t="shared" si="137"/>
        <v>0.16087080607480708</v>
      </c>
      <c r="CZ88">
        <v>6</v>
      </c>
      <c r="DA88">
        <v>0.5</v>
      </c>
      <c r="DB88" t="s">
        <v>418</v>
      </c>
      <c r="DC88">
        <v>2</v>
      </c>
      <c r="DD88">
        <v>1639683413.5999999</v>
      </c>
      <c r="DE88">
        <v>246.47200000000001</v>
      </c>
      <c r="DF88">
        <v>300.06799999999998</v>
      </c>
      <c r="DG88">
        <v>24.9282</v>
      </c>
      <c r="DH88">
        <v>18.468900000000001</v>
      </c>
      <c r="DI88">
        <v>248.25399999999999</v>
      </c>
      <c r="DJ88">
        <v>24.926200000000001</v>
      </c>
      <c r="DK88">
        <v>500.07799999999997</v>
      </c>
      <c r="DL88">
        <v>99.407899999999998</v>
      </c>
      <c r="DM88">
        <v>0.10020800000000001</v>
      </c>
      <c r="DN88">
        <v>27.997299999999999</v>
      </c>
      <c r="DO88">
        <v>27.7425</v>
      </c>
      <c r="DP88">
        <v>999.9</v>
      </c>
      <c r="DQ88">
        <v>0</v>
      </c>
      <c r="DR88">
        <v>0</v>
      </c>
      <c r="DS88">
        <v>9978.75</v>
      </c>
      <c r="DT88">
        <v>0</v>
      </c>
      <c r="DU88">
        <v>239.16300000000001</v>
      </c>
      <c r="DV88">
        <v>-53.595700000000001</v>
      </c>
      <c r="DW88">
        <v>252.773</v>
      </c>
      <c r="DX88">
        <v>305.714</v>
      </c>
      <c r="DY88">
        <v>6.45932</v>
      </c>
      <c r="DZ88">
        <v>300.06799999999998</v>
      </c>
      <c r="EA88">
        <v>18.468900000000001</v>
      </c>
      <c r="EB88">
        <v>2.4780600000000002</v>
      </c>
      <c r="EC88">
        <v>1.83595</v>
      </c>
      <c r="ED88">
        <v>20.883099999999999</v>
      </c>
      <c r="EE88">
        <v>16.096299999999999</v>
      </c>
      <c r="EF88">
        <v>1800.14</v>
      </c>
      <c r="EG88">
        <v>0.97799199999999997</v>
      </c>
      <c r="EH88">
        <v>2.2008199999999999E-2</v>
      </c>
      <c r="EI88">
        <v>0</v>
      </c>
      <c r="EJ88">
        <v>755.28800000000001</v>
      </c>
      <c r="EK88">
        <v>5.0001199999999999</v>
      </c>
      <c r="EL88">
        <v>13617</v>
      </c>
      <c r="EM88">
        <v>15631.1</v>
      </c>
      <c r="EN88">
        <v>49.25</v>
      </c>
      <c r="EO88">
        <v>49.625</v>
      </c>
      <c r="EP88">
        <v>50.061999999999998</v>
      </c>
      <c r="EQ88">
        <v>49.311999999999998</v>
      </c>
      <c r="ER88">
        <v>50.561999999999998</v>
      </c>
      <c r="ES88">
        <v>1755.63</v>
      </c>
      <c r="ET88">
        <v>39.51</v>
      </c>
      <c r="EU88">
        <v>0</v>
      </c>
      <c r="EV88">
        <v>118.7999999523163</v>
      </c>
      <c r="EW88">
        <v>0</v>
      </c>
      <c r="EX88">
        <v>755.05484000000001</v>
      </c>
      <c r="EY88">
        <v>-1.054076928752228</v>
      </c>
      <c r="EZ88">
        <v>-54.99230750347288</v>
      </c>
      <c r="FA88">
        <v>13622.175999999999</v>
      </c>
      <c r="FB88">
        <v>15</v>
      </c>
      <c r="FC88">
        <v>1639683374.0999999</v>
      </c>
      <c r="FD88" t="s">
        <v>787</v>
      </c>
      <c r="FE88">
        <v>1639683368.0999999</v>
      </c>
      <c r="FF88">
        <v>1639683374.0999999</v>
      </c>
      <c r="FG88">
        <v>79</v>
      </c>
      <c r="FH88">
        <v>-2.5000000000000001E-2</v>
      </c>
      <c r="FI88">
        <v>1E-3</v>
      </c>
      <c r="FJ88">
        <v>-1.8640000000000001</v>
      </c>
      <c r="FK88">
        <v>-9.7000000000000003E-2</v>
      </c>
      <c r="FL88">
        <v>300</v>
      </c>
      <c r="FM88">
        <v>18</v>
      </c>
      <c r="FN88">
        <v>0.04</v>
      </c>
      <c r="FO88">
        <v>0.01</v>
      </c>
      <c r="FP88">
        <v>43.270356785610041</v>
      </c>
      <c r="FQ88">
        <v>3.3300142180233319E-2</v>
      </c>
      <c r="FR88">
        <v>1.8981605796214721E-2</v>
      </c>
      <c r="FS88">
        <v>1</v>
      </c>
      <c r="FT88">
        <v>0.45718697444632278</v>
      </c>
      <c r="FU88">
        <v>4.6970200299697208E-2</v>
      </c>
      <c r="FV88">
        <v>4.6793726245930979E-3</v>
      </c>
      <c r="FW88">
        <v>1</v>
      </c>
      <c r="FX88">
        <v>2</v>
      </c>
      <c r="FY88">
        <v>2</v>
      </c>
      <c r="FZ88" t="s">
        <v>420</v>
      </c>
      <c r="GA88">
        <v>2.9214199999999999</v>
      </c>
      <c r="GB88">
        <v>2.7450000000000001</v>
      </c>
      <c r="GC88">
        <v>6.2372499999999997E-2</v>
      </c>
      <c r="GD88">
        <v>7.4302999999999994E-2</v>
      </c>
      <c r="GE88">
        <v>0.119882</v>
      </c>
      <c r="GF88">
        <v>9.8386000000000001E-2</v>
      </c>
      <c r="GG88">
        <v>29240.9</v>
      </c>
      <c r="GH88">
        <v>28509.9</v>
      </c>
      <c r="GI88">
        <v>28390.799999999999</v>
      </c>
      <c r="GJ88">
        <v>28162.3</v>
      </c>
      <c r="GK88">
        <v>34297.300000000003</v>
      </c>
      <c r="GL88">
        <v>35661</v>
      </c>
      <c r="GM88">
        <v>42729</v>
      </c>
      <c r="GN88">
        <v>43820.2</v>
      </c>
      <c r="GO88">
        <v>1.8012300000000001</v>
      </c>
      <c r="GP88">
        <v>1.9892700000000001</v>
      </c>
      <c r="GQ88">
        <v>6.5878000000000006E-2</v>
      </c>
      <c r="GR88">
        <v>0</v>
      </c>
      <c r="GS88">
        <v>26.665500000000002</v>
      </c>
      <c r="GT88">
        <v>999.9</v>
      </c>
      <c r="GU88">
        <v>42.4</v>
      </c>
      <c r="GV88">
        <v>34.5</v>
      </c>
      <c r="GW88">
        <v>23.433199999999999</v>
      </c>
      <c r="GX88">
        <v>61.028399999999998</v>
      </c>
      <c r="GY88">
        <v>29.399000000000001</v>
      </c>
      <c r="GZ88">
        <v>1</v>
      </c>
      <c r="HA88">
        <v>0.30540699999999998</v>
      </c>
      <c r="HB88">
        <v>2.0316700000000001</v>
      </c>
      <c r="HC88">
        <v>20.267600000000002</v>
      </c>
      <c r="HD88">
        <v>5.2729999999999997</v>
      </c>
      <c r="HE88">
        <v>12.0878</v>
      </c>
      <c r="HF88">
        <v>5.0134499999999997</v>
      </c>
      <c r="HG88">
        <v>3.2918799999999999</v>
      </c>
      <c r="HH88">
        <v>9999</v>
      </c>
      <c r="HI88">
        <v>9999</v>
      </c>
      <c r="HJ88">
        <v>9999</v>
      </c>
      <c r="HK88">
        <v>999.9</v>
      </c>
      <c r="HL88">
        <v>1.8751500000000001</v>
      </c>
      <c r="HM88">
        <v>1.87561</v>
      </c>
      <c r="HN88">
        <v>1.8753599999999999</v>
      </c>
      <c r="HO88">
        <v>1.87927</v>
      </c>
      <c r="HP88">
        <v>1.87273</v>
      </c>
      <c r="HQ88">
        <v>1.8759300000000001</v>
      </c>
      <c r="HR88">
        <v>1.8757600000000001</v>
      </c>
      <c r="HS88">
        <v>1.87714</v>
      </c>
      <c r="HT88">
        <v>0</v>
      </c>
      <c r="HU88">
        <v>0</v>
      </c>
      <c r="HV88">
        <v>0</v>
      </c>
      <c r="HW88">
        <v>0</v>
      </c>
      <c r="HX88" t="s">
        <v>421</v>
      </c>
      <c r="HY88" t="s">
        <v>422</v>
      </c>
      <c r="HZ88" t="s">
        <v>423</v>
      </c>
      <c r="IA88" t="s">
        <v>423</v>
      </c>
      <c r="IB88" t="s">
        <v>423</v>
      </c>
      <c r="IC88" t="s">
        <v>423</v>
      </c>
      <c r="ID88">
        <v>0</v>
      </c>
      <c r="IE88">
        <v>100</v>
      </c>
      <c r="IF88">
        <v>100</v>
      </c>
      <c r="IG88">
        <v>-1.782</v>
      </c>
      <c r="IH88">
        <v>2E-3</v>
      </c>
      <c r="II88">
        <v>-1.397176293075612</v>
      </c>
      <c r="IJ88">
        <v>-1.5404112972462821E-3</v>
      </c>
      <c r="IK88">
        <v>-5.8697186733976997E-8</v>
      </c>
      <c r="IL88">
        <v>1.160237123038427E-10</v>
      </c>
      <c r="IM88">
        <v>-0.1787646509530999</v>
      </c>
      <c r="IN88">
        <v>-3.128848753924141E-3</v>
      </c>
      <c r="IO88">
        <v>3.6841110403368089E-4</v>
      </c>
      <c r="IP88">
        <v>1.9296040270694169E-6</v>
      </c>
      <c r="IQ88">
        <v>1</v>
      </c>
      <c r="IR88">
        <v>1992</v>
      </c>
      <c r="IS88">
        <v>2</v>
      </c>
      <c r="IT88">
        <v>27</v>
      </c>
      <c r="IU88">
        <v>0.8</v>
      </c>
      <c r="IV88">
        <v>0.7</v>
      </c>
      <c r="IW88">
        <v>0.83129900000000001</v>
      </c>
      <c r="IX88">
        <v>2.66357</v>
      </c>
      <c r="IY88">
        <v>1.69434</v>
      </c>
      <c r="IZ88">
        <v>2.34741</v>
      </c>
      <c r="JA88">
        <v>1.5466299999999999</v>
      </c>
      <c r="JB88">
        <v>2.3962400000000001</v>
      </c>
      <c r="JC88">
        <v>38.427900000000001</v>
      </c>
      <c r="JD88">
        <v>24.105</v>
      </c>
      <c r="JE88">
        <v>18</v>
      </c>
      <c r="JF88">
        <v>533.03499999999997</v>
      </c>
      <c r="JG88">
        <v>542.23400000000004</v>
      </c>
      <c r="JH88">
        <v>25.116099999999999</v>
      </c>
      <c r="JI88">
        <v>31.053899999999999</v>
      </c>
      <c r="JJ88">
        <v>29.9998</v>
      </c>
      <c r="JK88">
        <v>31.084099999999999</v>
      </c>
      <c r="JL88">
        <v>31.049900000000001</v>
      </c>
      <c r="JM88">
        <v>16.722000000000001</v>
      </c>
      <c r="JN88">
        <v>25.203800000000001</v>
      </c>
      <c r="JO88">
        <v>43.412500000000001</v>
      </c>
      <c r="JP88">
        <v>25.118099999999998</v>
      </c>
      <c r="JQ88">
        <v>300</v>
      </c>
      <c r="JR88">
        <v>18.4497</v>
      </c>
      <c r="JS88">
        <v>99.555700000000002</v>
      </c>
      <c r="JT88">
        <v>98.691699999999997</v>
      </c>
    </row>
    <row r="89" spans="1:280" x14ac:dyDescent="0.25">
      <c r="A89">
        <v>73</v>
      </c>
      <c r="B89">
        <v>1639683532.5999999</v>
      </c>
      <c r="C89">
        <v>16930.5</v>
      </c>
      <c r="D89" t="s">
        <v>788</v>
      </c>
      <c r="E89" t="s">
        <v>789</v>
      </c>
      <c r="F89" t="s">
        <v>412</v>
      </c>
      <c r="G89" t="s">
        <v>779</v>
      </c>
      <c r="H89" t="s">
        <v>493</v>
      </c>
      <c r="I89">
        <v>1639683532.5999999</v>
      </c>
      <c r="J89">
        <f t="shared" si="92"/>
        <v>5.824705810918227E-3</v>
      </c>
      <c r="K89">
        <f t="shared" si="93"/>
        <v>5.8247058109182266</v>
      </c>
      <c r="L89">
        <f t="shared" si="94"/>
        <v>31.337009440744151</v>
      </c>
      <c r="M89">
        <f t="shared" si="95"/>
        <v>161.38399999999999</v>
      </c>
      <c r="N89">
        <f t="shared" si="96"/>
        <v>49.010911522471517</v>
      </c>
      <c r="O89">
        <f t="shared" si="97"/>
        <v>4.876911128938425</v>
      </c>
      <c r="P89">
        <f t="shared" si="98"/>
        <v>16.05877958976</v>
      </c>
      <c r="Q89">
        <f t="shared" si="99"/>
        <v>0.49104829320808024</v>
      </c>
      <c r="R89">
        <f t="shared" si="100"/>
        <v>2.9227268840175307</v>
      </c>
      <c r="S89">
        <f t="shared" si="101"/>
        <v>0.4493937515230067</v>
      </c>
      <c r="T89">
        <f t="shared" si="102"/>
        <v>0.28431855086905</v>
      </c>
      <c r="U89">
        <f t="shared" si="103"/>
        <v>289.55152784759957</v>
      </c>
      <c r="V89">
        <f t="shared" si="104"/>
        <v>28.212614671337747</v>
      </c>
      <c r="W89">
        <f t="shared" si="105"/>
        <v>27.7483</v>
      </c>
      <c r="X89">
        <f t="shared" si="106"/>
        <v>3.7395122003460481</v>
      </c>
      <c r="Y89">
        <f t="shared" si="107"/>
        <v>65.5445401352235</v>
      </c>
      <c r="Z89">
        <f t="shared" si="108"/>
        <v>2.4901536660000003</v>
      </c>
      <c r="AA89">
        <f t="shared" si="109"/>
        <v>3.7991778733402031</v>
      </c>
      <c r="AB89">
        <f t="shared" si="110"/>
        <v>1.2493585343460478</v>
      </c>
      <c r="AC89">
        <f t="shared" si="111"/>
        <v>-256.86952626149383</v>
      </c>
      <c r="AD89">
        <f t="shared" si="112"/>
        <v>42.748755045513853</v>
      </c>
      <c r="AE89">
        <f t="shared" si="113"/>
        <v>3.1845171991753598</v>
      </c>
      <c r="AF89">
        <f t="shared" si="114"/>
        <v>78.615273830794933</v>
      </c>
      <c r="AG89">
        <v>0</v>
      </c>
      <c r="AH89">
        <v>0</v>
      </c>
      <c r="AI89">
        <f t="shared" si="115"/>
        <v>1</v>
      </c>
      <c r="AJ89">
        <f t="shared" si="116"/>
        <v>0</v>
      </c>
      <c r="AK89">
        <f t="shared" si="117"/>
        <v>52488.935500572785</v>
      </c>
      <c r="AL89" t="s">
        <v>415</v>
      </c>
      <c r="AM89">
        <v>10204.299999999999</v>
      </c>
      <c r="AN89">
        <v>862.72538461538477</v>
      </c>
      <c r="AO89">
        <v>3252.56</v>
      </c>
      <c r="AP89">
        <f t="shared" si="118"/>
        <v>0.73475496697512588</v>
      </c>
      <c r="AQ89">
        <v>-6.6684750346205304</v>
      </c>
      <c r="AR89" t="s">
        <v>790</v>
      </c>
      <c r="AS89">
        <v>10042.799999999999</v>
      </c>
      <c r="AT89">
        <v>761.92119230769219</v>
      </c>
      <c r="AU89">
        <v>1018.6169468397929</v>
      </c>
      <c r="AV89">
        <f t="shared" si="119"/>
        <v>0.25200420563243742</v>
      </c>
      <c r="AW89">
        <v>0.5</v>
      </c>
      <c r="AX89">
        <f t="shared" si="120"/>
        <v>1513.1087999210361</v>
      </c>
      <c r="AY89">
        <f t="shared" si="121"/>
        <v>31.337009440744151</v>
      </c>
      <c r="AZ89">
        <f t="shared" si="122"/>
        <v>190.6548905797757</v>
      </c>
      <c r="BA89">
        <f t="shared" si="123"/>
        <v>2.5117482944615785E-2</v>
      </c>
      <c r="BB89">
        <f t="shared" si="124"/>
        <v>2.193113967022541</v>
      </c>
      <c r="BC89">
        <f t="shared" si="125"/>
        <v>545.43751622050706</v>
      </c>
      <c r="BD89" t="s">
        <v>791</v>
      </c>
      <c r="BE89">
        <v>549.23</v>
      </c>
      <c r="BF89">
        <f t="shared" si="126"/>
        <v>549.23</v>
      </c>
      <c r="BG89">
        <f t="shared" si="127"/>
        <v>0.46080810681192963</v>
      </c>
      <c r="BH89">
        <f t="shared" si="128"/>
        <v>0.54687450569372975</v>
      </c>
      <c r="BI89">
        <f t="shared" si="129"/>
        <v>0.82636712985843652</v>
      </c>
      <c r="BJ89">
        <f t="shared" si="130"/>
        <v>1.6466302015922034</v>
      </c>
      <c r="BK89">
        <f t="shared" si="131"/>
        <v>0.9347688910266625</v>
      </c>
      <c r="BL89">
        <f t="shared" si="132"/>
        <v>0.39421384756662692</v>
      </c>
      <c r="BM89">
        <f t="shared" si="133"/>
        <v>0.60578615243337308</v>
      </c>
      <c r="BN89">
        <v>5016</v>
      </c>
      <c r="BO89">
        <v>290.00000000000011</v>
      </c>
      <c r="BP89">
        <v>952.35</v>
      </c>
      <c r="BQ89">
        <v>115</v>
      </c>
      <c r="BR89">
        <v>10042.799999999999</v>
      </c>
      <c r="BS89">
        <v>950.18</v>
      </c>
      <c r="BT89">
        <v>2.17</v>
      </c>
      <c r="BU89">
        <v>300.00000000000011</v>
      </c>
      <c r="BV89">
        <v>24.1</v>
      </c>
      <c r="BW89">
        <v>1018.6169468397929</v>
      </c>
      <c r="BX89">
        <v>1.4442031911778599</v>
      </c>
      <c r="BY89">
        <v>-68.727450971882334</v>
      </c>
      <c r="BZ89">
        <v>1.290747186463379</v>
      </c>
      <c r="CA89">
        <v>0.99022060716084592</v>
      </c>
      <c r="CB89">
        <v>-6.8343931034482754E-3</v>
      </c>
      <c r="CC89">
        <v>289.99999999999989</v>
      </c>
      <c r="CD89">
        <v>949.38</v>
      </c>
      <c r="CE89">
        <v>725</v>
      </c>
      <c r="CF89">
        <v>10016.6</v>
      </c>
      <c r="CG89">
        <v>950</v>
      </c>
      <c r="CH89">
        <v>-0.62</v>
      </c>
      <c r="CV89">
        <f t="shared" si="134"/>
        <v>1799.91</v>
      </c>
      <c r="CW89">
        <f t="shared" si="135"/>
        <v>1513.1087999210361</v>
      </c>
      <c r="CX89">
        <f t="shared" si="136"/>
        <v>0.84065803285777396</v>
      </c>
      <c r="CY89">
        <f t="shared" si="137"/>
        <v>0.16087000341550386</v>
      </c>
      <c r="CZ89">
        <v>6</v>
      </c>
      <c r="DA89">
        <v>0.5</v>
      </c>
      <c r="DB89" t="s">
        <v>418</v>
      </c>
      <c r="DC89">
        <v>2</v>
      </c>
      <c r="DD89">
        <v>1639683532.5999999</v>
      </c>
      <c r="DE89">
        <v>161.38399999999999</v>
      </c>
      <c r="DF89">
        <v>200.11</v>
      </c>
      <c r="DG89">
        <v>25.024999999999999</v>
      </c>
      <c r="DH89">
        <v>18.211400000000001</v>
      </c>
      <c r="DI89">
        <v>163.023</v>
      </c>
      <c r="DJ89">
        <v>25.022400000000001</v>
      </c>
      <c r="DK89">
        <v>500.08300000000003</v>
      </c>
      <c r="DL89">
        <v>99.406800000000004</v>
      </c>
      <c r="DM89">
        <v>9.9839999999999998E-2</v>
      </c>
      <c r="DN89">
        <v>28.019600000000001</v>
      </c>
      <c r="DO89">
        <v>27.7483</v>
      </c>
      <c r="DP89">
        <v>999.9</v>
      </c>
      <c r="DQ89">
        <v>0</v>
      </c>
      <c r="DR89">
        <v>0</v>
      </c>
      <c r="DS89">
        <v>10020.6</v>
      </c>
      <c r="DT89">
        <v>0</v>
      </c>
      <c r="DU89">
        <v>248.68100000000001</v>
      </c>
      <c r="DV89">
        <v>-38.725700000000003</v>
      </c>
      <c r="DW89">
        <v>165.52699999999999</v>
      </c>
      <c r="DX89">
        <v>203.822</v>
      </c>
      <c r="DY89">
        <v>6.8136700000000001</v>
      </c>
      <c r="DZ89">
        <v>200.11</v>
      </c>
      <c r="EA89">
        <v>18.211400000000001</v>
      </c>
      <c r="EB89">
        <v>2.48766</v>
      </c>
      <c r="EC89">
        <v>1.8103400000000001</v>
      </c>
      <c r="ED89">
        <v>20.946000000000002</v>
      </c>
      <c r="EE89">
        <v>15.876300000000001</v>
      </c>
      <c r="EF89">
        <v>1799.91</v>
      </c>
      <c r="EG89">
        <v>0.97800500000000001</v>
      </c>
      <c r="EH89">
        <v>2.19946E-2</v>
      </c>
      <c r="EI89">
        <v>0</v>
      </c>
      <c r="EJ89">
        <v>761.37400000000002</v>
      </c>
      <c r="EK89">
        <v>5.0001199999999999</v>
      </c>
      <c r="EL89">
        <v>13696.3</v>
      </c>
      <c r="EM89">
        <v>15629.2</v>
      </c>
      <c r="EN89">
        <v>48.75</v>
      </c>
      <c r="EO89">
        <v>49.311999999999998</v>
      </c>
      <c r="EP89">
        <v>49.561999999999998</v>
      </c>
      <c r="EQ89">
        <v>48.936999999999998</v>
      </c>
      <c r="ER89">
        <v>50.186999999999998</v>
      </c>
      <c r="ES89">
        <v>1755.43</v>
      </c>
      <c r="ET89">
        <v>39.479999999999997</v>
      </c>
      <c r="EU89">
        <v>0</v>
      </c>
      <c r="EV89">
        <v>117</v>
      </c>
      <c r="EW89">
        <v>0</v>
      </c>
      <c r="EX89">
        <v>761.92119230769219</v>
      </c>
      <c r="EY89">
        <v>-5.3129230848595697</v>
      </c>
      <c r="EZ89">
        <v>-101.60683774675179</v>
      </c>
      <c r="FA89">
        <v>13708.846153846151</v>
      </c>
      <c r="FB89">
        <v>15</v>
      </c>
      <c r="FC89">
        <v>1639683492.0999999</v>
      </c>
      <c r="FD89" t="s">
        <v>792</v>
      </c>
      <c r="FE89">
        <v>1639683486.0999999</v>
      </c>
      <c r="FF89">
        <v>1639683492.0999999</v>
      </c>
      <c r="FG89">
        <v>80</v>
      </c>
      <c r="FH89">
        <v>1.0999999999999999E-2</v>
      </c>
      <c r="FI89">
        <v>-1E-3</v>
      </c>
      <c r="FJ89">
        <v>-1.698</v>
      </c>
      <c r="FK89">
        <v>-0.10199999999999999</v>
      </c>
      <c r="FL89">
        <v>200</v>
      </c>
      <c r="FM89">
        <v>18</v>
      </c>
      <c r="FN89">
        <v>0.05</v>
      </c>
      <c r="FO89">
        <v>0.01</v>
      </c>
      <c r="FP89">
        <v>31.260640454058109</v>
      </c>
      <c r="FQ89">
        <v>0.24137647242478191</v>
      </c>
      <c r="FR89">
        <v>3.2610621414213219E-2</v>
      </c>
      <c r="FS89">
        <v>1</v>
      </c>
      <c r="FT89">
        <v>0.48563298071468097</v>
      </c>
      <c r="FU89">
        <v>4.4353672361623242E-2</v>
      </c>
      <c r="FV89">
        <v>4.5459874773851744E-3</v>
      </c>
      <c r="FW89">
        <v>1</v>
      </c>
      <c r="FX89">
        <v>2</v>
      </c>
      <c r="FY89">
        <v>2</v>
      </c>
      <c r="FZ89" t="s">
        <v>420</v>
      </c>
      <c r="GA89">
        <v>2.9216299999999999</v>
      </c>
      <c r="GB89">
        <v>2.7450000000000001</v>
      </c>
      <c r="GC89">
        <v>4.3124099999999999E-2</v>
      </c>
      <c r="GD89">
        <v>5.2769700000000003E-2</v>
      </c>
      <c r="GE89">
        <v>0.120226</v>
      </c>
      <c r="GF89">
        <v>9.7422900000000007E-2</v>
      </c>
      <c r="GG89">
        <v>29844.1</v>
      </c>
      <c r="GH89">
        <v>29177.4</v>
      </c>
      <c r="GI89">
        <v>28393.7</v>
      </c>
      <c r="GJ89">
        <v>28166.6</v>
      </c>
      <c r="GK89">
        <v>34286.199999999997</v>
      </c>
      <c r="GL89">
        <v>35704.1</v>
      </c>
      <c r="GM89">
        <v>42732</v>
      </c>
      <c r="GN89">
        <v>43826.5</v>
      </c>
      <c r="GO89">
        <v>1.80217</v>
      </c>
      <c r="GP89">
        <v>1.9898800000000001</v>
      </c>
      <c r="GQ89">
        <v>6.1154399999999998E-2</v>
      </c>
      <c r="GR89">
        <v>0</v>
      </c>
      <c r="GS89">
        <v>26.7486</v>
      </c>
      <c r="GT89">
        <v>999.9</v>
      </c>
      <c r="GU89">
        <v>42.1</v>
      </c>
      <c r="GV89">
        <v>34.5</v>
      </c>
      <c r="GW89">
        <v>23.265699999999999</v>
      </c>
      <c r="GX89">
        <v>61.008400000000002</v>
      </c>
      <c r="GY89">
        <v>29.194700000000001</v>
      </c>
      <c r="GZ89">
        <v>1</v>
      </c>
      <c r="HA89">
        <v>0.29878100000000002</v>
      </c>
      <c r="HB89">
        <v>2.2848600000000001</v>
      </c>
      <c r="HC89">
        <v>20.261399999999998</v>
      </c>
      <c r="HD89">
        <v>5.2753899999999998</v>
      </c>
      <c r="HE89">
        <v>12.0878</v>
      </c>
      <c r="HF89">
        <v>5.0141</v>
      </c>
      <c r="HG89">
        <v>3.29175</v>
      </c>
      <c r="HH89">
        <v>9999</v>
      </c>
      <c r="HI89">
        <v>9999</v>
      </c>
      <c r="HJ89">
        <v>9999</v>
      </c>
      <c r="HK89">
        <v>999.9</v>
      </c>
      <c r="HL89">
        <v>1.8751500000000001</v>
      </c>
      <c r="HM89">
        <v>1.87561</v>
      </c>
      <c r="HN89">
        <v>1.87534</v>
      </c>
      <c r="HO89">
        <v>1.8792899999999999</v>
      </c>
      <c r="HP89">
        <v>1.87273</v>
      </c>
      <c r="HQ89">
        <v>1.87598</v>
      </c>
      <c r="HR89">
        <v>1.87575</v>
      </c>
      <c r="HS89">
        <v>1.87714</v>
      </c>
      <c r="HT89">
        <v>0</v>
      </c>
      <c r="HU89">
        <v>0</v>
      </c>
      <c r="HV89">
        <v>0</v>
      </c>
      <c r="HW89">
        <v>0</v>
      </c>
      <c r="HX89" t="s">
        <v>421</v>
      </c>
      <c r="HY89" t="s">
        <v>422</v>
      </c>
      <c r="HZ89" t="s">
        <v>423</v>
      </c>
      <c r="IA89" t="s">
        <v>423</v>
      </c>
      <c r="IB89" t="s">
        <v>423</v>
      </c>
      <c r="IC89" t="s">
        <v>423</v>
      </c>
      <c r="ID89">
        <v>0</v>
      </c>
      <c r="IE89">
        <v>100</v>
      </c>
      <c r="IF89">
        <v>100</v>
      </c>
      <c r="IG89">
        <v>-1.639</v>
      </c>
      <c r="IH89">
        <v>2.5999999999999999E-3</v>
      </c>
      <c r="II89">
        <v>-1.3863647283537119</v>
      </c>
      <c r="IJ89">
        <v>-1.5404112972462821E-3</v>
      </c>
      <c r="IK89">
        <v>-5.8697186733976997E-8</v>
      </c>
      <c r="IL89">
        <v>1.160237123038427E-10</v>
      </c>
      <c r="IM89">
        <v>-0.1799595546494232</v>
      </c>
      <c r="IN89">
        <v>-3.128848753924141E-3</v>
      </c>
      <c r="IO89">
        <v>3.6841110403368089E-4</v>
      </c>
      <c r="IP89">
        <v>1.9296040270694169E-6</v>
      </c>
      <c r="IQ89">
        <v>1</v>
      </c>
      <c r="IR89">
        <v>1992</v>
      </c>
      <c r="IS89">
        <v>2</v>
      </c>
      <c r="IT89">
        <v>27</v>
      </c>
      <c r="IU89">
        <v>0.8</v>
      </c>
      <c r="IV89">
        <v>0.7</v>
      </c>
      <c r="IW89">
        <v>0.611572</v>
      </c>
      <c r="IX89">
        <v>2.65869</v>
      </c>
      <c r="IY89">
        <v>1.69434</v>
      </c>
      <c r="IZ89">
        <v>2.34863</v>
      </c>
      <c r="JA89">
        <v>1.5466299999999999</v>
      </c>
      <c r="JB89">
        <v>2.4365199999999998</v>
      </c>
      <c r="JC89">
        <v>38.378999999999998</v>
      </c>
      <c r="JD89">
        <v>24.105</v>
      </c>
      <c r="JE89">
        <v>18</v>
      </c>
      <c r="JF89">
        <v>532.94899999999996</v>
      </c>
      <c r="JG89">
        <v>541.87800000000004</v>
      </c>
      <c r="JH89">
        <v>25.035499999999999</v>
      </c>
      <c r="JI89">
        <v>30.962800000000001</v>
      </c>
      <c r="JJ89">
        <v>30.0001</v>
      </c>
      <c r="JK89">
        <v>30.996099999999998</v>
      </c>
      <c r="JL89">
        <v>30.964300000000001</v>
      </c>
      <c r="JM89">
        <v>12.3123</v>
      </c>
      <c r="JN89">
        <v>26.5627</v>
      </c>
      <c r="JO89">
        <v>42.869700000000002</v>
      </c>
      <c r="JP89">
        <v>25.012899999999998</v>
      </c>
      <c r="JQ89">
        <v>200</v>
      </c>
      <c r="JR89">
        <v>18.099799999999998</v>
      </c>
      <c r="JS89">
        <v>99.563900000000004</v>
      </c>
      <c r="JT89">
        <v>98.706000000000003</v>
      </c>
    </row>
    <row r="90" spans="1:280" x14ac:dyDescent="0.25">
      <c r="A90">
        <v>74</v>
      </c>
      <c r="B90">
        <v>1639683649.5999999</v>
      </c>
      <c r="C90">
        <v>17047.5</v>
      </c>
      <c r="D90" t="s">
        <v>793</v>
      </c>
      <c r="E90" t="s">
        <v>794</v>
      </c>
      <c r="F90" t="s">
        <v>412</v>
      </c>
      <c r="G90" t="s">
        <v>779</v>
      </c>
      <c r="H90" t="s">
        <v>493</v>
      </c>
      <c r="I90">
        <v>1639683649.5999999</v>
      </c>
      <c r="J90">
        <f t="shared" si="92"/>
        <v>6.2399263954737039E-3</v>
      </c>
      <c r="K90">
        <f t="shared" si="93"/>
        <v>6.2399263954737041</v>
      </c>
      <c r="L90">
        <f t="shared" si="94"/>
        <v>19.801748441111737</v>
      </c>
      <c r="M90">
        <f t="shared" si="95"/>
        <v>95.5595</v>
      </c>
      <c r="N90">
        <f t="shared" si="96"/>
        <v>29.234597035588632</v>
      </c>
      <c r="O90">
        <f t="shared" si="97"/>
        <v>2.9093256236954703</v>
      </c>
      <c r="P90">
        <f t="shared" si="98"/>
        <v>9.5097497529755</v>
      </c>
      <c r="Q90">
        <f t="shared" si="99"/>
        <v>0.52883607286563383</v>
      </c>
      <c r="R90">
        <f t="shared" si="100"/>
        <v>2.9157857065841677</v>
      </c>
      <c r="S90">
        <f t="shared" si="101"/>
        <v>0.48075592338461193</v>
      </c>
      <c r="T90">
        <f t="shared" si="102"/>
        <v>0.30442715373427259</v>
      </c>
      <c r="U90">
        <f t="shared" si="103"/>
        <v>289.60158284758722</v>
      </c>
      <c r="V90">
        <f t="shared" si="104"/>
        <v>28.090456604965492</v>
      </c>
      <c r="W90">
        <f t="shared" si="105"/>
        <v>27.769600000000001</v>
      </c>
      <c r="X90">
        <f t="shared" si="106"/>
        <v>3.7441668441540763</v>
      </c>
      <c r="Y90">
        <f t="shared" si="107"/>
        <v>65.674383039730628</v>
      </c>
      <c r="Z90">
        <f t="shared" si="108"/>
        <v>2.4929786163261003</v>
      </c>
      <c r="AA90">
        <f t="shared" si="109"/>
        <v>3.795968079087912</v>
      </c>
      <c r="AB90">
        <f t="shared" si="110"/>
        <v>1.251188227827976</v>
      </c>
      <c r="AC90">
        <f t="shared" si="111"/>
        <v>-275.18075404039035</v>
      </c>
      <c r="AD90">
        <f t="shared" si="112"/>
        <v>37.01962008764734</v>
      </c>
      <c r="AE90">
        <f t="shared" si="113"/>
        <v>2.764390662118978</v>
      </c>
      <c r="AF90">
        <f t="shared" si="114"/>
        <v>54.204839556963165</v>
      </c>
      <c r="AG90">
        <v>0</v>
      </c>
      <c r="AH90">
        <v>0</v>
      </c>
      <c r="AI90">
        <f t="shared" si="115"/>
        <v>1</v>
      </c>
      <c r="AJ90">
        <f t="shared" si="116"/>
        <v>0</v>
      </c>
      <c r="AK90">
        <f t="shared" si="117"/>
        <v>52292.460919774996</v>
      </c>
      <c r="AL90" t="s">
        <v>415</v>
      </c>
      <c r="AM90">
        <v>10204.299999999999</v>
      </c>
      <c r="AN90">
        <v>862.72538461538477</v>
      </c>
      <c r="AO90">
        <v>3252.56</v>
      </c>
      <c r="AP90">
        <f t="shared" si="118"/>
        <v>0.73475496697512588</v>
      </c>
      <c r="AQ90">
        <v>-6.6684750346205304</v>
      </c>
      <c r="AR90" t="s">
        <v>795</v>
      </c>
      <c r="AS90">
        <v>10030.799999999999</v>
      </c>
      <c r="AT90">
        <v>785.32892307692305</v>
      </c>
      <c r="AU90">
        <v>958.43457456863166</v>
      </c>
      <c r="AV90">
        <f t="shared" si="119"/>
        <v>0.18061290367119665</v>
      </c>
      <c r="AW90">
        <v>0.5</v>
      </c>
      <c r="AX90">
        <f t="shared" si="120"/>
        <v>1513.3694999210297</v>
      </c>
      <c r="AY90">
        <f t="shared" si="121"/>
        <v>19.801748441111737</v>
      </c>
      <c r="AZ90">
        <f t="shared" si="122"/>
        <v>136.66702985408199</v>
      </c>
      <c r="BA90">
        <f t="shared" si="123"/>
        <v>1.7490919089563739E-2</v>
      </c>
      <c r="BB90">
        <f t="shared" si="124"/>
        <v>2.3936171401828847</v>
      </c>
      <c r="BC90">
        <f t="shared" si="125"/>
        <v>527.69465582037094</v>
      </c>
      <c r="BD90" t="s">
        <v>796</v>
      </c>
      <c r="BE90">
        <v>546.07000000000005</v>
      </c>
      <c r="BF90">
        <f t="shared" si="126"/>
        <v>546.07000000000005</v>
      </c>
      <c r="BG90">
        <f t="shared" si="127"/>
        <v>0.43024801641179</v>
      </c>
      <c r="BH90">
        <f t="shared" si="128"/>
        <v>0.41978788229515551</v>
      </c>
      <c r="BI90">
        <f t="shared" si="129"/>
        <v>0.84763861142341856</v>
      </c>
      <c r="BJ90">
        <f t="shared" si="130"/>
        <v>1.8086628000536753</v>
      </c>
      <c r="BK90">
        <f t="shared" si="131"/>
        <v>0.95995154253055137</v>
      </c>
      <c r="BL90">
        <f t="shared" si="132"/>
        <v>0.29189497820451743</v>
      </c>
      <c r="BM90">
        <f t="shared" si="133"/>
        <v>0.70810502179548251</v>
      </c>
      <c r="BN90">
        <v>5018</v>
      </c>
      <c r="BO90">
        <v>290.00000000000011</v>
      </c>
      <c r="BP90">
        <v>916.53</v>
      </c>
      <c r="BQ90">
        <v>275</v>
      </c>
      <c r="BR90">
        <v>10030.799999999999</v>
      </c>
      <c r="BS90">
        <v>916.41</v>
      </c>
      <c r="BT90">
        <v>0.12</v>
      </c>
      <c r="BU90">
        <v>300.00000000000011</v>
      </c>
      <c r="BV90">
        <v>24.1</v>
      </c>
      <c r="BW90">
        <v>958.43457456863166</v>
      </c>
      <c r="BX90">
        <v>1.322387909945661</v>
      </c>
      <c r="BY90">
        <v>-42.15211895947504</v>
      </c>
      <c r="BZ90">
        <v>1.182064592131755</v>
      </c>
      <c r="CA90">
        <v>0.97845519491319499</v>
      </c>
      <c r="CB90">
        <v>-6.8349942157953283E-3</v>
      </c>
      <c r="CC90">
        <v>289.99999999999989</v>
      </c>
      <c r="CD90">
        <v>915.3</v>
      </c>
      <c r="CE90">
        <v>665</v>
      </c>
      <c r="CF90">
        <v>10020.5</v>
      </c>
      <c r="CG90">
        <v>916.37</v>
      </c>
      <c r="CH90">
        <v>-1.07</v>
      </c>
      <c r="CV90">
        <f t="shared" si="134"/>
        <v>1800.22</v>
      </c>
      <c r="CW90">
        <f t="shared" si="135"/>
        <v>1513.3694999210297</v>
      </c>
      <c r="CX90">
        <f t="shared" si="136"/>
        <v>0.84065808619003768</v>
      </c>
      <c r="CY90">
        <f t="shared" si="137"/>
        <v>0.16087010634677273</v>
      </c>
      <c r="CZ90">
        <v>6</v>
      </c>
      <c r="DA90">
        <v>0.5</v>
      </c>
      <c r="DB90" t="s">
        <v>418</v>
      </c>
      <c r="DC90">
        <v>2</v>
      </c>
      <c r="DD90">
        <v>1639683649.5999999</v>
      </c>
      <c r="DE90">
        <v>95.5595</v>
      </c>
      <c r="DF90">
        <v>120.032</v>
      </c>
      <c r="DG90">
        <v>25.050899999999999</v>
      </c>
      <c r="DH90">
        <v>17.752099999999999</v>
      </c>
      <c r="DI90">
        <v>96.999200000000002</v>
      </c>
      <c r="DJ90">
        <v>25.048300000000001</v>
      </c>
      <c r="DK90">
        <v>500.10500000000002</v>
      </c>
      <c r="DL90">
        <v>99.416300000000007</v>
      </c>
      <c r="DM90">
        <v>0.100229</v>
      </c>
      <c r="DN90">
        <v>28.005099999999999</v>
      </c>
      <c r="DO90">
        <v>27.769600000000001</v>
      </c>
      <c r="DP90">
        <v>999.9</v>
      </c>
      <c r="DQ90">
        <v>0</v>
      </c>
      <c r="DR90">
        <v>0</v>
      </c>
      <c r="DS90">
        <v>9980</v>
      </c>
      <c r="DT90">
        <v>0</v>
      </c>
      <c r="DU90">
        <v>249.54</v>
      </c>
      <c r="DV90">
        <v>-24.472899999999999</v>
      </c>
      <c r="DW90">
        <v>98.014899999999997</v>
      </c>
      <c r="DX90">
        <v>122.202</v>
      </c>
      <c r="DY90">
        <v>7.2988499999999998</v>
      </c>
      <c r="DZ90">
        <v>120.032</v>
      </c>
      <c r="EA90">
        <v>17.752099999999999</v>
      </c>
      <c r="EB90">
        <v>2.4904700000000002</v>
      </c>
      <c r="EC90">
        <v>1.76485</v>
      </c>
      <c r="ED90">
        <v>20.964400000000001</v>
      </c>
      <c r="EE90">
        <v>15.478899999999999</v>
      </c>
      <c r="EF90">
        <v>1800.22</v>
      </c>
      <c r="EG90">
        <v>0.97800500000000001</v>
      </c>
      <c r="EH90">
        <v>2.19946E-2</v>
      </c>
      <c r="EI90">
        <v>0</v>
      </c>
      <c r="EJ90">
        <v>784.51199999999994</v>
      </c>
      <c r="EK90">
        <v>5.0001199999999999</v>
      </c>
      <c r="EL90">
        <v>14093.6</v>
      </c>
      <c r="EM90">
        <v>15631.9</v>
      </c>
      <c r="EN90">
        <v>48.5</v>
      </c>
      <c r="EO90">
        <v>49</v>
      </c>
      <c r="EP90">
        <v>49.25</v>
      </c>
      <c r="EQ90">
        <v>48.625</v>
      </c>
      <c r="ER90">
        <v>49.875</v>
      </c>
      <c r="ES90">
        <v>1755.73</v>
      </c>
      <c r="ET90">
        <v>39.49</v>
      </c>
      <c r="EU90">
        <v>0</v>
      </c>
      <c r="EV90">
        <v>114.7999999523163</v>
      </c>
      <c r="EW90">
        <v>0</v>
      </c>
      <c r="EX90">
        <v>785.32892307692305</v>
      </c>
      <c r="EY90">
        <v>-3.518632473832108</v>
      </c>
      <c r="EZ90">
        <v>-71.873504359898391</v>
      </c>
      <c r="FA90">
        <v>14100.80384615384</v>
      </c>
      <c r="FB90">
        <v>15</v>
      </c>
      <c r="FC90">
        <v>1639683610.0999999</v>
      </c>
      <c r="FD90" t="s">
        <v>797</v>
      </c>
      <c r="FE90">
        <v>1639683600.0999999</v>
      </c>
      <c r="FF90">
        <v>1639683610.0999999</v>
      </c>
      <c r="FG90">
        <v>81</v>
      </c>
      <c r="FH90">
        <v>9.7000000000000003E-2</v>
      </c>
      <c r="FI90">
        <v>-1E-3</v>
      </c>
      <c r="FJ90">
        <v>-1.478</v>
      </c>
      <c r="FK90">
        <v>-0.106</v>
      </c>
      <c r="FL90">
        <v>120</v>
      </c>
      <c r="FM90">
        <v>18</v>
      </c>
      <c r="FN90">
        <v>0.06</v>
      </c>
      <c r="FO90">
        <v>0.01</v>
      </c>
      <c r="FP90">
        <v>19.75953630710433</v>
      </c>
      <c r="FQ90">
        <v>0.13202841193304529</v>
      </c>
      <c r="FR90">
        <v>2.3083421324354189E-2</v>
      </c>
      <c r="FS90">
        <v>1</v>
      </c>
      <c r="FT90">
        <v>0.52629342417511316</v>
      </c>
      <c r="FU90">
        <v>4.6410691528789683E-2</v>
      </c>
      <c r="FV90">
        <v>6.144072959836518E-3</v>
      </c>
      <c r="FW90">
        <v>1</v>
      </c>
      <c r="FX90">
        <v>2</v>
      </c>
      <c r="FY90">
        <v>2</v>
      </c>
      <c r="FZ90" t="s">
        <v>420</v>
      </c>
      <c r="GA90">
        <v>2.9216700000000002</v>
      </c>
      <c r="GB90">
        <v>2.7450299999999999</v>
      </c>
      <c r="GC90">
        <v>2.65741E-2</v>
      </c>
      <c r="GD90">
        <v>3.3183900000000002E-2</v>
      </c>
      <c r="GE90">
        <v>0.120328</v>
      </c>
      <c r="GF90">
        <v>9.5670599999999995E-2</v>
      </c>
      <c r="GG90">
        <v>30356.2</v>
      </c>
      <c r="GH90">
        <v>29778.9</v>
      </c>
      <c r="GI90">
        <v>28390.3</v>
      </c>
      <c r="GJ90">
        <v>28165.4</v>
      </c>
      <c r="GK90">
        <v>34277.5</v>
      </c>
      <c r="GL90">
        <v>35772.6</v>
      </c>
      <c r="GM90">
        <v>42726</v>
      </c>
      <c r="GN90">
        <v>43825.1</v>
      </c>
      <c r="GO90">
        <v>1.8027</v>
      </c>
      <c r="GP90">
        <v>1.98865</v>
      </c>
      <c r="GQ90">
        <v>4.76018E-2</v>
      </c>
      <c r="GR90">
        <v>0</v>
      </c>
      <c r="GS90">
        <v>26.991599999999998</v>
      </c>
      <c r="GT90">
        <v>999.9</v>
      </c>
      <c r="GU90">
        <v>41.8</v>
      </c>
      <c r="GV90">
        <v>34.5</v>
      </c>
      <c r="GW90">
        <v>23.0989</v>
      </c>
      <c r="GX90">
        <v>61.008400000000002</v>
      </c>
      <c r="GY90">
        <v>29.6995</v>
      </c>
      <c r="GZ90">
        <v>1</v>
      </c>
      <c r="HA90">
        <v>0.30296000000000001</v>
      </c>
      <c r="HB90">
        <v>2.3832100000000001</v>
      </c>
      <c r="HC90">
        <v>20.260200000000001</v>
      </c>
      <c r="HD90">
        <v>5.2755400000000003</v>
      </c>
      <c r="HE90">
        <v>12.0878</v>
      </c>
      <c r="HF90">
        <v>5.0137</v>
      </c>
      <c r="HG90">
        <v>3.2917299999999998</v>
      </c>
      <c r="HH90">
        <v>9999</v>
      </c>
      <c r="HI90">
        <v>9999</v>
      </c>
      <c r="HJ90">
        <v>9999</v>
      </c>
      <c r="HK90">
        <v>999.9</v>
      </c>
      <c r="HL90">
        <v>1.8751500000000001</v>
      </c>
      <c r="HM90">
        <v>1.87561</v>
      </c>
      <c r="HN90">
        <v>1.8754</v>
      </c>
      <c r="HO90">
        <v>1.87927</v>
      </c>
      <c r="HP90">
        <v>1.8727400000000001</v>
      </c>
      <c r="HQ90">
        <v>1.87599</v>
      </c>
      <c r="HR90">
        <v>1.8757600000000001</v>
      </c>
      <c r="HS90">
        <v>1.8771500000000001</v>
      </c>
      <c r="HT90">
        <v>0</v>
      </c>
      <c r="HU90">
        <v>0</v>
      </c>
      <c r="HV90">
        <v>0</v>
      </c>
      <c r="HW90">
        <v>0</v>
      </c>
      <c r="HX90" t="s">
        <v>421</v>
      </c>
      <c r="HY90" t="s">
        <v>422</v>
      </c>
      <c r="HZ90" t="s">
        <v>423</v>
      </c>
      <c r="IA90" t="s">
        <v>423</v>
      </c>
      <c r="IB90" t="s">
        <v>423</v>
      </c>
      <c r="IC90" t="s">
        <v>423</v>
      </c>
      <c r="ID90">
        <v>0</v>
      </c>
      <c r="IE90">
        <v>100</v>
      </c>
      <c r="IF90">
        <v>100</v>
      </c>
      <c r="IG90">
        <v>-1.44</v>
      </c>
      <c r="IH90">
        <v>2.5999999999999999E-3</v>
      </c>
      <c r="II90">
        <v>-1.2897993911935599</v>
      </c>
      <c r="IJ90">
        <v>-1.5404112972462821E-3</v>
      </c>
      <c r="IK90">
        <v>-5.8697186733976997E-8</v>
      </c>
      <c r="IL90">
        <v>1.160237123038427E-10</v>
      </c>
      <c r="IM90">
        <v>-0.18048458382443661</v>
      </c>
      <c r="IN90">
        <v>-3.128848753924141E-3</v>
      </c>
      <c r="IO90">
        <v>3.6841110403368089E-4</v>
      </c>
      <c r="IP90">
        <v>1.9296040270694169E-6</v>
      </c>
      <c r="IQ90">
        <v>1</v>
      </c>
      <c r="IR90">
        <v>1992</v>
      </c>
      <c r="IS90">
        <v>2</v>
      </c>
      <c r="IT90">
        <v>27</v>
      </c>
      <c r="IU90">
        <v>0.8</v>
      </c>
      <c r="IV90">
        <v>0.7</v>
      </c>
      <c r="IW90">
        <v>0.42968800000000001</v>
      </c>
      <c r="IX90">
        <v>2.6892100000000001</v>
      </c>
      <c r="IY90">
        <v>1.69434</v>
      </c>
      <c r="IZ90">
        <v>2.34863</v>
      </c>
      <c r="JA90">
        <v>1.5466299999999999</v>
      </c>
      <c r="JB90">
        <v>2.3168899999999999</v>
      </c>
      <c r="JC90">
        <v>38.378999999999998</v>
      </c>
      <c r="JD90">
        <v>24.096299999999999</v>
      </c>
      <c r="JE90">
        <v>18</v>
      </c>
      <c r="JF90">
        <v>533.24599999999998</v>
      </c>
      <c r="JG90">
        <v>540.78800000000001</v>
      </c>
      <c r="JH90">
        <v>24.986599999999999</v>
      </c>
      <c r="JI90">
        <v>30.977900000000002</v>
      </c>
      <c r="JJ90">
        <v>30.000399999999999</v>
      </c>
      <c r="JK90">
        <v>30.981999999999999</v>
      </c>
      <c r="JL90">
        <v>30.946899999999999</v>
      </c>
      <c r="JM90">
        <v>8.6731599999999993</v>
      </c>
      <c r="JN90">
        <v>28.049600000000002</v>
      </c>
      <c r="JO90">
        <v>42.169600000000003</v>
      </c>
      <c r="JP90">
        <v>24.986000000000001</v>
      </c>
      <c r="JQ90">
        <v>120</v>
      </c>
      <c r="JR90">
        <v>17.626999999999999</v>
      </c>
      <c r="JS90">
        <v>99.550799999999995</v>
      </c>
      <c r="JT90">
        <v>98.702699999999993</v>
      </c>
    </row>
    <row r="91" spans="1:280" x14ac:dyDescent="0.25">
      <c r="A91">
        <v>75</v>
      </c>
      <c r="B91">
        <v>1639683768.0999999</v>
      </c>
      <c r="C91">
        <v>17166</v>
      </c>
      <c r="D91" t="s">
        <v>798</v>
      </c>
      <c r="E91" t="s">
        <v>799</v>
      </c>
      <c r="F91" t="s">
        <v>412</v>
      </c>
      <c r="G91" t="s">
        <v>779</v>
      </c>
      <c r="H91" t="s">
        <v>493</v>
      </c>
      <c r="I91">
        <v>1639683768.0999999</v>
      </c>
      <c r="J91">
        <f t="shared" si="92"/>
        <v>6.7158949662996219E-3</v>
      </c>
      <c r="K91">
        <f t="shared" si="93"/>
        <v>6.7158949662996221</v>
      </c>
      <c r="L91">
        <f t="shared" si="94"/>
        <v>12.242230095239723</v>
      </c>
      <c r="M91">
        <f t="shared" si="95"/>
        <v>54.907200000000003</v>
      </c>
      <c r="N91">
        <f t="shared" si="96"/>
        <v>16.818096264042914</v>
      </c>
      <c r="O91">
        <f t="shared" si="97"/>
        <v>1.6737684421736629</v>
      </c>
      <c r="P91">
        <f t="shared" si="98"/>
        <v>5.4644673906763197</v>
      </c>
      <c r="Q91">
        <f t="shared" si="99"/>
        <v>0.57296613252879525</v>
      </c>
      <c r="R91">
        <f t="shared" si="100"/>
        <v>2.9208064296712655</v>
      </c>
      <c r="S91">
        <f t="shared" si="101"/>
        <v>0.51706716058989932</v>
      </c>
      <c r="T91">
        <f t="shared" si="102"/>
        <v>0.32773362061348255</v>
      </c>
      <c r="U91">
        <f t="shared" si="103"/>
        <v>289.54891484755927</v>
      </c>
      <c r="V91">
        <f t="shared" si="104"/>
        <v>27.959266711197898</v>
      </c>
      <c r="W91">
        <f t="shared" si="105"/>
        <v>27.7654</v>
      </c>
      <c r="X91">
        <f t="shared" si="106"/>
        <v>3.7432486271377661</v>
      </c>
      <c r="Y91">
        <f t="shared" si="107"/>
        <v>65.650586795037967</v>
      </c>
      <c r="Z91">
        <f t="shared" si="108"/>
        <v>2.49110214900417</v>
      </c>
      <c r="AA91">
        <f t="shared" si="109"/>
        <v>3.7944857321404073</v>
      </c>
      <c r="AB91">
        <f t="shared" si="110"/>
        <v>1.252146478133596</v>
      </c>
      <c r="AC91">
        <f t="shared" si="111"/>
        <v>-296.17096801381331</v>
      </c>
      <c r="AD91">
        <f t="shared" si="112"/>
        <v>36.689698283089974</v>
      </c>
      <c r="AE91">
        <f t="shared" si="113"/>
        <v>2.7348960625813823</v>
      </c>
      <c r="AF91">
        <f t="shared" si="114"/>
        <v>32.802541179417297</v>
      </c>
      <c r="AG91">
        <v>0</v>
      </c>
      <c r="AH91">
        <v>0</v>
      </c>
      <c r="AI91">
        <f t="shared" si="115"/>
        <v>1</v>
      </c>
      <c r="AJ91">
        <f t="shared" si="116"/>
        <v>0</v>
      </c>
      <c r="AK91">
        <f t="shared" si="117"/>
        <v>52437.813035472391</v>
      </c>
      <c r="AL91" t="s">
        <v>415</v>
      </c>
      <c r="AM91">
        <v>10204.299999999999</v>
      </c>
      <c r="AN91">
        <v>862.72538461538477</v>
      </c>
      <c r="AO91">
        <v>3252.56</v>
      </c>
      <c r="AP91">
        <f t="shared" si="118"/>
        <v>0.73475496697512588</v>
      </c>
      <c r="AQ91">
        <v>-6.6684750346205304</v>
      </c>
      <c r="AR91" t="s">
        <v>800</v>
      </c>
      <c r="AS91">
        <v>10039.299999999999</v>
      </c>
      <c r="AT91">
        <v>802.26592307692295</v>
      </c>
      <c r="AU91">
        <v>917.60562571350295</v>
      </c>
      <c r="AV91">
        <f t="shared" si="119"/>
        <v>0.12569637696684266</v>
      </c>
      <c r="AW91">
        <v>0.5</v>
      </c>
      <c r="AX91">
        <f t="shared" si="120"/>
        <v>1513.0922999210152</v>
      </c>
      <c r="AY91">
        <f t="shared" si="121"/>
        <v>12.242230095239723</v>
      </c>
      <c r="AZ91">
        <f t="shared" si="122"/>
        <v>95.095110058249446</v>
      </c>
      <c r="BA91">
        <f t="shared" si="123"/>
        <v>1.2498051262865729E-2</v>
      </c>
      <c r="BB91">
        <f t="shared" si="124"/>
        <v>2.5446164548859493</v>
      </c>
      <c r="BC91">
        <f t="shared" si="125"/>
        <v>515.07626729965943</v>
      </c>
      <c r="BD91" t="s">
        <v>801</v>
      </c>
      <c r="BE91">
        <v>553.77</v>
      </c>
      <c r="BF91">
        <f t="shared" si="126"/>
        <v>553.77</v>
      </c>
      <c r="BG91">
        <f t="shared" si="127"/>
        <v>0.39650544364371698</v>
      </c>
      <c r="BH91">
        <f t="shared" si="128"/>
        <v>0.31701046979770631</v>
      </c>
      <c r="BI91">
        <f t="shared" si="129"/>
        <v>0.86518564774824913</v>
      </c>
      <c r="BJ91">
        <f t="shared" si="130"/>
        <v>2.1016617334163818</v>
      </c>
      <c r="BK91">
        <f t="shared" si="131"/>
        <v>0.97703596694732553</v>
      </c>
      <c r="BL91">
        <f t="shared" si="132"/>
        <v>0.21881882653894502</v>
      </c>
      <c r="BM91">
        <f t="shared" si="133"/>
        <v>0.78118117346105498</v>
      </c>
      <c r="BN91">
        <v>5020</v>
      </c>
      <c r="BO91">
        <v>290.00000000000011</v>
      </c>
      <c r="BP91">
        <v>883.85</v>
      </c>
      <c r="BQ91">
        <v>175</v>
      </c>
      <c r="BR91">
        <v>10039.299999999999</v>
      </c>
      <c r="BS91">
        <v>883.12</v>
      </c>
      <c r="BT91">
        <v>0.73</v>
      </c>
      <c r="BU91">
        <v>300.00000000000011</v>
      </c>
      <c r="BV91">
        <v>24.1</v>
      </c>
      <c r="BW91">
        <v>917.60562571350295</v>
      </c>
      <c r="BX91">
        <v>2.0240040356518132</v>
      </c>
      <c r="BY91">
        <v>-34.621296763533167</v>
      </c>
      <c r="BZ91">
        <v>1.8094434688725241</v>
      </c>
      <c r="CA91">
        <v>0.92895157057138411</v>
      </c>
      <c r="CB91">
        <v>-6.8356676307007834E-3</v>
      </c>
      <c r="CC91">
        <v>289.99999999999989</v>
      </c>
      <c r="CD91">
        <v>879.85</v>
      </c>
      <c r="CE91">
        <v>615</v>
      </c>
      <c r="CF91">
        <v>10024.1</v>
      </c>
      <c r="CG91">
        <v>883.07</v>
      </c>
      <c r="CH91">
        <v>-3.22</v>
      </c>
      <c r="CV91">
        <f t="shared" si="134"/>
        <v>1799.89</v>
      </c>
      <c r="CW91">
        <f t="shared" si="135"/>
        <v>1513.0922999210152</v>
      </c>
      <c r="CX91">
        <f t="shared" si="136"/>
        <v>0.84065820684653791</v>
      </c>
      <c r="CY91">
        <f t="shared" si="137"/>
        <v>0.16087033921381821</v>
      </c>
      <c r="CZ91">
        <v>6</v>
      </c>
      <c r="DA91">
        <v>0.5</v>
      </c>
      <c r="DB91" t="s">
        <v>418</v>
      </c>
      <c r="DC91">
        <v>2</v>
      </c>
      <c r="DD91">
        <v>1639683768.0999999</v>
      </c>
      <c r="DE91">
        <v>54.907200000000003</v>
      </c>
      <c r="DF91">
        <v>70.037199999999999</v>
      </c>
      <c r="DG91">
        <v>25.0307</v>
      </c>
      <c r="DH91">
        <v>17.175000000000001</v>
      </c>
      <c r="DI91">
        <v>56.259300000000003</v>
      </c>
      <c r="DJ91">
        <v>25.0242</v>
      </c>
      <c r="DK91">
        <v>500.10500000000002</v>
      </c>
      <c r="DL91">
        <v>99.421899999999994</v>
      </c>
      <c r="DM91">
        <v>9.9973099999999995E-2</v>
      </c>
      <c r="DN91">
        <v>27.9984</v>
      </c>
      <c r="DO91">
        <v>27.7654</v>
      </c>
      <c r="DP91">
        <v>999.9</v>
      </c>
      <c r="DQ91">
        <v>0</v>
      </c>
      <c r="DR91">
        <v>0</v>
      </c>
      <c r="DS91">
        <v>10008.1</v>
      </c>
      <c r="DT91">
        <v>0</v>
      </c>
      <c r="DU91">
        <v>248.54</v>
      </c>
      <c r="DV91">
        <v>-15.130100000000001</v>
      </c>
      <c r="DW91">
        <v>56.316800000000001</v>
      </c>
      <c r="DX91">
        <v>71.261099999999999</v>
      </c>
      <c r="DY91">
        <v>7.8557100000000002</v>
      </c>
      <c r="DZ91">
        <v>70.037199999999999</v>
      </c>
      <c r="EA91">
        <v>17.175000000000001</v>
      </c>
      <c r="EB91">
        <v>2.4885999999999999</v>
      </c>
      <c r="EC91">
        <v>1.70757</v>
      </c>
      <c r="ED91">
        <v>20.952200000000001</v>
      </c>
      <c r="EE91">
        <v>14.965400000000001</v>
      </c>
      <c r="EF91">
        <v>1799.89</v>
      </c>
      <c r="EG91">
        <v>0.97799899999999995</v>
      </c>
      <c r="EH91">
        <v>2.2001400000000001E-2</v>
      </c>
      <c r="EI91">
        <v>0</v>
      </c>
      <c r="EJ91">
        <v>801.99800000000005</v>
      </c>
      <c r="EK91">
        <v>5.0001199999999999</v>
      </c>
      <c r="EL91">
        <v>14383.3</v>
      </c>
      <c r="EM91">
        <v>15629</v>
      </c>
      <c r="EN91">
        <v>48.25</v>
      </c>
      <c r="EO91">
        <v>48.811999999999998</v>
      </c>
      <c r="EP91">
        <v>49</v>
      </c>
      <c r="EQ91">
        <v>48.561999999999998</v>
      </c>
      <c r="ER91">
        <v>49.75</v>
      </c>
      <c r="ES91">
        <v>1755.4</v>
      </c>
      <c r="ET91">
        <v>39.49</v>
      </c>
      <c r="EU91">
        <v>0</v>
      </c>
      <c r="EV91">
        <v>116.5999999046326</v>
      </c>
      <c r="EW91">
        <v>0</v>
      </c>
      <c r="EX91">
        <v>802.26592307692295</v>
      </c>
      <c r="EY91">
        <v>-3.5003760959953629</v>
      </c>
      <c r="EZ91">
        <v>-50.608547034840782</v>
      </c>
      <c r="FA91">
        <v>14390.41923076923</v>
      </c>
      <c r="FB91">
        <v>15</v>
      </c>
      <c r="FC91">
        <v>1639683729.0999999</v>
      </c>
      <c r="FD91" t="s">
        <v>802</v>
      </c>
      <c r="FE91">
        <v>1639683717.5999999</v>
      </c>
      <c r="FF91">
        <v>1639683729.0999999</v>
      </c>
      <c r="FG91">
        <v>82</v>
      </c>
      <c r="FH91">
        <v>2.4E-2</v>
      </c>
      <c r="FI91">
        <v>4.0000000000000001E-3</v>
      </c>
      <c r="FJ91">
        <v>-1.3759999999999999</v>
      </c>
      <c r="FK91">
        <v>-0.107</v>
      </c>
      <c r="FL91">
        <v>70</v>
      </c>
      <c r="FM91">
        <v>17</v>
      </c>
      <c r="FN91">
        <v>0.15</v>
      </c>
      <c r="FO91">
        <v>0.01</v>
      </c>
      <c r="FP91">
        <v>12.24819399237462</v>
      </c>
      <c r="FQ91">
        <v>3.4627181717667883E-2</v>
      </c>
      <c r="FR91">
        <v>2.0556506809864279E-2</v>
      </c>
      <c r="FS91">
        <v>1</v>
      </c>
      <c r="FT91">
        <v>0.56845284585564393</v>
      </c>
      <c r="FU91">
        <v>3.567199141055561E-2</v>
      </c>
      <c r="FV91">
        <v>5.2089328476458844E-3</v>
      </c>
      <c r="FW91">
        <v>1</v>
      </c>
      <c r="FX91">
        <v>2</v>
      </c>
      <c r="FY91">
        <v>2</v>
      </c>
      <c r="FZ91" t="s">
        <v>420</v>
      </c>
      <c r="GA91">
        <v>2.9214899999999999</v>
      </c>
      <c r="GB91">
        <v>2.7450199999999998</v>
      </c>
      <c r="GC91">
        <v>1.56724E-2</v>
      </c>
      <c r="GD91">
        <v>1.9835499999999999E-2</v>
      </c>
      <c r="GE91">
        <v>0.120239</v>
      </c>
      <c r="GF91">
        <v>9.3421199999999996E-2</v>
      </c>
      <c r="GG91">
        <v>30690</v>
      </c>
      <c r="GH91">
        <v>30182.6</v>
      </c>
      <c r="GI91">
        <v>28385.4</v>
      </c>
      <c r="GJ91">
        <v>28159.3</v>
      </c>
      <c r="GK91">
        <v>34274.9</v>
      </c>
      <c r="GL91">
        <v>35854.199999999997</v>
      </c>
      <c r="GM91">
        <v>42718.3</v>
      </c>
      <c r="GN91">
        <v>43815.7</v>
      </c>
      <c r="GO91">
        <v>1.8019499999999999</v>
      </c>
      <c r="GP91">
        <v>1.98573</v>
      </c>
      <c r="GQ91">
        <v>3.85717E-2</v>
      </c>
      <c r="GR91">
        <v>0</v>
      </c>
      <c r="GS91">
        <v>27.135100000000001</v>
      </c>
      <c r="GT91">
        <v>999.9</v>
      </c>
      <c r="GU91">
        <v>41.4</v>
      </c>
      <c r="GV91">
        <v>34.5</v>
      </c>
      <c r="GW91">
        <v>22.8765</v>
      </c>
      <c r="GX91">
        <v>61.108400000000003</v>
      </c>
      <c r="GY91">
        <v>29.142600000000002</v>
      </c>
      <c r="GZ91">
        <v>1</v>
      </c>
      <c r="HA91">
        <v>0.31320100000000001</v>
      </c>
      <c r="HB91">
        <v>2.4590100000000001</v>
      </c>
      <c r="HC91">
        <v>20.259</v>
      </c>
      <c r="HD91">
        <v>5.2758399999999996</v>
      </c>
      <c r="HE91">
        <v>12.0878</v>
      </c>
      <c r="HF91">
        <v>5.0134499999999997</v>
      </c>
      <c r="HG91">
        <v>3.2919200000000002</v>
      </c>
      <c r="HH91">
        <v>9999</v>
      </c>
      <c r="HI91">
        <v>9999</v>
      </c>
      <c r="HJ91">
        <v>9999</v>
      </c>
      <c r="HK91">
        <v>999.9</v>
      </c>
      <c r="HL91">
        <v>1.8751500000000001</v>
      </c>
      <c r="HM91">
        <v>1.8756200000000001</v>
      </c>
      <c r="HN91">
        <v>1.8754299999999999</v>
      </c>
      <c r="HO91">
        <v>1.87927</v>
      </c>
      <c r="HP91">
        <v>1.87276</v>
      </c>
      <c r="HQ91">
        <v>1.8760600000000001</v>
      </c>
      <c r="HR91">
        <v>1.8757600000000001</v>
      </c>
      <c r="HS91">
        <v>1.87714</v>
      </c>
      <c r="HT91">
        <v>0</v>
      </c>
      <c r="HU91">
        <v>0</v>
      </c>
      <c r="HV91">
        <v>0</v>
      </c>
      <c r="HW91">
        <v>0</v>
      </c>
      <c r="HX91" t="s">
        <v>421</v>
      </c>
      <c r="HY91" t="s">
        <v>422</v>
      </c>
      <c r="HZ91" t="s">
        <v>423</v>
      </c>
      <c r="IA91" t="s">
        <v>423</v>
      </c>
      <c r="IB91" t="s">
        <v>423</v>
      </c>
      <c r="IC91" t="s">
        <v>423</v>
      </c>
      <c r="ID91">
        <v>0</v>
      </c>
      <c r="IE91">
        <v>100</v>
      </c>
      <c r="IF91">
        <v>100</v>
      </c>
      <c r="IG91">
        <v>-1.3520000000000001</v>
      </c>
      <c r="IH91">
        <v>6.4999999999999997E-3</v>
      </c>
      <c r="II91">
        <v>-1.265351501334345</v>
      </c>
      <c r="IJ91">
        <v>-1.5404112972462821E-3</v>
      </c>
      <c r="IK91">
        <v>-5.8697186733976997E-8</v>
      </c>
      <c r="IL91">
        <v>1.160237123038427E-10</v>
      </c>
      <c r="IM91">
        <v>-0.17611078434357921</v>
      </c>
      <c r="IN91">
        <v>-3.128848753924141E-3</v>
      </c>
      <c r="IO91">
        <v>3.6841110403368089E-4</v>
      </c>
      <c r="IP91">
        <v>1.9296040270694169E-6</v>
      </c>
      <c r="IQ91">
        <v>1</v>
      </c>
      <c r="IR91">
        <v>1992</v>
      </c>
      <c r="IS91">
        <v>2</v>
      </c>
      <c r="IT91">
        <v>27</v>
      </c>
      <c r="IU91">
        <v>0.8</v>
      </c>
      <c r="IV91">
        <v>0.7</v>
      </c>
      <c r="IW91">
        <v>0.31494100000000003</v>
      </c>
      <c r="IX91">
        <v>2.6916500000000001</v>
      </c>
      <c r="IY91">
        <v>1.69434</v>
      </c>
      <c r="IZ91">
        <v>2.34985</v>
      </c>
      <c r="JA91">
        <v>1.5466299999999999</v>
      </c>
      <c r="JB91">
        <v>2.4731399999999999</v>
      </c>
      <c r="JC91">
        <v>38.403399999999998</v>
      </c>
      <c r="JD91">
        <v>24.105</v>
      </c>
      <c r="JE91">
        <v>18</v>
      </c>
      <c r="JF91">
        <v>533.15099999999995</v>
      </c>
      <c r="JG91">
        <v>539.01499999999999</v>
      </c>
      <c r="JH91">
        <v>24.994700000000002</v>
      </c>
      <c r="JI91">
        <v>31.072700000000001</v>
      </c>
      <c r="JJ91">
        <v>30.000499999999999</v>
      </c>
      <c r="JK91">
        <v>31.0352</v>
      </c>
      <c r="JL91">
        <v>30.992599999999999</v>
      </c>
      <c r="JM91">
        <v>6.3862500000000004</v>
      </c>
      <c r="JN91">
        <v>29.9068</v>
      </c>
      <c r="JO91">
        <v>40.7712</v>
      </c>
      <c r="JP91">
        <v>24.991499999999998</v>
      </c>
      <c r="JQ91">
        <v>70</v>
      </c>
      <c r="JR91">
        <v>17.115600000000001</v>
      </c>
      <c r="JS91">
        <v>99.533100000000005</v>
      </c>
      <c r="JT91">
        <v>98.681399999999996</v>
      </c>
    </row>
    <row r="92" spans="1:280" x14ac:dyDescent="0.25">
      <c r="A92">
        <v>76</v>
      </c>
      <c r="B92">
        <v>1639683895.0999999</v>
      </c>
      <c r="C92">
        <v>17293</v>
      </c>
      <c r="D92" t="s">
        <v>803</v>
      </c>
      <c r="E92" t="s">
        <v>804</v>
      </c>
      <c r="F92" t="s">
        <v>412</v>
      </c>
      <c r="G92" t="s">
        <v>779</v>
      </c>
      <c r="H92" t="s">
        <v>493</v>
      </c>
      <c r="I92">
        <v>1639683895.0999999</v>
      </c>
      <c r="J92">
        <f t="shared" si="92"/>
        <v>7.0389343764189032E-3</v>
      </c>
      <c r="K92">
        <f t="shared" si="93"/>
        <v>7.0389343764189034</v>
      </c>
      <c r="L92">
        <f t="shared" si="94"/>
        <v>5.5347329393924234</v>
      </c>
      <c r="M92">
        <f t="shared" si="95"/>
        <v>23.182099999999998</v>
      </c>
      <c r="N92">
        <f t="shared" si="96"/>
        <v>6.8010521199509792</v>
      </c>
      <c r="O92">
        <f t="shared" si="97"/>
        <v>0.67684434281998473</v>
      </c>
      <c r="P92">
        <f t="shared" si="98"/>
        <v>2.3070949851506599</v>
      </c>
      <c r="Q92">
        <f t="shared" si="99"/>
        <v>0.60472551698590482</v>
      </c>
      <c r="R92">
        <f t="shared" si="100"/>
        <v>2.9230750057569348</v>
      </c>
      <c r="S92">
        <f t="shared" si="101"/>
        <v>0.54285838938592246</v>
      </c>
      <c r="T92">
        <f t="shared" si="102"/>
        <v>0.34431604747014544</v>
      </c>
      <c r="U92">
        <f t="shared" si="103"/>
        <v>289.58778514269756</v>
      </c>
      <c r="V92">
        <f t="shared" si="104"/>
        <v>27.861596610628272</v>
      </c>
      <c r="W92">
        <f t="shared" si="105"/>
        <v>27.739599999999999</v>
      </c>
      <c r="X92">
        <f t="shared" si="106"/>
        <v>3.7376124606379935</v>
      </c>
      <c r="Y92">
        <f t="shared" si="107"/>
        <v>65.609622438439487</v>
      </c>
      <c r="Z92">
        <f t="shared" si="108"/>
        <v>2.4875456184873799</v>
      </c>
      <c r="AA92">
        <f t="shared" si="109"/>
        <v>3.7914341312075166</v>
      </c>
      <c r="AB92">
        <f t="shared" si="110"/>
        <v>1.2500668421506136</v>
      </c>
      <c r="AC92">
        <f t="shared" si="111"/>
        <v>-310.41700600007363</v>
      </c>
      <c r="AD92">
        <f t="shared" si="112"/>
        <v>38.609260829040288</v>
      </c>
      <c r="AE92">
        <f t="shared" si="113"/>
        <v>2.8751814322626452</v>
      </c>
      <c r="AF92">
        <f t="shared" si="114"/>
        <v>20.655221403926866</v>
      </c>
      <c r="AG92">
        <v>0</v>
      </c>
      <c r="AH92">
        <v>0</v>
      </c>
      <c r="AI92">
        <f t="shared" si="115"/>
        <v>1</v>
      </c>
      <c r="AJ92">
        <f t="shared" si="116"/>
        <v>0</v>
      </c>
      <c r="AK92">
        <f t="shared" si="117"/>
        <v>52505.340312444117</v>
      </c>
      <c r="AL92" t="s">
        <v>415</v>
      </c>
      <c r="AM92">
        <v>10204.299999999999</v>
      </c>
      <c r="AN92">
        <v>862.72538461538477</v>
      </c>
      <c r="AO92">
        <v>3252.56</v>
      </c>
      <c r="AP92">
        <f t="shared" si="118"/>
        <v>0.73475496697512588</v>
      </c>
      <c r="AQ92">
        <v>-6.6684750346205304</v>
      </c>
      <c r="AR92" t="s">
        <v>805</v>
      </c>
      <c r="AS92">
        <v>10046.299999999999</v>
      </c>
      <c r="AT92">
        <v>819.56319230769236</v>
      </c>
      <c r="AU92">
        <v>894.85704696109292</v>
      </c>
      <c r="AV92">
        <f t="shared" si="119"/>
        <v>8.4140651190149462E-2</v>
      </c>
      <c r="AW92">
        <v>0.5</v>
      </c>
      <c r="AX92">
        <f t="shared" si="120"/>
        <v>1513.2941933381853</v>
      </c>
      <c r="AY92">
        <f t="shared" si="121"/>
        <v>5.5347329393924234</v>
      </c>
      <c r="AZ92">
        <f t="shared" si="122"/>
        <v>63.664779434873424</v>
      </c>
      <c r="BA92">
        <f t="shared" si="123"/>
        <v>8.0640023782116155E-3</v>
      </c>
      <c r="BB92">
        <f t="shared" si="124"/>
        <v>2.6347258045802895</v>
      </c>
      <c r="BC92">
        <f t="shared" si="125"/>
        <v>507.82966964431665</v>
      </c>
      <c r="BD92" t="s">
        <v>806</v>
      </c>
      <c r="BE92">
        <v>566.79</v>
      </c>
      <c r="BF92">
        <f t="shared" si="126"/>
        <v>566.79</v>
      </c>
      <c r="BG92">
        <f t="shared" si="127"/>
        <v>0.36661391679844124</v>
      </c>
      <c r="BH92">
        <f t="shared" si="128"/>
        <v>0.22950752094991733</v>
      </c>
      <c r="BI92">
        <f t="shared" si="129"/>
        <v>0.877849910096139</v>
      </c>
      <c r="BJ92">
        <f t="shared" si="130"/>
        <v>2.3432916057471771</v>
      </c>
      <c r="BK92">
        <f t="shared" si="131"/>
        <v>0.98655485942882426</v>
      </c>
      <c r="BL92">
        <f t="shared" si="132"/>
        <v>0.15872182770058585</v>
      </c>
      <c r="BM92">
        <f t="shared" si="133"/>
        <v>0.84127817229941415</v>
      </c>
      <c r="BN92">
        <v>5022</v>
      </c>
      <c r="BO92">
        <v>290.00000000000011</v>
      </c>
      <c r="BP92">
        <v>873.26</v>
      </c>
      <c r="BQ92">
        <v>115</v>
      </c>
      <c r="BR92">
        <v>10046.299999999999</v>
      </c>
      <c r="BS92">
        <v>869.5</v>
      </c>
      <c r="BT92">
        <v>3.76</v>
      </c>
      <c r="BU92">
        <v>300.00000000000011</v>
      </c>
      <c r="BV92">
        <v>24.1</v>
      </c>
      <c r="BW92">
        <v>894.85704696109292</v>
      </c>
      <c r="BX92">
        <v>1.976095525846707</v>
      </c>
      <c r="BY92">
        <v>-25.476566517361992</v>
      </c>
      <c r="BZ92">
        <v>1.7668433658645799</v>
      </c>
      <c r="CA92">
        <v>0.8813131541024134</v>
      </c>
      <c r="CB92">
        <v>-6.8361001112347084E-3</v>
      </c>
      <c r="CC92">
        <v>289.99999999999989</v>
      </c>
      <c r="CD92">
        <v>865.92</v>
      </c>
      <c r="CE92">
        <v>625</v>
      </c>
      <c r="CF92">
        <v>10024.9</v>
      </c>
      <c r="CG92">
        <v>869.44</v>
      </c>
      <c r="CH92">
        <v>-3.52</v>
      </c>
      <c r="CV92">
        <f t="shared" si="134"/>
        <v>1800.13</v>
      </c>
      <c r="CW92">
        <f t="shared" si="135"/>
        <v>1513.2941933381853</v>
      </c>
      <c r="CX92">
        <f t="shared" si="136"/>
        <v>0.84065828208972981</v>
      </c>
      <c r="CY92">
        <f t="shared" si="137"/>
        <v>0.16087048443317847</v>
      </c>
      <c r="CZ92">
        <v>6</v>
      </c>
      <c r="DA92">
        <v>0.5</v>
      </c>
      <c r="DB92" t="s">
        <v>418</v>
      </c>
      <c r="DC92">
        <v>2</v>
      </c>
      <c r="DD92">
        <v>1639683895.0999999</v>
      </c>
      <c r="DE92">
        <v>23.182099999999998</v>
      </c>
      <c r="DF92">
        <v>30.019100000000002</v>
      </c>
      <c r="DG92">
        <v>24.9953</v>
      </c>
      <c r="DH92">
        <v>16.760300000000001</v>
      </c>
      <c r="DI92">
        <v>24.383299999999998</v>
      </c>
      <c r="DJ92">
        <v>24.993300000000001</v>
      </c>
      <c r="DK92">
        <v>500.036</v>
      </c>
      <c r="DL92">
        <v>99.420599999999993</v>
      </c>
      <c r="DM92">
        <v>9.9934599999999998E-2</v>
      </c>
      <c r="DN92">
        <v>27.9846</v>
      </c>
      <c r="DO92">
        <v>27.739599999999999</v>
      </c>
      <c r="DP92">
        <v>999.9</v>
      </c>
      <c r="DQ92">
        <v>0</v>
      </c>
      <c r="DR92">
        <v>0</v>
      </c>
      <c r="DS92">
        <v>10021.200000000001</v>
      </c>
      <c r="DT92">
        <v>0</v>
      </c>
      <c r="DU92">
        <v>250.923</v>
      </c>
      <c r="DV92">
        <v>-6.8370100000000003</v>
      </c>
      <c r="DW92">
        <v>23.776399999999999</v>
      </c>
      <c r="DX92">
        <v>30.530799999999999</v>
      </c>
      <c r="DY92">
        <v>8.2350100000000008</v>
      </c>
      <c r="DZ92">
        <v>30.019100000000002</v>
      </c>
      <c r="EA92">
        <v>16.760300000000001</v>
      </c>
      <c r="EB92">
        <v>2.4850500000000002</v>
      </c>
      <c r="EC92">
        <v>1.66632</v>
      </c>
      <c r="ED92">
        <v>20.928899999999999</v>
      </c>
      <c r="EE92">
        <v>14.5862</v>
      </c>
      <c r="EF92">
        <v>1800.13</v>
      </c>
      <c r="EG92">
        <v>0.97799899999999995</v>
      </c>
      <c r="EH92">
        <v>2.2001400000000001E-2</v>
      </c>
      <c r="EI92">
        <v>0</v>
      </c>
      <c r="EJ92">
        <v>819.74800000000005</v>
      </c>
      <c r="EK92">
        <v>5.0001199999999999</v>
      </c>
      <c r="EL92">
        <v>14683.8</v>
      </c>
      <c r="EM92">
        <v>15631.1</v>
      </c>
      <c r="EN92">
        <v>48.061999999999998</v>
      </c>
      <c r="EO92">
        <v>48.625</v>
      </c>
      <c r="EP92">
        <v>48.75</v>
      </c>
      <c r="EQ92">
        <v>48.311999999999998</v>
      </c>
      <c r="ER92">
        <v>49.5</v>
      </c>
      <c r="ES92">
        <v>1755.64</v>
      </c>
      <c r="ET92">
        <v>39.5</v>
      </c>
      <c r="EU92">
        <v>0</v>
      </c>
      <c r="EV92">
        <v>125</v>
      </c>
      <c r="EW92">
        <v>0</v>
      </c>
      <c r="EX92">
        <v>819.56319230769236</v>
      </c>
      <c r="EY92">
        <v>-0.89760682483458909</v>
      </c>
      <c r="EZ92">
        <v>-11.408547002386021</v>
      </c>
      <c r="FA92">
        <v>14684.01153846154</v>
      </c>
      <c r="FB92">
        <v>15</v>
      </c>
      <c r="FC92">
        <v>1639683855.5999999</v>
      </c>
      <c r="FD92" t="s">
        <v>807</v>
      </c>
      <c r="FE92">
        <v>1639683845.5999999</v>
      </c>
      <c r="FF92">
        <v>1639683855.5999999</v>
      </c>
      <c r="FG92">
        <v>83</v>
      </c>
      <c r="FH92">
        <v>0.10199999999999999</v>
      </c>
      <c r="FI92">
        <v>-4.0000000000000001E-3</v>
      </c>
      <c r="FJ92">
        <v>-1.212</v>
      </c>
      <c r="FK92">
        <v>-0.11799999999999999</v>
      </c>
      <c r="FL92">
        <v>30</v>
      </c>
      <c r="FM92">
        <v>17</v>
      </c>
      <c r="FN92">
        <v>0.2</v>
      </c>
      <c r="FO92">
        <v>0.01</v>
      </c>
      <c r="FP92">
        <v>5.5712392016652119</v>
      </c>
      <c r="FQ92">
        <v>-0.1243649629317904</v>
      </c>
      <c r="FR92">
        <v>2.1655096414999381E-2</v>
      </c>
      <c r="FS92">
        <v>1</v>
      </c>
      <c r="FT92">
        <v>0.60277767316583442</v>
      </c>
      <c r="FU92">
        <v>4.4877642090310248E-2</v>
      </c>
      <c r="FV92">
        <v>5.8731081911914743E-3</v>
      </c>
      <c r="FW92">
        <v>1</v>
      </c>
      <c r="FX92">
        <v>2</v>
      </c>
      <c r="FY92">
        <v>2</v>
      </c>
      <c r="FZ92" t="s">
        <v>420</v>
      </c>
      <c r="GA92">
        <v>2.9210799999999999</v>
      </c>
      <c r="GB92">
        <v>2.7450899999999998</v>
      </c>
      <c r="GC92">
        <v>6.8538399999999999E-3</v>
      </c>
      <c r="GD92">
        <v>8.6201000000000003E-3</v>
      </c>
      <c r="GE92">
        <v>0.120111</v>
      </c>
      <c r="GF92">
        <v>9.1772000000000006E-2</v>
      </c>
      <c r="GG92">
        <v>30957.599999999999</v>
      </c>
      <c r="GH92">
        <v>30521.599999999999</v>
      </c>
      <c r="GI92">
        <v>28379.5</v>
      </c>
      <c r="GJ92">
        <v>28154.400000000001</v>
      </c>
      <c r="GK92">
        <v>34273.1</v>
      </c>
      <c r="GL92">
        <v>35913.4</v>
      </c>
      <c r="GM92">
        <v>42709.4</v>
      </c>
      <c r="GN92">
        <v>43807.9</v>
      </c>
      <c r="GO92">
        <v>1.8002499999999999</v>
      </c>
      <c r="GP92">
        <v>1.9834499999999999</v>
      </c>
      <c r="GQ92">
        <v>3.3892699999999998E-2</v>
      </c>
      <c r="GR92">
        <v>0</v>
      </c>
      <c r="GS92">
        <v>27.1858</v>
      </c>
      <c r="GT92">
        <v>999.9</v>
      </c>
      <c r="GU92">
        <v>40.9</v>
      </c>
      <c r="GV92">
        <v>34.6</v>
      </c>
      <c r="GW92">
        <v>22.728000000000002</v>
      </c>
      <c r="GX92">
        <v>61.128399999999999</v>
      </c>
      <c r="GY92">
        <v>29.659500000000001</v>
      </c>
      <c r="GZ92">
        <v>1</v>
      </c>
      <c r="HA92">
        <v>0.32322400000000001</v>
      </c>
      <c r="HB92">
        <v>2.3931300000000002</v>
      </c>
      <c r="HC92">
        <v>20.260100000000001</v>
      </c>
      <c r="HD92">
        <v>5.2752400000000002</v>
      </c>
      <c r="HE92">
        <v>12.0878</v>
      </c>
      <c r="HF92">
        <v>5.0136500000000002</v>
      </c>
      <c r="HG92">
        <v>3.2916799999999999</v>
      </c>
      <c r="HH92">
        <v>9999</v>
      </c>
      <c r="HI92">
        <v>9999</v>
      </c>
      <c r="HJ92">
        <v>9999</v>
      </c>
      <c r="HK92">
        <v>999.9</v>
      </c>
      <c r="HL92">
        <v>1.8751500000000001</v>
      </c>
      <c r="HM92">
        <v>1.87561</v>
      </c>
      <c r="HN92">
        <v>1.8754299999999999</v>
      </c>
      <c r="HO92">
        <v>1.8792800000000001</v>
      </c>
      <c r="HP92">
        <v>1.87276</v>
      </c>
      <c r="HQ92">
        <v>1.8760600000000001</v>
      </c>
      <c r="HR92">
        <v>1.8757600000000001</v>
      </c>
      <c r="HS92">
        <v>1.8771599999999999</v>
      </c>
      <c r="HT92">
        <v>0</v>
      </c>
      <c r="HU92">
        <v>0</v>
      </c>
      <c r="HV92">
        <v>0</v>
      </c>
      <c r="HW92">
        <v>0</v>
      </c>
      <c r="HX92" t="s">
        <v>421</v>
      </c>
      <c r="HY92" t="s">
        <v>422</v>
      </c>
      <c r="HZ92" t="s">
        <v>423</v>
      </c>
      <c r="IA92" t="s">
        <v>423</v>
      </c>
      <c r="IB92" t="s">
        <v>423</v>
      </c>
      <c r="IC92" t="s">
        <v>423</v>
      </c>
      <c r="ID92">
        <v>0</v>
      </c>
      <c r="IE92">
        <v>100</v>
      </c>
      <c r="IF92">
        <v>100</v>
      </c>
      <c r="IG92">
        <v>-1.2010000000000001</v>
      </c>
      <c r="IH92">
        <v>2E-3</v>
      </c>
      <c r="II92">
        <v>-1.163666006900947</v>
      </c>
      <c r="IJ92">
        <v>-1.5404112972462821E-3</v>
      </c>
      <c r="IK92">
        <v>-5.8697186733976997E-8</v>
      </c>
      <c r="IL92">
        <v>1.160237123038427E-10</v>
      </c>
      <c r="IM92">
        <v>-0.17999192770147779</v>
      </c>
      <c r="IN92">
        <v>-3.128848753924141E-3</v>
      </c>
      <c r="IO92">
        <v>3.6841110403368089E-4</v>
      </c>
      <c r="IP92">
        <v>1.9296040270694169E-6</v>
      </c>
      <c r="IQ92">
        <v>1</v>
      </c>
      <c r="IR92">
        <v>1992</v>
      </c>
      <c r="IS92">
        <v>2</v>
      </c>
      <c r="IT92">
        <v>27</v>
      </c>
      <c r="IU92">
        <v>0.8</v>
      </c>
      <c r="IV92">
        <v>0.7</v>
      </c>
      <c r="IW92">
        <v>0.224609</v>
      </c>
      <c r="IX92">
        <v>2.7172900000000002</v>
      </c>
      <c r="IY92">
        <v>1.69434</v>
      </c>
      <c r="IZ92">
        <v>2.34863</v>
      </c>
      <c r="JA92">
        <v>1.5466299999999999</v>
      </c>
      <c r="JB92">
        <v>2.3852500000000001</v>
      </c>
      <c r="JC92">
        <v>38.476900000000001</v>
      </c>
      <c r="JD92">
        <v>24.105</v>
      </c>
      <c r="JE92">
        <v>18</v>
      </c>
      <c r="JF92">
        <v>532.57799999999997</v>
      </c>
      <c r="JG92">
        <v>538.02800000000002</v>
      </c>
      <c r="JH92">
        <v>25.027200000000001</v>
      </c>
      <c r="JI92">
        <v>31.186399999999999</v>
      </c>
      <c r="JJ92">
        <v>30.000399999999999</v>
      </c>
      <c r="JK92">
        <v>31.12</v>
      </c>
      <c r="JL92">
        <v>31.069800000000001</v>
      </c>
      <c r="JM92">
        <v>4.5707700000000004</v>
      </c>
      <c r="JN92">
        <v>30.394100000000002</v>
      </c>
      <c r="JO92">
        <v>39.327100000000002</v>
      </c>
      <c r="JP92">
        <v>25.032399999999999</v>
      </c>
      <c r="JQ92">
        <v>30</v>
      </c>
      <c r="JR92">
        <v>16.734100000000002</v>
      </c>
      <c r="JS92">
        <v>99.512500000000003</v>
      </c>
      <c r="JT92">
        <v>98.663899999999998</v>
      </c>
    </row>
    <row r="93" spans="1:280" x14ac:dyDescent="0.25">
      <c r="A93">
        <v>77</v>
      </c>
      <c r="B93">
        <v>1639684019.5999999</v>
      </c>
      <c r="C93">
        <v>17417.5</v>
      </c>
      <c r="D93" t="s">
        <v>808</v>
      </c>
      <c r="E93" t="s">
        <v>809</v>
      </c>
      <c r="F93" t="s">
        <v>412</v>
      </c>
      <c r="G93" t="s">
        <v>779</v>
      </c>
      <c r="H93" t="s">
        <v>493</v>
      </c>
      <c r="I93">
        <v>1639684019.5999999</v>
      </c>
      <c r="J93">
        <f t="shared" si="92"/>
        <v>7.2274536877968655E-3</v>
      </c>
      <c r="K93">
        <f t="shared" si="93"/>
        <v>7.2274536877968654</v>
      </c>
      <c r="L93">
        <f t="shared" si="94"/>
        <v>1.9990172442498488</v>
      </c>
      <c r="M93">
        <f t="shared" si="95"/>
        <v>7.55776</v>
      </c>
      <c r="N93">
        <f t="shared" si="96"/>
        <v>1.8480428165709211</v>
      </c>
      <c r="O93">
        <f t="shared" si="97"/>
        <v>0.18391161414323259</v>
      </c>
      <c r="P93">
        <f t="shared" si="98"/>
        <v>0.75212534495616001</v>
      </c>
      <c r="Q93">
        <f t="shared" si="99"/>
        <v>0.62749767661701783</v>
      </c>
      <c r="R93">
        <f t="shared" si="100"/>
        <v>2.9198432148260824</v>
      </c>
      <c r="S93">
        <f t="shared" si="101"/>
        <v>0.56109119773448213</v>
      </c>
      <c r="T93">
        <f t="shared" si="102"/>
        <v>0.35606093630640134</v>
      </c>
      <c r="U93">
        <f t="shared" si="103"/>
        <v>289.57822184753593</v>
      </c>
      <c r="V93">
        <f t="shared" si="104"/>
        <v>27.809767387102756</v>
      </c>
      <c r="W93">
        <f t="shared" si="105"/>
        <v>27.701000000000001</v>
      </c>
      <c r="X93">
        <f t="shared" si="106"/>
        <v>3.7291938834979459</v>
      </c>
      <c r="Y93">
        <f t="shared" si="107"/>
        <v>65.613945707048074</v>
      </c>
      <c r="Z93">
        <f t="shared" si="108"/>
        <v>2.4873469515971998</v>
      </c>
      <c r="AA93">
        <f t="shared" si="109"/>
        <v>3.7908815340913353</v>
      </c>
      <c r="AB93">
        <f t="shared" si="110"/>
        <v>1.2418469319007461</v>
      </c>
      <c r="AC93">
        <f t="shared" si="111"/>
        <v>-318.73070763184177</v>
      </c>
      <c r="AD93">
        <f t="shared" si="112"/>
        <v>44.249240517494307</v>
      </c>
      <c r="AE93">
        <f t="shared" si="113"/>
        <v>3.2981548668140706</v>
      </c>
      <c r="AF93">
        <f t="shared" si="114"/>
        <v>18.394909600002528</v>
      </c>
      <c r="AG93">
        <v>0</v>
      </c>
      <c r="AH93">
        <v>0</v>
      </c>
      <c r="AI93">
        <f t="shared" si="115"/>
        <v>1</v>
      </c>
      <c r="AJ93">
        <f t="shared" si="116"/>
        <v>0</v>
      </c>
      <c r="AK93">
        <f t="shared" si="117"/>
        <v>52412.891842068879</v>
      </c>
      <c r="AL93" t="s">
        <v>415</v>
      </c>
      <c r="AM93">
        <v>10204.299999999999</v>
      </c>
      <c r="AN93">
        <v>862.72538461538477</v>
      </c>
      <c r="AO93">
        <v>3252.56</v>
      </c>
      <c r="AP93">
        <f t="shared" si="118"/>
        <v>0.73475496697512588</v>
      </c>
      <c r="AQ93">
        <v>-6.6684750346205304</v>
      </c>
      <c r="AR93" t="s">
        <v>810</v>
      </c>
      <c r="AS93">
        <v>10052</v>
      </c>
      <c r="AT93">
        <v>828.65228000000002</v>
      </c>
      <c r="AU93">
        <v>893.60648951198164</v>
      </c>
      <c r="AV93">
        <f t="shared" si="119"/>
        <v>7.2687710165863395E-2</v>
      </c>
      <c r="AW93">
        <v>0.5</v>
      </c>
      <c r="AX93">
        <f t="shared" si="120"/>
        <v>1513.2437999210031</v>
      </c>
      <c r="AY93">
        <f t="shared" si="121"/>
        <v>1.9990172442498488</v>
      </c>
      <c r="AZ93">
        <f t="shared" si="122"/>
        <v>54.997113369473823</v>
      </c>
      <c r="BA93">
        <f t="shared" si="123"/>
        <v>5.727756676962994E-3</v>
      </c>
      <c r="BB93">
        <f t="shared" si="124"/>
        <v>2.6398124209866642</v>
      </c>
      <c r="BC93">
        <f t="shared" si="125"/>
        <v>507.42667893026493</v>
      </c>
      <c r="BD93" t="s">
        <v>811</v>
      </c>
      <c r="BE93">
        <v>578.44000000000005</v>
      </c>
      <c r="BF93">
        <f t="shared" si="126"/>
        <v>578.44000000000005</v>
      </c>
      <c r="BG93">
        <f t="shared" si="127"/>
        <v>0.35269046634173506</v>
      </c>
      <c r="BH93">
        <f t="shared" si="128"/>
        <v>0.20609491070119709</v>
      </c>
      <c r="BI93">
        <f t="shared" si="129"/>
        <v>0.88214197960002483</v>
      </c>
      <c r="BJ93">
        <f t="shared" si="130"/>
        <v>2.1033641681369906</v>
      </c>
      <c r="BK93">
        <f t="shared" si="131"/>
        <v>0.98707814143380512</v>
      </c>
      <c r="BL93">
        <f t="shared" si="132"/>
        <v>0.1438643723347994</v>
      </c>
      <c r="BM93">
        <f t="shared" si="133"/>
        <v>0.85613562766520057</v>
      </c>
      <c r="BN93">
        <v>5024</v>
      </c>
      <c r="BO93">
        <v>290.00000000000011</v>
      </c>
      <c r="BP93">
        <v>870.31</v>
      </c>
      <c r="BQ93">
        <v>75</v>
      </c>
      <c r="BR93">
        <v>10052</v>
      </c>
      <c r="BS93">
        <v>866.84</v>
      </c>
      <c r="BT93">
        <v>3.47</v>
      </c>
      <c r="BU93">
        <v>300.00000000000011</v>
      </c>
      <c r="BV93">
        <v>24.1</v>
      </c>
      <c r="BW93">
        <v>893.60648951198164</v>
      </c>
      <c r="BX93">
        <v>2.0260485745911341</v>
      </c>
      <c r="BY93">
        <v>-26.906209965951899</v>
      </c>
      <c r="BZ93">
        <v>1.8117352755110989</v>
      </c>
      <c r="CA93">
        <v>0.88734856932900086</v>
      </c>
      <c r="CB93">
        <v>-6.8365737486095687E-3</v>
      </c>
      <c r="CC93">
        <v>289.99999999999989</v>
      </c>
      <c r="CD93">
        <v>863.33</v>
      </c>
      <c r="CE93">
        <v>625</v>
      </c>
      <c r="CF93">
        <v>10026.200000000001</v>
      </c>
      <c r="CG93">
        <v>866.77</v>
      </c>
      <c r="CH93">
        <v>-3.44</v>
      </c>
      <c r="CV93">
        <f t="shared" si="134"/>
        <v>1800.07</v>
      </c>
      <c r="CW93">
        <f t="shared" si="135"/>
        <v>1513.2437999210031</v>
      </c>
      <c r="CX93">
        <f t="shared" si="136"/>
        <v>0.84065830768859162</v>
      </c>
      <c r="CY93">
        <f t="shared" si="137"/>
        <v>0.16087053383898178</v>
      </c>
      <c r="CZ93">
        <v>6</v>
      </c>
      <c r="DA93">
        <v>0.5</v>
      </c>
      <c r="DB93" t="s">
        <v>418</v>
      </c>
      <c r="DC93">
        <v>2</v>
      </c>
      <c r="DD93">
        <v>1639684019.5999999</v>
      </c>
      <c r="DE93">
        <v>7.55776</v>
      </c>
      <c r="DF93">
        <v>10.021699999999999</v>
      </c>
      <c r="DG93">
        <v>24.994199999999999</v>
      </c>
      <c r="DH93">
        <v>16.5395</v>
      </c>
      <c r="DI93">
        <v>8.7522400000000005</v>
      </c>
      <c r="DJ93">
        <v>24.989799999999999</v>
      </c>
      <c r="DK93">
        <v>500.08699999999999</v>
      </c>
      <c r="DL93">
        <v>99.416899999999998</v>
      </c>
      <c r="DM93">
        <v>0.100066</v>
      </c>
      <c r="DN93">
        <v>27.982099999999999</v>
      </c>
      <c r="DO93">
        <v>27.701000000000001</v>
      </c>
      <c r="DP93">
        <v>999.9</v>
      </c>
      <c r="DQ93">
        <v>0</v>
      </c>
      <c r="DR93">
        <v>0</v>
      </c>
      <c r="DS93">
        <v>10003.1</v>
      </c>
      <c r="DT93">
        <v>0</v>
      </c>
      <c r="DU93">
        <v>245.654</v>
      </c>
      <c r="DV93">
        <v>-2.46394</v>
      </c>
      <c r="DW93">
        <v>7.7515000000000001</v>
      </c>
      <c r="DX93">
        <v>10.190200000000001</v>
      </c>
      <c r="DY93">
        <v>8.4546600000000005</v>
      </c>
      <c r="DZ93">
        <v>10.021699999999999</v>
      </c>
      <c r="EA93">
        <v>16.5395</v>
      </c>
      <c r="EB93">
        <v>2.4848400000000002</v>
      </c>
      <c r="EC93">
        <v>1.6443099999999999</v>
      </c>
      <c r="ED93">
        <v>20.927600000000002</v>
      </c>
      <c r="EE93">
        <v>14.3804</v>
      </c>
      <c r="EF93">
        <v>1800.07</v>
      </c>
      <c r="EG93">
        <v>0.97799499999999995</v>
      </c>
      <c r="EH93">
        <v>2.2004900000000001E-2</v>
      </c>
      <c r="EI93">
        <v>0</v>
      </c>
      <c r="EJ93">
        <v>828.41099999999994</v>
      </c>
      <c r="EK93">
        <v>5.0001199999999999</v>
      </c>
      <c r="EL93">
        <v>14830.9</v>
      </c>
      <c r="EM93">
        <v>15630.6</v>
      </c>
      <c r="EN93">
        <v>47.936999999999998</v>
      </c>
      <c r="EO93">
        <v>48.5</v>
      </c>
      <c r="EP93">
        <v>48.625</v>
      </c>
      <c r="EQ93">
        <v>48.311999999999998</v>
      </c>
      <c r="ER93">
        <v>49.375</v>
      </c>
      <c r="ES93">
        <v>1755.57</v>
      </c>
      <c r="ET93">
        <v>39.5</v>
      </c>
      <c r="EU93">
        <v>0</v>
      </c>
      <c r="EV93">
        <v>122.5999999046326</v>
      </c>
      <c r="EW93">
        <v>0</v>
      </c>
      <c r="EX93">
        <v>828.65228000000002</v>
      </c>
      <c r="EY93">
        <v>0.55676922464546341</v>
      </c>
      <c r="EZ93">
        <v>-10.900000025951631</v>
      </c>
      <c r="FA93">
        <v>14831.624</v>
      </c>
      <c r="FB93">
        <v>15</v>
      </c>
      <c r="FC93">
        <v>1639683981.5999999</v>
      </c>
      <c r="FD93" t="s">
        <v>812</v>
      </c>
      <c r="FE93">
        <v>1639683966.0999999</v>
      </c>
      <c r="FF93">
        <v>1639683981.5999999</v>
      </c>
      <c r="FG93">
        <v>84</v>
      </c>
      <c r="FH93">
        <v>-1.7000000000000001E-2</v>
      </c>
      <c r="FI93">
        <v>2E-3</v>
      </c>
      <c r="FJ93">
        <v>-1.198</v>
      </c>
      <c r="FK93">
        <v>-0.11799999999999999</v>
      </c>
      <c r="FL93">
        <v>10</v>
      </c>
      <c r="FM93">
        <v>17</v>
      </c>
      <c r="FN93">
        <v>0.18</v>
      </c>
      <c r="FO93">
        <v>0.01</v>
      </c>
      <c r="FP93">
        <v>2.016529362078979</v>
      </c>
      <c r="FQ93">
        <v>-0.25115359932905668</v>
      </c>
      <c r="FR93">
        <v>2.986774691024045E-2</v>
      </c>
      <c r="FS93">
        <v>1</v>
      </c>
      <c r="FT93">
        <v>0.62637660676189255</v>
      </c>
      <c r="FU93">
        <v>4.4683100593209832E-2</v>
      </c>
      <c r="FV93">
        <v>6.4397704777277914E-3</v>
      </c>
      <c r="FW93">
        <v>1</v>
      </c>
      <c r="FX93">
        <v>2</v>
      </c>
      <c r="FY93">
        <v>2</v>
      </c>
      <c r="FZ93" t="s">
        <v>420</v>
      </c>
      <c r="GA93">
        <v>2.9210199999999999</v>
      </c>
      <c r="GB93">
        <v>2.7450700000000001</v>
      </c>
      <c r="GC93">
        <v>2.46679E-3</v>
      </c>
      <c r="GD93">
        <v>2.8903100000000001E-3</v>
      </c>
      <c r="GE93">
        <v>0.120072</v>
      </c>
      <c r="GF93">
        <v>9.0876499999999999E-2</v>
      </c>
      <c r="GG93">
        <v>31089.4</v>
      </c>
      <c r="GH93">
        <v>30691.200000000001</v>
      </c>
      <c r="GI93">
        <v>28375.7</v>
      </c>
      <c r="GJ93">
        <v>28148.7</v>
      </c>
      <c r="GK93">
        <v>34270.699999999997</v>
      </c>
      <c r="GL93">
        <v>35942.1</v>
      </c>
      <c r="GM93">
        <v>42704.4</v>
      </c>
      <c r="GN93">
        <v>43799.4</v>
      </c>
      <c r="GO93">
        <v>1.79942</v>
      </c>
      <c r="GP93">
        <v>1.98125</v>
      </c>
      <c r="GQ93">
        <v>3.2659599999999997E-2</v>
      </c>
      <c r="GR93">
        <v>0</v>
      </c>
      <c r="GS93">
        <v>27.167200000000001</v>
      </c>
      <c r="GT93">
        <v>999.9</v>
      </c>
      <c r="GU93">
        <v>40.5</v>
      </c>
      <c r="GV93">
        <v>34.6</v>
      </c>
      <c r="GW93">
        <v>22.506</v>
      </c>
      <c r="GX93">
        <v>60.638399999999997</v>
      </c>
      <c r="GY93">
        <v>29.322900000000001</v>
      </c>
      <c r="GZ93">
        <v>1</v>
      </c>
      <c r="HA93">
        <v>0.33051599999999998</v>
      </c>
      <c r="HB93">
        <v>2.2835000000000001</v>
      </c>
      <c r="HC93">
        <v>20.261199999999999</v>
      </c>
      <c r="HD93">
        <v>5.2755400000000003</v>
      </c>
      <c r="HE93">
        <v>12.0878</v>
      </c>
      <c r="HF93">
        <v>5.0137999999999998</v>
      </c>
      <c r="HG93">
        <v>3.29175</v>
      </c>
      <c r="HH93">
        <v>9999</v>
      </c>
      <c r="HI93">
        <v>9999</v>
      </c>
      <c r="HJ93">
        <v>9999</v>
      </c>
      <c r="HK93">
        <v>999.9</v>
      </c>
      <c r="HL93">
        <v>1.8751500000000001</v>
      </c>
      <c r="HM93">
        <v>1.87561</v>
      </c>
      <c r="HN93">
        <v>1.8754200000000001</v>
      </c>
      <c r="HO93">
        <v>1.8793200000000001</v>
      </c>
      <c r="HP93">
        <v>1.8728199999999999</v>
      </c>
      <c r="HQ93">
        <v>1.87602</v>
      </c>
      <c r="HR93">
        <v>1.8757600000000001</v>
      </c>
      <c r="HS93">
        <v>1.8771800000000001</v>
      </c>
      <c r="HT93">
        <v>0</v>
      </c>
      <c r="HU93">
        <v>0</v>
      </c>
      <c r="HV93">
        <v>0</v>
      </c>
      <c r="HW93">
        <v>0</v>
      </c>
      <c r="HX93" t="s">
        <v>421</v>
      </c>
      <c r="HY93" t="s">
        <v>422</v>
      </c>
      <c r="HZ93" t="s">
        <v>423</v>
      </c>
      <c r="IA93" t="s">
        <v>423</v>
      </c>
      <c r="IB93" t="s">
        <v>423</v>
      </c>
      <c r="IC93" t="s">
        <v>423</v>
      </c>
      <c r="ID93">
        <v>0</v>
      </c>
      <c r="IE93">
        <v>100</v>
      </c>
      <c r="IF93">
        <v>100</v>
      </c>
      <c r="IG93">
        <v>-1.194</v>
      </c>
      <c r="IH93">
        <v>4.4000000000000003E-3</v>
      </c>
      <c r="II93">
        <v>-1.1810003160724589</v>
      </c>
      <c r="IJ93">
        <v>-1.5404112972462821E-3</v>
      </c>
      <c r="IK93">
        <v>-5.8697186733976997E-8</v>
      </c>
      <c r="IL93">
        <v>1.160237123038427E-10</v>
      </c>
      <c r="IM93">
        <v>-0.17763142708870031</v>
      </c>
      <c r="IN93">
        <v>-3.128848753924141E-3</v>
      </c>
      <c r="IO93">
        <v>3.6841110403368089E-4</v>
      </c>
      <c r="IP93">
        <v>1.9296040270694169E-6</v>
      </c>
      <c r="IQ93">
        <v>1</v>
      </c>
      <c r="IR93">
        <v>1992</v>
      </c>
      <c r="IS93">
        <v>2</v>
      </c>
      <c r="IT93">
        <v>27</v>
      </c>
      <c r="IU93">
        <v>0.9</v>
      </c>
      <c r="IV93">
        <v>0.6</v>
      </c>
      <c r="IW93">
        <v>0.17944299999999999</v>
      </c>
      <c r="IX93">
        <v>2.7294900000000002</v>
      </c>
      <c r="IY93">
        <v>1.69434</v>
      </c>
      <c r="IZ93">
        <v>2.34985</v>
      </c>
      <c r="JA93">
        <v>1.5466299999999999</v>
      </c>
      <c r="JB93">
        <v>2.4243199999999998</v>
      </c>
      <c r="JC93">
        <v>38.501399999999997</v>
      </c>
      <c r="JD93">
        <v>24.105</v>
      </c>
      <c r="JE93">
        <v>18</v>
      </c>
      <c r="JF93">
        <v>532.73199999999997</v>
      </c>
      <c r="JG93">
        <v>537.11900000000003</v>
      </c>
      <c r="JH93">
        <v>25.121200000000002</v>
      </c>
      <c r="JI93">
        <v>31.2822</v>
      </c>
      <c r="JJ93">
        <v>30</v>
      </c>
      <c r="JK93">
        <v>31.204599999999999</v>
      </c>
      <c r="JL93">
        <v>31.1492</v>
      </c>
      <c r="JM93">
        <v>3.6852200000000002</v>
      </c>
      <c r="JN93">
        <v>30.776199999999999</v>
      </c>
      <c r="JO93">
        <v>37.921500000000002</v>
      </c>
      <c r="JP93">
        <v>25.127800000000001</v>
      </c>
      <c r="JQ93">
        <v>10</v>
      </c>
      <c r="JR93">
        <v>16.481300000000001</v>
      </c>
      <c r="JS93">
        <v>99.5</v>
      </c>
      <c r="JT93">
        <v>98.644499999999994</v>
      </c>
    </row>
    <row r="94" spans="1:280" x14ac:dyDescent="0.25">
      <c r="A94">
        <v>78</v>
      </c>
      <c r="B94">
        <v>1639684209.0999999</v>
      </c>
      <c r="C94">
        <v>17607</v>
      </c>
      <c r="D94" t="s">
        <v>813</v>
      </c>
      <c r="E94" t="s">
        <v>814</v>
      </c>
      <c r="F94" t="s">
        <v>412</v>
      </c>
      <c r="G94" t="s">
        <v>779</v>
      </c>
      <c r="H94" t="s">
        <v>493</v>
      </c>
      <c r="I94">
        <v>1639684209.0999999</v>
      </c>
      <c r="J94">
        <f t="shared" si="92"/>
        <v>6.7982372533162763E-3</v>
      </c>
      <c r="K94">
        <f t="shared" si="93"/>
        <v>6.7982372533162767</v>
      </c>
      <c r="L94">
        <f t="shared" si="94"/>
        <v>38.399038432156694</v>
      </c>
      <c r="M94">
        <f t="shared" si="95"/>
        <v>351.084</v>
      </c>
      <c r="N94">
        <f t="shared" si="96"/>
        <v>228.94020470054764</v>
      </c>
      <c r="O94">
        <f t="shared" si="97"/>
        <v>22.784952211834398</v>
      </c>
      <c r="P94">
        <f t="shared" si="98"/>
        <v>34.941141826980001</v>
      </c>
      <c r="Q94">
        <f t="shared" si="99"/>
        <v>0.57838042709910387</v>
      </c>
      <c r="R94">
        <f t="shared" si="100"/>
        <v>2.9155827808642556</v>
      </c>
      <c r="S94">
        <f t="shared" si="101"/>
        <v>0.52138487056290972</v>
      </c>
      <c r="T94">
        <f t="shared" si="102"/>
        <v>0.3305170713853518</v>
      </c>
      <c r="U94">
        <f t="shared" si="103"/>
        <v>289.56066584752659</v>
      </c>
      <c r="V94">
        <f t="shared" si="104"/>
        <v>27.928675596861293</v>
      </c>
      <c r="W94">
        <f t="shared" si="105"/>
        <v>27.652899999999999</v>
      </c>
      <c r="X94">
        <f t="shared" si="106"/>
        <v>3.7187265357072676</v>
      </c>
      <c r="Y94">
        <f t="shared" si="107"/>
        <v>64.900864227540723</v>
      </c>
      <c r="Z94">
        <f t="shared" si="108"/>
        <v>2.4613478850235002</v>
      </c>
      <c r="AA94">
        <f t="shared" si="109"/>
        <v>3.7924732040456033</v>
      </c>
      <c r="AB94">
        <f t="shared" si="110"/>
        <v>1.2573786506837674</v>
      </c>
      <c r="AC94">
        <f t="shared" si="111"/>
        <v>-299.80226287124776</v>
      </c>
      <c r="AD94">
        <f t="shared" si="112"/>
        <v>52.876999983889426</v>
      </c>
      <c r="AE94">
        <f t="shared" si="113"/>
        <v>3.9461869773755462</v>
      </c>
      <c r="AF94">
        <f t="shared" si="114"/>
        <v>46.581589937543789</v>
      </c>
      <c r="AG94">
        <v>0</v>
      </c>
      <c r="AH94">
        <v>0</v>
      </c>
      <c r="AI94">
        <f t="shared" si="115"/>
        <v>1</v>
      </c>
      <c r="AJ94">
        <f t="shared" si="116"/>
        <v>0</v>
      </c>
      <c r="AK94">
        <f t="shared" si="117"/>
        <v>52289.539049302453</v>
      </c>
      <c r="AL94" t="s">
        <v>415</v>
      </c>
      <c r="AM94">
        <v>10204.299999999999</v>
      </c>
      <c r="AN94">
        <v>862.72538461538477</v>
      </c>
      <c r="AO94">
        <v>3252.56</v>
      </c>
      <c r="AP94">
        <f t="shared" si="118"/>
        <v>0.73475496697512588</v>
      </c>
      <c r="AQ94">
        <v>-6.6684750346205304</v>
      </c>
      <c r="AR94" t="s">
        <v>815</v>
      </c>
      <c r="AS94">
        <v>10036.200000000001</v>
      </c>
      <c r="AT94">
        <v>740.76555999999982</v>
      </c>
      <c r="AU94">
        <v>993.99405355932072</v>
      </c>
      <c r="AV94">
        <f t="shared" si="119"/>
        <v>0.25475855982493401</v>
      </c>
      <c r="AW94">
        <v>0.5</v>
      </c>
      <c r="AX94">
        <f t="shared" si="120"/>
        <v>1513.1513999209983</v>
      </c>
      <c r="AY94">
        <f t="shared" si="121"/>
        <v>38.399038432156694</v>
      </c>
      <c r="AZ94">
        <f t="shared" si="122"/>
        <v>192.74413572047814</v>
      </c>
      <c r="BA94">
        <f t="shared" si="123"/>
        <v>2.9783875869348036E-2</v>
      </c>
      <c r="BB94">
        <f t="shared" si="124"/>
        <v>2.2722127344254677</v>
      </c>
      <c r="BC94">
        <f t="shared" si="125"/>
        <v>538.29729604758836</v>
      </c>
      <c r="BD94" t="s">
        <v>816</v>
      </c>
      <c r="BE94">
        <v>552.54</v>
      </c>
      <c r="BF94">
        <f t="shared" si="126"/>
        <v>552.54</v>
      </c>
      <c r="BG94">
        <f t="shared" si="127"/>
        <v>0.44412142303925273</v>
      </c>
      <c r="BH94">
        <f t="shared" si="128"/>
        <v>0.57362366823367072</v>
      </c>
      <c r="BI94">
        <f t="shared" si="129"/>
        <v>0.83649970979499377</v>
      </c>
      <c r="BJ94">
        <f t="shared" si="130"/>
        <v>1.9290855586223186</v>
      </c>
      <c r="BK94">
        <f t="shared" si="131"/>
        <v>0.94507206979977154</v>
      </c>
      <c r="BL94">
        <f t="shared" si="132"/>
        <v>0.42786819307019686</v>
      </c>
      <c r="BM94">
        <f t="shared" si="133"/>
        <v>0.57213180692980314</v>
      </c>
      <c r="BN94">
        <v>5026</v>
      </c>
      <c r="BO94">
        <v>290.00000000000011</v>
      </c>
      <c r="BP94">
        <v>931.84</v>
      </c>
      <c r="BQ94">
        <v>295</v>
      </c>
      <c r="BR94">
        <v>10036.200000000001</v>
      </c>
      <c r="BS94">
        <v>932.12</v>
      </c>
      <c r="BT94">
        <v>-0.28000000000000003</v>
      </c>
      <c r="BU94">
        <v>300.00000000000011</v>
      </c>
      <c r="BV94">
        <v>24.1</v>
      </c>
      <c r="BW94">
        <v>993.99405355932072</v>
      </c>
      <c r="BX94">
        <v>2.1608439471934919</v>
      </c>
      <c r="BY94">
        <v>-62.097249457044889</v>
      </c>
      <c r="BZ94">
        <v>1.932758984077497</v>
      </c>
      <c r="CA94">
        <v>0.97359139672354367</v>
      </c>
      <c r="CB94">
        <v>-6.8387179087875446E-3</v>
      </c>
      <c r="CC94">
        <v>289.99999999999989</v>
      </c>
      <c r="CD94">
        <v>930.53</v>
      </c>
      <c r="CE94">
        <v>685</v>
      </c>
      <c r="CF94">
        <v>10026.1</v>
      </c>
      <c r="CG94">
        <v>932.06</v>
      </c>
      <c r="CH94">
        <v>-1.53</v>
      </c>
      <c r="CV94">
        <f t="shared" si="134"/>
        <v>1799.96</v>
      </c>
      <c r="CW94">
        <f t="shared" si="135"/>
        <v>1513.1513999209983</v>
      </c>
      <c r="CX94">
        <f t="shared" si="136"/>
        <v>0.8406583479193972</v>
      </c>
      <c r="CY94">
        <f t="shared" si="137"/>
        <v>0.16087061148443665</v>
      </c>
      <c r="CZ94">
        <v>6</v>
      </c>
      <c r="DA94">
        <v>0.5</v>
      </c>
      <c r="DB94" t="s">
        <v>418</v>
      </c>
      <c r="DC94">
        <v>2</v>
      </c>
      <c r="DD94">
        <v>1639684209.0999999</v>
      </c>
      <c r="DE94">
        <v>351.084</v>
      </c>
      <c r="DF94">
        <v>400.02</v>
      </c>
      <c r="DG94">
        <v>24.731300000000001</v>
      </c>
      <c r="DH94">
        <v>16.776299999999999</v>
      </c>
      <c r="DI94">
        <v>352.887</v>
      </c>
      <c r="DJ94">
        <v>24.735800000000001</v>
      </c>
      <c r="DK94">
        <v>500.07100000000003</v>
      </c>
      <c r="DL94">
        <v>99.423500000000004</v>
      </c>
      <c r="DM94">
        <v>0.100095</v>
      </c>
      <c r="DN94">
        <v>27.9893</v>
      </c>
      <c r="DO94">
        <v>27.652899999999999</v>
      </c>
      <c r="DP94">
        <v>999.9</v>
      </c>
      <c r="DQ94">
        <v>0</v>
      </c>
      <c r="DR94">
        <v>0</v>
      </c>
      <c r="DS94">
        <v>9978.1200000000008</v>
      </c>
      <c r="DT94">
        <v>0</v>
      </c>
      <c r="DU94">
        <v>247.53299999999999</v>
      </c>
      <c r="DV94">
        <v>-48.935200000000002</v>
      </c>
      <c r="DW94">
        <v>359.98700000000002</v>
      </c>
      <c r="DX94">
        <v>406.84500000000003</v>
      </c>
      <c r="DY94">
        <v>7.9549599999999998</v>
      </c>
      <c r="DZ94">
        <v>400.02</v>
      </c>
      <c r="EA94">
        <v>16.776299999999999</v>
      </c>
      <c r="EB94">
        <v>2.4588700000000001</v>
      </c>
      <c r="EC94">
        <v>1.6679600000000001</v>
      </c>
      <c r="ED94">
        <v>20.756799999999998</v>
      </c>
      <c r="EE94">
        <v>14.6014</v>
      </c>
      <c r="EF94">
        <v>1799.96</v>
      </c>
      <c r="EG94">
        <v>0.97799199999999997</v>
      </c>
      <c r="EH94">
        <v>2.2008099999999999E-2</v>
      </c>
      <c r="EI94">
        <v>0</v>
      </c>
      <c r="EJ94">
        <v>740.13599999999997</v>
      </c>
      <c r="EK94">
        <v>5.0001199999999999</v>
      </c>
      <c r="EL94">
        <v>13254</v>
      </c>
      <c r="EM94">
        <v>15629.6</v>
      </c>
      <c r="EN94">
        <v>47.686999999999998</v>
      </c>
      <c r="EO94">
        <v>48.186999999999998</v>
      </c>
      <c r="EP94">
        <v>48.375</v>
      </c>
      <c r="EQ94">
        <v>48.061999999999998</v>
      </c>
      <c r="ER94">
        <v>49.125</v>
      </c>
      <c r="ES94">
        <v>1755.46</v>
      </c>
      <c r="ET94">
        <v>39.5</v>
      </c>
      <c r="EU94">
        <v>0</v>
      </c>
      <c r="EV94">
        <v>187.39999985694891</v>
      </c>
      <c r="EW94">
        <v>0</v>
      </c>
      <c r="EX94">
        <v>740.76555999999982</v>
      </c>
      <c r="EY94">
        <v>-8.3356923332856425</v>
      </c>
      <c r="EZ94">
        <v>-137.79230789465149</v>
      </c>
      <c r="FA94">
        <v>13270.484</v>
      </c>
      <c r="FB94">
        <v>15</v>
      </c>
      <c r="FC94">
        <v>1639684106.5999999</v>
      </c>
      <c r="FD94" t="s">
        <v>817</v>
      </c>
      <c r="FE94">
        <v>1639684100.5999999</v>
      </c>
      <c r="FF94">
        <v>1639684106.5999999</v>
      </c>
      <c r="FG94">
        <v>85</v>
      </c>
      <c r="FH94">
        <v>-7.5999999999999998E-2</v>
      </c>
      <c r="FI94">
        <v>-4.0000000000000001E-3</v>
      </c>
      <c r="FJ94">
        <v>-1.8779999999999999</v>
      </c>
      <c r="FK94">
        <v>-0.125</v>
      </c>
      <c r="FL94">
        <v>400</v>
      </c>
      <c r="FM94">
        <v>16</v>
      </c>
      <c r="FN94">
        <v>0.1</v>
      </c>
      <c r="FO94">
        <v>0.01</v>
      </c>
      <c r="FP94">
        <v>37.326169066459258</v>
      </c>
      <c r="FQ94">
        <v>6.4938530780349426</v>
      </c>
      <c r="FR94">
        <v>0.62520885045338603</v>
      </c>
      <c r="FS94">
        <v>0</v>
      </c>
      <c r="FT94">
        <v>0.58049730346166317</v>
      </c>
      <c r="FU94">
        <v>-1.2686210862294721E-3</v>
      </c>
      <c r="FV94">
        <v>1.119758149656646E-3</v>
      </c>
      <c r="FW94">
        <v>1</v>
      </c>
      <c r="FX94">
        <v>1</v>
      </c>
      <c r="FY94">
        <v>2</v>
      </c>
      <c r="FZ94" t="s">
        <v>459</v>
      </c>
      <c r="GA94">
        <v>2.9208699999999999</v>
      </c>
      <c r="GB94">
        <v>2.7448800000000002</v>
      </c>
      <c r="GC94">
        <v>8.3158300000000004E-2</v>
      </c>
      <c r="GD94">
        <v>9.3184500000000003E-2</v>
      </c>
      <c r="GE94">
        <v>0.119213</v>
      </c>
      <c r="GF94">
        <v>9.1805600000000001E-2</v>
      </c>
      <c r="GG94">
        <v>28575.9</v>
      </c>
      <c r="GH94">
        <v>27912.400000000001</v>
      </c>
      <c r="GI94">
        <v>28375.1</v>
      </c>
      <c r="GJ94">
        <v>28147.3</v>
      </c>
      <c r="GK94">
        <v>34303.800000000003</v>
      </c>
      <c r="GL94">
        <v>35904.400000000001</v>
      </c>
      <c r="GM94">
        <v>42704.2</v>
      </c>
      <c r="GN94">
        <v>43798.8</v>
      </c>
      <c r="GO94">
        <v>1.7986200000000001</v>
      </c>
      <c r="GP94">
        <v>1.9819</v>
      </c>
      <c r="GQ94">
        <v>3.51816E-2</v>
      </c>
      <c r="GR94">
        <v>0</v>
      </c>
      <c r="GS94">
        <v>27.0779</v>
      </c>
      <c r="GT94">
        <v>999.9</v>
      </c>
      <c r="GU94">
        <v>39.799999999999997</v>
      </c>
      <c r="GV94">
        <v>34.6</v>
      </c>
      <c r="GW94">
        <v>22.1145</v>
      </c>
      <c r="GX94">
        <v>61.228400000000001</v>
      </c>
      <c r="GY94">
        <v>29.7075</v>
      </c>
      <c r="GZ94">
        <v>1</v>
      </c>
      <c r="HA94">
        <v>0.332403</v>
      </c>
      <c r="HB94">
        <v>2.1467499999999999</v>
      </c>
      <c r="HC94">
        <v>20.262799999999999</v>
      </c>
      <c r="HD94">
        <v>5.2747900000000003</v>
      </c>
      <c r="HE94">
        <v>12.0878</v>
      </c>
      <c r="HF94">
        <v>5.0134499999999997</v>
      </c>
      <c r="HG94">
        <v>3.2919</v>
      </c>
      <c r="HH94">
        <v>9999</v>
      </c>
      <c r="HI94">
        <v>9999</v>
      </c>
      <c r="HJ94">
        <v>9999</v>
      </c>
      <c r="HK94">
        <v>999.9</v>
      </c>
      <c r="HL94">
        <v>1.8751500000000001</v>
      </c>
      <c r="HM94">
        <v>1.87561</v>
      </c>
      <c r="HN94">
        <v>1.87541</v>
      </c>
      <c r="HO94">
        <v>1.8793200000000001</v>
      </c>
      <c r="HP94">
        <v>1.87273</v>
      </c>
      <c r="HQ94">
        <v>1.87595</v>
      </c>
      <c r="HR94">
        <v>1.87574</v>
      </c>
      <c r="HS94">
        <v>1.8771500000000001</v>
      </c>
      <c r="HT94">
        <v>0</v>
      </c>
      <c r="HU94">
        <v>0</v>
      </c>
      <c r="HV94">
        <v>0</v>
      </c>
      <c r="HW94">
        <v>0</v>
      </c>
      <c r="HX94" t="s">
        <v>421</v>
      </c>
      <c r="HY94" t="s">
        <v>422</v>
      </c>
      <c r="HZ94" t="s">
        <v>423</v>
      </c>
      <c r="IA94" t="s">
        <v>423</v>
      </c>
      <c r="IB94" t="s">
        <v>423</v>
      </c>
      <c r="IC94" t="s">
        <v>423</v>
      </c>
      <c r="ID94">
        <v>0</v>
      </c>
      <c r="IE94">
        <v>100</v>
      </c>
      <c r="IF94">
        <v>100</v>
      </c>
      <c r="IG94">
        <v>-1.8029999999999999</v>
      </c>
      <c r="IH94">
        <v>-4.4999999999999997E-3</v>
      </c>
      <c r="II94">
        <v>-1.2569777051466671</v>
      </c>
      <c r="IJ94">
        <v>-1.5404112972462821E-3</v>
      </c>
      <c r="IK94">
        <v>-5.8697186733976997E-8</v>
      </c>
      <c r="IL94">
        <v>1.160237123038427E-10</v>
      </c>
      <c r="IM94">
        <v>-0.1817326761325968</v>
      </c>
      <c r="IN94">
        <v>-3.128848753924141E-3</v>
      </c>
      <c r="IO94">
        <v>3.6841110403368089E-4</v>
      </c>
      <c r="IP94">
        <v>1.9296040270694169E-6</v>
      </c>
      <c r="IQ94">
        <v>1</v>
      </c>
      <c r="IR94">
        <v>1992</v>
      </c>
      <c r="IS94">
        <v>2</v>
      </c>
      <c r="IT94">
        <v>27</v>
      </c>
      <c r="IU94">
        <v>1.8</v>
      </c>
      <c r="IV94">
        <v>1.7</v>
      </c>
      <c r="IW94">
        <v>1.0412600000000001</v>
      </c>
      <c r="IX94">
        <v>2.6867700000000001</v>
      </c>
      <c r="IY94">
        <v>1.69434</v>
      </c>
      <c r="IZ94">
        <v>2.34863</v>
      </c>
      <c r="JA94">
        <v>1.5466299999999999</v>
      </c>
      <c r="JB94">
        <v>2.3315399999999999</v>
      </c>
      <c r="JC94">
        <v>38.550400000000003</v>
      </c>
      <c r="JD94">
        <v>24.096299999999999</v>
      </c>
      <c r="JE94">
        <v>18</v>
      </c>
      <c r="JF94">
        <v>532.67700000000002</v>
      </c>
      <c r="JG94">
        <v>538.24300000000005</v>
      </c>
      <c r="JH94">
        <v>25.239599999999999</v>
      </c>
      <c r="JI94">
        <v>31.328700000000001</v>
      </c>
      <c r="JJ94">
        <v>30</v>
      </c>
      <c r="JK94">
        <v>31.266300000000001</v>
      </c>
      <c r="JL94">
        <v>31.217099999999999</v>
      </c>
      <c r="JM94">
        <v>20.923200000000001</v>
      </c>
      <c r="JN94">
        <v>26.607800000000001</v>
      </c>
      <c r="JO94">
        <v>35.565100000000001</v>
      </c>
      <c r="JP94">
        <v>25.245799999999999</v>
      </c>
      <c r="JQ94">
        <v>400</v>
      </c>
      <c r="JR94">
        <v>16.880099999999999</v>
      </c>
      <c r="JS94">
        <v>99.498900000000006</v>
      </c>
      <c r="JT94">
        <v>98.641599999999997</v>
      </c>
    </row>
    <row r="95" spans="1:280" x14ac:dyDescent="0.25">
      <c r="A95">
        <v>79</v>
      </c>
      <c r="B95">
        <v>1639684398.5999999</v>
      </c>
      <c r="C95">
        <v>17796.5</v>
      </c>
      <c r="D95" t="s">
        <v>818</v>
      </c>
      <c r="E95" t="s">
        <v>819</v>
      </c>
      <c r="F95" t="s">
        <v>412</v>
      </c>
      <c r="G95" t="s">
        <v>779</v>
      </c>
      <c r="H95" t="s">
        <v>493</v>
      </c>
      <c r="I95">
        <v>1639684398.5999999</v>
      </c>
      <c r="J95">
        <f t="shared" si="92"/>
        <v>6.4891783833594058E-3</v>
      </c>
      <c r="K95">
        <f t="shared" si="93"/>
        <v>6.4891783833594054</v>
      </c>
      <c r="L95">
        <f t="shared" si="94"/>
        <v>48.572979634781014</v>
      </c>
      <c r="M95">
        <f t="shared" si="95"/>
        <v>339.13600000000002</v>
      </c>
      <c r="N95">
        <f t="shared" si="96"/>
        <v>178.5837617821544</v>
      </c>
      <c r="O95">
        <f t="shared" si="97"/>
        <v>17.775840835367628</v>
      </c>
      <c r="P95">
        <f t="shared" si="98"/>
        <v>33.756862871424005</v>
      </c>
      <c r="Q95">
        <f t="shared" si="99"/>
        <v>0.54499568971992596</v>
      </c>
      <c r="R95">
        <f t="shared" si="100"/>
        <v>2.9181341688039657</v>
      </c>
      <c r="S95">
        <f t="shared" si="101"/>
        <v>0.49412042190498234</v>
      </c>
      <c r="T95">
        <f t="shared" si="102"/>
        <v>0.3129994831339119</v>
      </c>
      <c r="U95">
        <f t="shared" si="103"/>
        <v>289.58199284749901</v>
      </c>
      <c r="V95">
        <f t="shared" si="104"/>
        <v>28.017564139715077</v>
      </c>
      <c r="W95">
        <f t="shared" si="105"/>
        <v>27.696999999999999</v>
      </c>
      <c r="X95">
        <f t="shared" si="106"/>
        <v>3.7283224389728886</v>
      </c>
      <c r="Y95">
        <f t="shared" si="107"/>
        <v>64.881078729994996</v>
      </c>
      <c r="Z95">
        <f t="shared" si="108"/>
        <v>2.4617597567046001</v>
      </c>
      <c r="AA95">
        <f t="shared" si="109"/>
        <v>3.7942645296470858</v>
      </c>
      <c r="AB95">
        <f t="shared" si="110"/>
        <v>1.2665626822682885</v>
      </c>
      <c r="AC95">
        <f t="shared" si="111"/>
        <v>-286.17276670614979</v>
      </c>
      <c r="AD95">
        <f t="shared" si="112"/>
        <v>47.259663772291212</v>
      </c>
      <c r="AE95">
        <f t="shared" si="113"/>
        <v>3.5248010509438856</v>
      </c>
      <c r="AF95">
        <f t="shared" si="114"/>
        <v>54.193690964584327</v>
      </c>
      <c r="AG95">
        <v>0</v>
      </c>
      <c r="AH95">
        <v>0</v>
      </c>
      <c r="AI95">
        <f t="shared" si="115"/>
        <v>1</v>
      </c>
      <c r="AJ95">
        <f t="shared" si="116"/>
        <v>0</v>
      </c>
      <c r="AK95">
        <f t="shared" si="117"/>
        <v>52361.625567714895</v>
      </c>
      <c r="AL95" t="s">
        <v>415</v>
      </c>
      <c r="AM95">
        <v>10204.299999999999</v>
      </c>
      <c r="AN95">
        <v>862.72538461538477</v>
      </c>
      <c r="AO95">
        <v>3252.56</v>
      </c>
      <c r="AP95">
        <f t="shared" si="118"/>
        <v>0.73475496697512588</v>
      </c>
      <c r="AQ95">
        <v>-6.6684750346205304</v>
      </c>
      <c r="AR95" t="s">
        <v>820</v>
      </c>
      <c r="AS95">
        <v>10037.700000000001</v>
      </c>
      <c r="AT95">
        <v>741.0058076923076</v>
      </c>
      <c r="AU95">
        <v>1080.278912202537</v>
      </c>
      <c r="AV95">
        <f t="shared" si="119"/>
        <v>0.31406065663033189</v>
      </c>
      <c r="AW95">
        <v>0.5</v>
      </c>
      <c r="AX95">
        <f t="shared" si="120"/>
        <v>1513.2608999209838</v>
      </c>
      <c r="AY95">
        <f t="shared" si="121"/>
        <v>48.572979634781014</v>
      </c>
      <c r="AZ95">
        <f t="shared" si="122"/>
        <v>237.62785594109556</v>
      </c>
      <c r="BA95">
        <f t="shared" si="123"/>
        <v>3.6504911130847313E-2</v>
      </c>
      <c r="BB95">
        <f t="shared" si="124"/>
        <v>2.0108520709420192</v>
      </c>
      <c r="BC95">
        <f t="shared" si="125"/>
        <v>562.63407728264497</v>
      </c>
      <c r="BD95" t="s">
        <v>821</v>
      </c>
      <c r="BE95">
        <v>563.57000000000005</v>
      </c>
      <c r="BF95">
        <f t="shared" si="126"/>
        <v>563.57000000000005</v>
      </c>
      <c r="BG95">
        <f t="shared" si="127"/>
        <v>0.47831065326364652</v>
      </c>
      <c r="BH95">
        <f t="shared" si="128"/>
        <v>0.65660393404873729</v>
      </c>
      <c r="BI95">
        <f t="shared" si="129"/>
        <v>0.80784275426738783</v>
      </c>
      <c r="BJ95">
        <f t="shared" si="130"/>
        <v>1.5594925454578812</v>
      </c>
      <c r="BK95">
        <f t="shared" si="131"/>
        <v>0.90896712007322755</v>
      </c>
      <c r="BL95">
        <f t="shared" si="132"/>
        <v>0.49937837904976556</v>
      </c>
      <c r="BM95">
        <f t="shared" si="133"/>
        <v>0.50062162095023444</v>
      </c>
      <c r="BN95">
        <v>5028</v>
      </c>
      <c r="BO95">
        <v>290.00000000000011</v>
      </c>
      <c r="BP95">
        <v>998.81</v>
      </c>
      <c r="BQ95">
        <v>295</v>
      </c>
      <c r="BR95">
        <v>10037.700000000001</v>
      </c>
      <c r="BS95">
        <v>998.85</v>
      </c>
      <c r="BT95">
        <v>-0.04</v>
      </c>
      <c r="BU95">
        <v>300.00000000000011</v>
      </c>
      <c r="BV95">
        <v>24.1</v>
      </c>
      <c r="BW95">
        <v>1080.278912202537</v>
      </c>
      <c r="BX95">
        <v>2.1298218525670971</v>
      </c>
      <c r="BY95">
        <v>-81.732799663702536</v>
      </c>
      <c r="BZ95">
        <v>1.905301852523253</v>
      </c>
      <c r="CA95">
        <v>0.98501231624663155</v>
      </c>
      <c r="CB95">
        <v>-6.8397826473859799E-3</v>
      </c>
      <c r="CC95">
        <v>289.99999999999989</v>
      </c>
      <c r="CD95">
        <v>997.95</v>
      </c>
      <c r="CE95">
        <v>695</v>
      </c>
      <c r="CF95">
        <v>10027.4</v>
      </c>
      <c r="CG95">
        <v>998.77</v>
      </c>
      <c r="CH95">
        <v>-0.82</v>
      </c>
      <c r="CV95">
        <f t="shared" si="134"/>
        <v>1800.09</v>
      </c>
      <c r="CW95">
        <f t="shared" si="135"/>
        <v>1513.2608999209838</v>
      </c>
      <c r="CX95">
        <f t="shared" si="136"/>
        <v>0.84065846703275049</v>
      </c>
      <c r="CY95">
        <f t="shared" si="137"/>
        <v>0.16087084137320856</v>
      </c>
      <c r="CZ95">
        <v>6</v>
      </c>
      <c r="DA95">
        <v>0.5</v>
      </c>
      <c r="DB95" t="s">
        <v>418</v>
      </c>
      <c r="DC95">
        <v>2</v>
      </c>
      <c r="DD95">
        <v>1639684398.5999999</v>
      </c>
      <c r="DE95">
        <v>339.13600000000002</v>
      </c>
      <c r="DF95">
        <v>400.05700000000002</v>
      </c>
      <c r="DG95">
        <v>24.7319</v>
      </c>
      <c r="DH95">
        <v>17.138400000000001</v>
      </c>
      <c r="DI95">
        <v>341</v>
      </c>
      <c r="DJ95">
        <v>24.7332</v>
      </c>
      <c r="DK95">
        <v>500.06099999999998</v>
      </c>
      <c r="DL95">
        <v>99.437700000000007</v>
      </c>
      <c r="DM95">
        <v>0.100134</v>
      </c>
      <c r="DN95">
        <v>27.997399999999999</v>
      </c>
      <c r="DO95">
        <v>27.696999999999999</v>
      </c>
      <c r="DP95">
        <v>999.9</v>
      </c>
      <c r="DQ95">
        <v>0</v>
      </c>
      <c r="DR95">
        <v>0</v>
      </c>
      <c r="DS95">
        <v>9991.25</v>
      </c>
      <c r="DT95">
        <v>0</v>
      </c>
      <c r="DU95">
        <v>250.77500000000001</v>
      </c>
      <c r="DV95">
        <v>-60.921399999999998</v>
      </c>
      <c r="DW95">
        <v>347.73599999999999</v>
      </c>
      <c r="DX95">
        <v>407.03300000000002</v>
      </c>
      <c r="DY95">
        <v>7.5934799999999996</v>
      </c>
      <c r="DZ95">
        <v>400.05700000000002</v>
      </c>
      <c r="EA95">
        <v>17.138400000000001</v>
      </c>
      <c r="EB95">
        <v>2.4592800000000001</v>
      </c>
      <c r="EC95">
        <v>1.7041999999999999</v>
      </c>
      <c r="ED95">
        <v>20.759499999999999</v>
      </c>
      <c r="EE95">
        <v>14.934799999999999</v>
      </c>
      <c r="EF95">
        <v>1800.09</v>
      </c>
      <c r="EG95">
        <v>0.97799199999999997</v>
      </c>
      <c r="EH95">
        <v>2.2008099999999999E-2</v>
      </c>
      <c r="EI95">
        <v>0</v>
      </c>
      <c r="EJ95">
        <v>741.447</v>
      </c>
      <c r="EK95">
        <v>5.0001199999999999</v>
      </c>
      <c r="EL95">
        <v>13287.9</v>
      </c>
      <c r="EM95">
        <v>15630.7</v>
      </c>
      <c r="EN95">
        <v>47.436999999999998</v>
      </c>
      <c r="EO95">
        <v>47.936999999999998</v>
      </c>
      <c r="EP95">
        <v>48.125</v>
      </c>
      <c r="EQ95">
        <v>47.811999999999998</v>
      </c>
      <c r="ER95">
        <v>48.875</v>
      </c>
      <c r="ES95">
        <v>1755.58</v>
      </c>
      <c r="ET95">
        <v>39.51</v>
      </c>
      <c r="EU95">
        <v>0</v>
      </c>
      <c r="EV95">
        <v>187.39999985694891</v>
      </c>
      <c r="EW95">
        <v>0</v>
      </c>
      <c r="EX95">
        <v>741.0058076923076</v>
      </c>
      <c r="EY95">
        <v>3.165709398459946</v>
      </c>
      <c r="EZ95">
        <v>71.894017081156093</v>
      </c>
      <c r="FA95">
        <v>13277.91923076923</v>
      </c>
      <c r="FB95">
        <v>15</v>
      </c>
      <c r="FC95">
        <v>1639684280.0999999</v>
      </c>
      <c r="FD95" t="s">
        <v>822</v>
      </c>
      <c r="FE95">
        <v>1639684271.5999999</v>
      </c>
      <c r="FF95">
        <v>1639684280.0999999</v>
      </c>
      <c r="FG95">
        <v>86</v>
      </c>
      <c r="FH95">
        <v>-7.9000000000000001E-2</v>
      </c>
      <c r="FI95">
        <v>3.0000000000000001E-3</v>
      </c>
      <c r="FJ95">
        <v>-1.958</v>
      </c>
      <c r="FK95">
        <v>-0.11600000000000001</v>
      </c>
      <c r="FL95">
        <v>400</v>
      </c>
      <c r="FM95">
        <v>17</v>
      </c>
      <c r="FN95">
        <v>0.02</v>
      </c>
      <c r="FO95">
        <v>0.01</v>
      </c>
      <c r="FP95">
        <v>48.273136262273297</v>
      </c>
      <c r="FQ95">
        <v>1.26141142763767</v>
      </c>
      <c r="FR95">
        <v>0.1230605934393541</v>
      </c>
      <c r="FS95">
        <v>0</v>
      </c>
      <c r="FT95">
        <v>0.55097500619055162</v>
      </c>
      <c r="FU95">
        <v>-3.5862303392245012E-2</v>
      </c>
      <c r="FV95">
        <v>3.5531261614061048E-3</v>
      </c>
      <c r="FW95">
        <v>1</v>
      </c>
      <c r="FX95">
        <v>1</v>
      </c>
      <c r="FY95">
        <v>2</v>
      </c>
      <c r="FZ95" t="s">
        <v>459</v>
      </c>
      <c r="GA95">
        <v>2.9208799999999999</v>
      </c>
      <c r="GB95">
        <v>2.7450299999999999</v>
      </c>
      <c r="GC95">
        <v>8.0941700000000005E-2</v>
      </c>
      <c r="GD95">
        <v>9.3206800000000006E-2</v>
      </c>
      <c r="GE95">
        <v>0.11922199999999999</v>
      </c>
      <c r="GF95">
        <v>9.3242199999999997E-2</v>
      </c>
      <c r="GG95">
        <v>28647.3</v>
      </c>
      <c r="GH95">
        <v>27912.6</v>
      </c>
      <c r="GI95">
        <v>28377.3</v>
      </c>
      <c r="GJ95">
        <v>28148</v>
      </c>
      <c r="GK95">
        <v>34306.9</v>
      </c>
      <c r="GL95">
        <v>35847.9</v>
      </c>
      <c r="GM95">
        <v>42708.6</v>
      </c>
      <c r="GN95">
        <v>43799.199999999997</v>
      </c>
      <c r="GO95">
        <v>1.79905</v>
      </c>
      <c r="GP95">
        <v>1.9825999999999999</v>
      </c>
      <c r="GQ95">
        <v>4.2282E-2</v>
      </c>
      <c r="GR95">
        <v>0</v>
      </c>
      <c r="GS95">
        <v>27.0059</v>
      </c>
      <c r="GT95">
        <v>999.9</v>
      </c>
      <c r="GU95">
        <v>39.5</v>
      </c>
      <c r="GV95">
        <v>34.700000000000003</v>
      </c>
      <c r="GW95">
        <v>22.066500000000001</v>
      </c>
      <c r="GX95">
        <v>60.898400000000002</v>
      </c>
      <c r="GY95">
        <v>29.463100000000001</v>
      </c>
      <c r="GZ95">
        <v>1</v>
      </c>
      <c r="HA95">
        <v>0.32867099999999999</v>
      </c>
      <c r="HB95">
        <v>2.17693</v>
      </c>
      <c r="HC95">
        <v>20.2623</v>
      </c>
      <c r="HD95">
        <v>5.2770400000000004</v>
      </c>
      <c r="HE95">
        <v>12.0878</v>
      </c>
      <c r="HF95">
        <v>5.0137999999999998</v>
      </c>
      <c r="HG95">
        <v>3.2919200000000002</v>
      </c>
      <c r="HH95">
        <v>9999</v>
      </c>
      <c r="HI95">
        <v>9999</v>
      </c>
      <c r="HJ95">
        <v>9999</v>
      </c>
      <c r="HK95">
        <v>999.9</v>
      </c>
      <c r="HL95">
        <v>1.8751500000000001</v>
      </c>
      <c r="HM95">
        <v>1.87561</v>
      </c>
      <c r="HN95">
        <v>1.8754</v>
      </c>
      <c r="HO95">
        <v>1.8793</v>
      </c>
      <c r="HP95">
        <v>1.8727199999999999</v>
      </c>
      <c r="HQ95">
        <v>1.87595</v>
      </c>
      <c r="HR95">
        <v>1.8757600000000001</v>
      </c>
      <c r="HS95">
        <v>1.87714</v>
      </c>
      <c r="HT95">
        <v>0</v>
      </c>
      <c r="HU95">
        <v>0</v>
      </c>
      <c r="HV95">
        <v>0</v>
      </c>
      <c r="HW95">
        <v>0</v>
      </c>
      <c r="HX95" t="s">
        <v>421</v>
      </c>
      <c r="HY95" t="s">
        <v>422</v>
      </c>
      <c r="HZ95" t="s">
        <v>423</v>
      </c>
      <c r="IA95" t="s">
        <v>423</v>
      </c>
      <c r="IB95" t="s">
        <v>423</v>
      </c>
      <c r="IC95" t="s">
        <v>423</v>
      </c>
      <c r="ID95">
        <v>0</v>
      </c>
      <c r="IE95">
        <v>100</v>
      </c>
      <c r="IF95">
        <v>100</v>
      </c>
      <c r="IG95">
        <v>-1.8640000000000001</v>
      </c>
      <c r="IH95">
        <v>-1.2999999999999999E-3</v>
      </c>
      <c r="II95">
        <v>-1.3364116997080919</v>
      </c>
      <c r="IJ95">
        <v>-1.5404112972462821E-3</v>
      </c>
      <c r="IK95">
        <v>-5.8697186733976997E-8</v>
      </c>
      <c r="IL95">
        <v>1.160237123038427E-10</v>
      </c>
      <c r="IM95">
        <v>-0.17847500970763461</v>
      </c>
      <c r="IN95">
        <v>-3.128848753924141E-3</v>
      </c>
      <c r="IO95">
        <v>3.6841110403368089E-4</v>
      </c>
      <c r="IP95">
        <v>1.9296040270694169E-6</v>
      </c>
      <c r="IQ95">
        <v>1</v>
      </c>
      <c r="IR95">
        <v>1992</v>
      </c>
      <c r="IS95">
        <v>2</v>
      </c>
      <c r="IT95">
        <v>27</v>
      </c>
      <c r="IU95">
        <v>2.1</v>
      </c>
      <c r="IV95">
        <v>2</v>
      </c>
      <c r="IW95">
        <v>1.0412600000000001</v>
      </c>
      <c r="IX95">
        <v>2.6916500000000001</v>
      </c>
      <c r="IY95">
        <v>1.69434</v>
      </c>
      <c r="IZ95">
        <v>2.34741</v>
      </c>
      <c r="JA95">
        <v>1.5466299999999999</v>
      </c>
      <c r="JB95">
        <v>2.31812</v>
      </c>
      <c r="JC95">
        <v>38.550400000000003</v>
      </c>
      <c r="JD95">
        <v>24.096299999999999</v>
      </c>
      <c r="JE95">
        <v>18</v>
      </c>
      <c r="JF95">
        <v>533.01599999999996</v>
      </c>
      <c r="JG95">
        <v>538.79499999999996</v>
      </c>
      <c r="JH95">
        <v>25.293800000000001</v>
      </c>
      <c r="JI95">
        <v>31.3005</v>
      </c>
      <c r="JJ95">
        <v>29.9999</v>
      </c>
      <c r="JK95">
        <v>31.264600000000002</v>
      </c>
      <c r="JL95">
        <v>31.219899999999999</v>
      </c>
      <c r="JM95">
        <v>20.922999999999998</v>
      </c>
      <c r="JN95">
        <v>24.562899999999999</v>
      </c>
      <c r="JO95">
        <v>34.145000000000003</v>
      </c>
      <c r="JP95">
        <v>25.243400000000001</v>
      </c>
      <c r="JQ95">
        <v>400</v>
      </c>
      <c r="JR95">
        <v>17.172699999999999</v>
      </c>
      <c r="JS95">
        <v>99.508200000000002</v>
      </c>
      <c r="JT95">
        <v>98.643299999999996</v>
      </c>
    </row>
    <row r="96" spans="1:280" x14ac:dyDescent="0.25">
      <c r="A96">
        <v>80</v>
      </c>
      <c r="B96">
        <v>1639684513.5</v>
      </c>
      <c r="C96">
        <v>17911.400000095371</v>
      </c>
      <c r="D96" t="s">
        <v>823</v>
      </c>
      <c r="E96" t="s">
        <v>824</v>
      </c>
      <c r="F96" t="s">
        <v>412</v>
      </c>
      <c r="G96" t="s">
        <v>779</v>
      </c>
      <c r="H96" t="s">
        <v>493</v>
      </c>
      <c r="I96">
        <v>1639684513.5</v>
      </c>
      <c r="J96">
        <f t="shared" si="92"/>
        <v>6.4912073331392251E-3</v>
      </c>
      <c r="K96">
        <f t="shared" si="93"/>
        <v>6.4912073331392248</v>
      </c>
      <c r="L96">
        <f t="shared" si="94"/>
        <v>50.979504079843878</v>
      </c>
      <c r="M96">
        <f t="shared" si="95"/>
        <v>435.55099999999999</v>
      </c>
      <c r="N96">
        <f t="shared" si="96"/>
        <v>267.00239911683173</v>
      </c>
      <c r="O96">
        <f t="shared" si="97"/>
        <v>26.578930041668432</v>
      </c>
      <c r="P96">
        <f t="shared" si="98"/>
        <v>43.35721175866</v>
      </c>
      <c r="Q96">
        <f t="shared" si="99"/>
        <v>0.55060730590590923</v>
      </c>
      <c r="R96">
        <f t="shared" si="100"/>
        <v>2.921554638531588</v>
      </c>
      <c r="S96">
        <f t="shared" si="101"/>
        <v>0.49878689245734531</v>
      </c>
      <c r="T96">
        <f t="shared" si="102"/>
        <v>0.31599024666420167</v>
      </c>
      <c r="U96">
        <f t="shared" si="103"/>
        <v>289.54296884763392</v>
      </c>
      <c r="V96">
        <f t="shared" si="104"/>
        <v>28.014283005193917</v>
      </c>
      <c r="W96">
        <f t="shared" si="105"/>
        <v>27.7377</v>
      </c>
      <c r="X96">
        <f t="shared" si="106"/>
        <v>3.7371976870109189</v>
      </c>
      <c r="Y96">
        <f t="shared" si="107"/>
        <v>65.428827129914765</v>
      </c>
      <c r="Z96">
        <f t="shared" si="108"/>
        <v>2.4821809866659996</v>
      </c>
      <c r="AA96">
        <f t="shared" si="109"/>
        <v>3.7937115726335855</v>
      </c>
      <c r="AB96">
        <f t="shared" si="110"/>
        <v>1.2550167003449193</v>
      </c>
      <c r="AC96">
        <f t="shared" si="111"/>
        <v>-286.26224339143982</v>
      </c>
      <c r="AD96">
        <f t="shared" si="112"/>
        <v>40.510762764571005</v>
      </c>
      <c r="AE96">
        <f t="shared" si="113"/>
        <v>3.0184801925851978</v>
      </c>
      <c r="AF96">
        <f t="shared" si="114"/>
        <v>46.809968413350269</v>
      </c>
      <c r="AG96">
        <v>0</v>
      </c>
      <c r="AH96">
        <v>0</v>
      </c>
      <c r="AI96">
        <f t="shared" si="115"/>
        <v>1</v>
      </c>
      <c r="AJ96">
        <f t="shared" si="116"/>
        <v>0</v>
      </c>
      <c r="AK96">
        <f t="shared" si="117"/>
        <v>52460.418613836511</v>
      </c>
      <c r="AL96" t="s">
        <v>415</v>
      </c>
      <c r="AM96">
        <v>10204.299999999999</v>
      </c>
      <c r="AN96">
        <v>862.72538461538477</v>
      </c>
      <c r="AO96">
        <v>3252.56</v>
      </c>
      <c r="AP96">
        <f t="shared" si="118"/>
        <v>0.73475496697512588</v>
      </c>
      <c r="AQ96">
        <v>-6.6684750346205304</v>
      </c>
      <c r="AR96" t="s">
        <v>825</v>
      </c>
      <c r="AS96">
        <v>10041.4</v>
      </c>
      <c r="AT96">
        <v>749.41846153846143</v>
      </c>
      <c r="AU96">
        <v>1120.7740768078911</v>
      </c>
      <c r="AV96">
        <f t="shared" si="119"/>
        <v>0.331338512331672</v>
      </c>
      <c r="AW96">
        <v>0.5</v>
      </c>
      <c r="AX96">
        <f t="shared" si="120"/>
        <v>1513.0664999210539</v>
      </c>
      <c r="AY96">
        <f t="shared" si="121"/>
        <v>50.979504079843878</v>
      </c>
      <c r="AZ96">
        <f t="shared" si="122"/>
        <v>250.66860157136597</v>
      </c>
      <c r="BA96">
        <f t="shared" si="123"/>
        <v>3.8100096140832047E-2</v>
      </c>
      <c r="BB96">
        <f t="shared" si="124"/>
        <v>1.9020656948666315</v>
      </c>
      <c r="BC96">
        <f t="shared" si="125"/>
        <v>573.42482948929467</v>
      </c>
      <c r="BD96" t="s">
        <v>826</v>
      </c>
      <c r="BE96">
        <v>570.17999999999995</v>
      </c>
      <c r="BF96">
        <f t="shared" si="126"/>
        <v>570.17999999999995</v>
      </c>
      <c r="BG96">
        <f t="shared" si="127"/>
        <v>0.49126232324720964</v>
      </c>
      <c r="BH96">
        <f t="shared" si="128"/>
        <v>0.67446351297927254</v>
      </c>
      <c r="BI96">
        <f t="shared" si="129"/>
        <v>0.79473673498613495</v>
      </c>
      <c r="BJ96">
        <f t="shared" si="130"/>
        <v>1.4390912510124076</v>
      </c>
      <c r="BK96">
        <f t="shared" si="131"/>
        <v>0.89202236400321933</v>
      </c>
      <c r="BL96">
        <f t="shared" si="132"/>
        <v>0.51315203129778386</v>
      </c>
      <c r="BM96">
        <f t="shared" si="133"/>
        <v>0.48684796870221614</v>
      </c>
      <c r="BN96">
        <v>5030</v>
      </c>
      <c r="BO96">
        <v>290.00000000000011</v>
      </c>
      <c r="BP96">
        <v>1028.27</v>
      </c>
      <c r="BQ96">
        <v>235</v>
      </c>
      <c r="BR96">
        <v>10041.4</v>
      </c>
      <c r="BS96">
        <v>1027.74</v>
      </c>
      <c r="BT96">
        <v>0.53</v>
      </c>
      <c r="BU96">
        <v>300.00000000000011</v>
      </c>
      <c r="BV96">
        <v>24.1</v>
      </c>
      <c r="BW96">
        <v>1120.7740768078911</v>
      </c>
      <c r="BX96">
        <v>2.1243452170380719</v>
      </c>
      <c r="BY96">
        <v>-93.417564684031419</v>
      </c>
      <c r="BZ96">
        <v>1.9005082019570341</v>
      </c>
      <c r="CA96">
        <v>0.98854391018097987</v>
      </c>
      <c r="CB96">
        <v>-6.8398941045606284E-3</v>
      </c>
      <c r="CC96">
        <v>289.99999999999989</v>
      </c>
      <c r="CD96">
        <v>1026.47</v>
      </c>
      <c r="CE96">
        <v>645</v>
      </c>
      <c r="CF96">
        <v>10030</v>
      </c>
      <c r="CG96">
        <v>1027.6400000000001</v>
      </c>
      <c r="CH96">
        <v>-1.17</v>
      </c>
      <c r="CV96">
        <f t="shared" si="134"/>
        <v>1799.86</v>
      </c>
      <c r="CW96">
        <f t="shared" si="135"/>
        <v>1513.0664999210539</v>
      </c>
      <c r="CX96">
        <f t="shared" si="136"/>
        <v>0.84065788445826561</v>
      </c>
      <c r="CY96">
        <f t="shared" si="137"/>
        <v>0.16086971700445254</v>
      </c>
      <c r="CZ96">
        <v>6</v>
      </c>
      <c r="DA96">
        <v>0.5</v>
      </c>
      <c r="DB96" t="s">
        <v>418</v>
      </c>
      <c r="DC96">
        <v>2</v>
      </c>
      <c r="DD96">
        <v>1639684513.5</v>
      </c>
      <c r="DE96">
        <v>435.55099999999999</v>
      </c>
      <c r="DF96">
        <v>500.096</v>
      </c>
      <c r="DG96">
        <v>24.935099999999998</v>
      </c>
      <c r="DH96">
        <v>17.342600000000001</v>
      </c>
      <c r="DI96">
        <v>437.65699999999998</v>
      </c>
      <c r="DJ96">
        <v>24.930900000000001</v>
      </c>
      <c r="DK96">
        <v>500.17899999999997</v>
      </c>
      <c r="DL96">
        <v>99.445499999999996</v>
      </c>
      <c r="DM96">
        <v>0.10016</v>
      </c>
      <c r="DN96">
        <v>27.994900000000001</v>
      </c>
      <c r="DO96">
        <v>27.7377</v>
      </c>
      <c r="DP96">
        <v>999.9</v>
      </c>
      <c r="DQ96">
        <v>0</v>
      </c>
      <c r="DR96">
        <v>0</v>
      </c>
      <c r="DS96">
        <v>10010</v>
      </c>
      <c r="DT96">
        <v>0</v>
      </c>
      <c r="DU96">
        <v>243.922</v>
      </c>
      <c r="DV96">
        <v>-64.544799999999995</v>
      </c>
      <c r="DW96">
        <v>446.69</v>
      </c>
      <c r="DX96">
        <v>508.92200000000003</v>
      </c>
      <c r="DY96">
        <v>7.5925399999999996</v>
      </c>
      <c r="DZ96">
        <v>500.096</v>
      </c>
      <c r="EA96">
        <v>17.342600000000001</v>
      </c>
      <c r="EB96">
        <v>2.4796900000000002</v>
      </c>
      <c r="EC96">
        <v>1.72464</v>
      </c>
      <c r="ED96">
        <v>20.893799999999999</v>
      </c>
      <c r="EE96">
        <v>15.12</v>
      </c>
      <c r="EF96">
        <v>1799.86</v>
      </c>
      <c r="EG96">
        <v>0.97800900000000002</v>
      </c>
      <c r="EH96">
        <v>2.1991199999999999E-2</v>
      </c>
      <c r="EI96">
        <v>0</v>
      </c>
      <c r="EJ96">
        <v>749.97900000000004</v>
      </c>
      <c r="EK96">
        <v>5.0001199999999999</v>
      </c>
      <c r="EL96">
        <v>13432.8</v>
      </c>
      <c r="EM96">
        <v>15628.8</v>
      </c>
      <c r="EN96">
        <v>47.311999999999998</v>
      </c>
      <c r="EO96">
        <v>47.811999999999998</v>
      </c>
      <c r="EP96">
        <v>48</v>
      </c>
      <c r="EQ96">
        <v>47.686999999999998</v>
      </c>
      <c r="ER96">
        <v>48.75</v>
      </c>
      <c r="ES96">
        <v>1755.39</v>
      </c>
      <c r="ET96">
        <v>39.47</v>
      </c>
      <c r="EU96">
        <v>0</v>
      </c>
      <c r="EV96">
        <v>113</v>
      </c>
      <c r="EW96">
        <v>0</v>
      </c>
      <c r="EX96">
        <v>749.41846153846143</v>
      </c>
      <c r="EY96">
        <v>3.288478632726743</v>
      </c>
      <c r="EZ96">
        <v>59.801709391765392</v>
      </c>
      <c r="FA96">
        <v>13426.876923076919</v>
      </c>
      <c r="FB96">
        <v>15</v>
      </c>
      <c r="FC96">
        <v>1639684477.0999999</v>
      </c>
      <c r="FD96" t="s">
        <v>827</v>
      </c>
      <c r="FE96">
        <v>1639684473.0999999</v>
      </c>
      <c r="FF96">
        <v>1639684477.0999999</v>
      </c>
      <c r="FG96">
        <v>87</v>
      </c>
      <c r="FH96">
        <v>-9.2999999999999999E-2</v>
      </c>
      <c r="FI96">
        <v>2E-3</v>
      </c>
      <c r="FJ96">
        <v>-2.2029999999999998</v>
      </c>
      <c r="FK96">
        <v>-0.109</v>
      </c>
      <c r="FL96">
        <v>500</v>
      </c>
      <c r="FM96">
        <v>17</v>
      </c>
      <c r="FN96">
        <v>0.03</v>
      </c>
      <c r="FO96">
        <v>0.01</v>
      </c>
      <c r="FP96">
        <v>50.92206306991288</v>
      </c>
      <c r="FQ96">
        <v>-6.6332275377274125E-2</v>
      </c>
      <c r="FR96">
        <v>2.027654333831793E-2</v>
      </c>
      <c r="FS96">
        <v>1</v>
      </c>
      <c r="FT96">
        <v>0.55097734197048243</v>
      </c>
      <c r="FU96">
        <v>4.2991603650271548E-2</v>
      </c>
      <c r="FV96">
        <v>6.381694279285817E-3</v>
      </c>
      <c r="FW96">
        <v>1</v>
      </c>
      <c r="FX96">
        <v>2</v>
      </c>
      <c r="FY96">
        <v>2</v>
      </c>
      <c r="FZ96" t="s">
        <v>420</v>
      </c>
      <c r="GA96">
        <v>2.9212600000000002</v>
      </c>
      <c r="GB96">
        <v>2.7452200000000002</v>
      </c>
      <c r="GC96">
        <v>9.8220799999999997E-2</v>
      </c>
      <c r="GD96">
        <v>0.11014</v>
      </c>
      <c r="GE96">
        <v>0.11990000000000001</v>
      </c>
      <c r="GF96">
        <v>9.4053399999999995E-2</v>
      </c>
      <c r="GG96">
        <v>28111.8</v>
      </c>
      <c r="GH96">
        <v>27394.799999999999</v>
      </c>
      <c r="GI96">
        <v>28380</v>
      </c>
      <c r="GJ96">
        <v>28151.3</v>
      </c>
      <c r="GK96">
        <v>34283.300000000003</v>
      </c>
      <c r="GL96">
        <v>35820.400000000001</v>
      </c>
      <c r="GM96">
        <v>42712.4</v>
      </c>
      <c r="GN96">
        <v>43805.2</v>
      </c>
      <c r="GO96">
        <v>1.7994699999999999</v>
      </c>
      <c r="GP96">
        <v>1.9835799999999999</v>
      </c>
      <c r="GQ96">
        <v>4.7955699999999997E-2</v>
      </c>
      <c r="GR96">
        <v>0</v>
      </c>
      <c r="GS96">
        <v>26.953900000000001</v>
      </c>
      <c r="GT96">
        <v>999.9</v>
      </c>
      <c r="GU96">
        <v>39.299999999999997</v>
      </c>
      <c r="GV96">
        <v>34.700000000000003</v>
      </c>
      <c r="GW96">
        <v>21.9559</v>
      </c>
      <c r="GX96">
        <v>61.128399999999999</v>
      </c>
      <c r="GY96">
        <v>29.038499999999999</v>
      </c>
      <c r="GZ96">
        <v>1</v>
      </c>
      <c r="HA96">
        <v>0.32427099999999998</v>
      </c>
      <c r="HB96">
        <v>2.1164000000000001</v>
      </c>
      <c r="HC96">
        <v>20.263200000000001</v>
      </c>
      <c r="HD96">
        <v>5.2731500000000002</v>
      </c>
      <c r="HE96">
        <v>12.0878</v>
      </c>
      <c r="HF96">
        <v>5.0133999999999999</v>
      </c>
      <c r="HG96">
        <v>3.2919499999999999</v>
      </c>
      <c r="HH96">
        <v>9999</v>
      </c>
      <c r="HI96">
        <v>9999</v>
      </c>
      <c r="HJ96">
        <v>9999</v>
      </c>
      <c r="HK96">
        <v>999.9</v>
      </c>
      <c r="HL96">
        <v>1.8751500000000001</v>
      </c>
      <c r="HM96">
        <v>1.87561</v>
      </c>
      <c r="HN96">
        <v>1.87537</v>
      </c>
      <c r="HO96">
        <v>1.8792800000000001</v>
      </c>
      <c r="HP96">
        <v>1.87276</v>
      </c>
      <c r="HQ96">
        <v>1.8759699999999999</v>
      </c>
      <c r="HR96">
        <v>1.8757600000000001</v>
      </c>
      <c r="HS96">
        <v>1.87714</v>
      </c>
      <c r="HT96">
        <v>0</v>
      </c>
      <c r="HU96">
        <v>0</v>
      </c>
      <c r="HV96">
        <v>0</v>
      </c>
      <c r="HW96">
        <v>0</v>
      </c>
      <c r="HX96" t="s">
        <v>421</v>
      </c>
      <c r="HY96" t="s">
        <v>422</v>
      </c>
      <c r="HZ96" t="s">
        <v>423</v>
      </c>
      <c r="IA96" t="s">
        <v>423</v>
      </c>
      <c r="IB96" t="s">
        <v>423</v>
      </c>
      <c r="IC96" t="s">
        <v>423</v>
      </c>
      <c r="ID96">
        <v>0</v>
      </c>
      <c r="IE96">
        <v>100</v>
      </c>
      <c r="IF96">
        <v>100</v>
      </c>
      <c r="IG96">
        <v>-2.1059999999999999</v>
      </c>
      <c r="IH96">
        <v>4.1999999999999997E-3</v>
      </c>
      <c r="II96">
        <v>-1.429418581347609</v>
      </c>
      <c r="IJ96">
        <v>-1.5404112972462821E-3</v>
      </c>
      <c r="IK96">
        <v>-5.8697186733976997E-8</v>
      </c>
      <c r="IL96">
        <v>1.160237123038427E-10</v>
      </c>
      <c r="IM96">
        <v>-0.17667808785805239</v>
      </c>
      <c r="IN96">
        <v>-3.128848753924141E-3</v>
      </c>
      <c r="IO96">
        <v>3.6841110403368089E-4</v>
      </c>
      <c r="IP96">
        <v>1.9296040270694169E-6</v>
      </c>
      <c r="IQ96">
        <v>1</v>
      </c>
      <c r="IR96">
        <v>1992</v>
      </c>
      <c r="IS96">
        <v>2</v>
      </c>
      <c r="IT96">
        <v>27</v>
      </c>
      <c r="IU96">
        <v>0.7</v>
      </c>
      <c r="IV96">
        <v>0.6</v>
      </c>
      <c r="IW96">
        <v>1.24512</v>
      </c>
      <c r="IX96">
        <v>2.6709000000000001</v>
      </c>
      <c r="IY96">
        <v>1.69434</v>
      </c>
      <c r="IZ96">
        <v>2.34863</v>
      </c>
      <c r="JA96">
        <v>1.5466299999999999</v>
      </c>
      <c r="JB96">
        <v>2.47559</v>
      </c>
      <c r="JC96">
        <v>38.5259</v>
      </c>
      <c r="JD96">
        <v>24.105</v>
      </c>
      <c r="JE96">
        <v>18</v>
      </c>
      <c r="JF96">
        <v>533.10699999999997</v>
      </c>
      <c r="JG96">
        <v>539.27499999999998</v>
      </c>
      <c r="JH96">
        <v>25.240400000000001</v>
      </c>
      <c r="JI96">
        <v>31.2576</v>
      </c>
      <c r="JJ96">
        <v>29.9998</v>
      </c>
      <c r="JK96">
        <v>31.238</v>
      </c>
      <c r="JL96">
        <v>31.192699999999999</v>
      </c>
      <c r="JM96">
        <v>25.000599999999999</v>
      </c>
      <c r="JN96">
        <v>23.270600000000002</v>
      </c>
      <c r="JO96">
        <v>33.5169</v>
      </c>
      <c r="JP96">
        <v>25.241299999999999</v>
      </c>
      <c r="JQ96">
        <v>500</v>
      </c>
      <c r="JR96">
        <v>17.297599999999999</v>
      </c>
      <c r="JS96">
        <v>99.517399999999995</v>
      </c>
      <c r="JT96">
        <v>98.655900000000003</v>
      </c>
    </row>
    <row r="97" spans="1:280" x14ac:dyDescent="0.25">
      <c r="A97">
        <v>81</v>
      </c>
      <c r="B97">
        <v>1639684632.5</v>
      </c>
      <c r="C97">
        <v>18030.400000095371</v>
      </c>
      <c r="D97" t="s">
        <v>828</v>
      </c>
      <c r="E97" t="s">
        <v>829</v>
      </c>
      <c r="F97" t="s">
        <v>412</v>
      </c>
      <c r="G97" t="s">
        <v>779</v>
      </c>
      <c r="H97" t="s">
        <v>493</v>
      </c>
      <c r="I97">
        <v>1639684632.5</v>
      </c>
      <c r="J97">
        <f t="shared" si="92"/>
        <v>6.2511353703184457E-3</v>
      </c>
      <c r="K97">
        <f t="shared" si="93"/>
        <v>6.2511353703184458</v>
      </c>
      <c r="L97">
        <f t="shared" si="94"/>
        <v>51.983621455008112</v>
      </c>
      <c r="M97">
        <f t="shared" si="95"/>
        <v>533.726</v>
      </c>
      <c r="N97">
        <f t="shared" si="96"/>
        <v>351.31714653268779</v>
      </c>
      <c r="O97">
        <f t="shared" si="97"/>
        <v>34.973508286232168</v>
      </c>
      <c r="P97">
        <f t="shared" si="98"/>
        <v>53.132250639639004</v>
      </c>
      <c r="Q97">
        <f t="shared" si="99"/>
        <v>0.52059653816798934</v>
      </c>
      <c r="R97">
        <f t="shared" si="100"/>
        <v>2.9281896172605615</v>
      </c>
      <c r="S97">
        <f t="shared" si="101"/>
        <v>0.4741110306790276</v>
      </c>
      <c r="T97">
        <f t="shared" si="102"/>
        <v>0.30014926728100683</v>
      </c>
      <c r="U97">
        <f t="shared" si="103"/>
        <v>289.54776954466462</v>
      </c>
      <c r="V97">
        <f t="shared" si="104"/>
        <v>28.098187871050374</v>
      </c>
      <c r="W97">
        <f t="shared" si="105"/>
        <v>27.801400000000001</v>
      </c>
      <c r="X97">
        <f t="shared" si="106"/>
        <v>3.7511254383391548</v>
      </c>
      <c r="Y97">
        <f t="shared" si="107"/>
        <v>65.280060869579842</v>
      </c>
      <c r="Z97">
        <f t="shared" si="108"/>
        <v>2.4796430720678999</v>
      </c>
      <c r="AA97">
        <f t="shared" si="109"/>
        <v>3.7984693014025672</v>
      </c>
      <c r="AB97">
        <f t="shared" si="110"/>
        <v>1.2714823662712549</v>
      </c>
      <c r="AC97">
        <f t="shared" si="111"/>
        <v>-275.67506983104346</v>
      </c>
      <c r="AD97">
        <f t="shared" si="112"/>
        <v>33.940880108836531</v>
      </c>
      <c r="AE97">
        <f t="shared" si="113"/>
        <v>2.5242959224455337</v>
      </c>
      <c r="AF97">
        <f t="shared" si="114"/>
        <v>50.337875744903251</v>
      </c>
      <c r="AG97">
        <v>0</v>
      </c>
      <c r="AH97">
        <v>0</v>
      </c>
      <c r="AI97">
        <f t="shared" si="115"/>
        <v>1</v>
      </c>
      <c r="AJ97">
        <f t="shared" si="116"/>
        <v>0</v>
      </c>
      <c r="AK97">
        <f t="shared" si="117"/>
        <v>52647.440323225295</v>
      </c>
      <c r="AL97" t="s">
        <v>415</v>
      </c>
      <c r="AM97">
        <v>10204.299999999999</v>
      </c>
      <c r="AN97">
        <v>862.72538461538477</v>
      </c>
      <c r="AO97">
        <v>3252.56</v>
      </c>
      <c r="AP97">
        <f t="shared" si="118"/>
        <v>0.73475496697512588</v>
      </c>
      <c r="AQ97">
        <v>-6.6684750346205304</v>
      </c>
      <c r="AR97" t="s">
        <v>830</v>
      </c>
      <c r="AS97">
        <v>10043.200000000001</v>
      </c>
      <c r="AT97">
        <v>754.79872</v>
      </c>
      <c r="AU97">
        <v>1147.0979077541219</v>
      </c>
      <c r="AV97">
        <f t="shared" si="119"/>
        <v>0.34199276722786109</v>
      </c>
      <c r="AW97">
        <v>0.5</v>
      </c>
      <c r="AX97">
        <f t="shared" si="120"/>
        <v>1513.0917064998264</v>
      </c>
      <c r="AY97">
        <f t="shared" si="121"/>
        <v>51.983621455008112</v>
      </c>
      <c r="AZ97">
        <f t="shared" si="122"/>
        <v>258.73320988770109</v>
      </c>
      <c r="BA97">
        <f t="shared" si="123"/>
        <v>3.8763081072796413E-2</v>
      </c>
      <c r="BB97">
        <f t="shared" si="124"/>
        <v>1.8354685140766376</v>
      </c>
      <c r="BC97">
        <f t="shared" si="125"/>
        <v>580.23742746625612</v>
      </c>
      <c r="BD97" t="s">
        <v>831</v>
      </c>
      <c r="BE97">
        <v>571.71</v>
      </c>
      <c r="BF97">
        <f t="shared" si="126"/>
        <v>571.71</v>
      </c>
      <c r="BG97">
        <f t="shared" si="127"/>
        <v>0.50160313593515427</v>
      </c>
      <c r="BH97">
        <f t="shared" si="128"/>
        <v>0.68179949989800881</v>
      </c>
      <c r="BI97">
        <f t="shared" si="129"/>
        <v>0.78537109209611811</v>
      </c>
      <c r="BJ97">
        <f t="shared" si="130"/>
        <v>1.3795256427173537</v>
      </c>
      <c r="BK97">
        <f t="shared" si="131"/>
        <v>0.88100744657890451</v>
      </c>
      <c r="BL97">
        <f t="shared" si="132"/>
        <v>0.51641792938744069</v>
      </c>
      <c r="BM97">
        <f t="shared" si="133"/>
        <v>0.48358207061255931</v>
      </c>
      <c r="BN97">
        <v>5032</v>
      </c>
      <c r="BO97">
        <v>290.00000000000011</v>
      </c>
      <c r="BP97">
        <v>1043.3599999999999</v>
      </c>
      <c r="BQ97">
        <v>215</v>
      </c>
      <c r="BR97">
        <v>10043.200000000001</v>
      </c>
      <c r="BS97">
        <v>1043.24</v>
      </c>
      <c r="BT97">
        <v>0.12</v>
      </c>
      <c r="BU97">
        <v>300.00000000000011</v>
      </c>
      <c r="BV97">
        <v>24.1</v>
      </c>
      <c r="BW97">
        <v>1147.0979077541219</v>
      </c>
      <c r="BX97">
        <v>1.6179023487521449</v>
      </c>
      <c r="BY97">
        <v>-104.3089000633294</v>
      </c>
      <c r="BZ97">
        <v>1.4474756372704849</v>
      </c>
      <c r="CA97">
        <v>0.99463706584544087</v>
      </c>
      <c r="CB97">
        <v>-6.8401548387096844E-3</v>
      </c>
      <c r="CC97">
        <v>289.99999999999989</v>
      </c>
      <c r="CD97">
        <v>1041.24</v>
      </c>
      <c r="CE97">
        <v>665</v>
      </c>
      <c r="CF97">
        <v>10029.5</v>
      </c>
      <c r="CG97">
        <v>1043.0999999999999</v>
      </c>
      <c r="CH97">
        <v>-1.86</v>
      </c>
      <c r="CV97">
        <f t="shared" si="134"/>
        <v>1799.89</v>
      </c>
      <c r="CW97">
        <f t="shared" si="135"/>
        <v>1513.0917064998264</v>
      </c>
      <c r="CX97">
        <f t="shared" si="136"/>
        <v>0.84065787714795137</v>
      </c>
      <c r="CY97">
        <f t="shared" si="137"/>
        <v>0.16086970289554617</v>
      </c>
      <c r="CZ97">
        <v>6</v>
      </c>
      <c r="DA97">
        <v>0.5</v>
      </c>
      <c r="DB97" t="s">
        <v>418</v>
      </c>
      <c r="DC97">
        <v>2</v>
      </c>
      <c r="DD97">
        <v>1639684632.5</v>
      </c>
      <c r="DE97">
        <v>533.726</v>
      </c>
      <c r="DF97">
        <v>600.09900000000005</v>
      </c>
      <c r="DG97">
        <v>24.9086</v>
      </c>
      <c r="DH97">
        <v>17.595300000000002</v>
      </c>
      <c r="DI97">
        <v>535.99099999999999</v>
      </c>
      <c r="DJ97">
        <v>24.902799999999999</v>
      </c>
      <c r="DK97">
        <v>500.08300000000003</v>
      </c>
      <c r="DL97">
        <v>99.450100000000006</v>
      </c>
      <c r="DM97">
        <v>9.9576499999999998E-2</v>
      </c>
      <c r="DN97">
        <v>28.016400000000001</v>
      </c>
      <c r="DO97">
        <v>27.801400000000001</v>
      </c>
      <c r="DP97">
        <v>999.9</v>
      </c>
      <c r="DQ97">
        <v>0</v>
      </c>
      <c r="DR97">
        <v>0</v>
      </c>
      <c r="DS97">
        <v>10047.5</v>
      </c>
      <c r="DT97">
        <v>0</v>
      </c>
      <c r="DU97">
        <v>235.458</v>
      </c>
      <c r="DV97">
        <v>-66.372100000000003</v>
      </c>
      <c r="DW97">
        <v>547.36</v>
      </c>
      <c r="DX97">
        <v>610.84699999999998</v>
      </c>
      <c r="DY97">
        <v>7.3132999999999999</v>
      </c>
      <c r="DZ97">
        <v>600.09900000000005</v>
      </c>
      <c r="EA97">
        <v>17.595300000000002</v>
      </c>
      <c r="EB97">
        <v>2.4771700000000001</v>
      </c>
      <c r="EC97">
        <v>1.74986</v>
      </c>
      <c r="ED97">
        <v>20.877199999999998</v>
      </c>
      <c r="EE97">
        <v>15.3459</v>
      </c>
      <c r="EF97">
        <v>1799.89</v>
      </c>
      <c r="EG97">
        <v>0.97800699999999996</v>
      </c>
      <c r="EH97">
        <v>2.1992600000000001E-2</v>
      </c>
      <c r="EI97">
        <v>0</v>
      </c>
      <c r="EJ97">
        <v>754.92</v>
      </c>
      <c r="EK97">
        <v>5.0001199999999999</v>
      </c>
      <c r="EL97">
        <v>13523.8</v>
      </c>
      <c r="EM97">
        <v>15629.1</v>
      </c>
      <c r="EN97">
        <v>47.125</v>
      </c>
      <c r="EO97">
        <v>47.686999999999998</v>
      </c>
      <c r="EP97">
        <v>47.875</v>
      </c>
      <c r="EQ97">
        <v>47.5</v>
      </c>
      <c r="ER97">
        <v>48.625</v>
      </c>
      <c r="ES97">
        <v>1755.41</v>
      </c>
      <c r="ET97">
        <v>39.47</v>
      </c>
      <c r="EU97">
        <v>0</v>
      </c>
      <c r="EV97">
        <v>117.2000000476837</v>
      </c>
      <c r="EW97">
        <v>0</v>
      </c>
      <c r="EX97">
        <v>754.79872</v>
      </c>
      <c r="EY97">
        <v>2.920153845109247</v>
      </c>
      <c r="EZ97">
        <v>51.484615377657803</v>
      </c>
      <c r="FA97">
        <v>13518.987999999999</v>
      </c>
      <c r="FB97">
        <v>15</v>
      </c>
      <c r="FC97">
        <v>1639684593</v>
      </c>
      <c r="FD97" t="s">
        <v>832</v>
      </c>
      <c r="FE97">
        <v>1639684588</v>
      </c>
      <c r="FF97">
        <v>1639684593</v>
      </c>
      <c r="FG97">
        <v>88</v>
      </c>
      <c r="FH97">
        <v>-1.0999999999999999E-2</v>
      </c>
      <c r="FI97">
        <v>2E-3</v>
      </c>
      <c r="FJ97">
        <v>-2.3639999999999999</v>
      </c>
      <c r="FK97">
        <v>-0.108</v>
      </c>
      <c r="FL97">
        <v>600</v>
      </c>
      <c r="FM97">
        <v>17</v>
      </c>
      <c r="FN97">
        <v>0.05</v>
      </c>
      <c r="FO97">
        <v>0.01</v>
      </c>
      <c r="FP97">
        <v>51.930578158200888</v>
      </c>
      <c r="FQ97">
        <v>-0.1854512540040181</v>
      </c>
      <c r="FR97">
        <v>5.4709803657443323E-2</v>
      </c>
      <c r="FS97">
        <v>1</v>
      </c>
      <c r="FT97">
        <v>0.52313351162971211</v>
      </c>
      <c r="FU97">
        <v>3.3366052407782017E-2</v>
      </c>
      <c r="FV97">
        <v>5.8758082470907911E-3</v>
      </c>
      <c r="FW97">
        <v>1</v>
      </c>
      <c r="FX97">
        <v>2</v>
      </c>
      <c r="FY97">
        <v>2</v>
      </c>
      <c r="FZ97" t="s">
        <v>420</v>
      </c>
      <c r="GA97">
        <v>2.9211399999999998</v>
      </c>
      <c r="GB97">
        <v>2.7449699999999999</v>
      </c>
      <c r="GC97">
        <v>0.11408600000000001</v>
      </c>
      <c r="GD97">
        <v>0.12551300000000001</v>
      </c>
      <c r="GE97">
        <v>0.119824</v>
      </c>
      <c r="GF97">
        <v>9.5049999999999996E-2</v>
      </c>
      <c r="GG97">
        <v>27621.8</v>
      </c>
      <c r="GH97">
        <v>26924.5</v>
      </c>
      <c r="GI97">
        <v>28384.5</v>
      </c>
      <c r="GJ97">
        <v>28154.2</v>
      </c>
      <c r="GK97">
        <v>34291.4</v>
      </c>
      <c r="GL97">
        <v>35784.199999999997</v>
      </c>
      <c r="GM97">
        <v>42719.1</v>
      </c>
      <c r="GN97">
        <v>43809.4</v>
      </c>
      <c r="GO97">
        <v>1.80002</v>
      </c>
      <c r="GP97">
        <v>1.98495</v>
      </c>
      <c r="GQ97">
        <v>5.3945899999999998E-2</v>
      </c>
      <c r="GR97">
        <v>0</v>
      </c>
      <c r="GS97">
        <v>26.919699999999999</v>
      </c>
      <c r="GT97">
        <v>999.9</v>
      </c>
      <c r="GU97">
        <v>39.299999999999997</v>
      </c>
      <c r="GV97">
        <v>34.700000000000003</v>
      </c>
      <c r="GW97">
        <v>21.954599999999999</v>
      </c>
      <c r="GX97">
        <v>60.568399999999997</v>
      </c>
      <c r="GY97">
        <v>29.274799999999999</v>
      </c>
      <c r="GZ97">
        <v>1</v>
      </c>
      <c r="HA97">
        <v>0.31833299999999998</v>
      </c>
      <c r="HB97">
        <v>2.20146</v>
      </c>
      <c r="HC97">
        <v>20.261700000000001</v>
      </c>
      <c r="HD97">
        <v>5.27644</v>
      </c>
      <c r="HE97">
        <v>12.0878</v>
      </c>
      <c r="HF97">
        <v>5.0142499999999997</v>
      </c>
      <c r="HG97">
        <v>3.2918799999999999</v>
      </c>
      <c r="HH97">
        <v>9999</v>
      </c>
      <c r="HI97">
        <v>9999</v>
      </c>
      <c r="HJ97">
        <v>9999</v>
      </c>
      <c r="HK97">
        <v>999.9</v>
      </c>
      <c r="HL97">
        <v>1.8751500000000001</v>
      </c>
      <c r="HM97">
        <v>1.87561</v>
      </c>
      <c r="HN97">
        <v>1.8753599999999999</v>
      </c>
      <c r="HO97">
        <v>1.8792899999999999</v>
      </c>
      <c r="HP97">
        <v>1.8727199999999999</v>
      </c>
      <c r="HQ97">
        <v>1.8759699999999999</v>
      </c>
      <c r="HR97">
        <v>1.8757600000000001</v>
      </c>
      <c r="HS97">
        <v>1.87714</v>
      </c>
      <c r="HT97">
        <v>0</v>
      </c>
      <c r="HU97">
        <v>0</v>
      </c>
      <c r="HV97">
        <v>0</v>
      </c>
      <c r="HW97">
        <v>0</v>
      </c>
      <c r="HX97" t="s">
        <v>421</v>
      </c>
      <c r="HY97" t="s">
        <v>422</v>
      </c>
      <c r="HZ97" t="s">
        <v>423</v>
      </c>
      <c r="IA97" t="s">
        <v>423</v>
      </c>
      <c r="IB97" t="s">
        <v>423</v>
      </c>
      <c r="IC97" t="s">
        <v>423</v>
      </c>
      <c r="ID97">
        <v>0</v>
      </c>
      <c r="IE97">
        <v>100</v>
      </c>
      <c r="IF97">
        <v>100</v>
      </c>
      <c r="IG97">
        <v>-2.2650000000000001</v>
      </c>
      <c r="IH97">
        <v>5.7999999999999996E-3</v>
      </c>
      <c r="II97">
        <v>-1.4400870703878541</v>
      </c>
      <c r="IJ97">
        <v>-1.5404112972462821E-3</v>
      </c>
      <c r="IK97">
        <v>-5.8697186733976997E-8</v>
      </c>
      <c r="IL97">
        <v>1.160237123038427E-10</v>
      </c>
      <c r="IM97">
        <v>-0.17448803837532581</v>
      </c>
      <c r="IN97">
        <v>-3.128848753924141E-3</v>
      </c>
      <c r="IO97">
        <v>3.6841110403368089E-4</v>
      </c>
      <c r="IP97">
        <v>1.9296040270694169E-6</v>
      </c>
      <c r="IQ97">
        <v>1</v>
      </c>
      <c r="IR97">
        <v>1992</v>
      </c>
      <c r="IS97">
        <v>2</v>
      </c>
      <c r="IT97">
        <v>27</v>
      </c>
      <c r="IU97">
        <v>0.7</v>
      </c>
      <c r="IV97">
        <v>0.7</v>
      </c>
      <c r="IW97">
        <v>1.4428700000000001</v>
      </c>
      <c r="IX97">
        <v>2.67334</v>
      </c>
      <c r="IY97">
        <v>1.69434</v>
      </c>
      <c r="IZ97">
        <v>2.34741</v>
      </c>
      <c r="JA97">
        <v>1.5466299999999999</v>
      </c>
      <c r="JB97">
        <v>2.4011200000000001</v>
      </c>
      <c r="JC97">
        <v>38.5259</v>
      </c>
      <c r="JD97">
        <v>24.096299999999999</v>
      </c>
      <c r="JE97">
        <v>18</v>
      </c>
      <c r="JF97">
        <v>533.09100000000001</v>
      </c>
      <c r="JG97">
        <v>539.904</v>
      </c>
      <c r="JH97">
        <v>25.222899999999999</v>
      </c>
      <c r="JI97">
        <v>31.193200000000001</v>
      </c>
      <c r="JJ97">
        <v>30</v>
      </c>
      <c r="JK97">
        <v>31.190200000000001</v>
      </c>
      <c r="JL97">
        <v>31.1493</v>
      </c>
      <c r="JM97">
        <v>28.946100000000001</v>
      </c>
      <c r="JN97">
        <v>22.356999999999999</v>
      </c>
      <c r="JO97">
        <v>33.548699999999997</v>
      </c>
      <c r="JP97">
        <v>25.2073</v>
      </c>
      <c r="JQ97">
        <v>600</v>
      </c>
      <c r="JR97">
        <v>17.5138</v>
      </c>
      <c r="JS97">
        <v>99.532899999999998</v>
      </c>
      <c r="JT97">
        <v>98.665700000000001</v>
      </c>
    </row>
    <row r="98" spans="1:280" x14ac:dyDescent="0.25">
      <c r="A98">
        <v>82</v>
      </c>
      <c r="B98">
        <v>1639684751</v>
      </c>
      <c r="C98">
        <v>18148.900000095371</v>
      </c>
      <c r="D98" t="s">
        <v>833</v>
      </c>
      <c r="E98" t="s">
        <v>834</v>
      </c>
      <c r="F98" t="s">
        <v>412</v>
      </c>
      <c r="G98" t="s">
        <v>779</v>
      </c>
      <c r="H98" t="s">
        <v>493</v>
      </c>
      <c r="I98">
        <v>1639684751</v>
      </c>
      <c r="J98">
        <f t="shared" si="92"/>
        <v>6.1349181828978241E-3</v>
      </c>
      <c r="K98">
        <f t="shared" si="93"/>
        <v>6.1349181828978239</v>
      </c>
      <c r="L98">
        <f t="shared" si="94"/>
        <v>52.363150521873479</v>
      </c>
      <c r="M98">
        <f t="shared" si="95"/>
        <v>731.77700000000004</v>
      </c>
      <c r="N98">
        <f t="shared" si="96"/>
        <v>538.45664637365985</v>
      </c>
      <c r="O98">
        <f t="shared" si="97"/>
        <v>53.603523375774984</v>
      </c>
      <c r="P98">
        <f t="shared" si="98"/>
        <v>72.848623541984992</v>
      </c>
      <c r="Q98">
        <f t="shared" si="99"/>
        <v>0.50360901381942513</v>
      </c>
      <c r="R98">
        <f t="shared" si="100"/>
        <v>2.9187922165022844</v>
      </c>
      <c r="S98">
        <f t="shared" si="101"/>
        <v>0.45984427349167789</v>
      </c>
      <c r="T98">
        <f t="shared" si="102"/>
        <v>0.29101715992847832</v>
      </c>
      <c r="U98">
        <f t="shared" si="103"/>
        <v>289.54528484747954</v>
      </c>
      <c r="V98">
        <f t="shared" si="104"/>
        <v>28.108726274086642</v>
      </c>
      <c r="W98">
        <f t="shared" si="105"/>
        <v>27.878799999999998</v>
      </c>
      <c r="X98">
        <f t="shared" si="106"/>
        <v>3.7681095715095343</v>
      </c>
      <c r="Y98">
        <f t="shared" si="107"/>
        <v>65.409628249733601</v>
      </c>
      <c r="Z98">
        <f t="shared" si="108"/>
        <v>2.481669643284</v>
      </c>
      <c r="AA98">
        <f t="shared" si="109"/>
        <v>3.7940433384042467</v>
      </c>
      <c r="AB98">
        <f t="shared" si="110"/>
        <v>1.2864399282255343</v>
      </c>
      <c r="AC98">
        <f t="shared" si="111"/>
        <v>-270.54989186579405</v>
      </c>
      <c r="AD98">
        <f t="shared" si="112"/>
        <v>18.505292094786448</v>
      </c>
      <c r="AE98">
        <f t="shared" si="113"/>
        <v>1.3811261520652391</v>
      </c>
      <c r="AF98">
        <f t="shared" si="114"/>
        <v>38.881811228537167</v>
      </c>
      <c r="AG98">
        <v>0</v>
      </c>
      <c r="AH98">
        <v>0</v>
      </c>
      <c r="AI98">
        <f t="shared" si="115"/>
        <v>1</v>
      </c>
      <c r="AJ98">
        <f t="shared" si="116"/>
        <v>0</v>
      </c>
      <c r="AK98">
        <f t="shared" si="117"/>
        <v>52380.952051849818</v>
      </c>
      <c r="AL98" t="s">
        <v>415</v>
      </c>
      <c r="AM98">
        <v>10204.299999999999</v>
      </c>
      <c r="AN98">
        <v>862.72538461538477</v>
      </c>
      <c r="AO98">
        <v>3252.56</v>
      </c>
      <c r="AP98">
        <f t="shared" si="118"/>
        <v>0.73475496697512588</v>
      </c>
      <c r="AQ98">
        <v>-6.6684750346205304</v>
      </c>
      <c r="AR98" t="s">
        <v>835</v>
      </c>
      <c r="AS98">
        <v>10050.9</v>
      </c>
      <c r="AT98">
        <v>759.35757692307698</v>
      </c>
      <c r="AU98">
        <v>1158.8963132374579</v>
      </c>
      <c r="AV98">
        <f t="shared" si="119"/>
        <v>0.34475796648126489</v>
      </c>
      <c r="AW98">
        <v>0.5</v>
      </c>
      <c r="AX98">
        <f t="shared" si="120"/>
        <v>1513.0676999209738</v>
      </c>
      <c r="AY98">
        <f t="shared" si="121"/>
        <v>52.363150521873479</v>
      </c>
      <c r="AZ98">
        <f t="shared" si="122"/>
        <v>260.8210716866198</v>
      </c>
      <c r="BA98">
        <f t="shared" si="123"/>
        <v>3.9014530255042243E-2</v>
      </c>
      <c r="BB98">
        <f t="shared" si="124"/>
        <v>1.8066013868952142</v>
      </c>
      <c r="BC98">
        <f t="shared" si="125"/>
        <v>583.24095766051937</v>
      </c>
      <c r="BD98" t="s">
        <v>836</v>
      </c>
      <c r="BE98">
        <v>574.61</v>
      </c>
      <c r="BF98">
        <f t="shared" si="126"/>
        <v>574.61</v>
      </c>
      <c r="BG98">
        <f t="shared" si="127"/>
        <v>0.50417479679887256</v>
      </c>
      <c r="BH98">
        <f t="shared" si="128"/>
        <v>0.68380642719591767</v>
      </c>
      <c r="BI98">
        <f t="shared" si="129"/>
        <v>0.78181582432926011</v>
      </c>
      <c r="BJ98">
        <f t="shared" si="130"/>
        <v>1.3490140243447377</v>
      </c>
      <c r="BK98">
        <f t="shared" si="131"/>
        <v>0.87607053361957943</v>
      </c>
      <c r="BL98">
        <f t="shared" si="132"/>
        <v>0.51744003493475288</v>
      </c>
      <c r="BM98">
        <f t="shared" si="133"/>
        <v>0.48255996506524712</v>
      </c>
      <c r="BN98">
        <v>5034</v>
      </c>
      <c r="BO98">
        <v>290.00000000000011</v>
      </c>
      <c r="BP98">
        <v>1055.43</v>
      </c>
      <c r="BQ98">
        <v>125</v>
      </c>
      <c r="BR98">
        <v>10050.9</v>
      </c>
      <c r="BS98">
        <v>1054.44</v>
      </c>
      <c r="BT98">
        <v>0.99</v>
      </c>
      <c r="BU98">
        <v>300.00000000000011</v>
      </c>
      <c r="BV98">
        <v>24.1</v>
      </c>
      <c r="BW98">
        <v>1158.8963132374579</v>
      </c>
      <c r="BX98">
        <v>1.939956479385474</v>
      </c>
      <c r="BY98">
        <v>-104.9885388271862</v>
      </c>
      <c r="BZ98">
        <v>1.735608981508507</v>
      </c>
      <c r="CA98">
        <v>0.99240605527601244</v>
      </c>
      <c r="CB98">
        <v>-6.8404131256952147E-3</v>
      </c>
      <c r="CC98">
        <v>289.99999999999989</v>
      </c>
      <c r="CD98">
        <v>1051.8699999999999</v>
      </c>
      <c r="CE98">
        <v>665</v>
      </c>
      <c r="CF98">
        <v>10029.5</v>
      </c>
      <c r="CG98">
        <v>1054.22</v>
      </c>
      <c r="CH98">
        <v>-2.35</v>
      </c>
      <c r="CV98">
        <f t="shared" si="134"/>
        <v>1799.86</v>
      </c>
      <c r="CW98">
        <f t="shared" si="135"/>
        <v>1513.0676999209738</v>
      </c>
      <c r="CX98">
        <f t="shared" si="136"/>
        <v>0.84065855117674371</v>
      </c>
      <c r="CY98">
        <f t="shared" si="137"/>
        <v>0.1608710037711153</v>
      </c>
      <c r="CZ98">
        <v>6</v>
      </c>
      <c r="DA98">
        <v>0.5</v>
      </c>
      <c r="DB98" t="s">
        <v>418</v>
      </c>
      <c r="DC98">
        <v>2</v>
      </c>
      <c r="DD98">
        <v>1639684751</v>
      </c>
      <c r="DE98">
        <v>731.77700000000004</v>
      </c>
      <c r="DF98">
        <v>799.98599999999999</v>
      </c>
      <c r="DG98">
        <v>24.928799999999999</v>
      </c>
      <c r="DH98">
        <v>17.751899999999999</v>
      </c>
      <c r="DI98">
        <v>734.26499999999999</v>
      </c>
      <c r="DJ98">
        <v>24.922499999999999</v>
      </c>
      <c r="DK98">
        <v>500.10300000000001</v>
      </c>
      <c r="DL98">
        <v>99.450199999999995</v>
      </c>
      <c r="DM98">
        <v>0.100105</v>
      </c>
      <c r="DN98">
        <v>27.996400000000001</v>
      </c>
      <c r="DO98">
        <v>27.878799999999998</v>
      </c>
      <c r="DP98">
        <v>999.9</v>
      </c>
      <c r="DQ98">
        <v>0</v>
      </c>
      <c r="DR98">
        <v>0</v>
      </c>
      <c r="DS98">
        <v>9993.75</v>
      </c>
      <c r="DT98">
        <v>0</v>
      </c>
      <c r="DU98">
        <v>229.934</v>
      </c>
      <c r="DV98">
        <v>-68.209199999999996</v>
      </c>
      <c r="DW98">
        <v>750.48500000000001</v>
      </c>
      <c r="DX98">
        <v>814.44399999999996</v>
      </c>
      <c r="DY98">
        <v>7.1768700000000001</v>
      </c>
      <c r="DZ98">
        <v>799.98599999999999</v>
      </c>
      <c r="EA98">
        <v>17.751899999999999</v>
      </c>
      <c r="EB98">
        <v>2.4791799999999999</v>
      </c>
      <c r="EC98">
        <v>1.7654300000000001</v>
      </c>
      <c r="ED98">
        <v>20.8904</v>
      </c>
      <c r="EE98">
        <v>15.4841</v>
      </c>
      <c r="EF98">
        <v>1799.86</v>
      </c>
      <c r="EG98">
        <v>0.97798799999999997</v>
      </c>
      <c r="EH98">
        <v>2.20115E-2</v>
      </c>
      <c r="EI98">
        <v>0</v>
      </c>
      <c r="EJ98">
        <v>759.49900000000002</v>
      </c>
      <c r="EK98">
        <v>5.0001199999999999</v>
      </c>
      <c r="EL98">
        <v>13603.1</v>
      </c>
      <c r="EM98">
        <v>15628.7</v>
      </c>
      <c r="EN98">
        <v>47.125</v>
      </c>
      <c r="EO98">
        <v>47.686999999999998</v>
      </c>
      <c r="EP98">
        <v>47.811999999999998</v>
      </c>
      <c r="EQ98">
        <v>47.5</v>
      </c>
      <c r="ER98">
        <v>48.625</v>
      </c>
      <c r="ES98">
        <v>1755.35</v>
      </c>
      <c r="ET98">
        <v>39.51</v>
      </c>
      <c r="EU98">
        <v>0</v>
      </c>
      <c r="EV98">
        <v>116.3999998569489</v>
      </c>
      <c r="EW98">
        <v>0</v>
      </c>
      <c r="EX98">
        <v>759.35757692307698</v>
      </c>
      <c r="EY98">
        <v>2.5562051319096621</v>
      </c>
      <c r="EZ98">
        <v>45.350427403266913</v>
      </c>
      <c r="FA98">
        <v>13598.26538461539</v>
      </c>
      <c r="FB98">
        <v>15</v>
      </c>
      <c r="FC98">
        <v>1639684712</v>
      </c>
      <c r="FD98" t="s">
        <v>837</v>
      </c>
      <c r="FE98">
        <v>1639684712</v>
      </c>
      <c r="FF98">
        <v>1639684712</v>
      </c>
      <c r="FG98">
        <v>89</v>
      </c>
      <c r="FH98">
        <v>6.8000000000000005E-2</v>
      </c>
      <c r="FI98">
        <v>0</v>
      </c>
      <c r="FJ98">
        <v>-2.5859999999999999</v>
      </c>
      <c r="FK98">
        <v>-0.10299999999999999</v>
      </c>
      <c r="FL98">
        <v>800</v>
      </c>
      <c r="FM98">
        <v>18</v>
      </c>
      <c r="FN98">
        <v>0.02</v>
      </c>
      <c r="FO98">
        <v>0.01</v>
      </c>
      <c r="FP98">
        <v>52.353994751087839</v>
      </c>
      <c r="FQ98">
        <v>0.23639292510343429</v>
      </c>
      <c r="FR98">
        <v>5.6360399473905989E-2</v>
      </c>
      <c r="FS98">
        <v>1</v>
      </c>
      <c r="FT98">
        <v>0.50408647885091629</v>
      </c>
      <c r="FU98">
        <v>3.041712122678834E-2</v>
      </c>
      <c r="FV98">
        <v>3.9671370762305036E-3</v>
      </c>
      <c r="FW98">
        <v>1</v>
      </c>
      <c r="FX98">
        <v>2</v>
      </c>
      <c r="FY98">
        <v>2</v>
      </c>
      <c r="FZ98" t="s">
        <v>420</v>
      </c>
      <c r="GA98">
        <v>2.9211900000000002</v>
      </c>
      <c r="GB98">
        <v>2.7450299999999999</v>
      </c>
      <c r="GC98">
        <v>0.142184</v>
      </c>
      <c r="GD98">
        <v>0.15273500000000001</v>
      </c>
      <c r="GE98">
        <v>0.119893</v>
      </c>
      <c r="GF98">
        <v>9.5658099999999996E-2</v>
      </c>
      <c r="GG98">
        <v>26743.3</v>
      </c>
      <c r="GH98">
        <v>26086.400000000001</v>
      </c>
      <c r="GI98">
        <v>28382.1</v>
      </c>
      <c r="GJ98">
        <v>28154.5</v>
      </c>
      <c r="GK98">
        <v>34284.9</v>
      </c>
      <c r="GL98">
        <v>35759.9</v>
      </c>
      <c r="GM98">
        <v>42714.5</v>
      </c>
      <c r="GN98">
        <v>43809.4</v>
      </c>
      <c r="GO98">
        <v>1.7999499999999999</v>
      </c>
      <c r="GP98">
        <v>1.98563</v>
      </c>
      <c r="GQ98">
        <v>4.8294700000000003E-2</v>
      </c>
      <c r="GR98">
        <v>0</v>
      </c>
      <c r="GS98">
        <v>27.089600000000001</v>
      </c>
      <c r="GT98">
        <v>999.9</v>
      </c>
      <c r="GU98">
        <v>39.299999999999997</v>
      </c>
      <c r="GV98">
        <v>34.700000000000003</v>
      </c>
      <c r="GW98">
        <v>21.951599999999999</v>
      </c>
      <c r="GX98">
        <v>61.178400000000003</v>
      </c>
      <c r="GY98">
        <v>29.459099999999999</v>
      </c>
      <c r="GZ98">
        <v>1</v>
      </c>
      <c r="HA98">
        <v>0.32079299999999999</v>
      </c>
      <c r="HB98">
        <v>2.3686699999999998</v>
      </c>
      <c r="HC98">
        <v>20.260000000000002</v>
      </c>
      <c r="HD98">
        <v>5.27644</v>
      </c>
      <c r="HE98">
        <v>12.0878</v>
      </c>
      <c r="HF98">
        <v>5.0134999999999996</v>
      </c>
      <c r="HG98">
        <v>3.2918500000000002</v>
      </c>
      <c r="HH98">
        <v>9999</v>
      </c>
      <c r="HI98">
        <v>9999</v>
      </c>
      <c r="HJ98">
        <v>9999</v>
      </c>
      <c r="HK98">
        <v>999.9</v>
      </c>
      <c r="HL98">
        <v>1.8751500000000001</v>
      </c>
      <c r="HM98">
        <v>1.87561</v>
      </c>
      <c r="HN98">
        <v>1.87537</v>
      </c>
      <c r="HO98">
        <v>1.8793</v>
      </c>
      <c r="HP98">
        <v>1.8727199999999999</v>
      </c>
      <c r="HQ98">
        <v>1.87598</v>
      </c>
      <c r="HR98">
        <v>1.87575</v>
      </c>
      <c r="HS98">
        <v>1.87714</v>
      </c>
      <c r="HT98">
        <v>0</v>
      </c>
      <c r="HU98">
        <v>0</v>
      </c>
      <c r="HV98">
        <v>0</v>
      </c>
      <c r="HW98">
        <v>0</v>
      </c>
      <c r="HX98" t="s">
        <v>421</v>
      </c>
      <c r="HY98" t="s">
        <v>422</v>
      </c>
      <c r="HZ98" t="s">
        <v>423</v>
      </c>
      <c r="IA98" t="s">
        <v>423</v>
      </c>
      <c r="IB98" t="s">
        <v>423</v>
      </c>
      <c r="IC98" t="s">
        <v>423</v>
      </c>
      <c r="ID98">
        <v>0</v>
      </c>
      <c r="IE98">
        <v>100</v>
      </c>
      <c r="IF98">
        <v>100</v>
      </c>
      <c r="IG98">
        <v>-2.488</v>
      </c>
      <c r="IH98">
        <v>6.3E-3</v>
      </c>
      <c r="II98">
        <v>-1.371810439738353</v>
      </c>
      <c r="IJ98">
        <v>-1.5404112972462821E-3</v>
      </c>
      <c r="IK98">
        <v>-5.8697186733976997E-8</v>
      </c>
      <c r="IL98">
        <v>1.160237123038427E-10</v>
      </c>
      <c r="IM98">
        <v>-0.17436892606274229</v>
      </c>
      <c r="IN98">
        <v>-3.128848753924141E-3</v>
      </c>
      <c r="IO98">
        <v>3.6841110403368089E-4</v>
      </c>
      <c r="IP98">
        <v>1.9296040270694169E-6</v>
      </c>
      <c r="IQ98">
        <v>1</v>
      </c>
      <c r="IR98">
        <v>1992</v>
      </c>
      <c r="IS98">
        <v>2</v>
      </c>
      <c r="IT98">
        <v>27</v>
      </c>
      <c r="IU98">
        <v>0.7</v>
      </c>
      <c r="IV98">
        <v>0.7</v>
      </c>
      <c r="IW98">
        <v>1.8237300000000001</v>
      </c>
      <c r="IX98">
        <v>2.6721200000000001</v>
      </c>
      <c r="IY98">
        <v>1.69434</v>
      </c>
      <c r="IZ98">
        <v>2.34863</v>
      </c>
      <c r="JA98">
        <v>1.5466299999999999</v>
      </c>
      <c r="JB98">
        <v>2.31812</v>
      </c>
      <c r="JC98">
        <v>38.5259</v>
      </c>
      <c r="JD98">
        <v>24.096299999999999</v>
      </c>
      <c r="JE98">
        <v>18</v>
      </c>
      <c r="JF98">
        <v>532.92600000000004</v>
      </c>
      <c r="JG98">
        <v>540.33600000000001</v>
      </c>
      <c r="JH98">
        <v>25.094799999999999</v>
      </c>
      <c r="JI98">
        <v>31.192499999999999</v>
      </c>
      <c r="JJ98">
        <v>30.000399999999999</v>
      </c>
      <c r="JK98">
        <v>31.18</v>
      </c>
      <c r="JL98">
        <v>31.141100000000002</v>
      </c>
      <c r="JM98">
        <v>36.5672</v>
      </c>
      <c r="JN98">
        <v>21.456800000000001</v>
      </c>
      <c r="JO98">
        <v>33.443300000000001</v>
      </c>
      <c r="JP98">
        <v>25.096</v>
      </c>
      <c r="JQ98">
        <v>800</v>
      </c>
      <c r="JR98">
        <v>17.691800000000001</v>
      </c>
      <c r="JS98">
        <v>99.523099999999999</v>
      </c>
      <c r="JT98">
        <v>98.6661</v>
      </c>
    </row>
    <row r="99" spans="1:280" x14ac:dyDescent="0.25">
      <c r="A99">
        <v>83</v>
      </c>
      <c r="B99">
        <v>1639684873</v>
      </c>
      <c r="C99">
        <v>18270.900000095371</v>
      </c>
      <c r="D99" t="s">
        <v>838</v>
      </c>
      <c r="E99" t="s">
        <v>839</v>
      </c>
      <c r="F99" t="s">
        <v>412</v>
      </c>
      <c r="G99" t="s">
        <v>779</v>
      </c>
      <c r="H99" t="s">
        <v>493</v>
      </c>
      <c r="I99">
        <v>1639684873</v>
      </c>
      <c r="J99">
        <f t="shared" si="92"/>
        <v>5.9450836953209929E-3</v>
      </c>
      <c r="K99">
        <f t="shared" si="93"/>
        <v>5.9450836953209931</v>
      </c>
      <c r="L99">
        <f t="shared" si="94"/>
        <v>51.664540541790757</v>
      </c>
      <c r="M99">
        <f t="shared" si="95"/>
        <v>1129.99</v>
      </c>
      <c r="N99">
        <f t="shared" si="96"/>
        <v>921.47261952692816</v>
      </c>
      <c r="O99">
        <f t="shared" si="97"/>
        <v>91.736186566813515</v>
      </c>
      <c r="P99">
        <f t="shared" si="98"/>
        <v>112.49490355107001</v>
      </c>
      <c r="Q99">
        <f t="shared" si="99"/>
        <v>0.47753784438841895</v>
      </c>
      <c r="R99">
        <f t="shared" si="100"/>
        <v>2.9171031230266031</v>
      </c>
      <c r="S99">
        <f t="shared" si="101"/>
        <v>0.43797585187631083</v>
      </c>
      <c r="T99">
        <f t="shared" si="102"/>
        <v>0.27701575233775422</v>
      </c>
      <c r="U99">
        <f t="shared" si="103"/>
        <v>289.58358884749993</v>
      </c>
      <c r="V99">
        <f t="shared" si="104"/>
        <v>28.156345077154665</v>
      </c>
      <c r="W99">
        <f t="shared" si="105"/>
        <v>27.966699999999999</v>
      </c>
      <c r="X99">
        <f t="shared" si="106"/>
        <v>3.7874790852066358</v>
      </c>
      <c r="Y99">
        <f t="shared" si="107"/>
        <v>65.338760438905211</v>
      </c>
      <c r="Z99">
        <f t="shared" si="108"/>
        <v>2.4786629617461</v>
      </c>
      <c r="AA99">
        <f t="shared" si="109"/>
        <v>3.7935567572693172</v>
      </c>
      <c r="AB99">
        <f t="shared" si="110"/>
        <v>1.3088161234605358</v>
      </c>
      <c r="AC99">
        <f t="shared" si="111"/>
        <v>-262.17819096365577</v>
      </c>
      <c r="AD99">
        <f t="shared" si="112"/>
        <v>4.3248387481367594</v>
      </c>
      <c r="AE99">
        <f t="shared" si="113"/>
        <v>0.32310539336840055</v>
      </c>
      <c r="AF99">
        <f t="shared" si="114"/>
        <v>32.053342025349309</v>
      </c>
      <c r="AG99">
        <v>0</v>
      </c>
      <c r="AH99">
        <v>0</v>
      </c>
      <c r="AI99">
        <f t="shared" si="115"/>
        <v>1</v>
      </c>
      <c r="AJ99">
        <f t="shared" si="116"/>
        <v>0</v>
      </c>
      <c r="AK99">
        <f t="shared" si="117"/>
        <v>52332.942224592844</v>
      </c>
      <c r="AL99" t="s">
        <v>415</v>
      </c>
      <c r="AM99">
        <v>10204.299999999999</v>
      </c>
      <c r="AN99">
        <v>862.72538461538477</v>
      </c>
      <c r="AO99">
        <v>3252.56</v>
      </c>
      <c r="AP99">
        <f t="shared" si="118"/>
        <v>0.73475496697512588</v>
      </c>
      <c r="AQ99">
        <v>-6.6684750346205304</v>
      </c>
      <c r="AR99" t="s">
        <v>840</v>
      </c>
      <c r="AS99">
        <v>10048.9</v>
      </c>
      <c r="AT99">
        <v>763.34399999999994</v>
      </c>
      <c r="AU99">
        <v>1178.813779391485</v>
      </c>
      <c r="AV99">
        <f t="shared" si="119"/>
        <v>0.35244733871871992</v>
      </c>
      <c r="AW99">
        <v>0.5</v>
      </c>
      <c r="AX99">
        <f t="shared" si="120"/>
        <v>1513.2692999209844</v>
      </c>
      <c r="AY99">
        <f t="shared" si="121"/>
        <v>51.664540541790757</v>
      </c>
      <c r="AZ99">
        <f t="shared" si="122"/>
        <v>266.67386876094565</v>
      </c>
      <c r="BA99">
        <f t="shared" si="123"/>
        <v>3.8547676596265554E-2</v>
      </c>
      <c r="BB99">
        <f t="shared" si="124"/>
        <v>1.759180505744514</v>
      </c>
      <c r="BC99">
        <f t="shared" si="125"/>
        <v>588.24301999855072</v>
      </c>
      <c r="BD99" t="s">
        <v>841</v>
      </c>
      <c r="BE99">
        <v>576.53</v>
      </c>
      <c r="BF99">
        <f t="shared" si="126"/>
        <v>576.53</v>
      </c>
      <c r="BG99">
        <f t="shared" si="127"/>
        <v>0.51092359957175737</v>
      </c>
      <c r="BH99">
        <f t="shared" si="128"/>
        <v>0.68982395609467229</v>
      </c>
      <c r="BI99">
        <f t="shared" si="129"/>
        <v>0.77493384626051087</v>
      </c>
      <c r="BJ99">
        <f t="shared" si="130"/>
        <v>1.3144101025467296</v>
      </c>
      <c r="BK99">
        <f t="shared" si="131"/>
        <v>0.86773628905478473</v>
      </c>
      <c r="BL99">
        <f t="shared" si="132"/>
        <v>0.52100259569376506</v>
      </c>
      <c r="BM99">
        <f t="shared" si="133"/>
        <v>0.47899740430623494</v>
      </c>
      <c r="BN99">
        <v>5036</v>
      </c>
      <c r="BO99">
        <v>290.00000000000011</v>
      </c>
      <c r="BP99">
        <v>1064.74</v>
      </c>
      <c r="BQ99">
        <v>145</v>
      </c>
      <c r="BR99">
        <v>10048.9</v>
      </c>
      <c r="BS99">
        <v>1064.56</v>
      </c>
      <c r="BT99">
        <v>0.18</v>
      </c>
      <c r="BU99">
        <v>300.00000000000011</v>
      </c>
      <c r="BV99">
        <v>24.1</v>
      </c>
      <c r="BW99">
        <v>1178.813779391485</v>
      </c>
      <c r="BX99">
        <v>2.3129042995274198</v>
      </c>
      <c r="BY99">
        <v>-114.8172093413099</v>
      </c>
      <c r="BZ99">
        <v>2.0692487162925008</v>
      </c>
      <c r="CA99">
        <v>0.99098765742575345</v>
      </c>
      <c r="CB99">
        <v>-6.8403988876529513E-3</v>
      </c>
      <c r="CC99">
        <v>289.99999999999989</v>
      </c>
      <c r="CD99">
        <v>1060.93</v>
      </c>
      <c r="CE99">
        <v>675</v>
      </c>
      <c r="CF99">
        <v>10028.9</v>
      </c>
      <c r="CG99">
        <v>1064.33</v>
      </c>
      <c r="CH99">
        <v>-3.4</v>
      </c>
      <c r="CV99">
        <f t="shared" si="134"/>
        <v>1800.1</v>
      </c>
      <c r="CW99">
        <f t="shared" si="135"/>
        <v>1513.2692999209844</v>
      </c>
      <c r="CX99">
        <f t="shared" si="136"/>
        <v>0.84065846337480388</v>
      </c>
      <c r="CY99">
        <f t="shared" si="137"/>
        <v>0.16087083431337143</v>
      </c>
      <c r="CZ99">
        <v>6</v>
      </c>
      <c r="DA99">
        <v>0.5</v>
      </c>
      <c r="DB99" t="s">
        <v>418</v>
      </c>
      <c r="DC99">
        <v>2</v>
      </c>
      <c r="DD99">
        <v>1639684873</v>
      </c>
      <c r="DE99">
        <v>1129.99</v>
      </c>
      <c r="DF99">
        <v>1200.03</v>
      </c>
      <c r="DG99">
        <v>24.8977</v>
      </c>
      <c r="DH99">
        <v>17.943100000000001</v>
      </c>
      <c r="DI99">
        <v>1133.1600000000001</v>
      </c>
      <c r="DJ99">
        <v>24.8917</v>
      </c>
      <c r="DK99">
        <v>500.13499999999999</v>
      </c>
      <c r="DL99">
        <v>99.453800000000001</v>
      </c>
      <c r="DM99">
        <v>0.100093</v>
      </c>
      <c r="DN99">
        <v>27.994199999999999</v>
      </c>
      <c r="DO99">
        <v>27.966699999999999</v>
      </c>
      <c r="DP99">
        <v>999.9</v>
      </c>
      <c r="DQ99">
        <v>0</v>
      </c>
      <c r="DR99">
        <v>0</v>
      </c>
      <c r="DS99">
        <v>9983.75</v>
      </c>
      <c r="DT99">
        <v>0</v>
      </c>
      <c r="DU99">
        <v>229.53800000000001</v>
      </c>
      <c r="DV99">
        <v>-70.041399999999996</v>
      </c>
      <c r="DW99">
        <v>1158.8399999999999</v>
      </c>
      <c r="DX99">
        <v>1221.96</v>
      </c>
      <c r="DY99">
        <v>6.9545599999999999</v>
      </c>
      <c r="DZ99">
        <v>1200.03</v>
      </c>
      <c r="EA99">
        <v>17.943100000000001</v>
      </c>
      <c r="EB99">
        <v>2.4761700000000002</v>
      </c>
      <c r="EC99">
        <v>1.78451</v>
      </c>
      <c r="ED99">
        <v>20.870699999999999</v>
      </c>
      <c r="EE99">
        <v>15.6518</v>
      </c>
      <c r="EF99">
        <v>1800.1</v>
      </c>
      <c r="EG99">
        <v>0.97799199999999997</v>
      </c>
      <c r="EH99">
        <v>2.2007700000000002E-2</v>
      </c>
      <c r="EI99">
        <v>0</v>
      </c>
      <c r="EJ99">
        <v>763.81500000000005</v>
      </c>
      <c r="EK99">
        <v>5.0001199999999999</v>
      </c>
      <c r="EL99">
        <v>13673.8</v>
      </c>
      <c r="EM99">
        <v>15630.8</v>
      </c>
      <c r="EN99">
        <v>47.125</v>
      </c>
      <c r="EO99">
        <v>47.686999999999998</v>
      </c>
      <c r="EP99">
        <v>47.811999999999998</v>
      </c>
      <c r="EQ99">
        <v>47.561999999999998</v>
      </c>
      <c r="ER99">
        <v>48.625</v>
      </c>
      <c r="ES99">
        <v>1755.59</v>
      </c>
      <c r="ET99">
        <v>39.51</v>
      </c>
      <c r="EU99">
        <v>0</v>
      </c>
      <c r="EV99">
        <v>120.2000000476837</v>
      </c>
      <c r="EW99">
        <v>0</v>
      </c>
      <c r="EX99">
        <v>763.34399999999994</v>
      </c>
      <c r="EY99">
        <v>2.3274615443446551</v>
      </c>
      <c r="EZ99">
        <v>43.292307621743149</v>
      </c>
      <c r="FA99">
        <v>13669.067999999999</v>
      </c>
      <c r="FB99">
        <v>15</v>
      </c>
      <c r="FC99">
        <v>1639684834.5</v>
      </c>
      <c r="FD99" t="s">
        <v>842</v>
      </c>
      <c r="FE99">
        <v>1639684834.5</v>
      </c>
      <c r="FF99">
        <v>1639684832.5</v>
      </c>
      <c r="FG99">
        <v>90</v>
      </c>
      <c r="FH99">
        <v>-0.14399999999999999</v>
      </c>
      <c r="FI99">
        <v>0</v>
      </c>
      <c r="FJ99">
        <v>-3.254</v>
      </c>
      <c r="FK99">
        <v>-0.10299999999999999</v>
      </c>
      <c r="FL99">
        <v>1200</v>
      </c>
      <c r="FM99">
        <v>18</v>
      </c>
      <c r="FN99">
        <v>0.03</v>
      </c>
      <c r="FO99">
        <v>0.01</v>
      </c>
      <c r="FP99">
        <v>51.777642170804953</v>
      </c>
      <c r="FQ99">
        <v>-0.43684546239682692</v>
      </c>
      <c r="FR99">
        <v>7.8542513943906572E-2</v>
      </c>
      <c r="FS99">
        <v>1</v>
      </c>
      <c r="FT99">
        <v>0.47887433202773588</v>
      </c>
      <c r="FU99">
        <v>4.8274095458234342E-2</v>
      </c>
      <c r="FV99">
        <v>5.9446276215797903E-3</v>
      </c>
      <c r="FW99">
        <v>1</v>
      </c>
      <c r="FX99">
        <v>2</v>
      </c>
      <c r="FY99">
        <v>2</v>
      </c>
      <c r="FZ99" t="s">
        <v>420</v>
      </c>
      <c r="GA99">
        <v>2.9211299999999998</v>
      </c>
      <c r="GB99">
        <v>2.74492</v>
      </c>
      <c r="GC99">
        <v>0.188612</v>
      </c>
      <c r="GD99">
        <v>0.19800200000000001</v>
      </c>
      <c r="GE99">
        <v>0.119783</v>
      </c>
      <c r="GF99">
        <v>9.6390600000000007E-2</v>
      </c>
      <c r="GG99">
        <v>25290.7</v>
      </c>
      <c r="GH99">
        <v>24687.1</v>
      </c>
      <c r="GI99">
        <v>28378</v>
      </c>
      <c r="GJ99">
        <v>28149.8</v>
      </c>
      <c r="GK99">
        <v>34284</v>
      </c>
      <c r="GL99">
        <v>35725.599999999999</v>
      </c>
      <c r="GM99">
        <v>42708.2</v>
      </c>
      <c r="GN99">
        <v>43802.9</v>
      </c>
      <c r="GO99">
        <v>1.7990999999999999</v>
      </c>
      <c r="GP99">
        <v>1.98603</v>
      </c>
      <c r="GQ99">
        <v>4.6018499999999997E-2</v>
      </c>
      <c r="GR99">
        <v>0</v>
      </c>
      <c r="GS99">
        <v>27.2149</v>
      </c>
      <c r="GT99">
        <v>999.9</v>
      </c>
      <c r="GU99">
        <v>39.4</v>
      </c>
      <c r="GV99">
        <v>34.700000000000003</v>
      </c>
      <c r="GW99">
        <v>22.008900000000001</v>
      </c>
      <c r="GX99">
        <v>61.098500000000001</v>
      </c>
      <c r="GY99">
        <v>29.290900000000001</v>
      </c>
      <c r="GZ99">
        <v>1</v>
      </c>
      <c r="HA99">
        <v>0.328237</v>
      </c>
      <c r="HB99">
        <v>2.5148199999999998</v>
      </c>
      <c r="HC99">
        <v>20.2576</v>
      </c>
      <c r="HD99">
        <v>5.2753899999999998</v>
      </c>
      <c r="HE99">
        <v>12.0878</v>
      </c>
      <c r="HF99">
        <v>5.0139500000000004</v>
      </c>
      <c r="HG99">
        <v>3.2917299999999998</v>
      </c>
      <c r="HH99">
        <v>9999</v>
      </c>
      <c r="HI99">
        <v>9999</v>
      </c>
      <c r="HJ99">
        <v>9999</v>
      </c>
      <c r="HK99">
        <v>999.9</v>
      </c>
      <c r="HL99">
        <v>1.8751500000000001</v>
      </c>
      <c r="HM99">
        <v>1.87561</v>
      </c>
      <c r="HN99">
        <v>1.87537</v>
      </c>
      <c r="HO99">
        <v>1.8792899999999999</v>
      </c>
      <c r="HP99">
        <v>1.87276</v>
      </c>
      <c r="HQ99">
        <v>1.8759699999999999</v>
      </c>
      <c r="HR99">
        <v>1.8757600000000001</v>
      </c>
      <c r="HS99">
        <v>1.8771599999999999</v>
      </c>
      <c r="HT99">
        <v>0</v>
      </c>
      <c r="HU99">
        <v>0</v>
      </c>
      <c r="HV99">
        <v>0</v>
      </c>
      <c r="HW99">
        <v>0</v>
      </c>
      <c r="HX99" t="s">
        <v>421</v>
      </c>
      <c r="HY99" t="s">
        <v>422</v>
      </c>
      <c r="HZ99" t="s">
        <v>423</v>
      </c>
      <c r="IA99" t="s">
        <v>423</v>
      </c>
      <c r="IB99" t="s">
        <v>423</v>
      </c>
      <c r="IC99" t="s">
        <v>423</v>
      </c>
      <c r="ID99">
        <v>0</v>
      </c>
      <c r="IE99">
        <v>100</v>
      </c>
      <c r="IF99">
        <v>100</v>
      </c>
      <c r="IG99">
        <v>-3.17</v>
      </c>
      <c r="IH99">
        <v>6.0000000000000001E-3</v>
      </c>
      <c r="II99">
        <v>-1.5174233740037231</v>
      </c>
      <c r="IJ99">
        <v>-1.5404112972462821E-3</v>
      </c>
      <c r="IK99">
        <v>-5.8697186733976997E-8</v>
      </c>
      <c r="IL99">
        <v>1.160237123038427E-10</v>
      </c>
      <c r="IM99">
        <v>-0.1740896327786767</v>
      </c>
      <c r="IN99">
        <v>-3.128848753924141E-3</v>
      </c>
      <c r="IO99">
        <v>3.6841110403368089E-4</v>
      </c>
      <c r="IP99">
        <v>1.9296040270694169E-6</v>
      </c>
      <c r="IQ99">
        <v>1</v>
      </c>
      <c r="IR99">
        <v>1992</v>
      </c>
      <c r="IS99">
        <v>2</v>
      </c>
      <c r="IT99">
        <v>27</v>
      </c>
      <c r="IU99">
        <v>0.6</v>
      </c>
      <c r="IV99">
        <v>0.7</v>
      </c>
      <c r="IW99">
        <v>2.5390600000000001</v>
      </c>
      <c r="IX99">
        <v>2.66113</v>
      </c>
      <c r="IY99">
        <v>1.69434</v>
      </c>
      <c r="IZ99">
        <v>2.34863</v>
      </c>
      <c r="JA99">
        <v>1.5466299999999999</v>
      </c>
      <c r="JB99">
        <v>2.31934</v>
      </c>
      <c r="JC99">
        <v>38.550400000000003</v>
      </c>
      <c r="JD99">
        <v>24.096299999999999</v>
      </c>
      <c r="JE99">
        <v>18</v>
      </c>
      <c r="JF99">
        <v>532.61800000000005</v>
      </c>
      <c r="JG99">
        <v>540.97</v>
      </c>
      <c r="JH99">
        <v>25.020900000000001</v>
      </c>
      <c r="JI99">
        <v>31.259399999999999</v>
      </c>
      <c r="JJ99">
        <v>30.000299999999999</v>
      </c>
      <c r="JK99">
        <v>31.220400000000001</v>
      </c>
      <c r="JL99">
        <v>31.176400000000001</v>
      </c>
      <c r="JM99">
        <v>50.885599999999997</v>
      </c>
      <c r="JN99">
        <v>20.889700000000001</v>
      </c>
      <c r="JO99">
        <v>33.305399999999999</v>
      </c>
      <c r="JP99">
        <v>25.0229</v>
      </c>
      <c r="JQ99">
        <v>1200</v>
      </c>
      <c r="JR99">
        <v>17.9114</v>
      </c>
      <c r="JS99">
        <v>99.508600000000001</v>
      </c>
      <c r="JT99">
        <v>98.650899999999993</v>
      </c>
    </row>
    <row r="100" spans="1:280" x14ac:dyDescent="0.25">
      <c r="A100">
        <v>84</v>
      </c>
      <c r="B100">
        <v>1639684993</v>
      </c>
      <c r="C100">
        <v>18390.900000095371</v>
      </c>
      <c r="D100" t="s">
        <v>843</v>
      </c>
      <c r="E100" t="s">
        <v>844</v>
      </c>
      <c r="F100" t="s">
        <v>412</v>
      </c>
      <c r="G100" t="s">
        <v>779</v>
      </c>
      <c r="H100" t="s">
        <v>493</v>
      </c>
      <c r="I100">
        <v>1639684993</v>
      </c>
      <c r="J100">
        <f t="shared" si="92"/>
        <v>5.7441867927067684E-3</v>
      </c>
      <c r="K100">
        <f t="shared" si="93"/>
        <v>5.7441867927067687</v>
      </c>
      <c r="L100">
        <f t="shared" si="94"/>
        <v>51.218170887391842</v>
      </c>
      <c r="M100">
        <f t="shared" si="95"/>
        <v>1428.71</v>
      </c>
      <c r="N100">
        <f t="shared" si="96"/>
        <v>1207.1228738388829</v>
      </c>
      <c r="O100">
        <f t="shared" si="97"/>
        <v>120.16561885513576</v>
      </c>
      <c r="P100">
        <f t="shared" si="98"/>
        <v>142.22398153101</v>
      </c>
      <c r="Q100">
        <f t="shared" si="99"/>
        <v>0.45580070096966735</v>
      </c>
      <c r="R100">
        <f t="shared" si="100"/>
        <v>2.92312053093434</v>
      </c>
      <c r="S100">
        <f t="shared" si="101"/>
        <v>0.41968045802685189</v>
      </c>
      <c r="T100">
        <f t="shared" si="102"/>
        <v>0.26530660917318005</v>
      </c>
      <c r="U100">
        <f t="shared" si="103"/>
        <v>289.57560884749557</v>
      </c>
      <c r="V100">
        <f t="shared" si="104"/>
        <v>28.208904708483484</v>
      </c>
      <c r="W100">
        <f t="shared" si="105"/>
        <v>28.026199999999999</v>
      </c>
      <c r="X100">
        <f t="shared" si="106"/>
        <v>3.8006396671663429</v>
      </c>
      <c r="Y100">
        <f t="shared" si="107"/>
        <v>65.401311221024855</v>
      </c>
      <c r="Z100">
        <f t="shared" si="108"/>
        <v>2.4811226477571</v>
      </c>
      <c r="AA100">
        <f t="shared" si="109"/>
        <v>3.793689455815501</v>
      </c>
      <c r="AB100">
        <f t="shared" si="110"/>
        <v>1.3195170194092429</v>
      </c>
      <c r="AC100">
        <f t="shared" si="111"/>
        <v>-253.31863755836849</v>
      </c>
      <c r="AD100">
        <f t="shared" si="112"/>
        <v>-4.9483660056008549</v>
      </c>
      <c r="AE100">
        <f t="shared" si="113"/>
        <v>-0.36903812566874328</v>
      </c>
      <c r="AF100">
        <f t="shared" si="114"/>
        <v>30.939567157857489</v>
      </c>
      <c r="AG100">
        <v>0</v>
      </c>
      <c r="AH100">
        <v>0</v>
      </c>
      <c r="AI100">
        <f t="shared" si="115"/>
        <v>1</v>
      </c>
      <c r="AJ100">
        <f t="shared" si="116"/>
        <v>0</v>
      </c>
      <c r="AK100">
        <f t="shared" si="117"/>
        <v>52505.445280933331</v>
      </c>
      <c r="AL100" t="s">
        <v>415</v>
      </c>
      <c r="AM100">
        <v>10204.299999999999</v>
      </c>
      <c r="AN100">
        <v>862.72538461538477</v>
      </c>
      <c r="AO100">
        <v>3252.56</v>
      </c>
      <c r="AP100">
        <f t="shared" si="118"/>
        <v>0.73475496697512588</v>
      </c>
      <c r="AQ100">
        <v>-6.6684750346205304</v>
      </c>
      <c r="AR100" t="s">
        <v>845</v>
      </c>
      <c r="AS100">
        <v>10048.700000000001</v>
      </c>
      <c r="AT100">
        <v>766.71352000000002</v>
      </c>
      <c r="AU100">
        <v>1186.1436198830691</v>
      </c>
      <c r="AV100">
        <f t="shared" si="119"/>
        <v>0.35360819116020437</v>
      </c>
      <c r="AW100">
        <v>0.5</v>
      </c>
      <c r="AX100">
        <f t="shared" si="120"/>
        <v>1513.2272999209822</v>
      </c>
      <c r="AY100">
        <f t="shared" si="121"/>
        <v>51.218170887391842</v>
      </c>
      <c r="AZ100">
        <f t="shared" si="122"/>
        <v>267.54478416964929</v>
      </c>
      <c r="BA100">
        <f t="shared" si="123"/>
        <v>3.8253767907197485E-2</v>
      </c>
      <c r="BB100">
        <f t="shared" si="124"/>
        <v>1.7421299962989638</v>
      </c>
      <c r="BC100">
        <f t="shared" si="125"/>
        <v>590.06258217695506</v>
      </c>
      <c r="BD100" t="s">
        <v>846</v>
      </c>
      <c r="BE100">
        <v>574.12</v>
      </c>
      <c r="BF100">
        <f t="shared" si="126"/>
        <v>574.12</v>
      </c>
      <c r="BG100">
        <f t="shared" si="127"/>
        <v>0.51597766882850393</v>
      </c>
      <c r="BH100">
        <f t="shared" si="128"/>
        <v>0.68531685094637984</v>
      </c>
      <c r="BI100">
        <f t="shared" si="129"/>
        <v>0.77149997017552407</v>
      </c>
      <c r="BJ100">
        <f t="shared" si="130"/>
        <v>1.296865959137766</v>
      </c>
      <c r="BK100">
        <f t="shared" si="131"/>
        <v>0.86466919794965225</v>
      </c>
      <c r="BL100">
        <f t="shared" si="132"/>
        <v>0.51316965229116551</v>
      </c>
      <c r="BM100">
        <f t="shared" si="133"/>
        <v>0.48683034770883449</v>
      </c>
      <c r="BN100">
        <v>5038</v>
      </c>
      <c r="BO100">
        <v>290.00000000000011</v>
      </c>
      <c r="BP100">
        <v>1072.02</v>
      </c>
      <c r="BQ100">
        <v>145</v>
      </c>
      <c r="BR100">
        <v>10048.700000000001</v>
      </c>
      <c r="BS100">
        <v>1071.22</v>
      </c>
      <c r="BT100">
        <v>0.8</v>
      </c>
      <c r="BU100">
        <v>300.00000000000011</v>
      </c>
      <c r="BV100">
        <v>24.1</v>
      </c>
      <c r="BW100">
        <v>1186.1436198830691</v>
      </c>
      <c r="BX100">
        <v>2.478944462258355</v>
      </c>
      <c r="BY100">
        <v>-115.4868115138862</v>
      </c>
      <c r="BZ100">
        <v>2.2177510128949032</v>
      </c>
      <c r="CA100">
        <v>0.98977984627219218</v>
      </c>
      <c r="CB100">
        <v>-6.8402111234705234E-3</v>
      </c>
      <c r="CC100">
        <v>289.99999999999989</v>
      </c>
      <c r="CD100">
        <v>1066.56</v>
      </c>
      <c r="CE100">
        <v>655</v>
      </c>
      <c r="CF100">
        <v>10029.6</v>
      </c>
      <c r="CG100">
        <v>1071</v>
      </c>
      <c r="CH100">
        <v>-4.4400000000000004</v>
      </c>
      <c r="CV100">
        <f t="shared" si="134"/>
        <v>1800.05</v>
      </c>
      <c r="CW100">
        <f t="shared" si="135"/>
        <v>1513.2272999209822</v>
      </c>
      <c r="CX100">
        <f t="shared" si="136"/>
        <v>0.84065848166494384</v>
      </c>
      <c r="CY100">
        <f t="shared" si="137"/>
        <v>0.16087086961334163</v>
      </c>
      <c r="CZ100">
        <v>6</v>
      </c>
      <c r="DA100">
        <v>0.5</v>
      </c>
      <c r="DB100" t="s">
        <v>418</v>
      </c>
      <c r="DC100">
        <v>2</v>
      </c>
      <c r="DD100">
        <v>1639684993</v>
      </c>
      <c r="DE100">
        <v>1428.71</v>
      </c>
      <c r="DF100">
        <v>1499.99</v>
      </c>
      <c r="DG100">
        <v>24.924099999999999</v>
      </c>
      <c r="DH100">
        <v>18.2057</v>
      </c>
      <c r="DI100">
        <v>1432.27</v>
      </c>
      <c r="DJ100">
        <v>24.910799999999998</v>
      </c>
      <c r="DK100">
        <v>500.21</v>
      </c>
      <c r="DL100">
        <v>99.447000000000003</v>
      </c>
      <c r="DM100">
        <v>0.100131</v>
      </c>
      <c r="DN100">
        <v>27.994800000000001</v>
      </c>
      <c r="DO100">
        <v>28.026199999999999</v>
      </c>
      <c r="DP100">
        <v>999.9</v>
      </c>
      <c r="DQ100">
        <v>0</v>
      </c>
      <c r="DR100">
        <v>0</v>
      </c>
      <c r="DS100">
        <v>10018.799999999999</v>
      </c>
      <c r="DT100">
        <v>0</v>
      </c>
      <c r="DU100">
        <v>233.98099999999999</v>
      </c>
      <c r="DV100">
        <v>-71.275000000000006</v>
      </c>
      <c r="DW100">
        <v>1465.23</v>
      </c>
      <c r="DX100">
        <v>1527.8</v>
      </c>
      <c r="DY100">
        <v>6.7183400000000004</v>
      </c>
      <c r="DZ100">
        <v>1499.99</v>
      </c>
      <c r="EA100">
        <v>18.2057</v>
      </c>
      <c r="EB100">
        <v>2.4786299999999999</v>
      </c>
      <c r="EC100">
        <v>1.8105100000000001</v>
      </c>
      <c r="ED100">
        <v>20.886800000000001</v>
      </c>
      <c r="EE100">
        <v>15.877800000000001</v>
      </c>
      <c r="EF100">
        <v>1800.05</v>
      </c>
      <c r="EG100">
        <v>0.97799199999999997</v>
      </c>
      <c r="EH100">
        <v>2.2008099999999999E-2</v>
      </c>
      <c r="EI100">
        <v>0</v>
      </c>
      <c r="EJ100">
        <v>767.24199999999996</v>
      </c>
      <c r="EK100">
        <v>5.0001199999999999</v>
      </c>
      <c r="EL100">
        <v>13734.9</v>
      </c>
      <c r="EM100">
        <v>15630.4</v>
      </c>
      <c r="EN100">
        <v>47.125</v>
      </c>
      <c r="EO100">
        <v>47.686999999999998</v>
      </c>
      <c r="EP100">
        <v>47.811999999999998</v>
      </c>
      <c r="EQ100">
        <v>47.625</v>
      </c>
      <c r="ER100">
        <v>48.625</v>
      </c>
      <c r="ES100">
        <v>1755.54</v>
      </c>
      <c r="ET100">
        <v>39.51</v>
      </c>
      <c r="EU100">
        <v>0</v>
      </c>
      <c r="EV100">
        <v>118.2000000476837</v>
      </c>
      <c r="EW100">
        <v>0</v>
      </c>
      <c r="EX100">
        <v>766.71352000000002</v>
      </c>
      <c r="EY100">
        <v>3.031999986827596</v>
      </c>
      <c r="EZ100">
        <v>45.038461538362967</v>
      </c>
      <c r="FA100">
        <v>13728.6</v>
      </c>
      <c r="FB100">
        <v>15</v>
      </c>
      <c r="FC100">
        <v>1639684956.5</v>
      </c>
      <c r="FD100" t="s">
        <v>847</v>
      </c>
      <c r="FE100">
        <v>1639684950.5</v>
      </c>
      <c r="FF100">
        <v>1639684956.5</v>
      </c>
      <c r="FG100">
        <v>91</v>
      </c>
      <c r="FH100">
        <v>-5.8999999999999997E-2</v>
      </c>
      <c r="FI100">
        <v>7.0000000000000001E-3</v>
      </c>
      <c r="FJ100">
        <v>-3.6309999999999998</v>
      </c>
      <c r="FK100">
        <v>-9.2999999999999999E-2</v>
      </c>
      <c r="FL100">
        <v>1501</v>
      </c>
      <c r="FM100">
        <v>18</v>
      </c>
      <c r="FN100">
        <v>0.06</v>
      </c>
      <c r="FO100">
        <v>0.02</v>
      </c>
      <c r="FP100">
        <v>51.27402311340353</v>
      </c>
      <c r="FQ100">
        <v>-0.5631743000286229</v>
      </c>
      <c r="FR100">
        <v>0.12748904007867279</v>
      </c>
      <c r="FS100">
        <v>1</v>
      </c>
      <c r="FT100">
        <v>0.45290481136992422</v>
      </c>
      <c r="FU100">
        <v>4.4896501179672733E-2</v>
      </c>
      <c r="FV100">
        <v>4.7217948590265544E-3</v>
      </c>
      <c r="FW100">
        <v>1</v>
      </c>
      <c r="FX100">
        <v>2</v>
      </c>
      <c r="FY100">
        <v>2</v>
      </c>
      <c r="FZ100" t="s">
        <v>420</v>
      </c>
      <c r="GA100">
        <v>2.9211499999999999</v>
      </c>
      <c r="GB100">
        <v>2.7452700000000001</v>
      </c>
      <c r="GC100">
        <v>0.217746</v>
      </c>
      <c r="GD100">
        <v>0.226602</v>
      </c>
      <c r="GE100">
        <v>0.119821</v>
      </c>
      <c r="GF100">
        <v>9.7377199999999997E-2</v>
      </c>
      <c r="GG100">
        <v>24377.200000000001</v>
      </c>
      <c r="GH100">
        <v>23800.1</v>
      </c>
      <c r="GI100">
        <v>28373.5</v>
      </c>
      <c r="GJ100">
        <v>28144</v>
      </c>
      <c r="GK100">
        <v>34277.1</v>
      </c>
      <c r="GL100">
        <v>35679.5</v>
      </c>
      <c r="GM100">
        <v>42701.599999999999</v>
      </c>
      <c r="GN100">
        <v>43794.3</v>
      </c>
      <c r="GO100">
        <v>1.79748</v>
      </c>
      <c r="GP100">
        <v>1.9857499999999999</v>
      </c>
      <c r="GQ100">
        <v>4.6476700000000003E-2</v>
      </c>
      <c r="GR100">
        <v>0</v>
      </c>
      <c r="GS100">
        <v>27.2669</v>
      </c>
      <c r="GT100">
        <v>999.9</v>
      </c>
      <c r="GU100">
        <v>39.6</v>
      </c>
      <c r="GV100">
        <v>34.799999999999997</v>
      </c>
      <c r="GW100">
        <v>22.2441</v>
      </c>
      <c r="GX100">
        <v>60.978499999999997</v>
      </c>
      <c r="GY100">
        <v>29.258800000000001</v>
      </c>
      <c r="GZ100">
        <v>1</v>
      </c>
      <c r="HA100">
        <v>0.33650200000000002</v>
      </c>
      <c r="HB100">
        <v>2.4510399999999999</v>
      </c>
      <c r="HC100">
        <v>20.258199999999999</v>
      </c>
      <c r="HD100">
        <v>5.2746399999999998</v>
      </c>
      <c r="HE100">
        <v>12.0878</v>
      </c>
      <c r="HF100">
        <v>5.0137</v>
      </c>
      <c r="HG100">
        <v>3.2919</v>
      </c>
      <c r="HH100">
        <v>9999</v>
      </c>
      <c r="HI100">
        <v>9999</v>
      </c>
      <c r="HJ100">
        <v>9999</v>
      </c>
      <c r="HK100">
        <v>999.9</v>
      </c>
      <c r="HL100">
        <v>1.8751500000000001</v>
      </c>
      <c r="HM100">
        <v>1.87561</v>
      </c>
      <c r="HN100">
        <v>1.8754200000000001</v>
      </c>
      <c r="HO100">
        <v>1.87934</v>
      </c>
      <c r="HP100">
        <v>1.8728</v>
      </c>
      <c r="HQ100">
        <v>1.8759999999999999</v>
      </c>
      <c r="HR100">
        <v>1.8757600000000001</v>
      </c>
      <c r="HS100">
        <v>1.87714</v>
      </c>
      <c r="HT100">
        <v>0</v>
      </c>
      <c r="HU100">
        <v>0</v>
      </c>
      <c r="HV100">
        <v>0</v>
      </c>
      <c r="HW100">
        <v>0</v>
      </c>
      <c r="HX100" t="s">
        <v>421</v>
      </c>
      <c r="HY100" t="s">
        <v>422</v>
      </c>
      <c r="HZ100" t="s">
        <v>423</v>
      </c>
      <c r="IA100" t="s">
        <v>423</v>
      </c>
      <c r="IB100" t="s">
        <v>423</v>
      </c>
      <c r="IC100" t="s">
        <v>423</v>
      </c>
      <c r="ID100">
        <v>0</v>
      </c>
      <c r="IE100">
        <v>100</v>
      </c>
      <c r="IF100">
        <v>100</v>
      </c>
      <c r="IG100">
        <v>-3.56</v>
      </c>
      <c r="IH100">
        <v>1.3299999999999999E-2</v>
      </c>
      <c r="II100">
        <v>-1.5764390115545821</v>
      </c>
      <c r="IJ100">
        <v>-1.5404112972462821E-3</v>
      </c>
      <c r="IK100">
        <v>-5.8697186733976997E-8</v>
      </c>
      <c r="IL100">
        <v>1.160237123038427E-10</v>
      </c>
      <c r="IM100">
        <v>-0.1672458615016065</v>
      </c>
      <c r="IN100">
        <v>-3.128848753924141E-3</v>
      </c>
      <c r="IO100">
        <v>3.6841110403368089E-4</v>
      </c>
      <c r="IP100">
        <v>1.9296040270694169E-6</v>
      </c>
      <c r="IQ100">
        <v>1</v>
      </c>
      <c r="IR100">
        <v>1992</v>
      </c>
      <c r="IS100">
        <v>2</v>
      </c>
      <c r="IT100">
        <v>27</v>
      </c>
      <c r="IU100">
        <v>0.7</v>
      </c>
      <c r="IV100">
        <v>0.6</v>
      </c>
      <c r="IW100">
        <v>3.0432100000000002</v>
      </c>
      <c r="IX100">
        <v>2.64771</v>
      </c>
      <c r="IY100">
        <v>1.69434</v>
      </c>
      <c r="IZ100">
        <v>2.34863</v>
      </c>
      <c r="JA100">
        <v>1.5466299999999999</v>
      </c>
      <c r="JB100">
        <v>2.4621599999999999</v>
      </c>
      <c r="JC100">
        <v>38.599499999999999</v>
      </c>
      <c r="JD100">
        <v>24.105</v>
      </c>
      <c r="JE100">
        <v>18</v>
      </c>
      <c r="JF100">
        <v>531.92600000000004</v>
      </c>
      <c r="JG100">
        <v>541.35</v>
      </c>
      <c r="JH100">
        <v>25.024699999999999</v>
      </c>
      <c r="JI100">
        <v>31.3491</v>
      </c>
      <c r="JJ100">
        <v>30.000299999999999</v>
      </c>
      <c r="JK100">
        <v>31.287299999999998</v>
      </c>
      <c r="JL100">
        <v>31.238900000000001</v>
      </c>
      <c r="JM100">
        <v>60.9604</v>
      </c>
      <c r="JN100">
        <v>20.357099999999999</v>
      </c>
      <c r="JO100">
        <v>33.657299999999999</v>
      </c>
      <c r="JP100">
        <v>25.088699999999999</v>
      </c>
      <c r="JQ100">
        <v>1500</v>
      </c>
      <c r="JR100">
        <v>18.124600000000001</v>
      </c>
      <c r="JS100">
        <v>99.493099999999998</v>
      </c>
      <c r="JT100">
        <v>98.631</v>
      </c>
    </row>
    <row r="101" spans="1:280" x14ac:dyDescent="0.25">
      <c r="A101">
        <v>85</v>
      </c>
      <c r="B101">
        <v>1639688004</v>
      </c>
      <c r="C101">
        <v>21401.900000095371</v>
      </c>
      <c r="D101" t="s">
        <v>848</v>
      </c>
      <c r="E101" t="s">
        <v>849</v>
      </c>
      <c r="F101" t="s">
        <v>412</v>
      </c>
      <c r="G101" t="s">
        <v>850</v>
      </c>
      <c r="H101" t="s">
        <v>565</v>
      </c>
      <c r="I101">
        <v>1639688004</v>
      </c>
      <c r="J101">
        <f t="shared" si="92"/>
        <v>4.9332391729005835E-3</v>
      </c>
      <c r="K101">
        <f t="shared" si="93"/>
        <v>4.9332391729005831</v>
      </c>
      <c r="L101">
        <f t="shared" si="94"/>
        <v>42.382834288170883</v>
      </c>
      <c r="M101">
        <f t="shared" si="95"/>
        <v>347.154</v>
      </c>
      <c r="N101">
        <f t="shared" si="96"/>
        <v>162.44268963010262</v>
      </c>
      <c r="O101">
        <f t="shared" si="97"/>
        <v>16.16742528623805</v>
      </c>
      <c r="P101">
        <f t="shared" si="98"/>
        <v>34.551178453145994</v>
      </c>
      <c r="Q101">
        <f t="shared" si="99"/>
        <v>0.40267923860113725</v>
      </c>
      <c r="R101">
        <f t="shared" si="100"/>
        <v>2.9212217073887357</v>
      </c>
      <c r="S101">
        <f t="shared" si="101"/>
        <v>0.37418883089367633</v>
      </c>
      <c r="T101">
        <f t="shared" si="102"/>
        <v>0.2362595737998443</v>
      </c>
      <c r="U101">
        <f t="shared" si="103"/>
        <v>289.58562284757869</v>
      </c>
      <c r="V101">
        <f t="shared" si="104"/>
        <v>28.421707213824988</v>
      </c>
      <c r="W101">
        <f t="shared" si="105"/>
        <v>27.812999999999999</v>
      </c>
      <c r="X101">
        <f t="shared" si="106"/>
        <v>3.753666600886572</v>
      </c>
      <c r="Y101">
        <f t="shared" si="107"/>
        <v>65.436086853386158</v>
      </c>
      <c r="Z101">
        <f t="shared" si="108"/>
        <v>2.4826300739406997</v>
      </c>
      <c r="AA101">
        <f t="shared" si="109"/>
        <v>3.7939769832251664</v>
      </c>
      <c r="AB101">
        <f t="shared" si="110"/>
        <v>1.2710365269458723</v>
      </c>
      <c r="AC101">
        <f t="shared" si="111"/>
        <v>-217.55584752491572</v>
      </c>
      <c r="AD101">
        <f t="shared" si="112"/>
        <v>28.836218448508514</v>
      </c>
      <c r="AE101">
        <f t="shared" si="113"/>
        <v>2.1496675468668802</v>
      </c>
      <c r="AF101">
        <f t="shared" si="114"/>
        <v>103.0156613180384</v>
      </c>
      <c r="AG101">
        <v>0</v>
      </c>
      <c r="AH101">
        <v>0</v>
      </c>
      <c r="AI101">
        <f t="shared" si="115"/>
        <v>1</v>
      </c>
      <c r="AJ101">
        <f t="shared" si="116"/>
        <v>0</v>
      </c>
      <c r="AK101">
        <f t="shared" si="117"/>
        <v>52450.239201893615</v>
      </c>
      <c r="AL101" t="s">
        <v>415</v>
      </c>
      <c r="AM101">
        <v>10204.299999999999</v>
      </c>
      <c r="AN101">
        <v>862.72538461538477</v>
      </c>
      <c r="AO101">
        <v>3252.56</v>
      </c>
      <c r="AP101">
        <f t="shared" si="118"/>
        <v>0.73475496697512588</v>
      </c>
      <c r="AQ101">
        <v>-6.6684750346205304</v>
      </c>
      <c r="AR101" t="s">
        <v>851</v>
      </c>
      <c r="AS101">
        <v>10070.700000000001</v>
      </c>
      <c r="AT101">
        <v>712.34196153846153</v>
      </c>
      <c r="AU101">
        <v>1022.683038586167</v>
      </c>
      <c r="AV101">
        <f t="shared" si="119"/>
        <v>0.30345773356791361</v>
      </c>
      <c r="AW101">
        <v>0.5</v>
      </c>
      <c r="AX101">
        <f t="shared" si="120"/>
        <v>1513.2854999210251</v>
      </c>
      <c r="AY101">
        <f t="shared" si="121"/>
        <v>42.382834288170883</v>
      </c>
      <c r="AZ101">
        <f t="shared" si="122"/>
        <v>229.60909402361071</v>
      </c>
      <c r="BA101">
        <f t="shared" si="123"/>
        <v>3.2413783998691117E-2</v>
      </c>
      <c r="BB101">
        <f t="shared" si="124"/>
        <v>2.180418445676561</v>
      </c>
      <c r="BC101">
        <f t="shared" si="125"/>
        <v>546.60121565360919</v>
      </c>
      <c r="BD101" t="s">
        <v>852</v>
      </c>
      <c r="BE101">
        <v>549.24</v>
      </c>
      <c r="BF101">
        <f t="shared" si="126"/>
        <v>549.24</v>
      </c>
      <c r="BG101">
        <f t="shared" si="127"/>
        <v>0.4629421049562823</v>
      </c>
      <c r="BH101">
        <f t="shared" si="128"/>
        <v>0.65549823686175746</v>
      </c>
      <c r="BI101">
        <f t="shared" si="129"/>
        <v>0.82486607631128872</v>
      </c>
      <c r="BJ101">
        <f t="shared" si="130"/>
        <v>1.9401452155855714</v>
      </c>
      <c r="BK101">
        <f t="shared" si="131"/>
        <v>0.93306747967367643</v>
      </c>
      <c r="BL101">
        <f t="shared" si="132"/>
        <v>0.50541154537126443</v>
      </c>
      <c r="BM101">
        <f t="shared" si="133"/>
        <v>0.49458845462873557</v>
      </c>
      <c r="BN101">
        <v>5040</v>
      </c>
      <c r="BO101">
        <v>290.00000000000011</v>
      </c>
      <c r="BP101">
        <v>949.01</v>
      </c>
      <c r="BQ101">
        <v>285</v>
      </c>
      <c r="BR101">
        <v>10070.700000000001</v>
      </c>
      <c r="BS101">
        <v>949.82</v>
      </c>
      <c r="BT101">
        <v>-0.81</v>
      </c>
      <c r="BU101">
        <v>300.00000000000011</v>
      </c>
      <c r="BV101">
        <v>24.1</v>
      </c>
      <c r="BW101">
        <v>1022.683038586167</v>
      </c>
      <c r="BX101">
        <v>2.1630483086640782</v>
      </c>
      <c r="BY101">
        <v>-73.379459386740095</v>
      </c>
      <c r="BZ101">
        <v>1.941358294436746</v>
      </c>
      <c r="CA101">
        <v>0.98077832342055438</v>
      </c>
      <c r="CB101">
        <v>-6.8633417130144671E-3</v>
      </c>
      <c r="CC101">
        <v>289.99999999999989</v>
      </c>
      <c r="CD101">
        <v>948.17</v>
      </c>
      <c r="CE101">
        <v>755</v>
      </c>
      <c r="CF101">
        <v>10057.9</v>
      </c>
      <c r="CG101">
        <v>949.73</v>
      </c>
      <c r="CH101">
        <v>-1.56</v>
      </c>
      <c r="CV101">
        <f t="shared" si="134"/>
        <v>1800.12</v>
      </c>
      <c r="CW101">
        <f t="shared" si="135"/>
        <v>1513.2854999210251</v>
      </c>
      <c r="CX101">
        <f t="shared" si="136"/>
        <v>0.84065812274794194</v>
      </c>
      <c r="CY101">
        <f t="shared" si="137"/>
        <v>0.16087017690352795</v>
      </c>
      <c r="CZ101">
        <v>6</v>
      </c>
      <c r="DA101">
        <v>0.5</v>
      </c>
      <c r="DB101" t="s">
        <v>418</v>
      </c>
      <c r="DC101">
        <v>2</v>
      </c>
      <c r="DD101">
        <v>1639688004</v>
      </c>
      <c r="DE101">
        <v>347.154</v>
      </c>
      <c r="DF101">
        <v>400.05</v>
      </c>
      <c r="DG101">
        <v>24.944299999999998</v>
      </c>
      <c r="DH101">
        <v>19.174099999999999</v>
      </c>
      <c r="DI101">
        <v>349.01400000000001</v>
      </c>
      <c r="DJ101">
        <v>24.943000000000001</v>
      </c>
      <c r="DK101">
        <v>500.17500000000001</v>
      </c>
      <c r="DL101">
        <v>99.426599999999993</v>
      </c>
      <c r="DM101">
        <v>0.10034899999999999</v>
      </c>
      <c r="DN101">
        <v>27.996099999999998</v>
      </c>
      <c r="DO101">
        <v>27.812999999999999</v>
      </c>
      <c r="DP101">
        <v>999.9</v>
      </c>
      <c r="DQ101">
        <v>0</v>
      </c>
      <c r="DR101">
        <v>0</v>
      </c>
      <c r="DS101">
        <v>10010</v>
      </c>
      <c r="DT101">
        <v>0</v>
      </c>
      <c r="DU101">
        <v>192.387</v>
      </c>
      <c r="DV101">
        <v>-52.896599999999999</v>
      </c>
      <c r="DW101">
        <v>356.03500000000003</v>
      </c>
      <c r="DX101">
        <v>407.87099999999998</v>
      </c>
      <c r="DY101">
        <v>5.7701799999999999</v>
      </c>
      <c r="DZ101">
        <v>400.05</v>
      </c>
      <c r="EA101">
        <v>19.174099999999999</v>
      </c>
      <c r="EB101">
        <v>2.4801299999999999</v>
      </c>
      <c r="EC101">
        <v>1.90642</v>
      </c>
      <c r="ED101">
        <v>20.896699999999999</v>
      </c>
      <c r="EE101">
        <v>16.687799999999999</v>
      </c>
      <c r="EF101">
        <v>1800.12</v>
      </c>
      <c r="EG101">
        <v>0.97800200000000004</v>
      </c>
      <c r="EH101">
        <v>2.1997800000000001E-2</v>
      </c>
      <c r="EI101">
        <v>0</v>
      </c>
      <c r="EJ101">
        <v>712.08699999999999</v>
      </c>
      <c r="EK101">
        <v>5.0001199999999999</v>
      </c>
      <c r="EL101">
        <v>12655.9</v>
      </c>
      <c r="EM101">
        <v>15631.1</v>
      </c>
      <c r="EN101">
        <v>46.875</v>
      </c>
      <c r="EO101">
        <v>47.561999999999998</v>
      </c>
      <c r="EP101">
        <v>47.561999999999998</v>
      </c>
      <c r="EQ101">
        <v>47.311999999999998</v>
      </c>
      <c r="ER101">
        <v>48.375</v>
      </c>
      <c r="ES101">
        <v>1755.63</v>
      </c>
      <c r="ET101">
        <v>39.49</v>
      </c>
      <c r="EU101">
        <v>0</v>
      </c>
      <c r="EV101">
        <v>3009</v>
      </c>
      <c r="EW101">
        <v>0</v>
      </c>
      <c r="EX101">
        <v>712.34196153846153</v>
      </c>
      <c r="EY101">
        <v>0.1057436023917652</v>
      </c>
      <c r="EZ101">
        <v>-3.7299144557567572</v>
      </c>
      <c r="FA101">
        <v>12654.719230769229</v>
      </c>
      <c r="FB101">
        <v>15</v>
      </c>
      <c r="FC101">
        <v>1639687967.5</v>
      </c>
      <c r="FD101" t="s">
        <v>853</v>
      </c>
      <c r="FE101">
        <v>1639687963</v>
      </c>
      <c r="FF101">
        <v>1639687967.5</v>
      </c>
      <c r="FG101">
        <v>94</v>
      </c>
      <c r="FH101">
        <v>9.5000000000000001E-2</v>
      </c>
      <c r="FI101">
        <v>-7.0000000000000001E-3</v>
      </c>
      <c r="FJ101">
        <v>-1.9419999999999999</v>
      </c>
      <c r="FK101">
        <v>-9.0999999999999998E-2</v>
      </c>
      <c r="FL101">
        <v>400</v>
      </c>
      <c r="FM101">
        <v>19</v>
      </c>
      <c r="FN101">
        <v>0.03</v>
      </c>
      <c r="FO101">
        <v>0.02</v>
      </c>
      <c r="FP101">
        <v>42.38362619297483</v>
      </c>
      <c r="FQ101">
        <v>-0.39247131870002461</v>
      </c>
      <c r="FR101">
        <v>5.9823375173028277E-2</v>
      </c>
      <c r="FS101">
        <v>1</v>
      </c>
      <c r="FT101">
        <v>0.4021247865434725</v>
      </c>
      <c r="FU101">
        <v>4.1520125836522391E-2</v>
      </c>
      <c r="FV101">
        <v>6.3571820421209407E-3</v>
      </c>
      <c r="FW101">
        <v>1</v>
      </c>
      <c r="FX101">
        <v>2</v>
      </c>
      <c r="FY101">
        <v>2</v>
      </c>
      <c r="FZ101" t="s">
        <v>420</v>
      </c>
      <c r="GA101">
        <v>2.9205299999999998</v>
      </c>
      <c r="GB101">
        <v>2.7454100000000001</v>
      </c>
      <c r="GC101">
        <v>8.2380700000000001E-2</v>
      </c>
      <c r="GD101">
        <v>9.3149899999999994E-2</v>
      </c>
      <c r="GE101">
        <v>0.119835</v>
      </c>
      <c r="GF101">
        <v>0.100961</v>
      </c>
      <c r="GG101">
        <v>28591.5</v>
      </c>
      <c r="GH101">
        <v>27900.7</v>
      </c>
      <c r="GI101">
        <v>28367.7</v>
      </c>
      <c r="GJ101">
        <v>28135.4</v>
      </c>
      <c r="GK101">
        <v>34272.800000000003</v>
      </c>
      <c r="GL101">
        <v>35528.9</v>
      </c>
      <c r="GM101">
        <v>42695.3</v>
      </c>
      <c r="GN101">
        <v>43781.7</v>
      </c>
      <c r="GO101">
        <v>1.79457</v>
      </c>
      <c r="GP101">
        <v>1.97967</v>
      </c>
      <c r="GQ101">
        <v>2.4065400000000001E-2</v>
      </c>
      <c r="GR101">
        <v>0</v>
      </c>
      <c r="GS101">
        <v>27.419899999999998</v>
      </c>
      <c r="GT101">
        <v>999.9</v>
      </c>
      <c r="GU101">
        <v>42.3</v>
      </c>
      <c r="GV101">
        <v>34.799999999999997</v>
      </c>
      <c r="GW101">
        <v>23.7654</v>
      </c>
      <c r="GX101">
        <v>61.162999999999997</v>
      </c>
      <c r="GY101">
        <v>29.4712</v>
      </c>
      <c r="GZ101">
        <v>1</v>
      </c>
      <c r="HA101">
        <v>0.35694599999999999</v>
      </c>
      <c r="HB101">
        <v>2.5214500000000002</v>
      </c>
      <c r="HC101">
        <v>20.258199999999999</v>
      </c>
      <c r="HD101">
        <v>5.2770400000000004</v>
      </c>
      <c r="HE101">
        <v>12.0878</v>
      </c>
      <c r="HF101">
        <v>5.0134499999999997</v>
      </c>
      <c r="HG101">
        <v>3.2919200000000002</v>
      </c>
      <c r="HH101">
        <v>9999</v>
      </c>
      <c r="HI101">
        <v>9999</v>
      </c>
      <c r="HJ101">
        <v>9999</v>
      </c>
      <c r="HK101">
        <v>999.9</v>
      </c>
      <c r="HL101">
        <v>1.8751500000000001</v>
      </c>
      <c r="HM101">
        <v>1.87561</v>
      </c>
      <c r="HN101">
        <v>1.87541</v>
      </c>
      <c r="HO101">
        <v>1.87931</v>
      </c>
      <c r="HP101">
        <v>1.8728199999999999</v>
      </c>
      <c r="HQ101">
        <v>1.8760300000000001</v>
      </c>
      <c r="HR101">
        <v>1.8757600000000001</v>
      </c>
      <c r="HS101">
        <v>1.87714</v>
      </c>
      <c r="HT101">
        <v>0</v>
      </c>
      <c r="HU101">
        <v>0</v>
      </c>
      <c r="HV101">
        <v>0</v>
      </c>
      <c r="HW101">
        <v>0</v>
      </c>
      <c r="HX101" t="s">
        <v>421</v>
      </c>
      <c r="HY101" t="s">
        <v>422</v>
      </c>
      <c r="HZ101" t="s">
        <v>423</v>
      </c>
      <c r="IA101" t="s">
        <v>423</v>
      </c>
      <c r="IB101" t="s">
        <v>423</v>
      </c>
      <c r="IC101" t="s">
        <v>423</v>
      </c>
      <c r="ID101">
        <v>0</v>
      </c>
      <c r="IE101">
        <v>100</v>
      </c>
      <c r="IF101">
        <v>100</v>
      </c>
      <c r="IG101">
        <v>-1.86</v>
      </c>
      <c r="IH101">
        <v>1.2999999999999999E-3</v>
      </c>
      <c r="II101">
        <v>-1.3205831270630579</v>
      </c>
      <c r="IJ101">
        <v>-1.5404112972462821E-3</v>
      </c>
      <c r="IK101">
        <v>-5.8697186733976997E-8</v>
      </c>
      <c r="IL101">
        <v>1.160237123038427E-10</v>
      </c>
      <c r="IM101">
        <v>-0.17984443274910089</v>
      </c>
      <c r="IN101">
        <v>-3.128848753924141E-3</v>
      </c>
      <c r="IO101">
        <v>3.6841110403368089E-4</v>
      </c>
      <c r="IP101">
        <v>1.9296040270694169E-6</v>
      </c>
      <c r="IQ101">
        <v>1</v>
      </c>
      <c r="IR101">
        <v>1992</v>
      </c>
      <c r="IS101">
        <v>2</v>
      </c>
      <c r="IT101">
        <v>27</v>
      </c>
      <c r="IU101">
        <v>0.7</v>
      </c>
      <c r="IV101">
        <v>0.6</v>
      </c>
      <c r="IW101">
        <v>1.0412600000000001</v>
      </c>
      <c r="IX101">
        <v>2.66479</v>
      </c>
      <c r="IY101">
        <v>1.69434</v>
      </c>
      <c r="IZ101">
        <v>2.34985</v>
      </c>
      <c r="JA101">
        <v>1.5466299999999999</v>
      </c>
      <c r="JB101">
        <v>2.31812</v>
      </c>
      <c r="JC101">
        <v>38.697899999999997</v>
      </c>
      <c r="JD101">
        <v>24.087499999999999</v>
      </c>
      <c r="JE101">
        <v>18</v>
      </c>
      <c r="JF101">
        <v>532.029</v>
      </c>
      <c r="JG101">
        <v>539.13800000000003</v>
      </c>
      <c r="JH101">
        <v>25.072099999999999</v>
      </c>
      <c r="JI101">
        <v>31.6112</v>
      </c>
      <c r="JJ101">
        <v>30.000399999999999</v>
      </c>
      <c r="JK101">
        <v>31.542300000000001</v>
      </c>
      <c r="JL101">
        <v>31.492599999999999</v>
      </c>
      <c r="JM101">
        <v>20.9314</v>
      </c>
      <c r="JN101">
        <v>23.239599999999999</v>
      </c>
      <c r="JO101">
        <v>40.194699999999997</v>
      </c>
      <c r="JP101">
        <v>25.073499999999999</v>
      </c>
      <c r="JQ101">
        <v>400</v>
      </c>
      <c r="JR101">
        <v>19.074100000000001</v>
      </c>
      <c r="JS101">
        <v>99.476299999999995</v>
      </c>
      <c r="JT101">
        <v>98.602000000000004</v>
      </c>
    </row>
    <row r="102" spans="1:280" x14ac:dyDescent="0.25">
      <c r="A102">
        <v>86</v>
      </c>
      <c r="B102">
        <v>1639688115.5</v>
      </c>
      <c r="C102">
        <v>21513.400000095371</v>
      </c>
      <c r="D102" t="s">
        <v>854</v>
      </c>
      <c r="E102" t="s">
        <v>855</v>
      </c>
      <c r="F102" t="s">
        <v>412</v>
      </c>
      <c r="G102" t="s">
        <v>850</v>
      </c>
      <c r="H102" t="s">
        <v>565</v>
      </c>
      <c r="I102">
        <v>1639688115.5</v>
      </c>
      <c r="J102">
        <f t="shared" si="92"/>
        <v>4.9772861758540961E-3</v>
      </c>
      <c r="K102">
        <f t="shared" si="93"/>
        <v>4.9772861758540961</v>
      </c>
      <c r="L102">
        <f t="shared" si="94"/>
        <v>37.166942530658005</v>
      </c>
      <c r="M102">
        <f t="shared" si="95"/>
        <v>253.91499999999999</v>
      </c>
      <c r="N102">
        <f t="shared" si="96"/>
        <v>94.533283078914678</v>
      </c>
      <c r="O102">
        <f t="shared" si="97"/>
        <v>9.4086951745520242</v>
      </c>
      <c r="P102">
        <f t="shared" si="98"/>
        <v>25.271616064069999</v>
      </c>
      <c r="Q102">
        <f t="shared" si="99"/>
        <v>0.40703605087598077</v>
      </c>
      <c r="R102">
        <f t="shared" si="100"/>
        <v>2.9166384883056335</v>
      </c>
      <c r="S102">
        <f t="shared" si="101"/>
        <v>0.37790746466834768</v>
      </c>
      <c r="T102">
        <f t="shared" si="102"/>
        <v>0.23863531323780518</v>
      </c>
      <c r="U102">
        <f t="shared" si="103"/>
        <v>289.57604684757365</v>
      </c>
      <c r="V102">
        <f t="shared" si="104"/>
        <v>28.415976946853853</v>
      </c>
      <c r="W102">
        <f t="shared" si="105"/>
        <v>27.805199999999999</v>
      </c>
      <c r="X102">
        <f t="shared" si="106"/>
        <v>3.7519577227672816</v>
      </c>
      <c r="Y102">
        <f t="shared" si="107"/>
        <v>65.404000359246567</v>
      </c>
      <c r="Z102">
        <f t="shared" si="108"/>
        <v>2.4821650618051998</v>
      </c>
      <c r="AA102">
        <f t="shared" si="109"/>
        <v>3.7951272829969649</v>
      </c>
      <c r="AB102">
        <f t="shared" si="110"/>
        <v>1.2697926609620818</v>
      </c>
      <c r="AC102">
        <f t="shared" si="111"/>
        <v>-219.49832035516565</v>
      </c>
      <c r="AD102">
        <f t="shared" si="112"/>
        <v>30.835119760998886</v>
      </c>
      <c r="AE102">
        <f t="shared" si="113"/>
        <v>2.3022629602874698</v>
      </c>
      <c r="AF102">
        <f t="shared" si="114"/>
        <v>103.21510921369435</v>
      </c>
      <c r="AG102">
        <v>0</v>
      </c>
      <c r="AH102">
        <v>0</v>
      </c>
      <c r="AI102">
        <f t="shared" si="115"/>
        <v>1</v>
      </c>
      <c r="AJ102">
        <f t="shared" si="116"/>
        <v>0</v>
      </c>
      <c r="AK102">
        <f t="shared" si="117"/>
        <v>52317.816352460213</v>
      </c>
      <c r="AL102" t="s">
        <v>415</v>
      </c>
      <c r="AM102">
        <v>10204.299999999999</v>
      </c>
      <c r="AN102">
        <v>862.72538461538477</v>
      </c>
      <c r="AO102">
        <v>3252.56</v>
      </c>
      <c r="AP102">
        <f t="shared" si="118"/>
        <v>0.73475496697512588</v>
      </c>
      <c r="AQ102">
        <v>-6.6684750346205304</v>
      </c>
      <c r="AR102" t="s">
        <v>856</v>
      </c>
      <c r="AS102">
        <v>10070.1</v>
      </c>
      <c r="AT102">
        <v>708.08244000000002</v>
      </c>
      <c r="AU102">
        <v>986.48858112154119</v>
      </c>
      <c r="AV102">
        <f t="shared" si="119"/>
        <v>0.2822193246322432</v>
      </c>
      <c r="AW102">
        <v>0.5</v>
      </c>
      <c r="AX102">
        <f t="shared" si="120"/>
        <v>1513.2350999210223</v>
      </c>
      <c r="AY102">
        <f t="shared" si="121"/>
        <v>37.166942530658005</v>
      </c>
      <c r="AZ102">
        <f t="shared" si="122"/>
        <v>213.53209395475798</v>
      </c>
      <c r="BA102">
        <f t="shared" si="123"/>
        <v>2.8968015325289746E-2</v>
      </c>
      <c r="BB102">
        <f t="shared" si="124"/>
        <v>2.2971086155930531</v>
      </c>
      <c r="BC102">
        <f t="shared" si="125"/>
        <v>536.08847336580902</v>
      </c>
      <c r="BD102" t="s">
        <v>857</v>
      </c>
      <c r="BE102">
        <v>546.25</v>
      </c>
      <c r="BF102">
        <f t="shared" si="126"/>
        <v>546.25</v>
      </c>
      <c r="BG102">
        <f t="shared" si="127"/>
        <v>0.44626829904207599</v>
      </c>
      <c r="BH102">
        <f t="shared" si="128"/>
        <v>0.63239832459090795</v>
      </c>
      <c r="BI102">
        <f t="shared" si="129"/>
        <v>0.83732884217937287</v>
      </c>
      <c r="BJ102">
        <f t="shared" si="130"/>
        <v>2.2495067110495346</v>
      </c>
      <c r="BK102">
        <f t="shared" si="131"/>
        <v>0.94821265216035122</v>
      </c>
      <c r="BL102">
        <f t="shared" si="132"/>
        <v>0.48786351036721581</v>
      </c>
      <c r="BM102">
        <f t="shared" si="133"/>
        <v>0.51213648963278424</v>
      </c>
      <c r="BN102">
        <v>5042</v>
      </c>
      <c r="BO102">
        <v>290.00000000000011</v>
      </c>
      <c r="BP102">
        <v>915.22</v>
      </c>
      <c r="BQ102">
        <v>285</v>
      </c>
      <c r="BR102">
        <v>10070.1</v>
      </c>
      <c r="BS102">
        <v>915.14</v>
      </c>
      <c r="BT102">
        <v>0.08</v>
      </c>
      <c r="BU102">
        <v>300.00000000000011</v>
      </c>
      <c r="BV102">
        <v>24.1</v>
      </c>
      <c r="BW102">
        <v>986.48858112154119</v>
      </c>
      <c r="BX102">
        <v>1.873022668221566</v>
      </c>
      <c r="BY102">
        <v>-71.847945999963429</v>
      </c>
      <c r="BZ102">
        <v>1.680944353042044</v>
      </c>
      <c r="CA102">
        <v>0.9849050953269235</v>
      </c>
      <c r="CB102">
        <v>-6.8627577308120226E-3</v>
      </c>
      <c r="CC102">
        <v>289.99999999999989</v>
      </c>
      <c r="CD102">
        <v>914.62</v>
      </c>
      <c r="CE102">
        <v>665</v>
      </c>
      <c r="CF102">
        <v>10060.5</v>
      </c>
      <c r="CG102">
        <v>915.07</v>
      </c>
      <c r="CH102">
        <v>-0.45</v>
      </c>
      <c r="CV102">
        <f t="shared" si="134"/>
        <v>1800.06</v>
      </c>
      <c r="CW102">
        <f t="shared" si="135"/>
        <v>1513.2350999210223</v>
      </c>
      <c r="CX102">
        <f t="shared" si="136"/>
        <v>0.84065814468463407</v>
      </c>
      <c r="CY102">
        <f t="shared" si="137"/>
        <v>0.16087021924134398</v>
      </c>
      <c r="CZ102">
        <v>6</v>
      </c>
      <c r="DA102">
        <v>0.5</v>
      </c>
      <c r="DB102" t="s">
        <v>418</v>
      </c>
      <c r="DC102">
        <v>2</v>
      </c>
      <c r="DD102">
        <v>1639688115.5</v>
      </c>
      <c r="DE102">
        <v>253.91499999999999</v>
      </c>
      <c r="DF102">
        <v>300.01299999999998</v>
      </c>
      <c r="DG102">
        <v>24.939399999999999</v>
      </c>
      <c r="DH102">
        <v>19.117999999999999</v>
      </c>
      <c r="DI102">
        <v>255.678</v>
      </c>
      <c r="DJ102">
        <v>24.939399999999999</v>
      </c>
      <c r="DK102">
        <v>500.20499999999998</v>
      </c>
      <c r="DL102">
        <v>99.427400000000006</v>
      </c>
      <c r="DM102">
        <v>0.10045800000000001</v>
      </c>
      <c r="DN102">
        <v>28.001300000000001</v>
      </c>
      <c r="DO102">
        <v>27.805199999999999</v>
      </c>
      <c r="DP102">
        <v>999.9</v>
      </c>
      <c r="DQ102">
        <v>0</v>
      </c>
      <c r="DR102">
        <v>0</v>
      </c>
      <c r="DS102">
        <v>9983.75</v>
      </c>
      <c r="DT102">
        <v>0</v>
      </c>
      <c r="DU102">
        <v>188.42</v>
      </c>
      <c r="DV102">
        <v>-46.098100000000002</v>
      </c>
      <c r="DW102">
        <v>260.40899999999999</v>
      </c>
      <c r="DX102">
        <v>305.86</v>
      </c>
      <c r="DY102">
        <v>5.8213699999999999</v>
      </c>
      <c r="DZ102">
        <v>300.01299999999998</v>
      </c>
      <c r="EA102">
        <v>19.117999999999999</v>
      </c>
      <c r="EB102">
        <v>2.47966</v>
      </c>
      <c r="EC102">
        <v>1.90086</v>
      </c>
      <c r="ED102">
        <v>20.893599999999999</v>
      </c>
      <c r="EE102">
        <v>16.6418</v>
      </c>
      <c r="EF102">
        <v>1800.06</v>
      </c>
      <c r="EG102">
        <v>0.97800200000000004</v>
      </c>
      <c r="EH102">
        <v>2.1997699999999999E-2</v>
      </c>
      <c r="EI102">
        <v>0</v>
      </c>
      <c r="EJ102">
        <v>707.91399999999999</v>
      </c>
      <c r="EK102">
        <v>5.0001199999999999</v>
      </c>
      <c r="EL102">
        <v>12573.2</v>
      </c>
      <c r="EM102">
        <v>15630.5</v>
      </c>
      <c r="EN102">
        <v>46.936999999999998</v>
      </c>
      <c r="EO102">
        <v>47.561999999999998</v>
      </c>
      <c r="EP102">
        <v>47.625</v>
      </c>
      <c r="EQ102">
        <v>47.375</v>
      </c>
      <c r="ER102">
        <v>48.5</v>
      </c>
      <c r="ES102">
        <v>1755.57</v>
      </c>
      <c r="ET102">
        <v>39.49</v>
      </c>
      <c r="EU102">
        <v>0</v>
      </c>
      <c r="EV102">
        <v>109.4000000953674</v>
      </c>
      <c r="EW102">
        <v>0</v>
      </c>
      <c r="EX102">
        <v>708.08244000000002</v>
      </c>
      <c r="EY102">
        <v>-1.875461538236072</v>
      </c>
      <c r="EZ102">
        <v>-21.330769343265921</v>
      </c>
      <c r="FA102">
        <v>12575.075999999999</v>
      </c>
      <c r="FB102">
        <v>15</v>
      </c>
      <c r="FC102">
        <v>1639688078.5</v>
      </c>
      <c r="FD102" t="s">
        <v>858</v>
      </c>
      <c r="FE102">
        <v>1639688078.5</v>
      </c>
      <c r="FF102">
        <v>1639688078.5</v>
      </c>
      <c r="FG102">
        <v>95</v>
      </c>
      <c r="FH102">
        <v>-4.7E-2</v>
      </c>
      <c r="FI102">
        <v>-1E-3</v>
      </c>
      <c r="FJ102">
        <v>-1.835</v>
      </c>
      <c r="FK102">
        <v>-9.2999999999999999E-2</v>
      </c>
      <c r="FL102">
        <v>300</v>
      </c>
      <c r="FM102">
        <v>19</v>
      </c>
      <c r="FN102">
        <v>0.05</v>
      </c>
      <c r="FO102">
        <v>0.02</v>
      </c>
      <c r="FP102">
        <v>37.193386587101763</v>
      </c>
      <c r="FQ102">
        <v>-0.28897330072264321</v>
      </c>
      <c r="FR102">
        <v>3.4339474618414051E-2</v>
      </c>
      <c r="FS102">
        <v>1</v>
      </c>
      <c r="FT102">
        <v>0.40349613898732539</v>
      </c>
      <c r="FU102">
        <v>3.676980282672683E-2</v>
      </c>
      <c r="FV102">
        <v>4.7132818603159207E-3</v>
      </c>
      <c r="FW102">
        <v>1</v>
      </c>
      <c r="FX102">
        <v>2</v>
      </c>
      <c r="FY102">
        <v>2</v>
      </c>
      <c r="FZ102" t="s">
        <v>420</v>
      </c>
      <c r="GA102">
        <v>2.9205100000000002</v>
      </c>
      <c r="GB102">
        <v>2.7452899999999998</v>
      </c>
      <c r="GC102">
        <v>6.3867999999999994E-2</v>
      </c>
      <c r="GD102">
        <v>7.4213100000000004E-2</v>
      </c>
      <c r="GE102">
        <v>0.119811</v>
      </c>
      <c r="GF102">
        <v>0.100741</v>
      </c>
      <c r="GG102">
        <v>29166.6</v>
      </c>
      <c r="GH102">
        <v>28480.5</v>
      </c>
      <c r="GI102">
        <v>28366.6</v>
      </c>
      <c r="GJ102">
        <v>28133.1</v>
      </c>
      <c r="GK102">
        <v>34272.5</v>
      </c>
      <c r="GL102">
        <v>35535.4</v>
      </c>
      <c r="GM102">
        <v>42693.7</v>
      </c>
      <c r="GN102">
        <v>43778.6</v>
      </c>
      <c r="GO102">
        <v>1.79393</v>
      </c>
      <c r="GP102">
        <v>1.9784299999999999</v>
      </c>
      <c r="GQ102">
        <v>2.6002500000000001E-2</v>
      </c>
      <c r="GR102">
        <v>0</v>
      </c>
      <c r="GS102">
        <v>27.380400000000002</v>
      </c>
      <c r="GT102">
        <v>999.9</v>
      </c>
      <c r="GU102">
        <v>42.2</v>
      </c>
      <c r="GV102">
        <v>34.799999999999997</v>
      </c>
      <c r="GW102">
        <v>23.711300000000001</v>
      </c>
      <c r="GX102">
        <v>61.433</v>
      </c>
      <c r="GY102">
        <v>28.926300000000001</v>
      </c>
      <c r="GZ102">
        <v>1</v>
      </c>
      <c r="HA102">
        <v>0.36063000000000001</v>
      </c>
      <c r="HB102">
        <v>2.5223</v>
      </c>
      <c r="HC102">
        <v>20.2577</v>
      </c>
      <c r="HD102">
        <v>5.2767400000000002</v>
      </c>
      <c r="HE102">
        <v>12.0878</v>
      </c>
      <c r="HF102">
        <v>5.0136000000000003</v>
      </c>
      <c r="HG102">
        <v>3.2919499999999999</v>
      </c>
      <c r="HH102">
        <v>9999</v>
      </c>
      <c r="HI102">
        <v>9999</v>
      </c>
      <c r="HJ102">
        <v>9999</v>
      </c>
      <c r="HK102">
        <v>999.9</v>
      </c>
      <c r="HL102">
        <v>1.8751500000000001</v>
      </c>
      <c r="HM102">
        <v>1.87561</v>
      </c>
      <c r="HN102">
        <v>1.8754200000000001</v>
      </c>
      <c r="HO102">
        <v>1.8793299999999999</v>
      </c>
      <c r="HP102">
        <v>1.8728199999999999</v>
      </c>
      <c r="HQ102">
        <v>1.87601</v>
      </c>
      <c r="HR102">
        <v>1.8757600000000001</v>
      </c>
      <c r="HS102">
        <v>1.87714</v>
      </c>
      <c r="HT102">
        <v>0</v>
      </c>
      <c r="HU102">
        <v>0</v>
      </c>
      <c r="HV102">
        <v>0</v>
      </c>
      <c r="HW102">
        <v>0</v>
      </c>
      <c r="HX102" t="s">
        <v>421</v>
      </c>
      <c r="HY102" t="s">
        <v>422</v>
      </c>
      <c r="HZ102" t="s">
        <v>423</v>
      </c>
      <c r="IA102" t="s">
        <v>423</v>
      </c>
      <c r="IB102" t="s">
        <v>423</v>
      </c>
      <c r="IC102" t="s">
        <v>423</v>
      </c>
      <c r="ID102">
        <v>0</v>
      </c>
      <c r="IE102">
        <v>100</v>
      </c>
      <c r="IF102">
        <v>100</v>
      </c>
      <c r="IG102">
        <v>-1.7629999999999999</v>
      </c>
      <c r="IH102">
        <v>0</v>
      </c>
      <c r="II102">
        <v>-1.367548344224935</v>
      </c>
      <c r="IJ102">
        <v>-1.5404112972462821E-3</v>
      </c>
      <c r="IK102">
        <v>-5.8697186733976997E-8</v>
      </c>
      <c r="IL102">
        <v>1.160237123038427E-10</v>
      </c>
      <c r="IM102">
        <v>-0.18101320454138431</v>
      </c>
      <c r="IN102">
        <v>-3.128848753924141E-3</v>
      </c>
      <c r="IO102">
        <v>3.6841110403368089E-4</v>
      </c>
      <c r="IP102">
        <v>1.9296040270694169E-6</v>
      </c>
      <c r="IQ102">
        <v>1</v>
      </c>
      <c r="IR102">
        <v>1992</v>
      </c>
      <c r="IS102">
        <v>2</v>
      </c>
      <c r="IT102">
        <v>27</v>
      </c>
      <c r="IU102">
        <v>0.6</v>
      </c>
      <c r="IV102">
        <v>0.6</v>
      </c>
      <c r="IW102">
        <v>0.83007799999999998</v>
      </c>
      <c r="IX102">
        <v>2.65137</v>
      </c>
      <c r="IY102">
        <v>1.69434</v>
      </c>
      <c r="IZ102">
        <v>2.34985</v>
      </c>
      <c r="JA102">
        <v>1.5466299999999999</v>
      </c>
      <c r="JB102">
        <v>2.4243199999999998</v>
      </c>
      <c r="JC102">
        <v>38.722499999999997</v>
      </c>
      <c r="JD102">
        <v>24.096299999999999</v>
      </c>
      <c r="JE102">
        <v>18</v>
      </c>
      <c r="JF102">
        <v>531.95000000000005</v>
      </c>
      <c r="JG102">
        <v>538.61300000000006</v>
      </c>
      <c r="JH102">
        <v>25.071300000000001</v>
      </c>
      <c r="JI102">
        <v>31.6599</v>
      </c>
      <c r="JJ102">
        <v>30.0002</v>
      </c>
      <c r="JK102">
        <v>31.589400000000001</v>
      </c>
      <c r="JL102">
        <v>31.537400000000002</v>
      </c>
      <c r="JM102">
        <v>16.700700000000001</v>
      </c>
      <c r="JN102">
        <v>22.8201</v>
      </c>
      <c r="JO102">
        <v>40.000799999999998</v>
      </c>
      <c r="JP102">
        <v>25.0718</v>
      </c>
      <c r="JQ102">
        <v>300</v>
      </c>
      <c r="JR102">
        <v>19.0518</v>
      </c>
      <c r="JS102">
        <v>99.472300000000004</v>
      </c>
      <c r="JT102">
        <v>98.5946</v>
      </c>
    </row>
    <row r="103" spans="1:280" x14ac:dyDescent="0.25">
      <c r="A103">
        <v>87</v>
      </c>
      <c r="B103">
        <v>1639688252</v>
      </c>
      <c r="C103">
        <v>21649.900000095371</v>
      </c>
      <c r="D103" t="s">
        <v>859</v>
      </c>
      <c r="E103" t="s">
        <v>860</v>
      </c>
      <c r="F103" t="s">
        <v>412</v>
      </c>
      <c r="G103" t="s">
        <v>850</v>
      </c>
      <c r="H103" t="s">
        <v>565</v>
      </c>
      <c r="I103">
        <v>1639688252</v>
      </c>
      <c r="J103">
        <f t="shared" si="92"/>
        <v>5.2177557408761219E-3</v>
      </c>
      <c r="K103">
        <f t="shared" si="93"/>
        <v>5.2177557408761217</v>
      </c>
      <c r="L103">
        <f t="shared" si="94"/>
        <v>27.712662204168307</v>
      </c>
      <c r="M103">
        <f t="shared" si="95"/>
        <v>165.77</v>
      </c>
      <c r="N103">
        <f t="shared" si="96"/>
        <v>54.261281007515514</v>
      </c>
      <c r="O103">
        <f t="shared" si="97"/>
        <v>5.4007987936979127</v>
      </c>
      <c r="P103">
        <f t="shared" si="98"/>
        <v>16.499618132997998</v>
      </c>
      <c r="Q103">
        <f t="shared" si="99"/>
        <v>0.43439331625884908</v>
      </c>
      <c r="R103">
        <f t="shared" si="100"/>
        <v>2.925277412972533</v>
      </c>
      <c r="S103">
        <f t="shared" si="101"/>
        <v>0.40147729140940452</v>
      </c>
      <c r="T103">
        <f t="shared" si="102"/>
        <v>0.25367251278260516</v>
      </c>
      <c r="U103">
        <f t="shared" si="103"/>
        <v>289.57445084757279</v>
      </c>
      <c r="V103">
        <f t="shared" si="104"/>
        <v>28.345249848944697</v>
      </c>
      <c r="W103">
        <f t="shared" si="105"/>
        <v>27.742999999999999</v>
      </c>
      <c r="X103">
        <f t="shared" si="106"/>
        <v>3.7383547873818301</v>
      </c>
      <c r="Y103">
        <f t="shared" si="107"/>
        <v>65.511343830465151</v>
      </c>
      <c r="Z103">
        <f t="shared" si="108"/>
        <v>2.4852244992411201</v>
      </c>
      <c r="AA103">
        <f t="shared" si="109"/>
        <v>3.7935788734124554</v>
      </c>
      <c r="AB103">
        <f t="shared" si="110"/>
        <v>1.25313028814071</v>
      </c>
      <c r="AC103">
        <f t="shared" si="111"/>
        <v>-230.10302817263698</v>
      </c>
      <c r="AD103">
        <f t="shared" si="112"/>
        <v>39.631908794698511</v>
      </c>
      <c r="AE103">
        <f t="shared" si="113"/>
        <v>2.9493073122361038</v>
      </c>
      <c r="AF103">
        <f t="shared" si="114"/>
        <v>102.05263878187043</v>
      </c>
      <c r="AG103">
        <v>0</v>
      </c>
      <c r="AH103">
        <v>0</v>
      </c>
      <c r="AI103">
        <f t="shared" si="115"/>
        <v>1</v>
      </c>
      <c r="AJ103">
        <f t="shared" si="116"/>
        <v>0</v>
      </c>
      <c r="AK103">
        <f t="shared" si="117"/>
        <v>52567.21231316038</v>
      </c>
      <c r="AL103" t="s">
        <v>415</v>
      </c>
      <c r="AM103">
        <v>10204.299999999999</v>
      </c>
      <c r="AN103">
        <v>862.72538461538477</v>
      </c>
      <c r="AO103">
        <v>3252.56</v>
      </c>
      <c r="AP103">
        <f t="shared" si="118"/>
        <v>0.73475496697512588</v>
      </c>
      <c r="AQ103">
        <v>-6.6684750346205304</v>
      </c>
      <c r="AR103" t="s">
        <v>861</v>
      </c>
      <c r="AS103">
        <v>10073.5</v>
      </c>
      <c r="AT103">
        <v>712.12108000000012</v>
      </c>
      <c r="AU103">
        <v>921.08218107233336</v>
      </c>
      <c r="AV103">
        <f t="shared" si="119"/>
        <v>0.22686477424746032</v>
      </c>
      <c r="AW103">
        <v>0.5</v>
      </c>
      <c r="AX103">
        <f t="shared" si="120"/>
        <v>1513.2266999210221</v>
      </c>
      <c r="AY103">
        <f t="shared" si="121"/>
        <v>27.712662204168307</v>
      </c>
      <c r="AZ103">
        <f t="shared" si="122"/>
        <v>171.64891683140604</v>
      </c>
      <c r="BA103">
        <f t="shared" si="123"/>
        <v>2.2720414092999582E-2</v>
      </c>
      <c r="BB103">
        <f t="shared" si="124"/>
        <v>2.531237566894776</v>
      </c>
      <c r="BC103">
        <f t="shared" si="125"/>
        <v>516.16986827671531</v>
      </c>
      <c r="BD103" t="s">
        <v>862</v>
      </c>
      <c r="BE103">
        <v>537.74</v>
      </c>
      <c r="BF103">
        <f t="shared" si="126"/>
        <v>537.74</v>
      </c>
      <c r="BG103">
        <f t="shared" si="127"/>
        <v>0.41618673007661755</v>
      </c>
      <c r="BH103">
        <f t="shared" si="128"/>
        <v>0.54510333427905255</v>
      </c>
      <c r="BI103">
        <f t="shared" si="129"/>
        <v>0.85879646493235906</v>
      </c>
      <c r="BJ103">
        <f t="shared" si="130"/>
        <v>3.580750036998511</v>
      </c>
      <c r="BK103">
        <f t="shared" si="131"/>
        <v>0.97558124060917217</v>
      </c>
      <c r="BL103">
        <f t="shared" si="132"/>
        <v>0.41162082573825459</v>
      </c>
      <c r="BM103">
        <f t="shared" si="133"/>
        <v>0.58837917426174546</v>
      </c>
      <c r="BN103">
        <v>5044</v>
      </c>
      <c r="BO103">
        <v>290.00000000000011</v>
      </c>
      <c r="BP103">
        <v>866.37</v>
      </c>
      <c r="BQ103">
        <v>225</v>
      </c>
      <c r="BR103">
        <v>10073.5</v>
      </c>
      <c r="BS103">
        <v>866.38</v>
      </c>
      <c r="BT103">
        <v>-0.01</v>
      </c>
      <c r="BU103">
        <v>300.00000000000011</v>
      </c>
      <c r="BV103">
        <v>24.1</v>
      </c>
      <c r="BW103">
        <v>921.08218107233336</v>
      </c>
      <c r="BX103">
        <v>1.9589398849774691</v>
      </c>
      <c r="BY103">
        <v>-55.100661959091298</v>
      </c>
      <c r="BZ103">
        <v>1.7579536569840271</v>
      </c>
      <c r="CA103">
        <v>0.9722888500632314</v>
      </c>
      <c r="CB103">
        <v>-6.8624981090100196E-3</v>
      </c>
      <c r="CC103">
        <v>289.99999999999989</v>
      </c>
      <c r="CD103">
        <v>866.01</v>
      </c>
      <c r="CE103">
        <v>665</v>
      </c>
      <c r="CF103">
        <v>10059.9</v>
      </c>
      <c r="CG103">
        <v>866.31</v>
      </c>
      <c r="CH103">
        <v>-0.3</v>
      </c>
      <c r="CV103">
        <f t="shared" si="134"/>
        <v>1800.05</v>
      </c>
      <c r="CW103">
        <f t="shared" si="135"/>
        <v>1513.2266999210221</v>
      </c>
      <c r="CX103">
        <f t="shared" si="136"/>
        <v>0.8406581483408917</v>
      </c>
      <c r="CY103">
        <f t="shared" si="137"/>
        <v>0.16087022629792105</v>
      </c>
      <c r="CZ103">
        <v>6</v>
      </c>
      <c r="DA103">
        <v>0.5</v>
      </c>
      <c r="DB103" t="s">
        <v>418</v>
      </c>
      <c r="DC103">
        <v>2</v>
      </c>
      <c r="DD103">
        <v>1639688252</v>
      </c>
      <c r="DE103">
        <v>165.77</v>
      </c>
      <c r="DF103">
        <v>200.05600000000001</v>
      </c>
      <c r="DG103">
        <v>24.968800000000002</v>
      </c>
      <c r="DH103">
        <v>18.865100000000002</v>
      </c>
      <c r="DI103">
        <v>167.36799999999999</v>
      </c>
      <c r="DJ103">
        <v>24.965399999999999</v>
      </c>
      <c r="DK103">
        <v>500.10399999999998</v>
      </c>
      <c r="DL103">
        <v>99.433499999999995</v>
      </c>
      <c r="DM103">
        <v>9.9697400000000005E-2</v>
      </c>
      <c r="DN103">
        <v>27.994299999999999</v>
      </c>
      <c r="DO103">
        <v>27.742999999999999</v>
      </c>
      <c r="DP103">
        <v>999.9</v>
      </c>
      <c r="DQ103">
        <v>0</v>
      </c>
      <c r="DR103">
        <v>0</v>
      </c>
      <c r="DS103">
        <v>10032.5</v>
      </c>
      <c r="DT103">
        <v>0</v>
      </c>
      <c r="DU103">
        <v>185.816</v>
      </c>
      <c r="DV103">
        <v>-34.286499999999997</v>
      </c>
      <c r="DW103">
        <v>170.01499999999999</v>
      </c>
      <c r="DX103">
        <v>203.90299999999999</v>
      </c>
      <c r="DY103">
        <v>6.1036700000000002</v>
      </c>
      <c r="DZ103">
        <v>200.05600000000001</v>
      </c>
      <c r="EA103">
        <v>18.865100000000002</v>
      </c>
      <c r="EB103">
        <v>2.4827300000000001</v>
      </c>
      <c r="EC103">
        <v>1.87582</v>
      </c>
      <c r="ED103">
        <v>20.913699999999999</v>
      </c>
      <c r="EE103">
        <v>16.433399999999999</v>
      </c>
      <c r="EF103">
        <v>1800.05</v>
      </c>
      <c r="EG103">
        <v>0.97800200000000004</v>
      </c>
      <c r="EH103">
        <v>2.1997699999999999E-2</v>
      </c>
      <c r="EI103">
        <v>0</v>
      </c>
      <c r="EJ103">
        <v>711.63400000000001</v>
      </c>
      <c r="EK103">
        <v>5.0001199999999999</v>
      </c>
      <c r="EL103">
        <v>12635.7</v>
      </c>
      <c r="EM103">
        <v>15630.4</v>
      </c>
      <c r="EN103">
        <v>47</v>
      </c>
      <c r="EO103">
        <v>47.625</v>
      </c>
      <c r="EP103">
        <v>47.686999999999998</v>
      </c>
      <c r="EQ103">
        <v>47.436999999999998</v>
      </c>
      <c r="ER103">
        <v>48.561999999999998</v>
      </c>
      <c r="ES103">
        <v>1755.56</v>
      </c>
      <c r="ET103">
        <v>39.49</v>
      </c>
      <c r="EU103">
        <v>0</v>
      </c>
      <c r="EV103">
        <v>134.60000014305109</v>
      </c>
      <c r="EW103">
        <v>0</v>
      </c>
      <c r="EX103">
        <v>712.12108000000012</v>
      </c>
      <c r="EY103">
        <v>-2.656230759953754</v>
      </c>
      <c r="EZ103">
        <v>-42.638461526706699</v>
      </c>
      <c r="FA103">
        <v>12640.38</v>
      </c>
      <c r="FB103">
        <v>15</v>
      </c>
      <c r="FC103">
        <v>1639688213</v>
      </c>
      <c r="FD103" t="s">
        <v>863</v>
      </c>
      <c r="FE103">
        <v>1639688201</v>
      </c>
      <c r="FF103">
        <v>1639688213</v>
      </c>
      <c r="FG103">
        <v>96</v>
      </c>
      <c r="FH103">
        <v>2.9000000000000001E-2</v>
      </c>
      <c r="FI103">
        <v>3.0000000000000001E-3</v>
      </c>
      <c r="FJ103">
        <v>-1.651</v>
      </c>
      <c r="FK103">
        <v>-9.2999999999999999E-2</v>
      </c>
      <c r="FL103">
        <v>200</v>
      </c>
      <c r="FM103">
        <v>19</v>
      </c>
      <c r="FN103">
        <v>0.03</v>
      </c>
      <c r="FO103">
        <v>0.02</v>
      </c>
      <c r="FP103">
        <v>27.637419425527749</v>
      </c>
      <c r="FQ103">
        <v>0.2882801728449037</v>
      </c>
      <c r="FR103">
        <v>3.7124177336356069E-2</v>
      </c>
      <c r="FS103">
        <v>1</v>
      </c>
      <c r="FT103">
        <v>0.42784707888386769</v>
      </c>
      <c r="FU103">
        <v>4.4785960147813178E-2</v>
      </c>
      <c r="FV103">
        <v>4.7592860171049439E-3</v>
      </c>
      <c r="FW103">
        <v>1</v>
      </c>
      <c r="FX103">
        <v>2</v>
      </c>
      <c r="FY103">
        <v>2</v>
      </c>
      <c r="FZ103" t="s">
        <v>420</v>
      </c>
      <c r="GA103">
        <v>2.9202499999999998</v>
      </c>
      <c r="GB103">
        <v>2.7449699999999999</v>
      </c>
      <c r="GC103">
        <v>4.4094000000000001E-2</v>
      </c>
      <c r="GD103">
        <v>5.2683199999999999E-2</v>
      </c>
      <c r="GE103">
        <v>0.11990000000000001</v>
      </c>
      <c r="GF103">
        <v>9.9793099999999996E-2</v>
      </c>
      <c r="GG103">
        <v>29783.8</v>
      </c>
      <c r="GH103">
        <v>29143.5</v>
      </c>
      <c r="GI103">
        <v>28368</v>
      </c>
      <c r="GJ103">
        <v>28134.2</v>
      </c>
      <c r="GK103">
        <v>34271.300000000003</v>
      </c>
      <c r="GL103">
        <v>35574.300000000003</v>
      </c>
      <c r="GM103">
        <v>42696.3</v>
      </c>
      <c r="GN103">
        <v>43780.3</v>
      </c>
      <c r="GO103">
        <v>1.79393</v>
      </c>
      <c r="GP103">
        <v>1.9781200000000001</v>
      </c>
      <c r="GQ103">
        <v>3.0055599999999998E-2</v>
      </c>
      <c r="GR103">
        <v>0</v>
      </c>
      <c r="GS103">
        <v>27.251899999999999</v>
      </c>
      <c r="GT103">
        <v>999.9</v>
      </c>
      <c r="GU103">
        <v>42</v>
      </c>
      <c r="GV103">
        <v>34.799999999999997</v>
      </c>
      <c r="GW103">
        <v>23.594799999999999</v>
      </c>
      <c r="GX103">
        <v>60.813000000000002</v>
      </c>
      <c r="GY103">
        <v>29.5152</v>
      </c>
      <c r="GZ103">
        <v>1</v>
      </c>
      <c r="HA103">
        <v>0.35858699999999999</v>
      </c>
      <c r="HB103">
        <v>2.3348100000000001</v>
      </c>
      <c r="HC103">
        <v>20.2605</v>
      </c>
      <c r="HD103">
        <v>5.2762900000000004</v>
      </c>
      <c r="HE103">
        <v>12.0878</v>
      </c>
      <c r="HF103">
        <v>5.0134499999999997</v>
      </c>
      <c r="HG103">
        <v>3.2919499999999999</v>
      </c>
      <c r="HH103">
        <v>9999</v>
      </c>
      <c r="HI103">
        <v>9999</v>
      </c>
      <c r="HJ103">
        <v>9999</v>
      </c>
      <c r="HK103">
        <v>999.9</v>
      </c>
      <c r="HL103">
        <v>1.8751500000000001</v>
      </c>
      <c r="HM103">
        <v>1.87561</v>
      </c>
      <c r="HN103">
        <v>1.87541</v>
      </c>
      <c r="HO103">
        <v>1.8793299999999999</v>
      </c>
      <c r="HP103">
        <v>1.87279</v>
      </c>
      <c r="HQ103">
        <v>1.8759699999999999</v>
      </c>
      <c r="HR103">
        <v>1.8757600000000001</v>
      </c>
      <c r="HS103">
        <v>1.87714</v>
      </c>
      <c r="HT103">
        <v>0</v>
      </c>
      <c r="HU103">
        <v>0</v>
      </c>
      <c r="HV103">
        <v>0</v>
      </c>
      <c r="HW103">
        <v>0</v>
      </c>
      <c r="HX103" t="s">
        <v>421</v>
      </c>
      <c r="HY103" t="s">
        <v>422</v>
      </c>
      <c r="HZ103" t="s">
        <v>423</v>
      </c>
      <c r="IA103" t="s">
        <v>423</v>
      </c>
      <c r="IB103" t="s">
        <v>423</v>
      </c>
      <c r="IC103" t="s">
        <v>423</v>
      </c>
      <c r="ID103">
        <v>0</v>
      </c>
      <c r="IE103">
        <v>100</v>
      </c>
      <c r="IF103">
        <v>100</v>
      </c>
      <c r="IG103">
        <v>-1.5980000000000001</v>
      </c>
      <c r="IH103">
        <v>3.3999999999999998E-3</v>
      </c>
      <c r="II103">
        <v>-1.338855118783767</v>
      </c>
      <c r="IJ103">
        <v>-1.5404112972462821E-3</v>
      </c>
      <c r="IK103">
        <v>-5.8697186733976997E-8</v>
      </c>
      <c r="IL103">
        <v>1.160237123038427E-10</v>
      </c>
      <c r="IM103">
        <v>-0.1782194125324692</v>
      </c>
      <c r="IN103">
        <v>-3.128848753924141E-3</v>
      </c>
      <c r="IO103">
        <v>3.6841110403368089E-4</v>
      </c>
      <c r="IP103">
        <v>1.9296040270694169E-6</v>
      </c>
      <c r="IQ103">
        <v>1</v>
      </c>
      <c r="IR103">
        <v>1992</v>
      </c>
      <c r="IS103">
        <v>2</v>
      </c>
      <c r="IT103">
        <v>27</v>
      </c>
      <c r="IU103">
        <v>0.8</v>
      </c>
      <c r="IV103">
        <v>0.7</v>
      </c>
      <c r="IW103">
        <v>0.61035200000000001</v>
      </c>
      <c r="IX103">
        <v>2.67822</v>
      </c>
      <c r="IY103">
        <v>1.69434</v>
      </c>
      <c r="IZ103">
        <v>2.34863</v>
      </c>
      <c r="JA103">
        <v>1.5466299999999999</v>
      </c>
      <c r="JB103">
        <v>2.32666</v>
      </c>
      <c r="JC103">
        <v>38.747100000000003</v>
      </c>
      <c r="JD103">
        <v>24.087499999999999</v>
      </c>
      <c r="JE103">
        <v>18</v>
      </c>
      <c r="JF103">
        <v>532.11400000000003</v>
      </c>
      <c r="JG103">
        <v>538.54100000000005</v>
      </c>
      <c r="JH103">
        <v>25.159800000000001</v>
      </c>
      <c r="JI103">
        <v>31.6599</v>
      </c>
      <c r="JJ103">
        <v>30</v>
      </c>
      <c r="JK103">
        <v>31.606000000000002</v>
      </c>
      <c r="JL103">
        <v>31.553899999999999</v>
      </c>
      <c r="JM103">
        <v>12.2958</v>
      </c>
      <c r="JN103">
        <v>24.276399999999999</v>
      </c>
      <c r="JO103">
        <v>39.520600000000002</v>
      </c>
      <c r="JP103">
        <v>25.166</v>
      </c>
      <c r="JQ103">
        <v>200</v>
      </c>
      <c r="JR103">
        <v>18.736899999999999</v>
      </c>
      <c r="JS103">
        <v>99.478099999999998</v>
      </c>
      <c r="JT103">
        <v>98.598399999999998</v>
      </c>
    </row>
    <row r="104" spans="1:280" x14ac:dyDescent="0.25">
      <c r="A104">
        <v>88</v>
      </c>
      <c r="B104">
        <v>1639688375</v>
      </c>
      <c r="C104">
        <v>21772.900000095371</v>
      </c>
      <c r="D104" t="s">
        <v>864</v>
      </c>
      <c r="E104" t="s">
        <v>865</v>
      </c>
      <c r="F104" t="s">
        <v>412</v>
      </c>
      <c r="G104" t="s">
        <v>850</v>
      </c>
      <c r="H104" t="s">
        <v>565</v>
      </c>
      <c r="I104">
        <v>1639688375</v>
      </c>
      <c r="J104">
        <f t="shared" si="92"/>
        <v>5.4727391070113806E-3</v>
      </c>
      <c r="K104">
        <f t="shared" si="93"/>
        <v>5.4727391070113809</v>
      </c>
      <c r="L104">
        <f t="shared" si="94"/>
        <v>17.68698060943402</v>
      </c>
      <c r="M104">
        <f t="shared" si="95"/>
        <v>98.160300000000007</v>
      </c>
      <c r="N104">
        <f t="shared" si="96"/>
        <v>30.595928066736107</v>
      </c>
      <c r="O104">
        <f t="shared" si="97"/>
        <v>3.0454109820961173</v>
      </c>
      <c r="P104">
        <f t="shared" si="98"/>
        <v>9.770530737744</v>
      </c>
      <c r="Q104">
        <f t="shared" si="99"/>
        <v>0.45895467976325477</v>
      </c>
      <c r="R104">
        <f t="shared" si="100"/>
        <v>2.9196456556765922</v>
      </c>
      <c r="S104">
        <f t="shared" si="101"/>
        <v>0.42231448400138583</v>
      </c>
      <c r="T104">
        <f t="shared" si="102"/>
        <v>0.26699434503081348</v>
      </c>
      <c r="U104">
        <f t="shared" si="103"/>
        <v>289.58881484758047</v>
      </c>
      <c r="V104">
        <f t="shared" si="104"/>
        <v>28.28328777051318</v>
      </c>
      <c r="W104">
        <f t="shared" si="105"/>
        <v>27.715900000000001</v>
      </c>
      <c r="X104">
        <f t="shared" si="106"/>
        <v>3.7324415786887801</v>
      </c>
      <c r="Y104">
        <f t="shared" si="107"/>
        <v>65.433674067868836</v>
      </c>
      <c r="Z104">
        <f t="shared" si="108"/>
        <v>2.4828280034720001</v>
      </c>
      <c r="AA104">
        <f t="shared" si="109"/>
        <v>3.7944193702110809</v>
      </c>
      <c r="AB104">
        <f t="shared" si="110"/>
        <v>1.2496135752167801</v>
      </c>
      <c r="AC104">
        <f t="shared" si="111"/>
        <v>-241.34779461920189</v>
      </c>
      <c r="AD104">
        <f t="shared" si="112"/>
        <v>44.419390905369575</v>
      </c>
      <c r="AE104">
        <f t="shared" si="113"/>
        <v>3.3115713600918921</v>
      </c>
      <c r="AF104">
        <f t="shared" si="114"/>
        <v>95.971982493840017</v>
      </c>
      <c r="AG104">
        <v>0</v>
      </c>
      <c r="AH104">
        <v>0</v>
      </c>
      <c r="AI104">
        <f t="shared" si="115"/>
        <v>1</v>
      </c>
      <c r="AJ104">
        <f t="shared" si="116"/>
        <v>0</v>
      </c>
      <c r="AK104">
        <f t="shared" si="117"/>
        <v>52404.857584550242</v>
      </c>
      <c r="AL104" t="s">
        <v>415</v>
      </c>
      <c r="AM104">
        <v>10204.299999999999</v>
      </c>
      <c r="AN104">
        <v>862.72538461538477</v>
      </c>
      <c r="AO104">
        <v>3252.56</v>
      </c>
      <c r="AP104">
        <f t="shared" si="118"/>
        <v>0.73475496697512588</v>
      </c>
      <c r="AQ104">
        <v>-6.6684750346205304</v>
      </c>
      <c r="AR104" t="s">
        <v>866</v>
      </c>
      <c r="AS104">
        <v>10069.5</v>
      </c>
      <c r="AT104">
        <v>729.90238461538456</v>
      </c>
      <c r="AU104">
        <v>869.60147550489421</v>
      </c>
      <c r="AV104">
        <f t="shared" si="119"/>
        <v>0.16064725604150998</v>
      </c>
      <c r="AW104">
        <v>0.5</v>
      </c>
      <c r="AX104">
        <f t="shared" si="120"/>
        <v>1513.3022999210264</v>
      </c>
      <c r="AY104">
        <f t="shared" si="121"/>
        <v>17.68698060943402</v>
      </c>
      <c r="AZ104">
        <f t="shared" si="122"/>
        <v>121.55393102180952</v>
      </c>
      <c r="BA104">
        <f t="shared" si="123"/>
        <v>1.6094243460361868E-2</v>
      </c>
      <c r="BB104">
        <f t="shared" si="124"/>
        <v>2.740288041843018</v>
      </c>
      <c r="BC104">
        <f t="shared" si="125"/>
        <v>499.59549911350172</v>
      </c>
      <c r="BD104" t="s">
        <v>867</v>
      </c>
      <c r="BE104">
        <v>540.16</v>
      </c>
      <c r="BF104">
        <f t="shared" si="126"/>
        <v>540.16</v>
      </c>
      <c r="BG104">
        <f t="shared" si="127"/>
        <v>0.37884190032407561</v>
      </c>
      <c r="BH104">
        <f t="shared" si="128"/>
        <v>0.42404827951735619</v>
      </c>
      <c r="BI104">
        <f t="shared" si="129"/>
        <v>0.87854244377492474</v>
      </c>
      <c r="BJ104">
        <f t="shared" si="130"/>
        <v>20.316644025552744</v>
      </c>
      <c r="BK104">
        <f t="shared" si="131"/>
        <v>0.99712277542335181</v>
      </c>
      <c r="BL104">
        <f t="shared" si="132"/>
        <v>0.31381445449694345</v>
      </c>
      <c r="BM104">
        <f t="shared" si="133"/>
        <v>0.68618554550305655</v>
      </c>
      <c r="BN104">
        <v>5046</v>
      </c>
      <c r="BO104">
        <v>290.00000000000011</v>
      </c>
      <c r="BP104">
        <v>839.32</v>
      </c>
      <c r="BQ104">
        <v>295</v>
      </c>
      <c r="BR104">
        <v>10069.5</v>
      </c>
      <c r="BS104">
        <v>839.57</v>
      </c>
      <c r="BT104">
        <v>-0.25</v>
      </c>
      <c r="BU104">
        <v>300.00000000000011</v>
      </c>
      <c r="BV104">
        <v>24.1</v>
      </c>
      <c r="BW104">
        <v>869.60147550489421</v>
      </c>
      <c r="BX104">
        <v>2.0204329475310829</v>
      </c>
      <c r="BY104">
        <v>-30.243138957991171</v>
      </c>
      <c r="BZ104">
        <v>1.813145569412087</v>
      </c>
      <c r="CA104">
        <v>0.90856247858886152</v>
      </c>
      <c r="CB104">
        <v>-6.8622218020022267E-3</v>
      </c>
      <c r="CC104">
        <v>289.99999999999989</v>
      </c>
      <c r="CD104">
        <v>839.99</v>
      </c>
      <c r="CE104">
        <v>695</v>
      </c>
      <c r="CF104">
        <v>10058.700000000001</v>
      </c>
      <c r="CG104">
        <v>839.53</v>
      </c>
      <c r="CH104">
        <v>0.46</v>
      </c>
      <c r="CV104">
        <f t="shared" si="134"/>
        <v>1800.14</v>
      </c>
      <c r="CW104">
        <f t="shared" si="135"/>
        <v>1513.3022999210264</v>
      </c>
      <c r="CX104">
        <f t="shared" si="136"/>
        <v>0.84065811543603619</v>
      </c>
      <c r="CY104">
        <f t="shared" si="137"/>
        <v>0.16087016279154981</v>
      </c>
      <c r="CZ104">
        <v>6</v>
      </c>
      <c r="DA104">
        <v>0.5</v>
      </c>
      <c r="DB104" t="s">
        <v>418</v>
      </c>
      <c r="DC104">
        <v>2</v>
      </c>
      <c r="DD104">
        <v>1639688375</v>
      </c>
      <c r="DE104">
        <v>98.160300000000007</v>
      </c>
      <c r="DF104">
        <v>120.026</v>
      </c>
      <c r="DG104">
        <v>24.943899999999999</v>
      </c>
      <c r="DH104">
        <v>18.541399999999999</v>
      </c>
      <c r="DI104">
        <v>99.637600000000006</v>
      </c>
      <c r="DJ104">
        <v>24.940999999999999</v>
      </c>
      <c r="DK104">
        <v>500.07600000000002</v>
      </c>
      <c r="DL104">
        <v>99.436499999999995</v>
      </c>
      <c r="DM104">
        <v>9.9979999999999999E-2</v>
      </c>
      <c r="DN104">
        <v>27.998100000000001</v>
      </c>
      <c r="DO104">
        <v>27.715900000000001</v>
      </c>
      <c r="DP104">
        <v>999.9</v>
      </c>
      <c r="DQ104">
        <v>0</v>
      </c>
      <c r="DR104">
        <v>0</v>
      </c>
      <c r="DS104">
        <v>10000</v>
      </c>
      <c r="DT104">
        <v>0</v>
      </c>
      <c r="DU104">
        <v>181.21799999999999</v>
      </c>
      <c r="DV104">
        <v>-21.866099999999999</v>
      </c>
      <c r="DW104">
        <v>100.67100000000001</v>
      </c>
      <c r="DX104">
        <v>122.294</v>
      </c>
      <c r="DY104">
        <v>6.4024999999999999</v>
      </c>
      <c r="DZ104">
        <v>120.026</v>
      </c>
      <c r="EA104">
        <v>18.541399999999999</v>
      </c>
      <c r="EB104">
        <v>2.4803299999999999</v>
      </c>
      <c r="EC104">
        <v>1.8436900000000001</v>
      </c>
      <c r="ED104">
        <v>20.898</v>
      </c>
      <c r="EE104">
        <v>16.162199999999999</v>
      </c>
      <c r="EF104">
        <v>1800.14</v>
      </c>
      <c r="EG104">
        <v>0.97800200000000004</v>
      </c>
      <c r="EH104">
        <v>2.1997699999999999E-2</v>
      </c>
      <c r="EI104">
        <v>0</v>
      </c>
      <c r="EJ104">
        <v>729.53099999999995</v>
      </c>
      <c r="EK104">
        <v>5.0001199999999999</v>
      </c>
      <c r="EL104">
        <v>12947.6</v>
      </c>
      <c r="EM104">
        <v>15631.2</v>
      </c>
      <c r="EN104">
        <v>47</v>
      </c>
      <c r="EO104">
        <v>47.561999999999998</v>
      </c>
      <c r="EP104">
        <v>47.625</v>
      </c>
      <c r="EQ104">
        <v>47.25</v>
      </c>
      <c r="ER104">
        <v>48.5</v>
      </c>
      <c r="ES104">
        <v>1755.65</v>
      </c>
      <c r="ET104">
        <v>39.49</v>
      </c>
      <c r="EU104">
        <v>0</v>
      </c>
      <c r="EV104">
        <v>120.7999999523163</v>
      </c>
      <c r="EW104">
        <v>0</v>
      </c>
      <c r="EX104">
        <v>729.90238461538456</v>
      </c>
      <c r="EY104">
        <v>-2.897982902822112</v>
      </c>
      <c r="EZ104">
        <v>-34.01367524498459</v>
      </c>
      <c r="FA104">
        <v>12950.673076923071</v>
      </c>
      <c r="FB104">
        <v>15</v>
      </c>
      <c r="FC104">
        <v>1639688334</v>
      </c>
      <c r="FD104" t="s">
        <v>868</v>
      </c>
      <c r="FE104">
        <v>1639688322</v>
      </c>
      <c r="FF104">
        <v>1639688334</v>
      </c>
      <c r="FG104">
        <v>97</v>
      </c>
      <c r="FH104">
        <v>1.6E-2</v>
      </c>
      <c r="FI104">
        <v>0</v>
      </c>
      <c r="FJ104">
        <v>-1.5109999999999999</v>
      </c>
      <c r="FK104">
        <v>-9.6000000000000002E-2</v>
      </c>
      <c r="FL104">
        <v>120</v>
      </c>
      <c r="FM104">
        <v>19</v>
      </c>
      <c r="FN104">
        <v>0.06</v>
      </c>
      <c r="FO104">
        <v>0.01</v>
      </c>
      <c r="FP104">
        <v>17.65730233552139</v>
      </c>
      <c r="FQ104">
        <v>7.7712954243180338E-2</v>
      </c>
      <c r="FR104">
        <v>1.8505512500189739E-2</v>
      </c>
      <c r="FS104">
        <v>1</v>
      </c>
      <c r="FT104">
        <v>0.45648368113905319</v>
      </c>
      <c r="FU104">
        <v>4.1397335899360718E-2</v>
      </c>
      <c r="FV104">
        <v>4.3786199417755424E-3</v>
      </c>
      <c r="FW104">
        <v>1</v>
      </c>
      <c r="FX104">
        <v>2</v>
      </c>
      <c r="FY104">
        <v>2</v>
      </c>
      <c r="FZ104" t="s">
        <v>420</v>
      </c>
      <c r="GA104">
        <v>2.9202699999999999</v>
      </c>
      <c r="GB104">
        <v>2.7449499999999998</v>
      </c>
      <c r="GC104">
        <v>2.7217000000000002E-2</v>
      </c>
      <c r="GD104">
        <v>3.3129600000000002E-2</v>
      </c>
      <c r="GE104">
        <v>0.119829</v>
      </c>
      <c r="GF104">
        <v>9.8577200000000004E-2</v>
      </c>
      <c r="GG104">
        <v>30312.3</v>
      </c>
      <c r="GH104">
        <v>29746.6</v>
      </c>
      <c r="GI104">
        <v>28370.9</v>
      </c>
      <c r="GJ104">
        <v>28136</v>
      </c>
      <c r="GK104">
        <v>34277.699999999997</v>
      </c>
      <c r="GL104">
        <v>35624.800000000003</v>
      </c>
      <c r="GM104">
        <v>42700.800000000003</v>
      </c>
      <c r="GN104">
        <v>43783.199999999997</v>
      </c>
      <c r="GO104">
        <v>1.7948200000000001</v>
      </c>
      <c r="GP104">
        <v>1.97827</v>
      </c>
      <c r="GQ104">
        <v>3.2775100000000001E-2</v>
      </c>
      <c r="GR104">
        <v>0</v>
      </c>
      <c r="GS104">
        <v>27.180299999999999</v>
      </c>
      <c r="GT104">
        <v>999.9</v>
      </c>
      <c r="GU104">
        <v>41.7</v>
      </c>
      <c r="GV104">
        <v>34.799999999999997</v>
      </c>
      <c r="GW104">
        <v>23.4252</v>
      </c>
      <c r="GX104">
        <v>60.902999999999999</v>
      </c>
      <c r="GY104">
        <v>28.870200000000001</v>
      </c>
      <c r="GZ104">
        <v>1</v>
      </c>
      <c r="HA104">
        <v>0.353717</v>
      </c>
      <c r="HB104">
        <v>2.3170299999999999</v>
      </c>
      <c r="HC104">
        <v>20.2607</v>
      </c>
      <c r="HD104">
        <v>5.2734500000000004</v>
      </c>
      <c r="HE104">
        <v>12.0878</v>
      </c>
      <c r="HF104">
        <v>5.0132000000000003</v>
      </c>
      <c r="HG104">
        <v>3.2919200000000002</v>
      </c>
      <c r="HH104">
        <v>9999</v>
      </c>
      <c r="HI104">
        <v>9999</v>
      </c>
      <c r="HJ104">
        <v>9999</v>
      </c>
      <c r="HK104">
        <v>999.9</v>
      </c>
      <c r="HL104">
        <v>1.8751500000000001</v>
      </c>
      <c r="HM104">
        <v>1.8756299999999999</v>
      </c>
      <c r="HN104">
        <v>1.8754599999999999</v>
      </c>
      <c r="HO104">
        <v>1.87934</v>
      </c>
      <c r="HP104">
        <v>1.8728199999999999</v>
      </c>
      <c r="HQ104">
        <v>1.87602</v>
      </c>
      <c r="HR104">
        <v>1.8757600000000001</v>
      </c>
      <c r="HS104">
        <v>1.87714</v>
      </c>
      <c r="HT104">
        <v>0</v>
      </c>
      <c r="HU104">
        <v>0</v>
      </c>
      <c r="HV104">
        <v>0</v>
      </c>
      <c r="HW104">
        <v>0</v>
      </c>
      <c r="HX104" t="s">
        <v>421</v>
      </c>
      <c r="HY104" t="s">
        <v>422</v>
      </c>
      <c r="HZ104" t="s">
        <v>423</v>
      </c>
      <c r="IA104" t="s">
        <v>423</v>
      </c>
      <c r="IB104" t="s">
        <v>423</v>
      </c>
      <c r="IC104" t="s">
        <v>423</v>
      </c>
      <c r="ID104">
        <v>0</v>
      </c>
      <c r="IE104">
        <v>100</v>
      </c>
      <c r="IF104">
        <v>100</v>
      </c>
      <c r="IG104">
        <v>-1.4770000000000001</v>
      </c>
      <c r="IH104">
        <v>2.8999999999999998E-3</v>
      </c>
      <c r="II104">
        <v>-1.3232556138291349</v>
      </c>
      <c r="IJ104">
        <v>-1.5404112972462821E-3</v>
      </c>
      <c r="IK104">
        <v>-5.8697186733976997E-8</v>
      </c>
      <c r="IL104">
        <v>1.160237123038427E-10</v>
      </c>
      <c r="IM104">
        <v>-0.1782240446640114</v>
      </c>
      <c r="IN104">
        <v>-3.128848753924141E-3</v>
      </c>
      <c r="IO104">
        <v>3.6841110403368089E-4</v>
      </c>
      <c r="IP104">
        <v>1.9296040270694169E-6</v>
      </c>
      <c r="IQ104">
        <v>1</v>
      </c>
      <c r="IR104">
        <v>1992</v>
      </c>
      <c r="IS104">
        <v>2</v>
      </c>
      <c r="IT104">
        <v>27</v>
      </c>
      <c r="IU104">
        <v>0.9</v>
      </c>
      <c r="IV104">
        <v>0.7</v>
      </c>
      <c r="IW104">
        <v>0.42846699999999999</v>
      </c>
      <c r="IX104">
        <v>2.67578</v>
      </c>
      <c r="IY104">
        <v>1.69434</v>
      </c>
      <c r="IZ104">
        <v>2.34863</v>
      </c>
      <c r="JA104">
        <v>1.5466299999999999</v>
      </c>
      <c r="JB104">
        <v>2.4682599999999999</v>
      </c>
      <c r="JC104">
        <v>38.747100000000003</v>
      </c>
      <c r="JD104">
        <v>24.096299999999999</v>
      </c>
      <c r="JE104">
        <v>18</v>
      </c>
      <c r="JF104">
        <v>532.64700000000005</v>
      </c>
      <c r="JG104">
        <v>538.47400000000005</v>
      </c>
      <c r="JH104">
        <v>25.178100000000001</v>
      </c>
      <c r="JI104">
        <v>31.617100000000001</v>
      </c>
      <c r="JJ104">
        <v>29.9999</v>
      </c>
      <c r="JK104">
        <v>31.5838</v>
      </c>
      <c r="JL104">
        <v>31.534600000000001</v>
      </c>
      <c r="JM104">
        <v>8.6568699999999996</v>
      </c>
      <c r="JN104">
        <v>24.839400000000001</v>
      </c>
      <c r="JO104">
        <v>39.1601</v>
      </c>
      <c r="JP104">
        <v>25.1784</v>
      </c>
      <c r="JQ104">
        <v>120</v>
      </c>
      <c r="JR104">
        <v>18.494900000000001</v>
      </c>
      <c r="JS104">
        <v>99.488399999999999</v>
      </c>
      <c r="JT104">
        <v>98.604799999999997</v>
      </c>
    </row>
    <row r="105" spans="1:280" x14ac:dyDescent="0.25">
      <c r="A105">
        <v>89</v>
      </c>
      <c r="B105">
        <v>1639688496</v>
      </c>
      <c r="C105">
        <v>21893.900000095371</v>
      </c>
      <c r="D105" t="s">
        <v>869</v>
      </c>
      <c r="E105" t="s">
        <v>870</v>
      </c>
      <c r="F105" t="s">
        <v>412</v>
      </c>
      <c r="G105" t="s">
        <v>850</v>
      </c>
      <c r="H105" t="s">
        <v>565</v>
      </c>
      <c r="I105">
        <v>1639688496</v>
      </c>
      <c r="J105">
        <f t="shared" si="92"/>
        <v>5.6480091723378418E-3</v>
      </c>
      <c r="K105">
        <f t="shared" si="93"/>
        <v>5.6480091723378418</v>
      </c>
      <c r="L105">
        <f t="shared" si="94"/>
        <v>10.763820014309001</v>
      </c>
      <c r="M105">
        <f t="shared" si="95"/>
        <v>56.7639</v>
      </c>
      <c r="N105">
        <f t="shared" si="96"/>
        <v>17.21900327958296</v>
      </c>
      <c r="O105">
        <f t="shared" si="97"/>
        <v>1.713998956106477</v>
      </c>
      <c r="P105">
        <f t="shared" si="98"/>
        <v>5.6503424597111094</v>
      </c>
      <c r="Q105">
        <f t="shared" si="99"/>
        <v>0.4783752894367741</v>
      </c>
      <c r="R105">
        <f t="shared" si="100"/>
        <v>2.9184147870659598</v>
      </c>
      <c r="S105">
        <f t="shared" si="101"/>
        <v>0.43869684757851968</v>
      </c>
      <c r="T105">
        <f t="shared" si="102"/>
        <v>0.27747570438851099</v>
      </c>
      <c r="U105">
        <f t="shared" si="103"/>
        <v>289.55370284756185</v>
      </c>
      <c r="V105">
        <f t="shared" si="104"/>
        <v>28.235780221415165</v>
      </c>
      <c r="W105">
        <f t="shared" si="105"/>
        <v>27.6965</v>
      </c>
      <c r="X105">
        <f t="shared" si="106"/>
        <v>3.7282135209024627</v>
      </c>
      <c r="Y105">
        <f t="shared" si="107"/>
        <v>65.541598652975381</v>
      </c>
      <c r="Z105">
        <f t="shared" si="108"/>
        <v>2.4866766575768602</v>
      </c>
      <c r="AA105">
        <f t="shared" si="109"/>
        <v>3.7940433384042467</v>
      </c>
      <c r="AB105">
        <f t="shared" si="110"/>
        <v>1.2415368633256025</v>
      </c>
      <c r="AC105">
        <f t="shared" si="111"/>
        <v>-249.07720450009882</v>
      </c>
      <c r="AD105">
        <f t="shared" si="112"/>
        <v>47.185539642290124</v>
      </c>
      <c r="AE105">
        <f t="shared" si="113"/>
        <v>3.5189078844543431</v>
      </c>
      <c r="AF105">
        <f t="shared" si="114"/>
        <v>91.180945874207495</v>
      </c>
      <c r="AG105">
        <v>0</v>
      </c>
      <c r="AH105">
        <v>0</v>
      </c>
      <c r="AI105">
        <f t="shared" si="115"/>
        <v>1</v>
      </c>
      <c r="AJ105">
        <f t="shared" si="116"/>
        <v>0</v>
      </c>
      <c r="AK105">
        <f t="shared" si="117"/>
        <v>52369.927244039587</v>
      </c>
      <c r="AL105" t="s">
        <v>415</v>
      </c>
      <c r="AM105">
        <v>10204.299999999999</v>
      </c>
      <c r="AN105">
        <v>862.72538461538477</v>
      </c>
      <c r="AO105">
        <v>3252.56</v>
      </c>
      <c r="AP105">
        <f t="shared" si="118"/>
        <v>0.73475496697512588</v>
      </c>
      <c r="AQ105">
        <v>-6.6684750346205304</v>
      </c>
      <c r="AR105" t="s">
        <v>871</v>
      </c>
      <c r="AS105">
        <v>10073.700000000001</v>
      </c>
      <c r="AT105">
        <v>745.495</v>
      </c>
      <c r="AU105">
        <v>845.84387468724037</v>
      </c>
      <c r="AV105">
        <f t="shared" si="119"/>
        <v>0.11863758512685973</v>
      </c>
      <c r="AW105">
        <v>0.5</v>
      </c>
      <c r="AX105">
        <f t="shared" si="120"/>
        <v>1513.1174999210164</v>
      </c>
      <c r="AY105">
        <f t="shared" si="121"/>
        <v>10.763820014309001</v>
      </c>
      <c r="AZ105">
        <f t="shared" si="122"/>
        <v>89.756303101910376</v>
      </c>
      <c r="BA105">
        <f t="shared" si="123"/>
        <v>1.1520780805085848E-2</v>
      </c>
      <c r="BB105">
        <f t="shared" si="124"/>
        <v>2.8453432097060087</v>
      </c>
      <c r="BC105">
        <f t="shared" si="125"/>
        <v>491.66177550605903</v>
      </c>
      <c r="BD105" t="s">
        <v>872</v>
      </c>
      <c r="BE105">
        <v>545.87</v>
      </c>
      <c r="BF105">
        <f t="shared" si="126"/>
        <v>545.87</v>
      </c>
      <c r="BG105">
        <f t="shared" si="127"/>
        <v>0.35464449606395609</v>
      </c>
      <c r="BH105">
        <f t="shared" si="128"/>
        <v>0.33452538089147399</v>
      </c>
      <c r="BI105">
        <f t="shared" si="129"/>
        <v>0.88917316918921618</v>
      </c>
      <c r="BJ105">
        <f t="shared" si="130"/>
        <v>-5.9443068253001137</v>
      </c>
      <c r="BK105">
        <f t="shared" si="131"/>
        <v>1.0070638820860112</v>
      </c>
      <c r="BL105">
        <f t="shared" si="132"/>
        <v>0.2449478127515663</v>
      </c>
      <c r="BM105">
        <f t="shared" si="133"/>
        <v>0.7550521872484337</v>
      </c>
      <c r="BN105">
        <v>5048</v>
      </c>
      <c r="BO105">
        <v>290.00000000000011</v>
      </c>
      <c r="BP105">
        <v>823.46</v>
      </c>
      <c r="BQ105">
        <v>225</v>
      </c>
      <c r="BR105">
        <v>10073.700000000001</v>
      </c>
      <c r="BS105">
        <v>823.48</v>
      </c>
      <c r="BT105">
        <v>-0.02</v>
      </c>
      <c r="BU105">
        <v>300.00000000000011</v>
      </c>
      <c r="BV105">
        <v>24.1</v>
      </c>
      <c r="BW105">
        <v>845.84387468724037</v>
      </c>
      <c r="BX105">
        <v>1.989382876331381</v>
      </c>
      <c r="BY105">
        <v>-22.524852818209311</v>
      </c>
      <c r="BZ105">
        <v>1.785311723309245</v>
      </c>
      <c r="CA105">
        <v>0.8504135098912442</v>
      </c>
      <c r="CB105">
        <v>-6.8623839822024536E-3</v>
      </c>
      <c r="CC105">
        <v>289.99999999999989</v>
      </c>
      <c r="CD105">
        <v>823.14</v>
      </c>
      <c r="CE105">
        <v>655</v>
      </c>
      <c r="CF105">
        <v>10060.5</v>
      </c>
      <c r="CG105">
        <v>823.45</v>
      </c>
      <c r="CH105">
        <v>-0.31</v>
      </c>
      <c r="CV105">
        <f t="shared" si="134"/>
        <v>1799.92</v>
      </c>
      <c r="CW105">
        <f t="shared" si="135"/>
        <v>1513.1174999210164</v>
      </c>
      <c r="CX105">
        <f t="shared" si="136"/>
        <v>0.84065819587593693</v>
      </c>
      <c r="CY105">
        <f t="shared" si="137"/>
        <v>0.16087031804055837</v>
      </c>
      <c r="CZ105">
        <v>6</v>
      </c>
      <c r="DA105">
        <v>0.5</v>
      </c>
      <c r="DB105" t="s">
        <v>418</v>
      </c>
      <c r="DC105">
        <v>2</v>
      </c>
      <c r="DD105">
        <v>1639688496</v>
      </c>
      <c r="DE105">
        <v>56.7639</v>
      </c>
      <c r="DF105">
        <v>70.063000000000002</v>
      </c>
      <c r="DG105">
        <v>24.981400000000001</v>
      </c>
      <c r="DH105">
        <v>18.374199999999998</v>
      </c>
      <c r="DI105">
        <v>58.067599999999999</v>
      </c>
      <c r="DJ105">
        <v>24.977900000000002</v>
      </c>
      <c r="DK105">
        <v>500.08300000000003</v>
      </c>
      <c r="DL105">
        <v>99.441199999999995</v>
      </c>
      <c r="DM105">
        <v>9.9924899999999997E-2</v>
      </c>
      <c r="DN105">
        <v>27.996400000000001</v>
      </c>
      <c r="DO105">
        <v>27.6965</v>
      </c>
      <c r="DP105">
        <v>999.9</v>
      </c>
      <c r="DQ105">
        <v>0</v>
      </c>
      <c r="DR105">
        <v>0</v>
      </c>
      <c r="DS105">
        <v>9992.5</v>
      </c>
      <c r="DT105">
        <v>0</v>
      </c>
      <c r="DU105">
        <v>175.815</v>
      </c>
      <c r="DV105">
        <v>-13.299099999999999</v>
      </c>
      <c r="DW105">
        <v>58.218299999999999</v>
      </c>
      <c r="DX105">
        <v>71.374399999999994</v>
      </c>
      <c r="DY105">
        <v>6.6071299999999997</v>
      </c>
      <c r="DZ105">
        <v>70.063000000000002</v>
      </c>
      <c r="EA105">
        <v>18.374199999999998</v>
      </c>
      <c r="EB105">
        <v>2.4841799999999998</v>
      </c>
      <c r="EC105">
        <v>1.8271599999999999</v>
      </c>
      <c r="ED105">
        <v>20.923200000000001</v>
      </c>
      <c r="EE105">
        <v>16.021100000000001</v>
      </c>
      <c r="EF105">
        <v>1799.92</v>
      </c>
      <c r="EG105">
        <v>0.97799899999999995</v>
      </c>
      <c r="EH105">
        <v>2.2001099999999999E-2</v>
      </c>
      <c r="EI105">
        <v>0</v>
      </c>
      <c r="EJ105">
        <v>746.01700000000005</v>
      </c>
      <c r="EK105">
        <v>5.0001199999999999</v>
      </c>
      <c r="EL105">
        <v>13220.7</v>
      </c>
      <c r="EM105">
        <v>15629.3</v>
      </c>
      <c r="EN105">
        <v>47</v>
      </c>
      <c r="EO105">
        <v>47.561999999999998</v>
      </c>
      <c r="EP105">
        <v>47.686999999999998</v>
      </c>
      <c r="EQ105">
        <v>47.436999999999998</v>
      </c>
      <c r="ER105">
        <v>48.5</v>
      </c>
      <c r="ES105">
        <v>1755.43</v>
      </c>
      <c r="ET105">
        <v>39.49</v>
      </c>
      <c r="EU105">
        <v>0</v>
      </c>
      <c r="EV105">
        <v>118.7999999523163</v>
      </c>
      <c r="EW105">
        <v>0</v>
      </c>
      <c r="EX105">
        <v>745.495</v>
      </c>
      <c r="EY105">
        <v>-0.1048889051332592</v>
      </c>
      <c r="EZ105">
        <v>-23.247863195545278</v>
      </c>
      <c r="FA105">
        <v>13223.538461538459</v>
      </c>
      <c r="FB105">
        <v>15</v>
      </c>
      <c r="FC105">
        <v>1639688457.5</v>
      </c>
      <c r="FD105" t="s">
        <v>873</v>
      </c>
      <c r="FE105">
        <v>1639688448</v>
      </c>
      <c r="FF105">
        <v>1639688457.5</v>
      </c>
      <c r="FG105">
        <v>98</v>
      </c>
      <c r="FH105">
        <v>0.109</v>
      </c>
      <c r="FI105">
        <v>0</v>
      </c>
      <c r="FJ105">
        <v>-1.3240000000000001</v>
      </c>
      <c r="FK105">
        <v>-9.7000000000000003E-2</v>
      </c>
      <c r="FL105">
        <v>70</v>
      </c>
      <c r="FM105">
        <v>18</v>
      </c>
      <c r="FN105">
        <v>0.15</v>
      </c>
      <c r="FO105">
        <v>0.02</v>
      </c>
      <c r="FP105">
        <v>10.738123284533939</v>
      </c>
      <c r="FQ105">
        <v>-7.0456000153960668E-2</v>
      </c>
      <c r="FR105">
        <v>1.960372528876389E-2</v>
      </c>
      <c r="FS105">
        <v>1</v>
      </c>
      <c r="FT105">
        <v>0.47675033016505047</v>
      </c>
      <c r="FU105">
        <v>4.8132491987312058E-2</v>
      </c>
      <c r="FV105">
        <v>5.3407783990287554E-3</v>
      </c>
      <c r="FW105">
        <v>1</v>
      </c>
      <c r="FX105">
        <v>2</v>
      </c>
      <c r="FY105">
        <v>2</v>
      </c>
      <c r="FZ105" t="s">
        <v>420</v>
      </c>
      <c r="GA105">
        <v>2.92042</v>
      </c>
      <c r="GB105">
        <v>2.7448399999999999</v>
      </c>
      <c r="GC105">
        <v>1.61426E-2</v>
      </c>
      <c r="GD105">
        <v>1.98149E-2</v>
      </c>
      <c r="GE105">
        <v>0.11996900000000001</v>
      </c>
      <c r="GF105">
        <v>9.7955899999999999E-2</v>
      </c>
      <c r="GG105">
        <v>30661.3</v>
      </c>
      <c r="GH105">
        <v>30160.5</v>
      </c>
      <c r="GI105">
        <v>28374.7</v>
      </c>
      <c r="GJ105">
        <v>28140.1</v>
      </c>
      <c r="GK105">
        <v>34277</v>
      </c>
      <c r="GL105">
        <v>35653.599999999999</v>
      </c>
      <c r="GM105">
        <v>42706.9</v>
      </c>
      <c r="GN105">
        <v>43788.5</v>
      </c>
      <c r="GO105">
        <v>1.79545</v>
      </c>
      <c r="GP105">
        <v>1.97895</v>
      </c>
      <c r="GQ105">
        <v>3.4585600000000001E-2</v>
      </c>
      <c r="GR105">
        <v>0</v>
      </c>
      <c r="GS105">
        <v>27.1313</v>
      </c>
      <c r="GT105">
        <v>999.9</v>
      </c>
      <c r="GU105">
        <v>41.5</v>
      </c>
      <c r="GV105">
        <v>34.9</v>
      </c>
      <c r="GW105">
        <v>23.442499999999999</v>
      </c>
      <c r="GX105">
        <v>61.283000000000001</v>
      </c>
      <c r="GY105">
        <v>29.070499999999999</v>
      </c>
      <c r="GZ105">
        <v>1</v>
      </c>
      <c r="HA105">
        <v>0.34809400000000001</v>
      </c>
      <c r="HB105">
        <v>2.3067500000000001</v>
      </c>
      <c r="HC105">
        <v>20.2605</v>
      </c>
      <c r="HD105">
        <v>5.2746399999999998</v>
      </c>
      <c r="HE105">
        <v>12.0878</v>
      </c>
      <c r="HF105">
        <v>5.0126999999999997</v>
      </c>
      <c r="HG105">
        <v>3.2919499999999999</v>
      </c>
      <c r="HH105">
        <v>9999</v>
      </c>
      <c r="HI105">
        <v>9999</v>
      </c>
      <c r="HJ105">
        <v>9999</v>
      </c>
      <c r="HK105">
        <v>999.9</v>
      </c>
      <c r="HL105">
        <v>1.8751599999999999</v>
      </c>
      <c r="HM105">
        <v>1.87561</v>
      </c>
      <c r="HN105">
        <v>1.8754299999999999</v>
      </c>
      <c r="HO105">
        <v>1.8793299999999999</v>
      </c>
      <c r="HP105">
        <v>1.8728100000000001</v>
      </c>
      <c r="HQ105">
        <v>1.87602</v>
      </c>
      <c r="HR105">
        <v>1.8757600000000001</v>
      </c>
      <c r="HS105">
        <v>1.87714</v>
      </c>
      <c r="HT105">
        <v>0</v>
      </c>
      <c r="HU105">
        <v>0</v>
      </c>
      <c r="HV105">
        <v>0</v>
      </c>
      <c r="HW105">
        <v>0</v>
      </c>
      <c r="HX105" t="s">
        <v>421</v>
      </c>
      <c r="HY105" t="s">
        <v>422</v>
      </c>
      <c r="HZ105" t="s">
        <v>423</v>
      </c>
      <c r="IA105" t="s">
        <v>423</v>
      </c>
      <c r="IB105" t="s">
        <v>423</v>
      </c>
      <c r="IC105" t="s">
        <v>423</v>
      </c>
      <c r="ID105">
        <v>0</v>
      </c>
      <c r="IE105">
        <v>100</v>
      </c>
      <c r="IF105">
        <v>100</v>
      </c>
      <c r="IG105">
        <v>-1.304</v>
      </c>
      <c r="IH105">
        <v>3.5000000000000001E-3</v>
      </c>
      <c r="II105">
        <v>-1.214080726096751</v>
      </c>
      <c r="IJ105">
        <v>-1.5404112972462821E-3</v>
      </c>
      <c r="IK105">
        <v>-5.8697186733976997E-8</v>
      </c>
      <c r="IL105">
        <v>1.160237123038427E-10</v>
      </c>
      <c r="IM105">
        <v>-0.1782848283452608</v>
      </c>
      <c r="IN105">
        <v>-3.128848753924141E-3</v>
      </c>
      <c r="IO105">
        <v>3.6841110403368089E-4</v>
      </c>
      <c r="IP105">
        <v>1.9296040270694169E-6</v>
      </c>
      <c r="IQ105">
        <v>1</v>
      </c>
      <c r="IR105">
        <v>1992</v>
      </c>
      <c r="IS105">
        <v>2</v>
      </c>
      <c r="IT105">
        <v>27</v>
      </c>
      <c r="IU105">
        <v>0.8</v>
      </c>
      <c r="IV105">
        <v>0.6</v>
      </c>
      <c r="IW105">
        <v>0.31372100000000003</v>
      </c>
      <c r="IX105">
        <v>2.6965300000000001</v>
      </c>
      <c r="IY105">
        <v>1.69434</v>
      </c>
      <c r="IZ105">
        <v>2.34863</v>
      </c>
      <c r="JA105">
        <v>1.5466299999999999</v>
      </c>
      <c r="JB105">
        <v>2.3938000000000001</v>
      </c>
      <c r="JC105">
        <v>38.722499999999997</v>
      </c>
      <c r="JD105">
        <v>24.096299999999999</v>
      </c>
      <c r="JE105">
        <v>18</v>
      </c>
      <c r="JF105">
        <v>532.73400000000004</v>
      </c>
      <c r="JG105">
        <v>538.60799999999995</v>
      </c>
      <c r="JH105">
        <v>25.165800000000001</v>
      </c>
      <c r="JI105">
        <v>31.5548</v>
      </c>
      <c r="JJ105">
        <v>29.9998</v>
      </c>
      <c r="JK105">
        <v>31.5396</v>
      </c>
      <c r="JL105">
        <v>31.494199999999999</v>
      </c>
      <c r="JM105">
        <v>6.37296</v>
      </c>
      <c r="JN105">
        <v>25.159199999999998</v>
      </c>
      <c r="JO105">
        <v>38.691299999999998</v>
      </c>
      <c r="JP105">
        <v>25.167899999999999</v>
      </c>
      <c r="JQ105">
        <v>70</v>
      </c>
      <c r="JR105">
        <v>18.3034</v>
      </c>
      <c r="JS105">
        <v>99.502099999999999</v>
      </c>
      <c r="JT105">
        <v>98.617800000000003</v>
      </c>
    </row>
    <row r="106" spans="1:280" x14ac:dyDescent="0.25">
      <c r="A106">
        <v>90</v>
      </c>
      <c r="B106">
        <v>1639688616</v>
      </c>
      <c r="C106">
        <v>22013.900000095371</v>
      </c>
      <c r="D106" t="s">
        <v>874</v>
      </c>
      <c r="E106" t="s">
        <v>875</v>
      </c>
      <c r="F106" t="s">
        <v>412</v>
      </c>
      <c r="G106" t="s">
        <v>850</v>
      </c>
      <c r="H106" t="s">
        <v>565</v>
      </c>
      <c r="I106">
        <v>1639688616</v>
      </c>
      <c r="J106">
        <f t="shared" si="92"/>
        <v>5.7901476078858682E-3</v>
      </c>
      <c r="K106">
        <f t="shared" si="93"/>
        <v>5.790147607885868</v>
      </c>
      <c r="L106">
        <f t="shared" si="94"/>
        <v>4.8208983677712078</v>
      </c>
      <c r="M106">
        <f t="shared" si="95"/>
        <v>24.084499999999998</v>
      </c>
      <c r="N106">
        <f t="shared" si="96"/>
        <v>6.8618774870804362</v>
      </c>
      <c r="O106">
        <f t="shared" si="97"/>
        <v>0.68308230792641722</v>
      </c>
      <c r="P106">
        <f t="shared" si="98"/>
        <v>2.3975502151166497</v>
      </c>
      <c r="Q106">
        <f t="shared" si="99"/>
        <v>0.49257223082404344</v>
      </c>
      <c r="R106">
        <f t="shared" si="100"/>
        <v>2.9202788542462139</v>
      </c>
      <c r="S106">
        <f t="shared" si="101"/>
        <v>0.45063862370634378</v>
      </c>
      <c r="T106">
        <f t="shared" si="102"/>
        <v>0.28511862295520768</v>
      </c>
      <c r="U106">
        <f t="shared" si="103"/>
        <v>289.56647084756861</v>
      </c>
      <c r="V106">
        <f t="shared" si="104"/>
        <v>28.216561914404188</v>
      </c>
      <c r="W106">
        <f t="shared" si="105"/>
        <v>27.688600000000001</v>
      </c>
      <c r="X106">
        <f t="shared" si="106"/>
        <v>3.7264929838495604</v>
      </c>
      <c r="Y106">
        <f t="shared" si="107"/>
        <v>65.491024197222742</v>
      </c>
      <c r="Z106">
        <f t="shared" si="108"/>
        <v>2.4873519568616196</v>
      </c>
      <c r="AA106">
        <f t="shared" si="109"/>
        <v>3.7980043637294347</v>
      </c>
      <c r="AB106">
        <f t="shared" si="110"/>
        <v>1.2391410269879408</v>
      </c>
      <c r="AC106">
        <f t="shared" si="111"/>
        <v>-255.34550950776679</v>
      </c>
      <c r="AD106">
        <f t="shared" si="112"/>
        <v>51.277580568302341</v>
      </c>
      <c r="AE106">
        <f t="shared" si="113"/>
        <v>3.8218255891535406</v>
      </c>
      <c r="AF106">
        <f t="shared" si="114"/>
        <v>89.320367497257706</v>
      </c>
      <c r="AG106">
        <v>0</v>
      </c>
      <c r="AH106">
        <v>0</v>
      </c>
      <c r="AI106">
        <f t="shared" si="115"/>
        <v>1</v>
      </c>
      <c r="AJ106">
        <f t="shared" si="116"/>
        <v>0</v>
      </c>
      <c r="AK106">
        <f t="shared" si="117"/>
        <v>52420.45284632063</v>
      </c>
      <c r="AL106" t="s">
        <v>415</v>
      </c>
      <c r="AM106">
        <v>10204.299999999999</v>
      </c>
      <c r="AN106">
        <v>862.72538461538477</v>
      </c>
      <c r="AO106">
        <v>3252.56</v>
      </c>
      <c r="AP106">
        <f t="shared" si="118"/>
        <v>0.73475496697512588</v>
      </c>
      <c r="AQ106">
        <v>-6.6684750346205304</v>
      </c>
      <c r="AR106" t="s">
        <v>876</v>
      </c>
      <c r="AS106">
        <v>10080.6</v>
      </c>
      <c r="AT106">
        <v>759.4351999999999</v>
      </c>
      <c r="AU106">
        <v>832.54826857182502</v>
      </c>
      <c r="AV106">
        <f t="shared" si="119"/>
        <v>8.7818414056935357E-2</v>
      </c>
      <c r="AW106">
        <v>0.5</v>
      </c>
      <c r="AX106">
        <f t="shared" si="120"/>
        <v>1513.18469992102</v>
      </c>
      <c r="AY106">
        <f t="shared" si="121"/>
        <v>4.8208983677712078</v>
      </c>
      <c r="AZ106">
        <f t="shared" si="122"/>
        <v>66.442740261141807</v>
      </c>
      <c r="BA106">
        <f t="shared" si="123"/>
        <v>7.5928426998973899E-3</v>
      </c>
      <c r="BB106">
        <f t="shared" si="124"/>
        <v>2.9067524644301121</v>
      </c>
      <c r="BC106">
        <f t="shared" si="125"/>
        <v>487.13979625482239</v>
      </c>
      <c r="BD106" t="s">
        <v>877</v>
      </c>
      <c r="BE106">
        <v>561.23</v>
      </c>
      <c r="BF106">
        <f t="shared" si="126"/>
        <v>561.23</v>
      </c>
      <c r="BG106">
        <f t="shared" si="127"/>
        <v>0.32588893498902038</v>
      </c>
      <c r="BH106">
        <f t="shared" si="128"/>
        <v>0.2694734451781679</v>
      </c>
      <c r="BI106">
        <f t="shared" si="129"/>
        <v>0.89918803395651048</v>
      </c>
      <c r="BJ106">
        <f t="shared" si="130"/>
        <v>-2.4227984034752903</v>
      </c>
      <c r="BK106">
        <f t="shared" si="131"/>
        <v>1.0126272821764712</v>
      </c>
      <c r="BL106">
        <f t="shared" si="132"/>
        <v>0.1991434972165409</v>
      </c>
      <c r="BM106">
        <f t="shared" si="133"/>
        <v>0.8008565027834591</v>
      </c>
      <c r="BN106">
        <v>5050</v>
      </c>
      <c r="BO106">
        <v>290.00000000000011</v>
      </c>
      <c r="BP106">
        <v>811.94</v>
      </c>
      <c r="BQ106">
        <v>145</v>
      </c>
      <c r="BR106">
        <v>10080.6</v>
      </c>
      <c r="BS106">
        <v>810.71</v>
      </c>
      <c r="BT106">
        <v>1.23</v>
      </c>
      <c r="BU106">
        <v>300.00000000000011</v>
      </c>
      <c r="BV106">
        <v>24.1</v>
      </c>
      <c r="BW106">
        <v>832.54826857182502</v>
      </c>
      <c r="BX106">
        <v>1.706219971024842</v>
      </c>
      <c r="BY106">
        <v>-22.018505105863451</v>
      </c>
      <c r="BZ106">
        <v>1.5312315119634421</v>
      </c>
      <c r="CA106">
        <v>0.88073588769584898</v>
      </c>
      <c r="CB106">
        <v>-6.8624865406006642E-3</v>
      </c>
      <c r="CC106">
        <v>289.99999999999989</v>
      </c>
      <c r="CD106">
        <v>808.03</v>
      </c>
      <c r="CE106">
        <v>695</v>
      </c>
      <c r="CF106">
        <v>10059.1</v>
      </c>
      <c r="CG106">
        <v>810.66</v>
      </c>
      <c r="CH106">
        <v>-2.63</v>
      </c>
      <c r="CV106">
        <f t="shared" si="134"/>
        <v>1800</v>
      </c>
      <c r="CW106">
        <f t="shared" si="135"/>
        <v>1513.18469992102</v>
      </c>
      <c r="CX106">
        <f t="shared" si="136"/>
        <v>0.84065816662278892</v>
      </c>
      <c r="CY106">
        <f t="shared" si="137"/>
        <v>0.16087026158198256</v>
      </c>
      <c r="CZ106">
        <v>6</v>
      </c>
      <c r="DA106">
        <v>0.5</v>
      </c>
      <c r="DB106" t="s">
        <v>418</v>
      </c>
      <c r="DC106">
        <v>2</v>
      </c>
      <c r="DD106">
        <v>1639688616</v>
      </c>
      <c r="DE106">
        <v>24.084499999999998</v>
      </c>
      <c r="DF106">
        <v>30.0366</v>
      </c>
      <c r="DG106">
        <v>24.986599999999999</v>
      </c>
      <c r="DH106">
        <v>18.212399999999999</v>
      </c>
      <c r="DI106">
        <v>25.3536</v>
      </c>
      <c r="DJ106">
        <v>24.982800000000001</v>
      </c>
      <c r="DK106">
        <v>500.02699999999999</v>
      </c>
      <c r="DL106">
        <v>99.447599999999994</v>
      </c>
      <c r="DM106">
        <v>9.9835699999999999E-2</v>
      </c>
      <c r="DN106">
        <v>28.014299999999999</v>
      </c>
      <c r="DO106">
        <v>27.688600000000001</v>
      </c>
      <c r="DP106">
        <v>999.9</v>
      </c>
      <c r="DQ106">
        <v>0</v>
      </c>
      <c r="DR106">
        <v>0</v>
      </c>
      <c r="DS106">
        <v>10002.5</v>
      </c>
      <c r="DT106">
        <v>0</v>
      </c>
      <c r="DU106">
        <v>170.77600000000001</v>
      </c>
      <c r="DV106">
        <v>-5.9521199999999999</v>
      </c>
      <c r="DW106">
        <v>24.701699999999999</v>
      </c>
      <c r="DX106">
        <v>30.593800000000002</v>
      </c>
      <c r="DY106">
        <v>6.7742100000000001</v>
      </c>
      <c r="DZ106">
        <v>30.0366</v>
      </c>
      <c r="EA106">
        <v>18.212399999999999</v>
      </c>
      <c r="EB106">
        <v>2.4848599999999998</v>
      </c>
      <c r="EC106">
        <v>1.81118</v>
      </c>
      <c r="ED106">
        <v>20.927700000000002</v>
      </c>
      <c r="EE106">
        <v>15.883599999999999</v>
      </c>
      <c r="EF106">
        <v>1800</v>
      </c>
      <c r="EG106">
        <v>0.97799899999999995</v>
      </c>
      <c r="EH106">
        <v>2.2001099999999999E-2</v>
      </c>
      <c r="EI106">
        <v>0</v>
      </c>
      <c r="EJ106">
        <v>759.21199999999999</v>
      </c>
      <c r="EK106">
        <v>5.0001199999999999</v>
      </c>
      <c r="EL106">
        <v>13463.7</v>
      </c>
      <c r="EM106">
        <v>15630</v>
      </c>
      <c r="EN106">
        <v>46.936999999999998</v>
      </c>
      <c r="EO106">
        <v>47.5</v>
      </c>
      <c r="EP106">
        <v>47.625</v>
      </c>
      <c r="EQ106">
        <v>47.375</v>
      </c>
      <c r="ER106">
        <v>48.436999999999998</v>
      </c>
      <c r="ES106">
        <v>1755.51</v>
      </c>
      <c r="ET106">
        <v>39.49</v>
      </c>
      <c r="EU106">
        <v>0</v>
      </c>
      <c r="EV106">
        <v>118.2000000476837</v>
      </c>
      <c r="EW106">
        <v>0</v>
      </c>
      <c r="EX106">
        <v>759.4351999999999</v>
      </c>
      <c r="EY106">
        <v>-1.635846143756539</v>
      </c>
      <c r="EZ106">
        <v>-12.992307664183899</v>
      </c>
      <c r="FA106">
        <v>13465.132</v>
      </c>
      <c r="FB106">
        <v>15</v>
      </c>
      <c r="FC106">
        <v>1639688577.5</v>
      </c>
      <c r="FD106" t="s">
        <v>878</v>
      </c>
      <c r="FE106">
        <v>1639688565</v>
      </c>
      <c r="FF106">
        <v>1639688577.5</v>
      </c>
      <c r="FG106">
        <v>99</v>
      </c>
      <c r="FH106">
        <v>-1.6E-2</v>
      </c>
      <c r="FI106">
        <v>0</v>
      </c>
      <c r="FJ106">
        <v>-1.278</v>
      </c>
      <c r="FK106">
        <v>-0.1</v>
      </c>
      <c r="FL106">
        <v>30</v>
      </c>
      <c r="FM106">
        <v>18</v>
      </c>
      <c r="FN106">
        <v>0.2</v>
      </c>
      <c r="FO106">
        <v>0.01</v>
      </c>
      <c r="FP106">
        <v>4.8419496978168786</v>
      </c>
      <c r="FQ106">
        <v>-0.11437459338101751</v>
      </c>
      <c r="FR106">
        <v>2.083659447011205E-2</v>
      </c>
      <c r="FS106">
        <v>1</v>
      </c>
      <c r="FT106">
        <v>0.48938639956269259</v>
      </c>
      <c r="FU106">
        <v>4.7682288934622181E-2</v>
      </c>
      <c r="FV106">
        <v>5.3920836917225982E-3</v>
      </c>
      <c r="FW106">
        <v>1</v>
      </c>
      <c r="FX106">
        <v>2</v>
      </c>
      <c r="FY106">
        <v>2</v>
      </c>
      <c r="FZ106" t="s">
        <v>420</v>
      </c>
      <c r="GA106">
        <v>2.9204400000000001</v>
      </c>
      <c r="GB106">
        <v>2.7448299999999999</v>
      </c>
      <c r="GC106">
        <v>7.11861E-3</v>
      </c>
      <c r="GD106">
        <v>8.6172100000000001E-3</v>
      </c>
      <c r="GE106">
        <v>0.12001100000000001</v>
      </c>
      <c r="GF106">
        <v>9.7359000000000001E-2</v>
      </c>
      <c r="GG106">
        <v>30948.1</v>
      </c>
      <c r="GH106">
        <v>30510.5</v>
      </c>
      <c r="GI106">
        <v>28379.8</v>
      </c>
      <c r="GJ106">
        <v>28145.200000000001</v>
      </c>
      <c r="GK106">
        <v>34281.800000000003</v>
      </c>
      <c r="GL106">
        <v>35683.199999999997</v>
      </c>
      <c r="GM106">
        <v>42714.9</v>
      </c>
      <c r="GN106">
        <v>43796</v>
      </c>
      <c r="GO106">
        <v>1.7967299999999999</v>
      </c>
      <c r="GP106">
        <v>1.97983</v>
      </c>
      <c r="GQ106">
        <v>3.6083200000000003E-2</v>
      </c>
      <c r="GR106">
        <v>0</v>
      </c>
      <c r="GS106">
        <v>27.0989</v>
      </c>
      <c r="GT106">
        <v>999.9</v>
      </c>
      <c r="GU106">
        <v>41.2</v>
      </c>
      <c r="GV106">
        <v>34.9</v>
      </c>
      <c r="GW106">
        <v>23.2715</v>
      </c>
      <c r="GX106">
        <v>61.162999999999997</v>
      </c>
      <c r="GY106">
        <v>29.046500000000002</v>
      </c>
      <c r="GZ106">
        <v>1</v>
      </c>
      <c r="HA106">
        <v>0.34040100000000001</v>
      </c>
      <c r="HB106">
        <v>2.3700899999999998</v>
      </c>
      <c r="HC106">
        <v>20.259899999999998</v>
      </c>
      <c r="HD106">
        <v>5.2752400000000002</v>
      </c>
      <c r="HE106">
        <v>12.0878</v>
      </c>
      <c r="HF106">
        <v>5.0127499999999996</v>
      </c>
      <c r="HG106">
        <v>3.2919499999999999</v>
      </c>
      <c r="HH106">
        <v>9999</v>
      </c>
      <c r="HI106">
        <v>9999</v>
      </c>
      <c r="HJ106">
        <v>9999</v>
      </c>
      <c r="HK106">
        <v>999.9</v>
      </c>
      <c r="HL106">
        <v>1.8751500000000001</v>
      </c>
      <c r="HM106">
        <v>1.87561</v>
      </c>
      <c r="HN106">
        <v>1.87541</v>
      </c>
      <c r="HO106">
        <v>1.8792899999999999</v>
      </c>
      <c r="HP106">
        <v>1.87279</v>
      </c>
      <c r="HQ106">
        <v>1.8759699999999999</v>
      </c>
      <c r="HR106">
        <v>1.8757600000000001</v>
      </c>
      <c r="HS106">
        <v>1.87714</v>
      </c>
      <c r="HT106">
        <v>0</v>
      </c>
      <c r="HU106">
        <v>0</v>
      </c>
      <c r="HV106">
        <v>0</v>
      </c>
      <c r="HW106">
        <v>0</v>
      </c>
      <c r="HX106" t="s">
        <v>421</v>
      </c>
      <c r="HY106" t="s">
        <v>422</v>
      </c>
      <c r="HZ106" t="s">
        <v>423</v>
      </c>
      <c r="IA106" t="s">
        <v>423</v>
      </c>
      <c r="IB106" t="s">
        <v>423</v>
      </c>
      <c r="IC106" t="s">
        <v>423</v>
      </c>
      <c r="ID106">
        <v>0</v>
      </c>
      <c r="IE106">
        <v>100</v>
      </c>
      <c r="IF106">
        <v>100</v>
      </c>
      <c r="IG106">
        <v>-1.2689999999999999</v>
      </c>
      <c r="IH106">
        <v>3.8E-3</v>
      </c>
      <c r="II106">
        <v>-1.230021894541534</v>
      </c>
      <c r="IJ106">
        <v>-1.5404112972462821E-3</v>
      </c>
      <c r="IK106">
        <v>-5.8697186733976997E-8</v>
      </c>
      <c r="IL106">
        <v>1.160237123038427E-10</v>
      </c>
      <c r="IM106">
        <v>-0.1780452433254909</v>
      </c>
      <c r="IN106">
        <v>-3.128848753924141E-3</v>
      </c>
      <c r="IO106">
        <v>3.6841110403368089E-4</v>
      </c>
      <c r="IP106">
        <v>1.9296040270694169E-6</v>
      </c>
      <c r="IQ106">
        <v>1</v>
      </c>
      <c r="IR106">
        <v>1992</v>
      </c>
      <c r="IS106">
        <v>2</v>
      </c>
      <c r="IT106">
        <v>27</v>
      </c>
      <c r="IU106">
        <v>0.8</v>
      </c>
      <c r="IV106">
        <v>0.6</v>
      </c>
      <c r="IW106">
        <v>0.224609</v>
      </c>
      <c r="IX106">
        <v>2.7111800000000001</v>
      </c>
      <c r="IY106">
        <v>1.69434</v>
      </c>
      <c r="IZ106">
        <v>2.34863</v>
      </c>
      <c r="JA106">
        <v>1.5466299999999999</v>
      </c>
      <c r="JB106">
        <v>2.48047</v>
      </c>
      <c r="JC106">
        <v>38.697899999999997</v>
      </c>
      <c r="JD106">
        <v>24.07</v>
      </c>
      <c r="JE106">
        <v>18</v>
      </c>
      <c r="JF106">
        <v>533.15800000000002</v>
      </c>
      <c r="JG106">
        <v>538.69100000000003</v>
      </c>
      <c r="JH106">
        <v>25.169499999999999</v>
      </c>
      <c r="JI106">
        <v>31.474499999999999</v>
      </c>
      <c r="JJ106">
        <v>29.9999</v>
      </c>
      <c r="JK106">
        <v>31.474699999999999</v>
      </c>
      <c r="JL106">
        <v>31.432400000000001</v>
      </c>
      <c r="JM106">
        <v>4.5634800000000002</v>
      </c>
      <c r="JN106">
        <v>25.525200000000002</v>
      </c>
      <c r="JO106">
        <v>38.117800000000003</v>
      </c>
      <c r="JP106">
        <v>25.162800000000001</v>
      </c>
      <c r="JQ106">
        <v>30</v>
      </c>
      <c r="JR106">
        <v>18.119900000000001</v>
      </c>
      <c r="JS106">
        <v>99.520499999999998</v>
      </c>
      <c r="JT106">
        <v>98.635099999999994</v>
      </c>
    </row>
    <row r="107" spans="1:280" x14ac:dyDescent="0.25">
      <c r="A107">
        <v>91</v>
      </c>
      <c r="B107">
        <v>1639688732</v>
      </c>
      <c r="C107">
        <v>22129.900000095371</v>
      </c>
      <c r="D107" t="s">
        <v>879</v>
      </c>
      <c r="E107" t="s">
        <v>880</v>
      </c>
      <c r="F107" t="s">
        <v>412</v>
      </c>
      <c r="G107" t="s">
        <v>850</v>
      </c>
      <c r="H107" t="s">
        <v>565</v>
      </c>
      <c r="I107">
        <v>1639688732</v>
      </c>
      <c r="J107">
        <f t="shared" si="92"/>
        <v>5.9622326710696777E-3</v>
      </c>
      <c r="K107">
        <f t="shared" si="93"/>
        <v>5.9622326710696774</v>
      </c>
      <c r="L107">
        <f t="shared" si="94"/>
        <v>1.7182901234717338</v>
      </c>
      <c r="M107">
        <f t="shared" si="95"/>
        <v>7.9068199999999997</v>
      </c>
      <c r="N107">
        <f t="shared" si="96"/>
        <v>1.939591562289809</v>
      </c>
      <c r="O107">
        <f t="shared" si="97"/>
        <v>0.1930920521231014</v>
      </c>
      <c r="P107">
        <f t="shared" si="98"/>
        <v>0.78714721658489994</v>
      </c>
      <c r="Q107">
        <f t="shared" si="99"/>
        <v>0.50707683804426207</v>
      </c>
      <c r="R107">
        <f t="shared" si="100"/>
        <v>2.9192776792028456</v>
      </c>
      <c r="S107">
        <f t="shared" si="101"/>
        <v>0.46274237383493444</v>
      </c>
      <c r="T107">
        <f t="shared" si="102"/>
        <v>0.29287355764397377</v>
      </c>
      <c r="U107">
        <f t="shared" si="103"/>
        <v>289.56487484756775</v>
      </c>
      <c r="V107">
        <f t="shared" si="104"/>
        <v>28.1543503500634</v>
      </c>
      <c r="W107">
        <f t="shared" si="105"/>
        <v>27.704799999999999</v>
      </c>
      <c r="X107">
        <f t="shared" si="106"/>
        <v>3.7300219204198584</v>
      </c>
      <c r="Y107">
        <f t="shared" si="107"/>
        <v>65.558228566131916</v>
      </c>
      <c r="Z107">
        <f t="shared" si="108"/>
        <v>2.4873801072974997</v>
      </c>
      <c r="AA107">
        <f t="shared" si="109"/>
        <v>3.7941539326193858</v>
      </c>
      <c r="AB107">
        <f t="shared" si="110"/>
        <v>1.2426418131223587</v>
      </c>
      <c r="AC107">
        <f t="shared" si="111"/>
        <v>-262.93446079417276</v>
      </c>
      <c r="AD107">
        <f t="shared" si="112"/>
        <v>45.971895096250009</v>
      </c>
      <c r="AE107">
        <f t="shared" si="113"/>
        <v>3.4275361112218401</v>
      </c>
      <c r="AF107">
        <f t="shared" si="114"/>
        <v>76.02984526086685</v>
      </c>
      <c r="AG107">
        <v>0</v>
      </c>
      <c r="AH107">
        <v>0</v>
      </c>
      <c r="AI107">
        <f t="shared" si="115"/>
        <v>1</v>
      </c>
      <c r="AJ107">
        <f t="shared" si="116"/>
        <v>0</v>
      </c>
      <c r="AK107">
        <f t="shared" si="117"/>
        <v>52394.85683074894</v>
      </c>
      <c r="AL107" t="s">
        <v>415</v>
      </c>
      <c r="AM107">
        <v>10204.299999999999</v>
      </c>
      <c r="AN107">
        <v>862.72538461538477</v>
      </c>
      <c r="AO107">
        <v>3252.56</v>
      </c>
      <c r="AP107">
        <f t="shared" si="118"/>
        <v>0.73475496697512588</v>
      </c>
      <c r="AQ107">
        <v>-6.6684750346205304</v>
      </c>
      <c r="AR107" t="s">
        <v>881</v>
      </c>
      <c r="AS107">
        <v>10086.9</v>
      </c>
      <c r="AT107">
        <v>766.24546153846177</v>
      </c>
      <c r="AU107">
        <v>829.93290361081074</v>
      </c>
      <c r="AV107">
        <f t="shared" si="119"/>
        <v>7.6738061348408215E-2</v>
      </c>
      <c r="AW107">
        <v>0.5</v>
      </c>
      <c r="AX107">
        <f t="shared" si="120"/>
        <v>1513.1762999210193</v>
      </c>
      <c r="AY107">
        <f t="shared" si="121"/>
        <v>1.7182901234717338</v>
      </c>
      <c r="AZ107">
        <f t="shared" si="122"/>
        <v>58.059107867148263</v>
      </c>
      <c r="BA107">
        <f t="shared" si="123"/>
        <v>5.5424904279362643E-3</v>
      </c>
      <c r="BB107">
        <f t="shared" si="124"/>
        <v>2.9190638012410428</v>
      </c>
      <c r="BC107">
        <f t="shared" si="125"/>
        <v>486.24322034569508</v>
      </c>
      <c r="BD107" t="s">
        <v>882</v>
      </c>
      <c r="BE107">
        <v>567.36</v>
      </c>
      <c r="BF107">
        <f t="shared" si="126"/>
        <v>567.36</v>
      </c>
      <c r="BG107">
        <f t="shared" si="127"/>
        <v>0.31637847164322319</v>
      </c>
      <c r="BH107">
        <f t="shared" si="128"/>
        <v>0.2425514635994101</v>
      </c>
      <c r="BI107">
        <f t="shared" si="129"/>
        <v>0.90221476850483739</v>
      </c>
      <c r="BJ107">
        <f t="shared" si="130"/>
        <v>-1.9421355176958275</v>
      </c>
      <c r="BK107">
        <f t="shared" si="131"/>
        <v>1.0137216528681408</v>
      </c>
      <c r="BL107">
        <f t="shared" si="132"/>
        <v>0.17959518887258527</v>
      </c>
      <c r="BM107">
        <f t="shared" si="133"/>
        <v>0.8204048111274147</v>
      </c>
      <c r="BN107">
        <v>5052</v>
      </c>
      <c r="BO107">
        <v>290.00000000000011</v>
      </c>
      <c r="BP107">
        <v>808.12</v>
      </c>
      <c r="BQ107">
        <v>85</v>
      </c>
      <c r="BR107">
        <v>10086.9</v>
      </c>
      <c r="BS107">
        <v>806.87</v>
      </c>
      <c r="BT107">
        <v>1.25</v>
      </c>
      <c r="BU107">
        <v>300.00000000000011</v>
      </c>
      <c r="BV107">
        <v>24.1</v>
      </c>
      <c r="BW107">
        <v>829.93290361081074</v>
      </c>
      <c r="BX107">
        <v>2.4803005996620651</v>
      </c>
      <c r="BY107">
        <v>-23.2613577482641</v>
      </c>
      <c r="BZ107">
        <v>2.225906634282238</v>
      </c>
      <c r="CA107">
        <v>0.79593093208929966</v>
      </c>
      <c r="CB107">
        <v>-6.8625216907675221E-3</v>
      </c>
      <c r="CC107">
        <v>289.99999999999989</v>
      </c>
      <c r="CD107">
        <v>804.6</v>
      </c>
      <c r="CE107">
        <v>665</v>
      </c>
      <c r="CF107">
        <v>10060.299999999999</v>
      </c>
      <c r="CG107">
        <v>806.81</v>
      </c>
      <c r="CH107">
        <v>-2.21</v>
      </c>
      <c r="CV107">
        <f t="shared" si="134"/>
        <v>1799.99</v>
      </c>
      <c r="CW107">
        <f t="shared" si="135"/>
        <v>1513.1762999210193</v>
      </c>
      <c r="CX107">
        <f t="shared" si="136"/>
        <v>0.84065817027929013</v>
      </c>
      <c r="CY107">
        <f t="shared" si="137"/>
        <v>0.16087026863903006</v>
      </c>
      <c r="CZ107">
        <v>6</v>
      </c>
      <c r="DA107">
        <v>0.5</v>
      </c>
      <c r="DB107" t="s">
        <v>418</v>
      </c>
      <c r="DC107">
        <v>2</v>
      </c>
      <c r="DD107">
        <v>1639688732</v>
      </c>
      <c r="DE107">
        <v>7.9068199999999997</v>
      </c>
      <c r="DF107">
        <v>10.025</v>
      </c>
      <c r="DG107">
        <v>24.985499999999998</v>
      </c>
      <c r="DH107">
        <v>18.0107</v>
      </c>
      <c r="DI107">
        <v>9.1277799999999996</v>
      </c>
      <c r="DJ107">
        <v>24.980699999999999</v>
      </c>
      <c r="DK107">
        <v>500.08</v>
      </c>
      <c r="DL107">
        <v>99.4529</v>
      </c>
      <c r="DM107">
        <v>0.100045</v>
      </c>
      <c r="DN107">
        <v>27.9969</v>
      </c>
      <c r="DO107">
        <v>27.704799999999999</v>
      </c>
      <c r="DP107">
        <v>999.9</v>
      </c>
      <c r="DQ107">
        <v>0</v>
      </c>
      <c r="DR107">
        <v>0</v>
      </c>
      <c r="DS107">
        <v>9996.25</v>
      </c>
      <c r="DT107">
        <v>0</v>
      </c>
      <c r="DU107">
        <v>165.489</v>
      </c>
      <c r="DV107">
        <v>-2.11816</v>
      </c>
      <c r="DW107">
        <v>8.1094399999999993</v>
      </c>
      <c r="DX107">
        <v>10.2089</v>
      </c>
      <c r="DY107">
        <v>6.9747899999999996</v>
      </c>
      <c r="DZ107">
        <v>10.025</v>
      </c>
      <c r="EA107">
        <v>18.0107</v>
      </c>
      <c r="EB107">
        <v>2.48488</v>
      </c>
      <c r="EC107">
        <v>1.79122</v>
      </c>
      <c r="ED107">
        <v>20.927800000000001</v>
      </c>
      <c r="EE107">
        <v>15.7104</v>
      </c>
      <c r="EF107">
        <v>1799.99</v>
      </c>
      <c r="EG107">
        <v>0.97799899999999995</v>
      </c>
      <c r="EH107">
        <v>2.2001099999999999E-2</v>
      </c>
      <c r="EI107">
        <v>0</v>
      </c>
      <c r="EJ107">
        <v>766.37699999999995</v>
      </c>
      <c r="EK107">
        <v>5.0001199999999999</v>
      </c>
      <c r="EL107">
        <v>13581.4</v>
      </c>
      <c r="EM107">
        <v>15629.9</v>
      </c>
      <c r="EN107">
        <v>47</v>
      </c>
      <c r="EO107">
        <v>47.5</v>
      </c>
      <c r="EP107">
        <v>47.625</v>
      </c>
      <c r="EQ107">
        <v>47.375</v>
      </c>
      <c r="ER107">
        <v>48.5</v>
      </c>
      <c r="ES107">
        <v>1755.5</v>
      </c>
      <c r="ET107">
        <v>39.49</v>
      </c>
      <c r="EU107">
        <v>0</v>
      </c>
      <c r="EV107">
        <v>114.2000000476837</v>
      </c>
      <c r="EW107">
        <v>0</v>
      </c>
      <c r="EX107">
        <v>766.24546153846177</v>
      </c>
      <c r="EY107">
        <v>-2.6666501219056739E-3</v>
      </c>
      <c r="EZ107">
        <v>-4.4068376008285286</v>
      </c>
      <c r="FA107">
        <v>13582.280769230771</v>
      </c>
      <c r="FB107">
        <v>15</v>
      </c>
      <c r="FC107">
        <v>1639688693.5</v>
      </c>
      <c r="FD107" t="s">
        <v>883</v>
      </c>
      <c r="FE107">
        <v>1639688686.5</v>
      </c>
      <c r="FF107">
        <v>1639688693.5</v>
      </c>
      <c r="FG107">
        <v>100</v>
      </c>
      <c r="FH107">
        <v>2.3E-2</v>
      </c>
      <c r="FI107">
        <v>1E-3</v>
      </c>
      <c r="FJ107">
        <v>-1.224</v>
      </c>
      <c r="FK107">
        <v>-0.10100000000000001</v>
      </c>
      <c r="FL107">
        <v>10</v>
      </c>
      <c r="FM107">
        <v>18</v>
      </c>
      <c r="FN107">
        <v>0.32</v>
      </c>
      <c r="FO107">
        <v>0.02</v>
      </c>
      <c r="FP107">
        <v>1.7640862190025779</v>
      </c>
      <c r="FQ107">
        <v>-0.20349709534882701</v>
      </c>
      <c r="FR107">
        <v>2.4079453196576471E-2</v>
      </c>
      <c r="FS107">
        <v>1</v>
      </c>
      <c r="FT107">
        <v>0.50615231998777088</v>
      </c>
      <c r="FU107">
        <v>4.3696932457795927E-2</v>
      </c>
      <c r="FV107">
        <v>5.8653701257528352E-3</v>
      </c>
      <c r="FW107">
        <v>1</v>
      </c>
      <c r="FX107">
        <v>2</v>
      </c>
      <c r="FY107">
        <v>2</v>
      </c>
      <c r="FZ107" t="s">
        <v>420</v>
      </c>
      <c r="GA107">
        <v>2.9206300000000001</v>
      </c>
      <c r="GB107">
        <v>2.74499</v>
      </c>
      <c r="GC107">
        <v>2.5713699999999999E-3</v>
      </c>
      <c r="GD107">
        <v>2.8898700000000001E-3</v>
      </c>
      <c r="GE107">
        <v>0.120019</v>
      </c>
      <c r="GF107">
        <v>9.6598000000000003E-2</v>
      </c>
      <c r="GG107">
        <v>31088.9</v>
      </c>
      <c r="GH107">
        <v>30687.4</v>
      </c>
      <c r="GI107">
        <v>28378.9</v>
      </c>
      <c r="GJ107">
        <v>28146</v>
      </c>
      <c r="GK107">
        <v>34279.800000000003</v>
      </c>
      <c r="GL107">
        <v>35714.300000000003</v>
      </c>
      <c r="GM107">
        <v>42712.800000000003</v>
      </c>
      <c r="GN107">
        <v>43797.2</v>
      </c>
      <c r="GO107">
        <v>1.79722</v>
      </c>
      <c r="GP107">
        <v>1.9792700000000001</v>
      </c>
      <c r="GQ107">
        <v>2.6620899999999999E-2</v>
      </c>
      <c r="GR107">
        <v>0</v>
      </c>
      <c r="GS107">
        <v>27.2698</v>
      </c>
      <c r="GT107">
        <v>999.9</v>
      </c>
      <c r="GU107">
        <v>41.1</v>
      </c>
      <c r="GV107">
        <v>34.9</v>
      </c>
      <c r="GW107">
        <v>23.213100000000001</v>
      </c>
      <c r="GX107">
        <v>60.843000000000004</v>
      </c>
      <c r="GY107">
        <v>28.994399999999999</v>
      </c>
      <c r="GZ107">
        <v>1</v>
      </c>
      <c r="HA107">
        <v>0.33959600000000001</v>
      </c>
      <c r="HB107">
        <v>2.29175</v>
      </c>
      <c r="HC107">
        <v>20.261500000000002</v>
      </c>
      <c r="HD107">
        <v>5.2743399999999996</v>
      </c>
      <c r="HE107">
        <v>12.0878</v>
      </c>
      <c r="HF107">
        <v>5.0131500000000004</v>
      </c>
      <c r="HG107">
        <v>3.2919499999999999</v>
      </c>
      <c r="HH107">
        <v>9999</v>
      </c>
      <c r="HI107">
        <v>9999</v>
      </c>
      <c r="HJ107">
        <v>9999</v>
      </c>
      <c r="HK107">
        <v>999.9</v>
      </c>
      <c r="HL107">
        <v>1.8751500000000001</v>
      </c>
      <c r="HM107">
        <v>1.87561</v>
      </c>
      <c r="HN107">
        <v>1.8754</v>
      </c>
      <c r="HO107">
        <v>1.8793299999999999</v>
      </c>
      <c r="HP107">
        <v>1.8727799999999999</v>
      </c>
      <c r="HQ107">
        <v>1.87602</v>
      </c>
      <c r="HR107">
        <v>1.8757600000000001</v>
      </c>
      <c r="HS107">
        <v>1.87714</v>
      </c>
      <c r="HT107">
        <v>0</v>
      </c>
      <c r="HU107">
        <v>0</v>
      </c>
      <c r="HV107">
        <v>0</v>
      </c>
      <c r="HW107">
        <v>0</v>
      </c>
      <c r="HX107" t="s">
        <v>421</v>
      </c>
      <c r="HY107" t="s">
        <v>422</v>
      </c>
      <c r="HZ107" t="s">
        <v>423</v>
      </c>
      <c r="IA107" t="s">
        <v>423</v>
      </c>
      <c r="IB107" t="s">
        <v>423</v>
      </c>
      <c r="IC107" t="s">
        <v>423</v>
      </c>
      <c r="ID107">
        <v>0</v>
      </c>
      <c r="IE107">
        <v>100</v>
      </c>
      <c r="IF107">
        <v>100</v>
      </c>
      <c r="IG107">
        <v>-1.2210000000000001</v>
      </c>
      <c r="IH107">
        <v>4.7999999999999996E-3</v>
      </c>
      <c r="II107">
        <v>-1.2068922226211289</v>
      </c>
      <c r="IJ107">
        <v>-1.5404112972462821E-3</v>
      </c>
      <c r="IK107">
        <v>-5.8697186733976997E-8</v>
      </c>
      <c r="IL107">
        <v>1.160237123038427E-10</v>
      </c>
      <c r="IM107">
        <v>-0.177063030933508</v>
      </c>
      <c r="IN107">
        <v>-3.128848753924141E-3</v>
      </c>
      <c r="IO107">
        <v>3.6841110403368089E-4</v>
      </c>
      <c r="IP107">
        <v>1.9296040270694169E-6</v>
      </c>
      <c r="IQ107">
        <v>1</v>
      </c>
      <c r="IR107">
        <v>1992</v>
      </c>
      <c r="IS107">
        <v>2</v>
      </c>
      <c r="IT107">
        <v>27</v>
      </c>
      <c r="IU107">
        <v>0.8</v>
      </c>
      <c r="IV107">
        <v>0.6</v>
      </c>
      <c r="IW107">
        <v>0.17944299999999999</v>
      </c>
      <c r="IX107">
        <v>2.7233900000000002</v>
      </c>
      <c r="IY107">
        <v>1.69434</v>
      </c>
      <c r="IZ107">
        <v>2.34741</v>
      </c>
      <c r="JA107">
        <v>1.5466299999999999</v>
      </c>
      <c r="JB107">
        <v>2.4706999999999999</v>
      </c>
      <c r="JC107">
        <v>38.673299999999998</v>
      </c>
      <c r="JD107">
        <v>24.096299999999999</v>
      </c>
      <c r="JE107">
        <v>18</v>
      </c>
      <c r="JF107">
        <v>533.26099999999997</v>
      </c>
      <c r="JG107">
        <v>538</v>
      </c>
      <c r="JH107">
        <v>25.1218</v>
      </c>
      <c r="JI107">
        <v>31.4496</v>
      </c>
      <c r="JJ107">
        <v>29.9998</v>
      </c>
      <c r="JK107">
        <v>31.442900000000002</v>
      </c>
      <c r="JL107">
        <v>31.402699999999999</v>
      </c>
      <c r="JM107">
        <v>3.6759499999999998</v>
      </c>
      <c r="JN107">
        <v>26.1249</v>
      </c>
      <c r="JO107">
        <v>37.520800000000001</v>
      </c>
      <c r="JP107">
        <v>25.121500000000001</v>
      </c>
      <c r="JQ107">
        <v>10</v>
      </c>
      <c r="JR107">
        <v>17.915299999999998</v>
      </c>
      <c r="JS107">
        <v>99.516400000000004</v>
      </c>
      <c r="JT107">
        <v>98.637799999999999</v>
      </c>
    </row>
    <row r="108" spans="1:280" x14ac:dyDescent="0.25">
      <c r="A108">
        <v>92</v>
      </c>
      <c r="B108">
        <v>1639688921.5</v>
      </c>
      <c r="C108">
        <v>22319.400000095371</v>
      </c>
      <c r="D108" t="s">
        <v>884</v>
      </c>
      <c r="E108" t="s">
        <v>885</v>
      </c>
      <c r="F108" t="s">
        <v>412</v>
      </c>
      <c r="G108" t="s">
        <v>850</v>
      </c>
      <c r="H108" t="s">
        <v>565</v>
      </c>
      <c r="I108">
        <v>1639688921.5</v>
      </c>
      <c r="J108">
        <f t="shared" si="92"/>
        <v>5.7952750732409748E-3</v>
      </c>
      <c r="K108">
        <f t="shared" si="93"/>
        <v>5.7952750732409752</v>
      </c>
      <c r="L108">
        <f t="shared" si="94"/>
        <v>36.008623166502034</v>
      </c>
      <c r="M108">
        <f t="shared" si="95"/>
        <v>354.28199999999998</v>
      </c>
      <c r="N108">
        <f t="shared" si="96"/>
        <v>219.95196003325904</v>
      </c>
      <c r="O108">
        <f t="shared" si="97"/>
        <v>21.896866479593033</v>
      </c>
      <c r="P108">
        <f t="shared" si="98"/>
        <v>35.269818231899997</v>
      </c>
      <c r="Q108">
        <f t="shared" si="99"/>
        <v>0.48384350722423392</v>
      </c>
      <c r="R108">
        <f t="shared" si="100"/>
        <v>2.9226647690022114</v>
      </c>
      <c r="S108">
        <f t="shared" si="101"/>
        <v>0.443347602618824</v>
      </c>
      <c r="T108">
        <f t="shared" si="102"/>
        <v>0.28044765752488465</v>
      </c>
      <c r="U108">
        <f t="shared" si="103"/>
        <v>289.56327884756695</v>
      </c>
      <c r="V108">
        <f t="shared" si="104"/>
        <v>28.192357093036538</v>
      </c>
      <c r="W108">
        <f t="shared" si="105"/>
        <v>27.664999999999999</v>
      </c>
      <c r="X108">
        <f t="shared" si="106"/>
        <v>3.721357277430982</v>
      </c>
      <c r="Y108">
        <f t="shared" si="107"/>
        <v>64.868257972004358</v>
      </c>
      <c r="Z108">
        <f t="shared" si="108"/>
        <v>2.4604412039549999</v>
      </c>
      <c r="AA108">
        <f t="shared" si="109"/>
        <v>3.7929817770300991</v>
      </c>
      <c r="AB108">
        <f t="shared" si="110"/>
        <v>1.2609160734759821</v>
      </c>
      <c r="AC108">
        <f t="shared" si="111"/>
        <v>-255.57163072992699</v>
      </c>
      <c r="AD108">
        <f t="shared" si="112"/>
        <v>51.461285208437523</v>
      </c>
      <c r="AE108">
        <f t="shared" si="113"/>
        <v>3.8315017477998317</v>
      </c>
      <c r="AF108">
        <f t="shared" si="114"/>
        <v>89.284435073877319</v>
      </c>
      <c r="AG108">
        <v>0</v>
      </c>
      <c r="AH108">
        <v>0</v>
      </c>
      <c r="AI108">
        <f t="shared" si="115"/>
        <v>1</v>
      </c>
      <c r="AJ108">
        <f t="shared" si="116"/>
        <v>0</v>
      </c>
      <c r="AK108">
        <f t="shared" si="117"/>
        <v>52493.039511369534</v>
      </c>
      <c r="AL108" t="s">
        <v>415</v>
      </c>
      <c r="AM108">
        <v>10204.299999999999</v>
      </c>
      <c r="AN108">
        <v>862.72538461538477</v>
      </c>
      <c r="AO108">
        <v>3252.56</v>
      </c>
      <c r="AP108">
        <f t="shared" si="118"/>
        <v>0.73475496697512588</v>
      </c>
      <c r="AQ108">
        <v>-6.6684750346205304</v>
      </c>
      <c r="AR108" t="s">
        <v>886</v>
      </c>
      <c r="AS108">
        <v>10070.9</v>
      </c>
      <c r="AT108">
        <v>696.30869230769235</v>
      </c>
      <c r="AU108">
        <v>936.08698392006818</v>
      </c>
      <c r="AV108">
        <f t="shared" si="119"/>
        <v>0.25614958409981514</v>
      </c>
      <c r="AW108">
        <v>0.5</v>
      </c>
      <c r="AX108">
        <f t="shared" si="120"/>
        <v>1513.1678999210192</v>
      </c>
      <c r="AY108">
        <f t="shared" si="121"/>
        <v>36.008623166502034</v>
      </c>
      <c r="AZ108">
        <f t="shared" si="122"/>
        <v>193.79866411897987</v>
      </c>
      <c r="BA108">
        <f t="shared" si="123"/>
        <v>2.8203808845898806E-2</v>
      </c>
      <c r="BB108">
        <f t="shared" si="124"/>
        <v>2.4746343618401747</v>
      </c>
      <c r="BC108">
        <f t="shared" si="125"/>
        <v>520.84850990954078</v>
      </c>
      <c r="BD108" t="s">
        <v>887</v>
      </c>
      <c r="BE108">
        <v>542.79</v>
      </c>
      <c r="BF108">
        <f t="shared" si="126"/>
        <v>542.79</v>
      </c>
      <c r="BG108">
        <f t="shared" si="127"/>
        <v>0.42015004019503766</v>
      </c>
      <c r="BH108">
        <f t="shared" si="128"/>
        <v>0.60966216730791711</v>
      </c>
      <c r="BI108">
        <f t="shared" si="129"/>
        <v>0.85485964346787058</v>
      </c>
      <c r="BJ108">
        <f t="shared" si="130"/>
        <v>3.2684441708602221</v>
      </c>
      <c r="BK108">
        <f t="shared" si="131"/>
        <v>0.96930264595197657</v>
      </c>
      <c r="BL108">
        <f t="shared" si="132"/>
        <v>0.47524687175215452</v>
      </c>
      <c r="BM108">
        <f t="shared" si="133"/>
        <v>0.52475312824784548</v>
      </c>
      <c r="BN108">
        <v>5054</v>
      </c>
      <c r="BO108">
        <v>290.00000000000011</v>
      </c>
      <c r="BP108">
        <v>876.32</v>
      </c>
      <c r="BQ108">
        <v>295</v>
      </c>
      <c r="BR108">
        <v>10070.9</v>
      </c>
      <c r="BS108">
        <v>877.9</v>
      </c>
      <c r="BT108">
        <v>-1.58</v>
      </c>
      <c r="BU108">
        <v>300.00000000000011</v>
      </c>
      <c r="BV108">
        <v>24.1</v>
      </c>
      <c r="BW108">
        <v>936.08698392006818</v>
      </c>
      <c r="BX108">
        <v>2.811852867941889</v>
      </c>
      <c r="BY108">
        <v>-58.595607908719259</v>
      </c>
      <c r="BZ108">
        <v>2.5236926745648258</v>
      </c>
      <c r="CA108">
        <v>0.95062468011655865</v>
      </c>
      <c r="CB108">
        <v>-6.8632711902113491E-3</v>
      </c>
      <c r="CC108">
        <v>289.99999999999989</v>
      </c>
      <c r="CD108">
        <v>875.5</v>
      </c>
      <c r="CE108">
        <v>625</v>
      </c>
      <c r="CF108">
        <v>10063.1</v>
      </c>
      <c r="CG108">
        <v>877.86</v>
      </c>
      <c r="CH108">
        <v>-2.36</v>
      </c>
      <c r="CV108">
        <f t="shared" si="134"/>
        <v>1799.98</v>
      </c>
      <c r="CW108">
        <f t="shared" si="135"/>
        <v>1513.1678999210192</v>
      </c>
      <c r="CX108">
        <f t="shared" si="136"/>
        <v>0.8406581739358322</v>
      </c>
      <c r="CY108">
        <f t="shared" si="137"/>
        <v>0.16087027569615603</v>
      </c>
      <c r="CZ108">
        <v>6</v>
      </c>
      <c r="DA108">
        <v>0.5</v>
      </c>
      <c r="DB108" t="s">
        <v>418</v>
      </c>
      <c r="DC108">
        <v>2</v>
      </c>
      <c r="DD108">
        <v>1639688921.5</v>
      </c>
      <c r="DE108">
        <v>354.28199999999998</v>
      </c>
      <c r="DF108">
        <v>399.94499999999999</v>
      </c>
      <c r="DG108">
        <v>24.7149</v>
      </c>
      <c r="DH108">
        <v>17.934100000000001</v>
      </c>
      <c r="DI108">
        <v>356.09199999999998</v>
      </c>
      <c r="DJ108">
        <v>24.715699999999998</v>
      </c>
      <c r="DK108">
        <v>500.12200000000001</v>
      </c>
      <c r="DL108">
        <v>99.4529</v>
      </c>
      <c r="DM108">
        <v>0.10005</v>
      </c>
      <c r="DN108">
        <v>27.991599999999998</v>
      </c>
      <c r="DO108">
        <v>27.664999999999999</v>
      </c>
      <c r="DP108">
        <v>999.9</v>
      </c>
      <c r="DQ108">
        <v>0</v>
      </c>
      <c r="DR108">
        <v>0</v>
      </c>
      <c r="DS108">
        <v>10015.6</v>
      </c>
      <c r="DT108">
        <v>0</v>
      </c>
      <c r="DU108">
        <v>159.67400000000001</v>
      </c>
      <c r="DV108">
        <v>-45.6629</v>
      </c>
      <c r="DW108">
        <v>363.26</v>
      </c>
      <c r="DX108">
        <v>407.24799999999999</v>
      </c>
      <c r="DY108">
        <v>6.7808599999999997</v>
      </c>
      <c r="DZ108">
        <v>399.94499999999999</v>
      </c>
      <c r="EA108">
        <v>17.934100000000001</v>
      </c>
      <c r="EB108">
        <v>2.45797</v>
      </c>
      <c r="EC108">
        <v>1.78359</v>
      </c>
      <c r="ED108">
        <v>20.750800000000002</v>
      </c>
      <c r="EE108">
        <v>15.643800000000001</v>
      </c>
      <c r="EF108">
        <v>1799.98</v>
      </c>
      <c r="EG108">
        <v>0.97799899999999995</v>
      </c>
      <c r="EH108">
        <v>2.2001099999999999E-2</v>
      </c>
      <c r="EI108">
        <v>0</v>
      </c>
      <c r="EJ108">
        <v>695.37300000000005</v>
      </c>
      <c r="EK108">
        <v>5.0001199999999999</v>
      </c>
      <c r="EL108">
        <v>12343.8</v>
      </c>
      <c r="EM108">
        <v>15629.8</v>
      </c>
      <c r="EN108">
        <v>46.936999999999998</v>
      </c>
      <c r="EO108">
        <v>47.5</v>
      </c>
      <c r="EP108">
        <v>47.686999999999998</v>
      </c>
      <c r="EQ108">
        <v>47.436999999999998</v>
      </c>
      <c r="ER108">
        <v>48.5</v>
      </c>
      <c r="ES108">
        <v>1755.49</v>
      </c>
      <c r="ET108">
        <v>39.49</v>
      </c>
      <c r="EU108">
        <v>0</v>
      </c>
      <c r="EV108">
        <v>187.79999995231631</v>
      </c>
      <c r="EW108">
        <v>0</v>
      </c>
      <c r="EX108">
        <v>696.30869230769235</v>
      </c>
      <c r="EY108">
        <v>-7.1797606943956884</v>
      </c>
      <c r="EZ108">
        <v>-106.1128204984438</v>
      </c>
      <c r="FA108">
        <v>12356.823076923079</v>
      </c>
      <c r="FB108">
        <v>15</v>
      </c>
      <c r="FC108">
        <v>1639688812.5</v>
      </c>
      <c r="FD108" t="s">
        <v>888</v>
      </c>
      <c r="FE108">
        <v>1639688807.5</v>
      </c>
      <c r="FF108">
        <v>1639688812.5</v>
      </c>
      <c r="FG108">
        <v>101</v>
      </c>
      <c r="FH108">
        <v>-5.2999999999999999E-2</v>
      </c>
      <c r="FI108">
        <v>-1E-3</v>
      </c>
      <c r="FJ108">
        <v>-1.881</v>
      </c>
      <c r="FK108">
        <v>-0.105</v>
      </c>
      <c r="FL108">
        <v>400</v>
      </c>
      <c r="FM108">
        <v>18</v>
      </c>
      <c r="FN108">
        <v>0.08</v>
      </c>
      <c r="FO108">
        <v>0.01</v>
      </c>
      <c r="FP108">
        <v>35.172719533556489</v>
      </c>
      <c r="FQ108">
        <v>4.5998315684115871</v>
      </c>
      <c r="FR108">
        <v>0.45391008836496699</v>
      </c>
      <c r="FS108">
        <v>0</v>
      </c>
      <c r="FT108">
        <v>0.48833511034787858</v>
      </c>
      <c r="FU108">
        <v>-1.465372315889247E-3</v>
      </c>
      <c r="FV108">
        <v>1.073660299446136E-3</v>
      </c>
      <c r="FW108">
        <v>1</v>
      </c>
      <c r="FX108">
        <v>1</v>
      </c>
      <c r="FY108">
        <v>2</v>
      </c>
      <c r="FZ108" t="s">
        <v>459</v>
      </c>
      <c r="GA108">
        <v>2.9206400000000001</v>
      </c>
      <c r="GB108">
        <v>2.7451599999999998</v>
      </c>
      <c r="GC108">
        <v>8.3737199999999998E-2</v>
      </c>
      <c r="GD108">
        <v>9.3163099999999999E-2</v>
      </c>
      <c r="GE108">
        <v>0.11913</v>
      </c>
      <c r="GF108">
        <v>9.6301899999999996E-2</v>
      </c>
      <c r="GG108">
        <v>28558.2</v>
      </c>
      <c r="GH108">
        <v>27907.599999999999</v>
      </c>
      <c r="GI108">
        <v>28376</v>
      </c>
      <c r="GJ108">
        <v>28142.3</v>
      </c>
      <c r="GK108">
        <v>34311.1</v>
      </c>
      <c r="GL108">
        <v>35721.599999999999</v>
      </c>
      <c r="GM108">
        <v>42709</v>
      </c>
      <c r="GN108">
        <v>43792.4</v>
      </c>
      <c r="GO108">
        <v>1.79715</v>
      </c>
      <c r="GP108">
        <v>1.9799</v>
      </c>
      <c r="GQ108">
        <v>2.03587E-2</v>
      </c>
      <c r="GR108">
        <v>0</v>
      </c>
      <c r="GS108">
        <v>27.3323</v>
      </c>
      <c r="GT108">
        <v>999.9</v>
      </c>
      <c r="GU108">
        <v>40.6</v>
      </c>
      <c r="GV108">
        <v>34.9</v>
      </c>
      <c r="GW108">
        <v>22.932099999999998</v>
      </c>
      <c r="GX108">
        <v>60.753</v>
      </c>
      <c r="GY108">
        <v>29.014399999999998</v>
      </c>
      <c r="GZ108">
        <v>1</v>
      </c>
      <c r="HA108">
        <v>0.34466000000000002</v>
      </c>
      <c r="HB108">
        <v>2.3861599999999998</v>
      </c>
      <c r="HC108">
        <v>20.259799999999998</v>
      </c>
      <c r="HD108">
        <v>5.2752400000000002</v>
      </c>
      <c r="HE108">
        <v>12.0878</v>
      </c>
      <c r="HF108">
        <v>5.0132500000000002</v>
      </c>
      <c r="HG108">
        <v>3.2919200000000002</v>
      </c>
      <c r="HH108">
        <v>9999</v>
      </c>
      <c r="HI108">
        <v>9999</v>
      </c>
      <c r="HJ108">
        <v>9999</v>
      </c>
      <c r="HK108">
        <v>999.9</v>
      </c>
      <c r="HL108">
        <v>1.8751500000000001</v>
      </c>
      <c r="HM108">
        <v>1.8756200000000001</v>
      </c>
      <c r="HN108">
        <v>1.8754299999999999</v>
      </c>
      <c r="HO108">
        <v>1.87931</v>
      </c>
      <c r="HP108">
        <v>1.8728100000000001</v>
      </c>
      <c r="HQ108">
        <v>1.87605</v>
      </c>
      <c r="HR108">
        <v>1.8757600000000001</v>
      </c>
      <c r="HS108">
        <v>1.87714</v>
      </c>
      <c r="HT108">
        <v>0</v>
      </c>
      <c r="HU108">
        <v>0</v>
      </c>
      <c r="HV108">
        <v>0</v>
      </c>
      <c r="HW108">
        <v>0</v>
      </c>
      <c r="HX108" t="s">
        <v>421</v>
      </c>
      <c r="HY108" t="s">
        <v>422</v>
      </c>
      <c r="HZ108" t="s">
        <v>423</v>
      </c>
      <c r="IA108" t="s">
        <v>423</v>
      </c>
      <c r="IB108" t="s">
        <v>423</v>
      </c>
      <c r="IC108" t="s">
        <v>423</v>
      </c>
      <c r="ID108">
        <v>0</v>
      </c>
      <c r="IE108">
        <v>100</v>
      </c>
      <c r="IF108">
        <v>100</v>
      </c>
      <c r="IG108">
        <v>-1.81</v>
      </c>
      <c r="IH108">
        <v>-8.0000000000000004E-4</v>
      </c>
      <c r="II108">
        <v>-1.259594706443258</v>
      </c>
      <c r="IJ108">
        <v>-1.5404112972462821E-3</v>
      </c>
      <c r="IK108">
        <v>-5.8697186733976997E-8</v>
      </c>
      <c r="IL108">
        <v>1.160237123038427E-10</v>
      </c>
      <c r="IM108">
        <v>-0.17767069128449409</v>
      </c>
      <c r="IN108">
        <v>-3.128848753924141E-3</v>
      </c>
      <c r="IO108">
        <v>3.6841110403368089E-4</v>
      </c>
      <c r="IP108">
        <v>1.9296040270694169E-6</v>
      </c>
      <c r="IQ108">
        <v>1</v>
      </c>
      <c r="IR108">
        <v>1992</v>
      </c>
      <c r="IS108">
        <v>2</v>
      </c>
      <c r="IT108">
        <v>27</v>
      </c>
      <c r="IU108">
        <v>1.9</v>
      </c>
      <c r="IV108">
        <v>1.8</v>
      </c>
      <c r="IW108">
        <v>1.0412600000000001</v>
      </c>
      <c r="IX108">
        <v>2.6867700000000001</v>
      </c>
      <c r="IY108">
        <v>1.69434</v>
      </c>
      <c r="IZ108">
        <v>2.34863</v>
      </c>
      <c r="JA108">
        <v>1.5466299999999999</v>
      </c>
      <c r="JB108">
        <v>2.4475099999999999</v>
      </c>
      <c r="JC108">
        <v>38.697899999999997</v>
      </c>
      <c r="JD108">
        <v>24.061199999999999</v>
      </c>
      <c r="JE108">
        <v>18</v>
      </c>
      <c r="JF108">
        <v>533.28700000000003</v>
      </c>
      <c r="JG108">
        <v>538.53899999999999</v>
      </c>
      <c r="JH108">
        <v>25.1508</v>
      </c>
      <c r="JI108">
        <v>31.491599999999998</v>
      </c>
      <c r="JJ108">
        <v>30.0001</v>
      </c>
      <c r="JK108">
        <v>31.452000000000002</v>
      </c>
      <c r="JL108">
        <v>31.4102</v>
      </c>
      <c r="JM108">
        <v>20.917400000000001</v>
      </c>
      <c r="JN108">
        <v>23.584199999999999</v>
      </c>
      <c r="JO108">
        <v>35.954000000000001</v>
      </c>
      <c r="JP108">
        <v>25.152999999999999</v>
      </c>
      <c r="JQ108">
        <v>400</v>
      </c>
      <c r="JR108">
        <v>18.0595</v>
      </c>
      <c r="JS108">
        <v>99.507000000000005</v>
      </c>
      <c r="JT108">
        <v>98.626099999999994</v>
      </c>
    </row>
    <row r="109" spans="1:280" x14ac:dyDescent="0.25">
      <c r="A109">
        <v>93</v>
      </c>
      <c r="B109">
        <v>1639689111</v>
      </c>
      <c r="C109">
        <v>22508.900000095371</v>
      </c>
      <c r="D109" t="s">
        <v>889</v>
      </c>
      <c r="E109" t="s">
        <v>890</v>
      </c>
      <c r="F109" t="s">
        <v>412</v>
      </c>
      <c r="G109" t="s">
        <v>850</v>
      </c>
      <c r="H109" t="s">
        <v>565</v>
      </c>
      <c r="I109">
        <v>1639689111</v>
      </c>
      <c r="J109">
        <f t="shared" si="92"/>
        <v>5.7128022013027777E-3</v>
      </c>
      <c r="K109">
        <f t="shared" si="93"/>
        <v>5.7128022013027779</v>
      </c>
      <c r="L109">
        <f t="shared" si="94"/>
        <v>43.452533659394888</v>
      </c>
      <c r="M109">
        <f t="shared" si="95"/>
        <v>345.52499999999998</v>
      </c>
      <c r="N109">
        <f t="shared" si="96"/>
        <v>183.65651901944298</v>
      </c>
      <c r="O109">
        <f t="shared" si="97"/>
        <v>18.284215130302869</v>
      </c>
      <c r="P109">
        <f t="shared" si="98"/>
        <v>34.399287684577494</v>
      </c>
      <c r="Q109">
        <f t="shared" si="99"/>
        <v>0.47888589594155273</v>
      </c>
      <c r="R109">
        <f t="shared" si="100"/>
        <v>2.9229626351305074</v>
      </c>
      <c r="S109">
        <f t="shared" si="101"/>
        <v>0.43918284490660137</v>
      </c>
      <c r="T109">
        <f t="shared" si="102"/>
        <v>0.27778161665807755</v>
      </c>
      <c r="U109">
        <f t="shared" si="103"/>
        <v>289.56647084756861</v>
      </c>
      <c r="V109">
        <f t="shared" si="104"/>
        <v>28.216035227297468</v>
      </c>
      <c r="W109">
        <f t="shared" si="105"/>
        <v>27.656199999999998</v>
      </c>
      <c r="X109">
        <f t="shared" si="106"/>
        <v>3.7194438497294491</v>
      </c>
      <c r="Y109">
        <f t="shared" si="107"/>
        <v>64.970955278578685</v>
      </c>
      <c r="Z109">
        <f t="shared" si="108"/>
        <v>2.4646525886859298</v>
      </c>
      <c r="AA109">
        <f t="shared" si="109"/>
        <v>3.7934682938216562</v>
      </c>
      <c r="AB109">
        <f t="shared" si="110"/>
        <v>1.2547912610435192</v>
      </c>
      <c r="AC109">
        <f t="shared" si="111"/>
        <v>-251.9345770774525</v>
      </c>
      <c r="AD109">
        <f t="shared" si="112"/>
        <v>53.199940311148943</v>
      </c>
      <c r="AE109">
        <f t="shared" si="113"/>
        <v>3.9604177837618608</v>
      </c>
      <c r="AF109">
        <f t="shared" si="114"/>
        <v>94.792251865026884</v>
      </c>
      <c r="AG109">
        <v>0</v>
      </c>
      <c r="AH109">
        <v>0</v>
      </c>
      <c r="AI109">
        <f t="shared" si="115"/>
        <v>1</v>
      </c>
      <c r="AJ109">
        <f t="shared" si="116"/>
        <v>0</v>
      </c>
      <c r="AK109">
        <f t="shared" si="117"/>
        <v>52501.299605826462</v>
      </c>
      <c r="AL109" t="s">
        <v>415</v>
      </c>
      <c r="AM109">
        <v>10204.299999999999</v>
      </c>
      <c r="AN109">
        <v>862.72538461538477</v>
      </c>
      <c r="AO109">
        <v>3252.56</v>
      </c>
      <c r="AP109">
        <f t="shared" si="118"/>
        <v>0.73475496697512588</v>
      </c>
      <c r="AQ109">
        <v>-6.6684750346205304</v>
      </c>
      <c r="AR109" t="s">
        <v>891</v>
      </c>
      <c r="AS109">
        <v>10071.299999999999</v>
      </c>
      <c r="AT109">
        <v>693.4810769230769</v>
      </c>
      <c r="AU109">
        <v>990.063725534117</v>
      </c>
      <c r="AV109">
        <f t="shared" si="119"/>
        <v>0.29955915054966842</v>
      </c>
      <c r="AW109">
        <v>0.5</v>
      </c>
      <c r="AX109">
        <f t="shared" si="120"/>
        <v>1513.18469992102</v>
      </c>
      <c r="AY109">
        <f t="shared" si="121"/>
        <v>43.452533659394888</v>
      </c>
      <c r="AZ109">
        <f t="shared" si="122"/>
        <v>226.64416166654783</v>
      </c>
      <c r="BA109">
        <f t="shared" si="123"/>
        <v>3.3122862461292042E-2</v>
      </c>
      <c r="BB109">
        <f t="shared" si="124"/>
        <v>2.2852026754594177</v>
      </c>
      <c r="BC109">
        <f t="shared" si="125"/>
        <v>537.14253107366187</v>
      </c>
      <c r="BD109" t="s">
        <v>892</v>
      </c>
      <c r="BE109">
        <v>547.15</v>
      </c>
      <c r="BF109">
        <f t="shared" si="126"/>
        <v>547.15</v>
      </c>
      <c r="BG109">
        <f t="shared" si="127"/>
        <v>0.44735880540939432</v>
      </c>
      <c r="BH109">
        <f t="shared" si="128"/>
        <v>0.66961719972300737</v>
      </c>
      <c r="BI109">
        <f t="shared" si="129"/>
        <v>0.83628591395237062</v>
      </c>
      <c r="BJ109">
        <f t="shared" si="130"/>
        <v>2.3290915090555497</v>
      </c>
      <c r="BK109">
        <f t="shared" si="131"/>
        <v>0.94671667231741108</v>
      </c>
      <c r="BL109">
        <f t="shared" si="132"/>
        <v>0.52832162696356255</v>
      </c>
      <c r="BM109">
        <f t="shared" si="133"/>
        <v>0.47167837303643745</v>
      </c>
      <c r="BN109">
        <v>5056</v>
      </c>
      <c r="BO109">
        <v>290.00000000000011</v>
      </c>
      <c r="BP109">
        <v>914.99</v>
      </c>
      <c r="BQ109">
        <v>295</v>
      </c>
      <c r="BR109">
        <v>10071.299999999999</v>
      </c>
      <c r="BS109">
        <v>916.38</v>
      </c>
      <c r="BT109">
        <v>-1.39</v>
      </c>
      <c r="BU109">
        <v>300.00000000000011</v>
      </c>
      <c r="BV109">
        <v>24.1</v>
      </c>
      <c r="BW109">
        <v>990.063725534117</v>
      </c>
      <c r="BX109">
        <v>2.3808054237715268</v>
      </c>
      <c r="BY109">
        <v>-74.206801939559355</v>
      </c>
      <c r="BZ109">
        <v>2.136917724234372</v>
      </c>
      <c r="CA109">
        <v>0.97730775070140907</v>
      </c>
      <c r="CB109">
        <v>-6.8635699666295931E-3</v>
      </c>
      <c r="CC109">
        <v>289.99999999999989</v>
      </c>
      <c r="CD109">
        <v>915.75</v>
      </c>
      <c r="CE109">
        <v>655</v>
      </c>
      <c r="CF109">
        <v>10062.200000000001</v>
      </c>
      <c r="CG109">
        <v>916.32</v>
      </c>
      <c r="CH109">
        <v>-0.56999999999999995</v>
      </c>
      <c r="CV109">
        <f t="shared" si="134"/>
        <v>1800</v>
      </c>
      <c r="CW109">
        <f t="shared" si="135"/>
        <v>1513.18469992102</v>
      </c>
      <c r="CX109">
        <f t="shared" si="136"/>
        <v>0.84065816662278892</v>
      </c>
      <c r="CY109">
        <f t="shared" si="137"/>
        <v>0.16087026158198256</v>
      </c>
      <c r="CZ109">
        <v>6</v>
      </c>
      <c r="DA109">
        <v>0.5</v>
      </c>
      <c r="DB109" t="s">
        <v>418</v>
      </c>
      <c r="DC109">
        <v>2</v>
      </c>
      <c r="DD109">
        <v>1639689111</v>
      </c>
      <c r="DE109">
        <v>345.52499999999998</v>
      </c>
      <c r="DF109">
        <v>400.029</v>
      </c>
      <c r="DG109">
        <v>24.7563</v>
      </c>
      <c r="DH109">
        <v>18.0716</v>
      </c>
      <c r="DI109">
        <v>347.38099999999997</v>
      </c>
      <c r="DJ109">
        <v>24.755800000000001</v>
      </c>
      <c r="DK109">
        <v>500.07100000000003</v>
      </c>
      <c r="DL109">
        <v>99.456900000000005</v>
      </c>
      <c r="DM109">
        <v>9.9681099999999995E-2</v>
      </c>
      <c r="DN109">
        <v>27.9938</v>
      </c>
      <c r="DO109">
        <v>27.656199999999998</v>
      </c>
      <c r="DP109">
        <v>999.9</v>
      </c>
      <c r="DQ109">
        <v>0</v>
      </c>
      <c r="DR109">
        <v>0</v>
      </c>
      <c r="DS109">
        <v>10016.9</v>
      </c>
      <c r="DT109">
        <v>0</v>
      </c>
      <c r="DU109">
        <v>157.803</v>
      </c>
      <c r="DV109">
        <v>-54.503799999999998</v>
      </c>
      <c r="DW109">
        <v>354.29599999999999</v>
      </c>
      <c r="DX109">
        <v>407.39100000000002</v>
      </c>
      <c r="DY109">
        <v>6.6846300000000003</v>
      </c>
      <c r="DZ109">
        <v>400.029</v>
      </c>
      <c r="EA109">
        <v>18.0716</v>
      </c>
      <c r="EB109">
        <v>2.46218</v>
      </c>
      <c r="EC109">
        <v>1.79735</v>
      </c>
      <c r="ED109">
        <v>20.778600000000001</v>
      </c>
      <c r="EE109">
        <v>15.7637</v>
      </c>
      <c r="EF109">
        <v>1800</v>
      </c>
      <c r="EG109">
        <v>0.97799899999999995</v>
      </c>
      <c r="EH109">
        <v>2.2001099999999999E-2</v>
      </c>
      <c r="EI109">
        <v>0</v>
      </c>
      <c r="EJ109">
        <v>693.86199999999997</v>
      </c>
      <c r="EK109">
        <v>5.0001199999999999</v>
      </c>
      <c r="EL109">
        <v>12316.7</v>
      </c>
      <c r="EM109">
        <v>15629.9</v>
      </c>
      <c r="EN109">
        <v>46.936999999999998</v>
      </c>
      <c r="EO109">
        <v>47.5</v>
      </c>
      <c r="EP109">
        <v>47.625</v>
      </c>
      <c r="EQ109">
        <v>47.436999999999998</v>
      </c>
      <c r="ER109">
        <v>48.436999999999998</v>
      </c>
      <c r="ES109">
        <v>1755.51</v>
      </c>
      <c r="ET109">
        <v>39.49</v>
      </c>
      <c r="EU109">
        <v>0</v>
      </c>
      <c r="EV109">
        <v>187.79999995231631</v>
      </c>
      <c r="EW109">
        <v>0</v>
      </c>
      <c r="EX109">
        <v>693.4810769230769</v>
      </c>
      <c r="EY109">
        <v>2.8809572737495088</v>
      </c>
      <c r="EZ109">
        <v>46.700854693063157</v>
      </c>
      <c r="FA109">
        <v>12310.63846153846</v>
      </c>
      <c r="FB109">
        <v>15</v>
      </c>
      <c r="FC109">
        <v>1639689001.5</v>
      </c>
      <c r="FD109" t="s">
        <v>893</v>
      </c>
      <c r="FE109">
        <v>1639688996.5</v>
      </c>
      <c r="FF109">
        <v>1639689001.5</v>
      </c>
      <c r="FG109">
        <v>102</v>
      </c>
      <c r="FH109">
        <v>-5.8999999999999997E-2</v>
      </c>
      <c r="FI109">
        <v>1E-3</v>
      </c>
      <c r="FJ109">
        <v>-1.9390000000000001</v>
      </c>
      <c r="FK109">
        <v>-0.10199999999999999</v>
      </c>
      <c r="FL109">
        <v>400</v>
      </c>
      <c r="FM109">
        <v>18</v>
      </c>
      <c r="FN109">
        <v>0.06</v>
      </c>
      <c r="FO109">
        <v>0.01</v>
      </c>
      <c r="FP109">
        <v>43.303621340191228</v>
      </c>
      <c r="FQ109">
        <v>0.84846348994274479</v>
      </c>
      <c r="FR109">
        <v>8.479023615119094E-2</v>
      </c>
      <c r="FS109">
        <v>0</v>
      </c>
      <c r="FT109">
        <v>0.475832696007223</v>
      </c>
      <c r="FU109">
        <v>2.124640719251844E-3</v>
      </c>
      <c r="FV109">
        <v>5.1173259491719058E-4</v>
      </c>
      <c r="FW109">
        <v>1</v>
      </c>
      <c r="FX109">
        <v>1</v>
      </c>
      <c r="FY109">
        <v>2</v>
      </c>
      <c r="FZ109" t="s">
        <v>459</v>
      </c>
      <c r="GA109">
        <v>2.9204599999999998</v>
      </c>
      <c r="GB109">
        <v>2.7448000000000001</v>
      </c>
      <c r="GC109">
        <v>8.2114000000000006E-2</v>
      </c>
      <c r="GD109">
        <v>9.3180299999999994E-2</v>
      </c>
      <c r="GE109">
        <v>0.119265</v>
      </c>
      <c r="GF109">
        <v>9.6831200000000006E-2</v>
      </c>
      <c r="GG109">
        <v>28609</v>
      </c>
      <c r="GH109">
        <v>27907.200000000001</v>
      </c>
      <c r="GI109">
        <v>28376.400000000001</v>
      </c>
      <c r="GJ109">
        <v>28142.6</v>
      </c>
      <c r="GK109">
        <v>34306.699999999997</v>
      </c>
      <c r="GL109">
        <v>35701</v>
      </c>
      <c r="GM109">
        <v>42710</v>
      </c>
      <c r="GN109">
        <v>43792.800000000003</v>
      </c>
      <c r="GO109">
        <v>1.7964500000000001</v>
      </c>
      <c r="GP109">
        <v>1.9798500000000001</v>
      </c>
      <c r="GQ109">
        <v>2.2567799999999999E-2</v>
      </c>
      <c r="GR109">
        <v>0</v>
      </c>
      <c r="GS109">
        <v>27.287400000000002</v>
      </c>
      <c r="GT109">
        <v>999.9</v>
      </c>
      <c r="GU109">
        <v>40.200000000000003</v>
      </c>
      <c r="GV109">
        <v>34.9</v>
      </c>
      <c r="GW109">
        <v>22.705500000000001</v>
      </c>
      <c r="GX109">
        <v>60.802999999999997</v>
      </c>
      <c r="GY109">
        <v>29.347000000000001</v>
      </c>
      <c r="GZ109">
        <v>1</v>
      </c>
      <c r="HA109">
        <v>0.345968</v>
      </c>
      <c r="HB109">
        <v>2.3634900000000001</v>
      </c>
      <c r="HC109">
        <v>20.260300000000001</v>
      </c>
      <c r="HD109">
        <v>5.27494</v>
      </c>
      <c r="HE109">
        <v>12.0878</v>
      </c>
      <c r="HF109">
        <v>5.0136000000000003</v>
      </c>
      <c r="HG109">
        <v>3.2919800000000001</v>
      </c>
      <c r="HH109">
        <v>9999</v>
      </c>
      <c r="HI109">
        <v>9999</v>
      </c>
      <c r="HJ109">
        <v>9999</v>
      </c>
      <c r="HK109">
        <v>999.9</v>
      </c>
      <c r="HL109">
        <v>1.8751500000000001</v>
      </c>
      <c r="HM109">
        <v>1.87561</v>
      </c>
      <c r="HN109">
        <v>1.8754500000000001</v>
      </c>
      <c r="HO109">
        <v>1.8793299999999999</v>
      </c>
      <c r="HP109">
        <v>1.8728100000000001</v>
      </c>
      <c r="HQ109">
        <v>1.8760399999999999</v>
      </c>
      <c r="HR109">
        <v>1.8757600000000001</v>
      </c>
      <c r="HS109">
        <v>1.87714</v>
      </c>
      <c r="HT109">
        <v>0</v>
      </c>
      <c r="HU109">
        <v>0</v>
      </c>
      <c r="HV109">
        <v>0</v>
      </c>
      <c r="HW109">
        <v>0</v>
      </c>
      <c r="HX109" t="s">
        <v>421</v>
      </c>
      <c r="HY109" t="s">
        <v>422</v>
      </c>
      <c r="HZ109" t="s">
        <v>423</v>
      </c>
      <c r="IA109" t="s">
        <v>423</v>
      </c>
      <c r="IB109" t="s">
        <v>423</v>
      </c>
      <c r="IC109" t="s">
        <v>423</v>
      </c>
      <c r="ID109">
        <v>0</v>
      </c>
      <c r="IE109">
        <v>100</v>
      </c>
      <c r="IF109">
        <v>100</v>
      </c>
      <c r="IG109">
        <v>-1.8560000000000001</v>
      </c>
      <c r="IH109">
        <v>5.0000000000000001E-4</v>
      </c>
      <c r="II109">
        <v>-1.3181655630853171</v>
      </c>
      <c r="IJ109">
        <v>-1.5404112972462821E-3</v>
      </c>
      <c r="IK109">
        <v>-5.8697186733976997E-8</v>
      </c>
      <c r="IL109">
        <v>1.160237123038427E-10</v>
      </c>
      <c r="IM109">
        <v>-0.17711195571573279</v>
      </c>
      <c r="IN109">
        <v>-3.128848753924141E-3</v>
      </c>
      <c r="IO109">
        <v>3.6841110403368089E-4</v>
      </c>
      <c r="IP109">
        <v>1.9296040270694169E-6</v>
      </c>
      <c r="IQ109">
        <v>1</v>
      </c>
      <c r="IR109">
        <v>1992</v>
      </c>
      <c r="IS109">
        <v>2</v>
      </c>
      <c r="IT109">
        <v>27</v>
      </c>
      <c r="IU109">
        <v>1.9</v>
      </c>
      <c r="IV109">
        <v>1.8</v>
      </c>
      <c r="IW109">
        <v>1.0400400000000001</v>
      </c>
      <c r="IX109">
        <v>2.6904300000000001</v>
      </c>
      <c r="IY109">
        <v>1.69434</v>
      </c>
      <c r="IZ109">
        <v>2.34741</v>
      </c>
      <c r="JA109">
        <v>1.5466299999999999</v>
      </c>
      <c r="JB109">
        <v>2.3046899999999999</v>
      </c>
      <c r="JC109">
        <v>38.722499999999997</v>
      </c>
      <c r="JD109">
        <v>24.087499999999999</v>
      </c>
      <c r="JE109">
        <v>18</v>
      </c>
      <c r="JF109">
        <v>532.85900000000004</v>
      </c>
      <c r="JG109">
        <v>538.61199999999997</v>
      </c>
      <c r="JH109">
        <v>25.1539</v>
      </c>
      <c r="JI109">
        <v>31.513100000000001</v>
      </c>
      <c r="JJ109">
        <v>30.0001</v>
      </c>
      <c r="JK109">
        <v>31.467700000000001</v>
      </c>
      <c r="JL109">
        <v>31.421900000000001</v>
      </c>
      <c r="JM109">
        <v>20.912500000000001</v>
      </c>
      <c r="JN109">
        <v>22.5563</v>
      </c>
      <c r="JO109">
        <v>35.119399999999999</v>
      </c>
      <c r="JP109">
        <v>25.1568</v>
      </c>
      <c r="JQ109">
        <v>400</v>
      </c>
      <c r="JR109">
        <v>18.1816</v>
      </c>
      <c r="JS109">
        <v>99.508899999999997</v>
      </c>
      <c r="JT109">
        <v>98.626999999999995</v>
      </c>
    </row>
    <row r="110" spans="1:280" x14ac:dyDescent="0.25">
      <c r="A110">
        <v>94</v>
      </c>
      <c r="B110">
        <v>1639689226.5</v>
      </c>
      <c r="C110">
        <v>22624.400000095371</v>
      </c>
      <c r="D110" t="s">
        <v>894</v>
      </c>
      <c r="E110" t="s">
        <v>895</v>
      </c>
      <c r="F110" t="s">
        <v>412</v>
      </c>
      <c r="G110" t="s">
        <v>850</v>
      </c>
      <c r="H110" t="s">
        <v>565</v>
      </c>
      <c r="I110">
        <v>1639689226.5</v>
      </c>
      <c r="J110">
        <f t="shared" si="92"/>
        <v>5.678678353107868E-3</v>
      </c>
      <c r="K110">
        <f t="shared" si="93"/>
        <v>5.6786783531078679</v>
      </c>
      <c r="L110">
        <f t="shared" si="94"/>
        <v>45.713266361676958</v>
      </c>
      <c r="M110">
        <f t="shared" si="95"/>
        <v>442.221</v>
      </c>
      <c r="N110">
        <f t="shared" si="96"/>
        <v>271.61491901107325</v>
      </c>
      <c r="O110">
        <f t="shared" si="97"/>
        <v>27.042063636062913</v>
      </c>
      <c r="P110">
        <f t="shared" si="98"/>
        <v>44.027656752963004</v>
      </c>
      <c r="Q110">
        <f t="shared" si="99"/>
        <v>0.48270504325771113</v>
      </c>
      <c r="R110">
        <f t="shared" si="100"/>
        <v>2.9213760199519609</v>
      </c>
      <c r="S110">
        <f t="shared" si="101"/>
        <v>0.44237479303655097</v>
      </c>
      <c r="T110">
        <f t="shared" si="102"/>
        <v>0.27982641870341701</v>
      </c>
      <c r="U110">
        <f t="shared" si="103"/>
        <v>289.56168284756603</v>
      </c>
      <c r="V110">
        <f t="shared" si="104"/>
        <v>28.223710918044322</v>
      </c>
      <c r="W110">
        <f t="shared" si="105"/>
        <v>27.661200000000001</v>
      </c>
      <c r="X110">
        <f t="shared" si="106"/>
        <v>3.7205309192141991</v>
      </c>
      <c r="Y110">
        <f t="shared" si="107"/>
        <v>65.441308955737028</v>
      </c>
      <c r="Z110">
        <f t="shared" si="108"/>
        <v>2.4823071666081002</v>
      </c>
      <c r="AA110">
        <f t="shared" si="109"/>
        <v>3.793180800046458</v>
      </c>
      <c r="AB110">
        <f t="shared" si="110"/>
        <v>1.2382237526060988</v>
      </c>
      <c r="AC110">
        <f t="shared" si="111"/>
        <v>-250.42971537205699</v>
      </c>
      <c r="AD110">
        <f t="shared" si="112"/>
        <v>52.178830307108299</v>
      </c>
      <c r="AE110">
        <f t="shared" si="113"/>
        <v>3.8865835416423948</v>
      </c>
      <c r="AF110">
        <f t="shared" si="114"/>
        <v>95.197381324259723</v>
      </c>
      <c r="AG110">
        <v>0</v>
      </c>
      <c r="AH110">
        <v>0</v>
      </c>
      <c r="AI110">
        <f t="shared" si="115"/>
        <v>1</v>
      </c>
      <c r="AJ110">
        <f t="shared" si="116"/>
        <v>0</v>
      </c>
      <c r="AK110">
        <f t="shared" si="117"/>
        <v>52456.025905228038</v>
      </c>
      <c r="AL110" t="s">
        <v>415</v>
      </c>
      <c r="AM110">
        <v>10204.299999999999</v>
      </c>
      <c r="AN110">
        <v>862.72538461538477</v>
      </c>
      <c r="AO110">
        <v>3252.56</v>
      </c>
      <c r="AP110">
        <f t="shared" si="118"/>
        <v>0.73475496697512588</v>
      </c>
      <c r="AQ110">
        <v>-6.6684750346205304</v>
      </c>
      <c r="AR110" t="s">
        <v>896</v>
      </c>
      <c r="AS110">
        <v>10072</v>
      </c>
      <c r="AT110">
        <v>698.3044799999999</v>
      </c>
      <c r="AU110">
        <v>1015.921310388442</v>
      </c>
      <c r="AV110">
        <f t="shared" si="119"/>
        <v>0.31263920457284222</v>
      </c>
      <c r="AW110">
        <v>0.5</v>
      </c>
      <c r="AX110">
        <f t="shared" si="120"/>
        <v>1513.1594999210188</v>
      </c>
      <c r="AY110">
        <f t="shared" si="121"/>
        <v>45.713266361676958</v>
      </c>
      <c r="AZ110">
        <f t="shared" si="122"/>
        <v>236.53649122357351</v>
      </c>
      <c r="BA110">
        <f t="shared" si="123"/>
        <v>3.4617461939096053E-2</v>
      </c>
      <c r="BB110">
        <f t="shared" si="124"/>
        <v>2.2015865468521079</v>
      </c>
      <c r="BC110">
        <f t="shared" si="125"/>
        <v>544.6636538058732</v>
      </c>
      <c r="BD110" t="s">
        <v>897</v>
      </c>
      <c r="BE110">
        <v>547.19000000000005</v>
      </c>
      <c r="BF110">
        <f t="shared" si="126"/>
        <v>547.19000000000005</v>
      </c>
      <c r="BG110">
        <f t="shared" si="127"/>
        <v>0.46138544943920945</v>
      </c>
      <c r="BH110">
        <f t="shared" si="128"/>
        <v>0.67760958858334019</v>
      </c>
      <c r="BI110">
        <f t="shared" si="129"/>
        <v>0.82674040505053226</v>
      </c>
      <c r="BJ110">
        <f t="shared" si="130"/>
        <v>2.0732720454913158</v>
      </c>
      <c r="BK110">
        <f t="shared" si="131"/>
        <v>0.9358968504402545</v>
      </c>
      <c r="BL110">
        <f t="shared" si="132"/>
        <v>0.53097352429547362</v>
      </c>
      <c r="BM110">
        <f t="shared" si="133"/>
        <v>0.46902647570452638</v>
      </c>
      <c r="BN110">
        <v>5058</v>
      </c>
      <c r="BO110">
        <v>290.00000000000011</v>
      </c>
      <c r="BP110">
        <v>936.36</v>
      </c>
      <c r="BQ110">
        <v>275</v>
      </c>
      <c r="BR110">
        <v>10072</v>
      </c>
      <c r="BS110">
        <v>937.42</v>
      </c>
      <c r="BT110">
        <v>-1.06</v>
      </c>
      <c r="BU110">
        <v>300.00000000000011</v>
      </c>
      <c r="BV110">
        <v>24.1</v>
      </c>
      <c r="BW110">
        <v>1015.921310388442</v>
      </c>
      <c r="BX110">
        <v>2.619528242101806</v>
      </c>
      <c r="BY110">
        <v>-79.062748163038492</v>
      </c>
      <c r="BZ110">
        <v>2.3512107135565952</v>
      </c>
      <c r="CA110">
        <v>0.97583571049544016</v>
      </c>
      <c r="CB110">
        <v>-6.8636800889877768E-3</v>
      </c>
      <c r="CC110">
        <v>289.99999999999989</v>
      </c>
      <c r="CD110">
        <v>935.84</v>
      </c>
      <c r="CE110">
        <v>645</v>
      </c>
      <c r="CF110">
        <v>10062.700000000001</v>
      </c>
      <c r="CG110">
        <v>937.35</v>
      </c>
      <c r="CH110">
        <v>-1.51</v>
      </c>
      <c r="CV110">
        <f t="shared" si="134"/>
        <v>1799.97</v>
      </c>
      <c r="CW110">
        <f t="shared" si="135"/>
        <v>1513.1594999210188</v>
      </c>
      <c r="CX110">
        <f t="shared" si="136"/>
        <v>0.84065817759241468</v>
      </c>
      <c r="CY110">
        <f t="shared" si="137"/>
        <v>0.16087028275336035</v>
      </c>
      <c r="CZ110">
        <v>6</v>
      </c>
      <c r="DA110">
        <v>0.5</v>
      </c>
      <c r="DB110" t="s">
        <v>418</v>
      </c>
      <c r="DC110">
        <v>2</v>
      </c>
      <c r="DD110">
        <v>1639689226.5</v>
      </c>
      <c r="DE110">
        <v>442.221</v>
      </c>
      <c r="DF110">
        <v>500.072</v>
      </c>
      <c r="DG110">
        <v>24.932700000000001</v>
      </c>
      <c r="DH110">
        <v>18.290299999999998</v>
      </c>
      <c r="DI110">
        <v>444.35300000000001</v>
      </c>
      <c r="DJ110">
        <v>24.9299</v>
      </c>
      <c r="DK110">
        <v>500.15899999999999</v>
      </c>
      <c r="DL110">
        <v>99.4602</v>
      </c>
      <c r="DM110">
        <v>0.100103</v>
      </c>
      <c r="DN110">
        <v>27.9925</v>
      </c>
      <c r="DO110">
        <v>27.661200000000001</v>
      </c>
      <c r="DP110">
        <v>999.9</v>
      </c>
      <c r="DQ110">
        <v>0</v>
      </c>
      <c r="DR110">
        <v>0</v>
      </c>
      <c r="DS110">
        <v>10007.5</v>
      </c>
      <c r="DT110">
        <v>0</v>
      </c>
      <c r="DU110">
        <v>156.726</v>
      </c>
      <c r="DV110">
        <v>-57.851300000000002</v>
      </c>
      <c r="DW110">
        <v>453.529</v>
      </c>
      <c r="DX110">
        <v>509.38900000000001</v>
      </c>
      <c r="DY110">
        <v>6.6423199999999998</v>
      </c>
      <c r="DZ110">
        <v>500.072</v>
      </c>
      <c r="EA110">
        <v>18.290299999999998</v>
      </c>
      <c r="EB110">
        <v>2.4798100000000001</v>
      </c>
      <c r="EC110">
        <v>1.8191600000000001</v>
      </c>
      <c r="ED110">
        <v>20.894600000000001</v>
      </c>
      <c r="EE110">
        <v>15.952400000000001</v>
      </c>
      <c r="EF110">
        <v>1799.97</v>
      </c>
      <c r="EG110">
        <v>0.97799899999999995</v>
      </c>
      <c r="EH110">
        <v>2.2001099999999999E-2</v>
      </c>
      <c r="EI110">
        <v>0</v>
      </c>
      <c r="EJ110">
        <v>698.24300000000005</v>
      </c>
      <c r="EK110">
        <v>5.0001199999999999</v>
      </c>
      <c r="EL110">
        <v>12403</v>
      </c>
      <c r="EM110">
        <v>15629.7</v>
      </c>
      <c r="EN110">
        <v>46.875</v>
      </c>
      <c r="EO110">
        <v>47.436999999999998</v>
      </c>
      <c r="EP110">
        <v>47.561999999999998</v>
      </c>
      <c r="EQ110">
        <v>47.25</v>
      </c>
      <c r="ER110">
        <v>48.375</v>
      </c>
      <c r="ES110">
        <v>1755.48</v>
      </c>
      <c r="ET110">
        <v>39.49</v>
      </c>
      <c r="EU110">
        <v>0</v>
      </c>
      <c r="EV110">
        <v>113.3999998569489</v>
      </c>
      <c r="EW110">
        <v>0</v>
      </c>
      <c r="EX110">
        <v>698.3044799999999</v>
      </c>
      <c r="EY110">
        <v>1.6520000037795759</v>
      </c>
      <c r="EZ110">
        <v>34.884615443566027</v>
      </c>
      <c r="FA110">
        <v>12399.304</v>
      </c>
      <c r="FB110">
        <v>15</v>
      </c>
      <c r="FC110">
        <v>1639689189</v>
      </c>
      <c r="FD110" t="s">
        <v>898</v>
      </c>
      <c r="FE110">
        <v>1639689189</v>
      </c>
      <c r="FF110">
        <v>1639689186</v>
      </c>
      <c r="FG110">
        <v>103</v>
      </c>
      <c r="FH110">
        <v>-0.128</v>
      </c>
      <c r="FI110">
        <v>-1E-3</v>
      </c>
      <c r="FJ110">
        <v>-2.2200000000000002</v>
      </c>
      <c r="FK110">
        <v>-0.10100000000000001</v>
      </c>
      <c r="FL110">
        <v>500</v>
      </c>
      <c r="FM110">
        <v>18</v>
      </c>
      <c r="FN110">
        <v>0.04</v>
      </c>
      <c r="FO110">
        <v>0.01</v>
      </c>
      <c r="FP110">
        <v>45.800812809333102</v>
      </c>
      <c r="FQ110">
        <v>-0.48663803448855519</v>
      </c>
      <c r="FR110">
        <v>6.1441190602674223E-2</v>
      </c>
      <c r="FS110">
        <v>1</v>
      </c>
      <c r="FT110">
        <v>0.47966422053972069</v>
      </c>
      <c r="FU110">
        <v>4.9139174405015813E-2</v>
      </c>
      <c r="FV110">
        <v>5.9226699773588052E-3</v>
      </c>
      <c r="FW110">
        <v>1</v>
      </c>
      <c r="FX110">
        <v>2</v>
      </c>
      <c r="FY110">
        <v>2</v>
      </c>
      <c r="FZ110" t="s">
        <v>420</v>
      </c>
      <c r="GA110">
        <v>2.9207100000000001</v>
      </c>
      <c r="GB110">
        <v>2.7451500000000002</v>
      </c>
      <c r="GC110">
        <v>9.9309700000000001E-2</v>
      </c>
      <c r="GD110">
        <v>0.110106</v>
      </c>
      <c r="GE110">
        <v>0.119853</v>
      </c>
      <c r="GF110">
        <v>9.7672800000000004E-2</v>
      </c>
      <c r="GG110">
        <v>28075</v>
      </c>
      <c r="GH110">
        <v>27387.200000000001</v>
      </c>
      <c r="GI110">
        <v>28378.2</v>
      </c>
      <c r="GJ110">
        <v>28143.3</v>
      </c>
      <c r="GK110">
        <v>34285.599999999999</v>
      </c>
      <c r="GL110">
        <v>35668.699999999997</v>
      </c>
      <c r="GM110">
        <v>42712.5</v>
      </c>
      <c r="GN110">
        <v>43794.1</v>
      </c>
      <c r="GO110">
        <v>1.79678</v>
      </c>
      <c r="GP110">
        <v>1.98055</v>
      </c>
      <c r="GQ110">
        <v>2.52947E-2</v>
      </c>
      <c r="GR110">
        <v>0</v>
      </c>
      <c r="GS110">
        <v>27.247800000000002</v>
      </c>
      <c r="GT110">
        <v>999.9</v>
      </c>
      <c r="GU110">
        <v>40.1</v>
      </c>
      <c r="GV110">
        <v>34.9</v>
      </c>
      <c r="GW110">
        <v>22.6478</v>
      </c>
      <c r="GX110">
        <v>60.552999999999997</v>
      </c>
      <c r="GY110">
        <v>29.110600000000002</v>
      </c>
      <c r="GZ110">
        <v>1</v>
      </c>
      <c r="HA110">
        <v>0.34432200000000002</v>
      </c>
      <c r="HB110">
        <v>2.30098</v>
      </c>
      <c r="HC110">
        <v>20.261399999999998</v>
      </c>
      <c r="HD110">
        <v>5.2758399999999996</v>
      </c>
      <c r="HE110">
        <v>12.0878</v>
      </c>
      <c r="HF110">
        <v>5.0139500000000004</v>
      </c>
      <c r="HG110">
        <v>3.2919800000000001</v>
      </c>
      <c r="HH110">
        <v>9999</v>
      </c>
      <c r="HI110">
        <v>9999</v>
      </c>
      <c r="HJ110">
        <v>9999</v>
      </c>
      <c r="HK110">
        <v>999.9</v>
      </c>
      <c r="HL110">
        <v>1.8751500000000001</v>
      </c>
      <c r="HM110">
        <v>1.87561</v>
      </c>
      <c r="HN110">
        <v>1.87544</v>
      </c>
      <c r="HO110">
        <v>1.87931</v>
      </c>
      <c r="HP110">
        <v>1.8727400000000001</v>
      </c>
      <c r="HQ110">
        <v>1.87595</v>
      </c>
      <c r="HR110">
        <v>1.8757600000000001</v>
      </c>
      <c r="HS110">
        <v>1.87714</v>
      </c>
      <c r="HT110">
        <v>0</v>
      </c>
      <c r="HU110">
        <v>0</v>
      </c>
      <c r="HV110">
        <v>0</v>
      </c>
      <c r="HW110">
        <v>0</v>
      </c>
      <c r="HX110" t="s">
        <v>421</v>
      </c>
      <c r="HY110" t="s">
        <v>422</v>
      </c>
      <c r="HZ110" t="s">
        <v>423</v>
      </c>
      <c r="IA110" t="s">
        <v>423</v>
      </c>
      <c r="IB110" t="s">
        <v>423</v>
      </c>
      <c r="IC110" t="s">
        <v>423</v>
      </c>
      <c r="ID110">
        <v>0</v>
      </c>
      <c r="IE110">
        <v>100</v>
      </c>
      <c r="IF110">
        <v>100</v>
      </c>
      <c r="IG110">
        <v>-2.1320000000000001</v>
      </c>
      <c r="IH110">
        <v>2.8E-3</v>
      </c>
      <c r="II110">
        <v>-1.4462051835694529</v>
      </c>
      <c r="IJ110">
        <v>-1.5404112972462821E-3</v>
      </c>
      <c r="IK110">
        <v>-5.8697186733976997E-8</v>
      </c>
      <c r="IL110">
        <v>1.160237123038427E-10</v>
      </c>
      <c r="IM110">
        <v>-0.17812141276572979</v>
      </c>
      <c r="IN110">
        <v>-3.128848753924141E-3</v>
      </c>
      <c r="IO110">
        <v>3.6841110403368089E-4</v>
      </c>
      <c r="IP110">
        <v>1.9296040270694169E-6</v>
      </c>
      <c r="IQ110">
        <v>1</v>
      </c>
      <c r="IR110">
        <v>1992</v>
      </c>
      <c r="IS110">
        <v>2</v>
      </c>
      <c r="IT110">
        <v>27</v>
      </c>
      <c r="IU110">
        <v>0.6</v>
      </c>
      <c r="IV110">
        <v>0.7</v>
      </c>
      <c r="IW110">
        <v>1.2439</v>
      </c>
      <c r="IX110">
        <v>2.6855500000000001</v>
      </c>
      <c r="IY110">
        <v>1.69434</v>
      </c>
      <c r="IZ110">
        <v>2.34863</v>
      </c>
      <c r="JA110">
        <v>1.5466299999999999</v>
      </c>
      <c r="JB110">
        <v>2.3083499999999999</v>
      </c>
      <c r="JC110">
        <v>38.697899999999997</v>
      </c>
      <c r="JD110">
        <v>24.087499999999999</v>
      </c>
      <c r="JE110">
        <v>18</v>
      </c>
      <c r="JF110">
        <v>533.06299999999999</v>
      </c>
      <c r="JG110">
        <v>539.06200000000001</v>
      </c>
      <c r="JH110">
        <v>25.168900000000001</v>
      </c>
      <c r="JI110">
        <v>31.498100000000001</v>
      </c>
      <c r="JJ110">
        <v>29.9998</v>
      </c>
      <c r="JK110">
        <v>31.460899999999999</v>
      </c>
      <c r="JL110">
        <v>31.413699999999999</v>
      </c>
      <c r="JM110">
        <v>24.994800000000001</v>
      </c>
      <c r="JN110">
        <v>21.379899999999999</v>
      </c>
      <c r="JO110">
        <v>35.251100000000001</v>
      </c>
      <c r="JP110">
        <v>25.169699999999999</v>
      </c>
      <c r="JQ110">
        <v>500</v>
      </c>
      <c r="JR110">
        <v>18.2364</v>
      </c>
      <c r="JS110">
        <v>99.514899999999997</v>
      </c>
      <c r="JT110">
        <v>98.629800000000003</v>
      </c>
    </row>
    <row r="111" spans="1:280" x14ac:dyDescent="0.25">
      <c r="A111">
        <v>95</v>
      </c>
      <c r="B111">
        <v>1639689356</v>
      </c>
      <c r="C111">
        <v>22753.900000095371</v>
      </c>
      <c r="D111" t="s">
        <v>899</v>
      </c>
      <c r="E111" t="s">
        <v>900</v>
      </c>
      <c r="F111" t="s">
        <v>412</v>
      </c>
      <c r="G111" t="s">
        <v>850</v>
      </c>
      <c r="H111" t="s">
        <v>565</v>
      </c>
      <c r="I111">
        <v>1639689356</v>
      </c>
      <c r="J111">
        <f t="shared" si="92"/>
        <v>5.5358694562789804E-3</v>
      </c>
      <c r="K111">
        <f t="shared" si="93"/>
        <v>5.5358694562789807</v>
      </c>
      <c r="L111">
        <f t="shared" si="94"/>
        <v>46.353510477615863</v>
      </c>
      <c r="M111">
        <f t="shared" si="95"/>
        <v>540.85799999999995</v>
      </c>
      <c r="N111">
        <f t="shared" si="96"/>
        <v>361.20928871108077</v>
      </c>
      <c r="O111">
        <f t="shared" si="97"/>
        <v>35.965832718358527</v>
      </c>
      <c r="P111">
        <f t="shared" si="98"/>
        <v>53.853566229702601</v>
      </c>
      <c r="Q111">
        <f t="shared" si="99"/>
        <v>0.4679504590273687</v>
      </c>
      <c r="R111">
        <f t="shared" si="100"/>
        <v>2.9289962934588933</v>
      </c>
      <c r="S111">
        <f t="shared" si="101"/>
        <v>0.43003442847412243</v>
      </c>
      <c r="T111">
        <f t="shared" si="102"/>
        <v>0.27192164921569906</v>
      </c>
      <c r="U111">
        <f t="shared" si="103"/>
        <v>289.56327884756695</v>
      </c>
      <c r="V111">
        <f t="shared" si="104"/>
        <v>28.270379410241016</v>
      </c>
      <c r="W111">
        <f t="shared" si="105"/>
        <v>27.6692</v>
      </c>
      <c r="X111">
        <f t="shared" si="106"/>
        <v>3.7222708070534369</v>
      </c>
      <c r="Y111">
        <f t="shared" si="107"/>
        <v>65.352898857732626</v>
      </c>
      <c r="Z111">
        <f t="shared" si="108"/>
        <v>2.4804136644086703</v>
      </c>
      <c r="AA111">
        <f t="shared" si="109"/>
        <v>3.7954149054784971</v>
      </c>
      <c r="AB111">
        <f t="shared" si="110"/>
        <v>1.2418571426447667</v>
      </c>
      <c r="AC111">
        <f t="shared" si="111"/>
        <v>-244.13184302190302</v>
      </c>
      <c r="AD111">
        <f t="shared" si="112"/>
        <v>52.646543260863652</v>
      </c>
      <c r="AE111">
        <f t="shared" si="113"/>
        <v>3.9115723141283194</v>
      </c>
      <c r="AF111">
        <f t="shared" si="114"/>
        <v>101.98955140065588</v>
      </c>
      <c r="AG111">
        <v>0</v>
      </c>
      <c r="AH111">
        <v>0</v>
      </c>
      <c r="AI111">
        <f t="shared" si="115"/>
        <v>1</v>
      </c>
      <c r="AJ111">
        <f t="shared" si="116"/>
        <v>0</v>
      </c>
      <c r="AK111">
        <f t="shared" si="117"/>
        <v>52673.523691687762</v>
      </c>
      <c r="AL111" t="s">
        <v>415</v>
      </c>
      <c r="AM111">
        <v>10204.299999999999</v>
      </c>
      <c r="AN111">
        <v>862.72538461538477</v>
      </c>
      <c r="AO111">
        <v>3252.56</v>
      </c>
      <c r="AP111">
        <f t="shared" si="118"/>
        <v>0.73475496697512588</v>
      </c>
      <c r="AQ111">
        <v>-6.6684750346205304</v>
      </c>
      <c r="AR111" t="s">
        <v>901</v>
      </c>
      <c r="AS111">
        <v>10073.4</v>
      </c>
      <c r="AT111">
        <v>700.76473076923071</v>
      </c>
      <c r="AU111">
        <v>1027.880358091071</v>
      </c>
      <c r="AV111">
        <f t="shared" si="119"/>
        <v>0.31824290127436949</v>
      </c>
      <c r="AW111">
        <v>0.5</v>
      </c>
      <c r="AX111">
        <f t="shared" si="120"/>
        <v>1513.1678999210192</v>
      </c>
      <c r="AY111">
        <f t="shared" si="121"/>
        <v>46.353510477615863</v>
      </c>
      <c r="AZ111">
        <f t="shared" si="122"/>
        <v>240.77747129305496</v>
      </c>
      <c r="BA111">
        <f t="shared" si="123"/>
        <v>3.5040384821145035E-2</v>
      </c>
      <c r="BB111">
        <f t="shared" si="124"/>
        <v>2.1643371472147739</v>
      </c>
      <c r="BC111">
        <f t="shared" si="125"/>
        <v>548.08241070887368</v>
      </c>
      <c r="BD111" t="s">
        <v>902</v>
      </c>
      <c r="BE111">
        <v>546.42999999999995</v>
      </c>
      <c r="BF111">
        <f t="shared" si="126"/>
        <v>546.42999999999995</v>
      </c>
      <c r="BG111">
        <f t="shared" si="127"/>
        <v>0.46839143709798781</v>
      </c>
      <c r="BH111">
        <f t="shared" si="128"/>
        <v>0.67943791467689207</v>
      </c>
      <c r="BI111">
        <f t="shared" si="129"/>
        <v>0.82208897647523538</v>
      </c>
      <c r="BJ111">
        <f t="shared" si="130"/>
        <v>1.9806586531285875</v>
      </c>
      <c r="BK111">
        <f t="shared" si="131"/>
        <v>0.93089271851177591</v>
      </c>
      <c r="BL111">
        <f t="shared" si="132"/>
        <v>0.52980015034340489</v>
      </c>
      <c r="BM111">
        <f t="shared" si="133"/>
        <v>0.47019984965659511</v>
      </c>
      <c r="BN111">
        <v>5060</v>
      </c>
      <c r="BO111">
        <v>290.00000000000011</v>
      </c>
      <c r="BP111">
        <v>943.83</v>
      </c>
      <c r="BQ111">
        <v>255</v>
      </c>
      <c r="BR111">
        <v>10073.4</v>
      </c>
      <c r="BS111">
        <v>945.45</v>
      </c>
      <c r="BT111">
        <v>-1.62</v>
      </c>
      <c r="BU111">
        <v>300.00000000000011</v>
      </c>
      <c r="BV111">
        <v>24.1</v>
      </c>
      <c r="BW111">
        <v>1027.880358091071</v>
      </c>
      <c r="BX111">
        <v>2.2329215106733109</v>
      </c>
      <c r="BY111">
        <v>-83.036740224165683</v>
      </c>
      <c r="BZ111">
        <v>2.004218600400971</v>
      </c>
      <c r="CA111">
        <v>0.983949795713703</v>
      </c>
      <c r="CB111">
        <v>-6.8637239154616166E-3</v>
      </c>
      <c r="CC111">
        <v>289.99999999999989</v>
      </c>
      <c r="CD111">
        <v>943.46</v>
      </c>
      <c r="CE111">
        <v>655</v>
      </c>
      <c r="CF111">
        <v>10062.4</v>
      </c>
      <c r="CG111">
        <v>945.36</v>
      </c>
      <c r="CH111">
        <v>-1.9</v>
      </c>
      <c r="CV111">
        <f t="shared" si="134"/>
        <v>1799.98</v>
      </c>
      <c r="CW111">
        <f t="shared" si="135"/>
        <v>1513.1678999210192</v>
      </c>
      <c r="CX111">
        <f t="shared" si="136"/>
        <v>0.8406581739358322</v>
      </c>
      <c r="CY111">
        <f t="shared" si="137"/>
        <v>0.16087027569615603</v>
      </c>
      <c r="CZ111">
        <v>6</v>
      </c>
      <c r="DA111">
        <v>0.5</v>
      </c>
      <c r="DB111" t="s">
        <v>418</v>
      </c>
      <c r="DC111">
        <v>2</v>
      </c>
      <c r="DD111">
        <v>1639689356</v>
      </c>
      <c r="DE111">
        <v>540.85799999999995</v>
      </c>
      <c r="DF111">
        <v>600.05999999999995</v>
      </c>
      <c r="DG111">
        <v>24.911100000000001</v>
      </c>
      <c r="DH111">
        <v>18.435199999999998</v>
      </c>
      <c r="DI111">
        <v>543.20500000000004</v>
      </c>
      <c r="DJ111">
        <v>24.905999999999999</v>
      </c>
      <c r="DK111">
        <v>500.12799999999999</v>
      </c>
      <c r="DL111">
        <v>99.471100000000007</v>
      </c>
      <c r="DM111">
        <v>9.9519700000000003E-2</v>
      </c>
      <c r="DN111">
        <v>28.002600000000001</v>
      </c>
      <c r="DO111">
        <v>27.6692</v>
      </c>
      <c r="DP111">
        <v>999.9</v>
      </c>
      <c r="DQ111">
        <v>0</v>
      </c>
      <c r="DR111">
        <v>0</v>
      </c>
      <c r="DS111">
        <v>10050</v>
      </c>
      <c r="DT111">
        <v>0</v>
      </c>
      <c r="DU111">
        <v>151.77199999999999</v>
      </c>
      <c r="DV111">
        <v>-59.201700000000002</v>
      </c>
      <c r="DW111">
        <v>554.67600000000004</v>
      </c>
      <c r="DX111">
        <v>611.33000000000004</v>
      </c>
      <c r="DY111">
        <v>6.4759000000000002</v>
      </c>
      <c r="DZ111">
        <v>600.05999999999995</v>
      </c>
      <c r="EA111">
        <v>18.435199999999998</v>
      </c>
      <c r="EB111">
        <v>2.4779300000000002</v>
      </c>
      <c r="EC111">
        <v>1.8337699999999999</v>
      </c>
      <c r="ED111">
        <v>20.882300000000001</v>
      </c>
      <c r="EE111">
        <v>16.0777</v>
      </c>
      <c r="EF111">
        <v>1799.98</v>
      </c>
      <c r="EG111">
        <v>0.97799899999999995</v>
      </c>
      <c r="EH111">
        <v>2.2001099999999999E-2</v>
      </c>
      <c r="EI111">
        <v>0</v>
      </c>
      <c r="EJ111">
        <v>701.053</v>
      </c>
      <c r="EK111">
        <v>5.0001199999999999</v>
      </c>
      <c r="EL111">
        <v>12442.9</v>
      </c>
      <c r="EM111">
        <v>15629.8</v>
      </c>
      <c r="EN111">
        <v>46.811999999999998</v>
      </c>
      <c r="EO111">
        <v>47.375</v>
      </c>
      <c r="EP111">
        <v>47.5</v>
      </c>
      <c r="EQ111">
        <v>47.186999999999998</v>
      </c>
      <c r="ER111">
        <v>48.375</v>
      </c>
      <c r="ES111">
        <v>1755.49</v>
      </c>
      <c r="ET111">
        <v>39.49</v>
      </c>
      <c r="EU111">
        <v>0</v>
      </c>
      <c r="EV111">
        <v>127.3999998569489</v>
      </c>
      <c r="EW111">
        <v>0</v>
      </c>
      <c r="EX111">
        <v>700.76473076923071</v>
      </c>
      <c r="EY111">
        <v>1.7692649629571811</v>
      </c>
      <c r="EZ111">
        <v>17.699145286962711</v>
      </c>
      <c r="FA111">
        <v>12441.18076923077</v>
      </c>
      <c r="FB111">
        <v>15</v>
      </c>
      <c r="FC111">
        <v>1639689315.5</v>
      </c>
      <c r="FD111" t="s">
        <v>903</v>
      </c>
      <c r="FE111">
        <v>1639689311</v>
      </c>
      <c r="FF111">
        <v>1639689315.5</v>
      </c>
      <c r="FG111">
        <v>104</v>
      </c>
      <c r="FH111">
        <v>-6.5000000000000002E-2</v>
      </c>
      <c r="FI111">
        <v>3.0000000000000001E-3</v>
      </c>
      <c r="FJ111">
        <v>-2.4350000000000001</v>
      </c>
      <c r="FK111">
        <v>-9.8000000000000004E-2</v>
      </c>
      <c r="FL111">
        <v>600</v>
      </c>
      <c r="FM111">
        <v>18</v>
      </c>
      <c r="FN111">
        <v>0.05</v>
      </c>
      <c r="FO111">
        <v>0.01</v>
      </c>
      <c r="FP111">
        <v>46.438360064833041</v>
      </c>
      <c r="FQ111">
        <v>-0.57148254096281614</v>
      </c>
      <c r="FR111">
        <v>6.8398957609478811E-2</v>
      </c>
      <c r="FS111">
        <v>1</v>
      </c>
      <c r="FT111">
        <v>0.46574559547129868</v>
      </c>
      <c r="FU111">
        <v>1.9816876113265412E-2</v>
      </c>
      <c r="FV111">
        <v>2.2357815279732121E-3</v>
      </c>
      <c r="FW111">
        <v>1</v>
      </c>
      <c r="FX111">
        <v>2</v>
      </c>
      <c r="FY111">
        <v>2</v>
      </c>
      <c r="FZ111" t="s">
        <v>420</v>
      </c>
      <c r="GA111">
        <v>2.9207299999999998</v>
      </c>
      <c r="GB111">
        <v>2.7449300000000001</v>
      </c>
      <c r="GC111">
        <v>0.11515300000000001</v>
      </c>
      <c r="GD111">
        <v>0.12548000000000001</v>
      </c>
      <c r="GE111">
        <v>0.119797</v>
      </c>
      <c r="GF111">
        <v>9.8244100000000001E-2</v>
      </c>
      <c r="GG111">
        <v>27584</v>
      </c>
      <c r="GH111">
        <v>26917.200000000001</v>
      </c>
      <c r="GI111">
        <v>28380.799999999999</v>
      </c>
      <c r="GJ111">
        <v>28146.5</v>
      </c>
      <c r="GK111">
        <v>34291.199999999997</v>
      </c>
      <c r="GL111">
        <v>35649.9</v>
      </c>
      <c r="GM111">
        <v>42717</v>
      </c>
      <c r="GN111">
        <v>43799</v>
      </c>
      <c r="GO111">
        <v>1.79735</v>
      </c>
      <c r="GP111">
        <v>1.9822</v>
      </c>
      <c r="GQ111">
        <v>3.0852899999999999E-2</v>
      </c>
      <c r="GR111">
        <v>0</v>
      </c>
      <c r="GS111">
        <v>27.164999999999999</v>
      </c>
      <c r="GT111">
        <v>999.9</v>
      </c>
      <c r="GU111">
        <v>39.799999999999997</v>
      </c>
      <c r="GV111">
        <v>34.9</v>
      </c>
      <c r="GW111">
        <v>22.476500000000001</v>
      </c>
      <c r="GX111">
        <v>60.753</v>
      </c>
      <c r="GY111">
        <v>28.914300000000001</v>
      </c>
      <c r="GZ111">
        <v>1</v>
      </c>
      <c r="HA111">
        <v>0.338445</v>
      </c>
      <c r="HB111">
        <v>2.3415699999999999</v>
      </c>
      <c r="HC111">
        <v>20.2606</v>
      </c>
      <c r="HD111">
        <v>5.2758399999999996</v>
      </c>
      <c r="HE111">
        <v>12.0878</v>
      </c>
      <c r="HF111">
        <v>5.01335</v>
      </c>
      <c r="HG111">
        <v>3.2918500000000002</v>
      </c>
      <c r="HH111">
        <v>9999</v>
      </c>
      <c r="HI111">
        <v>9999</v>
      </c>
      <c r="HJ111">
        <v>9999</v>
      </c>
      <c r="HK111">
        <v>999.9</v>
      </c>
      <c r="HL111">
        <v>1.8751500000000001</v>
      </c>
      <c r="HM111">
        <v>1.87561</v>
      </c>
      <c r="HN111">
        <v>1.87541</v>
      </c>
      <c r="HO111">
        <v>1.8792899999999999</v>
      </c>
      <c r="HP111">
        <v>1.8727199999999999</v>
      </c>
      <c r="HQ111">
        <v>1.8759600000000001</v>
      </c>
      <c r="HR111">
        <v>1.8757600000000001</v>
      </c>
      <c r="HS111">
        <v>1.87714</v>
      </c>
      <c r="HT111">
        <v>0</v>
      </c>
      <c r="HU111">
        <v>0</v>
      </c>
      <c r="HV111">
        <v>0</v>
      </c>
      <c r="HW111">
        <v>0</v>
      </c>
      <c r="HX111" t="s">
        <v>421</v>
      </c>
      <c r="HY111" t="s">
        <v>422</v>
      </c>
      <c r="HZ111" t="s">
        <v>423</v>
      </c>
      <c r="IA111" t="s">
        <v>423</v>
      </c>
      <c r="IB111" t="s">
        <v>423</v>
      </c>
      <c r="IC111" t="s">
        <v>423</v>
      </c>
      <c r="ID111">
        <v>0</v>
      </c>
      <c r="IE111">
        <v>100</v>
      </c>
      <c r="IF111">
        <v>100</v>
      </c>
      <c r="IG111">
        <v>-2.347</v>
      </c>
      <c r="IH111">
        <v>5.1000000000000004E-3</v>
      </c>
      <c r="II111">
        <v>-1.5111937597593039</v>
      </c>
      <c r="IJ111">
        <v>-1.5404112972462821E-3</v>
      </c>
      <c r="IK111">
        <v>-5.8697186733976997E-8</v>
      </c>
      <c r="IL111">
        <v>1.160237123038427E-10</v>
      </c>
      <c r="IM111">
        <v>-0.17532309745282579</v>
      </c>
      <c r="IN111">
        <v>-3.128848753924141E-3</v>
      </c>
      <c r="IO111">
        <v>3.6841110403368089E-4</v>
      </c>
      <c r="IP111">
        <v>1.9296040270694169E-6</v>
      </c>
      <c r="IQ111">
        <v>1</v>
      </c>
      <c r="IR111">
        <v>1992</v>
      </c>
      <c r="IS111">
        <v>2</v>
      </c>
      <c r="IT111">
        <v>27</v>
      </c>
      <c r="IU111">
        <v>0.8</v>
      </c>
      <c r="IV111">
        <v>0.7</v>
      </c>
      <c r="IW111">
        <v>1.4428700000000001</v>
      </c>
      <c r="IX111">
        <v>2.67334</v>
      </c>
      <c r="IY111">
        <v>1.69434</v>
      </c>
      <c r="IZ111">
        <v>2.34741</v>
      </c>
      <c r="JA111">
        <v>1.5466299999999999</v>
      </c>
      <c r="JB111">
        <v>2.48291</v>
      </c>
      <c r="JC111">
        <v>38.673299999999998</v>
      </c>
      <c r="JD111">
        <v>24.096299999999999</v>
      </c>
      <c r="JE111">
        <v>18</v>
      </c>
      <c r="JF111">
        <v>533.14700000000005</v>
      </c>
      <c r="JG111">
        <v>539.94899999999996</v>
      </c>
      <c r="JH111">
        <v>25.179400000000001</v>
      </c>
      <c r="JI111">
        <v>31.442599999999999</v>
      </c>
      <c r="JJ111">
        <v>29.9999</v>
      </c>
      <c r="JK111">
        <v>31.4209</v>
      </c>
      <c r="JL111">
        <v>31.375299999999999</v>
      </c>
      <c r="JM111">
        <v>28.9496</v>
      </c>
      <c r="JN111">
        <v>19.4696</v>
      </c>
      <c r="JO111">
        <v>35.1432</v>
      </c>
      <c r="JP111">
        <v>25.177399999999999</v>
      </c>
      <c r="JQ111">
        <v>600</v>
      </c>
      <c r="JR111">
        <v>18.338799999999999</v>
      </c>
      <c r="JS111">
        <v>99.524900000000002</v>
      </c>
      <c r="JT111">
        <v>98.640799999999999</v>
      </c>
    </row>
    <row r="112" spans="1:280" x14ac:dyDescent="0.25">
      <c r="A112">
        <v>96</v>
      </c>
      <c r="B112">
        <v>1639689482</v>
      </c>
      <c r="C112">
        <v>22879.900000095371</v>
      </c>
      <c r="D112" t="s">
        <v>904</v>
      </c>
      <c r="E112" t="s">
        <v>905</v>
      </c>
      <c r="F112" t="s">
        <v>412</v>
      </c>
      <c r="G112" t="s">
        <v>850</v>
      </c>
      <c r="H112" t="s">
        <v>565</v>
      </c>
      <c r="I112">
        <v>1639689482</v>
      </c>
      <c r="J112">
        <f t="shared" si="92"/>
        <v>5.4558729226927387E-3</v>
      </c>
      <c r="K112">
        <f t="shared" si="93"/>
        <v>5.4558729226927385</v>
      </c>
      <c r="L112">
        <f t="shared" si="94"/>
        <v>46.655470710157495</v>
      </c>
      <c r="M112">
        <f t="shared" si="95"/>
        <v>739.29399999999998</v>
      </c>
      <c r="N112">
        <f t="shared" si="96"/>
        <v>551.16175533875992</v>
      </c>
      <c r="O112">
        <f t="shared" si="97"/>
        <v>54.877843821117672</v>
      </c>
      <c r="P112">
        <f t="shared" si="98"/>
        <v>73.609716706401997</v>
      </c>
      <c r="Q112">
        <f t="shared" si="99"/>
        <v>0.4584492775625395</v>
      </c>
      <c r="R112">
        <f t="shared" si="100"/>
        <v>2.9171232964625879</v>
      </c>
      <c r="S112">
        <f t="shared" si="101"/>
        <v>0.42185737899838666</v>
      </c>
      <c r="T112">
        <f t="shared" si="102"/>
        <v>0.26670469013565035</v>
      </c>
      <c r="U112">
        <f t="shared" si="103"/>
        <v>289.59519884758384</v>
      </c>
      <c r="V112">
        <f t="shared" si="104"/>
        <v>28.279957270811718</v>
      </c>
      <c r="W112">
        <f t="shared" si="105"/>
        <v>27.7043</v>
      </c>
      <c r="X112">
        <f t="shared" si="106"/>
        <v>3.7299129590280891</v>
      </c>
      <c r="Y112">
        <f t="shared" si="107"/>
        <v>65.452364229337888</v>
      </c>
      <c r="Z112">
        <f t="shared" si="108"/>
        <v>2.4823791523228</v>
      </c>
      <c r="AA112">
        <f t="shared" si="109"/>
        <v>3.7926500922484885</v>
      </c>
      <c r="AB112">
        <f t="shared" si="110"/>
        <v>1.247533806705289</v>
      </c>
      <c r="AC112">
        <f t="shared" si="111"/>
        <v>-240.60399589074979</v>
      </c>
      <c r="AD112">
        <f t="shared" si="112"/>
        <v>44.947180441211351</v>
      </c>
      <c r="AE112">
        <f t="shared" si="113"/>
        <v>3.3534890697246218</v>
      </c>
      <c r="AF112">
        <f t="shared" si="114"/>
        <v>97.29187246777002</v>
      </c>
      <c r="AG112">
        <v>0</v>
      </c>
      <c r="AH112">
        <v>0</v>
      </c>
      <c r="AI112">
        <f t="shared" si="115"/>
        <v>1</v>
      </c>
      <c r="AJ112">
        <f t="shared" si="116"/>
        <v>0</v>
      </c>
      <c r="AK112">
        <f t="shared" si="117"/>
        <v>52334.523471823224</v>
      </c>
      <c r="AL112" t="s">
        <v>415</v>
      </c>
      <c r="AM112">
        <v>10204.299999999999</v>
      </c>
      <c r="AN112">
        <v>862.72538461538477</v>
      </c>
      <c r="AO112">
        <v>3252.56</v>
      </c>
      <c r="AP112">
        <f t="shared" si="118"/>
        <v>0.73475496697512588</v>
      </c>
      <c r="AQ112">
        <v>-6.6684750346205304</v>
      </c>
      <c r="AR112" t="s">
        <v>906</v>
      </c>
      <c r="AS112">
        <v>10072.299999999999</v>
      </c>
      <c r="AT112">
        <v>702.91016000000002</v>
      </c>
      <c r="AU112">
        <v>1035.6325248195581</v>
      </c>
      <c r="AV112">
        <f t="shared" si="119"/>
        <v>0.32127454173721459</v>
      </c>
      <c r="AW112">
        <v>0.5</v>
      </c>
      <c r="AX112">
        <f t="shared" si="120"/>
        <v>1513.3358999210279</v>
      </c>
      <c r="AY112">
        <f t="shared" si="121"/>
        <v>46.655470710157495</v>
      </c>
      <c r="AZ112">
        <f t="shared" si="122"/>
        <v>243.09814887080174</v>
      </c>
      <c r="BA112">
        <f t="shared" si="123"/>
        <v>3.5236027736843277E-2</v>
      </c>
      <c r="BB112">
        <f t="shared" si="124"/>
        <v>2.1406506864649746</v>
      </c>
      <c r="BC112">
        <f t="shared" si="125"/>
        <v>550.27877047322056</v>
      </c>
      <c r="BD112" t="s">
        <v>907</v>
      </c>
      <c r="BE112">
        <v>549.07000000000005</v>
      </c>
      <c r="BF112">
        <f t="shared" si="126"/>
        <v>549.07000000000005</v>
      </c>
      <c r="BG112">
        <f t="shared" si="127"/>
        <v>0.46982159516893651</v>
      </c>
      <c r="BH112">
        <f t="shared" si="128"/>
        <v>0.68382242332154186</v>
      </c>
      <c r="BI112">
        <f t="shared" si="129"/>
        <v>0.82002429274028832</v>
      </c>
      <c r="BJ112">
        <f t="shared" si="130"/>
        <v>1.924283545645777</v>
      </c>
      <c r="BK112">
        <f t="shared" si="131"/>
        <v>0.92764890963957103</v>
      </c>
      <c r="BL112">
        <f t="shared" si="132"/>
        <v>0.53415983910825671</v>
      </c>
      <c r="BM112">
        <f t="shared" si="133"/>
        <v>0.46584016089174329</v>
      </c>
      <c r="BN112">
        <v>5062</v>
      </c>
      <c r="BO112">
        <v>290.00000000000011</v>
      </c>
      <c r="BP112">
        <v>950.27</v>
      </c>
      <c r="BQ112">
        <v>265</v>
      </c>
      <c r="BR112">
        <v>10072.299999999999</v>
      </c>
      <c r="BS112">
        <v>950.88</v>
      </c>
      <c r="BT112">
        <v>-0.61</v>
      </c>
      <c r="BU112">
        <v>300.00000000000011</v>
      </c>
      <c r="BV112">
        <v>24.1</v>
      </c>
      <c r="BW112">
        <v>1035.6325248195581</v>
      </c>
      <c r="BX112">
        <v>1.878046851304314</v>
      </c>
      <c r="BY112">
        <v>-85.36398254879073</v>
      </c>
      <c r="BZ112">
        <v>1.6856256206083859</v>
      </c>
      <c r="CA112">
        <v>0.98920021415395787</v>
      </c>
      <c r="CB112">
        <v>-6.8636062291435006E-3</v>
      </c>
      <c r="CC112">
        <v>289.99999999999989</v>
      </c>
      <c r="CD112">
        <v>948.59</v>
      </c>
      <c r="CE112">
        <v>665</v>
      </c>
      <c r="CF112">
        <v>10061.5</v>
      </c>
      <c r="CG112">
        <v>950.79</v>
      </c>
      <c r="CH112">
        <v>-2.2000000000000002</v>
      </c>
      <c r="CV112">
        <f t="shared" si="134"/>
        <v>1800.18</v>
      </c>
      <c r="CW112">
        <f t="shared" si="135"/>
        <v>1513.3358999210279</v>
      </c>
      <c r="CX112">
        <f t="shared" si="136"/>
        <v>0.84065810081271197</v>
      </c>
      <c r="CY112">
        <f t="shared" si="137"/>
        <v>0.16087013456853416</v>
      </c>
      <c r="CZ112">
        <v>6</v>
      </c>
      <c r="DA112">
        <v>0.5</v>
      </c>
      <c r="DB112" t="s">
        <v>418</v>
      </c>
      <c r="DC112">
        <v>2</v>
      </c>
      <c r="DD112">
        <v>1639689482</v>
      </c>
      <c r="DE112">
        <v>739.29399999999998</v>
      </c>
      <c r="DF112">
        <v>800.11199999999997</v>
      </c>
      <c r="DG112">
        <v>24.9316</v>
      </c>
      <c r="DH112">
        <v>18.5487</v>
      </c>
      <c r="DI112">
        <v>741.81899999999996</v>
      </c>
      <c r="DJ112">
        <v>24.923300000000001</v>
      </c>
      <c r="DK112">
        <v>500.072</v>
      </c>
      <c r="DL112">
        <v>99.467399999999998</v>
      </c>
      <c r="DM112">
        <v>0.10018299999999999</v>
      </c>
      <c r="DN112">
        <v>27.990100000000002</v>
      </c>
      <c r="DO112">
        <v>27.7043</v>
      </c>
      <c r="DP112">
        <v>999.9</v>
      </c>
      <c r="DQ112">
        <v>0</v>
      </c>
      <c r="DR112">
        <v>0</v>
      </c>
      <c r="DS112">
        <v>9982.5</v>
      </c>
      <c r="DT112">
        <v>0</v>
      </c>
      <c r="DU112">
        <v>146.161</v>
      </c>
      <c r="DV112">
        <v>-60.818100000000001</v>
      </c>
      <c r="DW112">
        <v>758.197</v>
      </c>
      <c r="DX112">
        <v>815.23400000000004</v>
      </c>
      <c r="DY112">
        <v>6.3828300000000002</v>
      </c>
      <c r="DZ112">
        <v>800.11199999999997</v>
      </c>
      <c r="EA112">
        <v>18.5487</v>
      </c>
      <c r="EB112">
        <v>2.4798800000000001</v>
      </c>
      <c r="EC112">
        <v>1.8449899999999999</v>
      </c>
      <c r="ED112">
        <v>20.895</v>
      </c>
      <c r="EE112">
        <v>16.173300000000001</v>
      </c>
      <c r="EF112">
        <v>1800.18</v>
      </c>
      <c r="EG112">
        <v>0.97800200000000004</v>
      </c>
      <c r="EH112">
        <v>2.1997800000000001E-2</v>
      </c>
      <c r="EI112">
        <v>0</v>
      </c>
      <c r="EJ112">
        <v>702.84100000000001</v>
      </c>
      <c r="EK112">
        <v>5.0001199999999999</v>
      </c>
      <c r="EL112">
        <v>12483.9</v>
      </c>
      <c r="EM112">
        <v>15631.5</v>
      </c>
      <c r="EN112">
        <v>46.875</v>
      </c>
      <c r="EO112">
        <v>47.436999999999998</v>
      </c>
      <c r="EP112">
        <v>47.561999999999998</v>
      </c>
      <c r="EQ112">
        <v>47.375</v>
      </c>
      <c r="ER112">
        <v>48.436999999999998</v>
      </c>
      <c r="ES112">
        <v>1755.69</v>
      </c>
      <c r="ET112">
        <v>39.49</v>
      </c>
      <c r="EU112">
        <v>0</v>
      </c>
      <c r="EV112">
        <v>123.7999999523163</v>
      </c>
      <c r="EW112">
        <v>0</v>
      </c>
      <c r="EX112">
        <v>702.91016000000002</v>
      </c>
      <c r="EY112">
        <v>-0.47938461032846358</v>
      </c>
      <c r="EZ112">
        <v>12.292307682844919</v>
      </c>
      <c r="FA112">
        <v>12481.407999999999</v>
      </c>
      <c r="FB112">
        <v>15</v>
      </c>
      <c r="FC112">
        <v>1639689440</v>
      </c>
      <c r="FD112" t="s">
        <v>908</v>
      </c>
      <c r="FE112">
        <v>1639689427.5</v>
      </c>
      <c r="FF112">
        <v>1639689440</v>
      </c>
      <c r="FG112">
        <v>105</v>
      </c>
      <c r="FH112">
        <v>0.114</v>
      </c>
      <c r="FI112">
        <v>3.0000000000000001E-3</v>
      </c>
      <c r="FJ112">
        <v>-2.6120000000000001</v>
      </c>
      <c r="FK112">
        <v>-9.2999999999999999E-2</v>
      </c>
      <c r="FL112">
        <v>800</v>
      </c>
      <c r="FM112">
        <v>18</v>
      </c>
      <c r="FN112">
        <v>0.04</v>
      </c>
      <c r="FO112">
        <v>0.02</v>
      </c>
      <c r="FP112">
        <v>46.590036253454223</v>
      </c>
      <c r="FQ112">
        <v>-0.56316293560860475</v>
      </c>
      <c r="FR112">
        <v>7.0985597986369983E-2</v>
      </c>
      <c r="FS112">
        <v>1</v>
      </c>
      <c r="FT112">
        <v>0.45968590979204482</v>
      </c>
      <c r="FU112">
        <v>1.005333738039596E-2</v>
      </c>
      <c r="FV112">
        <v>1.794782456725919E-3</v>
      </c>
      <c r="FW112">
        <v>1</v>
      </c>
      <c r="FX112">
        <v>2</v>
      </c>
      <c r="FY112">
        <v>2</v>
      </c>
      <c r="FZ112" t="s">
        <v>420</v>
      </c>
      <c r="GA112">
        <v>2.9205999999999999</v>
      </c>
      <c r="GB112">
        <v>2.7450100000000002</v>
      </c>
      <c r="GC112">
        <v>0.143125</v>
      </c>
      <c r="GD112">
        <v>0.15271899999999999</v>
      </c>
      <c r="GE112">
        <v>0.119854</v>
      </c>
      <c r="GF112">
        <v>9.8674499999999998E-2</v>
      </c>
      <c r="GG112">
        <v>26711</v>
      </c>
      <c r="GH112">
        <v>26078.9</v>
      </c>
      <c r="GI112">
        <v>28380</v>
      </c>
      <c r="GJ112">
        <v>28146.9</v>
      </c>
      <c r="GK112">
        <v>34287</v>
      </c>
      <c r="GL112">
        <v>35633.1</v>
      </c>
      <c r="GM112">
        <v>42714.8</v>
      </c>
      <c r="GN112">
        <v>43799.5</v>
      </c>
      <c r="GO112">
        <v>1.7974000000000001</v>
      </c>
      <c r="GP112">
        <v>1.98305</v>
      </c>
      <c r="GQ112">
        <v>2.5860999999999999E-2</v>
      </c>
      <c r="GR112">
        <v>0</v>
      </c>
      <c r="GS112">
        <v>27.281700000000001</v>
      </c>
      <c r="GT112">
        <v>999.9</v>
      </c>
      <c r="GU112">
        <v>39.799999999999997</v>
      </c>
      <c r="GV112">
        <v>34.9</v>
      </c>
      <c r="GW112">
        <v>22.476099999999999</v>
      </c>
      <c r="GX112">
        <v>61.082999999999998</v>
      </c>
      <c r="GY112">
        <v>28.874199999999998</v>
      </c>
      <c r="GZ112">
        <v>1</v>
      </c>
      <c r="HA112">
        <v>0.33863100000000002</v>
      </c>
      <c r="HB112">
        <v>2.2920099999999999</v>
      </c>
      <c r="HC112">
        <v>20.261600000000001</v>
      </c>
      <c r="HD112">
        <v>5.2731500000000002</v>
      </c>
      <c r="HE112">
        <v>12.0878</v>
      </c>
      <c r="HF112">
        <v>5.0136000000000003</v>
      </c>
      <c r="HG112">
        <v>3.2918500000000002</v>
      </c>
      <c r="HH112">
        <v>9999</v>
      </c>
      <c r="HI112">
        <v>9999</v>
      </c>
      <c r="HJ112">
        <v>9999</v>
      </c>
      <c r="HK112">
        <v>999.9</v>
      </c>
      <c r="HL112">
        <v>1.8751500000000001</v>
      </c>
      <c r="HM112">
        <v>1.87561</v>
      </c>
      <c r="HN112">
        <v>1.8754500000000001</v>
      </c>
      <c r="HO112">
        <v>1.8793200000000001</v>
      </c>
      <c r="HP112">
        <v>1.8728100000000001</v>
      </c>
      <c r="HQ112">
        <v>1.87598</v>
      </c>
      <c r="HR112">
        <v>1.8757600000000001</v>
      </c>
      <c r="HS112">
        <v>1.87714</v>
      </c>
      <c r="HT112">
        <v>0</v>
      </c>
      <c r="HU112">
        <v>0</v>
      </c>
      <c r="HV112">
        <v>0</v>
      </c>
      <c r="HW112">
        <v>0</v>
      </c>
      <c r="HX112" t="s">
        <v>421</v>
      </c>
      <c r="HY112" t="s">
        <v>422</v>
      </c>
      <c r="HZ112" t="s">
        <v>423</v>
      </c>
      <c r="IA112" t="s">
        <v>423</v>
      </c>
      <c r="IB112" t="s">
        <v>423</v>
      </c>
      <c r="IC112" t="s">
        <v>423</v>
      </c>
      <c r="ID112">
        <v>0</v>
      </c>
      <c r="IE112">
        <v>100</v>
      </c>
      <c r="IF112">
        <v>100</v>
      </c>
      <c r="IG112">
        <v>-2.5249999999999999</v>
      </c>
      <c r="IH112">
        <v>8.3000000000000001E-3</v>
      </c>
      <c r="II112">
        <v>-1.3973627668069819</v>
      </c>
      <c r="IJ112">
        <v>-1.5404112972462821E-3</v>
      </c>
      <c r="IK112">
        <v>-5.8697186733976997E-8</v>
      </c>
      <c r="IL112">
        <v>1.160237123038427E-10</v>
      </c>
      <c r="IM112">
        <v>-0.17244667498365679</v>
      </c>
      <c r="IN112">
        <v>-3.128848753924141E-3</v>
      </c>
      <c r="IO112">
        <v>3.6841110403368089E-4</v>
      </c>
      <c r="IP112">
        <v>1.9296040270694169E-6</v>
      </c>
      <c r="IQ112">
        <v>1</v>
      </c>
      <c r="IR112">
        <v>1992</v>
      </c>
      <c r="IS112">
        <v>2</v>
      </c>
      <c r="IT112">
        <v>27</v>
      </c>
      <c r="IU112">
        <v>0.9</v>
      </c>
      <c r="IV112">
        <v>0.7</v>
      </c>
      <c r="IW112">
        <v>1.8237300000000001</v>
      </c>
      <c r="IX112">
        <v>2.6709000000000001</v>
      </c>
      <c r="IY112">
        <v>1.69434</v>
      </c>
      <c r="IZ112">
        <v>2.34741</v>
      </c>
      <c r="JA112">
        <v>1.5466299999999999</v>
      </c>
      <c r="JB112">
        <v>2.3791500000000001</v>
      </c>
      <c r="JC112">
        <v>38.673299999999998</v>
      </c>
      <c r="JD112">
        <v>24.087499999999999</v>
      </c>
      <c r="JE112">
        <v>18</v>
      </c>
      <c r="JF112">
        <v>533.053</v>
      </c>
      <c r="JG112">
        <v>540.48199999999997</v>
      </c>
      <c r="JH112">
        <v>25.126300000000001</v>
      </c>
      <c r="JI112">
        <v>31.432600000000001</v>
      </c>
      <c r="JJ112">
        <v>29.9999</v>
      </c>
      <c r="JK112">
        <v>31.4072</v>
      </c>
      <c r="JL112">
        <v>31.363900000000001</v>
      </c>
      <c r="JM112">
        <v>36.569899999999997</v>
      </c>
      <c r="JN112">
        <v>19.462299999999999</v>
      </c>
      <c r="JO112">
        <v>35.6004</v>
      </c>
      <c r="JP112">
        <v>25.131900000000002</v>
      </c>
      <c r="JQ112">
        <v>800</v>
      </c>
      <c r="JR112">
        <v>18.439499999999999</v>
      </c>
      <c r="JS112">
        <v>99.520700000000005</v>
      </c>
      <c r="JT112">
        <v>98.642200000000003</v>
      </c>
    </row>
    <row r="113" spans="1:280" x14ac:dyDescent="0.25">
      <c r="A113">
        <v>97</v>
      </c>
      <c r="B113">
        <v>1639689596.0999999</v>
      </c>
      <c r="C113">
        <v>22994</v>
      </c>
      <c r="D113" t="s">
        <v>909</v>
      </c>
      <c r="E113" t="s">
        <v>910</v>
      </c>
      <c r="F113" t="s">
        <v>412</v>
      </c>
      <c r="G113" t="s">
        <v>850</v>
      </c>
      <c r="H113" t="s">
        <v>565</v>
      </c>
      <c r="I113">
        <v>1639689596.0999999</v>
      </c>
      <c r="J113">
        <f t="shared" ref="J113:J144" si="138">(K113)/1000</f>
        <v>5.4052965121216207E-3</v>
      </c>
      <c r="K113">
        <f t="shared" ref="K113:K128" si="139">1000*DK113*AI113*(DG113-DH113)/(100*CZ113*(1000-AI113*DG113))</f>
        <v>5.4052965121216205</v>
      </c>
      <c r="L113">
        <f t="shared" ref="L113:L128" si="140">DK113*AI113*(DF113-DE113*(1000-AI113*DH113)/(1000-AI113*DG113))/(100*CZ113)</f>
        <v>45.837194561124377</v>
      </c>
      <c r="M113">
        <f t="shared" ref="M113:M144" si="141">DE113 - IF(AI113&gt;1, L113*CZ113*100/(AK113*DS113), 0)</f>
        <v>1137.69</v>
      </c>
      <c r="N113">
        <f t="shared" ref="N113:N144" si="142">((T113-J113/2)*M113-L113)/(T113+J113/2)</f>
        <v>941.59479413144879</v>
      </c>
      <c r="O113">
        <f t="shared" ref="O113:O144" si="143">N113*(DL113+DM113)/1000</f>
        <v>93.741956602095797</v>
      </c>
      <c r="P113">
        <f t="shared" ref="P113:P128" si="144">(DE113 - IF(AI113&gt;1, L113*CZ113*100/(AK113*DS113), 0))*(DL113+DM113)/1000</f>
        <v>113.26452447627901</v>
      </c>
      <c r="Q113">
        <f t="shared" ref="Q113:Q144" si="145">2/((1/S113-1/R113)+SIGN(S113)*SQRT((1/S113-1/R113)*(1/S113-1/R113) + 4*DA113/((DA113+1)*(DA113+1))*(2*1/S113*1/R113-1/R113*1/R113)))</f>
        <v>0.45045763111585257</v>
      </c>
      <c r="R113">
        <f t="shared" ref="R113:R128" si="146">IF(LEFT(DB113,1)&lt;&gt;"0",IF(LEFT(DB113,1)="1",3,DC113),$D$5+$E$5*(DS113*DL113/($K$5*1000))+$F$5*(DS113*DL113/($K$5*1000))*MAX(MIN(CZ113,$J$5),$I$5)*MAX(MIN(CZ113,$J$5),$I$5)+$G$5*MAX(MIN(CZ113,$J$5),$I$5)*(DS113*DL113/($K$5*1000))+$H$5*(DS113*DL113/($K$5*1000))*(DS113*DL113/($K$5*1000)))</f>
        <v>2.9231707640628271</v>
      </c>
      <c r="S113">
        <f t="shared" ref="S113:S128" si="147">J113*(1000-(1000*0.61365*EXP(17.502*W113/(240.97+W113))/(DL113+DM113)+DG113)/2)/(1000*0.61365*EXP(17.502*W113/(240.97+W113))/(DL113+DM113)-DG113)</f>
        <v>0.41514467991944487</v>
      </c>
      <c r="T113">
        <f t="shared" ref="T113:T128" si="148">1/((DA113+1)/(Q113/1.6)+1/(R113/1.37)) + DA113/((DA113+1)/(Q113/1.6) + DA113/(R113/1.37))</f>
        <v>0.26240707801051788</v>
      </c>
      <c r="U113">
        <f t="shared" ref="U113:U128" si="149">(CV113*CY113)</f>
        <v>289.58083484757623</v>
      </c>
      <c r="V113">
        <f t="shared" ref="V113:V144" si="150">(DN113+(U113+2*0.95*0.0000000567*(((DN113+$B$7)+273)^4-(DN113+273)^4)-44100*J113)/(1.84*29.3*R113+8*0.95*0.0000000567*(DN113+273)^3))</f>
        <v>28.30208330206796</v>
      </c>
      <c r="W113">
        <f t="shared" ref="W113:W144" si="151">($C$7*DO113+$D$7*DP113+$E$7*V113)</f>
        <v>27.7485</v>
      </c>
      <c r="X113">
        <f t="shared" ref="X113:X144" si="152">0.61365*EXP(17.502*W113/(240.97+W113))</f>
        <v>3.7395558824284612</v>
      </c>
      <c r="Y113">
        <f t="shared" ref="Y113:Y144" si="153">(Z113/AA113*100)</f>
        <v>65.453637840854313</v>
      </c>
      <c r="Z113">
        <f t="shared" ref="Z113:Z128" si="154">DG113*(DL113+DM113)/1000</f>
        <v>2.4838171806500799</v>
      </c>
      <c r="AA113">
        <f t="shared" ref="AA113:AA128" si="155">0.61365*EXP(17.502*DN113/(240.97+DN113))</f>
        <v>3.7947733122019862</v>
      </c>
      <c r="AB113">
        <f t="shared" ref="AB113:AB128" si="156">(X113-DG113*(DL113+DM113)/1000)</f>
        <v>1.2557387017783812</v>
      </c>
      <c r="AC113">
        <f t="shared" ref="AC113:AC128" si="157">(-J113*44100)</f>
        <v>-238.37357618456346</v>
      </c>
      <c r="AD113">
        <f t="shared" ref="AD113:AD128" si="158">2*29.3*R113*0.92*(DN113-W113)</f>
        <v>39.587608336717487</v>
      </c>
      <c r="AE113">
        <f t="shared" ref="AE113:AE128" si="159">2*0.95*0.0000000567*(((DN113+$B$7)+273)^4-(W113+273)^4)</f>
        <v>2.9482939040102174</v>
      </c>
      <c r="AF113">
        <f t="shared" ref="AF113:AF144" si="160">U113+AE113+AC113+AD113</f>
        <v>93.74316090374046</v>
      </c>
      <c r="AG113">
        <v>0</v>
      </c>
      <c r="AH113">
        <v>0</v>
      </c>
      <c r="AI113">
        <f t="shared" ref="AI113:AI128" si="161">IF(AG113*$H$13&gt;=AK113,1,(AK113/(AK113-AG113*$H$13)))</f>
        <v>1</v>
      </c>
      <c r="AJ113">
        <f t="shared" ref="AJ113:AJ144" si="162">(AI113-1)*100</f>
        <v>0</v>
      </c>
      <c r="AK113">
        <f t="shared" ref="AK113:AK128" si="163">MAX(0,($B$13+$C$13*DS113)/(1+$D$13*DS113)*DL113/(DN113+273)*$E$13)</f>
        <v>52506.247392681122</v>
      </c>
      <c r="AL113" t="s">
        <v>415</v>
      </c>
      <c r="AM113">
        <v>10204.299999999999</v>
      </c>
      <c r="AN113">
        <v>862.72538461538477</v>
      </c>
      <c r="AO113">
        <v>3252.56</v>
      </c>
      <c r="AP113">
        <f t="shared" ref="AP113:AP144" si="164">1-AN113/AO113</f>
        <v>0.73475496697512588</v>
      </c>
      <c r="AQ113">
        <v>-6.6684750346205304</v>
      </c>
      <c r="AR113" t="s">
        <v>911</v>
      </c>
      <c r="AS113">
        <v>10071.299999999999</v>
      </c>
      <c r="AT113">
        <v>704.91134615384601</v>
      </c>
      <c r="AU113">
        <v>1044.239711601444</v>
      </c>
      <c r="AV113">
        <f t="shared" ref="AV113:AV144" si="165">1-AT113/AU113</f>
        <v>0.32495255799763123</v>
      </c>
      <c r="AW113">
        <v>0.5</v>
      </c>
      <c r="AX113">
        <f t="shared" ref="AX113:AX128" si="166">CW113</f>
        <v>1513.2602999210239</v>
      </c>
      <c r="AY113">
        <f t="shared" ref="AY113:AY128" si="167">L113</f>
        <v>45.837194561124377</v>
      </c>
      <c r="AZ113">
        <f t="shared" ref="AZ113:AZ128" si="168">AV113*AW113*AX113</f>
        <v>245.86890268779968</v>
      </c>
      <c r="BA113">
        <f t="shared" ref="BA113:BA128" si="169">(AY113-AQ113)/AX113</f>
        <v>3.4697050863281842E-2</v>
      </c>
      <c r="BB113">
        <f t="shared" ref="BB113:BB128" si="170">(AO113-AU113)/AU113</f>
        <v>2.1147637499936485</v>
      </c>
      <c r="BC113">
        <f t="shared" ref="BC113:BC128" si="171">AN113/(AP113+AN113/AU113)</f>
        <v>552.69939309197014</v>
      </c>
      <c r="BD113" t="s">
        <v>912</v>
      </c>
      <c r="BE113">
        <v>546.92999999999995</v>
      </c>
      <c r="BF113">
        <f t="shared" ref="BF113:BF144" si="172">IF(BE113&lt;&gt;0, BE113, BC113)</f>
        <v>546.92999999999995</v>
      </c>
      <c r="BG113">
        <f t="shared" ref="BG113:BG144" si="173">1-BF113/AU113</f>
        <v>0.47624094934942751</v>
      </c>
      <c r="BH113">
        <f t="shared" ref="BH113:BH128" si="174">(AU113-AT113)/(AU113-BF113)</f>
        <v>0.6823280493656313</v>
      </c>
      <c r="BI113">
        <f t="shared" ref="BI113:BI128" si="175">(AO113-AU113)/(AO113-BF113)</f>
        <v>0.81619448645918169</v>
      </c>
      <c r="BJ113">
        <f t="shared" ref="BJ113:BJ128" si="176">(AU113-AT113)/(AU113-AN113)</f>
        <v>1.8694302046673112</v>
      </c>
      <c r="BK113">
        <f t="shared" ref="BK113:BK128" si="177">(AO113-AU113)/(AO113-AN113)</f>
        <v>0.92404732703361292</v>
      </c>
      <c r="BL113">
        <f t="shared" ref="BL113:BL128" si="178">(BH113*BF113/AT113)</f>
        <v>0.5294079632505978</v>
      </c>
      <c r="BM113">
        <f t="shared" ref="BM113:BM144" si="179">(1-BL113)</f>
        <v>0.4705920367494022</v>
      </c>
      <c r="BN113">
        <v>5064</v>
      </c>
      <c r="BO113">
        <v>290.00000000000011</v>
      </c>
      <c r="BP113">
        <v>954.15</v>
      </c>
      <c r="BQ113">
        <v>275</v>
      </c>
      <c r="BR113">
        <v>10071.299999999999</v>
      </c>
      <c r="BS113">
        <v>955.74</v>
      </c>
      <c r="BT113">
        <v>-1.59</v>
      </c>
      <c r="BU113">
        <v>300.00000000000011</v>
      </c>
      <c r="BV113">
        <v>24.1</v>
      </c>
      <c r="BW113">
        <v>1044.239711601444</v>
      </c>
      <c r="BX113">
        <v>1.5602662035904991</v>
      </c>
      <c r="BY113">
        <v>-89.128124740588618</v>
      </c>
      <c r="BZ113">
        <v>1.4003459173039601</v>
      </c>
      <c r="CA113">
        <v>0.99313551963499269</v>
      </c>
      <c r="CB113">
        <v>-6.8632949944382659E-3</v>
      </c>
      <c r="CC113">
        <v>289.99999999999989</v>
      </c>
      <c r="CD113">
        <v>953.08</v>
      </c>
      <c r="CE113">
        <v>665</v>
      </c>
      <c r="CF113">
        <v>10061.1</v>
      </c>
      <c r="CG113">
        <v>955.65</v>
      </c>
      <c r="CH113">
        <v>-2.57</v>
      </c>
      <c r="CV113">
        <f t="shared" ref="CV113:CV128" si="180">$B$11*DT113+$C$11*DU113+$F$11*EF113*(1-EI113)</f>
        <v>1800.09</v>
      </c>
      <c r="CW113">
        <f t="shared" ref="CW113:CW144" si="181">CV113*CX113</f>
        <v>1513.2602999210239</v>
      </c>
      <c r="CX113">
        <f t="shared" ref="CX113:CX128" si="182">($B$11*$D$9+$C$11*$D$9+$F$11*((ES113+EK113)/MAX(ES113+EK113+ET113, 0.1)*$I$9+ET113/MAX(ES113+EK113+ET113, 0.1)*$J$9))/($B$11+$C$11+$F$11)</f>
        <v>0.84065813371610532</v>
      </c>
      <c r="CY113">
        <f t="shared" ref="CY113:CY128" si="183">($B$11*$K$9+$C$11*$K$9+$F$11*((ES113+EK113)/MAX(ES113+EK113+ET113, 0.1)*$P$9+ET113/MAX(ES113+EK113+ET113, 0.1)*$Q$9))/($B$11+$C$11+$F$11)</f>
        <v>0.16087019807208319</v>
      </c>
      <c r="CZ113">
        <v>6</v>
      </c>
      <c r="DA113">
        <v>0.5</v>
      </c>
      <c r="DB113" t="s">
        <v>418</v>
      </c>
      <c r="DC113">
        <v>2</v>
      </c>
      <c r="DD113">
        <v>1639689596.0999999</v>
      </c>
      <c r="DE113">
        <v>1137.69</v>
      </c>
      <c r="DF113">
        <v>1200.06</v>
      </c>
      <c r="DG113">
        <v>24.948799999999999</v>
      </c>
      <c r="DH113">
        <v>18.625699999999998</v>
      </c>
      <c r="DI113">
        <v>1140.8399999999999</v>
      </c>
      <c r="DJ113">
        <v>24.941400000000002</v>
      </c>
      <c r="DK113">
        <v>500.113</v>
      </c>
      <c r="DL113">
        <v>99.456800000000001</v>
      </c>
      <c r="DM113">
        <v>9.9779099999999996E-2</v>
      </c>
      <c r="DN113">
        <v>27.999700000000001</v>
      </c>
      <c r="DO113">
        <v>27.7485</v>
      </c>
      <c r="DP113">
        <v>999.9</v>
      </c>
      <c r="DQ113">
        <v>0</v>
      </c>
      <c r="DR113">
        <v>0</v>
      </c>
      <c r="DS113">
        <v>10018.1</v>
      </c>
      <c r="DT113">
        <v>0</v>
      </c>
      <c r="DU113">
        <v>144.73699999999999</v>
      </c>
      <c r="DV113">
        <v>-62.375999999999998</v>
      </c>
      <c r="DW113">
        <v>1166.8</v>
      </c>
      <c r="DX113">
        <v>1222.8399999999999</v>
      </c>
      <c r="DY113">
        <v>6.3230399999999998</v>
      </c>
      <c r="DZ113">
        <v>1200.06</v>
      </c>
      <c r="EA113">
        <v>18.625699999999998</v>
      </c>
      <c r="EB113">
        <v>2.4813200000000002</v>
      </c>
      <c r="EC113">
        <v>1.85246</v>
      </c>
      <c r="ED113">
        <v>20.904499999999999</v>
      </c>
      <c r="EE113">
        <v>16.236599999999999</v>
      </c>
      <c r="EF113">
        <v>1800.09</v>
      </c>
      <c r="EG113">
        <v>0.97800200000000004</v>
      </c>
      <c r="EH113">
        <v>2.1997699999999999E-2</v>
      </c>
      <c r="EI113">
        <v>0</v>
      </c>
      <c r="EJ113">
        <v>705.29600000000005</v>
      </c>
      <c r="EK113">
        <v>5.0001199999999999</v>
      </c>
      <c r="EL113">
        <v>12522.1</v>
      </c>
      <c r="EM113">
        <v>15630.8</v>
      </c>
      <c r="EN113">
        <v>47.061999999999998</v>
      </c>
      <c r="EO113">
        <v>47.436999999999998</v>
      </c>
      <c r="EP113">
        <v>47.625</v>
      </c>
      <c r="EQ113">
        <v>47.375</v>
      </c>
      <c r="ER113">
        <v>48.5</v>
      </c>
      <c r="ES113">
        <v>1755.6</v>
      </c>
      <c r="ET113">
        <v>39.49</v>
      </c>
      <c r="EU113">
        <v>0</v>
      </c>
      <c r="EV113">
        <v>112.2000000476837</v>
      </c>
      <c r="EW113">
        <v>0</v>
      </c>
      <c r="EX113">
        <v>704.91134615384601</v>
      </c>
      <c r="EY113">
        <v>2.301162375370891</v>
      </c>
      <c r="EZ113">
        <v>26.943589756834111</v>
      </c>
      <c r="FA113">
        <v>12518.65769230769</v>
      </c>
      <c r="FB113">
        <v>15</v>
      </c>
      <c r="FC113">
        <v>1639689556.0999999</v>
      </c>
      <c r="FD113" t="s">
        <v>913</v>
      </c>
      <c r="FE113">
        <v>1639689556.0999999</v>
      </c>
      <c r="FF113">
        <v>1639689555.0999999</v>
      </c>
      <c r="FG113">
        <v>106</v>
      </c>
      <c r="FH113">
        <v>-9.8000000000000004E-2</v>
      </c>
      <c r="FI113">
        <v>-1E-3</v>
      </c>
      <c r="FJ113">
        <v>-3.2320000000000002</v>
      </c>
      <c r="FK113">
        <v>-9.5000000000000001E-2</v>
      </c>
      <c r="FL113">
        <v>1200</v>
      </c>
      <c r="FM113">
        <v>18</v>
      </c>
      <c r="FN113">
        <v>0.03</v>
      </c>
      <c r="FO113">
        <v>0.02</v>
      </c>
      <c r="FP113">
        <v>45.936697481469302</v>
      </c>
      <c r="FQ113">
        <v>-0.41968395790497581</v>
      </c>
      <c r="FR113">
        <v>0.1018082874145658</v>
      </c>
      <c r="FS113">
        <v>1</v>
      </c>
      <c r="FT113">
        <v>0.45087297628411682</v>
      </c>
      <c r="FU113">
        <v>1.7245707575780311E-2</v>
      </c>
      <c r="FV113">
        <v>3.033088722664435E-3</v>
      </c>
      <c r="FW113">
        <v>1</v>
      </c>
      <c r="FX113">
        <v>2</v>
      </c>
      <c r="FY113">
        <v>2</v>
      </c>
      <c r="FZ113" t="s">
        <v>420</v>
      </c>
      <c r="GA113">
        <v>2.92062</v>
      </c>
      <c r="GB113">
        <v>2.74492</v>
      </c>
      <c r="GC113">
        <v>0.189336</v>
      </c>
      <c r="GD113">
        <v>0.19794600000000001</v>
      </c>
      <c r="GE113">
        <v>0.119895</v>
      </c>
      <c r="GF113">
        <v>9.8950300000000005E-2</v>
      </c>
      <c r="GG113">
        <v>25266.400000000001</v>
      </c>
      <c r="GH113">
        <v>24681.9</v>
      </c>
      <c r="GI113">
        <v>28377.1</v>
      </c>
      <c r="GJ113">
        <v>28143</v>
      </c>
      <c r="GK113">
        <v>34281.599999999999</v>
      </c>
      <c r="GL113">
        <v>35617.4</v>
      </c>
      <c r="GM113">
        <v>42710.2</v>
      </c>
      <c r="GN113">
        <v>43793.9</v>
      </c>
      <c r="GO113">
        <v>1.7967500000000001</v>
      </c>
      <c r="GP113">
        <v>1.9834499999999999</v>
      </c>
      <c r="GQ113">
        <v>2.2500800000000001E-2</v>
      </c>
      <c r="GR113">
        <v>0</v>
      </c>
      <c r="GS113">
        <v>27.3809</v>
      </c>
      <c r="GT113">
        <v>999.9</v>
      </c>
      <c r="GU113">
        <v>39.799999999999997</v>
      </c>
      <c r="GV113">
        <v>34.9</v>
      </c>
      <c r="GW113">
        <v>22.476900000000001</v>
      </c>
      <c r="GX113">
        <v>60.360199999999999</v>
      </c>
      <c r="GY113">
        <v>28.946300000000001</v>
      </c>
      <c r="GZ113">
        <v>1</v>
      </c>
      <c r="HA113">
        <v>0.34587400000000001</v>
      </c>
      <c r="HB113">
        <v>2.6791700000000001</v>
      </c>
      <c r="HC113">
        <v>20.255800000000001</v>
      </c>
      <c r="HD113">
        <v>5.27719</v>
      </c>
      <c r="HE113">
        <v>12.0878</v>
      </c>
      <c r="HF113">
        <v>5.0134499999999997</v>
      </c>
      <c r="HG113">
        <v>3.2919</v>
      </c>
      <c r="HH113">
        <v>9999</v>
      </c>
      <c r="HI113">
        <v>9999</v>
      </c>
      <c r="HJ113">
        <v>9999</v>
      </c>
      <c r="HK113">
        <v>999.9</v>
      </c>
      <c r="HL113">
        <v>1.8751500000000001</v>
      </c>
      <c r="HM113">
        <v>1.87561</v>
      </c>
      <c r="HN113">
        <v>1.8754500000000001</v>
      </c>
      <c r="HO113">
        <v>1.8792800000000001</v>
      </c>
      <c r="HP113">
        <v>1.87279</v>
      </c>
      <c r="HQ113">
        <v>1.8759699999999999</v>
      </c>
      <c r="HR113">
        <v>1.8757600000000001</v>
      </c>
      <c r="HS113">
        <v>1.87714</v>
      </c>
      <c r="HT113">
        <v>0</v>
      </c>
      <c r="HU113">
        <v>0</v>
      </c>
      <c r="HV113">
        <v>0</v>
      </c>
      <c r="HW113">
        <v>0</v>
      </c>
      <c r="HX113" t="s">
        <v>421</v>
      </c>
      <c r="HY113" t="s">
        <v>422</v>
      </c>
      <c r="HZ113" t="s">
        <v>423</v>
      </c>
      <c r="IA113" t="s">
        <v>423</v>
      </c>
      <c r="IB113" t="s">
        <v>423</v>
      </c>
      <c r="IC113" t="s">
        <v>423</v>
      </c>
      <c r="ID113">
        <v>0</v>
      </c>
      <c r="IE113">
        <v>100</v>
      </c>
      <c r="IF113">
        <v>100</v>
      </c>
      <c r="IG113">
        <v>-3.15</v>
      </c>
      <c r="IH113">
        <v>7.4000000000000003E-3</v>
      </c>
      <c r="II113">
        <v>-1.4953215149494881</v>
      </c>
      <c r="IJ113">
        <v>-1.5404112972462821E-3</v>
      </c>
      <c r="IK113">
        <v>-5.8697186733976997E-8</v>
      </c>
      <c r="IL113">
        <v>1.160237123038427E-10</v>
      </c>
      <c r="IM113">
        <v>-0.1737218658852864</v>
      </c>
      <c r="IN113">
        <v>-3.128848753924141E-3</v>
      </c>
      <c r="IO113">
        <v>3.6841110403368089E-4</v>
      </c>
      <c r="IP113">
        <v>1.9296040270694169E-6</v>
      </c>
      <c r="IQ113">
        <v>1</v>
      </c>
      <c r="IR113">
        <v>1992</v>
      </c>
      <c r="IS113">
        <v>2</v>
      </c>
      <c r="IT113">
        <v>27</v>
      </c>
      <c r="IU113">
        <v>0.7</v>
      </c>
      <c r="IV113">
        <v>0.7</v>
      </c>
      <c r="IW113">
        <v>2.5402800000000001</v>
      </c>
      <c r="IX113">
        <v>2.6660200000000001</v>
      </c>
      <c r="IY113">
        <v>1.69434</v>
      </c>
      <c r="IZ113">
        <v>2.34741</v>
      </c>
      <c r="JA113">
        <v>1.5466299999999999</v>
      </c>
      <c r="JB113">
        <v>2.3803700000000001</v>
      </c>
      <c r="JC113">
        <v>38.697899999999997</v>
      </c>
      <c r="JD113">
        <v>24.096299999999999</v>
      </c>
      <c r="JE113">
        <v>18</v>
      </c>
      <c r="JF113">
        <v>532.78200000000004</v>
      </c>
      <c r="JG113">
        <v>541.02099999999996</v>
      </c>
      <c r="JH113">
        <v>24.966899999999999</v>
      </c>
      <c r="JI113">
        <v>31.480899999999998</v>
      </c>
      <c r="JJ113">
        <v>30.0001</v>
      </c>
      <c r="JK113">
        <v>31.434699999999999</v>
      </c>
      <c r="JL113">
        <v>31.388999999999999</v>
      </c>
      <c r="JM113">
        <v>50.8932</v>
      </c>
      <c r="JN113">
        <v>19.0579</v>
      </c>
      <c r="JO113">
        <v>35.7072</v>
      </c>
      <c r="JP113">
        <v>24.968</v>
      </c>
      <c r="JQ113">
        <v>1200</v>
      </c>
      <c r="JR113">
        <v>18.5364</v>
      </c>
      <c r="JS113">
        <v>99.510199999999998</v>
      </c>
      <c r="JT113">
        <v>98.629099999999994</v>
      </c>
    </row>
    <row r="114" spans="1:280" x14ac:dyDescent="0.25">
      <c r="A114">
        <v>98</v>
      </c>
      <c r="B114">
        <v>1639689716.0999999</v>
      </c>
      <c r="C114">
        <v>23114</v>
      </c>
      <c r="D114" t="s">
        <v>914</v>
      </c>
      <c r="E114" t="s">
        <v>915</v>
      </c>
      <c r="F114" t="s">
        <v>412</v>
      </c>
      <c r="G114" t="s">
        <v>850</v>
      </c>
      <c r="H114" t="s">
        <v>565</v>
      </c>
      <c r="I114">
        <v>1639689716.0999999</v>
      </c>
      <c r="J114">
        <f t="shared" si="138"/>
        <v>5.2426481896272626E-3</v>
      </c>
      <c r="K114">
        <f t="shared" si="139"/>
        <v>5.2426481896272623</v>
      </c>
      <c r="L114">
        <f t="shared" si="140"/>
        <v>45.372743728564174</v>
      </c>
      <c r="M114">
        <f t="shared" si="141"/>
        <v>1436.48</v>
      </c>
      <c r="N114">
        <f t="shared" si="142"/>
        <v>1228.4105790135384</v>
      </c>
      <c r="O114">
        <f t="shared" si="143"/>
        <v>122.29540111602354</v>
      </c>
      <c r="P114">
        <f t="shared" si="144"/>
        <v>143.00991931884801</v>
      </c>
      <c r="Q114">
        <f t="shared" si="145"/>
        <v>0.43068508995086469</v>
      </c>
      <c r="R114">
        <f t="shared" si="146"/>
        <v>2.9237005691956148</v>
      </c>
      <c r="S114">
        <f t="shared" si="147"/>
        <v>0.3982901520837997</v>
      </c>
      <c r="T114">
        <f t="shared" si="148"/>
        <v>0.25163854143075171</v>
      </c>
      <c r="U114">
        <f t="shared" si="149"/>
        <v>289.56966284757027</v>
      </c>
      <c r="V114">
        <f t="shared" si="150"/>
        <v>28.355812417781337</v>
      </c>
      <c r="W114">
        <f t="shared" si="151"/>
        <v>27.788799999999998</v>
      </c>
      <c r="X114">
        <f t="shared" si="152"/>
        <v>3.7483669109103968</v>
      </c>
      <c r="Y114">
        <f t="shared" si="153"/>
        <v>65.280535921101986</v>
      </c>
      <c r="Z114">
        <f t="shared" si="154"/>
        <v>2.47890961799922</v>
      </c>
      <c r="AA114">
        <f t="shared" si="155"/>
        <v>3.7973181179076541</v>
      </c>
      <c r="AB114">
        <f t="shared" si="156"/>
        <v>1.2694572929111767</v>
      </c>
      <c r="AC114">
        <f t="shared" si="157"/>
        <v>-231.20078516256228</v>
      </c>
      <c r="AD114">
        <f t="shared" si="158"/>
        <v>35.055254027231882</v>
      </c>
      <c r="AE114">
        <f t="shared" si="159"/>
        <v>2.6109470030812898</v>
      </c>
      <c r="AF114">
        <f t="shared" si="160"/>
        <v>96.035078715321134</v>
      </c>
      <c r="AG114">
        <v>0</v>
      </c>
      <c r="AH114">
        <v>0</v>
      </c>
      <c r="AI114">
        <f t="shared" si="161"/>
        <v>1</v>
      </c>
      <c r="AJ114">
        <f t="shared" si="162"/>
        <v>0</v>
      </c>
      <c r="AK114">
        <f t="shared" si="163"/>
        <v>52519.446843380036</v>
      </c>
      <c r="AL114" t="s">
        <v>415</v>
      </c>
      <c r="AM114">
        <v>10204.299999999999</v>
      </c>
      <c r="AN114">
        <v>862.72538461538477</v>
      </c>
      <c r="AO114">
        <v>3252.56</v>
      </c>
      <c r="AP114">
        <f t="shared" si="164"/>
        <v>0.73475496697512588</v>
      </c>
      <c r="AQ114">
        <v>-6.6684750346205304</v>
      </c>
      <c r="AR114" t="s">
        <v>916</v>
      </c>
      <c r="AS114">
        <v>10071.5</v>
      </c>
      <c r="AT114">
        <v>706.29520000000002</v>
      </c>
      <c r="AU114">
        <v>1044.768215028666</v>
      </c>
      <c r="AV114">
        <f t="shared" si="165"/>
        <v>0.32396947969878565</v>
      </c>
      <c r="AW114">
        <v>0.5</v>
      </c>
      <c r="AX114">
        <f t="shared" si="166"/>
        <v>1513.201499921021</v>
      </c>
      <c r="AY114">
        <f t="shared" si="167"/>
        <v>45.372743728564174</v>
      </c>
      <c r="AZ114">
        <f t="shared" si="168"/>
        <v>245.11555130441761</v>
      </c>
      <c r="BA114">
        <f t="shared" si="169"/>
        <v>3.4391466546855064E-2</v>
      </c>
      <c r="BB114">
        <f t="shared" si="170"/>
        <v>2.1131881246126514</v>
      </c>
      <c r="BC114">
        <f t="shared" si="171"/>
        <v>552.84741361046827</v>
      </c>
      <c r="BD114" t="s">
        <v>917</v>
      </c>
      <c r="BE114">
        <v>551.4</v>
      </c>
      <c r="BF114">
        <f t="shared" si="172"/>
        <v>551.4</v>
      </c>
      <c r="BG114">
        <f t="shared" si="173"/>
        <v>0.47222743564717762</v>
      </c>
      <c r="BH114">
        <f t="shared" si="174"/>
        <v>0.68604544175793691</v>
      </c>
      <c r="BI114">
        <f t="shared" si="175"/>
        <v>0.81734950353601199</v>
      </c>
      <c r="BJ114">
        <f t="shared" si="176"/>
        <v>1.8593042871298497</v>
      </c>
      <c r="BK114">
        <f t="shared" si="177"/>
        <v>0.92382618058949506</v>
      </c>
      <c r="BL114">
        <f t="shared" si="178"/>
        <v>0.53559114742012459</v>
      </c>
      <c r="BM114">
        <f t="shared" si="179"/>
        <v>0.46440885257987541</v>
      </c>
      <c r="BN114">
        <v>5066</v>
      </c>
      <c r="BO114">
        <v>290.00000000000011</v>
      </c>
      <c r="BP114">
        <v>958.39</v>
      </c>
      <c r="BQ114">
        <v>265</v>
      </c>
      <c r="BR114">
        <v>10071.5</v>
      </c>
      <c r="BS114">
        <v>958.22</v>
      </c>
      <c r="BT114">
        <v>0.17</v>
      </c>
      <c r="BU114">
        <v>300.00000000000011</v>
      </c>
      <c r="BV114">
        <v>24.1</v>
      </c>
      <c r="BW114">
        <v>1044.768215028666</v>
      </c>
      <c r="BX114">
        <v>2.2865323360627459</v>
      </c>
      <c r="BY114">
        <v>-87.1623399476494</v>
      </c>
      <c r="BZ114">
        <v>2.0520855474327839</v>
      </c>
      <c r="CA114">
        <v>0.98471720736891644</v>
      </c>
      <c r="CB114">
        <v>-6.8630896551724252E-3</v>
      </c>
      <c r="CC114">
        <v>289.99999999999989</v>
      </c>
      <c r="CD114">
        <v>956.61</v>
      </c>
      <c r="CE114">
        <v>655</v>
      </c>
      <c r="CF114">
        <v>10061.1</v>
      </c>
      <c r="CG114">
        <v>958.14</v>
      </c>
      <c r="CH114">
        <v>-1.53</v>
      </c>
      <c r="CV114">
        <f t="shared" si="180"/>
        <v>1800.02</v>
      </c>
      <c r="CW114">
        <f t="shared" si="181"/>
        <v>1513.201499921021</v>
      </c>
      <c r="CX114">
        <f t="shared" si="182"/>
        <v>0.84065815930990817</v>
      </c>
      <c r="CY114">
        <f t="shared" si="183"/>
        <v>0.16087024746812273</v>
      </c>
      <c r="CZ114">
        <v>6</v>
      </c>
      <c r="DA114">
        <v>0.5</v>
      </c>
      <c r="DB114" t="s">
        <v>418</v>
      </c>
      <c r="DC114">
        <v>2</v>
      </c>
      <c r="DD114">
        <v>1639689716.0999999</v>
      </c>
      <c r="DE114">
        <v>1436.48</v>
      </c>
      <c r="DF114">
        <v>1499.96</v>
      </c>
      <c r="DG114">
        <v>24.899699999999999</v>
      </c>
      <c r="DH114">
        <v>18.765599999999999</v>
      </c>
      <c r="DI114">
        <v>1440.12</v>
      </c>
      <c r="DJ114">
        <v>24.893999999999998</v>
      </c>
      <c r="DK114">
        <v>500.03500000000003</v>
      </c>
      <c r="DL114">
        <v>99.456100000000006</v>
      </c>
      <c r="DM114">
        <v>9.9702600000000002E-2</v>
      </c>
      <c r="DN114">
        <v>28.011199999999999</v>
      </c>
      <c r="DO114">
        <v>27.788799999999998</v>
      </c>
      <c r="DP114">
        <v>999.9</v>
      </c>
      <c r="DQ114">
        <v>0</v>
      </c>
      <c r="DR114">
        <v>0</v>
      </c>
      <c r="DS114">
        <v>10021.200000000001</v>
      </c>
      <c r="DT114">
        <v>0</v>
      </c>
      <c r="DU114">
        <v>142.78100000000001</v>
      </c>
      <c r="DV114">
        <v>-63.484999999999999</v>
      </c>
      <c r="DW114">
        <v>1473.16</v>
      </c>
      <c r="DX114">
        <v>1528.65</v>
      </c>
      <c r="DY114">
        <v>6.1341200000000002</v>
      </c>
      <c r="DZ114">
        <v>1499.96</v>
      </c>
      <c r="EA114">
        <v>18.765599999999999</v>
      </c>
      <c r="EB114">
        <v>2.4764300000000001</v>
      </c>
      <c r="EC114">
        <v>1.86635</v>
      </c>
      <c r="ED114">
        <v>20.872399999999999</v>
      </c>
      <c r="EE114">
        <v>16.353899999999999</v>
      </c>
      <c r="EF114">
        <v>1800.02</v>
      </c>
      <c r="EG114">
        <v>0.97800200000000004</v>
      </c>
      <c r="EH114">
        <v>2.1997699999999999E-2</v>
      </c>
      <c r="EI114">
        <v>0</v>
      </c>
      <c r="EJ114">
        <v>706.43700000000001</v>
      </c>
      <c r="EK114">
        <v>5.0001199999999999</v>
      </c>
      <c r="EL114">
        <v>12547.9</v>
      </c>
      <c r="EM114">
        <v>15630.1</v>
      </c>
      <c r="EN114">
        <v>47</v>
      </c>
      <c r="EO114">
        <v>47.5</v>
      </c>
      <c r="EP114">
        <v>47.686999999999998</v>
      </c>
      <c r="EQ114">
        <v>47.375</v>
      </c>
      <c r="ER114">
        <v>48.5</v>
      </c>
      <c r="ES114">
        <v>1755.53</v>
      </c>
      <c r="ET114">
        <v>39.49</v>
      </c>
      <c r="EU114">
        <v>0</v>
      </c>
      <c r="EV114">
        <v>117.7999999523163</v>
      </c>
      <c r="EW114">
        <v>0</v>
      </c>
      <c r="EX114">
        <v>706.29520000000002</v>
      </c>
      <c r="EY114">
        <v>2.026230745833657</v>
      </c>
      <c r="EZ114">
        <v>23.62307690049369</v>
      </c>
      <c r="FA114">
        <v>12545.516</v>
      </c>
      <c r="FB114">
        <v>15</v>
      </c>
      <c r="FC114">
        <v>1639689675.0999999</v>
      </c>
      <c r="FD114" t="s">
        <v>918</v>
      </c>
      <c r="FE114">
        <v>1639689675.0999999</v>
      </c>
      <c r="FF114">
        <v>1639689666.0999999</v>
      </c>
      <c r="FG114">
        <v>107</v>
      </c>
      <c r="FH114">
        <v>-0.14699999999999999</v>
      </c>
      <c r="FI114">
        <v>-1E-3</v>
      </c>
      <c r="FJ114">
        <v>-3.6989999999999998</v>
      </c>
      <c r="FK114">
        <v>-9.4E-2</v>
      </c>
      <c r="FL114">
        <v>1500</v>
      </c>
      <c r="FM114">
        <v>18</v>
      </c>
      <c r="FN114">
        <v>0.08</v>
      </c>
      <c r="FO114">
        <v>0.01</v>
      </c>
      <c r="FP114">
        <v>45.388638114120418</v>
      </c>
      <c r="FQ114">
        <v>-0.59494503295269052</v>
      </c>
      <c r="FR114">
        <v>0.10773429325312291</v>
      </c>
      <c r="FS114">
        <v>1</v>
      </c>
      <c r="FT114">
        <v>0.43173393867538751</v>
      </c>
      <c r="FU114">
        <v>6.6646014170619891E-3</v>
      </c>
      <c r="FV114">
        <v>1.4347714990503399E-3</v>
      </c>
      <c r="FW114">
        <v>1</v>
      </c>
      <c r="FX114">
        <v>2</v>
      </c>
      <c r="FY114">
        <v>2</v>
      </c>
      <c r="FZ114" t="s">
        <v>420</v>
      </c>
      <c r="GA114">
        <v>2.9203000000000001</v>
      </c>
      <c r="GB114">
        <v>2.7448600000000001</v>
      </c>
      <c r="GC114">
        <v>0.21839900000000001</v>
      </c>
      <c r="GD114">
        <v>0.22655800000000001</v>
      </c>
      <c r="GE114">
        <v>0.119724</v>
      </c>
      <c r="GF114">
        <v>9.9469799999999997E-2</v>
      </c>
      <c r="GG114">
        <v>24355.8</v>
      </c>
      <c r="GH114">
        <v>23797.3</v>
      </c>
      <c r="GI114">
        <v>28373.3</v>
      </c>
      <c r="GJ114">
        <v>28140</v>
      </c>
      <c r="GK114">
        <v>34283.9</v>
      </c>
      <c r="GL114">
        <v>35593.699999999997</v>
      </c>
      <c r="GM114">
        <v>42704.9</v>
      </c>
      <c r="GN114">
        <v>43790.1</v>
      </c>
      <c r="GO114">
        <v>1.7958499999999999</v>
      </c>
      <c r="GP114">
        <v>1.9838499999999999</v>
      </c>
      <c r="GQ114">
        <v>2.3134100000000001E-2</v>
      </c>
      <c r="GR114">
        <v>0</v>
      </c>
      <c r="GS114">
        <v>27.410799999999998</v>
      </c>
      <c r="GT114">
        <v>999.9</v>
      </c>
      <c r="GU114">
        <v>40</v>
      </c>
      <c r="GV114">
        <v>34.9</v>
      </c>
      <c r="GW114">
        <v>22.592199999999998</v>
      </c>
      <c r="GX114">
        <v>60.870199999999997</v>
      </c>
      <c r="GY114">
        <v>29.415099999999999</v>
      </c>
      <c r="GZ114">
        <v>1</v>
      </c>
      <c r="HA114">
        <v>0.350887</v>
      </c>
      <c r="HB114">
        <v>2.7521399999999998</v>
      </c>
      <c r="HC114">
        <v>20.2544</v>
      </c>
      <c r="HD114">
        <v>5.2767400000000002</v>
      </c>
      <c r="HE114">
        <v>12.0878</v>
      </c>
      <c r="HF114">
        <v>5.0147000000000004</v>
      </c>
      <c r="HG114">
        <v>3.2919499999999999</v>
      </c>
      <c r="HH114">
        <v>9999</v>
      </c>
      <c r="HI114">
        <v>9999</v>
      </c>
      <c r="HJ114">
        <v>9999</v>
      </c>
      <c r="HK114">
        <v>999.9</v>
      </c>
      <c r="HL114">
        <v>1.8751500000000001</v>
      </c>
      <c r="HM114">
        <v>1.87561</v>
      </c>
      <c r="HN114">
        <v>1.8754200000000001</v>
      </c>
      <c r="HO114">
        <v>1.8792899999999999</v>
      </c>
      <c r="HP114">
        <v>1.8727499999999999</v>
      </c>
      <c r="HQ114">
        <v>1.87595</v>
      </c>
      <c r="HR114">
        <v>1.8757600000000001</v>
      </c>
      <c r="HS114">
        <v>1.87714</v>
      </c>
      <c r="HT114">
        <v>0</v>
      </c>
      <c r="HU114">
        <v>0</v>
      </c>
      <c r="HV114">
        <v>0</v>
      </c>
      <c r="HW114">
        <v>0</v>
      </c>
      <c r="HX114" t="s">
        <v>421</v>
      </c>
      <c r="HY114" t="s">
        <v>422</v>
      </c>
      <c r="HZ114" t="s">
        <v>423</v>
      </c>
      <c r="IA114" t="s">
        <v>423</v>
      </c>
      <c r="IB114" t="s">
        <v>423</v>
      </c>
      <c r="IC114" t="s">
        <v>423</v>
      </c>
      <c r="ID114">
        <v>0</v>
      </c>
      <c r="IE114">
        <v>100</v>
      </c>
      <c r="IF114">
        <v>100</v>
      </c>
      <c r="IG114">
        <v>-3.64</v>
      </c>
      <c r="IH114">
        <v>5.7000000000000002E-3</v>
      </c>
      <c r="II114">
        <v>-1.6442483991022701</v>
      </c>
      <c r="IJ114">
        <v>-1.5404112972462821E-3</v>
      </c>
      <c r="IK114">
        <v>-5.8697186733976997E-8</v>
      </c>
      <c r="IL114">
        <v>1.160237123038427E-10</v>
      </c>
      <c r="IM114">
        <v>-0.17450859286724099</v>
      </c>
      <c r="IN114">
        <v>-3.128848753924141E-3</v>
      </c>
      <c r="IO114">
        <v>3.6841110403368089E-4</v>
      </c>
      <c r="IP114">
        <v>1.9296040270694169E-6</v>
      </c>
      <c r="IQ114">
        <v>1</v>
      </c>
      <c r="IR114">
        <v>1992</v>
      </c>
      <c r="IS114">
        <v>2</v>
      </c>
      <c r="IT114">
        <v>27</v>
      </c>
      <c r="IU114">
        <v>0.7</v>
      </c>
      <c r="IV114">
        <v>0.8</v>
      </c>
      <c r="IW114">
        <v>3.0432100000000002</v>
      </c>
      <c r="IX114">
        <v>2.6440399999999999</v>
      </c>
      <c r="IY114">
        <v>1.69434</v>
      </c>
      <c r="IZ114">
        <v>2.34741</v>
      </c>
      <c r="JA114">
        <v>1.5466299999999999</v>
      </c>
      <c r="JB114">
        <v>2.4658199999999999</v>
      </c>
      <c r="JC114">
        <v>38.722499999999997</v>
      </c>
      <c r="JD114">
        <v>24.096299999999999</v>
      </c>
      <c r="JE114">
        <v>18</v>
      </c>
      <c r="JF114">
        <v>532.43899999999996</v>
      </c>
      <c r="JG114">
        <v>541.68299999999999</v>
      </c>
      <c r="JH114">
        <v>24.9499</v>
      </c>
      <c r="JI114">
        <v>31.5352</v>
      </c>
      <c r="JJ114">
        <v>30.0002</v>
      </c>
      <c r="JK114">
        <v>31.475999999999999</v>
      </c>
      <c r="JL114">
        <v>31.427399999999999</v>
      </c>
      <c r="JM114">
        <v>60.9666</v>
      </c>
      <c r="JN114">
        <v>18.895800000000001</v>
      </c>
      <c r="JO114">
        <v>36.233499999999999</v>
      </c>
      <c r="JP114">
        <v>24.945799999999998</v>
      </c>
      <c r="JQ114">
        <v>1500</v>
      </c>
      <c r="JR114">
        <v>18.6813</v>
      </c>
      <c r="JS114">
        <v>99.497500000000002</v>
      </c>
      <c r="JT114">
        <v>98.619699999999995</v>
      </c>
    </row>
    <row r="115" spans="1:280" x14ac:dyDescent="0.25">
      <c r="A115">
        <v>99</v>
      </c>
      <c r="B115">
        <v>1639691264.0999999</v>
      </c>
      <c r="C115">
        <v>24662</v>
      </c>
      <c r="D115" t="s">
        <v>919</v>
      </c>
      <c r="E115" t="s">
        <v>920</v>
      </c>
      <c r="F115" t="s">
        <v>412</v>
      </c>
      <c r="G115" t="s">
        <v>921</v>
      </c>
      <c r="H115" t="s">
        <v>636</v>
      </c>
      <c r="I115">
        <v>1639691264.0999999</v>
      </c>
      <c r="J115">
        <f t="shared" si="138"/>
        <v>5.8775185808401008E-3</v>
      </c>
      <c r="K115">
        <f t="shared" si="139"/>
        <v>5.8775185808401007</v>
      </c>
      <c r="L115">
        <f t="shared" si="140"/>
        <v>50.152931660372985</v>
      </c>
      <c r="M115">
        <f t="shared" si="141"/>
        <v>337.51400000000001</v>
      </c>
      <c r="N115">
        <f t="shared" si="142"/>
        <v>156.83169109784313</v>
      </c>
      <c r="O115">
        <f t="shared" si="143"/>
        <v>15.614893217223324</v>
      </c>
      <c r="P115">
        <f t="shared" si="144"/>
        <v>33.604464967669998</v>
      </c>
      <c r="Q115">
        <f t="shared" si="145"/>
        <v>0.49352154288004357</v>
      </c>
      <c r="R115">
        <f t="shared" si="146"/>
        <v>2.9186059256486625</v>
      </c>
      <c r="S115">
        <f t="shared" si="147"/>
        <v>0.45141161501133442</v>
      </c>
      <c r="T115">
        <f t="shared" si="148"/>
        <v>0.28561564752148155</v>
      </c>
      <c r="U115">
        <f t="shared" si="149"/>
        <v>289.57024184753169</v>
      </c>
      <c r="V115">
        <f t="shared" si="150"/>
        <v>28.186907427388544</v>
      </c>
      <c r="W115">
        <f t="shared" si="151"/>
        <v>27.750399999999999</v>
      </c>
      <c r="X115">
        <f t="shared" si="152"/>
        <v>3.7399708844180908</v>
      </c>
      <c r="Y115">
        <f t="shared" si="153"/>
        <v>65.432837516998987</v>
      </c>
      <c r="Z115">
        <f t="shared" si="154"/>
        <v>2.4841281857845003</v>
      </c>
      <c r="AA115">
        <f t="shared" si="155"/>
        <v>3.7964549300481449</v>
      </c>
      <c r="AB115">
        <f t="shared" si="156"/>
        <v>1.2558426986335904</v>
      </c>
      <c r="AC115">
        <f t="shared" si="157"/>
        <v>-259.19856941504844</v>
      </c>
      <c r="AD115">
        <f t="shared" si="158"/>
        <v>40.422671056271582</v>
      </c>
      <c r="AE115">
        <f t="shared" si="159"/>
        <v>3.0153367170877128</v>
      </c>
      <c r="AF115">
        <f t="shared" si="160"/>
        <v>73.809680205842568</v>
      </c>
      <c r="AG115">
        <v>0</v>
      </c>
      <c r="AH115">
        <v>0</v>
      </c>
      <c r="AI115">
        <f t="shared" si="161"/>
        <v>1</v>
      </c>
      <c r="AJ115">
        <f t="shared" si="162"/>
        <v>0</v>
      </c>
      <c r="AK115">
        <f t="shared" si="163"/>
        <v>52374.015221274916</v>
      </c>
      <c r="AL115" t="s">
        <v>415</v>
      </c>
      <c r="AM115">
        <v>10204.299999999999</v>
      </c>
      <c r="AN115">
        <v>862.72538461538477</v>
      </c>
      <c r="AO115">
        <v>3252.56</v>
      </c>
      <c r="AP115">
        <f t="shared" si="164"/>
        <v>0.73475496697512588</v>
      </c>
      <c r="AQ115">
        <v>-6.6684750346205304</v>
      </c>
      <c r="AR115" t="s">
        <v>922</v>
      </c>
      <c r="AS115">
        <v>10054.200000000001</v>
      </c>
      <c r="AT115">
        <v>761.53361538461536</v>
      </c>
      <c r="AU115">
        <v>1147.080839897729</v>
      </c>
      <c r="AV115">
        <f t="shared" si="165"/>
        <v>0.33611164192010057</v>
      </c>
      <c r="AW115">
        <v>0.5</v>
      </c>
      <c r="AX115">
        <f t="shared" si="166"/>
        <v>1513.2017999210007</v>
      </c>
      <c r="AY115">
        <f t="shared" si="167"/>
        <v>50.152931660372985</v>
      </c>
      <c r="AZ115">
        <f t="shared" si="168"/>
        <v>254.30237076394951</v>
      </c>
      <c r="BA115">
        <f t="shared" si="169"/>
        <v>3.7550448788760342E-2</v>
      </c>
      <c r="BB115">
        <f t="shared" si="170"/>
        <v>1.835510704101718</v>
      </c>
      <c r="BC115">
        <f t="shared" si="171"/>
        <v>580.23306037088821</v>
      </c>
      <c r="BD115" t="s">
        <v>923</v>
      </c>
      <c r="BE115">
        <v>570.39</v>
      </c>
      <c r="BF115">
        <f t="shared" si="172"/>
        <v>570.39</v>
      </c>
      <c r="BG115">
        <f t="shared" si="173"/>
        <v>0.50274646724039551</v>
      </c>
      <c r="BH115">
        <f t="shared" si="174"/>
        <v>0.66855097712578027</v>
      </c>
      <c r="BI115">
        <f t="shared" si="175"/>
        <v>0.78499094393803182</v>
      </c>
      <c r="BJ115">
        <f t="shared" si="176"/>
        <v>1.3558636465415912</v>
      </c>
      <c r="BK115">
        <f t="shared" si="177"/>
        <v>0.88101458843561831</v>
      </c>
      <c r="BL115">
        <f t="shared" si="178"/>
        <v>0.50074584251960996</v>
      </c>
      <c r="BM115">
        <f t="shared" si="179"/>
        <v>0.49925415748039004</v>
      </c>
      <c r="BN115">
        <v>5068</v>
      </c>
      <c r="BO115">
        <v>290.00000000000011</v>
      </c>
      <c r="BP115">
        <v>1046.26</v>
      </c>
      <c r="BQ115">
        <v>165</v>
      </c>
      <c r="BR115">
        <v>10054.200000000001</v>
      </c>
      <c r="BS115">
        <v>1046.23</v>
      </c>
      <c r="BT115">
        <v>0.03</v>
      </c>
      <c r="BU115">
        <v>300.00000000000011</v>
      </c>
      <c r="BV115">
        <v>24.1</v>
      </c>
      <c r="BW115">
        <v>1147.080839897729</v>
      </c>
      <c r="BX115">
        <v>2.0648568479813032</v>
      </c>
      <c r="BY115">
        <v>-101.39602888221449</v>
      </c>
      <c r="BZ115">
        <v>1.848578199182471</v>
      </c>
      <c r="CA115">
        <v>0.99077919851080221</v>
      </c>
      <c r="CB115">
        <v>-6.8460066740823186E-3</v>
      </c>
      <c r="CC115">
        <v>289.99999999999989</v>
      </c>
      <c r="CD115">
        <v>1043.67</v>
      </c>
      <c r="CE115">
        <v>675</v>
      </c>
      <c r="CF115">
        <v>10035.5</v>
      </c>
      <c r="CG115">
        <v>1046.04</v>
      </c>
      <c r="CH115">
        <v>-2.37</v>
      </c>
      <c r="CV115">
        <f t="shared" si="180"/>
        <v>1800.02</v>
      </c>
      <c r="CW115">
        <f t="shared" si="181"/>
        <v>1513.2017999210007</v>
      </c>
      <c r="CX115">
        <f t="shared" si="182"/>
        <v>0.8406583259747118</v>
      </c>
      <c r="CY115">
        <f t="shared" si="183"/>
        <v>0.16087056913119394</v>
      </c>
      <c r="CZ115">
        <v>6</v>
      </c>
      <c r="DA115">
        <v>0.5</v>
      </c>
      <c r="DB115" t="s">
        <v>418</v>
      </c>
      <c r="DC115">
        <v>2</v>
      </c>
      <c r="DD115">
        <v>1639691264.0999999</v>
      </c>
      <c r="DE115">
        <v>337.51400000000001</v>
      </c>
      <c r="DF115">
        <v>400.06299999999999</v>
      </c>
      <c r="DG115">
        <v>24.9499</v>
      </c>
      <c r="DH115">
        <v>18.0745</v>
      </c>
      <c r="DI115">
        <v>339.25299999999999</v>
      </c>
      <c r="DJ115">
        <v>24.929600000000001</v>
      </c>
      <c r="DK115">
        <v>500.12</v>
      </c>
      <c r="DL115">
        <v>99.464500000000001</v>
      </c>
      <c r="DM115">
        <v>0.10015499999999999</v>
      </c>
      <c r="DN115">
        <v>28.007300000000001</v>
      </c>
      <c r="DO115">
        <v>27.750399999999999</v>
      </c>
      <c r="DP115">
        <v>999.9</v>
      </c>
      <c r="DQ115">
        <v>0</v>
      </c>
      <c r="DR115">
        <v>0</v>
      </c>
      <c r="DS115">
        <v>9991.25</v>
      </c>
      <c r="DT115">
        <v>0</v>
      </c>
      <c r="DU115">
        <v>233.44399999999999</v>
      </c>
      <c r="DV115">
        <v>-62.5486</v>
      </c>
      <c r="DW115">
        <v>346.15100000000001</v>
      </c>
      <c r="DX115">
        <v>407.42700000000002</v>
      </c>
      <c r="DY115">
        <v>6.8753299999999999</v>
      </c>
      <c r="DZ115">
        <v>400.06299999999999</v>
      </c>
      <c r="EA115">
        <v>18.0745</v>
      </c>
      <c r="EB115">
        <v>2.48163</v>
      </c>
      <c r="EC115">
        <v>1.7977700000000001</v>
      </c>
      <c r="ED115">
        <v>20.906500000000001</v>
      </c>
      <c r="EE115">
        <v>15.7674</v>
      </c>
      <c r="EF115">
        <v>1800.02</v>
      </c>
      <c r="EG115">
        <v>0.97799499999999995</v>
      </c>
      <c r="EH115">
        <v>2.2004699999999999E-2</v>
      </c>
      <c r="EI115">
        <v>0</v>
      </c>
      <c r="EJ115">
        <v>761.45799999999997</v>
      </c>
      <c r="EK115">
        <v>5.0001199999999999</v>
      </c>
      <c r="EL115">
        <v>13529.1</v>
      </c>
      <c r="EM115">
        <v>15630.1</v>
      </c>
      <c r="EN115">
        <v>46.936999999999998</v>
      </c>
      <c r="EO115">
        <v>47.561999999999998</v>
      </c>
      <c r="EP115">
        <v>47.625</v>
      </c>
      <c r="EQ115">
        <v>47.5</v>
      </c>
      <c r="ER115">
        <v>48.436999999999998</v>
      </c>
      <c r="ES115">
        <v>1755.52</v>
      </c>
      <c r="ET115">
        <v>39.5</v>
      </c>
      <c r="EU115">
        <v>0</v>
      </c>
      <c r="EV115">
        <v>1546.1999998092649</v>
      </c>
      <c r="EW115">
        <v>0</v>
      </c>
      <c r="EX115">
        <v>761.53361538461536</v>
      </c>
      <c r="EY115">
        <v>1.3094700925171441</v>
      </c>
      <c r="EZ115">
        <v>13.47350425330675</v>
      </c>
      <c r="FA115">
        <v>13527.042307692311</v>
      </c>
      <c r="FB115">
        <v>15</v>
      </c>
      <c r="FC115">
        <v>1639691226.0999999</v>
      </c>
      <c r="FD115" t="s">
        <v>924</v>
      </c>
      <c r="FE115">
        <v>1639691211.0999999</v>
      </c>
      <c r="FF115">
        <v>1639691226.0999999</v>
      </c>
      <c r="FG115">
        <v>109</v>
      </c>
      <c r="FH115">
        <v>0.38200000000000001</v>
      </c>
      <c r="FI115">
        <v>3.0000000000000001E-3</v>
      </c>
      <c r="FJ115">
        <v>-1.8340000000000001</v>
      </c>
      <c r="FK115">
        <v>-8.5999999999999993E-2</v>
      </c>
      <c r="FL115">
        <v>400</v>
      </c>
      <c r="FM115">
        <v>18</v>
      </c>
      <c r="FN115">
        <v>0.02</v>
      </c>
      <c r="FO115">
        <v>0.01</v>
      </c>
      <c r="FP115">
        <v>50.130771830446562</v>
      </c>
      <c r="FQ115">
        <v>-4.4912758197509922E-2</v>
      </c>
      <c r="FR115">
        <v>3.0639885261943611E-2</v>
      </c>
      <c r="FS115">
        <v>1</v>
      </c>
      <c r="FT115">
        <v>0.4896465620414393</v>
      </c>
      <c r="FU115">
        <v>4.6392913223586831E-2</v>
      </c>
      <c r="FV115">
        <v>5.2386337721331087E-3</v>
      </c>
      <c r="FW115">
        <v>1</v>
      </c>
      <c r="FX115">
        <v>2</v>
      </c>
      <c r="FY115">
        <v>2</v>
      </c>
      <c r="FZ115" t="s">
        <v>420</v>
      </c>
      <c r="GA115">
        <v>2.9202300000000001</v>
      </c>
      <c r="GB115">
        <v>2.74505</v>
      </c>
      <c r="GC115">
        <v>8.0556000000000003E-2</v>
      </c>
      <c r="GD115">
        <v>9.3155799999999997E-2</v>
      </c>
      <c r="GE115">
        <v>0.11981</v>
      </c>
      <c r="GF115">
        <v>9.6813200000000002E-2</v>
      </c>
      <c r="GG115">
        <v>28644.1</v>
      </c>
      <c r="GH115">
        <v>27911.5</v>
      </c>
      <c r="GI115">
        <v>28363.8</v>
      </c>
      <c r="GJ115">
        <v>28146.9</v>
      </c>
      <c r="GK115">
        <v>34263.300000000003</v>
      </c>
      <c r="GL115">
        <v>35707.4</v>
      </c>
      <c r="GM115">
        <v>42682.1</v>
      </c>
      <c r="GN115">
        <v>43799.199999999997</v>
      </c>
      <c r="GO115">
        <v>1.7892699999999999</v>
      </c>
      <c r="GP115">
        <v>1.9782999999999999</v>
      </c>
      <c r="GQ115">
        <v>3.2752799999999999E-2</v>
      </c>
      <c r="GR115">
        <v>0</v>
      </c>
      <c r="GS115">
        <v>27.215199999999999</v>
      </c>
      <c r="GT115">
        <v>999.9</v>
      </c>
      <c r="GU115">
        <v>41</v>
      </c>
      <c r="GV115">
        <v>34.700000000000003</v>
      </c>
      <c r="GW115">
        <v>22.898900000000001</v>
      </c>
      <c r="GX115">
        <v>60.750300000000003</v>
      </c>
      <c r="GY115">
        <v>29.302900000000001</v>
      </c>
      <c r="GZ115">
        <v>1</v>
      </c>
      <c r="HA115">
        <v>0.363674</v>
      </c>
      <c r="HB115">
        <v>2.46462</v>
      </c>
      <c r="HC115">
        <v>20.258400000000002</v>
      </c>
      <c r="HD115">
        <v>5.2755400000000003</v>
      </c>
      <c r="HE115">
        <v>12.0878</v>
      </c>
      <c r="HF115">
        <v>5.0135500000000004</v>
      </c>
      <c r="HG115">
        <v>3.2919499999999999</v>
      </c>
      <c r="HH115">
        <v>9999</v>
      </c>
      <c r="HI115">
        <v>9999</v>
      </c>
      <c r="HJ115">
        <v>9999</v>
      </c>
      <c r="HK115">
        <v>999.9</v>
      </c>
      <c r="HL115">
        <v>1.8751500000000001</v>
      </c>
      <c r="HM115">
        <v>1.87554</v>
      </c>
      <c r="HN115">
        <v>1.87534</v>
      </c>
      <c r="HO115">
        <v>1.87927</v>
      </c>
      <c r="HP115">
        <v>1.8727100000000001</v>
      </c>
      <c r="HQ115">
        <v>1.8759300000000001</v>
      </c>
      <c r="HR115">
        <v>1.8757299999999999</v>
      </c>
      <c r="HS115">
        <v>1.8771</v>
      </c>
      <c r="HT115">
        <v>0</v>
      </c>
      <c r="HU115">
        <v>0</v>
      </c>
      <c r="HV115">
        <v>0</v>
      </c>
      <c r="HW115">
        <v>0</v>
      </c>
      <c r="HX115" t="s">
        <v>421</v>
      </c>
      <c r="HY115" t="s">
        <v>422</v>
      </c>
      <c r="HZ115" t="s">
        <v>423</v>
      </c>
      <c r="IA115" t="s">
        <v>423</v>
      </c>
      <c r="IB115" t="s">
        <v>423</v>
      </c>
      <c r="IC115" t="s">
        <v>423</v>
      </c>
      <c r="ID115">
        <v>0</v>
      </c>
      <c r="IE115">
        <v>100</v>
      </c>
      <c r="IF115">
        <v>100</v>
      </c>
      <c r="IG115">
        <v>-1.7390000000000001</v>
      </c>
      <c r="IH115">
        <v>2.0299999999999999E-2</v>
      </c>
      <c r="II115">
        <v>-1.21346567824499</v>
      </c>
      <c r="IJ115">
        <v>-1.5404112972462821E-3</v>
      </c>
      <c r="IK115">
        <v>-5.8697186733976997E-8</v>
      </c>
      <c r="IL115">
        <v>1.160237123038427E-10</v>
      </c>
      <c r="IM115">
        <v>-0.16059068856973441</v>
      </c>
      <c r="IN115">
        <v>-3.128848753924141E-3</v>
      </c>
      <c r="IO115">
        <v>3.6841110403368089E-4</v>
      </c>
      <c r="IP115">
        <v>1.9296040270694169E-6</v>
      </c>
      <c r="IQ115">
        <v>1</v>
      </c>
      <c r="IR115">
        <v>1992</v>
      </c>
      <c r="IS115">
        <v>2</v>
      </c>
      <c r="IT115">
        <v>27</v>
      </c>
      <c r="IU115">
        <v>0.9</v>
      </c>
      <c r="IV115">
        <v>0.6</v>
      </c>
      <c r="IW115">
        <v>1.0400400000000001</v>
      </c>
      <c r="IX115">
        <v>2.65747</v>
      </c>
      <c r="IY115">
        <v>1.69434</v>
      </c>
      <c r="IZ115">
        <v>2.34863</v>
      </c>
      <c r="JA115">
        <v>1.5466299999999999</v>
      </c>
      <c r="JB115">
        <v>2.4316399999999998</v>
      </c>
      <c r="JC115">
        <v>38.550400000000003</v>
      </c>
      <c r="JD115">
        <v>24.105</v>
      </c>
      <c r="JE115">
        <v>18</v>
      </c>
      <c r="JF115">
        <v>528.51199999999994</v>
      </c>
      <c r="JG115">
        <v>538.92899999999997</v>
      </c>
      <c r="JH115">
        <v>25.146000000000001</v>
      </c>
      <c r="JI115">
        <v>31.696100000000001</v>
      </c>
      <c r="JJ115">
        <v>30.0001</v>
      </c>
      <c r="JK115">
        <v>31.633700000000001</v>
      </c>
      <c r="JL115">
        <v>31.581499999999998</v>
      </c>
      <c r="JM115">
        <v>20.894200000000001</v>
      </c>
      <c r="JN115">
        <v>25.4862</v>
      </c>
      <c r="JO115">
        <v>37.094099999999997</v>
      </c>
      <c r="JP115">
        <v>25.146100000000001</v>
      </c>
      <c r="JQ115">
        <v>400</v>
      </c>
      <c r="JR115">
        <v>17.9819</v>
      </c>
      <c r="JS115">
        <v>99.452299999999994</v>
      </c>
      <c r="JT115">
        <v>98.6417</v>
      </c>
    </row>
    <row r="116" spans="1:280" x14ac:dyDescent="0.25">
      <c r="A116">
        <v>100</v>
      </c>
      <c r="B116">
        <v>1639691378.5</v>
      </c>
      <c r="C116">
        <v>24776.400000095371</v>
      </c>
      <c r="D116" t="s">
        <v>925</v>
      </c>
      <c r="E116" t="s">
        <v>926</v>
      </c>
      <c r="F116" t="s">
        <v>412</v>
      </c>
      <c r="G116" t="s">
        <v>921</v>
      </c>
      <c r="H116" t="s">
        <v>636</v>
      </c>
      <c r="I116">
        <v>1639691378.5</v>
      </c>
      <c r="J116">
        <f t="shared" si="138"/>
        <v>5.9171500856943634E-3</v>
      </c>
      <c r="K116">
        <f t="shared" si="139"/>
        <v>5.9171500856943631</v>
      </c>
      <c r="L116">
        <f t="shared" si="140"/>
        <v>44.877683637128051</v>
      </c>
      <c r="M116">
        <f t="shared" si="141"/>
        <v>244.535</v>
      </c>
      <c r="N116">
        <f t="shared" si="142"/>
        <v>85.881687783613685</v>
      </c>
      <c r="O116">
        <f t="shared" si="143"/>
        <v>8.5506706864328486</v>
      </c>
      <c r="P116">
        <f t="shared" si="144"/>
        <v>24.346729905625001</v>
      </c>
      <c r="Q116">
        <f t="shared" si="145"/>
        <v>0.49994111144920284</v>
      </c>
      <c r="R116">
        <f t="shared" si="146"/>
        <v>2.9150691898627477</v>
      </c>
      <c r="S116">
        <f t="shared" si="147"/>
        <v>0.45673229451617631</v>
      </c>
      <c r="T116">
        <f t="shared" si="148"/>
        <v>0.2890279790742924</v>
      </c>
      <c r="U116">
        <f t="shared" si="149"/>
        <v>289.57343384753341</v>
      </c>
      <c r="V116">
        <f t="shared" si="150"/>
        <v>28.166683016179896</v>
      </c>
      <c r="W116">
        <f t="shared" si="151"/>
        <v>27.745999999999999</v>
      </c>
      <c r="X116">
        <f t="shared" si="152"/>
        <v>3.7390098883984173</v>
      </c>
      <c r="Y116">
        <f t="shared" si="153"/>
        <v>65.612233385516632</v>
      </c>
      <c r="Z116">
        <f t="shared" si="154"/>
        <v>2.4894726721625</v>
      </c>
      <c r="AA116">
        <f t="shared" si="155"/>
        <v>3.7942202904984952</v>
      </c>
      <c r="AB116">
        <f t="shared" si="156"/>
        <v>1.2495372162359173</v>
      </c>
      <c r="AC116">
        <f t="shared" si="157"/>
        <v>-260.94631877912144</v>
      </c>
      <c r="AD116">
        <f t="shared" si="158"/>
        <v>39.477891193166897</v>
      </c>
      <c r="AE116">
        <f t="shared" si="159"/>
        <v>2.9482204114164952</v>
      </c>
      <c r="AF116">
        <f t="shared" si="160"/>
        <v>71.053226672995379</v>
      </c>
      <c r="AG116">
        <v>0</v>
      </c>
      <c r="AH116">
        <v>0</v>
      </c>
      <c r="AI116">
        <f t="shared" si="161"/>
        <v>1</v>
      </c>
      <c r="AJ116">
        <f t="shared" si="162"/>
        <v>0</v>
      </c>
      <c r="AK116">
        <f t="shared" si="163"/>
        <v>52274.269649520247</v>
      </c>
      <c r="AL116" t="s">
        <v>415</v>
      </c>
      <c r="AM116">
        <v>10204.299999999999</v>
      </c>
      <c r="AN116">
        <v>862.72538461538477</v>
      </c>
      <c r="AO116">
        <v>3252.56</v>
      </c>
      <c r="AP116">
        <f t="shared" si="164"/>
        <v>0.73475496697512588</v>
      </c>
      <c r="AQ116">
        <v>-6.6684750346205304</v>
      </c>
      <c r="AR116" t="s">
        <v>927</v>
      </c>
      <c r="AS116">
        <v>10057.5</v>
      </c>
      <c r="AT116">
        <v>752.97175999999979</v>
      </c>
      <c r="AU116">
        <v>1093.1248515615539</v>
      </c>
      <c r="AV116">
        <f t="shared" si="165"/>
        <v>0.31117496878388373</v>
      </c>
      <c r="AW116">
        <v>0.5</v>
      </c>
      <c r="AX116">
        <f t="shared" si="166"/>
        <v>1513.2185999210017</v>
      </c>
      <c r="AY116">
        <f t="shared" si="167"/>
        <v>44.877683637128051</v>
      </c>
      <c r="AZ116">
        <f t="shared" si="168"/>
        <v>235.43787529680498</v>
      </c>
      <c r="BA116">
        <f t="shared" si="169"/>
        <v>3.406392088653918E-2</v>
      </c>
      <c r="BB116">
        <f t="shared" si="170"/>
        <v>1.9754698151392711</v>
      </c>
      <c r="BC116">
        <f t="shared" si="171"/>
        <v>566.09888014677983</v>
      </c>
      <c r="BD116" t="s">
        <v>928</v>
      </c>
      <c r="BE116">
        <v>564.42999999999995</v>
      </c>
      <c r="BF116">
        <f t="shared" si="172"/>
        <v>564.42999999999995</v>
      </c>
      <c r="BG116">
        <f t="shared" si="173"/>
        <v>0.48365458968964181</v>
      </c>
      <c r="BH116">
        <f t="shared" si="174"/>
        <v>0.64338264417910895</v>
      </c>
      <c r="BI116">
        <f t="shared" si="175"/>
        <v>0.80332243918205071</v>
      </c>
      <c r="BJ116">
        <f t="shared" si="176"/>
        <v>1.4763623200613913</v>
      </c>
      <c r="BK116">
        <f t="shared" si="177"/>
        <v>0.90359187808940122</v>
      </c>
      <c r="BL116">
        <f t="shared" si="178"/>
        <v>0.48228165403442824</v>
      </c>
      <c r="BM116">
        <f t="shared" si="179"/>
        <v>0.51771834596557176</v>
      </c>
      <c r="BN116">
        <v>5070</v>
      </c>
      <c r="BO116">
        <v>290.00000000000011</v>
      </c>
      <c r="BP116">
        <v>1002.55</v>
      </c>
      <c r="BQ116">
        <v>125</v>
      </c>
      <c r="BR116">
        <v>10057.5</v>
      </c>
      <c r="BS116">
        <v>1002.49</v>
      </c>
      <c r="BT116">
        <v>0.06</v>
      </c>
      <c r="BU116">
        <v>300.00000000000011</v>
      </c>
      <c r="BV116">
        <v>24.1</v>
      </c>
      <c r="BW116">
        <v>1093.1248515615539</v>
      </c>
      <c r="BX116">
        <v>1.8836765805270941</v>
      </c>
      <c r="BY116">
        <v>-91.158767704365133</v>
      </c>
      <c r="BZ116">
        <v>1.686290553642291</v>
      </c>
      <c r="CA116">
        <v>0.99050959727408028</v>
      </c>
      <c r="CB116">
        <v>-6.8455610678531658E-3</v>
      </c>
      <c r="CC116">
        <v>289.99999999999989</v>
      </c>
      <c r="CD116">
        <v>1000.24</v>
      </c>
      <c r="CE116">
        <v>775</v>
      </c>
      <c r="CF116">
        <v>10031.5</v>
      </c>
      <c r="CG116">
        <v>1002.25</v>
      </c>
      <c r="CH116">
        <v>-2.0099999999999998</v>
      </c>
      <c r="CV116">
        <f t="shared" si="180"/>
        <v>1800.04</v>
      </c>
      <c r="CW116">
        <f t="shared" si="181"/>
        <v>1513.2185999210017</v>
      </c>
      <c r="CX116">
        <f t="shared" si="182"/>
        <v>0.84065831866014185</v>
      </c>
      <c r="CY116">
        <f t="shared" si="183"/>
        <v>0.1608705550140738</v>
      </c>
      <c r="CZ116">
        <v>6</v>
      </c>
      <c r="DA116">
        <v>0.5</v>
      </c>
      <c r="DB116" t="s">
        <v>418</v>
      </c>
      <c r="DC116">
        <v>2</v>
      </c>
      <c r="DD116">
        <v>1639691378.5</v>
      </c>
      <c r="DE116">
        <v>244.535</v>
      </c>
      <c r="DF116">
        <v>300.10899999999998</v>
      </c>
      <c r="DG116">
        <v>25.003900000000002</v>
      </c>
      <c r="DH116">
        <v>18.082799999999999</v>
      </c>
      <c r="DI116">
        <v>246.161</v>
      </c>
      <c r="DJ116">
        <v>24.985099999999999</v>
      </c>
      <c r="DK116">
        <v>500.14</v>
      </c>
      <c r="DL116">
        <v>99.462800000000001</v>
      </c>
      <c r="DM116">
        <v>0.100575</v>
      </c>
      <c r="DN116">
        <v>27.997199999999999</v>
      </c>
      <c r="DO116">
        <v>27.745999999999999</v>
      </c>
      <c r="DP116">
        <v>999.9</v>
      </c>
      <c r="DQ116">
        <v>0</v>
      </c>
      <c r="DR116">
        <v>0</v>
      </c>
      <c r="DS116">
        <v>9971.25</v>
      </c>
      <c r="DT116">
        <v>0</v>
      </c>
      <c r="DU116">
        <v>233.136</v>
      </c>
      <c r="DV116">
        <v>-55.574399999999997</v>
      </c>
      <c r="DW116">
        <v>250.80600000000001</v>
      </c>
      <c r="DX116">
        <v>305.63600000000002</v>
      </c>
      <c r="DY116">
        <v>6.9210500000000001</v>
      </c>
      <c r="DZ116">
        <v>300.10899999999998</v>
      </c>
      <c r="EA116">
        <v>18.082799999999999</v>
      </c>
      <c r="EB116">
        <v>2.4869599999999998</v>
      </c>
      <c r="EC116">
        <v>1.79857</v>
      </c>
      <c r="ED116">
        <v>20.941400000000002</v>
      </c>
      <c r="EE116">
        <v>15.7744</v>
      </c>
      <c r="EF116">
        <v>1800.04</v>
      </c>
      <c r="EG116">
        <v>0.97799499999999995</v>
      </c>
      <c r="EH116">
        <v>2.2004699999999999E-2</v>
      </c>
      <c r="EI116">
        <v>0</v>
      </c>
      <c r="EJ116">
        <v>752.83100000000002</v>
      </c>
      <c r="EK116">
        <v>5.0001199999999999</v>
      </c>
      <c r="EL116">
        <v>13364.5</v>
      </c>
      <c r="EM116">
        <v>15630.3</v>
      </c>
      <c r="EN116">
        <v>46.875</v>
      </c>
      <c r="EO116">
        <v>47.561999999999998</v>
      </c>
      <c r="EP116">
        <v>47.625</v>
      </c>
      <c r="EQ116">
        <v>47.436999999999998</v>
      </c>
      <c r="ER116">
        <v>48.5</v>
      </c>
      <c r="ES116">
        <v>1755.54</v>
      </c>
      <c r="ET116">
        <v>39.5</v>
      </c>
      <c r="EU116">
        <v>0</v>
      </c>
      <c r="EV116">
        <v>112.7999999523163</v>
      </c>
      <c r="EW116">
        <v>0</v>
      </c>
      <c r="EX116">
        <v>752.97175999999979</v>
      </c>
      <c r="EY116">
        <v>0.27661537842810141</v>
      </c>
      <c r="EZ116">
        <v>-18.976923120297801</v>
      </c>
      <c r="FA116">
        <v>13366.335999999999</v>
      </c>
      <c r="FB116">
        <v>15</v>
      </c>
      <c r="FC116">
        <v>1639691342.5999999</v>
      </c>
      <c r="FD116" t="s">
        <v>929</v>
      </c>
      <c r="FE116">
        <v>1639691333.5999999</v>
      </c>
      <c r="FF116">
        <v>1639691342.5999999</v>
      </c>
      <c r="FG116">
        <v>110</v>
      </c>
      <c r="FH116">
        <v>-3.2000000000000001E-2</v>
      </c>
      <c r="FI116">
        <v>-2E-3</v>
      </c>
      <c r="FJ116">
        <v>-1.7130000000000001</v>
      </c>
      <c r="FK116">
        <v>-8.7999999999999995E-2</v>
      </c>
      <c r="FL116">
        <v>300</v>
      </c>
      <c r="FM116">
        <v>18</v>
      </c>
      <c r="FN116">
        <v>0.02</v>
      </c>
      <c r="FO116">
        <v>0.01</v>
      </c>
      <c r="FP116">
        <v>44.829201090765586</v>
      </c>
      <c r="FQ116">
        <v>0.14051964210654319</v>
      </c>
      <c r="FR116">
        <v>4.2150889188707477E-2</v>
      </c>
      <c r="FS116">
        <v>1</v>
      </c>
      <c r="FT116">
        <v>0.49676135813476918</v>
      </c>
      <c r="FU116">
        <v>4.2641471833314293E-2</v>
      </c>
      <c r="FV116">
        <v>5.4411261047713636E-3</v>
      </c>
      <c r="FW116">
        <v>1</v>
      </c>
      <c r="FX116">
        <v>2</v>
      </c>
      <c r="FY116">
        <v>2</v>
      </c>
      <c r="FZ116" t="s">
        <v>420</v>
      </c>
      <c r="GA116">
        <v>2.9202699999999999</v>
      </c>
      <c r="GB116">
        <v>2.7452999999999999</v>
      </c>
      <c r="GC116">
        <v>6.1862599999999997E-2</v>
      </c>
      <c r="GD116">
        <v>7.4240100000000003E-2</v>
      </c>
      <c r="GE116">
        <v>0.119989</v>
      </c>
      <c r="GF116">
        <v>9.6839700000000001E-2</v>
      </c>
      <c r="GG116">
        <v>29227.4</v>
      </c>
      <c r="GH116">
        <v>28493.9</v>
      </c>
      <c r="GI116">
        <v>28365.1</v>
      </c>
      <c r="GJ116">
        <v>28147.3</v>
      </c>
      <c r="GK116">
        <v>34257.9</v>
      </c>
      <c r="GL116">
        <v>35707.1</v>
      </c>
      <c r="GM116">
        <v>42684</v>
      </c>
      <c r="GN116">
        <v>43800</v>
      </c>
      <c r="GO116">
        <v>1.7894300000000001</v>
      </c>
      <c r="GP116">
        <v>1.97773</v>
      </c>
      <c r="GQ116">
        <v>3.7610499999999998E-2</v>
      </c>
      <c r="GR116">
        <v>0</v>
      </c>
      <c r="GS116">
        <v>27.1313</v>
      </c>
      <c r="GT116">
        <v>999.9</v>
      </c>
      <c r="GU116">
        <v>40.700000000000003</v>
      </c>
      <c r="GV116">
        <v>34.700000000000003</v>
      </c>
      <c r="GW116">
        <v>22.7318</v>
      </c>
      <c r="GX116">
        <v>61.350299999999997</v>
      </c>
      <c r="GY116">
        <v>29.326899999999998</v>
      </c>
      <c r="GZ116">
        <v>1</v>
      </c>
      <c r="HA116">
        <v>0.36230899999999999</v>
      </c>
      <c r="HB116">
        <v>2.4412400000000001</v>
      </c>
      <c r="HC116">
        <v>20.258500000000002</v>
      </c>
      <c r="HD116">
        <v>5.2753899999999998</v>
      </c>
      <c r="HE116">
        <v>12.0878</v>
      </c>
      <c r="HF116">
        <v>5.0135500000000004</v>
      </c>
      <c r="HG116">
        <v>3.2917999999999998</v>
      </c>
      <c r="HH116">
        <v>9999</v>
      </c>
      <c r="HI116">
        <v>9999</v>
      </c>
      <c r="HJ116">
        <v>9999</v>
      </c>
      <c r="HK116">
        <v>999.9</v>
      </c>
      <c r="HL116">
        <v>1.8751500000000001</v>
      </c>
      <c r="HM116">
        <v>1.87561</v>
      </c>
      <c r="HN116">
        <v>1.8753200000000001</v>
      </c>
      <c r="HO116">
        <v>1.8792800000000001</v>
      </c>
      <c r="HP116">
        <v>1.8727199999999999</v>
      </c>
      <c r="HQ116">
        <v>1.87592</v>
      </c>
      <c r="HR116">
        <v>1.87574</v>
      </c>
      <c r="HS116">
        <v>1.87713</v>
      </c>
      <c r="HT116">
        <v>0</v>
      </c>
      <c r="HU116">
        <v>0</v>
      </c>
      <c r="HV116">
        <v>0</v>
      </c>
      <c r="HW116">
        <v>0</v>
      </c>
      <c r="HX116" t="s">
        <v>421</v>
      </c>
      <c r="HY116" t="s">
        <v>422</v>
      </c>
      <c r="HZ116" t="s">
        <v>423</v>
      </c>
      <c r="IA116" t="s">
        <v>423</v>
      </c>
      <c r="IB116" t="s">
        <v>423</v>
      </c>
      <c r="IC116" t="s">
        <v>423</v>
      </c>
      <c r="ID116">
        <v>0</v>
      </c>
      <c r="IE116">
        <v>100</v>
      </c>
      <c r="IF116">
        <v>100</v>
      </c>
      <c r="IG116">
        <v>-1.6259999999999999</v>
      </c>
      <c r="IH116">
        <v>1.8800000000000001E-2</v>
      </c>
      <c r="II116">
        <v>-1.2458005661357781</v>
      </c>
      <c r="IJ116">
        <v>-1.5404112972462821E-3</v>
      </c>
      <c r="IK116">
        <v>-5.8697186733976997E-8</v>
      </c>
      <c r="IL116">
        <v>1.160237123038427E-10</v>
      </c>
      <c r="IM116">
        <v>-0.16309552969349511</v>
      </c>
      <c r="IN116">
        <v>-3.128848753924141E-3</v>
      </c>
      <c r="IO116">
        <v>3.6841110403368089E-4</v>
      </c>
      <c r="IP116">
        <v>1.9296040270694169E-6</v>
      </c>
      <c r="IQ116">
        <v>1</v>
      </c>
      <c r="IR116">
        <v>1992</v>
      </c>
      <c r="IS116">
        <v>2</v>
      </c>
      <c r="IT116">
        <v>27</v>
      </c>
      <c r="IU116">
        <v>0.7</v>
      </c>
      <c r="IV116">
        <v>0.6</v>
      </c>
      <c r="IW116">
        <v>0.82885699999999995</v>
      </c>
      <c r="IX116">
        <v>2.66479</v>
      </c>
      <c r="IY116">
        <v>1.69434</v>
      </c>
      <c r="IZ116">
        <v>2.34863</v>
      </c>
      <c r="JA116">
        <v>1.5466299999999999</v>
      </c>
      <c r="JB116">
        <v>2.3974600000000001</v>
      </c>
      <c r="JC116">
        <v>38.550400000000003</v>
      </c>
      <c r="JD116">
        <v>24.096299999999999</v>
      </c>
      <c r="JE116">
        <v>18</v>
      </c>
      <c r="JF116">
        <v>528.77300000000002</v>
      </c>
      <c r="JG116">
        <v>538.65</v>
      </c>
      <c r="JH116">
        <v>25.157599999999999</v>
      </c>
      <c r="JI116">
        <v>31.696100000000001</v>
      </c>
      <c r="JJ116">
        <v>30</v>
      </c>
      <c r="JK116">
        <v>31.647600000000001</v>
      </c>
      <c r="JL116">
        <v>31.598099999999999</v>
      </c>
      <c r="JM116">
        <v>16.669799999999999</v>
      </c>
      <c r="JN116">
        <v>24.3216</v>
      </c>
      <c r="JO116">
        <v>36.979599999999998</v>
      </c>
      <c r="JP116">
        <v>25.1617</v>
      </c>
      <c r="JQ116">
        <v>300</v>
      </c>
      <c r="JR116">
        <v>17.921500000000002</v>
      </c>
      <c r="JS116">
        <v>99.456699999999998</v>
      </c>
      <c r="JT116">
        <v>98.6434</v>
      </c>
    </row>
    <row r="117" spans="1:280" x14ac:dyDescent="0.25">
      <c r="A117">
        <v>101</v>
      </c>
      <c r="B117">
        <v>1639691519.5</v>
      </c>
      <c r="C117">
        <v>24917.400000095371</v>
      </c>
      <c r="D117" t="s">
        <v>930</v>
      </c>
      <c r="E117" t="s">
        <v>931</v>
      </c>
      <c r="F117" t="s">
        <v>412</v>
      </c>
      <c r="G117" t="s">
        <v>921</v>
      </c>
      <c r="H117" t="s">
        <v>636</v>
      </c>
      <c r="I117">
        <v>1639691519.5</v>
      </c>
      <c r="J117">
        <f t="shared" si="138"/>
        <v>6.3956789433446013E-3</v>
      </c>
      <c r="K117">
        <f t="shared" si="139"/>
        <v>6.3956789433446017</v>
      </c>
      <c r="L117">
        <f t="shared" si="140"/>
        <v>33.936480747941154</v>
      </c>
      <c r="M117">
        <f t="shared" si="141"/>
        <v>158.02799999999999</v>
      </c>
      <c r="N117">
        <f t="shared" si="142"/>
        <v>48.874097384959377</v>
      </c>
      <c r="O117">
        <f t="shared" si="143"/>
        <v>4.8660608485208243</v>
      </c>
      <c r="P117">
        <f t="shared" si="144"/>
        <v>15.733771157207999</v>
      </c>
      <c r="Q117">
        <f t="shared" si="145"/>
        <v>0.55251650242992523</v>
      </c>
      <c r="R117">
        <f t="shared" si="146"/>
        <v>2.9181431901682751</v>
      </c>
      <c r="S117">
        <f t="shared" si="147"/>
        <v>0.50029947904424943</v>
      </c>
      <c r="T117">
        <f t="shared" si="148"/>
        <v>0.31696640809765414</v>
      </c>
      <c r="U117">
        <f t="shared" si="149"/>
        <v>289.57822184753593</v>
      </c>
      <c r="V117">
        <f t="shared" si="150"/>
        <v>28.031329770837981</v>
      </c>
      <c r="W117">
        <f t="shared" si="151"/>
        <v>27.616900000000001</v>
      </c>
      <c r="X117">
        <f t="shared" si="152"/>
        <v>3.7109091298595729</v>
      </c>
      <c r="Y117">
        <f t="shared" si="153"/>
        <v>65.341023939379923</v>
      </c>
      <c r="Z117">
        <f t="shared" si="154"/>
        <v>2.4776796652030004</v>
      </c>
      <c r="AA117">
        <f t="shared" si="155"/>
        <v>3.7919204748025761</v>
      </c>
      <c r="AB117">
        <f t="shared" si="156"/>
        <v>1.2332294646565725</v>
      </c>
      <c r="AC117">
        <f t="shared" si="157"/>
        <v>-282.04944140149689</v>
      </c>
      <c r="AD117">
        <f t="shared" si="158"/>
        <v>58.193753903723056</v>
      </c>
      <c r="AE117">
        <f t="shared" si="159"/>
        <v>4.3383307137368448</v>
      </c>
      <c r="AF117">
        <f t="shared" si="160"/>
        <v>70.060865063498966</v>
      </c>
      <c r="AG117">
        <v>0</v>
      </c>
      <c r="AH117">
        <v>0</v>
      </c>
      <c r="AI117">
        <f t="shared" si="161"/>
        <v>1</v>
      </c>
      <c r="AJ117">
        <f t="shared" si="162"/>
        <v>0</v>
      </c>
      <c r="AK117">
        <f t="shared" si="163"/>
        <v>52364.271909229108</v>
      </c>
      <c r="AL117" t="s">
        <v>415</v>
      </c>
      <c r="AM117">
        <v>10204.299999999999</v>
      </c>
      <c r="AN117">
        <v>862.72538461538477</v>
      </c>
      <c r="AO117">
        <v>3252.56</v>
      </c>
      <c r="AP117">
        <f t="shared" si="164"/>
        <v>0.73475496697512588</v>
      </c>
      <c r="AQ117">
        <v>-6.6684750346205304</v>
      </c>
      <c r="AR117" t="s">
        <v>932</v>
      </c>
      <c r="AS117">
        <v>10045.9</v>
      </c>
      <c r="AT117">
        <v>753.01938461538464</v>
      </c>
      <c r="AU117">
        <v>1013.573724217552</v>
      </c>
      <c r="AV117">
        <f t="shared" si="165"/>
        <v>0.25706501004976956</v>
      </c>
      <c r="AW117">
        <v>0.5</v>
      </c>
      <c r="AX117">
        <f t="shared" si="166"/>
        <v>1513.2437999210031</v>
      </c>
      <c r="AY117">
        <f t="shared" si="167"/>
        <v>33.936480747941154</v>
      </c>
      <c r="AZ117">
        <f t="shared" si="168"/>
        <v>194.50101631722205</v>
      </c>
      <c r="BA117">
        <f t="shared" si="169"/>
        <v>2.6833056104166038E-2</v>
      </c>
      <c r="BB117">
        <f t="shared" si="170"/>
        <v>2.2090018932869211</v>
      </c>
      <c r="BC117">
        <f t="shared" si="171"/>
        <v>543.98815596071427</v>
      </c>
      <c r="BD117" t="s">
        <v>933</v>
      </c>
      <c r="BE117">
        <v>556.63</v>
      </c>
      <c r="BF117">
        <f t="shared" si="172"/>
        <v>556.63</v>
      </c>
      <c r="BG117">
        <f t="shared" si="173"/>
        <v>0.45082435870197668</v>
      </c>
      <c r="BH117">
        <f t="shared" si="174"/>
        <v>0.5702110036598661</v>
      </c>
      <c r="BI117">
        <f t="shared" si="175"/>
        <v>0.83050608724352937</v>
      </c>
      <c r="BJ117">
        <f t="shared" si="176"/>
        <v>1.7272602422361962</v>
      </c>
      <c r="BK117">
        <f t="shared" si="177"/>
        <v>0.93687917204350568</v>
      </c>
      <c r="BL117">
        <f t="shared" si="178"/>
        <v>0.42149851312168557</v>
      </c>
      <c r="BM117">
        <f t="shared" si="179"/>
        <v>0.57850148687831449</v>
      </c>
      <c r="BN117">
        <v>5072</v>
      </c>
      <c r="BO117">
        <v>290.00000000000011</v>
      </c>
      <c r="BP117">
        <v>938.83</v>
      </c>
      <c r="BQ117">
        <v>265</v>
      </c>
      <c r="BR117">
        <v>10045.9</v>
      </c>
      <c r="BS117">
        <v>938.92</v>
      </c>
      <c r="BT117">
        <v>-0.09</v>
      </c>
      <c r="BU117">
        <v>300.00000000000011</v>
      </c>
      <c r="BV117">
        <v>24.1</v>
      </c>
      <c r="BW117">
        <v>1013.573724217552</v>
      </c>
      <c r="BX117">
        <v>2.0763729835614821</v>
      </c>
      <c r="BY117">
        <v>-75.001282151730521</v>
      </c>
      <c r="BZ117">
        <v>1.8587491555173961</v>
      </c>
      <c r="CA117">
        <v>0.98309337217228654</v>
      </c>
      <c r="CB117">
        <v>-6.8452400444938858E-3</v>
      </c>
      <c r="CC117">
        <v>289.99999999999989</v>
      </c>
      <c r="CD117">
        <v>937.02</v>
      </c>
      <c r="CE117">
        <v>675</v>
      </c>
      <c r="CF117">
        <v>10034.700000000001</v>
      </c>
      <c r="CG117">
        <v>938.83</v>
      </c>
      <c r="CH117">
        <v>-1.81</v>
      </c>
      <c r="CV117">
        <f t="shared" si="180"/>
        <v>1800.07</v>
      </c>
      <c r="CW117">
        <f t="shared" si="181"/>
        <v>1513.2437999210031</v>
      </c>
      <c r="CX117">
        <f t="shared" si="182"/>
        <v>0.84065830768859162</v>
      </c>
      <c r="CY117">
        <f t="shared" si="183"/>
        <v>0.16087053383898178</v>
      </c>
      <c r="CZ117">
        <v>6</v>
      </c>
      <c r="DA117">
        <v>0.5</v>
      </c>
      <c r="DB117" t="s">
        <v>418</v>
      </c>
      <c r="DC117">
        <v>2</v>
      </c>
      <c r="DD117">
        <v>1639691519.5</v>
      </c>
      <c r="DE117">
        <v>158.02799999999999</v>
      </c>
      <c r="DF117">
        <v>199.96</v>
      </c>
      <c r="DG117">
        <v>24.8855</v>
      </c>
      <c r="DH117">
        <v>17.4025</v>
      </c>
      <c r="DI117">
        <v>159.53399999999999</v>
      </c>
      <c r="DJ117">
        <v>24.869199999999999</v>
      </c>
      <c r="DK117">
        <v>500.05500000000001</v>
      </c>
      <c r="DL117">
        <v>99.463099999999997</v>
      </c>
      <c r="DM117">
        <v>0.10008599999999999</v>
      </c>
      <c r="DN117">
        <v>27.986799999999999</v>
      </c>
      <c r="DO117">
        <v>27.616900000000001</v>
      </c>
      <c r="DP117">
        <v>999.9</v>
      </c>
      <c r="DQ117">
        <v>0</v>
      </c>
      <c r="DR117">
        <v>0</v>
      </c>
      <c r="DS117">
        <v>9988.75</v>
      </c>
      <c r="DT117">
        <v>0</v>
      </c>
      <c r="DU117">
        <v>232.85400000000001</v>
      </c>
      <c r="DV117">
        <v>-41.931800000000003</v>
      </c>
      <c r="DW117">
        <v>162.06100000000001</v>
      </c>
      <c r="DX117">
        <v>203.501</v>
      </c>
      <c r="DY117">
        <v>7.4830399999999999</v>
      </c>
      <c r="DZ117">
        <v>199.96</v>
      </c>
      <c r="EA117">
        <v>17.4025</v>
      </c>
      <c r="EB117">
        <v>2.47519</v>
      </c>
      <c r="EC117">
        <v>1.7309000000000001</v>
      </c>
      <c r="ED117">
        <v>20.8643</v>
      </c>
      <c r="EE117">
        <v>15.176399999999999</v>
      </c>
      <c r="EF117">
        <v>1800.07</v>
      </c>
      <c r="EG117">
        <v>0.97799499999999995</v>
      </c>
      <c r="EH117">
        <v>2.2004800000000001E-2</v>
      </c>
      <c r="EI117">
        <v>0</v>
      </c>
      <c r="EJ117">
        <v>752.63300000000004</v>
      </c>
      <c r="EK117">
        <v>5.0001199999999999</v>
      </c>
      <c r="EL117">
        <v>13345.4</v>
      </c>
      <c r="EM117">
        <v>15630.5</v>
      </c>
      <c r="EN117">
        <v>46.875</v>
      </c>
      <c r="EO117">
        <v>47.5</v>
      </c>
      <c r="EP117">
        <v>47.561999999999998</v>
      </c>
      <c r="EQ117">
        <v>47.311999999999998</v>
      </c>
      <c r="ER117">
        <v>48.375</v>
      </c>
      <c r="ES117">
        <v>1755.57</v>
      </c>
      <c r="ET117">
        <v>39.5</v>
      </c>
      <c r="EU117">
        <v>0</v>
      </c>
      <c r="EV117">
        <v>139.20000004768369</v>
      </c>
      <c r="EW117">
        <v>0</v>
      </c>
      <c r="EX117">
        <v>753.01938461538464</v>
      </c>
      <c r="EY117">
        <v>-2.6673504206449752</v>
      </c>
      <c r="EZ117">
        <v>-48.830769256762949</v>
      </c>
      <c r="FA117">
        <v>13350.60384615385</v>
      </c>
      <c r="FB117">
        <v>15</v>
      </c>
      <c r="FC117">
        <v>1639691461</v>
      </c>
      <c r="FD117" t="s">
        <v>934</v>
      </c>
      <c r="FE117">
        <v>1639691452</v>
      </c>
      <c r="FF117">
        <v>1639691461</v>
      </c>
      <c r="FG117">
        <v>111</v>
      </c>
      <c r="FH117">
        <v>-1.2999999999999999E-2</v>
      </c>
      <c r="FI117">
        <v>0</v>
      </c>
      <c r="FJ117">
        <v>-1.571</v>
      </c>
      <c r="FK117">
        <v>-0.09</v>
      </c>
      <c r="FL117">
        <v>200</v>
      </c>
      <c r="FM117">
        <v>18</v>
      </c>
      <c r="FN117">
        <v>0.05</v>
      </c>
      <c r="FO117">
        <v>0.01</v>
      </c>
      <c r="FP117">
        <v>33.816948779285461</v>
      </c>
      <c r="FQ117">
        <v>0.61668468909148855</v>
      </c>
      <c r="FR117">
        <v>6.6297106501665828E-2</v>
      </c>
      <c r="FS117">
        <v>1</v>
      </c>
      <c r="FT117">
        <v>0.55141670651088048</v>
      </c>
      <c r="FU117">
        <v>5.2771745650781964E-4</v>
      </c>
      <c r="FV117">
        <v>7.5099985614007542E-4</v>
      </c>
      <c r="FW117">
        <v>1</v>
      </c>
      <c r="FX117">
        <v>2</v>
      </c>
      <c r="FY117">
        <v>2</v>
      </c>
      <c r="FZ117" t="s">
        <v>420</v>
      </c>
      <c r="GA117">
        <v>2.9201700000000002</v>
      </c>
      <c r="GB117">
        <v>2.7449599999999998</v>
      </c>
      <c r="GC117">
        <v>4.2229799999999998E-2</v>
      </c>
      <c r="GD117">
        <v>5.2669300000000002E-2</v>
      </c>
      <c r="GE117">
        <v>0.11960999999999999</v>
      </c>
      <c r="GF117">
        <v>9.4218399999999994E-2</v>
      </c>
      <c r="GG117">
        <v>29844.3</v>
      </c>
      <c r="GH117">
        <v>29161.8</v>
      </c>
      <c r="GI117">
        <v>28370.3</v>
      </c>
      <c r="GJ117">
        <v>28151.4</v>
      </c>
      <c r="GK117">
        <v>34280.199999999997</v>
      </c>
      <c r="GL117">
        <v>35816.199999999997</v>
      </c>
      <c r="GM117">
        <v>42693.3</v>
      </c>
      <c r="GN117">
        <v>43806.5</v>
      </c>
      <c r="GO117">
        <v>1.7904</v>
      </c>
      <c r="GP117">
        <v>1.9773799999999999</v>
      </c>
      <c r="GQ117">
        <v>3.7066599999999998E-2</v>
      </c>
      <c r="GR117">
        <v>0</v>
      </c>
      <c r="GS117">
        <v>27.010999999999999</v>
      </c>
      <c r="GT117">
        <v>999.9</v>
      </c>
      <c r="GU117">
        <v>40.4</v>
      </c>
      <c r="GV117">
        <v>34.700000000000003</v>
      </c>
      <c r="GW117">
        <v>22.563400000000001</v>
      </c>
      <c r="GX117">
        <v>61.0503</v>
      </c>
      <c r="GY117">
        <v>29.102599999999999</v>
      </c>
      <c r="GZ117">
        <v>1</v>
      </c>
      <c r="HA117">
        <v>0.35565000000000002</v>
      </c>
      <c r="HB117">
        <v>2.19069</v>
      </c>
      <c r="HC117">
        <v>20.261900000000001</v>
      </c>
      <c r="HD117">
        <v>5.2768899999999999</v>
      </c>
      <c r="HE117">
        <v>12.0878</v>
      </c>
      <c r="HF117">
        <v>5.0137</v>
      </c>
      <c r="HG117">
        <v>3.2919</v>
      </c>
      <c r="HH117">
        <v>9999</v>
      </c>
      <c r="HI117">
        <v>9999</v>
      </c>
      <c r="HJ117">
        <v>9999</v>
      </c>
      <c r="HK117">
        <v>999.9</v>
      </c>
      <c r="HL117">
        <v>1.8751500000000001</v>
      </c>
      <c r="HM117">
        <v>1.87561</v>
      </c>
      <c r="HN117">
        <v>1.87534</v>
      </c>
      <c r="HO117">
        <v>1.8792800000000001</v>
      </c>
      <c r="HP117">
        <v>1.8727400000000001</v>
      </c>
      <c r="HQ117">
        <v>1.87598</v>
      </c>
      <c r="HR117">
        <v>1.8757200000000001</v>
      </c>
      <c r="HS117">
        <v>1.87713</v>
      </c>
      <c r="HT117">
        <v>0</v>
      </c>
      <c r="HU117">
        <v>0</v>
      </c>
      <c r="HV117">
        <v>0</v>
      </c>
      <c r="HW117">
        <v>0</v>
      </c>
      <c r="HX117" t="s">
        <v>421</v>
      </c>
      <c r="HY117" t="s">
        <v>422</v>
      </c>
      <c r="HZ117" t="s">
        <v>423</v>
      </c>
      <c r="IA117" t="s">
        <v>423</v>
      </c>
      <c r="IB117" t="s">
        <v>423</v>
      </c>
      <c r="IC117" t="s">
        <v>423</v>
      </c>
      <c r="ID117">
        <v>0</v>
      </c>
      <c r="IE117">
        <v>100</v>
      </c>
      <c r="IF117">
        <v>100</v>
      </c>
      <c r="IG117">
        <v>-1.506</v>
      </c>
      <c r="IH117">
        <v>1.6299999999999999E-2</v>
      </c>
      <c r="II117">
        <v>-1.258957167082883</v>
      </c>
      <c r="IJ117">
        <v>-1.5404112972462821E-3</v>
      </c>
      <c r="IK117">
        <v>-5.8697186733976997E-8</v>
      </c>
      <c r="IL117">
        <v>1.160237123038427E-10</v>
      </c>
      <c r="IM117">
        <v>-0.16338760261740279</v>
      </c>
      <c r="IN117">
        <v>-3.128848753924141E-3</v>
      </c>
      <c r="IO117">
        <v>3.6841110403368089E-4</v>
      </c>
      <c r="IP117">
        <v>1.9296040270694169E-6</v>
      </c>
      <c r="IQ117">
        <v>1</v>
      </c>
      <c r="IR117">
        <v>1992</v>
      </c>
      <c r="IS117">
        <v>2</v>
      </c>
      <c r="IT117">
        <v>27</v>
      </c>
      <c r="IU117">
        <v>1.1000000000000001</v>
      </c>
      <c r="IV117">
        <v>1</v>
      </c>
      <c r="IW117">
        <v>0.60913099999999998</v>
      </c>
      <c r="IX117">
        <v>2.6721200000000001</v>
      </c>
      <c r="IY117">
        <v>1.69434</v>
      </c>
      <c r="IZ117">
        <v>2.34863</v>
      </c>
      <c r="JA117">
        <v>1.5466299999999999</v>
      </c>
      <c r="JB117">
        <v>2.4621599999999999</v>
      </c>
      <c r="JC117">
        <v>38.550400000000003</v>
      </c>
      <c r="JD117">
        <v>24.105</v>
      </c>
      <c r="JE117">
        <v>18</v>
      </c>
      <c r="JF117">
        <v>529.31200000000001</v>
      </c>
      <c r="JG117">
        <v>538.15499999999997</v>
      </c>
      <c r="JH117">
        <v>25.249700000000001</v>
      </c>
      <c r="JI117">
        <v>31.644200000000001</v>
      </c>
      <c r="JJ117">
        <v>29.999700000000001</v>
      </c>
      <c r="JK117">
        <v>31.619800000000001</v>
      </c>
      <c r="JL117">
        <v>31.5732</v>
      </c>
      <c r="JM117">
        <v>12.267200000000001</v>
      </c>
      <c r="JN117">
        <v>27.183700000000002</v>
      </c>
      <c r="JO117">
        <v>35.8033</v>
      </c>
      <c r="JP117">
        <v>25.259899999999998</v>
      </c>
      <c r="JQ117">
        <v>200</v>
      </c>
      <c r="JR117">
        <v>17.315200000000001</v>
      </c>
      <c r="JS117">
        <v>99.477000000000004</v>
      </c>
      <c r="JT117">
        <v>98.657799999999995</v>
      </c>
    </row>
    <row r="118" spans="1:280" x14ac:dyDescent="0.25">
      <c r="A118">
        <v>102</v>
      </c>
      <c r="B118">
        <v>1639691636.5</v>
      </c>
      <c r="C118">
        <v>25034.400000095371</v>
      </c>
      <c r="D118" t="s">
        <v>935</v>
      </c>
      <c r="E118" t="s">
        <v>936</v>
      </c>
      <c r="F118" t="s">
        <v>412</v>
      </c>
      <c r="G118" t="s">
        <v>921</v>
      </c>
      <c r="H118" t="s">
        <v>636</v>
      </c>
      <c r="I118">
        <v>1639691636.5</v>
      </c>
      <c r="J118">
        <f t="shared" si="138"/>
        <v>6.7679512813104276E-3</v>
      </c>
      <c r="K118">
        <f t="shared" si="139"/>
        <v>6.7679512813104274</v>
      </c>
      <c r="L118">
        <f t="shared" si="140"/>
        <v>21.792271264343622</v>
      </c>
      <c r="M118">
        <f t="shared" si="141"/>
        <v>93.147900000000007</v>
      </c>
      <c r="N118">
        <f t="shared" si="142"/>
        <v>28.080126768072827</v>
      </c>
      <c r="O118">
        <f t="shared" si="143"/>
        <v>2.795876794211694</v>
      </c>
      <c r="P118">
        <f t="shared" si="144"/>
        <v>9.2745326326539619</v>
      </c>
      <c r="Q118">
        <f t="shared" si="145"/>
        <v>0.59878611394342229</v>
      </c>
      <c r="R118">
        <f t="shared" si="146"/>
        <v>2.9221609254992744</v>
      </c>
      <c r="S118">
        <f t="shared" si="147"/>
        <v>0.53804617461399407</v>
      </c>
      <c r="T118">
        <f t="shared" si="148"/>
        <v>0.34122120446250725</v>
      </c>
      <c r="U118">
        <f t="shared" si="149"/>
        <v>289.59098984754274</v>
      </c>
      <c r="V118">
        <f t="shared" si="150"/>
        <v>27.941671390202742</v>
      </c>
      <c r="W118">
        <f t="shared" si="151"/>
        <v>27.594100000000001</v>
      </c>
      <c r="X118">
        <f t="shared" si="152"/>
        <v>3.7059655267273746</v>
      </c>
      <c r="Y118">
        <f t="shared" si="153"/>
        <v>65.704182349025885</v>
      </c>
      <c r="Z118">
        <f t="shared" si="154"/>
        <v>2.4925109181529201</v>
      </c>
      <c r="AA118">
        <f t="shared" si="155"/>
        <v>3.7935346412386695</v>
      </c>
      <c r="AB118">
        <f t="shared" si="156"/>
        <v>1.2134546085744544</v>
      </c>
      <c r="AC118">
        <f t="shared" si="157"/>
        <v>-298.46665150578986</v>
      </c>
      <c r="AD118">
        <f t="shared" si="158"/>
        <v>63.015815926206542</v>
      </c>
      <c r="AE118">
        <f t="shared" si="159"/>
        <v>4.6909928909106942</v>
      </c>
      <c r="AF118">
        <f t="shared" si="160"/>
        <v>58.831147158870138</v>
      </c>
      <c r="AG118">
        <v>0</v>
      </c>
      <c r="AH118">
        <v>0</v>
      </c>
      <c r="AI118">
        <f t="shared" si="161"/>
        <v>1</v>
      </c>
      <c r="AJ118">
        <f t="shared" si="162"/>
        <v>0</v>
      </c>
      <c r="AK118">
        <f t="shared" si="163"/>
        <v>52478.459163677464</v>
      </c>
      <c r="AL118" t="s">
        <v>415</v>
      </c>
      <c r="AM118">
        <v>10204.299999999999</v>
      </c>
      <c r="AN118">
        <v>862.72538461538477</v>
      </c>
      <c r="AO118">
        <v>3252.56</v>
      </c>
      <c r="AP118">
        <f t="shared" si="164"/>
        <v>0.73475496697512588</v>
      </c>
      <c r="AQ118">
        <v>-6.6684750346205304</v>
      </c>
      <c r="AR118" t="s">
        <v>937</v>
      </c>
      <c r="AS118">
        <v>10048.6</v>
      </c>
      <c r="AT118">
        <v>774.03069230769245</v>
      </c>
      <c r="AU118">
        <v>950.99660984779507</v>
      </c>
      <c r="AV118">
        <f t="shared" si="165"/>
        <v>0.18608469862834276</v>
      </c>
      <c r="AW118">
        <v>0.5</v>
      </c>
      <c r="AX118">
        <f t="shared" si="166"/>
        <v>1513.3109999210064</v>
      </c>
      <c r="AY118">
        <f t="shared" si="167"/>
        <v>21.792271264343622</v>
      </c>
      <c r="AZ118">
        <f t="shared" si="168"/>
        <v>140.80201067562825</v>
      </c>
      <c r="BA118">
        <f t="shared" si="169"/>
        <v>1.8806938098282364E-2</v>
      </c>
      <c r="BB118">
        <f t="shared" si="170"/>
        <v>2.4201594057423246</v>
      </c>
      <c r="BC118">
        <f t="shared" si="171"/>
        <v>525.43203428520383</v>
      </c>
      <c r="BD118" t="s">
        <v>938</v>
      </c>
      <c r="BE118">
        <v>557.92999999999995</v>
      </c>
      <c r="BF118">
        <f t="shared" si="172"/>
        <v>557.92999999999995</v>
      </c>
      <c r="BG118">
        <f t="shared" si="173"/>
        <v>0.41332072667504527</v>
      </c>
      <c r="BH118">
        <f t="shared" si="174"/>
        <v>0.45021864769594166</v>
      </c>
      <c r="BI118">
        <f t="shared" si="175"/>
        <v>0.85412965422050713</v>
      </c>
      <c r="BJ118">
        <f t="shared" si="176"/>
        <v>2.0047973399504433</v>
      </c>
      <c r="BK118">
        <f t="shared" si="177"/>
        <v>0.96306387702974849</v>
      </c>
      <c r="BL118">
        <f t="shared" si="178"/>
        <v>0.32452264826876337</v>
      </c>
      <c r="BM118">
        <f t="shared" si="179"/>
        <v>0.67547735173123669</v>
      </c>
      <c r="BN118">
        <v>5074</v>
      </c>
      <c r="BO118">
        <v>290.00000000000011</v>
      </c>
      <c r="BP118">
        <v>905.4</v>
      </c>
      <c r="BQ118">
        <v>225</v>
      </c>
      <c r="BR118">
        <v>10048.6</v>
      </c>
      <c r="BS118">
        <v>904.35</v>
      </c>
      <c r="BT118">
        <v>1.05</v>
      </c>
      <c r="BU118">
        <v>300.00000000000011</v>
      </c>
      <c r="BV118">
        <v>24.1</v>
      </c>
      <c r="BW118">
        <v>950.99660984779507</v>
      </c>
      <c r="BX118">
        <v>1.811268929799748</v>
      </c>
      <c r="BY118">
        <v>-46.876632095789127</v>
      </c>
      <c r="BZ118">
        <v>1.6214344560198179</v>
      </c>
      <c r="CA118">
        <v>0.96758592985465497</v>
      </c>
      <c r="CB118">
        <v>-6.8450327030033448E-3</v>
      </c>
      <c r="CC118">
        <v>289.99999999999989</v>
      </c>
      <c r="CD118">
        <v>904.01</v>
      </c>
      <c r="CE118">
        <v>755</v>
      </c>
      <c r="CF118">
        <v>10031.9</v>
      </c>
      <c r="CG118">
        <v>904.27</v>
      </c>
      <c r="CH118">
        <v>-0.26</v>
      </c>
      <c r="CV118">
        <f t="shared" si="180"/>
        <v>1800.15</v>
      </c>
      <c r="CW118">
        <f t="shared" si="181"/>
        <v>1513.3109999210064</v>
      </c>
      <c r="CX118">
        <f t="shared" si="182"/>
        <v>0.84065827843291197</v>
      </c>
      <c r="CY118">
        <f t="shared" si="183"/>
        <v>0.16087047737552021</v>
      </c>
      <c r="CZ118">
        <v>6</v>
      </c>
      <c r="DA118">
        <v>0.5</v>
      </c>
      <c r="DB118" t="s">
        <v>418</v>
      </c>
      <c r="DC118">
        <v>2</v>
      </c>
      <c r="DD118">
        <v>1639691636.5</v>
      </c>
      <c r="DE118">
        <v>93.147900000000007</v>
      </c>
      <c r="DF118">
        <v>120.054</v>
      </c>
      <c r="DG118">
        <v>25.033300000000001</v>
      </c>
      <c r="DH118">
        <v>17.115400000000001</v>
      </c>
      <c r="DI118">
        <v>94.4833</v>
      </c>
      <c r="DJ118">
        <v>25.020299999999999</v>
      </c>
      <c r="DK118">
        <v>500.02100000000002</v>
      </c>
      <c r="DL118">
        <v>99.468000000000004</v>
      </c>
      <c r="DM118">
        <v>9.9812399999999996E-2</v>
      </c>
      <c r="DN118">
        <v>27.9941</v>
      </c>
      <c r="DO118">
        <v>27.594100000000001</v>
      </c>
      <c r="DP118">
        <v>999.9</v>
      </c>
      <c r="DQ118">
        <v>0</v>
      </c>
      <c r="DR118">
        <v>0</v>
      </c>
      <c r="DS118">
        <v>10011.200000000001</v>
      </c>
      <c r="DT118">
        <v>0</v>
      </c>
      <c r="DU118">
        <v>232.12899999999999</v>
      </c>
      <c r="DV118">
        <v>-26.906400000000001</v>
      </c>
      <c r="DW118">
        <v>95.539500000000004</v>
      </c>
      <c r="DX118">
        <v>122.145</v>
      </c>
      <c r="DY118">
        <v>7.9178899999999999</v>
      </c>
      <c r="DZ118">
        <v>120.054</v>
      </c>
      <c r="EA118">
        <v>17.115400000000001</v>
      </c>
      <c r="EB118">
        <v>2.4900199999999999</v>
      </c>
      <c r="EC118">
        <v>1.70244</v>
      </c>
      <c r="ED118">
        <v>20.961400000000001</v>
      </c>
      <c r="EE118">
        <v>14.918699999999999</v>
      </c>
      <c r="EF118">
        <v>1800.15</v>
      </c>
      <c r="EG118">
        <v>0.97799499999999995</v>
      </c>
      <c r="EH118">
        <v>2.2004800000000001E-2</v>
      </c>
      <c r="EI118">
        <v>0</v>
      </c>
      <c r="EJ118">
        <v>773.27</v>
      </c>
      <c r="EK118">
        <v>5.0001199999999999</v>
      </c>
      <c r="EL118">
        <v>13705.3</v>
      </c>
      <c r="EM118">
        <v>15631.2</v>
      </c>
      <c r="EN118">
        <v>46.811999999999998</v>
      </c>
      <c r="EO118">
        <v>47.436999999999998</v>
      </c>
      <c r="EP118">
        <v>47.5</v>
      </c>
      <c r="EQ118">
        <v>47.25</v>
      </c>
      <c r="ER118">
        <v>48.375</v>
      </c>
      <c r="ES118">
        <v>1755.65</v>
      </c>
      <c r="ET118">
        <v>39.5</v>
      </c>
      <c r="EU118">
        <v>0</v>
      </c>
      <c r="EV118">
        <v>115.2000000476837</v>
      </c>
      <c r="EW118">
        <v>0</v>
      </c>
      <c r="EX118">
        <v>774.03069230769245</v>
      </c>
      <c r="EY118">
        <v>-4.2339829183390387</v>
      </c>
      <c r="EZ118">
        <v>-72.020512648691167</v>
      </c>
      <c r="FA118">
        <v>13712.30769230769</v>
      </c>
      <c r="FB118">
        <v>15</v>
      </c>
      <c r="FC118">
        <v>1639691596</v>
      </c>
      <c r="FD118" t="s">
        <v>939</v>
      </c>
      <c r="FE118">
        <v>1639691587</v>
      </c>
      <c r="FF118">
        <v>1639691596</v>
      </c>
      <c r="FG118">
        <v>112</v>
      </c>
      <c r="FH118">
        <v>6.9000000000000006E-2</v>
      </c>
      <c r="FI118">
        <v>-6.0000000000000001E-3</v>
      </c>
      <c r="FJ118">
        <v>-1.377</v>
      </c>
      <c r="FK118">
        <v>-0.104</v>
      </c>
      <c r="FL118">
        <v>120</v>
      </c>
      <c r="FM118">
        <v>17</v>
      </c>
      <c r="FN118">
        <v>0.04</v>
      </c>
      <c r="FO118">
        <v>0.01</v>
      </c>
      <c r="FP118">
        <v>21.722588007475601</v>
      </c>
      <c r="FQ118">
        <v>0.1871697554373791</v>
      </c>
      <c r="FR118">
        <v>2.7200893608236201E-2</v>
      </c>
      <c r="FS118">
        <v>1</v>
      </c>
      <c r="FT118">
        <v>0.59285452116270809</v>
      </c>
      <c r="FU118">
        <v>3.894066966178223E-2</v>
      </c>
      <c r="FV118">
        <v>4.4094022004602124E-3</v>
      </c>
      <c r="FW118">
        <v>1</v>
      </c>
      <c r="FX118">
        <v>2</v>
      </c>
      <c r="FY118">
        <v>2</v>
      </c>
      <c r="FZ118" t="s">
        <v>420</v>
      </c>
      <c r="GA118">
        <v>2.9202499999999998</v>
      </c>
      <c r="GB118">
        <v>2.7448800000000002</v>
      </c>
      <c r="GC118">
        <v>2.58807E-2</v>
      </c>
      <c r="GD118">
        <v>3.3147200000000002E-2</v>
      </c>
      <c r="GE118">
        <v>0.12013600000000001</v>
      </c>
      <c r="GF118">
        <v>9.3113699999999994E-2</v>
      </c>
      <c r="GG118">
        <v>30357.9</v>
      </c>
      <c r="GH118">
        <v>29767</v>
      </c>
      <c r="GI118">
        <v>28374.400000000001</v>
      </c>
      <c r="GJ118">
        <v>28155.7</v>
      </c>
      <c r="GK118">
        <v>34264.199999999997</v>
      </c>
      <c r="GL118">
        <v>35864.6</v>
      </c>
      <c r="GM118">
        <v>42699.1</v>
      </c>
      <c r="GN118">
        <v>43812.3</v>
      </c>
      <c r="GO118">
        <v>1.79183</v>
      </c>
      <c r="GP118">
        <v>1.97773</v>
      </c>
      <c r="GQ118">
        <v>3.9163999999999997E-2</v>
      </c>
      <c r="GR118">
        <v>0</v>
      </c>
      <c r="GS118">
        <v>26.953900000000001</v>
      </c>
      <c r="GT118">
        <v>999.9</v>
      </c>
      <c r="GU118">
        <v>40.200000000000003</v>
      </c>
      <c r="GV118">
        <v>34.700000000000003</v>
      </c>
      <c r="GW118">
        <v>22.450900000000001</v>
      </c>
      <c r="GX118">
        <v>61.380299999999998</v>
      </c>
      <c r="GY118">
        <v>29.523199999999999</v>
      </c>
      <c r="GZ118">
        <v>1</v>
      </c>
      <c r="HA118">
        <v>0.34803899999999999</v>
      </c>
      <c r="HB118">
        <v>2.0992199999999999</v>
      </c>
      <c r="HC118">
        <v>20.263100000000001</v>
      </c>
      <c r="HD118">
        <v>5.2736000000000001</v>
      </c>
      <c r="HE118">
        <v>12.0878</v>
      </c>
      <c r="HF118">
        <v>5.0138999999999996</v>
      </c>
      <c r="HG118">
        <v>3.2919800000000001</v>
      </c>
      <c r="HH118">
        <v>9999</v>
      </c>
      <c r="HI118">
        <v>9999</v>
      </c>
      <c r="HJ118">
        <v>9999</v>
      </c>
      <c r="HK118">
        <v>999.9</v>
      </c>
      <c r="HL118">
        <v>1.8751500000000001</v>
      </c>
      <c r="HM118">
        <v>1.87561</v>
      </c>
      <c r="HN118">
        <v>1.8753599999999999</v>
      </c>
      <c r="HO118">
        <v>1.87927</v>
      </c>
      <c r="HP118">
        <v>1.8727199999999999</v>
      </c>
      <c r="HQ118">
        <v>1.87598</v>
      </c>
      <c r="HR118">
        <v>1.87575</v>
      </c>
      <c r="HS118">
        <v>1.87714</v>
      </c>
      <c r="HT118">
        <v>0</v>
      </c>
      <c r="HU118">
        <v>0</v>
      </c>
      <c r="HV118">
        <v>0</v>
      </c>
      <c r="HW118">
        <v>0</v>
      </c>
      <c r="HX118" t="s">
        <v>421</v>
      </c>
      <c r="HY118" t="s">
        <v>422</v>
      </c>
      <c r="HZ118" t="s">
        <v>423</v>
      </c>
      <c r="IA118" t="s">
        <v>423</v>
      </c>
      <c r="IB118" t="s">
        <v>423</v>
      </c>
      <c r="IC118" t="s">
        <v>423</v>
      </c>
      <c r="ID118">
        <v>0</v>
      </c>
      <c r="IE118">
        <v>100</v>
      </c>
      <c r="IF118">
        <v>100</v>
      </c>
      <c r="IG118">
        <v>-1.335</v>
      </c>
      <c r="IH118">
        <v>1.2999999999999999E-2</v>
      </c>
      <c r="II118">
        <v>-1.189444145130347</v>
      </c>
      <c r="IJ118">
        <v>-1.5404112972462821E-3</v>
      </c>
      <c r="IK118">
        <v>-5.8697186733976997E-8</v>
      </c>
      <c r="IL118">
        <v>1.160237123038427E-10</v>
      </c>
      <c r="IM118">
        <v>-0.16952861236950101</v>
      </c>
      <c r="IN118">
        <v>-3.128848753924141E-3</v>
      </c>
      <c r="IO118">
        <v>3.6841110403368089E-4</v>
      </c>
      <c r="IP118">
        <v>1.9296040270694169E-6</v>
      </c>
      <c r="IQ118">
        <v>1</v>
      </c>
      <c r="IR118">
        <v>1992</v>
      </c>
      <c r="IS118">
        <v>2</v>
      </c>
      <c r="IT118">
        <v>27</v>
      </c>
      <c r="IU118">
        <v>0.8</v>
      </c>
      <c r="IV118">
        <v>0.7</v>
      </c>
      <c r="IW118">
        <v>0.42846699999999999</v>
      </c>
      <c r="IX118">
        <v>2.68188</v>
      </c>
      <c r="IY118">
        <v>1.69434</v>
      </c>
      <c r="IZ118">
        <v>2.34863</v>
      </c>
      <c r="JA118">
        <v>1.5466299999999999</v>
      </c>
      <c r="JB118">
        <v>2.4145500000000002</v>
      </c>
      <c r="JC118">
        <v>38.550400000000003</v>
      </c>
      <c r="JD118">
        <v>24.105</v>
      </c>
      <c r="JE118">
        <v>18</v>
      </c>
      <c r="JF118">
        <v>529.95399999999995</v>
      </c>
      <c r="JG118">
        <v>537.93200000000002</v>
      </c>
      <c r="JH118">
        <v>25.304600000000001</v>
      </c>
      <c r="JI118">
        <v>31.565899999999999</v>
      </c>
      <c r="JJ118">
        <v>29.9998</v>
      </c>
      <c r="JK118">
        <v>31.564399999999999</v>
      </c>
      <c r="JL118">
        <v>31.520800000000001</v>
      </c>
      <c r="JM118">
        <v>8.6313399999999998</v>
      </c>
      <c r="JN118">
        <v>28.413</v>
      </c>
      <c r="JO118">
        <v>34.928899999999999</v>
      </c>
      <c r="JP118">
        <v>25.307700000000001</v>
      </c>
      <c r="JQ118">
        <v>120</v>
      </c>
      <c r="JR118">
        <v>17.008800000000001</v>
      </c>
      <c r="JS118">
        <v>99.490799999999993</v>
      </c>
      <c r="JT118">
        <v>98.671700000000001</v>
      </c>
    </row>
    <row r="119" spans="1:280" x14ac:dyDescent="0.25">
      <c r="A119">
        <v>103</v>
      </c>
      <c r="B119">
        <v>1639691758.5</v>
      </c>
      <c r="C119">
        <v>25156.400000095371</v>
      </c>
      <c r="D119" t="s">
        <v>940</v>
      </c>
      <c r="E119" t="s">
        <v>941</v>
      </c>
      <c r="F119" t="s">
        <v>412</v>
      </c>
      <c r="G119" t="s">
        <v>921</v>
      </c>
      <c r="H119" t="s">
        <v>636</v>
      </c>
      <c r="I119">
        <v>1639691758.5</v>
      </c>
      <c r="J119">
        <f t="shared" si="138"/>
        <v>7.1602718389004328E-3</v>
      </c>
      <c r="K119">
        <f t="shared" si="139"/>
        <v>7.1602718389004325</v>
      </c>
      <c r="L119">
        <f t="shared" si="140"/>
        <v>13.345860982648142</v>
      </c>
      <c r="M119">
        <f t="shared" si="141"/>
        <v>53.533000000000001</v>
      </c>
      <c r="N119">
        <f t="shared" si="142"/>
        <v>16.047426453228869</v>
      </c>
      <c r="O119">
        <f t="shared" si="143"/>
        <v>1.5978761120178147</v>
      </c>
      <c r="P119">
        <f t="shared" si="144"/>
        <v>5.3303937646300001</v>
      </c>
      <c r="Q119">
        <f t="shared" si="145"/>
        <v>0.64046189726871894</v>
      </c>
      <c r="R119">
        <f t="shared" si="146"/>
        <v>2.9146782340239623</v>
      </c>
      <c r="S119">
        <f t="shared" si="147"/>
        <v>0.57133604287303674</v>
      </c>
      <c r="T119">
        <f t="shared" si="148"/>
        <v>0.36267201166660634</v>
      </c>
      <c r="U119">
        <f t="shared" si="149"/>
        <v>289.59098984754274</v>
      </c>
      <c r="V119">
        <f t="shared" si="150"/>
        <v>27.825301415889033</v>
      </c>
      <c r="W119">
        <f t="shared" si="151"/>
        <v>27.577500000000001</v>
      </c>
      <c r="X119">
        <f t="shared" si="152"/>
        <v>3.7023698529886575</v>
      </c>
      <c r="Y119">
        <f t="shared" si="153"/>
        <v>65.778031014114489</v>
      </c>
      <c r="Z119">
        <f t="shared" si="154"/>
        <v>2.4933055488219997</v>
      </c>
      <c r="AA119">
        <f t="shared" si="155"/>
        <v>3.7904837076789244</v>
      </c>
      <c r="AB119">
        <f t="shared" si="156"/>
        <v>1.2090643041666578</v>
      </c>
      <c r="AC119">
        <f t="shared" si="157"/>
        <v>-315.76798809550911</v>
      </c>
      <c r="AD119">
        <f t="shared" si="158"/>
        <v>63.29443435334737</v>
      </c>
      <c r="AE119">
        <f t="shared" si="159"/>
        <v>4.7231137803354022</v>
      </c>
      <c r="AF119">
        <f t="shared" si="160"/>
        <v>41.840549885716385</v>
      </c>
      <c r="AG119">
        <v>0</v>
      </c>
      <c r="AH119">
        <v>0</v>
      </c>
      <c r="AI119">
        <f t="shared" si="161"/>
        <v>1</v>
      </c>
      <c r="AJ119">
        <f t="shared" si="162"/>
        <v>0</v>
      </c>
      <c r="AK119">
        <f t="shared" si="163"/>
        <v>52266.182452681787</v>
      </c>
      <c r="AL119" t="s">
        <v>415</v>
      </c>
      <c r="AM119">
        <v>10204.299999999999</v>
      </c>
      <c r="AN119">
        <v>862.72538461538477</v>
      </c>
      <c r="AO119">
        <v>3252.56</v>
      </c>
      <c r="AP119">
        <f t="shared" si="164"/>
        <v>0.73475496697512588</v>
      </c>
      <c r="AQ119">
        <v>-6.6684750346205304</v>
      </c>
      <c r="AR119" t="s">
        <v>942</v>
      </c>
      <c r="AS119">
        <v>10044.6</v>
      </c>
      <c r="AT119">
        <v>794.27257692307694</v>
      </c>
      <c r="AU119">
        <v>915.96439149881724</v>
      </c>
      <c r="AV119">
        <f t="shared" si="165"/>
        <v>0.13285649060725246</v>
      </c>
      <c r="AW119">
        <v>0.5</v>
      </c>
      <c r="AX119">
        <f t="shared" si="166"/>
        <v>1513.3109999210064</v>
      </c>
      <c r="AY119">
        <f t="shared" si="167"/>
        <v>13.345860982648142</v>
      </c>
      <c r="AZ119">
        <f t="shared" si="168"/>
        <v>100.52659432342851</v>
      </c>
      <c r="BA119">
        <f t="shared" si="169"/>
        <v>1.3225527349178989E-2</v>
      </c>
      <c r="BB119">
        <f t="shared" si="170"/>
        <v>2.5509677343217985</v>
      </c>
      <c r="BC119">
        <f t="shared" si="171"/>
        <v>514.55872912014502</v>
      </c>
      <c r="BD119" t="s">
        <v>943</v>
      </c>
      <c r="BE119">
        <v>567.42999999999995</v>
      </c>
      <c r="BF119">
        <f t="shared" si="172"/>
        <v>567.42999999999995</v>
      </c>
      <c r="BG119">
        <f t="shared" si="173"/>
        <v>0.38051085253270711</v>
      </c>
      <c r="BH119">
        <f t="shared" si="174"/>
        <v>0.34915296035040849</v>
      </c>
      <c r="BI119">
        <f t="shared" si="175"/>
        <v>0.87019831758655353</v>
      </c>
      <c r="BJ119">
        <f t="shared" si="176"/>
        <v>2.2857641736666161</v>
      </c>
      <c r="BK119">
        <f t="shared" si="177"/>
        <v>0.97772272334633314</v>
      </c>
      <c r="BL119">
        <f t="shared" si="178"/>
        <v>0.24943560944672979</v>
      </c>
      <c r="BM119">
        <f t="shared" si="179"/>
        <v>0.75056439055327018</v>
      </c>
      <c r="BN119">
        <v>5076</v>
      </c>
      <c r="BO119">
        <v>290.00000000000011</v>
      </c>
      <c r="BP119">
        <v>888.32</v>
      </c>
      <c r="BQ119">
        <v>285</v>
      </c>
      <c r="BR119">
        <v>10044.6</v>
      </c>
      <c r="BS119">
        <v>888.83</v>
      </c>
      <c r="BT119">
        <v>-0.51</v>
      </c>
      <c r="BU119">
        <v>300.00000000000011</v>
      </c>
      <c r="BV119">
        <v>24.1</v>
      </c>
      <c r="BW119">
        <v>915.96439149881724</v>
      </c>
      <c r="BX119">
        <v>2.0650272337171338</v>
      </c>
      <c r="BY119">
        <v>-27.254460881157399</v>
      </c>
      <c r="BZ119">
        <v>1.848589453364708</v>
      </c>
      <c r="CA119">
        <v>0.88588537349635976</v>
      </c>
      <c r="CB119">
        <v>-6.8448921023359297E-3</v>
      </c>
      <c r="CC119">
        <v>289.99999999999989</v>
      </c>
      <c r="CD119">
        <v>889.1</v>
      </c>
      <c r="CE119">
        <v>675</v>
      </c>
      <c r="CF119">
        <v>10034.700000000001</v>
      </c>
      <c r="CG119">
        <v>888.8</v>
      </c>
      <c r="CH119">
        <v>0.3</v>
      </c>
      <c r="CV119">
        <f t="shared" si="180"/>
        <v>1800.15</v>
      </c>
      <c r="CW119">
        <f t="shared" si="181"/>
        <v>1513.3109999210064</v>
      </c>
      <c r="CX119">
        <f t="shared" si="182"/>
        <v>0.84065827843291197</v>
      </c>
      <c r="CY119">
        <f t="shared" si="183"/>
        <v>0.16087047737552021</v>
      </c>
      <c r="CZ119">
        <v>6</v>
      </c>
      <c r="DA119">
        <v>0.5</v>
      </c>
      <c r="DB119" t="s">
        <v>418</v>
      </c>
      <c r="DC119">
        <v>2</v>
      </c>
      <c r="DD119">
        <v>1639691758.5</v>
      </c>
      <c r="DE119">
        <v>53.533000000000001</v>
      </c>
      <c r="DF119">
        <v>70.005700000000004</v>
      </c>
      <c r="DG119">
        <v>25.040199999999999</v>
      </c>
      <c r="DH119">
        <v>16.664200000000001</v>
      </c>
      <c r="DI119">
        <v>54.797400000000003</v>
      </c>
      <c r="DJ119">
        <v>25.018899999999999</v>
      </c>
      <c r="DK119">
        <v>500.07</v>
      </c>
      <c r="DL119">
        <v>99.471800000000002</v>
      </c>
      <c r="DM119">
        <v>0.10031</v>
      </c>
      <c r="DN119">
        <v>27.9803</v>
      </c>
      <c r="DO119">
        <v>27.577500000000001</v>
      </c>
      <c r="DP119">
        <v>999.9</v>
      </c>
      <c r="DQ119">
        <v>0</v>
      </c>
      <c r="DR119">
        <v>0</v>
      </c>
      <c r="DS119">
        <v>9968.1200000000008</v>
      </c>
      <c r="DT119">
        <v>0</v>
      </c>
      <c r="DU119">
        <v>230.84</v>
      </c>
      <c r="DV119">
        <v>-16.4727</v>
      </c>
      <c r="DW119">
        <v>54.907899999999998</v>
      </c>
      <c r="DX119">
        <v>71.191999999999993</v>
      </c>
      <c r="DY119">
        <v>8.3759499999999996</v>
      </c>
      <c r="DZ119">
        <v>70.005700000000004</v>
      </c>
      <c r="EA119">
        <v>16.664200000000001</v>
      </c>
      <c r="EB119">
        <v>2.4907900000000001</v>
      </c>
      <c r="EC119">
        <v>1.6576200000000001</v>
      </c>
      <c r="ED119">
        <v>20.9664</v>
      </c>
      <c r="EE119">
        <v>14.505100000000001</v>
      </c>
      <c r="EF119">
        <v>1800.15</v>
      </c>
      <c r="EG119">
        <v>0.97799499999999995</v>
      </c>
      <c r="EH119">
        <v>2.2004800000000001E-2</v>
      </c>
      <c r="EI119">
        <v>0</v>
      </c>
      <c r="EJ119">
        <v>794.06</v>
      </c>
      <c r="EK119">
        <v>5.0001199999999999</v>
      </c>
      <c r="EL119">
        <v>14065.2</v>
      </c>
      <c r="EM119">
        <v>15631.3</v>
      </c>
      <c r="EN119">
        <v>46.811999999999998</v>
      </c>
      <c r="EO119">
        <v>47.436999999999998</v>
      </c>
      <c r="EP119">
        <v>47.5</v>
      </c>
      <c r="EQ119">
        <v>47.186999999999998</v>
      </c>
      <c r="ER119">
        <v>48.375</v>
      </c>
      <c r="ES119">
        <v>1755.65</v>
      </c>
      <c r="ET119">
        <v>39.5</v>
      </c>
      <c r="EU119">
        <v>0</v>
      </c>
      <c r="EV119">
        <v>120</v>
      </c>
      <c r="EW119">
        <v>0</v>
      </c>
      <c r="EX119">
        <v>794.27257692307694</v>
      </c>
      <c r="EY119">
        <v>-1.7806153861777141</v>
      </c>
      <c r="EZ119">
        <v>-17.664957322695891</v>
      </c>
      <c r="FA119">
        <v>14065.696153846149</v>
      </c>
      <c r="FB119">
        <v>15</v>
      </c>
      <c r="FC119">
        <v>1639691719</v>
      </c>
      <c r="FD119" t="s">
        <v>944</v>
      </c>
      <c r="FE119">
        <v>1639691706</v>
      </c>
      <c r="FF119">
        <v>1639691719</v>
      </c>
      <c r="FG119">
        <v>113</v>
      </c>
      <c r="FH119">
        <v>0.01</v>
      </c>
      <c r="FI119">
        <v>8.0000000000000002E-3</v>
      </c>
      <c r="FJ119">
        <v>-1.29</v>
      </c>
      <c r="FK119">
        <v>-9.9000000000000005E-2</v>
      </c>
      <c r="FL119">
        <v>70</v>
      </c>
      <c r="FM119">
        <v>17</v>
      </c>
      <c r="FN119">
        <v>0.09</v>
      </c>
      <c r="FO119">
        <v>0.01</v>
      </c>
      <c r="FP119">
        <v>13.388810519968681</v>
      </c>
      <c r="FQ119">
        <v>-0.13194395028636249</v>
      </c>
      <c r="FR119">
        <v>2.5717580485199541E-2</v>
      </c>
      <c r="FS119">
        <v>1</v>
      </c>
      <c r="FT119">
        <v>0.63874227568388497</v>
      </c>
      <c r="FU119">
        <v>4.5697038582072511E-2</v>
      </c>
      <c r="FV119">
        <v>6.0050444297071537E-3</v>
      </c>
      <c r="FW119">
        <v>1</v>
      </c>
      <c r="FX119">
        <v>2</v>
      </c>
      <c r="FY119">
        <v>2</v>
      </c>
      <c r="FZ119" t="s">
        <v>420</v>
      </c>
      <c r="GA119">
        <v>2.92049</v>
      </c>
      <c r="GB119">
        <v>2.7450199999999998</v>
      </c>
      <c r="GC119">
        <v>1.52564E-2</v>
      </c>
      <c r="GD119">
        <v>1.98055E-2</v>
      </c>
      <c r="GE119">
        <v>0.120148</v>
      </c>
      <c r="GF119">
        <v>9.1348899999999997E-2</v>
      </c>
      <c r="GG119">
        <v>30689.3</v>
      </c>
      <c r="GH119">
        <v>30178.9</v>
      </c>
      <c r="GI119">
        <v>28374.9</v>
      </c>
      <c r="GJ119">
        <v>28157</v>
      </c>
      <c r="GK119">
        <v>34264</v>
      </c>
      <c r="GL119">
        <v>35936</v>
      </c>
      <c r="GM119">
        <v>42699.3</v>
      </c>
      <c r="GN119">
        <v>43814.2</v>
      </c>
      <c r="GO119">
        <v>1.7926800000000001</v>
      </c>
      <c r="GP119">
        <v>1.9772000000000001</v>
      </c>
      <c r="GQ119">
        <v>2.8990200000000001E-2</v>
      </c>
      <c r="GR119">
        <v>0</v>
      </c>
      <c r="GS119">
        <v>27.1037</v>
      </c>
      <c r="GT119">
        <v>999.9</v>
      </c>
      <c r="GU119">
        <v>39.799999999999997</v>
      </c>
      <c r="GV119">
        <v>34.700000000000003</v>
      </c>
      <c r="GW119">
        <v>22.226800000000001</v>
      </c>
      <c r="GX119">
        <v>61.180300000000003</v>
      </c>
      <c r="GY119">
        <v>29.222799999999999</v>
      </c>
      <c r="GZ119">
        <v>1</v>
      </c>
      <c r="HA119">
        <v>0.34509400000000001</v>
      </c>
      <c r="HB119">
        <v>2.0430999999999999</v>
      </c>
      <c r="HC119">
        <v>20.264399999999998</v>
      </c>
      <c r="HD119">
        <v>5.2767400000000002</v>
      </c>
      <c r="HE119">
        <v>12.0878</v>
      </c>
      <c r="HF119">
        <v>5.0134499999999997</v>
      </c>
      <c r="HG119">
        <v>3.2919800000000001</v>
      </c>
      <c r="HH119">
        <v>9999</v>
      </c>
      <c r="HI119">
        <v>9999</v>
      </c>
      <c r="HJ119">
        <v>9999</v>
      </c>
      <c r="HK119">
        <v>999.9</v>
      </c>
      <c r="HL119">
        <v>1.8751500000000001</v>
      </c>
      <c r="HM119">
        <v>1.87561</v>
      </c>
      <c r="HN119">
        <v>1.8753599999999999</v>
      </c>
      <c r="HO119">
        <v>1.87927</v>
      </c>
      <c r="HP119">
        <v>1.87273</v>
      </c>
      <c r="HQ119">
        <v>1.8759399999999999</v>
      </c>
      <c r="HR119">
        <v>1.8757600000000001</v>
      </c>
      <c r="HS119">
        <v>1.87714</v>
      </c>
      <c r="HT119">
        <v>0</v>
      </c>
      <c r="HU119">
        <v>0</v>
      </c>
      <c r="HV119">
        <v>0</v>
      </c>
      <c r="HW119">
        <v>0</v>
      </c>
      <c r="HX119" t="s">
        <v>421</v>
      </c>
      <c r="HY119" t="s">
        <v>422</v>
      </c>
      <c r="HZ119" t="s">
        <v>423</v>
      </c>
      <c r="IA119" t="s">
        <v>423</v>
      </c>
      <c r="IB119" t="s">
        <v>423</v>
      </c>
      <c r="IC119" t="s">
        <v>423</v>
      </c>
      <c r="ID119">
        <v>0</v>
      </c>
      <c r="IE119">
        <v>100</v>
      </c>
      <c r="IF119">
        <v>100</v>
      </c>
      <c r="IG119">
        <v>-1.264</v>
      </c>
      <c r="IH119">
        <v>2.1299999999999999E-2</v>
      </c>
      <c r="II119">
        <v>-1.1799002144378341</v>
      </c>
      <c r="IJ119">
        <v>-1.5404112972462821E-3</v>
      </c>
      <c r="IK119">
        <v>-5.8697186733976997E-8</v>
      </c>
      <c r="IL119">
        <v>1.160237123038427E-10</v>
      </c>
      <c r="IM119">
        <v>-0.1612315027398189</v>
      </c>
      <c r="IN119">
        <v>-3.128848753924141E-3</v>
      </c>
      <c r="IO119">
        <v>3.6841110403368089E-4</v>
      </c>
      <c r="IP119">
        <v>1.9296040270694169E-6</v>
      </c>
      <c r="IQ119">
        <v>1</v>
      </c>
      <c r="IR119">
        <v>1992</v>
      </c>
      <c r="IS119">
        <v>2</v>
      </c>
      <c r="IT119">
        <v>27</v>
      </c>
      <c r="IU119">
        <v>0.9</v>
      </c>
      <c r="IV119">
        <v>0.7</v>
      </c>
      <c r="IW119">
        <v>0.31372100000000003</v>
      </c>
      <c r="IX119">
        <v>2.6916500000000001</v>
      </c>
      <c r="IY119">
        <v>1.69434</v>
      </c>
      <c r="IZ119">
        <v>2.34985</v>
      </c>
      <c r="JA119">
        <v>1.5466299999999999</v>
      </c>
      <c r="JB119">
        <v>2.4694799999999999</v>
      </c>
      <c r="JC119">
        <v>38.550400000000003</v>
      </c>
      <c r="JD119">
        <v>24.105</v>
      </c>
      <c r="JE119">
        <v>18</v>
      </c>
      <c r="JF119">
        <v>530.22699999999998</v>
      </c>
      <c r="JG119">
        <v>537.15300000000002</v>
      </c>
      <c r="JH119">
        <v>25.199100000000001</v>
      </c>
      <c r="JI119">
        <v>31.518599999999999</v>
      </c>
      <c r="JJ119">
        <v>29.999500000000001</v>
      </c>
      <c r="JK119">
        <v>31.520199999999999</v>
      </c>
      <c r="JL119">
        <v>31.479600000000001</v>
      </c>
      <c r="JM119">
        <v>6.3511300000000004</v>
      </c>
      <c r="JN119">
        <v>29.5459</v>
      </c>
      <c r="JO119">
        <v>34.0047</v>
      </c>
      <c r="JP119">
        <v>25.230699999999999</v>
      </c>
      <c r="JQ119">
        <v>70</v>
      </c>
      <c r="JR119">
        <v>16.5943</v>
      </c>
      <c r="JS119">
        <v>99.491900000000001</v>
      </c>
      <c r="JT119">
        <v>98.676100000000005</v>
      </c>
    </row>
    <row r="120" spans="1:280" x14ac:dyDescent="0.25">
      <c r="A120">
        <v>104</v>
      </c>
      <c r="B120">
        <v>1639691884</v>
      </c>
      <c r="C120">
        <v>25281.900000095371</v>
      </c>
      <c r="D120" t="s">
        <v>945</v>
      </c>
      <c r="E120" t="s">
        <v>946</v>
      </c>
      <c r="F120" t="s">
        <v>412</v>
      </c>
      <c r="G120" t="s">
        <v>921</v>
      </c>
      <c r="H120" t="s">
        <v>636</v>
      </c>
      <c r="I120">
        <v>1639691884</v>
      </c>
      <c r="J120">
        <f t="shared" si="138"/>
        <v>7.4277847172963514E-3</v>
      </c>
      <c r="K120">
        <f t="shared" si="139"/>
        <v>7.4277847172963511</v>
      </c>
      <c r="L120">
        <f t="shared" si="140"/>
        <v>5.9472273104776301</v>
      </c>
      <c r="M120">
        <f t="shared" si="141"/>
        <v>22.667300000000001</v>
      </c>
      <c r="N120">
        <f t="shared" si="142"/>
        <v>6.4993276549240386</v>
      </c>
      <c r="O120">
        <f t="shared" si="143"/>
        <v>0.64717184460526445</v>
      </c>
      <c r="P120">
        <f t="shared" si="144"/>
        <v>2.2571009082927</v>
      </c>
      <c r="Q120">
        <f t="shared" si="145"/>
        <v>0.66358079177330975</v>
      </c>
      <c r="R120">
        <f t="shared" si="146"/>
        <v>2.9176953171660198</v>
      </c>
      <c r="S120">
        <f t="shared" si="147"/>
        <v>0.58974902316526767</v>
      </c>
      <c r="T120">
        <f t="shared" si="148"/>
        <v>0.37453979366169787</v>
      </c>
      <c r="U120">
        <f t="shared" si="149"/>
        <v>289.59577784754521</v>
      </c>
      <c r="V120">
        <f t="shared" si="150"/>
        <v>27.767093882355901</v>
      </c>
      <c r="W120">
        <f t="shared" si="151"/>
        <v>27.582100000000001</v>
      </c>
      <c r="X120">
        <f t="shared" si="152"/>
        <v>3.7033659394519218</v>
      </c>
      <c r="Y120">
        <f t="shared" si="153"/>
        <v>65.600378346262971</v>
      </c>
      <c r="Z120">
        <f t="shared" si="154"/>
        <v>2.4882249026915999</v>
      </c>
      <c r="AA120">
        <f t="shared" si="155"/>
        <v>3.7930038902486687</v>
      </c>
      <c r="AB120">
        <f t="shared" si="156"/>
        <v>1.2151410367603219</v>
      </c>
      <c r="AC120">
        <f t="shared" si="157"/>
        <v>-327.56530603276912</v>
      </c>
      <c r="AD120">
        <f t="shared" si="158"/>
        <v>64.42958435903688</v>
      </c>
      <c r="AE120">
        <f t="shared" si="159"/>
        <v>4.8032318873513367</v>
      </c>
      <c r="AF120">
        <f t="shared" si="160"/>
        <v>31.263288061164303</v>
      </c>
      <c r="AG120">
        <v>0</v>
      </c>
      <c r="AH120">
        <v>0</v>
      </c>
      <c r="AI120">
        <f t="shared" si="161"/>
        <v>1</v>
      </c>
      <c r="AJ120">
        <f t="shared" si="162"/>
        <v>0</v>
      </c>
      <c r="AK120">
        <f t="shared" si="163"/>
        <v>52350.820803576324</v>
      </c>
      <c r="AL120" t="s">
        <v>415</v>
      </c>
      <c r="AM120">
        <v>10204.299999999999</v>
      </c>
      <c r="AN120">
        <v>862.72538461538477</v>
      </c>
      <c r="AO120">
        <v>3252.56</v>
      </c>
      <c r="AP120">
        <f t="shared" si="164"/>
        <v>0.73475496697512588</v>
      </c>
      <c r="AQ120">
        <v>-6.6684750346205304</v>
      </c>
      <c r="AR120" t="s">
        <v>947</v>
      </c>
      <c r="AS120">
        <v>10059</v>
      </c>
      <c r="AT120">
        <v>812.04780769230763</v>
      </c>
      <c r="AU120">
        <v>896.51619026669903</v>
      </c>
      <c r="AV120">
        <f t="shared" si="165"/>
        <v>9.4218468658400223E-2</v>
      </c>
      <c r="AW120">
        <v>0.5</v>
      </c>
      <c r="AX120">
        <f t="shared" si="166"/>
        <v>1513.3361999210078</v>
      </c>
      <c r="AY120">
        <f t="shared" si="167"/>
        <v>5.9472273104776301</v>
      </c>
      <c r="AZ120">
        <f t="shared" si="168"/>
        <v>71.292109660939985</v>
      </c>
      <c r="BA120">
        <f t="shared" si="169"/>
        <v>8.3363513974995546E-3</v>
      </c>
      <c r="BB120">
        <f t="shared" si="170"/>
        <v>2.6279991764927479</v>
      </c>
      <c r="BC120">
        <f t="shared" si="171"/>
        <v>508.36357539150032</v>
      </c>
      <c r="BD120" t="s">
        <v>948</v>
      </c>
      <c r="BE120">
        <v>586.59</v>
      </c>
      <c r="BF120">
        <f t="shared" si="172"/>
        <v>586.59</v>
      </c>
      <c r="BG120">
        <f t="shared" si="173"/>
        <v>0.34570060600300034</v>
      </c>
      <c r="BH120">
        <f t="shared" si="174"/>
        <v>0.2725435449701889</v>
      </c>
      <c r="BI120">
        <f t="shared" si="175"/>
        <v>0.88374730763410725</v>
      </c>
      <c r="BJ120">
        <f t="shared" si="176"/>
        <v>2.4997445590974268</v>
      </c>
      <c r="BK120">
        <f t="shared" si="177"/>
        <v>0.98586060916777041</v>
      </c>
      <c r="BL120">
        <f t="shared" si="178"/>
        <v>0.19687426839854216</v>
      </c>
      <c r="BM120">
        <f t="shared" si="179"/>
        <v>0.80312573160145784</v>
      </c>
      <c r="BN120">
        <v>5078</v>
      </c>
      <c r="BO120">
        <v>290.00000000000011</v>
      </c>
      <c r="BP120">
        <v>871.39</v>
      </c>
      <c r="BQ120">
        <v>105</v>
      </c>
      <c r="BR120">
        <v>10059</v>
      </c>
      <c r="BS120">
        <v>870.54</v>
      </c>
      <c r="BT120">
        <v>0.85</v>
      </c>
      <c r="BU120">
        <v>300.00000000000011</v>
      </c>
      <c r="BV120">
        <v>24.1</v>
      </c>
      <c r="BW120">
        <v>896.51619026669903</v>
      </c>
      <c r="BX120">
        <v>1.452822753348828</v>
      </c>
      <c r="BY120">
        <v>-26.126379719338271</v>
      </c>
      <c r="BZ120">
        <v>1.3005124259814831</v>
      </c>
      <c r="CA120">
        <v>0.93512208444817801</v>
      </c>
      <c r="CB120">
        <v>-6.84487141268076E-3</v>
      </c>
      <c r="CC120">
        <v>289.99999999999989</v>
      </c>
      <c r="CD120">
        <v>867.79</v>
      </c>
      <c r="CE120">
        <v>705</v>
      </c>
      <c r="CF120">
        <v>10033.200000000001</v>
      </c>
      <c r="CG120">
        <v>870.48</v>
      </c>
      <c r="CH120">
        <v>-2.69</v>
      </c>
      <c r="CV120">
        <f t="shared" si="180"/>
        <v>1800.18</v>
      </c>
      <c r="CW120">
        <f t="shared" si="181"/>
        <v>1513.3361999210078</v>
      </c>
      <c r="CX120">
        <f t="shared" si="182"/>
        <v>0.84065826746270256</v>
      </c>
      <c r="CY120">
        <f t="shared" si="183"/>
        <v>0.16087045620301593</v>
      </c>
      <c r="CZ120">
        <v>6</v>
      </c>
      <c r="DA120">
        <v>0.5</v>
      </c>
      <c r="DB120" t="s">
        <v>418</v>
      </c>
      <c r="DC120">
        <v>2</v>
      </c>
      <c r="DD120">
        <v>1639691884</v>
      </c>
      <c r="DE120">
        <v>22.667300000000001</v>
      </c>
      <c r="DF120">
        <v>30.0044</v>
      </c>
      <c r="DG120">
        <v>24.988399999999999</v>
      </c>
      <c r="DH120">
        <v>16.299700000000001</v>
      </c>
      <c r="DI120">
        <v>23.815899999999999</v>
      </c>
      <c r="DJ120">
        <v>24.969200000000001</v>
      </c>
      <c r="DK120">
        <v>500.11</v>
      </c>
      <c r="DL120">
        <v>99.474999999999994</v>
      </c>
      <c r="DM120">
        <v>0.100199</v>
      </c>
      <c r="DN120">
        <v>27.991700000000002</v>
      </c>
      <c r="DO120">
        <v>27.582100000000001</v>
      </c>
      <c r="DP120">
        <v>999.9</v>
      </c>
      <c r="DQ120">
        <v>0</v>
      </c>
      <c r="DR120">
        <v>0</v>
      </c>
      <c r="DS120">
        <v>9985</v>
      </c>
      <c r="DT120">
        <v>0</v>
      </c>
      <c r="DU120">
        <v>228.50399999999999</v>
      </c>
      <c r="DV120">
        <v>-7.3370800000000003</v>
      </c>
      <c r="DW120">
        <v>23.248200000000001</v>
      </c>
      <c r="DX120">
        <v>30.5016</v>
      </c>
      <c r="DY120">
        <v>8.6886700000000001</v>
      </c>
      <c r="DZ120">
        <v>30.0044</v>
      </c>
      <c r="EA120">
        <v>16.299700000000001</v>
      </c>
      <c r="EB120">
        <v>2.4857200000000002</v>
      </c>
      <c r="EC120">
        <v>1.62141</v>
      </c>
      <c r="ED120">
        <v>20.933299999999999</v>
      </c>
      <c r="EE120">
        <v>14.1638</v>
      </c>
      <c r="EF120">
        <v>1800.18</v>
      </c>
      <c r="EG120">
        <v>0.97799499999999995</v>
      </c>
      <c r="EH120">
        <v>2.2004800000000001E-2</v>
      </c>
      <c r="EI120">
        <v>0</v>
      </c>
      <c r="EJ120">
        <v>811.88499999999999</v>
      </c>
      <c r="EK120">
        <v>5.0001199999999999</v>
      </c>
      <c r="EL120">
        <v>14378.5</v>
      </c>
      <c r="EM120">
        <v>15631.5</v>
      </c>
      <c r="EN120">
        <v>46.875</v>
      </c>
      <c r="EO120">
        <v>47.561999999999998</v>
      </c>
      <c r="EP120">
        <v>47.561999999999998</v>
      </c>
      <c r="EQ120">
        <v>47.311999999999998</v>
      </c>
      <c r="ER120">
        <v>48.436999999999998</v>
      </c>
      <c r="ES120">
        <v>1755.68</v>
      </c>
      <c r="ET120">
        <v>39.5</v>
      </c>
      <c r="EU120">
        <v>0</v>
      </c>
      <c r="EV120">
        <v>123.7999999523163</v>
      </c>
      <c r="EW120">
        <v>0</v>
      </c>
      <c r="EX120">
        <v>812.04780769230763</v>
      </c>
      <c r="EY120">
        <v>-1.5710427491839269</v>
      </c>
      <c r="EZ120">
        <v>-15.58632480239331</v>
      </c>
      <c r="FA120">
        <v>14378.926923076921</v>
      </c>
      <c r="FB120">
        <v>15</v>
      </c>
      <c r="FC120">
        <v>1639691845</v>
      </c>
      <c r="FD120" t="s">
        <v>949</v>
      </c>
      <c r="FE120">
        <v>1639691830</v>
      </c>
      <c r="FF120">
        <v>1639691845</v>
      </c>
      <c r="FG120">
        <v>114</v>
      </c>
      <c r="FH120">
        <v>6.8000000000000005E-2</v>
      </c>
      <c r="FI120">
        <v>-1E-3</v>
      </c>
      <c r="FJ120">
        <v>-1.1599999999999999</v>
      </c>
      <c r="FK120">
        <v>-0.107</v>
      </c>
      <c r="FL120">
        <v>30</v>
      </c>
      <c r="FM120">
        <v>16</v>
      </c>
      <c r="FN120">
        <v>0.14000000000000001</v>
      </c>
      <c r="FO120">
        <v>0.01</v>
      </c>
      <c r="FP120">
        <v>6.0323619558983426</v>
      </c>
      <c r="FQ120">
        <v>-0.24811514375132049</v>
      </c>
      <c r="FR120">
        <v>2.697026721195106E-2</v>
      </c>
      <c r="FS120">
        <v>1</v>
      </c>
      <c r="FT120">
        <v>0.66034294920345693</v>
      </c>
      <c r="FU120">
        <v>4.6883250878740262E-2</v>
      </c>
      <c r="FV120">
        <v>5.5264473150652372E-3</v>
      </c>
      <c r="FW120">
        <v>1</v>
      </c>
      <c r="FX120">
        <v>2</v>
      </c>
      <c r="FY120">
        <v>2</v>
      </c>
      <c r="FZ120" t="s">
        <v>420</v>
      </c>
      <c r="GA120">
        <v>2.9205199999999998</v>
      </c>
      <c r="GB120">
        <v>2.7450399999999999</v>
      </c>
      <c r="GC120">
        <v>6.6896799999999999E-3</v>
      </c>
      <c r="GD120">
        <v>8.6086500000000007E-3</v>
      </c>
      <c r="GE120">
        <v>0.11998200000000001</v>
      </c>
      <c r="GF120">
        <v>8.9899599999999996E-2</v>
      </c>
      <c r="GG120">
        <v>30951.9</v>
      </c>
      <c r="GH120">
        <v>30521</v>
      </c>
      <c r="GI120">
        <v>28371.4</v>
      </c>
      <c r="GJ120">
        <v>28155.200000000001</v>
      </c>
      <c r="GK120">
        <v>34265.699999999997</v>
      </c>
      <c r="GL120">
        <v>35990.6</v>
      </c>
      <c r="GM120">
        <v>42693.3</v>
      </c>
      <c r="GN120">
        <v>43810.7</v>
      </c>
      <c r="GO120">
        <v>1.7925500000000001</v>
      </c>
      <c r="GP120">
        <v>1.9762</v>
      </c>
      <c r="GQ120">
        <v>1.8172000000000001E-2</v>
      </c>
      <c r="GR120">
        <v>0</v>
      </c>
      <c r="GS120">
        <v>27.2852</v>
      </c>
      <c r="GT120">
        <v>999.9</v>
      </c>
      <c r="GU120">
        <v>39.4</v>
      </c>
      <c r="GV120">
        <v>34.700000000000003</v>
      </c>
      <c r="GW120">
        <v>22.004000000000001</v>
      </c>
      <c r="GX120">
        <v>61.060299999999998</v>
      </c>
      <c r="GY120">
        <v>29.703499999999998</v>
      </c>
      <c r="GZ120">
        <v>1</v>
      </c>
      <c r="HA120">
        <v>0.35075699999999999</v>
      </c>
      <c r="HB120">
        <v>2.2590300000000001</v>
      </c>
      <c r="HC120">
        <v>20.261399999999998</v>
      </c>
      <c r="HD120">
        <v>5.2761399999999998</v>
      </c>
      <c r="HE120">
        <v>12.0878</v>
      </c>
      <c r="HF120">
        <v>5.0137</v>
      </c>
      <c r="HG120">
        <v>3.2919800000000001</v>
      </c>
      <c r="HH120">
        <v>9999</v>
      </c>
      <c r="HI120">
        <v>9999</v>
      </c>
      <c r="HJ120">
        <v>9999</v>
      </c>
      <c r="HK120">
        <v>999.9</v>
      </c>
      <c r="HL120">
        <v>1.8751500000000001</v>
      </c>
      <c r="HM120">
        <v>1.87561</v>
      </c>
      <c r="HN120">
        <v>1.87538</v>
      </c>
      <c r="HO120">
        <v>1.8792800000000001</v>
      </c>
      <c r="HP120">
        <v>1.8727400000000001</v>
      </c>
      <c r="HQ120">
        <v>1.87599</v>
      </c>
      <c r="HR120">
        <v>1.87575</v>
      </c>
      <c r="HS120">
        <v>1.87714</v>
      </c>
      <c r="HT120">
        <v>0</v>
      </c>
      <c r="HU120">
        <v>0</v>
      </c>
      <c r="HV120">
        <v>0</v>
      </c>
      <c r="HW120">
        <v>0</v>
      </c>
      <c r="HX120" t="s">
        <v>421</v>
      </c>
      <c r="HY120" t="s">
        <v>422</v>
      </c>
      <c r="HZ120" t="s">
        <v>423</v>
      </c>
      <c r="IA120" t="s">
        <v>423</v>
      </c>
      <c r="IB120" t="s">
        <v>423</v>
      </c>
      <c r="IC120" t="s">
        <v>423</v>
      </c>
      <c r="ID120">
        <v>0</v>
      </c>
      <c r="IE120">
        <v>100</v>
      </c>
      <c r="IF120">
        <v>100</v>
      </c>
      <c r="IG120">
        <v>-1.149</v>
      </c>
      <c r="IH120">
        <v>1.9199999999999998E-2</v>
      </c>
      <c r="II120">
        <v>-1.1118295059983649</v>
      </c>
      <c r="IJ120">
        <v>-1.5404112972462821E-3</v>
      </c>
      <c r="IK120">
        <v>-5.8697186733976997E-8</v>
      </c>
      <c r="IL120">
        <v>1.160237123038427E-10</v>
      </c>
      <c r="IM120">
        <v>-0.1624642561620841</v>
      </c>
      <c r="IN120">
        <v>-3.128848753924141E-3</v>
      </c>
      <c r="IO120">
        <v>3.6841110403368089E-4</v>
      </c>
      <c r="IP120">
        <v>1.9296040270694169E-6</v>
      </c>
      <c r="IQ120">
        <v>1</v>
      </c>
      <c r="IR120">
        <v>1992</v>
      </c>
      <c r="IS120">
        <v>2</v>
      </c>
      <c r="IT120">
        <v>27</v>
      </c>
      <c r="IU120">
        <v>0.9</v>
      </c>
      <c r="IV120">
        <v>0.7</v>
      </c>
      <c r="IW120">
        <v>0.223389</v>
      </c>
      <c r="IX120">
        <v>2.7233900000000002</v>
      </c>
      <c r="IY120">
        <v>1.69434</v>
      </c>
      <c r="IZ120">
        <v>2.34985</v>
      </c>
      <c r="JA120">
        <v>1.5466299999999999</v>
      </c>
      <c r="JB120">
        <v>2.34253</v>
      </c>
      <c r="JC120">
        <v>38.550400000000003</v>
      </c>
      <c r="JD120">
        <v>24.096299999999999</v>
      </c>
      <c r="JE120">
        <v>18</v>
      </c>
      <c r="JF120">
        <v>530.25900000000001</v>
      </c>
      <c r="JG120">
        <v>536.50400000000002</v>
      </c>
      <c r="JH120">
        <v>25.122399999999999</v>
      </c>
      <c r="JI120">
        <v>31.557300000000001</v>
      </c>
      <c r="JJ120">
        <v>29.999500000000001</v>
      </c>
      <c r="JK120">
        <v>31.533999999999999</v>
      </c>
      <c r="JL120">
        <v>31.490600000000001</v>
      </c>
      <c r="JM120">
        <v>4.5425800000000001</v>
      </c>
      <c r="JN120">
        <v>29.9451</v>
      </c>
      <c r="JO120">
        <v>32.699599999999997</v>
      </c>
      <c r="JP120">
        <v>25.145499999999998</v>
      </c>
      <c r="JQ120">
        <v>30</v>
      </c>
      <c r="JR120">
        <v>16.267199999999999</v>
      </c>
      <c r="JS120">
        <v>99.478499999999997</v>
      </c>
      <c r="JT120">
        <v>98.668800000000005</v>
      </c>
    </row>
    <row r="121" spans="1:280" x14ac:dyDescent="0.25">
      <c r="A121">
        <v>105</v>
      </c>
      <c r="B121">
        <v>1639692010</v>
      </c>
      <c r="C121">
        <v>25407.900000095371</v>
      </c>
      <c r="D121" t="s">
        <v>950</v>
      </c>
      <c r="E121" t="s">
        <v>951</v>
      </c>
      <c r="F121" t="s">
        <v>412</v>
      </c>
      <c r="G121" t="s">
        <v>921</v>
      </c>
      <c r="H121" t="s">
        <v>636</v>
      </c>
      <c r="I121">
        <v>1639692010</v>
      </c>
      <c r="J121">
        <f t="shared" si="138"/>
        <v>7.5862241080669407E-3</v>
      </c>
      <c r="K121">
        <f t="shared" si="139"/>
        <v>7.5862241080669408</v>
      </c>
      <c r="L121">
        <f t="shared" si="140"/>
        <v>2.1282285714477314</v>
      </c>
      <c r="M121">
        <f t="shared" si="141"/>
        <v>7.4119700000000002</v>
      </c>
      <c r="N121">
        <f t="shared" si="142"/>
        <v>1.7580668113214175</v>
      </c>
      <c r="O121">
        <f t="shared" si="143"/>
        <v>0.17506134694941522</v>
      </c>
      <c r="P121">
        <f t="shared" si="144"/>
        <v>0.73805468790653006</v>
      </c>
      <c r="Q121">
        <f t="shared" si="145"/>
        <v>0.67937938899057815</v>
      </c>
      <c r="R121">
        <f t="shared" si="146"/>
        <v>2.9168344866435456</v>
      </c>
      <c r="S121">
        <f t="shared" si="147"/>
        <v>0.60218830377058241</v>
      </c>
      <c r="T121">
        <f t="shared" si="148"/>
        <v>0.38256961189995536</v>
      </c>
      <c r="U121">
        <f t="shared" si="149"/>
        <v>289.55587784752407</v>
      </c>
      <c r="V121">
        <f t="shared" si="150"/>
        <v>27.731653744767765</v>
      </c>
      <c r="W121">
        <f t="shared" si="151"/>
        <v>27.575099999999999</v>
      </c>
      <c r="X121">
        <f t="shared" si="152"/>
        <v>3.7018502485209042</v>
      </c>
      <c r="Y121">
        <f t="shared" si="153"/>
        <v>65.528418869224865</v>
      </c>
      <c r="Z121">
        <f t="shared" si="154"/>
        <v>2.4863940283202002</v>
      </c>
      <c r="AA121">
        <f t="shared" si="155"/>
        <v>3.7943751294874057</v>
      </c>
      <c r="AB121">
        <f t="shared" si="156"/>
        <v>1.215456220200704</v>
      </c>
      <c r="AC121">
        <f t="shared" si="157"/>
        <v>-334.55248316575211</v>
      </c>
      <c r="AD121">
        <f t="shared" si="158"/>
        <v>66.486306620812641</v>
      </c>
      <c r="AE121">
        <f t="shared" si="159"/>
        <v>4.9580039103278981</v>
      </c>
      <c r="AF121">
        <f t="shared" si="160"/>
        <v>26.447705212912481</v>
      </c>
      <c r="AG121">
        <v>0</v>
      </c>
      <c r="AH121">
        <v>0</v>
      </c>
      <c r="AI121">
        <f t="shared" si="161"/>
        <v>1</v>
      </c>
      <c r="AJ121">
        <f t="shared" si="162"/>
        <v>0</v>
      </c>
      <c r="AK121">
        <f t="shared" si="163"/>
        <v>52325.061820482755</v>
      </c>
      <c r="AL121" t="s">
        <v>415</v>
      </c>
      <c r="AM121">
        <v>10204.299999999999</v>
      </c>
      <c r="AN121">
        <v>862.72538461538477</v>
      </c>
      <c r="AO121">
        <v>3252.56</v>
      </c>
      <c r="AP121">
        <f t="shared" si="164"/>
        <v>0.73475496697512588</v>
      </c>
      <c r="AQ121">
        <v>-6.6684750346205304</v>
      </c>
      <c r="AR121" t="s">
        <v>952</v>
      </c>
      <c r="AS121">
        <v>10060.200000000001</v>
      </c>
      <c r="AT121">
        <v>819.77924000000019</v>
      </c>
      <c r="AU121">
        <v>881.8547085992011</v>
      </c>
      <c r="AV121">
        <f t="shared" si="165"/>
        <v>7.039194551425132E-2</v>
      </c>
      <c r="AW121">
        <v>0.5</v>
      </c>
      <c r="AX121">
        <f t="shared" si="166"/>
        <v>1513.1261999209971</v>
      </c>
      <c r="AY121">
        <f t="shared" si="167"/>
        <v>2.1282285714477314</v>
      </c>
      <c r="AZ121">
        <f t="shared" si="168"/>
        <v>53.255948510512489</v>
      </c>
      <c r="BA121">
        <f t="shared" si="169"/>
        <v>5.8135954598681535E-3</v>
      </c>
      <c r="BB121">
        <f t="shared" si="170"/>
        <v>2.6883173251595958</v>
      </c>
      <c r="BC121">
        <f t="shared" si="171"/>
        <v>503.61573183701228</v>
      </c>
      <c r="BD121" t="s">
        <v>953</v>
      </c>
      <c r="BE121">
        <v>603.86</v>
      </c>
      <c r="BF121">
        <f t="shared" si="172"/>
        <v>603.86</v>
      </c>
      <c r="BG121">
        <f t="shared" si="173"/>
        <v>0.31523867354610724</v>
      </c>
      <c r="BH121">
        <f t="shared" si="174"/>
        <v>0.22329730271484496</v>
      </c>
      <c r="BI121">
        <f t="shared" si="175"/>
        <v>0.89504484894506708</v>
      </c>
      <c r="BJ121">
        <f t="shared" si="176"/>
        <v>3.2450424621234708</v>
      </c>
      <c r="BK121">
        <f t="shared" si="177"/>
        <v>0.99199554485458097</v>
      </c>
      <c r="BL121">
        <f t="shared" si="178"/>
        <v>0.1644836837017076</v>
      </c>
      <c r="BM121">
        <f t="shared" si="179"/>
        <v>0.83551631629829237</v>
      </c>
      <c r="BN121">
        <v>5080</v>
      </c>
      <c r="BO121">
        <v>290.00000000000011</v>
      </c>
      <c r="BP121">
        <v>863.87</v>
      </c>
      <c r="BQ121">
        <v>95</v>
      </c>
      <c r="BR121">
        <v>10060.200000000001</v>
      </c>
      <c r="BS121">
        <v>861.07</v>
      </c>
      <c r="BT121">
        <v>2.8</v>
      </c>
      <c r="BU121">
        <v>300.00000000000011</v>
      </c>
      <c r="BV121">
        <v>24.1</v>
      </c>
      <c r="BW121">
        <v>881.8547085992011</v>
      </c>
      <c r="BX121">
        <v>1.650517620748901</v>
      </c>
      <c r="BY121">
        <v>-20.907267105000859</v>
      </c>
      <c r="BZ121">
        <v>1.477472220110263</v>
      </c>
      <c r="CA121">
        <v>0.87732336882164186</v>
      </c>
      <c r="CB121">
        <v>-6.8447795328142377E-3</v>
      </c>
      <c r="CC121">
        <v>289.99999999999989</v>
      </c>
      <c r="CD121">
        <v>858.37</v>
      </c>
      <c r="CE121">
        <v>695</v>
      </c>
      <c r="CF121">
        <v>10033.5</v>
      </c>
      <c r="CG121">
        <v>861.02</v>
      </c>
      <c r="CH121">
        <v>-2.65</v>
      </c>
      <c r="CV121">
        <f t="shared" si="180"/>
        <v>1799.93</v>
      </c>
      <c r="CW121">
        <f t="shared" si="181"/>
        <v>1513.1261999209971</v>
      </c>
      <c r="CX121">
        <f t="shared" si="182"/>
        <v>0.84065835889228857</v>
      </c>
      <c r="CY121">
        <f t="shared" si="183"/>
        <v>0.1608706326621169</v>
      </c>
      <c r="CZ121">
        <v>6</v>
      </c>
      <c r="DA121">
        <v>0.5</v>
      </c>
      <c r="DB121" t="s">
        <v>418</v>
      </c>
      <c r="DC121">
        <v>2</v>
      </c>
      <c r="DD121">
        <v>1639692010</v>
      </c>
      <c r="DE121">
        <v>7.4119700000000002</v>
      </c>
      <c r="DF121">
        <v>10.0328</v>
      </c>
      <c r="DG121">
        <v>24.969799999999999</v>
      </c>
      <c r="DH121">
        <v>16.095400000000001</v>
      </c>
      <c r="DI121">
        <v>8.5692799999999991</v>
      </c>
      <c r="DJ121">
        <v>24.950800000000001</v>
      </c>
      <c r="DK121">
        <v>500.09899999999999</v>
      </c>
      <c r="DL121">
        <v>99.475899999999996</v>
      </c>
      <c r="DM121">
        <v>0.100149</v>
      </c>
      <c r="DN121">
        <v>27.997900000000001</v>
      </c>
      <c r="DO121">
        <v>27.575099999999999</v>
      </c>
      <c r="DP121">
        <v>999.9</v>
      </c>
      <c r="DQ121">
        <v>0</v>
      </c>
      <c r="DR121">
        <v>0</v>
      </c>
      <c r="DS121">
        <v>9980</v>
      </c>
      <c r="DT121">
        <v>0</v>
      </c>
      <c r="DU121">
        <v>225.726</v>
      </c>
      <c r="DV121">
        <v>-2.62079</v>
      </c>
      <c r="DW121">
        <v>7.6017799999999998</v>
      </c>
      <c r="DX121">
        <v>10.196899999999999</v>
      </c>
      <c r="DY121">
        <v>8.8744200000000006</v>
      </c>
      <c r="DZ121">
        <v>10.0328</v>
      </c>
      <c r="EA121">
        <v>16.095400000000001</v>
      </c>
      <c r="EB121">
        <v>2.4838900000000002</v>
      </c>
      <c r="EC121">
        <v>1.6011</v>
      </c>
      <c r="ED121">
        <v>20.921299999999999</v>
      </c>
      <c r="EE121">
        <v>13.9694</v>
      </c>
      <c r="EF121">
        <v>1799.93</v>
      </c>
      <c r="EG121">
        <v>0.97799199999999997</v>
      </c>
      <c r="EH121">
        <v>2.2008099999999999E-2</v>
      </c>
      <c r="EI121">
        <v>0</v>
      </c>
      <c r="EJ121">
        <v>819.93100000000004</v>
      </c>
      <c r="EK121">
        <v>5.0001199999999999</v>
      </c>
      <c r="EL121">
        <v>14514.5</v>
      </c>
      <c r="EM121">
        <v>15629.3</v>
      </c>
      <c r="EN121">
        <v>47</v>
      </c>
      <c r="EO121">
        <v>47.686999999999998</v>
      </c>
      <c r="EP121">
        <v>47.686999999999998</v>
      </c>
      <c r="EQ121">
        <v>47.5</v>
      </c>
      <c r="ER121">
        <v>48.561999999999998</v>
      </c>
      <c r="ES121">
        <v>1755.43</v>
      </c>
      <c r="ET121">
        <v>39.5</v>
      </c>
      <c r="EU121">
        <v>0</v>
      </c>
      <c r="EV121">
        <v>124.2000000476837</v>
      </c>
      <c r="EW121">
        <v>0</v>
      </c>
      <c r="EX121">
        <v>819.77924000000019</v>
      </c>
      <c r="EY121">
        <v>0.68469229979992496</v>
      </c>
      <c r="EZ121">
        <v>-4.9615384378383043</v>
      </c>
      <c r="FA121">
        <v>14515.424000000001</v>
      </c>
      <c r="FB121">
        <v>15</v>
      </c>
      <c r="FC121">
        <v>1639691971</v>
      </c>
      <c r="FD121" t="s">
        <v>954</v>
      </c>
      <c r="FE121">
        <v>1639691954.5</v>
      </c>
      <c r="FF121">
        <v>1639691971</v>
      </c>
      <c r="FG121">
        <v>115</v>
      </c>
      <c r="FH121">
        <v>-3.2000000000000001E-2</v>
      </c>
      <c r="FI121">
        <v>0</v>
      </c>
      <c r="FJ121">
        <v>-1.161</v>
      </c>
      <c r="FK121">
        <v>-0.109</v>
      </c>
      <c r="FL121">
        <v>10</v>
      </c>
      <c r="FM121">
        <v>16</v>
      </c>
      <c r="FN121">
        <v>0.19</v>
      </c>
      <c r="FO121">
        <v>0.01</v>
      </c>
      <c r="FP121">
        <v>2.1848369864477482</v>
      </c>
      <c r="FQ121">
        <v>-0.25331985851268118</v>
      </c>
      <c r="FR121">
        <v>2.8507071976768709E-2</v>
      </c>
      <c r="FS121">
        <v>1</v>
      </c>
      <c r="FT121">
        <v>0.68127414168375555</v>
      </c>
      <c r="FU121">
        <v>4.1760079480706681E-2</v>
      </c>
      <c r="FV121">
        <v>6.0795470729498834E-3</v>
      </c>
      <c r="FW121">
        <v>1</v>
      </c>
      <c r="FX121">
        <v>2</v>
      </c>
      <c r="FY121">
        <v>2</v>
      </c>
      <c r="FZ121" t="s">
        <v>420</v>
      </c>
      <c r="GA121">
        <v>2.9203299999999999</v>
      </c>
      <c r="GB121">
        <v>2.7449499999999998</v>
      </c>
      <c r="GC121">
        <v>2.4136499999999998E-3</v>
      </c>
      <c r="GD121">
        <v>2.8914600000000002E-3</v>
      </c>
      <c r="GE121">
        <v>0.119907</v>
      </c>
      <c r="GF121">
        <v>8.9071899999999996E-2</v>
      </c>
      <c r="GG121">
        <v>31079.4</v>
      </c>
      <c r="GH121">
        <v>30692</v>
      </c>
      <c r="GI121">
        <v>28366.7</v>
      </c>
      <c r="GJ121">
        <v>28151.200000000001</v>
      </c>
      <c r="GK121">
        <v>34263</v>
      </c>
      <c r="GL121">
        <v>36018.300000000003</v>
      </c>
      <c r="GM121">
        <v>42686.1</v>
      </c>
      <c r="GN121">
        <v>43804.2</v>
      </c>
      <c r="GO121">
        <v>1.79165</v>
      </c>
      <c r="GP121">
        <v>1.9745299999999999</v>
      </c>
      <c r="GQ121">
        <v>1.6570100000000001E-2</v>
      </c>
      <c r="GR121">
        <v>0</v>
      </c>
      <c r="GS121">
        <v>27.304300000000001</v>
      </c>
      <c r="GT121">
        <v>999.9</v>
      </c>
      <c r="GU121">
        <v>39</v>
      </c>
      <c r="GV121">
        <v>34.799999999999997</v>
      </c>
      <c r="GW121">
        <v>21.898900000000001</v>
      </c>
      <c r="GX121">
        <v>61.1203</v>
      </c>
      <c r="GY121">
        <v>29.290900000000001</v>
      </c>
      <c r="GZ121">
        <v>1</v>
      </c>
      <c r="HA121">
        <v>0.35957800000000001</v>
      </c>
      <c r="HB121">
        <v>2.61585</v>
      </c>
      <c r="HC121">
        <v>20.2561</v>
      </c>
      <c r="HD121">
        <v>5.2724000000000002</v>
      </c>
      <c r="HE121">
        <v>12.0878</v>
      </c>
      <c r="HF121">
        <v>5.0135500000000004</v>
      </c>
      <c r="HG121">
        <v>3.2919800000000001</v>
      </c>
      <c r="HH121">
        <v>9999</v>
      </c>
      <c r="HI121">
        <v>9999</v>
      </c>
      <c r="HJ121">
        <v>9999</v>
      </c>
      <c r="HK121">
        <v>999.9</v>
      </c>
      <c r="HL121">
        <v>1.8751500000000001</v>
      </c>
      <c r="HM121">
        <v>1.87561</v>
      </c>
      <c r="HN121">
        <v>1.87537</v>
      </c>
      <c r="HO121">
        <v>1.8792800000000001</v>
      </c>
      <c r="HP121">
        <v>1.8727199999999999</v>
      </c>
      <c r="HQ121">
        <v>1.8759699999999999</v>
      </c>
      <c r="HR121">
        <v>1.8757600000000001</v>
      </c>
      <c r="HS121">
        <v>1.87714</v>
      </c>
      <c r="HT121">
        <v>0</v>
      </c>
      <c r="HU121">
        <v>0</v>
      </c>
      <c r="HV121">
        <v>0</v>
      </c>
      <c r="HW121">
        <v>0</v>
      </c>
      <c r="HX121" t="s">
        <v>421</v>
      </c>
      <c r="HY121" t="s">
        <v>422</v>
      </c>
      <c r="HZ121" t="s">
        <v>423</v>
      </c>
      <c r="IA121" t="s">
        <v>423</v>
      </c>
      <c r="IB121" t="s">
        <v>423</v>
      </c>
      <c r="IC121" t="s">
        <v>423</v>
      </c>
      <c r="ID121">
        <v>0</v>
      </c>
      <c r="IE121">
        <v>100</v>
      </c>
      <c r="IF121">
        <v>100</v>
      </c>
      <c r="IG121">
        <v>-1.157</v>
      </c>
      <c r="IH121">
        <v>1.9E-2</v>
      </c>
      <c r="II121">
        <v>-1.144110174788199</v>
      </c>
      <c r="IJ121">
        <v>-1.5404112972462821E-3</v>
      </c>
      <c r="IK121">
        <v>-5.8697186733976997E-8</v>
      </c>
      <c r="IL121">
        <v>1.160237123038427E-10</v>
      </c>
      <c r="IM121">
        <v>-0.1622145690000176</v>
      </c>
      <c r="IN121">
        <v>-3.128848753924141E-3</v>
      </c>
      <c r="IO121">
        <v>3.6841110403368089E-4</v>
      </c>
      <c r="IP121">
        <v>1.9296040270694169E-6</v>
      </c>
      <c r="IQ121">
        <v>1</v>
      </c>
      <c r="IR121">
        <v>1992</v>
      </c>
      <c r="IS121">
        <v>2</v>
      </c>
      <c r="IT121">
        <v>27</v>
      </c>
      <c r="IU121">
        <v>0.9</v>
      </c>
      <c r="IV121">
        <v>0.7</v>
      </c>
      <c r="IW121">
        <v>0.17944299999999999</v>
      </c>
      <c r="IX121">
        <v>2.7282700000000002</v>
      </c>
      <c r="IY121">
        <v>1.69434</v>
      </c>
      <c r="IZ121">
        <v>2.34985</v>
      </c>
      <c r="JA121">
        <v>1.5466299999999999</v>
      </c>
      <c r="JB121">
        <v>2.3938000000000001</v>
      </c>
      <c r="JC121">
        <v>38.575000000000003</v>
      </c>
      <c r="JD121">
        <v>24.096299999999999</v>
      </c>
      <c r="JE121">
        <v>18</v>
      </c>
      <c r="JF121">
        <v>530.02599999999995</v>
      </c>
      <c r="JG121">
        <v>535.68700000000001</v>
      </c>
      <c r="JH121">
        <v>25.090599999999998</v>
      </c>
      <c r="JI121">
        <v>31.634899999999998</v>
      </c>
      <c r="JJ121">
        <v>30.000299999999999</v>
      </c>
      <c r="JK121">
        <v>31.586600000000001</v>
      </c>
      <c r="JL121">
        <v>31.5382</v>
      </c>
      <c r="JM121">
        <v>3.65828</v>
      </c>
      <c r="JN121">
        <v>30.035799999999998</v>
      </c>
      <c r="JO121">
        <v>31.4452</v>
      </c>
      <c r="JP121">
        <v>25.089700000000001</v>
      </c>
      <c r="JQ121">
        <v>10</v>
      </c>
      <c r="JR121">
        <v>16.046900000000001</v>
      </c>
      <c r="JS121">
        <v>99.4619</v>
      </c>
      <c r="JT121">
        <v>98.654499999999999</v>
      </c>
    </row>
    <row r="122" spans="1:280" x14ac:dyDescent="0.25">
      <c r="A122">
        <v>106</v>
      </c>
      <c r="B122">
        <v>1639692199.5</v>
      </c>
      <c r="C122">
        <v>25597.400000095371</v>
      </c>
      <c r="D122" t="s">
        <v>955</v>
      </c>
      <c r="E122" t="s">
        <v>956</v>
      </c>
      <c r="F122" t="s">
        <v>412</v>
      </c>
      <c r="G122" t="s">
        <v>921</v>
      </c>
      <c r="H122" t="s">
        <v>636</v>
      </c>
      <c r="I122">
        <v>1639692199.5</v>
      </c>
      <c r="J122">
        <f t="shared" si="138"/>
        <v>6.9754753625619267E-3</v>
      </c>
      <c r="K122">
        <f t="shared" si="139"/>
        <v>6.9754753625619266</v>
      </c>
      <c r="L122">
        <f t="shared" si="140"/>
        <v>40.993342165631411</v>
      </c>
      <c r="M122">
        <f t="shared" si="141"/>
        <v>347.87700000000001</v>
      </c>
      <c r="N122">
        <f t="shared" si="142"/>
        <v>222.77325576563291</v>
      </c>
      <c r="O122">
        <f t="shared" si="143"/>
        <v>22.184618330235143</v>
      </c>
      <c r="P122">
        <f t="shared" si="144"/>
        <v>34.642930742936102</v>
      </c>
      <c r="Q122">
        <f t="shared" si="145"/>
        <v>0.60340856074730487</v>
      </c>
      <c r="R122">
        <f t="shared" si="146"/>
        <v>2.9184005853143793</v>
      </c>
      <c r="S122">
        <f t="shared" si="147"/>
        <v>0.54170803527650813</v>
      </c>
      <c r="T122">
        <f t="shared" si="148"/>
        <v>0.34358380581298259</v>
      </c>
      <c r="U122">
        <f t="shared" si="149"/>
        <v>289.54789784751983</v>
      </c>
      <c r="V122">
        <f t="shared" si="150"/>
        <v>27.886929011681602</v>
      </c>
      <c r="W122">
        <f t="shared" si="151"/>
        <v>27.545100000000001</v>
      </c>
      <c r="X122">
        <f t="shared" si="152"/>
        <v>3.6953605599752533</v>
      </c>
      <c r="Y122">
        <f t="shared" si="153"/>
        <v>64.65378274676614</v>
      </c>
      <c r="Z122">
        <f t="shared" si="154"/>
        <v>2.4526207492549097</v>
      </c>
      <c r="AA122">
        <f t="shared" si="155"/>
        <v>3.7934682938216562</v>
      </c>
      <c r="AB122">
        <f t="shared" si="156"/>
        <v>1.2427398107203436</v>
      </c>
      <c r="AC122">
        <f t="shared" si="157"/>
        <v>-307.61846348898098</v>
      </c>
      <c r="AD122">
        <f t="shared" si="158"/>
        <v>70.597027703898675</v>
      </c>
      <c r="AE122">
        <f t="shared" si="159"/>
        <v>5.2608282941847992</v>
      </c>
      <c r="AF122">
        <f t="shared" si="160"/>
        <v>57.78729035662235</v>
      </c>
      <c r="AG122">
        <v>0</v>
      </c>
      <c r="AH122">
        <v>0</v>
      </c>
      <c r="AI122">
        <f t="shared" si="161"/>
        <v>1</v>
      </c>
      <c r="AJ122">
        <f t="shared" si="162"/>
        <v>0</v>
      </c>
      <c r="AK122">
        <f t="shared" si="163"/>
        <v>52370.887871324187</v>
      </c>
      <c r="AL122" t="s">
        <v>415</v>
      </c>
      <c r="AM122">
        <v>10204.299999999999</v>
      </c>
      <c r="AN122">
        <v>862.72538461538477</v>
      </c>
      <c r="AO122">
        <v>3252.56</v>
      </c>
      <c r="AP122">
        <f t="shared" si="164"/>
        <v>0.73475496697512588</v>
      </c>
      <c r="AQ122">
        <v>-6.6684750346205304</v>
      </c>
      <c r="AR122" t="s">
        <v>957</v>
      </c>
      <c r="AS122">
        <v>10045.4</v>
      </c>
      <c r="AT122">
        <v>743.19112000000007</v>
      </c>
      <c r="AU122">
        <v>1019.6344979820871</v>
      </c>
      <c r="AV122">
        <f t="shared" si="165"/>
        <v>0.27112007148559969</v>
      </c>
      <c r="AW122">
        <v>0.5</v>
      </c>
      <c r="AX122">
        <f t="shared" si="166"/>
        <v>1513.0841999209947</v>
      </c>
      <c r="AY122">
        <f t="shared" si="167"/>
        <v>40.993342165631411</v>
      </c>
      <c r="AZ122">
        <f t="shared" si="168"/>
        <v>205.11374822315574</v>
      </c>
      <c r="BA122">
        <f t="shared" si="169"/>
        <v>3.1499778533633879E-2</v>
      </c>
      <c r="BB122">
        <f t="shared" si="170"/>
        <v>2.189927377346486</v>
      </c>
      <c r="BC122">
        <f t="shared" si="171"/>
        <v>545.72914002973164</v>
      </c>
      <c r="BD122" t="s">
        <v>958</v>
      </c>
      <c r="BE122">
        <v>566.41999999999996</v>
      </c>
      <c r="BF122">
        <f t="shared" si="172"/>
        <v>566.41999999999996</v>
      </c>
      <c r="BG122">
        <f t="shared" si="173"/>
        <v>0.44448721466272823</v>
      </c>
      <c r="BH122">
        <f t="shared" si="174"/>
        <v>0.60996146242659066</v>
      </c>
      <c r="BI122">
        <f t="shared" si="175"/>
        <v>0.83127666540757861</v>
      </c>
      <c r="BJ122">
        <f t="shared" si="176"/>
        <v>1.7618057488861645</v>
      </c>
      <c r="BK122">
        <f t="shared" si="177"/>
        <v>0.93434310794705377</v>
      </c>
      <c r="BL122">
        <f t="shared" si="178"/>
        <v>0.46487957437875393</v>
      </c>
      <c r="BM122">
        <f t="shared" si="179"/>
        <v>0.53512042562124607</v>
      </c>
      <c r="BN122">
        <v>5082</v>
      </c>
      <c r="BO122">
        <v>290.00000000000011</v>
      </c>
      <c r="BP122">
        <v>951.16</v>
      </c>
      <c r="BQ122">
        <v>295</v>
      </c>
      <c r="BR122">
        <v>10045.4</v>
      </c>
      <c r="BS122">
        <v>952.24</v>
      </c>
      <c r="BT122">
        <v>-1.08</v>
      </c>
      <c r="BU122">
        <v>300.00000000000011</v>
      </c>
      <c r="BV122">
        <v>24.1</v>
      </c>
      <c r="BW122">
        <v>1019.6344979820871</v>
      </c>
      <c r="BX122">
        <v>2.245705508927438</v>
      </c>
      <c r="BY122">
        <v>-67.699507758825234</v>
      </c>
      <c r="BZ122">
        <v>2.010463394620583</v>
      </c>
      <c r="CA122">
        <v>0.97590175319764449</v>
      </c>
      <c r="CB122">
        <v>-6.8458209121245884E-3</v>
      </c>
      <c r="CC122">
        <v>289.99999999999989</v>
      </c>
      <c r="CD122">
        <v>949.95</v>
      </c>
      <c r="CE122">
        <v>725</v>
      </c>
      <c r="CF122">
        <v>10033.5</v>
      </c>
      <c r="CG122">
        <v>952.16</v>
      </c>
      <c r="CH122">
        <v>-2.21</v>
      </c>
      <c r="CV122">
        <f t="shared" si="180"/>
        <v>1799.88</v>
      </c>
      <c r="CW122">
        <f t="shared" si="181"/>
        <v>1513.0841999209947</v>
      </c>
      <c r="CX122">
        <f t="shared" si="182"/>
        <v>0.84065837718125358</v>
      </c>
      <c r="CY122">
        <f t="shared" si="183"/>
        <v>0.16087066795981944</v>
      </c>
      <c r="CZ122">
        <v>6</v>
      </c>
      <c r="DA122">
        <v>0.5</v>
      </c>
      <c r="DB122" t="s">
        <v>418</v>
      </c>
      <c r="DC122">
        <v>2</v>
      </c>
      <c r="DD122">
        <v>1639692199.5</v>
      </c>
      <c r="DE122">
        <v>347.87700000000001</v>
      </c>
      <c r="DF122">
        <v>399.97</v>
      </c>
      <c r="DG122">
        <v>24.628699999999998</v>
      </c>
      <c r="DH122">
        <v>16.466000000000001</v>
      </c>
      <c r="DI122">
        <v>349.56</v>
      </c>
      <c r="DJ122">
        <v>24.618400000000001</v>
      </c>
      <c r="DK122">
        <v>500.10500000000002</v>
      </c>
      <c r="DL122">
        <v>99.483999999999995</v>
      </c>
      <c r="DM122">
        <v>9.9849300000000002E-2</v>
      </c>
      <c r="DN122">
        <v>27.9938</v>
      </c>
      <c r="DO122">
        <v>27.545100000000001</v>
      </c>
      <c r="DP122">
        <v>999.9</v>
      </c>
      <c r="DQ122">
        <v>0</v>
      </c>
      <c r="DR122">
        <v>0</v>
      </c>
      <c r="DS122">
        <v>9988.1200000000008</v>
      </c>
      <c r="DT122">
        <v>0</v>
      </c>
      <c r="DU122">
        <v>223.10499999999999</v>
      </c>
      <c r="DV122">
        <v>-52.093200000000003</v>
      </c>
      <c r="DW122">
        <v>356.661</v>
      </c>
      <c r="DX122">
        <v>406.666</v>
      </c>
      <c r="DY122">
        <v>8.1627899999999993</v>
      </c>
      <c r="DZ122">
        <v>399.97</v>
      </c>
      <c r="EA122">
        <v>16.466000000000001</v>
      </c>
      <c r="EB122">
        <v>2.45017</v>
      </c>
      <c r="EC122">
        <v>1.6380999999999999</v>
      </c>
      <c r="ED122">
        <v>20.699200000000001</v>
      </c>
      <c r="EE122">
        <v>14.321899999999999</v>
      </c>
      <c r="EF122">
        <v>1799.88</v>
      </c>
      <c r="EG122">
        <v>0.97799199999999997</v>
      </c>
      <c r="EH122">
        <v>2.2008099999999999E-2</v>
      </c>
      <c r="EI122">
        <v>0</v>
      </c>
      <c r="EJ122">
        <v>742.82100000000003</v>
      </c>
      <c r="EK122">
        <v>5.0001199999999999</v>
      </c>
      <c r="EL122">
        <v>13169.7</v>
      </c>
      <c r="EM122">
        <v>15628.9</v>
      </c>
      <c r="EN122">
        <v>47.061999999999998</v>
      </c>
      <c r="EO122">
        <v>47.75</v>
      </c>
      <c r="EP122">
        <v>47.811999999999998</v>
      </c>
      <c r="EQ122">
        <v>47.625</v>
      </c>
      <c r="ER122">
        <v>48.625</v>
      </c>
      <c r="ES122">
        <v>1755.38</v>
      </c>
      <c r="ET122">
        <v>39.5</v>
      </c>
      <c r="EU122">
        <v>0</v>
      </c>
      <c r="EV122">
        <v>187.79999995231631</v>
      </c>
      <c r="EW122">
        <v>0</v>
      </c>
      <c r="EX122">
        <v>743.19112000000007</v>
      </c>
      <c r="EY122">
        <v>-4.8505384693639666</v>
      </c>
      <c r="EZ122">
        <v>-111.2538463264092</v>
      </c>
      <c r="FA122">
        <v>13183.596</v>
      </c>
      <c r="FB122">
        <v>15</v>
      </c>
      <c r="FC122">
        <v>1639692092.5</v>
      </c>
      <c r="FD122" t="s">
        <v>959</v>
      </c>
      <c r="FE122">
        <v>1639692086.5</v>
      </c>
      <c r="FF122">
        <v>1639692092.5</v>
      </c>
      <c r="FG122">
        <v>116</v>
      </c>
      <c r="FH122">
        <v>1E-3</v>
      </c>
      <c r="FI122">
        <v>-3.0000000000000001E-3</v>
      </c>
      <c r="FJ122">
        <v>-1.764</v>
      </c>
      <c r="FK122">
        <v>-0.111</v>
      </c>
      <c r="FL122">
        <v>400</v>
      </c>
      <c r="FM122">
        <v>16</v>
      </c>
      <c r="FN122">
        <v>0.04</v>
      </c>
      <c r="FO122">
        <v>0.01</v>
      </c>
      <c r="FP122">
        <v>39.895239085558408</v>
      </c>
      <c r="FQ122">
        <v>5.7822193419318699</v>
      </c>
      <c r="FR122">
        <v>0.55645156267619778</v>
      </c>
      <c r="FS122">
        <v>0</v>
      </c>
      <c r="FT122">
        <v>0.61622022893529427</v>
      </c>
      <c r="FU122">
        <v>-6.251311773382584E-2</v>
      </c>
      <c r="FV122">
        <v>6.2907275497733504E-3</v>
      </c>
      <c r="FW122">
        <v>0</v>
      </c>
      <c r="FX122">
        <v>0</v>
      </c>
      <c r="FY122">
        <v>2</v>
      </c>
      <c r="FZ122" t="s">
        <v>746</v>
      </c>
      <c r="GA122">
        <v>2.9201700000000002</v>
      </c>
      <c r="GB122">
        <v>2.7447300000000001</v>
      </c>
      <c r="GC122">
        <v>8.2503599999999996E-2</v>
      </c>
      <c r="GD122">
        <v>9.3137600000000001E-2</v>
      </c>
      <c r="GE122">
        <v>0.118786</v>
      </c>
      <c r="GF122">
        <v>9.0546199999999993E-2</v>
      </c>
      <c r="GG122">
        <v>28584.6</v>
      </c>
      <c r="GH122">
        <v>27911.8</v>
      </c>
      <c r="GI122">
        <v>28365.1</v>
      </c>
      <c r="GJ122">
        <v>28146.799999999999</v>
      </c>
      <c r="GK122">
        <v>34305.5</v>
      </c>
      <c r="GL122">
        <v>35955.9</v>
      </c>
      <c r="GM122">
        <v>42684.800000000003</v>
      </c>
      <c r="GN122">
        <v>43799.7</v>
      </c>
      <c r="GO122">
        <v>1.7906</v>
      </c>
      <c r="GP122">
        <v>1.9747699999999999</v>
      </c>
      <c r="GQ122">
        <v>1.85519E-2</v>
      </c>
      <c r="GR122">
        <v>0</v>
      </c>
      <c r="GS122">
        <v>27.241900000000001</v>
      </c>
      <c r="GT122">
        <v>999.9</v>
      </c>
      <c r="GU122">
        <v>38.4</v>
      </c>
      <c r="GV122">
        <v>34.799999999999997</v>
      </c>
      <c r="GW122">
        <v>21.560500000000001</v>
      </c>
      <c r="GX122">
        <v>60.940300000000001</v>
      </c>
      <c r="GY122">
        <v>29.0625</v>
      </c>
      <c r="GZ122">
        <v>1</v>
      </c>
      <c r="HA122">
        <v>0.36415700000000001</v>
      </c>
      <c r="HB122">
        <v>2.4108999999999998</v>
      </c>
      <c r="HC122">
        <v>20.2593</v>
      </c>
      <c r="HD122">
        <v>5.2742000000000004</v>
      </c>
      <c r="HE122">
        <v>12.0878</v>
      </c>
      <c r="HF122">
        <v>5.0134999999999996</v>
      </c>
      <c r="HG122">
        <v>3.2919999999999998</v>
      </c>
      <c r="HH122">
        <v>9999</v>
      </c>
      <c r="HI122">
        <v>9999</v>
      </c>
      <c r="HJ122">
        <v>9999</v>
      </c>
      <c r="HK122">
        <v>999.9</v>
      </c>
      <c r="HL122">
        <v>1.8751500000000001</v>
      </c>
      <c r="HM122">
        <v>1.87561</v>
      </c>
      <c r="HN122">
        <v>1.8754200000000001</v>
      </c>
      <c r="HO122">
        <v>1.87927</v>
      </c>
      <c r="HP122">
        <v>1.8727499999999999</v>
      </c>
      <c r="HQ122">
        <v>1.8759999999999999</v>
      </c>
      <c r="HR122">
        <v>1.87575</v>
      </c>
      <c r="HS122">
        <v>1.87714</v>
      </c>
      <c r="HT122">
        <v>0</v>
      </c>
      <c r="HU122">
        <v>0</v>
      </c>
      <c r="HV122">
        <v>0</v>
      </c>
      <c r="HW122">
        <v>0</v>
      </c>
      <c r="HX122" t="s">
        <v>421</v>
      </c>
      <c r="HY122" t="s">
        <v>422</v>
      </c>
      <c r="HZ122" t="s">
        <v>423</v>
      </c>
      <c r="IA122" t="s">
        <v>423</v>
      </c>
      <c r="IB122" t="s">
        <v>423</v>
      </c>
      <c r="IC122" t="s">
        <v>423</v>
      </c>
      <c r="ID122">
        <v>0</v>
      </c>
      <c r="IE122">
        <v>100</v>
      </c>
      <c r="IF122">
        <v>100</v>
      </c>
      <c r="IG122">
        <v>-1.6830000000000001</v>
      </c>
      <c r="IH122">
        <v>1.03E-2</v>
      </c>
      <c r="II122">
        <v>-1.1428173645590509</v>
      </c>
      <c r="IJ122">
        <v>-1.5404112972462821E-3</v>
      </c>
      <c r="IK122">
        <v>-5.8697186733976997E-8</v>
      </c>
      <c r="IL122">
        <v>1.160237123038427E-10</v>
      </c>
      <c r="IM122">
        <v>-0.16471060334567739</v>
      </c>
      <c r="IN122">
        <v>-3.128848753924141E-3</v>
      </c>
      <c r="IO122">
        <v>3.6841110403368089E-4</v>
      </c>
      <c r="IP122">
        <v>1.9296040270694169E-6</v>
      </c>
      <c r="IQ122">
        <v>1</v>
      </c>
      <c r="IR122">
        <v>1992</v>
      </c>
      <c r="IS122">
        <v>2</v>
      </c>
      <c r="IT122">
        <v>27</v>
      </c>
      <c r="IU122">
        <v>1.9</v>
      </c>
      <c r="IV122">
        <v>1.8</v>
      </c>
      <c r="IW122">
        <v>1.0376000000000001</v>
      </c>
      <c r="IX122">
        <v>2.67822</v>
      </c>
      <c r="IY122">
        <v>1.69434</v>
      </c>
      <c r="IZ122">
        <v>2.34863</v>
      </c>
      <c r="JA122">
        <v>1.5466299999999999</v>
      </c>
      <c r="JB122">
        <v>2.4523899999999998</v>
      </c>
      <c r="JC122">
        <v>38.599499999999999</v>
      </c>
      <c r="JD122">
        <v>24.105</v>
      </c>
      <c r="JE122">
        <v>18</v>
      </c>
      <c r="JF122">
        <v>529.77800000000002</v>
      </c>
      <c r="JG122">
        <v>536.48</v>
      </c>
      <c r="JH122">
        <v>25.186299999999999</v>
      </c>
      <c r="JI122">
        <v>31.710100000000001</v>
      </c>
      <c r="JJ122">
        <v>30.0001</v>
      </c>
      <c r="JK122">
        <v>31.650400000000001</v>
      </c>
      <c r="JL122">
        <v>31.6036</v>
      </c>
      <c r="JM122">
        <v>20.8612</v>
      </c>
      <c r="JN122">
        <v>24.982900000000001</v>
      </c>
      <c r="JO122">
        <v>29.302299999999999</v>
      </c>
      <c r="JP122">
        <v>25.188700000000001</v>
      </c>
      <c r="JQ122">
        <v>400</v>
      </c>
      <c r="JR122">
        <v>16.608699999999999</v>
      </c>
      <c r="JS122">
        <v>99.457899999999995</v>
      </c>
      <c r="JT122">
        <v>98.642300000000006</v>
      </c>
    </row>
    <row r="123" spans="1:280" x14ac:dyDescent="0.25">
      <c r="A123">
        <v>107</v>
      </c>
      <c r="B123">
        <v>1639692382</v>
      </c>
      <c r="C123">
        <v>25779.900000095371</v>
      </c>
      <c r="D123" t="s">
        <v>960</v>
      </c>
      <c r="E123" t="s">
        <v>961</v>
      </c>
      <c r="F123" t="s">
        <v>412</v>
      </c>
      <c r="G123" t="s">
        <v>921</v>
      </c>
      <c r="H123" t="s">
        <v>636</v>
      </c>
      <c r="I123">
        <v>1639692382</v>
      </c>
      <c r="J123">
        <f t="shared" si="138"/>
        <v>6.5436717000439369E-3</v>
      </c>
      <c r="K123">
        <f t="shared" si="139"/>
        <v>6.5436717000439373</v>
      </c>
      <c r="L123">
        <f t="shared" si="140"/>
        <v>49.261351697611133</v>
      </c>
      <c r="M123">
        <f t="shared" si="141"/>
        <v>338.22</v>
      </c>
      <c r="N123">
        <f t="shared" si="142"/>
        <v>180.65065632903827</v>
      </c>
      <c r="O123">
        <f t="shared" si="143"/>
        <v>17.993014401246647</v>
      </c>
      <c r="P123">
        <f t="shared" si="144"/>
        <v>33.687103354362002</v>
      </c>
      <c r="Q123">
        <f t="shared" si="145"/>
        <v>0.56477772250014191</v>
      </c>
      <c r="R123">
        <f t="shared" si="146"/>
        <v>2.9172813215117479</v>
      </c>
      <c r="S123">
        <f t="shared" si="147"/>
        <v>0.51032505341525014</v>
      </c>
      <c r="T123">
        <f t="shared" si="148"/>
        <v>0.32340688947036633</v>
      </c>
      <c r="U123">
        <f t="shared" si="149"/>
        <v>289.54630184751898</v>
      </c>
      <c r="V123">
        <f t="shared" si="150"/>
        <v>27.999840963458091</v>
      </c>
      <c r="W123">
        <f t="shared" si="151"/>
        <v>27.561199999999999</v>
      </c>
      <c r="X123">
        <f t="shared" si="152"/>
        <v>3.6988421240344307</v>
      </c>
      <c r="Y123">
        <f t="shared" si="153"/>
        <v>64.878658699052167</v>
      </c>
      <c r="Z123">
        <f t="shared" si="154"/>
        <v>2.4611943925195496</v>
      </c>
      <c r="AA123">
        <f t="shared" si="155"/>
        <v>3.7935346412386695</v>
      </c>
      <c r="AB123">
        <f t="shared" si="156"/>
        <v>1.2376477315148811</v>
      </c>
      <c r="AC123">
        <f t="shared" si="157"/>
        <v>-288.57592197193765</v>
      </c>
      <c r="AD123">
        <f t="shared" si="158"/>
        <v>68.084984125052287</v>
      </c>
      <c r="AE123">
        <f t="shared" si="159"/>
        <v>5.0759945530866055</v>
      </c>
      <c r="AF123">
        <f t="shared" si="160"/>
        <v>74.131358553720233</v>
      </c>
      <c r="AG123">
        <v>0</v>
      </c>
      <c r="AH123">
        <v>0</v>
      </c>
      <c r="AI123">
        <f t="shared" si="161"/>
        <v>1</v>
      </c>
      <c r="AJ123">
        <f t="shared" si="162"/>
        <v>0</v>
      </c>
      <c r="AK123">
        <f t="shared" si="163"/>
        <v>52339.083172829283</v>
      </c>
      <c r="AL123" t="s">
        <v>415</v>
      </c>
      <c r="AM123">
        <v>10204.299999999999</v>
      </c>
      <c r="AN123">
        <v>862.72538461538477</v>
      </c>
      <c r="AO123">
        <v>3252.56</v>
      </c>
      <c r="AP123">
        <f t="shared" si="164"/>
        <v>0.73475496697512588</v>
      </c>
      <c r="AQ123">
        <v>-6.6684750346205304</v>
      </c>
      <c r="AR123" t="s">
        <v>962</v>
      </c>
      <c r="AS123">
        <v>10054.5</v>
      </c>
      <c r="AT123">
        <v>744.07068000000004</v>
      </c>
      <c r="AU123">
        <v>1090.3532180726099</v>
      </c>
      <c r="AV123">
        <f t="shared" si="165"/>
        <v>0.3175874866355004</v>
      </c>
      <c r="AW123">
        <v>0.5</v>
      </c>
      <c r="AX123">
        <f t="shared" si="166"/>
        <v>1513.0757999209943</v>
      </c>
      <c r="AY123">
        <f t="shared" si="167"/>
        <v>49.261351697611133</v>
      </c>
      <c r="AZ123">
        <f t="shared" si="168"/>
        <v>240.26697019295392</v>
      </c>
      <c r="BA123">
        <f t="shared" si="169"/>
        <v>3.6964325736458178E-2</v>
      </c>
      <c r="BB123">
        <f t="shared" si="170"/>
        <v>1.9830333382694725</v>
      </c>
      <c r="BC123">
        <f t="shared" si="171"/>
        <v>565.35464173595437</v>
      </c>
      <c r="BD123" t="s">
        <v>963</v>
      </c>
      <c r="BE123">
        <v>573.53</v>
      </c>
      <c r="BF123">
        <f t="shared" si="172"/>
        <v>573.53</v>
      </c>
      <c r="BG123">
        <f t="shared" si="173"/>
        <v>0.47399614134783352</v>
      </c>
      <c r="BH123">
        <f t="shared" si="174"/>
        <v>0.6700212489756211</v>
      </c>
      <c r="BI123">
        <f t="shared" si="175"/>
        <v>0.80708569218239068</v>
      </c>
      <c r="BJ123">
        <f t="shared" si="176"/>
        <v>1.5212662389007969</v>
      </c>
      <c r="BK123">
        <f t="shared" si="177"/>
        <v>0.90475163762719568</v>
      </c>
      <c r="BL123">
        <f t="shared" si="178"/>
        <v>0.51645266673454726</v>
      </c>
      <c r="BM123">
        <f t="shared" si="179"/>
        <v>0.48354733326545274</v>
      </c>
      <c r="BN123">
        <v>5084</v>
      </c>
      <c r="BO123">
        <v>290.00000000000011</v>
      </c>
      <c r="BP123">
        <v>1000.7</v>
      </c>
      <c r="BQ123">
        <v>165</v>
      </c>
      <c r="BR123">
        <v>10054.5</v>
      </c>
      <c r="BS123">
        <v>1000.84</v>
      </c>
      <c r="BT123">
        <v>-0.14000000000000001</v>
      </c>
      <c r="BU123">
        <v>300.00000000000011</v>
      </c>
      <c r="BV123">
        <v>24.1</v>
      </c>
      <c r="BW123">
        <v>1090.3532180726099</v>
      </c>
      <c r="BX123">
        <v>1.9808755623633769</v>
      </c>
      <c r="BY123">
        <v>-90.000960225958778</v>
      </c>
      <c r="BZ123">
        <v>1.7734445341070599</v>
      </c>
      <c r="CA123">
        <v>0.98924518582157728</v>
      </c>
      <c r="CB123">
        <v>-6.8462424916574064E-3</v>
      </c>
      <c r="CC123">
        <v>289.99999999999989</v>
      </c>
      <c r="CD123">
        <v>998.65</v>
      </c>
      <c r="CE123">
        <v>695</v>
      </c>
      <c r="CF123">
        <v>10035</v>
      </c>
      <c r="CG123">
        <v>1000.67</v>
      </c>
      <c r="CH123">
        <v>-2.02</v>
      </c>
      <c r="CV123">
        <f t="shared" si="180"/>
        <v>1799.87</v>
      </c>
      <c r="CW123">
        <f t="shared" si="181"/>
        <v>1513.0757999209943</v>
      </c>
      <c r="CX123">
        <f t="shared" si="182"/>
        <v>0.84065838083916855</v>
      </c>
      <c r="CY123">
        <f t="shared" si="183"/>
        <v>0.16087067501959529</v>
      </c>
      <c r="CZ123">
        <v>6</v>
      </c>
      <c r="DA123">
        <v>0.5</v>
      </c>
      <c r="DB123" t="s">
        <v>418</v>
      </c>
      <c r="DC123">
        <v>2</v>
      </c>
      <c r="DD123">
        <v>1639692382</v>
      </c>
      <c r="DE123">
        <v>338.22</v>
      </c>
      <c r="DF123">
        <v>399.976</v>
      </c>
      <c r="DG123">
        <v>24.7105</v>
      </c>
      <c r="DH123">
        <v>17.053799999999999</v>
      </c>
      <c r="DI123">
        <v>339.93</v>
      </c>
      <c r="DJ123">
        <v>24.695399999999999</v>
      </c>
      <c r="DK123">
        <v>500.10899999999998</v>
      </c>
      <c r="DL123">
        <v>99.501300000000001</v>
      </c>
      <c r="DM123">
        <v>9.9857100000000004E-2</v>
      </c>
      <c r="DN123">
        <v>27.9941</v>
      </c>
      <c r="DO123">
        <v>27.561199999999999</v>
      </c>
      <c r="DP123">
        <v>999.9</v>
      </c>
      <c r="DQ123">
        <v>0</v>
      </c>
      <c r="DR123">
        <v>0</v>
      </c>
      <c r="DS123">
        <v>9980</v>
      </c>
      <c r="DT123">
        <v>0</v>
      </c>
      <c r="DU123">
        <v>221.172</v>
      </c>
      <c r="DV123">
        <v>-61.755400000000002</v>
      </c>
      <c r="DW123">
        <v>346.79</v>
      </c>
      <c r="DX123">
        <v>406.91500000000002</v>
      </c>
      <c r="DY123">
        <v>7.6566900000000002</v>
      </c>
      <c r="DZ123">
        <v>399.976</v>
      </c>
      <c r="EA123">
        <v>17.053799999999999</v>
      </c>
      <c r="EB123">
        <v>2.45872</v>
      </c>
      <c r="EC123">
        <v>1.6968700000000001</v>
      </c>
      <c r="ED123">
        <v>20.755800000000001</v>
      </c>
      <c r="EE123">
        <v>14.867900000000001</v>
      </c>
      <c r="EF123">
        <v>1799.87</v>
      </c>
      <c r="EG123">
        <v>0.97799199999999997</v>
      </c>
      <c r="EH123">
        <v>2.2008099999999999E-2</v>
      </c>
      <c r="EI123">
        <v>0</v>
      </c>
      <c r="EJ123">
        <v>744.25300000000004</v>
      </c>
      <c r="EK123">
        <v>5.0001199999999999</v>
      </c>
      <c r="EL123">
        <v>13222</v>
      </c>
      <c r="EM123">
        <v>15628.8</v>
      </c>
      <c r="EN123">
        <v>47.061999999999998</v>
      </c>
      <c r="EO123">
        <v>47.686999999999998</v>
      </c>
      <c r="EP123">
        <v>47.75</v>
      </c>
      <c r="EQ123">
        <v>47.561999999999998</v>
      </c>
      <c r="ER123">
        <v>48.561999999999998</v>
      </c>
      <c r="ES123">
        <v>1755.37</v>
      </c>
      <c r="ET123">
        <v>39.5</v>
      </c>
      <c r="EU123">
        <v>0</v>
      </c>
      <c r="EV123">
        <v>180.60000014305109</v>
      </c>
      <c r="EW123">
        <v>0</v>
      </c>
      <c r="EX123">
        <v>744.07068000000004</v>
      </c>
      <c r="EY123">
        <v>2.786923074870002</v>
      </c>
      <c r="EZ123">
        <v>69.676922994195294</v>
      </c>
      <c r="FA123">
        <v>13215.075999999999</v>
      </c>
      <c r="FB123">
        <v>15</v>
      </c>
      <c r="FC123">
        <v>1639692283</v>
      </c>
      <c r="FD123" t="s">
        <v>964</v>
      </c>
      <c r="FE123">
        <v>1639692275</v>
      </c>
      <c r="FF123">
        <v>1639692283</v>
      </c>
      <c r="FG123">
        <v>117</v>
      </c>
      <c r="FH123">
        <v>-4.1000000000000002E-2</v>
      </c>
      <c r="FI123">
        <v>3.0000000000000001E-3</v>
      </c>
      <c r="FJ123">
        <v>-1.8049999999999999</v>
      </c>
      <c r="FK123">
        <v>-0.1</v>
      </c>
      <c r="FL123">
        <v>400</v>
      </c>
      <c r="FM123">
        <v>17</v>
      </c>
      <c r="FN123">
        <v>0.03</v>
      </c>
      <c r="FO123">
        <v>0.01</v>
      </c>
      <c r="FP123">
        <v>49.107558220480271</v>
      </c>
      <c r="FQ123">
        <v>0.68336372602504381</v>
      </c>
      <c r="FR123">
        <v>7.1354404412507302E-2</v>
      </c>
      <c r="FS123">
        <v>1</v>
      </c>
      <c r="FT123">
        <v>0.56679871672423254</v>
      </c>
      <c r="FU123">
        <v>-1.1505435310482129E-2</v>
      </c>
      <c r="FV123">
        <v>1.386578415606693E-3</v>
      </c>
      <c r="FW123">
        <v>1</v>
      </c>
      <c r="FX123">
        <v>2</v>
      </c>
      <c r="FY123">
        <v>2</v>
      </c>
      <c r="FZ123" t="s">
        <v>420</v>
      </c>
      <c r="GA123">
        <v>2.9201899999999998</v>
      </c>
      <c r="GB123">
        <v>2.7446600000000001</v>
      </c>
      <c r="GC123">
        <v>8.0707600000000004E-2</v>
      </c>
      <c r="GD123">
        <v>9.3158900000000003E-2</v>
      </c>
      <c r="GE123">
        <v>0.119064</v>
      </c>
      <c r="GF123">
        <v>9.2883599999999997E-2</v>
      </c>
      <c r="GG123">
        <v>28642.9</v>
      </c>
      <c r="GH123">
        <v>27912.3</v>
      </c>
      <c r="GI123">
        <v>28367.3</v>
      </c>
      <c r="GJ123">
        <v>28147.8</v>
      </c>
      <c r="GK123">
        <v>34297.4</v>
      </c>
      <c r="GL123">
        <v>35864.300000000003</v>
      </c>
      <c r="GM123">
        <v>42688.4</v>
      </c>
      <c r="GN123">
        <v>43800.9</v>
      </c>
      <c r="GO123">
        <v>1.7904</v>
      </c>
      <c r="GP123">
        <v>1.97672</v>
      </c>
      <c r="GQ123">
        <v>2.7157400000000002E-2</v>
      </c>
      <c r="GR123">
        <v>0</v>
      </c>
      <c r="GS123">
        <v>27.1173</v>
      </c>
      <c r="GT123">
        <v>999.9</v>
      </c>
      <c r="GU123">
        <v>38.1</v>
      </c>
      <c r="GV123">
        <v>34.799999999999997</v>
      </c>
      <c r="GW123">
        <v>21.390899999999998</v>
      </c>
      <c r="GX123">
        <v>60.5503</v>
      </c>
      <c r="GY123">
        <v>29.162700000000001</v>
      </c>
      <c r="GZ123">
        <v>1</v>
      </c>
      <c r="HA123">
        <v>0.36005599999999999</v>
      </c>
      <c r="HB123">
        <v>2.3074400000000002</v>
      </c>
      <c r="HC123">
        <v>20.309200000000001</v>
      </c>
      <c r="HD123">
        <v>5.2753899999999998</v>
      </c>
      <c r="HE123">
        <v>12.0878</v>
      </c>
      <c r="HF123">
        <v>5.0128000000000004</v>
      </c>
      <c r="HG123">
        <v>3.2919499999999999</v>
      </c>
      <c r="HH123">
        <v>9999</v>
      </c>
      <c r="HI123">
        <v>9999</v>
      </c>
      <c r="HJ123">
        <v>9999</v>
      </c>
      <c r="HK123">
        <v>999.9</v>
      </c>
      <c r="HL123">
        <v>1.8748499999999999</v>
      </c>
      <c r="HM123">
        <v>1.8753</v>
      </c>
      <c r="HN123">
        <v>1.8750100000000001</v>
      </c>
      <c r="HO123">
        <v>1.8789800000000001</v>
      </c>
      <c r="HP123">
        <v>1.8724099999999999</v>
      </c>
      <c r="HQ123">
        <v>1.8756200000000001</v>
      </c>
      <c r="HR123">
        <v>1.8754500000000001</v>
      </c>
      <c r="HS123">
        <v>1.87683</v>
      </c>
      <c r="HT123">
        <v>0</v>
      </c>
      <c r="HU123">
        <v>0</v>
      </c>
      <c r="HV123">
        <v>0</v>
      </c>
      <c r="HW123">
        <v>0</v>
      </c>
      <c r="HX123" t="s">
        <v>421</v>
      </c>
      <c r="HY123" t="s">
        <v>422</v>
      </c>
      <c r="HZ123" t="s">
        <v>423</v>
      </c>
      <c r="IA123" t="s">
        <v>423</v>
      </c>
      <c r="IB123" t="s">
        <v>423</v>
      </c>
      <c r="IC123" t="s">
        <v>423</v>
      </c>
      <c r="ID123">
        <v>0</v>
      </c>
      <c r="IE123">
        <v>100</v>
      </c>
      <c r="IF123">
        <v>100</v>
      </c>
      <c r="IG123">
        <v>-1.71</v>
      </c>
      <c r="IH123">
        <v>1.5100000000000001E-2</v>
      </c>
      <c r="II123">
        <v>-1.1839339781404701</v>
      </c>
      <c r="IJ123">
        <v>-1.5404112972462821E-3</v>
      </c>
      <c r="IK123">
        <v>-5.8697186733976997E-8</v>
      </c>
      <c r="IL123">
        <v>1.160237123038427E-10</v>
      </c>
      <c r="IM123">
        <v>-0.16140469547919351</v>
      </c>
      <c r="IN123">
        <v>-3.128848753924141E-3</v>
      </c>
      <c r="IO123">
        <v>3.6841110403368089E-4</v>
      </c>
      <c r="IP123">
        <v>1.9296040270694169E-6</v>
      </c>
      <c r="IQ123">
        <v>1</v>
      </c>
      <c r="IR123">
        <v>1992</v>
      </c>
      <c r="IS123">
        <v>2</v>
      </c>
      <c r="IT123">
        <v>27</v>
      </c>
      <c r="IU123">
        <v>1.8</v>
      </c>
      <c r="IV123">
        <v>1.6</v>
      </c>
      <c r="IW123">
        <v>1.0388200000000001</v>
      </c>
      <c r="IX123">
        <v>2.6855500000000001</v>
      </c>
      <c r="IY123">
        <v>1.69434</v>
      </c>
      <c r="IZ123">
        <v>2.34741</v>
      </c>
      <c r="JA123">
        <v>1.5466299999999999</v>
      </c>
      <c r="JB123">
        <v>2.36084</v>
      </c>
      <c r="JC123">
        <v>38.452399999999997</v>
      </c>
      <c r="JD123">
        <v>16.286000000000001</v>
      </c>
      <c r="JE123">
        <v>18</v>
      </c>
      <c r="JF123">
        <v>529.63900000000001</v>
      </c>
      <c r="JG123">
        <v>537.97400000000005</v>
      </c>
      <c r="JH123">
        <v>25.2257</v>
      </c>
      <c r="JI123">
        <v>31.6906</v>
      </c>
      <c r="JJ123">
        <v>29.9999</v>
      </c>
      <c r="JK123">
        <v>31.653199999999998</v>
      </c>
      <c r="JL123">
        <v>31.606400000000001</v>
      </c>
      <c r="JM123">
        <v>20.868500000000001</v>
      </c>
      <c r="JN123">
        <v>21.1188</v>
      </c>
      <c r="JO123">
        <v>28.708400000000001</v>
      </c>
      <c r="JP123">
        <v>25.230799999999999</v>
      </c>
      <c r="JQ123">
        <v>400</v>
      </c>
      <c r="JR123">
        <v>17.158000000000001</v>
      </c>
      <c r="JS123">
        <v>99.465900000000005</v>
      </c>
      <c r="JT123">
        <v>98.645300000000006</v>
      </c>
    </row>
    <row r="124" spans="1:280" x14ac:dyDescent="0.25">
      <c r="A124">
        <v>108</v>
      </c>
      <c r="B124">
        <v>1639692505.5</v>
      </c>
      <c r="C124">
        <v>25903.400000095371</v>
      </c>
      <c r="D124" t="s">
        <v>965</v>
      </c>
      <c r="E124" t="s">
        <v>966</v>
      </c>
      <c r="F124" t="s">
        <v>412</v>
      </c>
      <c r="G124" t="s">
        <v>921</v>
      </c>
      <c r="H124" t="s">
        <v>636</v>
      </c>
      <c r="I124">
        <v>1639692505.5</v>
      </c>
      <c r="J124">
        <f t="shared" si="138"/>
        <v>6.2085276972992697E-3</v>
      </c>
      <c r="K124">
        <f t="shared" si="139"/>
        <v>6.20852769729927</v>
      </c>
      <c r="L124">
        <f t="shared" si="140"/>
        <v>51.36239244846773</v>
      </c>
      <c r="M124">
        <f t="shared" si="141"/>
        <v>435.18799999999999</v>
      </c>
      <c r="N124">
        <f t="shared" si="142"/>
        <v>260.90901468660616</v>
      </c>
      <c r="O124">
        <f t="shared" si="143"/>
        <v>25.990062482665376</v>
      </c>
      <c r="P124">
        <f t="shared" si="144"/>
        <v>43.350603754692003</v>
      </c>
      <c r="Q124">
        <f t="shared" si="145"/>
        <v>0.53382010219238507</v>
      </c>
      <c r="R124">
        <f t="shared" si="146"/>
        <v>2.9209994831322783</v>
      </c>
      <c r="S124">
        <f t="shared" si="147"/>
        <v>0.48495308256681879</v>
      </c>
      <c r="T124">
        <f t="shared" si="148"/>
        <v>0.30711253654630322</v>
      </c>
      <c r="U124">
        <f t="shared" si="149"/>
        <v>289.54949384752069</v>
      </c>
      <c r="V124">
        <f t="shared" si="150"/>
        <v>28.096489433822807</v>
      </c>
      <c r="W124">
        <f t="shared" si="151"/>
        <v>27.622399999999999</v>
      </c>
      <c r="X124">
        <f t="shared" si="152"/>
        <v>3.7121025268637275</v>
      </c>
      <c r="Y124">
        <f t="shared" si="153"/>
        <v>65.244940332312822</v>
      </c>
      <c r="Z124">
        <f t="shared" si="154"/>
        <v>2.4764316791435999</v>
      </c>
      <c r="AA124">
        <f t="shared" si="155"/>
        <v>3.7955919133811165</v>
      </c>
      <c r="AB124">
        <f t="shared" si="156"/>
        <v>1.2356708477201277</v>
      </c>
      <c r="AC124">
        <f t="shared" si="157"/>
        <v>-273.79607145089778</v>
      </c>
      <c r="AD124">
        <f t="shared" si="158"/>
        <v>59.998708095293068</v>
      </c>
      <c r="AE124">
        <f t="shared" si="159"/>
        <v>4.4690083959390776</v>
      </c>
      <c r="AF124">
        <f t="shared" si="160"/>
        <v>80.221138887855034</v>
      </c>
      <c r="AG124">
        <v>0</v>
      </c>
      <c r="AH124">
        <v>0</v>
      </c>
      <c r="AI124">
        <f t="shared" si="161"/>
        <v>1</v>
      </c>
      <c r="AJ124">
        <f t="shared" si="162"/>
        <v>0</v>
      </c>
      <c r="AK124">
        <f t="shared" si="163"/>
        <v>52444.461847154285</v>
      </c>
      <c r="AL124" t="s">
        <v>415</v>
      </c>
      <c r="AM124">
        <v>10204.299999999999</v>
      </c>
      <c r="AN124">
        <v>862.72538461538477</v>
      </c>
      <c r="AO124">
        <v>3252.56</v>
      </c>
      <c r="AP124">
        <f t="shared" si="164"/>
        <v>0.73475496697512588</v>
      </c>
      <c r="AQ124">
        <v>-6.6684750346205304</v>
      </c>
      <c r="AR124" t="s">
        <v>967</v>
      </c>
      <c r="AS124">
        <v>10049.1</v>
      </c>
      <c r="AT124">
        <v>751.40184615384612</v>
      </c>
      <c r="AU124">
        <v>1120.264995706636</v>
      </c>
      <c r="AV124">
        <f t="shared" si="165"/>
        <v>0.32926419281727171</v>
      </c>
      <c r="AW124">
        <v>0.5</v>
      </c>
      <c r="AX124">
        <f t="shared" si="166"/>
        <v>1513.0925999209951</v>
      </c>
      <c r="AY124">
        <f t="shared" si="167"/>
        <v>51.36239244846773</v>
      </c>
      <c r="AZ124">
        <f t="shared" si="168"/>
        <v>249.10360678538675</v>
      </c>
      <c r="BA124">
        <f t="shared" si="169"/>
        <v>3.8352489124669764E-2</v>
      </c>
      <c r="BB124">
        <f t="shared" si="170"/>
        <v>1.903384478195147</v>
      </c>
      <c r="BC124">
        <f t="shared" si="171"/>
        <v>573.29153869446645</v>
      </c>
      <c r="BD124" t="s">
        <v>968</v>
      </c>
      <c r="BE124">
        <v>577.99</v>
      </c>
      <c r="BF124">
        <f t="shared" si="172"/>
        <v>577.99</v>
      </c>
      <c r="BG124">
        <f t="shared" si="173"/>
        <v>0.48405957321248094</v>
      </c>
      <c r="BH124">
        <f t="shared" si="174"/>
        <v>0.68021419477792089</v>
      </c>
      <c r="BI124">
        <f t="shared" si="175"/>
        <v>0.79724778349168812</v>
      </c>
      <c r="BJ124">
        <f t="shared" si="176"/>
        <v>1.4322579271974383</v>
      </c>
      <c r="BK124">
        <f t="shared" si="177"/>
        <v>0.89223538338873576</v>
      </c>
      <c r="BL124">
        <f t="shared" si="178"/>
        <v>0.52323135011195243</v>
      </c>
      <c r="BM124">
        <f t="shared" si="179"/>
        <v>0.47676864988804757</v>
      </c>
      <c r="BN124">
        <v>5086</v>
      </c>
      <c r="BO124">
        <v>290.00000000000011</v>
      </c>
      <c r="BP124">
        <v>1025</v>
      </c>
      <c r="BQ124">
        <v>235</v>
      </c>
      <c r="BR124">
        <v>10049.1</v>
      </c>
      <c r="BS124">
        <v>1024.18</v>
      </c>
      <c r="BT124">
        <v>0.82</v>
      </c>
      <c r="BU124">
        <v>300.00000000000011</v>
      </c>
      <c r="BV124">
        <v>24.1</v>
      </c>
      <c r="BW124">
        <v>1120.264995706636</v>
      </c>
      <c r="BX124">
        <v>1.829520013705912</v>
      </c>
      <c r="BY124">
        <v>-96.559201913677256</v>
      </c>
      <c r="BZ124">
        <v>1.637958892753727</v>
      </c>
      <c r="CA124">
        <v>0.99200733562962717</v>
      </c>
      <c r="CB124">
        <v>-6.846337263626252E-3</v>
      </c>
      <c r="CC124">
        <v>289.99999999999989</v>
      </c>
      <c r="CD124">
        <v>1021.23</v>
      </c>
      <c r="CE124">
        <v>645</v>
      </c>
      <c r="CF124">
        <v>10037.200000000001</v>
      </c>
      <c r="CG124">
        <v>1024.06</v>
      </c>
      <c r="CH124">
        <v>-2.83</v>
      </c>
      <c r="CV124">
        <f t="shared" si="180"/>
        <v>1799.89</v>
      </c>
      <c r="CW124">
        <f t="shared" si="181"/>
        <v>1513.0925999209951</v>
      </c>
      <c r="CX124">
        <f t="shared" si="182"/>
        <v>0.84065837352337924</v>
      </c>
      <c r="CY124">
        <f t="shared" si="183"/>
        <v>0.16087066090012206</v>
      </c>
      <c r="CZ124">
        <v>6</v>
      </c>
      <c r="DA124">
        <v>0.5</v>
      </c>
      <c r="DB124" t="s">
        <v>418</v>
      </c>
      <c r="DC124">
        <v>2</v>
      </c>
      <c r="DD124">
        <v>1639692505.5</v>
      </c>
      <c r="DE124">
        <v>435.18799999999999</v>
      </c>
      <c r="DF124">
        <v>500.048</v>
      </c>
      <c r="DG124">
        <v>24.860399999999998</v>
      </c>
      <c r="DH124">
        <v>17.597300000000001</v>
      </c>
      <c r="DI124">
        <v>437.17099999999999</v>
      </c>
      <c r="DJ124">
        <v>24.843599999999999</v>
      </c>
      <c r="DK124">
        <v>500.13200000000001</v>
      </c>
      <c r="DL124">
        <v>99.513400000000004</v>
      </c>
      <c r="DM124">
        <v>0.100109</v>
      </c>
      <c r="DN124">
        <v>28.003399999999999</v>
      </c>
      <c r="DO124">
        <v>27.622399999999999</v>
      </c>
      <c r="DP124">
        <v>999.9</v>
      </c>
      <c r="DQ124">
        <v>0</v>
      </c>
      <c r="DR124">
        <v>0</v>
      </c>
      <c r="DS124">
        <v>10000</v>
      </c>
      <c r="DT124">
        <v>0</v>
      </c>
      <c r="DU124">
        <v>219.559</v>
      </c>
      <c r="DV124">
        <v>-64.860799999999998</v>
      </c>
      <c r="DW124">
        <v>446.28199999999998</v>
      </c>
      <c r="DX124">
        <v>509.00599999999997</v>
      </c>
      <c r="DY124">
        <v>7.2630499999999998</v>
      </c>
      <c r="DZ124">
        <v>500.048</v>
      </c>
      <c r="EA124">
        <v>17.597300000000001</v>
      </c>
      <c r="EB124">
        <v>2.4739399999999998</v>
      </c>
      <c r="EC124">
        <v>1.7511699999999999</v>
      </c>
      <c r="ED124">
        <v>20.856100000000001</v>
      </c>
      <c r="EE124">
        <v>15.3576</v>
      </c>
      <c r="EF124">
        <v>1799.89</v>
      </c>
      <c r="EG124">
        <v>0.97799199999999997</v>
      </c>
      <c r="EH124">
        <v>2.2008E-2</v>
      </c>
      <c r="EI124">
        <v>0</v>
      </c>
      <c r="EJ124">
        <v>751.61900000000003</v>
      </c>
      <c r="EK124">
        <v>5.0001199999999999</v>
      </c>
      <c r="EL124">
        <v>13353.1</v>
      </c>
      <c r="EM124">
        <v>15629</v>
      </c>
      <c r="EN124">
        <v>46.936999999999998</v>
      </c>
      <c r="EO124">
        <v>47.625</v>
      </c>
      <c r="EP124">
        <v>47.625</v>
      </c>
      <c r="EQ124">
        <v>47.375</v>
      </c>
      <c r="ER124">
        <v>48.5</v>
      </c>
      <c r="ES124">
        <v>1755.39</v>
      </c>
      <c r="ET124">
        <v>39.5</v>
      </c>
      <c r="EU124">
        <v>0</v>
      </c>
      <c r="EV124">
        <v>121.4000000953674</v>
      </c>
      <c r="EW124">
        <v>0</v>
      </c>
      <c r="EX124">
        <v>751.40184615384612</v>
      </c>
      <c r="EY124">
        <v>2.0569572743558382</v>
      </c>
      <c r="EZ124">
        <v>25.89059827929897</v>
      </c>
      <c r="FA124">
        <v>13350.65</v>
      </c>
      <c r="FB124">
        <v>15</v>
      </c>
      <c r="FC124">
        <v>1639692467</v>
      </c>
      <c r="FD124" t="s">
        <v>969</v>
      </c>
      <c r="FE124">
        <v>1639692467</v>
      </c>
      <c r="FF124">
        <v>1639692464</v>
      </c>
      <c r="FG124">
        <v>118</v>
      </c>
      <c r="FH124">
        <v>-0.124</v>
      </c>
      <c r="FI124">
        <v>-1E-3</v>
      </c>
      <c r="FJ124">
        <v>-2.0819999999999999</v>
      </c>
      <c r="FK124">
        <v>-9.7000000000000003E-2</v>
      </c>
      <c r="FL124">
        <v>500</v>
      </c>
      <c r="FM124">
        <v>17</v>
      </c>
      <c r="FN124">
        <v>0.05</v>
      </c>
      <c r="FO124">
        <v>0.01</v>
      </c>
      <c r="FP124">
        <v>51.380476353171787</v>
      </c>
      <c r="FQ124">
        <v>-0.66997281991635926</v>
      </c>
      <c r="FR124">
        <v>8.1768288301419717E-2</v>
      </c>
      <c r="FS124">
        <v>1</v>
      </c>
      <c r="FT124">
        <v>0.53643379321608453</v>
      </c>
      <c r="FU124">
        <v>1.9208633939880791E-2</v>
      </c>
      <c r="FV124">
        <v>3.9498922871526228E-3</v>
      </c>
      <c r="FW124">
        <v>1</v>
      </c>
      <c r="FX124">
        <v>2</v>
      </c>
      <c r="FY124">
        <v>2</v>
      </c>
      <c r="FZ124" t="s">
        <v>420</v>
      </c>
      <c r="GA124">
        <v>2.9203299999999999</v>
      </c>
      <c r="GB124">
        <v>2.7450800000000002</v>
      </c>
      <c r="GC124">
        <v>9.8108200000000007E-2</v>
      </c>
      <c r="GD124">
        <v>0.110106</v>
      </c>
      <c r="GE124">
        <v>0.11958199999999999</v>
      </c>
      <c r="GF124">
        <v>9.5020099999999996E-2</v>
      </c>
      <c r="GG124">
        <v>28104</v>
      </c>
      <c r="GH124">
        <v>27394.2</v>
      </c>
      <c r="GI124">
        <v>28370.2</v>
      </c>
      <c r="GJ124">
        <v>28151.200000000001</v>
      </c>
      <c r="GK124">
        <v>34280.800000000003</v>
      </c>
      <c r="GL124">
        <v>35783.599999999999</v>
      </c>
      <c r="GM124">
        <v>42693.1</v>
      </c>
      <c r="GN124">
        <v>43805.9</v>
      </c>
      <c r="GO124">
        <v>1.7906200000000001</v>
      </c>
      <c r="GP124">
        <v>1.97868</v>
      </c>
      <c r="GQ124">
        <v>3.5762799999999997E-2</v>
      </c>
      <c r="GR124">
        <v>0</v>
      </c>
      <c r="GS124">
        <v>27.0379</v>
      </c>
      <c r="GT124">
        <v>999.9</v>
      </c>
      <c r="GU124">
        <v>38.1</v>
      </c>
      <c r="GV124">
        <v>34.799999999999997</v>
      </c>
      <c r="GW124">
        <v>21.3889</v>
      </c>
      <c r="GX124">
        <v>61.3003</v>
      </c>
      <c r="GY124">
        <v>29.2788</v>
      </c>
      <c r="GZ124">
        <v>1</v>
      </c>
      <c r="HA124">
        <v>0.35546499999999998</v>
      </c>
      <c r="HB124">
        <v>2.2556699999999998</v>
      </c>
      <c r="HC124">
        <v>20.310400000000001</v>
      </c>
      <c r="HD124">
        <v>5.2750899999999996</v>
      </c>
      <c r="HE124">
        <v>12.0878</v>
      </c>
      <c r="HF124">
        <v>5.0133000000000001</v>
      </c>
      <c r="HG124">
        <v>3.2918799999999999</v>
      </c>
      <c r="HH124">
        <v>9999</v>
      </c>
      <c r="HI124">
        <v>9999</v>
      </c>
      <c r="HJ124">
        <v>9999</v>
      </c>
      <c r="HK124">
        <v>999.9</v>
      </c>
      <c r="HL124">
        <v>1.8747100000000001</v>
      </c>
      <c r="HM124">
        <v>1.8751599999999999</v>
      </c>
      <c r="HN124">
        <v>1.875</v>
      </c>
      <c r="HO124">
        <v>1.87893</v>
      </c>
      <c r="HP124">
        <v>1.8723799999999999</v>
      </c>
      <c r="HQ124">
        <v>1.8755900000000001</v>
      </c>
      <c r="HR124">
        <v>1.87531</v>
      </c>
      <c r="HS124">
        <v>1.8767100000000001</v>
      </c>
      <c r="HT124">
        <v>0</v>
      </c>
      <c r="HU124">
        <v>0</v>
      </c>
      <c r="HV124">
        <v>0</v>
      </c>
      <c r="HW124">
        <v>0</v>
      </c>
      <c r="HX124" t="s">
        <v>421</v>
      </c>
      <c r="HY124" t="s">
        <v>422</v>
      </c>
      <c r="HZ124" t="s">
        <v>423</v>
      </c>
      <c r="IA124" t="s">
        <v>423</v>
      </c>
      <c r="IB124" t="s">
        <v>423</v>
      </c>
      <c r="IC124" t="s">
        <v>423</v>
      </c>
      <c r="ID124">
        <v>0</v>
      </c>
      <c r="IE124">
        <v>100</v>
      </c>
      <c r="IF124">
        <v>100</v>
      </c>
      <c r="IG124">
        <v>-1.9830000000000001</v>
      </c>
      <c r="IH124">
        <v>1.6799999999999999E-2</v>
      </c>
      <c r="II124">
        <v>-1.3083909850891231</v>
      </c>
      <c r="IJ124">
        <v>-1.5404112972462821E-3</v>
      </c>
      <c r="IK124">
        <v>-5.8697186733976997E-8</v>
      </c>
      <c r="IL124">
        <v>1.160237123038427E-10</v>
      </c>
      <c r="IM124">
        <v>-0.1624252385649298</v>
      </c>
      <c r="IN124">
        <v>-3.128848753924141E-3</v>
      </c>
      <c r="IO124">
        <v>3.6841110403368089E-4</v>
      </c>
      <c r="IP124">
        <v>1.9296040270694169E-6</v>
      </c>
      <c r="IQ124">
        <v>1</v>
      </c>
      <c r="IR124">
        <v>1992</v>
      </c>
      <c r="IS124">
        <v>2</v>
      </c>
      <c r="IT124">
        <v>27</v>
      </c>
      <c r="IU124">
        <v>0.6</v>
      </c>
      <c r="IV124">
        <v>0.7</v>
      </c>
      <c r="IW124">
        <v>1.24268</v>
      </c>
      <c r="IX124">
        <v>2.68066</v>
      </c>
      <c r="IY124">
        <v>1.69434</v>
      </c>
      <c r="IZ124">
        <v>2.34741</v>
      </c>
      <c r="JA124">
        <v>1.5466299999999999</v>
      </c>
      <c r="JB124">
        <v>2.4645999999999999</v>
      </c>
      <c r="JC124">
        <v>38.232399999999998</v>
      </c>
      <c r="JD124">
        <v>16.251000000000001</v>
      </c>
      <c r="JE124">
        <v>18</v>
      </c>
      <c r="JF124">
        <v>529.57100000000003</v>
      </c>
      <c r="JG124">
        <v>539.21199999999999</v>
      </c>
      <c r="JH124">
        <v>25.2485</v>
      </c>
      <c r="JI124">
        <v>31.6465</v>
      </c>
      <c r="JJ124">
        <v>29.9999</v>
      </c>
      <c r="JK124">
        <v>31.627099999999999</v>
      </c>
      <c r="JL124">
        <v>31.581499999999998</v>
      </c>
      <c r="JM124">
        <v>24.952999999999999</v>
      </c>
      <c r="JN124">
        <v>18.2135</v>
      </c>
      <c r="JO124">
        <v>28.812200000000001</v>
      </c>
      <c r="JP124">
        <v>25.248899999999999</v>
      </c>
      <c r="JQ124">
        <v>500</v>
      </c>
      <c r="JR124">
        <v>17.5151</v>
      </c>
      <c r="JS124">
        <v>99.476699999999994</v>
      </c>
      <c r="JT124">
        <v>98.656700000000001</v>
      </c>
    </row>
    <row r="125" spans="1:280" x14ac:dyDescent="0.25">
      <c r="A125">
        <v>109</v>
      </c>
      <c r="B125">
        <v>1639692629.5</v>
      </c>
      <c r="C125">
        <v>26027.400000095371</v>
      </c>
      <c r="D125" t="s">
        <v>970</v>
      </c>
      <c r="E125" t="s">
        <v>971</v>
      </c>
      <c r="F125" t="s">
        <v>412</v>
      </c>
      <c r="G125" t="s">
        <v>921</v>
      </c>
      <c r="H125" t="s">
        <v>636</v>
      </c>
      <c r="I125">
        <v>1639692629.5</v>
      </c>
      <c r="J125">
        <f t="shared" si="138"/>
        <v>5.7722171312244832E-3</v>
      </c>
      <c r="K125">
        <f t="shared" si="139"/>
        <v>5.7722171312244832</v>
      </c>
      <c r="L125">
        <f t="shared" si="140"/>
        <v>51.364596973603675</v>
      </c>
      <c r="M125">
        <f t="shared" si="141"/>
        <v>534.76599999999996</v>
      </c>
      <c r="N125">
        <f t="shared" si="142"/>
        <v>343.73269823018967</v>
      </c>
      <c r="O125">
        <f t="shared" si="143"/>
        <v>34.242155460154486</v>
      </c>
      <c r="P125">
        <f t="shared" si="144"/>
        <v>53.27261735961519</v>
      </c>
      <c r="Q125">
        <f t="shared" si="145"/>
        <v>0.4870710725404313</v>
      </c>
      <c r="R125">
        <f t="shared" si="146"/>
        <v>2.9180258088912594</v>
      </c>
      <c r="S125">
        <f t="shared" si="147"/>
        <v>0.44599828767005339</v>
      </c>
      <c r="T125">
        <f t="shared" si="148"/>
        <v>0.28214996595930192</v>
      </c>
      <c r="U125">
        <f t="shared" si="149"/>
        <v>289.54630184751898</v>
      </c>
      <c r="V125">
        <f t="shared" si="150"/>
        <v>28.20456729388593</v>
      </c>
      <c r="W125">
        <f t="shared" si="151"/>
        <v>27.664300000000001</v>
      </c>
      <c r="X125">
        <f t="shared" si="152"/>
        <v>3.7212050415159621</v>
      </c>
      <c r="Y125">
        <f t="shared" si="153"/>
        <v>65.150065527918272</v>
      </c>
      <c r="Z125">
        <f t="shared" si="154"/>
        <v>2.4719946494951199</v>
      </c>
      <c r="AA125">
        <f t="shared" si="155"/>
        <v>3.794308769245696</v>
      </c>
      <c r="AB125">
        <f t="shared" si="156"/>
        <v>1.2492103920208422</v>
      </c>
      <c r="AC125">
        <f t="shared" si="157"/>
        <v>-254.55477548699972</v>
      </c>
      <c r="AD125">
        <f t="shared" si="158"/>
        <v>52.43362524940121</v>
      </c>
      <c r="AE125">
        <f t="shared" si="159"/>
        <v>3.9102060526588436</v>
      </c>
      <c r="AF125">
        <f t="shared" si="160"/>
        <v>91.335357662579327</v>
      </c>
      <c r="AG125">
        <v>0</v>
      </c>
      <c r="AH125">
        <v>0</v>
      </c>
      <c r="AI125">
        <f t="shared" si="161"/>
        <v>1</v>
      </c>
      <c r="AJ125">
        <f t="shared" si="162"/>
        <v>0</v>
      </c>
      <c r="AK125">
        <f t="shared" si="163"/>
        <v>52360.210139071729</v>
      </c>
      <c r="AL125" t="s">
        <v>415</v>
      </c>
      <c r="AM125">
        <v>10204.299999999999</v>
      </c>
      <c r="AN125">
        <v>862.72538461538477</v>
      </c>
      <c r="AO125">
        <v>3252.56</v>
      </c>
      <c r="AP125">
        <f t="shared" si="164"/>
        <v>0.73475496697512588</v>
      </c>
      <c r="AQ125">
        <v>-6.6684750346205304</v>
      </c>
      <c r="AR125" t="s">
        <v>972</v>
      </c>
      <c r="AS125">
        <v>10046</v>
      </c>
      <c r="AT125">
        <v>752.85353846153839</v>
      </c>
      <c r="AU125">
        <v>1126.1709923992039</v>
      </c>
      <c r="AV125">
        <f t="shared" si="165"/>
        <v>0.33149269201326781</v>
      </c>
      <c r="AW125">
        <v>0.5</v>
      </c>
      <c r="AX125">
        <f t="shared" si="166"/>
        <v>1513.0757999209943</v>
      </c>
      <c r="AY125">
        <f t="shared" si="167"/>
        <v>51.364596973603675</v>
      </c>
      <c r="AZ125">
        <f t="shared" si="168"/>
        <v>250.7867850679695</v>
      </c>
      <c r="BA125">
        <f t="shared" si="169"/>
        <v>3.8354371943067504E-2</v>
      </c>
      <c r="BB125">
        <f t="shared" si="170"/>
        <v>1.8881582121652054</v>
      </c>
      <c r="BC125">
        <f t="shared" si="171"/>
        <v>574.83425570960594</v>
      </c>
      <c r="BD125" t="s">
        <v>973</v>
      </c>
      <c r="BE125">
        <v>575.85</v>
      </c>
      <c r="BF125">
        <f t="shared" si="172"/>
        <v>575.85</v>
      </c>
      <c r="BG125">
        <f t="shared" si="173"/>
        <v>0.48866557220302353</v>
      </c>
      <c r="BH125">
        <f t="shared" si="174"/>
        <v>0.67836309916169857</v>
      </c>
      <c r="BI125">
        <f t="shared" si="175"/>
        <v>0.79440395395870156</v>
      </c>
      <c r="BJ125">
        <f t="shared" si="176"/>
        <v>1.4170570429248004</v>
      </c>
      <c r="BK125">
        <f t="shared" si="177"/>
        <v>0.88976408405507146</v>
      </c>
      <c r="BL125">
        <f t="shared" si="178"/>
        <v>0.51887302203630525</v>
      </c>
      <c r="BM125">
        <f t="shared" si="179"/>
        <v>0.48112697796369475</v>
      </c>
      <c r="BN125">
        <v>5088</v>
      </c>
      <c r="BO125">
        <v>290.00000000000011</v>
      </c>
      <c r="BP125">
        <v>1028.17</v>
      </c>
      <c r="BQ125">
        <v>285</v>
      </c>
      <c r="BR125">
        <v>10046</v>
      </c>
      <c r="BS125">
        <v>1028.2</v>
      </c>
      <c r="BT125">
        <v>-0.03</v>
      </c>
      <c r="BU125">
        <v>300.00000000000011</v>
      </c>
      <c r="BV125">
        <v>24.1</v>
      </c>
      <c r="BW125">
        <v>1126.1709923992039</v>
      </c>
      <c r="BX125">
        <v>1.7831490531168419</v>
      </c>
      <c r="BY125">
        <v>-98.424605050912263</v>
      </c>
      <c r="BZ125">
        <v>1.596454554803213</v>
      </c>
      <c r="CA125">
        <v>0.99268732508832558</v>
      </c>
      <c r="CB125">
        <v>-6.8463775305895478E-3</v>
      </c>
      <c r="CC125">
        <v>289.99999999999989</v>
      </c>
      <c r="CD125">
        <v>1025.19</v>
      </c>
      <c r="CE125">
        <v>685</v>
      </c>
      <c r="CF125">
        <v>10035.6</v>
      </c>
      <c r="CG125">
        <v>1028.0999999999999</v>
      </c>
      <c r="CH125">
        <v>-2.91</v>
      </c>
      <c r="CV125">
        <f t="shared" si="180"/>
        <v>1799.87</v>
      </c>
      <c r="CW125">
        <f t="shared" si="181"/>
        <v>1513.0757999209943</v>
      </c>
      <c r="CX125">
        <f t="shared" si="182"/>
        <v>0.84065838083916855</v>
      </c>
      <c r="CY125">
        <f t="shared" si="183"/>
        <v>0.16087067501959529</v>
      </c>
      <c r="CZ125">
        <v>6</v>
      </c>
      <c r="DA125">
        <v>0.5</v>
      </c>
      <c r="DB125" t="s">
        <v>418</v>
      </c>
      <c r="DC125">
        <v>2</v>
      </c>
      <c r="DD125">
        <v>1639692629.5</v>
      </c>
      <c r="DE125">
        <v>534.76599999999996</v>
      </c>
      <c r="DF125">
        <v>600.10400000000004</v>
      </c>
      <c r="DG125">
        <v>24.814599999999999</v>
      </c>
      <c r="DH125">
        <v>18.060199999999998</v>
      </c>
      <c r="DI125">
        <v>536.81899999999996</v>
      </c>
      <c r="DJ125">
        <v>24.793500000000002</v>
      </c>
      <c r="DK125">
        <v>500.02800000000002</v>
      </c>
      <c r="DL125">
        <v>99.518699999999995</v>
      </c>
      <c r="DM125">
        <v>9.9857199999999993E-2</v>
      </c>
      <c r="DN125">
        <v>27.997599999999998</v>
      </c>
      <c r="DO125">
        <v>27.664300000000001</v>
      </c>
      <c r="DP125">
        <v>999.9</v>
      </c>
      <c r="DQ125">
        <v>0</v>
      </c>
      <c r="DR125">
        <v>0</v>
      </c>
      <c r="DS125">
        <v>9982.5</v>
      </c>
      <c r="DT125">
        <v>0</v>
      </c>
      <c r="DU125">
        <v>218.286</v>
      </c>
      <c r="DV125">
        <v>-65.337199999999996</v>
      </c>
      <c r="DW125">
        <v>548.37400000000002</v>
      </c>
      <c r="DX125">
        <v>611.14099999999996</v>
      </c>
      <c r="DY125">
        <v>6.7543899999999999</v>
      </c>
      <c r="DZ125">
        <v>600.10400000000004</v>
      </c>
      <c r="EA125">
        <v>18.060199999999998</v>
      </c>
      <c r="EB125">
        <v>2.4695200000000002</v>
      </c>
      <c r="EC125">
        <v>1.7973300000000001</v>
      </c>
      <c r="ED125">
        <v>20.827000000000002</v>
      </c>
      <c r="EE125">
        <v>15.7636</v>
      </c>
      <c r="EF125">
        <v>1799.87</v>
      </c>
      <c r="EG125">
        <v>0.97799199999999997</v>
      </c>
      <c r="EH125">
        <v>2.2008099999999999E-2</v>
      </c>
      <c r="EI125">
        <v>0</v>
      </c>
      <c r="EJ125">
        <v>753.03300000000002</v>
      </c>
      <c r="EK125">
        <v>5.0001199999999999</v>
      </c>
      <c r="EL125">
        <v>13370.3</v>
      </c>
      <c r="EM125">
        <v>15628.8</v>
      </c>
      <c r="EN125">
        <v>46.936999999999998</v>
      </c>
      <c r="EO125">
        <v>47.5</v>
      </c>
      <c r="EP125">
        <v>47.561999999999998</v>
      </c>
      <c r="EQ125">
        <v>47.311999999999998</v>
      </c>
      <c r="ER125">
        <v>48.5</v>
      </c>
      <c r="ES125">
        <v>1755.37</v>
      </c>
      <c r="ET125">
        <v>39.5</v>
      </c>
      <c r="EU125">
        <v>0</v>
      </c>
      <c r="EV125">
        <v>122</v>
      </c>
      <c r="EW125">
        <v>0</v>
      </c>
      <c r="EX125">
        <v>752.85353846153839</v>
      </c>
      <c r="EY125">
        <v>-7.5623932279131834E-2</v>
      </c>
      <c r="EZ125">
        <v>-5.8051281257644272</v>
      </c>
      <c r="FA125">
        <v>13373.04615384615</v>
      </c>
      <c r="FB125">
        <v>15</v>
      </c>
      <c r="FC125">
        <v>1639692587</v>
      </c>
      <c r="FD125" t="s">
        <v>974</v>
      </c>
      <c r="FE125">
        <v>1639692576</v>
      </c>
      <c r="FF125">
        <v>1639692587</v>
      </c>
      <c r="FG125">
        <v>119</v>
      </c>
      <c r="FH125">
        <v>8.2000000000000003E-2</v>
      </c>
      <c r="FI125">
        <v>5.0000000000000001E-3</v>
      </c>
      <c r="FJ125">
        <v>-2.15</v>
      </c>
      <c r="FK125">
        <v>-8.6999999999999994E-2</v>
      </c>
      <c r="FL125">
        <v>600</v>
      </c>
      <c r="FM125">
        <v>18</v>
      </c>
      <c r="FN125">
        <v>0.02</v>
      </c>
      <c r="FO125">
        <v>0.01</v>
      </c>
      <c r="FP125">
        <v>51.428890500936468</v>
      </c>
      <c r="FQ125">
        <v>-0.66302008562155978</v>
      </c>
      <c r="FR125">
        <v>7.9807907212025117E-2</v>
      </c>
      <c r="FS125">
        <v>1</v>
      </c>
      <c r="FT125">
        <v>0.49016097765886169</v>
      </c>
      <c r="FU125">
        <v>-9.5809771053185395E-3</v>
      </c>
      <c r="FV125">
        <v>3.6907710671621381E-3</v>
      </c>
      <c r="FW125">
        <v>1</v>
      </c>
      <c r="FX125">
        <v>2</v>
      </c>
      <c r="FY125">
        <v>2</v>
      </c>
      <c r="FZ125" t="s">
        <v>420</v>
      </c>
      <c r="GA125">
        <v>2.9201899999999998</v>
      </c>
      <c r="GB125">
        <v>2.7446799999999998</v>
      </c>
      <c r="GC125">
        <v>0.11418499999999999</v>
      </c>
      <c r="GD125">
        <v>0.125495</v>
      </c>
      <c r="GE125">
        <v>0.119435</v>
      </c>
      <c r="GF125">
        <v>9.6821599999999994E-2</v>
      </c>
      <c r="GG125">
        <v>27606.400000000001</v>
      </c>
      <c r="GH125">
        <v>26924.799999999999</v>
      </c>
      <c r="GI125">
        <v>28373.5</v>
      </c>
      <c r="GJ125">
        <v>28155.4</v>
      </c>
      <c r="GK125">
        <v>34290.300000000003</v>
      </c>
      <c r="GL125">
        <v>35717.699999999997</v>
      </c>
      <c r="GM125">
        <v>42698</v>
      </c>
      <c r="GN125">
        <v>43812.800000000003</v>
      </c>
      <c r="GO125">
        <v>1.7909299999999999</v>
      </c>
      <c r="GP125">
        <v>1.9814000000000001</v>
      </c>
      <c r="GQ125">
        <v>4.22038E-2</v>
      </c>
      <c r="GR125">
        <v>0</v>
      </c>
      <c r="GS125">
        <v>26.974499999999999</v>
      </c>
      <c r="GT125">
        <v>999.9</v>
      </c>
      <c r="GU125">
        <v>38.200000000000003</v>
      </c>
      <c r="GV125">
        <v>34.700000000000003</v>
      </c>
      <c r="GW125">
        <v>21.323</v>
      </c>
      <c r="GX125">
        <v>61.470399999999998</v>
      </c>
      <c r="GY125">
        <v>28.938300000000002</v>
      </c>
      <c r="GZ125">
        <v>1</v>
      </c>
      <c r="HA125">
        <v>0.348694</v>
      </c>
      <c r="HB125">
        <v>2.20872</v>
      </c>
      <c r="HC125">
        <v>20.310700000000001</v>
      </c>
      <c r="HD125">
        <v>5.2755400000000003</v>
      </c>
      <c r="HE125">
        <v>12.0878</v>
      </c>
      <c r="HF125">
        <v>5.0137999999999998</v>
      </c>
      <c r="HG125">
        <v>3.2919200000000002</v>
      </c>
      <c r="HH125">
        <v>9999</v>
      </c>
      <c r="HI125">
        <v>9999</v>
      </c>
      <c r="HJ125">
        <v>9999</v>
      </c>
      <c r="HK125">
        <v>999.9</v>
      </c>
      <c r="HL125">
        <v>1.87469</v>
      </c>
      <c r="HM125">
        <v>1.8751500000000001</v>
      </c>
      <c r="HN125">
        <v>1.87497</v>
      </c>
      <c r="HO125">
        <v>1.8788800000000001</v>
      </c>
      <c r="HP125">
        <v>1.87232</v>
      </c>
      <c r="HQ125">
        <v>1.8754999999999999</v>
      </c>
      <c r="HR125">
        <v>1.87531</v>
      </c>
      <c r="HS125">
        <v>1.8766799999999999</v>
      </c>
      <c r="HT125">
        <v>0</v>
      </c>
      <c r="HU125">
        <v>0</v>
      </c>
      <c r="HV125">
        <v>0</v>
      </c>
      <c r="HW125">
        <v>0</v>
      </c>
      <c r="HX125" t="s">
        <v>421</v>
      </c>
      <c r="HY125" t="s">
        <v>422</v>
      </c>
      <c r="HZ125" t="s">
        <v>423</v>
      </c>
      <c r="IA125" t="s">
        <v>423</v>
      </c>
      <c r="IB125" t="s">
        <v>423</v>
      </c>
      <c r="IC125" t="s">
        <v>423</v>
      </c>
      <c r="ID125">
        <v>0</v>
      </c>
      <c r="IE125">
        <v>100</v>
      </c>
      <c r="IF125">
        <v>100</v>
      </c>
      <c r="IG125">
        <v>-2.0529999999999999</v>
      </c>
      <c r="IH125">
        <v>2.1100000000000001E-2</v>
      </c>
      <c r="II125">
        <v>-1.226311133606814</v>
      </c>
      <c r="IJ125">
        <v>-1.5404112972462821E-3</v>
      </c>
      <c r="IK125">
        <v>-5.8697186733976997E-8</v>
      </c>
      <c r="IL125">
        <v>1.160237123038427E-10</v>
      </c>
      <c r="IM125">
        <v>-0.15721554557478851</v>
      </c>
      <c r="IN125">
        <v>-3.128848753924141E-3</v>
      </c>
      <c r="IO125">
        <v>3.6841110403368089E-4</v>
      </c>
      <c r="IP125">
        <v>1.9296040270694169E-6</v>
      </c>
      <c r="IQ125">
        <v>1</v>
      </c>
      <c r="IR125">
        <v>1992</v>
      </c>
      <c r="IS125">
        <v>2</v>
      </c>
      <c r="IT125">
        <v>27</v>
      </c>
      <c r="IU125">
        <v>0.9</v>
      </c>
      <c r="IV125">
        <v>0.7</v>
      </c>
      <c r="IW125">
        <v>1.4404300000000001</v>
      </c>
      <c r="IX125">
        <v>2.6709000000000001</v>
      </c>
      <c r="IY125">
        <v>1.69434</v>
      </c>
      <c r="IZ125">
        <v>2.34863</v>
      </c>
      <c r="JA125">
        <v>1.5466299999999999</v>
      </c>
      <c r="JB125">
        <v>2.47437</v>
      </c>
      <c r="JC125">
        <v>38.061999999999998</v>
      </c>
      <c r="JD125">
        <v>16.2072</v>
      </c>
      <c r="JE125">
        <v>18</v>
      </c>
      <c r="JF125">
        <v>529.29100000000005</v>
      </c>
      <c r="JG125">
        <v>540.79999999999995</v>
      </c>
      <c r="JH125">
        <v>25.249700000000001</v>
      </c>
      <c r="JI125">
        <v>31.575800000000001</v>
      </c>
      <c r="JJ125">
        <v>29.9998</v>
      </c>
      <c r="JK125">
        <v>31.5731</v>
      </c>
      <c r="JL125">
        <v>31.530999999999999</v>
      </c>
      <c r="JM125">
        <v>28.9068</v>
      </c>
      <c r="JN125">
        <v>15.5313</v>
      </c>
      <c r="JO125">
        <v>29.1556</v>
      </c>
      <c r="JP125">
        <v>25.252400000000002</v>
      </c>
      <c r="JQ125">
        <v>600</v>
      </c>
      <c r="JR125">
        <v>18.047899999999998</v>
      </c>
      <c r="JS125">
        <v>99.488</v>
      </c>
      <c r="JT125">
        <v>98.671999999999997</v>
      </c>
    </row>
    <row r="126" spans="1:280" x14ac:dyDescent="0.25">
      <c r="A126">
        <v>110</v>
      </c>
      <c r="B126">
        <v>1639692767</v>
      </c>
      <c r="C126">
        <v>26164.900000095371</v>
      </c>
      <c r="D126" t="s">
        <v>975</v>
      </c>
      <c r="E126" t="s">
        <v>976</v>
      </c>
      <c r="F126" t="s">
        <v>412</v>
      </c>
      <c r="G126" t="s">
        <v>921</v>
      </c>
      <c r="H126" t="s">
        <v>636</v>
      </c>
      <c r="I126">
        <v>1639692767</v>
      </c>
      <c r="J126">
        <f t="shared" si="138"/>
        <v>5.2834219953339107E-3</v>
      </c>
      <c r="K126">
        <f t="shared" si="139"/>
        <v>5.283421995333911</v>
      </c>
      <c r="L126">
        <f t="shared" si="140"/>
        <v>50.698328342493731</v>
      </c>
      <c r="M126">
        <f t="shared" si="141"/>
        <v>734.59699999999998</v>
      </c>
      <c r="N126">
        <f t="shared" si="142"/>
        <v>522.4586760087916</v>
      </c>
      <c r="O126">
        <f t="shared" si="143"/>
        <v>52.046054586386283</v>
      </c>
      <c r="P126">
        <f t="shared" si="144"/>
        <v>73.178755213842493</v>
      </c>
      <c r="Q126">
        <f t="shared" si="145"/>
        <v>0.43619594292890607</v>
      </c>
      <c r="R126">
        <f t="shared" si="146"/>
        <v>2.9226142694607624</v>
      </c>
      <c r="S126">
        <f t="shared" si="147"/>
        <v>0.40298957316476602</v>
      </c>
      <c r="T126">
        <f t="shared" si="148"/>
        <v>0.25464095845654255</v>
      </c>
      <c r="U126">
        <f t="shared" si="149"/>
        <v>289.57981784753679</v>
      </c>
      <c r="V126">
        <f t="shared" si="150"/>
        <v>28.327275895395477</v>
      </c>
      <c r="W126">
        <f t="shared" si="151"/>
        <v>27.747800000000002</v>
      </c>
      <c r="X126">
        <f t="shared" si="152"/>
        <v>3.7394029970878986</v>
      </c>
      <c r="Y126">
        <f t="shared" si="153"/>
        <v>65.222438918798971</v>
      </c>
      <c r="Z126">
        <f t="shared" si="154"/>
        <v>2.4740915721347503</v>
      </c>
      <c r="AA126">
        <f t="shared" si="155"/>
        <v>3.7933134871189957</v>
      </c>
      <c r="AB126">
        <f t="shared" si="156"/>
        <v>1.2653114249531483</v>
      </c>
      <c r="AC126">
        <f t="shared" si="157"/>
        <v>-232.99890999422547</v>
      </c>
      <c r="AD126">
        <f t="shared" si="158"/>
        <v>38.650444415464356</v>
      </c>
      <c r="AE126">
        <f t="shared" si="159"/>
        <v>2.8789417532370085</v>
      </c>
      <c r="AF126">
        <f t="shared" si="160"/>
        <v>98.11029402201271</v>
      </c>
      <c r="AG126">
        <v>0</v>
      </c>
      <c r="AH126">
        <v>0</v>
      </c>
      <c r="AI126">
        <f t="shared" si="161"/>
        <v>1</v>
      </c>
      <c r="AJ126">
        <f t="shared" si="162"/>
        <v>0</v>
      </c>
      <c r="AK126">
        <f t="shared" si="163"/>
        <v>52492.732515484822</v>
      </c>
      <c r="AL126" t="s">
        <v>415</v>
      </c>
      <c r="AM126">
        <v>10204.299999999999</v>
      </c>
      <c r="AN126">
        <v>862.72538461538477</v>
      </c>
      <c r="AO126">
        <v>3252.56</v>
      </c>
      <c r="AP126">
        <f t="shared" si="164"/>
        <v>0.73475496697512588</v>
      </c>
      <c r="AQ126">
        <v>-6.6684750346205304</v>
      </c>
      <c r="AR126" t="s">
        <v>977</v>
      </c>
      <c r="AS126">
        <v>10057.1</v>
      </c>
      <c r="AT126">
        <v>751.92415384615379</v>
      </c>
      <c r="AU126">
        <v>1126.296873485094</v>
      </c>
      <c r="AV126">
        <f t="shared" si="165"/>
        <v>0.3323925764621195</v>
      </c>
      <c r="AW126">
        <v>0.5</v>
      </c>
      <c r="AX126">
        <f t="shared" si="166"/>
        <v>1513.2521999210035</v>
      </c>
      <c r="AY126">
        <f t="shared" si="167"/>
        <v>50.698328342493731</v>
      </c>
      <c r="AZ126">
        <f t="shared" si="168"/>
        <v>251.49689878435635</v>
      </c>
      <c r="BA126">
        <f t="shared" si="169"/>
        <v>3.790961174886049E-2</v>
      </c>
      <c r="BB126">
        <f t="shared" si="170"/>
        <v>1.8878354158398947</v>
      </c>
      <c r="BC126">
        <f t="shared" si="171"/>
        <v>574.86705113916412</v>
      </c>
      <c r="BD126" t="s">
        <v>978</v>
      </c>
      <c r="BE126">
        <v>574.19000000000005</v>
      </c>
      <c r="BF126">
        <f t="shared" si="172"/>
        <v>574.19000000000005</v>
      </c>
      <c r="BG126">
        <f t="shared" si="173"/>
        <v>0.49019657825801544</v>
      </c>
      <c r="BH126">
        <f t="shared" si="174"/>
        <v>0.67808016458075793</v>
      </c>
      <c r="BI126">
        <f t="shared" si="175"/>
        <v>0.79386459918342345</v>
      </c>
      <c r="BJ126">
        <f t="shared" si="176"/>
        <v>1.420383977206287</v>
      </c>
      <c r="BK126">
        <f t="shared" si="177"/>
        <v>0.88971141049972169</v>
      </c>
      <c r="BL126">
        <f t="shared" si="178"/>
        <v>0.51780069533487438</v>
      </c>
      <c r="BM126">
        <f t="shared" si="179"/>
        <v>0.48219930466512562</v>
      </c>
      <c r="BN126">
        <v>5090</v>
      </c>
      <c r="BO126">
        <v>290.00000000000011</v>
      </c>
      <c r="BP126">
        <v>1024.7</v>
      </c>
      <c r="BQ126">
        <v>135</v>
      </c>
      <c r="BR126">
        <v>10057.1</v>
      </c>
      <c r="BS126">
        <v>1025.06</v>
      </c>
      <c r="BT126">
        <v>-0.36</v>
      </c>
      <c r="BU126">
        <v>300.00000000000011</v>
      </c>
      <c r="BV126">
        <v>24.1</v>
      </c>
      <c r="BW126">
        <v>1126.296873485094</v>
      </c>
      <c r="BX126">
        <v>2.0346713955903</v>
      </c>
      <c r="BY126">
        <v>-101.8158742149687</v>
      </c>
      <c r="BZ126">
        <v>1.821570790381106</v>
      </c>
      <c r="CA126">
        <v>0.99111731598425545</v>
      </c>
      <c r="CB126">
        <v>-6.8460235817575004E-3</v>
      </c>
      <c r="CC126">
        <v>289.99999999999989</v>
      </c>
      <c r="CD126">
        <v>1021.4</v>
      </c>
      <c r="CE126">
        <v>705</v>
      </c>
      <c r="CF126">
        <v>10034.5</v>
      </c>
      <c r="CG126">
        <v>1024.83</v>
      </c>
      <c r="CH126">
        <v>-3.43</v>
      </c>
      <c r="CV126">
        <f t="shared" si="180"/>
        <v>1800.08</v>
      </c>
      <c r="CW126">
        <f t="shared" si="181"/>
        <v>1513.2521999210035</v>
      </c>
      <c r="CX126">
        <f t="shared" si="182"/>
        <v>0.84065830403148945</v>
      </c>
      <c r="CY126">
        <f t="shared" si="183"/>
        <v>0.16087052678077463</v>
      </c>
      <c r="CZ126">
        <v>6</v>
      </c>
      <c r="DA126">
        <v>0.5</v>
      </c>
      <c r="DB126" t="s">
        <v>418</v>
      </c>
      <c r="DC126">
        <v>2</v>
      </c>
      <c r="DD126">
        <v>1639692767</v>
      </c>
      <c r="DE126">
        <v>734.59699999999998</v>
      </c>
      <c r="DF126">
        <v>800.07500000000005</v>
      </c>
      <c r="DG126">
        <v>24.835899999999999</v>
      </c>
      <c r="DH126">
        <v>18.654900000000001</v>
      </c>
      <c r="DI126">
        <v>737.00900000000001</v>
      </c>
      <c r="DJ126">
        <v>24.815100000000001</v>
      </c>
      <c r="DK126">
        <v>500.13299999999998</v>
      </c>
      <c r="DL126">
        <v>99.517600000000002</v>
      </c>
      <c r="DM126">
        <v>9.99525E-2</v>
      </c>
      <c r="DN126">
        <v>27.993099999999998</v>
      </c>
      <c r="DO126">
        <v>27.747800000000002</v>
      </c>
      <c r="DP126">
        <v>999.9</v>
      </c>
      <c r="DQ126">
        <v>0</v>
      </c>
      <c r="DR126">
        <v>0</v>
      </c>
      <c r="DS126">
        <v>10008.799999999999</v>
      </c>
      <c r="DT126">
        <v>0</v>
      </c>
      <c r="DU126">
        <v>216.45</v>
      </c>
      <c r="DV126">
        <v>-65.478099999999998</v>
      </c>
      <c r="DW126">
        <v>753.30600000000004</v>
      </c>
      <c r="DX126">
        <v>815.28399999999999</v>
      </c>
      <c r="DY126">
        <v>6.1810799999999997</v>
      </c>
      <c r="DZ126">
        <v>800.07500000000005</v>
      </c>
      <c r="EA126">
        <v>18.654900000000001</v>
      </c>
      <c r="EB126">
        <v>2.4716100000000001</v>
      </c>
      <c r="EC126">
        <v>1.85649</v>
      </c>
      <c r="ED126">
        <v>20.840800000000002</v>
      </c>
      <c r="EE126">
        <v>16.270700000000001</v>
      </c>
      <c r="EF126">
        <v>1800.08</v>
      </c>
      <c r="EG126">
        <v>0.97799499999999995</v>
      </c>
      <c r="EH126">
        <v>2.2004699999999999E-2</v>
      </c>
      <c r="EI126">
        <v>0</v>
      </c>
      <c r="EJ126">
        <v>751.54</v>
      </c>
      <c r="EK126">
        <v>5.0001199999999999</v>
      </c>
      <c r="EL126">
        <v>13350.3</v>
      </c>
      <c r="EM126">
        <v>15630.6</v>
      </c>
      <c r="EN126">
        <v>46.811999999999998</v>
      </c>
      <c r="EO126">
        <v>47.625</v>
      </c>
      <c r="EP126">
        <v>47.561999999999998</v>
      </c>
      <c r="EQ126">
        <v>47.436999999999998</v>
      </c>
      <c r="ER126">
        <v>48.436999999999998</v>
      </c>
      <c r="ES126">
        <v>1755.58</v>
      </c>
      <c r="ET126">
        <v>39.5</v>
      </c>
      <c r="EU126">
        <v>0</v>
      </c>
      <c r="EV126">
        <v>135.79999995231631</v>
      </c>
      <c r="EW126">
        <v>0</v>
      </c>
      <c r="EX126">
        <v>751.92415384615379</v>
      </c>
      <c r="EY126">
        <v>-1.179487173581911</v>
      </c>
      <c r="EZ126">
        <v>-14.242735057874381</v>
      </c>
      <c r="FA126">
        <v>13350.807692307701</v>
      </c>
      <c r="FB126">
        <v>15</v>
      </c>
      <c r="FC126">
        <v>1639692720.5</v>
      </c>
      <c r="FD126" t="s">
        <v>979</v>
      </c>
      <c r="FE126">
        <v>1639692717.5</v>
      </c>
      <c r="FF126">
        <v>1639692720.5</v>
      </c>
      <c r="FG126">
        <v>120</v>
      </c>
      <c r="FH126">
        <v>-6.5000000000000002E-2</v>
      </c>
      <c r="FI126">
        <v>-1E-3</v>
      </c>
      <c r="FJ126">
        <v>-2.5049999999999999</v>
      </c>
      <c r="FK126">
        <v>-8.2000000000000003E-2</v>
      </c>
      <c r="FL126">
        <v>800</v>
      </c>
      <c r="FM126">
        <v>18</v>
      </c>
      <c r="FN126">
        <v>0.06</v>
      </c>
      <c r="FO126">
        <v>0.01</v>
      </c>
      <c r="FP126">
        <v>50.823405153434287</v>
      </c>
      <c r="FQ126">
        <v>-0.68753066754399927</v>
      </c>
      <c r="FR126">
        <v>7.4023614797837631E-2</v>
      </c>
      <c r="FS126">
        <v>1</v>
      </c>
      <c r="FT126">
        <v>0.43517634034186098</v>
      </c>
      <c r="FU126">
        <v>6.5766489722096019E-3</v>
      </c>
      <c r="FV126">
        <v>1.513742481361542E-3</v>
      </c>
      <c r="FW126">
        <v>1</v>
      </c>
      <c r="FX126">
        <v>2</v>
      </c>
      <c r="FY126">
        <v>2</v>
      </c>
      <c r="FZ126" t="s">
        <v>420</v>
      </c>
      <c r="GA126">
        <v>2.9206099999999999</v>
      </c>
      <c r="GB126">
        <v>2.7450000000000001</v>
      </c>
      <c r="GC126">
        <v>0.14253299999999999</v>
      </c>
      <c r="GD126">
        <v>0.152758</v>
      </c>
      <c r="GE126">
        <v>0.11952500000000001</v>
      </c>
      <c r="GF126">
        <v>9.9101900000000007E-2</v>
      </c>
      <c r="GG126">
        <v>26727.1</v>
      </c>
      <c r="GH126">
        <v>26091.3</v>
      </c>
      <c r="GI126">
        <v>28377.8</v>
      </c>
      <c r="GJ126">
        <v>28161.8</v>
      </c>
      <c r="GK126">
        <v>34290.9</v>
      </c>
      <c r="GL126">
        <v>35634.6</v>
      </c>
      <c r="GM126">
        <v>42703.5</v>
      </c>
      <c r="GN126">
        <v>43821.9</v>
      </c>
      <c r="GO126">
        <v>1.7917000000000001</v>
      </c>
      <c r="GP126">
        <v>1.9846999999999999</v>
      </c>
      <c r="GQ126">
        <v>4.6201100000000002E-2</v>
      </c>
      <c r="GR126">
        <v>0</v>
      </c>
      <c r="GS126">
        <v>26.992699999999999</v>
      </c>
      <c r="GT126">
        <v>999.9</v>
      </c>
      <c r="GU126">
        <v>38.6</v>
      </c>
      <c r="GV126">
        <v>34.700000000000003</v>
      </c>
      <c r="GW126">
        <v>21.545500000000001</v>
      </c>
      <c r="GX126">
        <v>60.900399999999998</v>
      </c>
      <c r="GY126">
        <v>28.854199999999999</v>
      </c>
      <c r="GZ126">
        <v>1</v>
      </c>
      <c r="HA126">
        <v>0.33969500000000002</v>
      </c>
      <c r="HB126">
        <v>2.24464</v>
      </c>
      <c r="HC126">
        <v>20.310600000000001</v>
      </c>
      <c r="HD126">
        <v>5.27569</v>
      </c>
      <c r="HE126">
        <v>12.0878</v>
      </c>
      <c r="HF126">
        <v>5.0135500000000004</v>
      </c>
      <c r="HG126">
        <v>3.2919499999999999</v>
      </c>
      <c r="HH126">
        <v>9999</v>
      </c>
      <c r="HI126">
        <v>9999</v>
      </c>
      <c r="HJ126">
        <v>9999</v>
      </c>
      <c r="HK126">
        <v>999.9</v>
      </c>
      <c r="HL126">
        <v>1.87469</v>
      </c>
      <c r="HM126">
        <v>1.8751500000000001</v>
      </c>
      <c r="HN126">
        <v>1.8749400000000001</v>
      </c>
      <c r="HO126">
        <v>1.87883</v>
      </c>
      <c r="HP126">
        <v>1.87226</v>
      </c>
      <c r="HQ126">
        <v>1.8754900000000001</v>
      </c>
      <c r="HR126">
        <v>1.87531</v>
      </c>
      <c r="HS126">
        <v>1.8766799999999999</v>
      </c>
      <c r="HT126">
        <v>0</v>
      </c>
      <c r="HU126">
        <v>0</v>
      </c>
      <c r="HV126">
        <v>0</v>
      </c>
      <c r="HW126">
        <v>0</v>
      </c>
      <c r="HX126" t="s">
        <v>421</v>
      </c>
      <c r="HY126" t="s">
        <v>422</v>
      </c>
      <c r="HZ126" t="s">
        <v>423</v>
      </c>
      <c r="IA126" t="s">
        <v>423</v>
      </c>
      <c r="IB126" t="s">
        <v>423</v>
      </c>
      <c r="IC126" t="s">
        <v>423</v>
      </c>
      <c r="ID126">
        <v>0</v>
      </c>
      <c r="IE126">
        <v>100</v>
      </c>
      <c r="IF126">
        <v>100</v>
      </c>
      <c r="IG126">
        <v>-2.4119999999999999</v>
      </c>
      <c r="IH126">
        <v>2.0799999999999999E-2</v>
      </c>
      <c r="II126">
        <v>-1.290951959398456</v>
      </c>
      <c r="IJ126">
        <v>-1.5404112972462821E-3</v>
      </c>
      <c r="IK126">
        <v>-5.8697186733976997E-8</v>
      </c>
      <c r="IL126">
        <v>1.160237123038427E-10</v>
      </c>
      <c r="IM126">
        <v>-0.15792444138868361</v>
      </c>
      <c r="IN126">
        <v>-3.128848753924141E-3</v>
      </c>
      <c r="IO126">
        <v>3.6841110403368089E-4</v>
      </c>
      <c r="IP126">
        <v>1.9296040270694169E-6</v>
      </c>
      <c r="IQ126">
        <v>1</v>
      </c>
      <c r="IR126">
        <v>1992</v>
      </c>
      <c r="IS126">
        <v>2</v>
      </c>
      <c r="IT126">
        <v>27</v>
      </c>
      <c r="IU126">
        <v>0.8</v>
      </c>
      <c r="IV126">
        <v>0.8</v>
      </c>
      <c r="IW126">
        <v>1.8225100000000001</v>
      </c>
      <c r="IX126">
        <v>2.67334</v>
      </c>
      <c r="IY126">
        <v>1.69434</v>
      </c>
      <c r="IZ126">
        <v>2.34863</v>
      </c>
      <c r="JA126">
        <v>1.5466299999999999</v>
      </c>
      <c r="JB126">
        <v>2.4084500000000002</v>
      </c>
      <c r="JC126">
        <v>37.9649</v>
      </c>
      <c r="JD126">
        <v>16.163399999999999</v>
      </c>
      <c r="JE126">
        <v>18</v>
      </c>
      <c r="JF126">
        <v>529.25300000000004</v>
      </c>
      <c r="JG126">
        <v>542.69600000000003</v>
      </c>
      <c r="JH126">
        <v>25.198799999999999</v>
      </c>
      <c r="JI126">
        <v>31.499400000000001</v>
      </c>
      <c r="JJ126">
        <v>30</v>
      </c>
      <c r="JK126">
        <v>31.503599999999999</v>
      </c>
      <c r="JL126">
        <v>31.466699999999999</v>
      </c>
      <c r="JM126">
        <v>36.545000000000002</v>
      </c>
      <c r="JN126">
        <v>13.596399999999999</v>
      </c>
      <c r="JO126">
        <v>31.4678</v>
      </c>
      <c r="JP126">
        <v>25.196000000000002</v>
      </c>
      <c r="JQ126">
        <v>800</v>
      </c>
      <c r="JR126">
        <v>18.582599999999999</v>
      </c>
      <c r="JS126">
        <v>99.501900000000006</v>
      </c>
      <c r="JT126">
        <v>98.693399999999997</v>
      </c>
    </row>
    <row r="127" spans="1:280" x14ac:dyDescent="0.25">
      <c r="A127">
        <v>111</v>
      </c>
      <c r="B127">
        <v>1639692915.5</v>
      </c>
      <c r="C127">
        <v>26313.400000095371</v>
      </c>
      <c r="D127" t="s">
        <v>980</v>
      </c>
      <c r="E127" t="s">
        <v>981</v>
      </c>
      <c r="F127" t="s">
        <v>412</v>
      </c>
      <c r="G127" t="s">
        <v>921</v>
      </c>
      <c r="H127" t="s">
        <v>636</v>
      </c>
      <c r="I127">
        <v>1639692915.5</v>
      </c>
      <c r="J127">
        <f t="shared" si="138"/>
        <v>4.9747669961298664E-3</v>
      </c>
      <c r="K127">
        <f t="shared" si="139"/>
        <v>4.9747669961298664</v>
      </c>
      <c r="L127">
        <f t="shared" si="140"/>
        <v>49.127005081596572</v>
      </c>
      <c r="M127">
        <f t="shared" si="141"/>
        <v>1134.3800000000001</v>
      </c>
      <c r="N127">
        <f t="shared" si="142"/>
        <v>903.62832390333028</v>
      </c>
      <c r="O127">
        <f t="shared" si="143"/>
        <v>90.012275836384489</v>
      </c>
      <c r="P127">
        <f t="shared" si="144"/>
        <v>112.99792487934602</v>
      </c>
      <c r="Q127">
        <f t="shared" si="145"/>
        <v>0.40012669093933145</v>
      </c>
      <c r="R127">
        <f t="shared" si="146"/>
        <v>2.9244807042365757</v>
      </c>
      <c r="S127">
        <f t="shared" si="147"/>
        <v>0.37201180605578005</v>
      </c>
      <c r="T127">
        <f t="shared" si="148"/>
        <v>0.23486855771607923</v>
      </c>
      <c r="U127">
        <f t="shared" si="149"/>
        <v>289.56226184752745</v>
      </c>
      <c r="V127">
        <f t="shared" si="150"/>
        <v>28.43111201454025</v>
      </c>
      <c r="W127">
        <f t="shared" si="151"/>
        <v>27.867000000000001</v>
      </c>
      <c r="X127">
        <f t="shared" si="152"/>
        <v>3.7655159324581153</v>
      </c>
      <c r="Y127">
        <f t="shared" si="153"/>
        <v>65.16041101584058</v>
      </c>
      <c r="Z127">
        <f t="shared" si="154"/>
        <v>2.4751703460872698</v>
      </c>
      <c r="AA127">
        <f t="shared" si="155"/>
        <v>3.7985800081671561</v>
      </c>
      <c r="AB127">
        <f t="shared" si="156"/>
        <v>1.2903455863708455</v>
      </c>
      <c r="AC127">
        <f t="shared" si="157"/>
        <v>-219.38722452932711</v>
      </c>
      <c r="AD127">
        <f t="shared" si="158"/>
        <v>23.633924098647476</v>
      </c>
      <c r="AE127">
        <f t="shared" si="159"/>
        <v>1.7605424578560653</v>
      </c>
      <c r="AF127">
        <f t="shared" si="160"/>
        <v>95.569503874703855</v>
      </c>
      <c r="AG127">
        <v>0</v>
      </c>
      <c r="AH127">
        <v>0</v>
      </c>
      <c r="AI127">
        <f t="shared" si="161"/>
        <v>1</v>
      </c>
      <c r="AJ127">
        <f t="shared" si="162"/>
        <v>0</v>
      </c>
      <c r="AK127">
        <f t="shared" si="163"/>
        <v>52542.096982786272</v>
      </c>
      <c r="AL127" t="s">
        <v>415</v>
      </c>
      <c r="AM127">
        <v>10204.299999999999</v>
      </c>
      <c r="AN127">
        <v>862.72538461538477</v>
      </c>
      <c r="AO127">
        <v>3252.56</v>
      </c>
      <c r="AP127">
        <f t="shared" si="164"/>
        <v>0.73475496697512588</v>
      </c>
      <c r="AQ127">
        <v>-6.6684750346205304</v>
      </c>
      <c r="AR127" t="s">
        <v>982</v>
      </c>
      <c r="AS127">
        <v>10045.6</v>
      </c>
      <c r="AT127">
        <v>750.39400000000012</v>
      </c>
      <c r="AU127">
        <v>1118.9170992415079</v>
      </c>
      <c r="AV127">
        <f t="shared" si="165"/>
        <v>0.32935692866908761</v>
      </c>
      <c r="AW127">
        <v>0.5</v>
      </c>
      <c r="AX127">
        <f t="shared" si="166"/>
        <v>1513.1597999209987</v>
      </c>
      <c r="AY127">
        <f t="shared" si="167"/>
        <v>49.127005081596572</v>
      </c>
      <c r="AZ127">
        <f t="shared" si="168"/>
        <v>249.18483214375561</v>
      </c>
      <c r="BA127">
        <f t="shared" si="169"/>
        <v>3.687348825889384E-2</v>
      </c>
      <c r="BB127">
        <f t="shared" si="170"/>
        <v>1.9068820220951552</v>
      </c>
      <c r="BC127">
        <f t="shared" si="171"/>
        <v>572.93833822378656</v>
      </c>
      <c r="BD127" t="s">
        <v>983</v>
      </c>
      <c r="BE127">
        <v>575.22</v>
      </c>
      <c r="BF127">
        <f t="shared" si="172"/>
        <v>575.22</v>
      </c>
      <c r="BG127">
        <f t="shared" si="173"/>
        <v>0.48591365670438813</v>
      </c>
      <c r="BH127">
        <f t="shared" si="174"/>
        <v>0.67780957403602304</v>
      </c>
      <c r="BI127">
        <f t="shared" si="175"/>
        <v>0.79692638990882436</v>
      </c>
      <c r="BJ127">
        <f t="shared" si="176"/>
        <v>1.4384661103475458</v>
      </c>
      <c r="BK127">
        <f t="shared" si="177"/>
        <v>0.89279939583396983</v>
      </c>
      <c r="BL127">
        <f t="shared" si="178"/>
        <v>0.51957987827328189</v>
      </c>
      <c r="BM127">
        <f t="shared" si="179"/>
        <v>0.48042012172671811</v>
      </c>
      <c r="BN127">
        <v>5092</v>
      </c>
      <c r="BO127">
        <v>290.00000000000011</v>
      </c>
      <c r="BP127">
        <v>1018.63</v>
      </c>
      <c r="BQ127">
        <v>275</v>
      </c>
      <c r="BR127">
        <v>10045.6</v>
      </c>
      <c r="BS127">
        <v>1018.94</v>
      </c>
      <c r="BT127">
        <v>-0.31</v>
      </c>
      <c r="BU127">
        <v>300.00000000000011</v>
      </c>
      <c r="BV127">
        <v>24.1</v>
      </c>
      <c r="BW127">
        <v>1118.9170992415079</v>
      </c>
      <c r="BX127">
        <v>2.0432183605095222</v>
      </c>
      <c r="BY127">
        <v>-100.431290370898</v>
      </c>
      <c r="BZ127">
        <v>1.829109699668759</v>
      </c>
      <c r="CA127">
        <v>0.99079795079337107</v>
      </c>
      <c r="CB127">
        <v>-6.8457628476084539E-3</v>
      </c>
      <c r="CC127">
        <v>289.99999999999989</v>
      </c>
      <c r="CD127">
        <v>1016.37</v>
      </c>
      <c r="CE127">
        <v>665</v>
      </c>
      <c r="CF127">
        <v>10035.4</v>
      </c>
      <c r="CG127">
        <v>1018.84</v>
      </c>
      <c r="CH127">
        <v>-2.4700000000000002</v>
      </c>
      <c r="CV127">
        <f t="shared" si="180"/>
        <v>1799.97</v>
      </c>
      <c r="CW127">
        <f t="shared" si="181"/>
        <v>1513.1597999209987</v>
      </c>
      <c r="CX127">
        <f t="shared" si="182"/>
        <v>0.84065834426184805</v>
      </c>
      <c r="CY127">
        <f t="shared" si="183"/>
        <v>0.1608706044253668</v>
      </c>
      <c r="CZ127">
        <v>6</v>
      </c>
      <c r="DA127">
        <v>0.5</v>
      </c>
      <c r="DB127" t="s">
        <v>418</v>
      </c>
      <c r="DC127">
        <v>2</v>
      </c>
      <c r="DD127">
        <v>1639692915.5</v>
      </c>
      <c r="DE127">
        <v>1134.3800000000001</v>
      </c>
      <c r="DF127">
        <v>1200.0999999999999</v>
      </c>
      <c r="DG127">
        <v>24.848099999999999</v>
      </c>
      <c r="DH127">
        <v>19.027100000000001</v>
      </c>
      <c r="DI127">
        <v>1137.3399999999999</v>
      </c>
      <c r="DJ127">
        <v>24.824200000000001</v>
      </c>
      <c r="DK127">
        <v>500.03300000000002</v>
      </c>
      <c r="DL127">
        <v>99.512299999999996</v>
      </c>
      <c r="DM127">
        <v>9.9756700000000004E-2</v>
      </c>
      <c r="DN127">
        <v>28.0169</v>
      </c>
      <c r="DO127">
        <v>27.867000000000001</v>
      </c>
      <c r="DP127">
        <v>999.9</v>
      </c>
      <c r="DQ127">
        <v>0</v>
      </c>
      <c r="DR127">
        <v>0</v>
      </c>
      <c r="DS127">
        <v>10020</v>
      </c>
      <c r="DT127">
        <v>0</v>
      </c>
      <c r="DU127">
        <v>215.364</v>
      </c>
      <c r="DV127">
        <v>-65.717799999999997</v>
      </c>
      <c r="DW127">
        <v>1163.29</v>
      </c>
      <c r="DX127">
        <v>1223.3800000000001</v>
      </c>
      <c r="DY127">
        <v>5.8210199999999999</v>
      </c>
      <c r="DZ127">
        <v>1200.0999999999999</v>
      </c>
      <c r="EA127">
        <v>19.027100000000001</v>
      </c>
      <c r="EB127">
        <v>2.4726900000000001</v>
      </c>
      <c r="EC127">
        <v>1.8934299999999999</v>
      </c>
      <c r="ED127">
        <v>20.847899999999999</v>
      </c>
      <c r="EE127">
        <v>16.580200000000001</v>
      </c>
      <c r="EF127">
        <v>1799.97</v>
      </c>
      <c r="EG127">
        <v>0.97799499999999995</v>
      </c>
      <c r="EH127">
        <v>2.2004699999999999E-2</v>
      </c>
      <c r="EI127">
        <v>0</v>
      </c>
      <c r="EJ127">
        <v>750.02599999999995</v>
      </c>
      <c r="EK127">
        <v>5.0001199999999999</v>
      </c>
      <c r="EL127">
        <v>13323</v>
      </c>
      <c r="EM127">
        <v>15629.6</v>
      </c>
      <c r="EN127">
        <v>46.936999999999998</v>
      </c>
      <c r="EO127">
        <v>47.811999999999998</v>
      </c>
      <c r="EP127">
        <v>47.686999999999998</v>
      </c>
      <c r="EQ127">
        <v>47.625</v>
      </c>
      <c r="ER127">
        <v>48.5</v>
      </c>
      <c r="ES127">
        <v>1755.47</v>
      </c>
      <c r="ET127">
        <v>39.5</v>
      </c>
      <c r="EU127">
        <v>0</v>
      </c>
      <c r="EV127">
        <v>146.4000000953674</v>
      </c>
      <c r="EW127">
        <v>0</v>
      </c>
      <c r="EX127">
        <v>750.39400000000012</v>
      </c>
      <c r="EY127">
        <v>-1.3383248034627331</v>
      </c>
      <c r="EZ127">
        <v>-11.48376070649369</v>
      </c>
      <c r="FA127">
        <v>13324.51153846154</v>
      </c>
      <c r="FB127">
        <v>15</v>
      </c>
      <c r="FC127">
        <v>1639692874.5</v>
      </c>
      <c r="FD127" t="s">
        <v>984</v>
      </c>
      <c r="FE127">
        <v>1639692871.5</v>
      </c>
      <c r="FF127">
        <v>1639692874.5</v>
      </c>
      <c r="FG127">
        <v>121</v>
      </c>
      <c r="FH127">
        <v>-1.0999999999999999E-2</v>
      </c>
      <c r="FI127">
        <v>3.0000000000000001E-3</v>
      </c>
      <c r="FJ127">
        <v>-3.0379999999999998</v>
      </c>
      <c r="FK127">
        <v>-6.9000000000000006E-2</v>
      </c>
      <c r="FL127">
        <v>1200</v>
      </c>
      <c r="FM127">
        <v>19</v>
      </c>
      <c r="FN127">
        <v>0.1</v>
      </c>
      <c r="FO127">
        <v>0.01</v>
      </c>
      <c r="FP127">
        <v>49.121318669067492</v>
      </c>
      <c r="FQ127">
        <v>-0.65822029379480917</v>
      </c>
      <c r="FR127">
        <v>0.1018541863819587</v>
      </c>
      <c r="FS127">
        <v>1</v>
      </c>
      <c r="FT127">
        <v>0.4035053642531839</v>
      </c>
      <c r="FU127">
        <v>1.0334920121867651E-2</v>
      </c>
      <c r="FV127">
        <v>2.7210080859576069E-3</v>
      </c>
      <c r="FW127">
        <v>1</v>
      </c>
      <c r="FX127">
        <v>2</v>
      </c>
      <c r="FY127">
        <v>2</v>
      </c>
      <c r="FZ127" t="s">
        <v>420</v>
      </c>
      <c r="GA127">
        <v>2.9203399999999999</v>
      </c>
      <c r="GB127">
        <v>2.7448999999999999</v>
      </c>
      <c r="GC127">
        <v>0.18904699999999999</v>
      </c>
      <c r="GD127">
        <v>0.19804099999999999</v>
      </c>
      <c r="GE127">
        <v>0.119551</v>
      </c>
      <c r="GF127">
        <v>0.10050199999999999</v>
      </c>
      <c r="GG127">
        <v>25273</v>
      </c>
      <c r="GH127">
        <v>24693.200000000001</v>
      </c>
      <c r="GI127">
        <v>28374.5</v>
      </c>
      <c r="GJ127">
        <v>28159.3</v>
      </c>
      <c r="GK127">
        <v>34284.9</v>
      </c>
      <c r="GL127">
        <v>35576.199999999997</v>
      </c>
      <c r="GM127">
        <v>42697.599999999999</v>
      </c>
      <c r="GN127">
        <v>43818.6</v>
      </c>
      <c r="GO127">
        <v>1.7912300000000001</v>
      </c>
      <c r="GP127">
        <v>1.9862200000000001</v>
      </c>
      <c r="GQ127">
        <v>4.0862700000000002E-2</v>
      </c>
      <c r="GR127">
        <v>0</v>
      </c>
      <c r="GS127">
        <v>27.199300000000001</v>
      </c>
      <c r="GT127">
        <v>999.9</v>
      </c>
      <c r="GU127">
        <v>39.6</v>
      </c>
      <c r="GV127">
        <v>34.700000000000003</v>
      </c>
      <c r="GW127">
        <v>22.1065</v>
      </c>
      <c r="GX127">
        <v>60.920400000000001</v>
      </c>
      <c r="GY127">
        <v>28.8582</v>
      </c>
      <c r="GZ127">
        <v>1</v>
      </c>
      <c r="HA127">
        <v>0.34551599999999999</v>
      </c>
      <c r="HB127">
        <v>2.9650500000000002</v>
      </c>
      <c r="HC127">
        <v>20.299900000000001</v>
      </c>
      <c r="HD127">
        <v>5.2750899999999996</v>
      </c>
      <c r="HE127">
        <v>12.0878</v>
      </c>
      <c r="HF127">
        <v>5.0132500000000002</v>
      </c>
      <c r="HG127">
        <v>3.2919</v>
      </c>
      <c r="HH127">
        <v>9999</v>
      </c>
      <c r="HI127">
        <v>9999</v>
      </c>
      <c r="HJ127">
        <v>9999</v>
      </c>
      <c r="HK127">
        <v>999.9</v>
      </c>
      <c r="HL127">
        <v>1.87469</v>
      </c>
      <c r="HM127">
        <v>1.8751500000000001</v>
      </c>
      <c r="HN127">
        <v>1.8749199999999999</v>
      </c>
      <c r="HO127">
        <v>1.8788100000000001</v>
      </c>
      <c r="HP127">
        <v>1.87225</v>
      </c>
      <c r="HQ127">
        <v>1.8754999999999999</v>
      </c>
      <c r="HR127">
        <v>1.8753</v>
      </c>
      <c r="HS127">
        <v>1.8766799999999999</v>
      </c>
      <c r="HT127">
        <v>0</v>
      </c>
      <c r="HU127">
        <v>0</v>
      </c>
      <c r="HV127">
        <v>0</v>
      </c>
      <c r="HW127">
        <v>0</v>
      </c>
      <c r="HX127" t="s">
        <v>421</v>
      </c>
      <c r="HY127" t="s">
        <v>422</v>
      </c>
      <c r="HZ127" t="s">
        <v>423</v>
      </c>
      <c r="IA127" t="s">
        <v>423</v>
      </c>
      <c r="IB127" t="s">
        <v>423</v>
      </c>
      <c r="IC127" t="s">
        <v>423</v>
      </c>
      <c r="ID127">
        <v>0</v>
      </c>
      <c r="IE127">
        <v>100</v>
      </c>
      <c r="IF127">
        <v>100</v>
      </c>
      <c r="IG127">
        <v>-2.96</v>
      </c>
      <c r="IH127">
        <v>2.3900000000000001E-2</v>
      </c>
      <c r="II127">
        <v>-1.302419204265173</v>
      </c>
      <c r="IJ127">
        <v>-1.5404112972462821E-3</v>
      </c>
      <c r="IK127">
        <v>-5.8697186733976997E-8</v>
      </c>
      <c r="IL127">
        <v>1.160237123038427E-10</v>
      </c>
      <c r="IM127">
        <v>-0.15493881767576381</v>
      </c>
      <c r="IN127">
        <v>-3.128848753924141E-3</v>
      </c>
      <c r="IO127">
        <v>3.6841110403368089E-4</v>
      </c>
      <c r="IP127">
        <v>1.9296040270694169E-6</v>
      </c>
      <c r="IQ127">
        <v>1</v>
      </c>
      <c r="IR127">
        <v>1992</v>
      </c>
      <c r="IS127">
        <v>2</v>
      </c>
      <c r="IT127">
        <v>27</v>
      </c>
      <c r="IU127">
        <v>0.7</v>
      </c>
      <c r="IV127">
        <v>0.7</v>
      </c>
      <c r="IW127">
        <v>2.5378400000000001</v>
      </c>
      <c r="IX127">
        <v>2.64771</v>
      </c>
      <c r="IY127">
        <v>1.69434</v>
      </c>
      <c r="IZ127">
        <v>2.34863</v>
      </c>
      <c r="JA127">
        <v>1.5466299999999999</v>
      </c>
      <c r="JB127">
        <v>2.48169</v>
      </c>
      <c r="JC127">
        <v>37.940600000000003</v>
      </c>
      <c r="JD127">
        <v>16.128399999999999</v>
      </c>
      <c r="JE127">
        <v>18</v>
      </c>
      <c r="JF127">
        <v>528.803</v>
      </c>
      <c r="JG127">
        <v>543.81899999999996</v>
      </c>
      <c r="JH127">
        <v>24.785799999999998</v>
      </c>
      <c r="JI127">
        <v>31.512599999999999</v>
      </c>
      <c r="JJ127">
        <v>30.000599999999999</v>
      </c>
      <c r="JK127">
        <v>31.498100000000001</v>
      </c>
      <c r="JL127">
        <v>31.463100000000001</v>
      </c>
      <c r="JM127">
        <v>50.8538</v>
      </c>
      <c r="JN127">
        <v>16.136399999999998</v>
      </c>
      <c r="JO127">
        <v>34.793999999999997</v>
      </c>
      <c r="JP127">
        <v>24.780100000000001</v>
      </c>
      <c r="JQ127">
        <v>1200</v>
      </c>
      <c r="JR127">
        <v>19.009899999999998</v>
      </c>
      <c r="JS127">
        <v>99.488799999999998</v>
      </c>
      <c r="JT127">
        <v>98.685299999999998</v>
      </c>
    </row>
    <row r="128" spans="1:280" x14ac:dyDescent="0.25">
      <c r="A128">
        <v>112</v>
      </c>
      <c r="B128">
        <v>1639693049.5999999</v>
      </c>
      <c r="C128">
        <v>26447.5</v>
      </c>
      <c r="D128" t="s">
        <v>985</v>
      </c>
      <c r="E128" t="s">
        <v>986</v>
      </c>
      <c r="F128" t="s">
        <v>412</v>
      </c>
      <c r="G128" t="s">
        <v>921</v>
      </c>
      <c r="H128" t="s">
        <v>636</v>
      </c>
      <c r="I128">
        <v>1639693049.5999999</v>
      </c>
      <c r="J128">
        <f t="shared" si="138"/>
        <v>4.795578468207681E-3</v>
      </c>
      <c r="K128">
        <f t="shared" si="139"/>
        <v>4.7955784682076805</v>
      </c>
      <c r="L128">
        <f t="shared" si="140"/>
        <v>47.864551445890335</v>
      </c>
      <c r="M128">
        <f t="shared" si="141"/>
        <v>1434.37</v>
      </c>
      <c r="N128">
        <f t="shared" si="142"/>
        <v>1190.7944045825618</v>
      </c>
      <c r="O128">
        <f t="shared" si="143"/>
        <v>118.59466245941691</v>
      </c>
      <c r="P128">
        <f t="shared" si="144"/>
        <v>142.85306123146097</v>
      </c>
      <c r="Q128">
        <f t="shared" si="145"/>
        <v>0.37754602633678241</v>
      </c>
      <c r="R128">
        <f t="shared" si="146"/>
        <v>2.9191075133921571</v>
      </c>
      <c r="S128">
        <f t="shared" si="147"/>
        <v>0.35236502900632383</v>
      </c>
      <c r="T128">
        <f t="shared" si="148"/>
        <v>0.22235044648103397</v>
      </c>
      <c r="U128">
        <f t="shared" si="149"/>
        <v>289.55268584752241</v>
      </c>
      <c r="V128">
        <f t="shared" si="150"/>
        <v>28.448997420640271</v>
      </c>
      <c r="W128">
        <f t="shared" si="151"/>
        <v>27.9816</v>
      </c>
      <c r="X128">
        <f t="shared" si="152"/>
        <v>3.7907710231006662</v>
      </c>
      <c r="Y128">
        <f t="shared" si="153"/>
        <v>65.347204408335259</v>
      </c>
      <c r="Z128">
        <f t="shared" si="154"/>
        <v>2.4780007058278897</v>
      </c>
      <c r="AA128">
        <f t="shared" si="155"/>
        <v>3.7920531234107582</v>
      </c>
      <c r="AB128">
        <f t="shared" si="156"/>
        <v>1.3127703172727765</v>
      </c>
      <c r="AC128">
        <f t="shared" si="157"/>
        <v>-211.48501044795873</v>
      </c>
      <c r="AD128">
        <f t="shared" si="158"/>
        <v>0.91277456071969743</v>
      </c>
      <c r="AE128">
        <f t="shared" si="159"/>
        <v>6.8148615600958376E-2</v>
      </c>
      <c r="AF128">
        <f t="shared" si="160"/>
        <v>79.048598575884313</v>
      </c>
      <c r="AG128">
        <v>0</v>
      </c>
      <c r="AH128">
        <v>0</v>
      </c>
      <c r="AI128">
        <f t="shared" si="161"/>
        <v>1</v>
      </c>
      <c r="AJ128">
        <f t="shared" si="162"/>
        <v>0</v>
      </c>
      <c r="AK128">
        <f t="shared" si="163"/>
        <v>52392.485916019803</v>
      </c>
      <c r="AL128" t="s">
        <v>415</v>
      </c>
      <c r="AM128">
        <v>10204.299999999999</v>
      </c>
      <c r="AN128">
        <v>862.72538461538477</v>
      </c>
      <c r="AO128">
        <v>3252.56</v>
      </c>
      <c r="AP128">
        <f t="shared" si="164"/>
        <v>0.73475496697512588</v>
      </c>
      <c r="AQ128">
        <v>-6.6684750346205304</v>
      </c>
      <c r="AR128" t="s">
        <v>987</v>
      </c>
      <c r="AS128">
        <v>10053.299999999999</v>
      </c>
      <c r="AT128">
        <v>749.16746153846157</v>
      </c>
      <c r="AU128">
        <v>1111.055304063603</v>
      </c>
      <c r="AV128">
        <f t="shared" si="165"/>
        <v>0.32571541776684143</v>
      </c>
      <c r="AW128">
        <v>0.5</v>
      </c>
      <c r="AX128">
        <f t="shared" si="166"/>
        <v>1513.1093999209961</v>
      </c>
      <c r="AY128">
        <f t="shared" si="167"/>
        <v>47.864551445890335</v>
      </c>
      <c r="AZ128">
        <f t="shared" si="168"/>
        <v>246.421530161101</v>
      </c>
      <c r="BA128">
        <f t="shared" si="169"/>
        <v>3.6040372548976428E-2</v>
      </c>
      <c r="BB128">
        <f t="shared" si="170"/>
        <v>1.9274510351590972</v>
      </c>
      <c r="BC128">
        <f t="shared" si="171"/>
        <v>570.8699445538208</v>
      </c>
      <c r="BD128" t="s">
        <v>988</v>
      </c>
      <c r="BE128">
        <v>573.63</v>
      </c>
      <c r="BF128">
        <f t="shared" si="172"/>
        <v>573.63</v>
      </c>
      <c r="BG128">
        <f t="shared" si="173"/>
        <v>0.48370706849425904</v>
      </c>
      <c r="BH128">
        <f t="shared" si="174"/>
        <v>0.67337328515948114</v>
      </c>
      <c r="BI128">
        <f t="shared" si="175"/>
        <v>0.79938807506593945</v>
      </c>
      <c r="BJ128">
        <f t="shared" si="176"/>
        <v>1.4572865135592423</v>
      </c>
      <c r="BK128">
        <f t="shared" si="177"/>
        <v>0.89608907752461686</v>
      </c>
      <c r="BL128">
        <f t="shared" si="178"/>
        <v>0.51559516049029919</v>
      </c>
      <c r="BM128">
        <f t="shared" si="179"/>
        <v>0.48440483950970081</v>
      </c>
      <c r="BN128">
        <v>5094</v>
      </c>
      <c r="BO128">
        <v>290.00000000000011</v>
      </c>
      <c r="BP128">
        <v>1014.24</v>
      </c>
      <c r="BQ128">
        <v>165</v>
      </c>
      <c r="BR128">
        <v>10053.299999999999</v>
      </c>
      <c r="BS128">
        <v>1013.86</v>
      </c>
      <c r="BT128">
        <v>0.38</v>
      </c>
      <c r="BU128">
        <v>300.00000000000011</v>
      </c>
      <c r="BV128">
        <v>24.1</v>
      </c>
      <c r="BW128">
        <v>1111.055304063603</v>
      </c>
      <c r="BX128">
        <v>1.9788404877400969</v>
      </c>
      <c r="BY128">
        <v>-97.718365302109916</v>
      </c>
      <c r="BZ128">
        <v>1.771402422803469</v>
      </c>
      <c r="CA128">
        <v>0.99088278082733117</v>
      </c>
      <c r="CB128">
        <v>-6.8454638487208067E-3</v>
      </c>
      <c r="CC128">
        <v>289.99999999999989</v>
      </c>
      <c r="CD128">
        <v>1010.71</v>
      </c>
      <c r="CE128">
        <v>665</v>
      </c>
      <c r="CF128">
        <v>10035</v>
      </c>
      <c r="CG128">
        <v>1013.68</v>
      </c>
      <c r="CH128">
        <v>-2.97</v>
      </c>
      <c r="CV128">
        <f t="shared" si="180"/>
        <v>1799.91</v>
      </c>
      <c r="CW128">
        <f t="shared" si="181"/>
        <v>1513.1093999209961</v>
      </c>
      <c r="CX128">
        <f t="shared" si="182"/>
        <v>0.84065836620775269</v>
      </c>
      <c r="CY128">
        <f t="shared" si="183"/>
        <v>0.16087064678096261</v>
      </c>
      <c r="CZ128">
        <v>6</v>
      </c>
      <c r="DA128">
        <v>0.5</v>
      </c>
      <c r="DB128" t="s">
        <v>418</v>
      </c>
      <c r="DC128">
        <v>2</v>
      </c>
      <c r="DD128">
        <v>1639693049.5999999</v>
      </c>
      <c r="DE128">
        <v>1434.37</v>
      </c>
      <c r="DF128">
        <v>1500.05</v>
      </c>
      <c r="DG128">
        <v>24.8813</v>
      </c>
      <c r="DH128">
        <v>19.270800000000001</v>
      </c>
      <c r="DI128">
        <v>1437.79</v>
      </c>
      <c r="DJ128">
        <v>24.855699999999999</v>
      </c>
      <c r="DK128">
        <v>500.09</v>
      </c>
      <c r="DL128">
        <v>99.492999999999995</v>
      </c>
      <c r="DM128">
        <v>9.9895300000000006E-2</v>
      </c>
      <c r="DN128">
        <v>27.987400000000001</v>
      </c>
      <c r="DO128">
        <v>27.9816</v>
      </c>
      <c r="DP128">
        <v>999.9</v>
      </c>
      <c r="DQ128">
        <v>0</v>
      </c>
      <c r="DR128">
        <v>0</v>
      </c>
      <c r="DS128">
        <v>9991.25</v>
      </c>
      <c r="DT128">
        <v>0</v>
      </c>
      <c r="DU128">
        <v>215.768</v>
      </c>
      <c r="DV128">
        <v>-65.678200000000004</v>
      </c>
      <c r="DW128">
        <v>1470.97</v>
      </c>
      <c r="DX128">
        <v>1529.52</v>
      </c>
      <c r="DY128">
        <v>5.6104900000000004</v>
      </c>
      <c r="DZ128">
        <v>1500.05</v>
      </c>
      <c r="EA128">
        <v>19.270800000000001</v>
      </c>
      <c r="EB128">
        <v>2.4755099999999999</v>
      </c>
      <c r="EC128">
        <v>1.9173100000000001</v>
      </c>
      <c r="ED128">
        <v>20.866399999999999</v>
      </c>
      <c r="EE128">
        <v>16.7775</v>
      </c>
      <c r="EF128">
        <v>1799.91</v>
      </c>
      <c r="EG128">
        <v>0.97799499999999995</v>
      </c>
      <c r="EH128">
        <v>2.2004699999999999E-2</v>
      </c>
      <c r="EI128">
        <v>0</v>
      </c>
      <c r="EJ128">
        <v>749.12699999999995</v>
      </c>
      <c r="EK128">
        <v>5.0001199999999999</v>
      </c>
      <c r="EL128">
        <v>13302.6</v>
      </c>
      <c r="EM128">
        <v>15629.2</v>
      </c>
      <c r="EN128">
        <v>47.061999999999998</v>
      </c>
      <c r="EO128">
        <v>47.75</v>
      </c>
      <c r="EP128">
        <v>47.811999999999998</v>
      </c>
      <c r="EQ128">
        <v>47.75</v>
      </c>
      <c r="ER128">
        <v>48.625</v>
      </c>
      <c r="ES128">
        <v>1755.41</v>
      </c>
      <c r="ET128">
        <v>39.5</v>
      </c>
      <c r="EU128">
        <v>0</v>
      </c>
      <c r="EV128">
        <v>132.20000004768369</v>
      </c>
      <c r="EW128">
        <v>0</v>
      </c>
      <c r="EX128">
        <v>749.16746153846157</v>
      </c>
      <c r="EY128">
        <v>-1.087042735368835</v>
      </c>
      <c r="EZ128">
        <v>-7.3914529947081746</v>
      </c>
      <c r="FA128">
        <v>13305.23846153846</v>
      </c>
      <c r="FB128">
        <v>15</v>
      </c>
      <c r="FC128">
        <v>1639693009.5999999</v>
      </c>
      <c r="FD128" t="s">
        <v>989</v>
      </c>
      <c r="FE128">
        <v>1639693009.5999999</v>
      </c>
      <c r="FF128">
        <v>1639692996.0999999</v>
      </c>
      <c r="FG128">
        <v>122</v>
      </c>
      <c r="FH128">
        <v>-0.128</v>
      </c>
      <c r="FI128">
        <v>1E-3</v>
      </c>
      <c r="FJ128">
        <v>-3.4860000000000002</v>
      </c>
      <c r="FK128">
        <v>-6.7000000000000004E-2</v>
      </c>
      <c r="FL128">
        <v>1500</v>
      </c>
      <c r="FM128">
        <v>19</v>
      </c>
      <c r="FN128">
        <v>7.0000000000000007E-2</v>
      </c>
      <c r="FO128">
        <v>0.01</v>
      </c>
      <c r="FP128">
        <v>47.817410583017057</v>
      </c>
      <c r="FQ128">
        <v>-0.48899947672357452</v>
      </c>
      <c r="FR128">
        <v>6.8783558727922939E-2</v>
      </c>
      <c r="FS128">
        <v>1</v>
      </c>
      <c r="FT128">
        <v>0.37978735910791722</v>
      </c>
      <c r="FU128">
        <v>6.6151548863202696E-3</v>
      </c>
      <c r="FV128">
        <v>2.0769605892844911E-3</v>
      </c>
      <c r="FW128">
        <v>1</v>
      </c>
      <c r="FX128">
        <v>2</v>
      </c>
      <c r="FY128">
        <v>2</v>
      </c>
      <c r="FZ128" t="s">
        <v>420</v>
      </c>
      <c r="GA128">
        <v>2.9201800000000002</v>
      </c>
      <c r="GB128">
        <v>2.7448000000000001</v>
      </c>
      <c r="GC128">
        <v>0.21820899999999999</v>
      </c>
      <c r="GD128">
        <v>0.226608</v>
      </c>
      <c r="GE128">
        <v>0.119604</v>
      </c>
      <c r="GF128">
        <v>0.101373</v>
      </c>
      <c r="GG128">
        <v>24353.7</v>
      </c>
      <c r="GH128">
        <v>23802.7</v>
      </c>
      <c r="GI128">
        <v>28364.6</v>
      </c>
      <c r="GJ128">
        <v>28148.9</v>
      </c>
      <c r="GK128">
        <v>34270.1</v>
      </c>
      <c r="GL128">
        <v>35529.800000000003</v>
      </c>
      <c r="GM128">
        <v>42681.7</v>
      </c>
      <c r="GN128">
        <v>43803.7</v>
      </c>
      <c r="GO128">
        <v>1.78935</v>
      </c>
      <c r="GP128">
        <v>1.98475</v>
      </c>
      <c r="GQ128">
        <v>2.80142E-2</v>
      </c>
      <c r="GR128">
        <v>0</v>
      </c>
      <c r="GS128">
        <v>27.524100000000001</v>
      </c>
      <c r="GT128">
        <v>999.9</v>
      </c>
      <c r="GU128">
        <v>40.5</v>
      </c>
      <c r="GV128">
        <v>34.700000000000003</v>
      </c>
      <c r="GW128">
        <v>22.614100000000001</v>
      </c>
      <c r="GX128">
        <v>60.993099999999998</v>
      </c>
      <c r="GY128">
        <v>28.73</v>
      </c>
      <c r="GZ128">
        <v>1</v>
      </c>
      <c r="HA128">
        <v>0.36212100000000003</v>
      </c>
      <c r="HB128">
        <v>2.7945600000000002</v>
      </c>
      <c r="HC128">
        <v>20.302900000000001</v>
      </c>
      <c r="HD128">
        <v>5.27285</v>
      </c>
      <c r="HE128">
        <v>12.0878</v>
      </c>
      <c r="HF128">
        <v>5.0137999999999998</v>
      </c>
      <c r="HG128">
        <v>3.2918799999999999</v>
      </c>
      <c r="HH128">
        <v>9999</v>
      </c>
      <c r="HI128">
        <v>9999</v>
      </c>
      <c r="HJ128">
        <v>9999</v>
      </c>
      <c r="HK128">
        <v>999.9</v>
      </c>
      <c r="HL128">
        <v>1.87469</v>
      </c>
      <c r="HM128">
        <v>1.8751500000000001</v>
      </c>
      <c r="HN128">
        <v>1.8749899999999999</v>
      </c>
      <c r="HO128">
        <v>1.8788400000000001</v>
      </c>
      <c r="HP128">
        <v>1.87225</v>
      </c>
      <c r="HQ128">
        <v>1.87554</v>
      </c>
      <c r="HR128">
        <v>1.8753</v>
      </c>
      <c r="HS128">
        <v>1.8766799999999999</v>
      </c>
      <c r="HT128">
        <v>0</v>
      </c>
      <c r="HU128">
        <v>0</v>
      </c>
      <c r="HV128">
        <v>0</v>
      </c>
      <c r="HW128">
        <v>0</v>
      </c>
      <c r="HX128" t="s">
        <v>421</v>
      </c>
      <c r="HY128" t="s">
        <v>422</v>
      </c>
      <c r="HZ128" t="s">
        <v>423</v>
      </c>
      <c r="IA128" t="s">
        <v>423</v>
      </c>
      <c r="IB128" t="s">
        <v>423</v>
      </c>
      <c r="IC128" t="s">
        <v>423</v>
      </c>
      <c r="ID128">
        <v>0</v>
      </c>
      <c r="IE128">
        <v>100</v>
      </c>
      <c r="IF128">
        <v>100</v>
      </c>
      <c r="IG128">
        <v>-3.42</v>
      </c>
      <c r="IH128">
        <v>2.5600000000000001E-2</v>
      </c>
      <c r="II128">
        <v>-1.431251132985025</v>
      </c>
      <c r="IJ128">
        <v>-1.5404112972462821E-3</v>
      </c>
      <c r="IK128">
        <v>-5.8697186733976997E-8</v>
      </c>
      <c r="IL128">
        <v>1.160237123038427E-10</v>
      </c>
      <c r="IM128">
        <v>-0.15389480445501361</v>
      </c>
      <c r="IN128">
        <v>-3.128848753924141E-3</v>
      </c>
      <c r="IO128">
        <v>3.6841110403368089E-4</v>
      </c>
      <c r="IP128">
        <v>1.9296040270694169E-6</v>
      </c>
      <c r="IQ128">
        <v>1</v>
      </c>
      <c r="IR128">
        <v>1992</v>
      </c>
      <c r="IS128">
        <v>2</v>
      </c>
      <c r="IT128">
        <v>27</v>
      </c>
      <c r="IU128">
        <v>0.7</v>
      </c>
      <c r="IV128">
        <v>0.9</v>
      </c>
      <c r="IW128">
        <v>3.0419900000000002</v>
      </c>
      <c r="IX128">
        <v>2.66235</v>
      </c>
      <c r="IY128">
        <v>1.69434</v>
      </c>
      <c r="IZ128">
        <v>2.34863</v>
      </c>
      <c r="JA128">
        <v>1.5466299999999999</v>
      </c>
      <c r="JB128">
        <v>2.2827099999999998</v>
      </c>
      <c r="JC128">
        <v>37.9649</v>
      </c>
      <c r="JD128">
        <v>16.093399999999999</v>
      </c>
      <c r="JE128">
        <v>18</v>
      </c>
      <c r="JF128">
        <v>528.28599999999994</v>
      </c>
      <c r="JG128">
        <v>543.60799999999995</v>
      </c>
      <c r="JH128">
        <v>24.8551</v>
      </c>
      <c r="JI128">
        <v>31.670300000000001</v>
      </c>
      <c r="JJ128">
        <v>30.000800000000002</v>
      </c>
      <c r="JK128">
        <v>31.604299999999999</v>
      </c>
      <c r="JL128">
        <v>31.56</v>
      </c>
      <c r="JM128">
        <v>60.927399999999999</v>
      </c>
      <c r="JN128">
        <v>18.400400000000001</v>
      </c>
      <c r="JO128">
        <v>36.535800000000002</v>
      </c>
      <c r="JP128">
        <v>24.8459</v>
      </c>
      <c r="JQ128">
        <v>1500</v>
      </c>
      <c r="JR128">
        <v>19.1967</v>
      </c>
      <c r="JS128">
        <v>99.4529</v>
      </c>
      <c r="JT128">
        <v>98.650499999999994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2023-01-24T22:53:53Z</dcterms:created>
  <dcterms:modified xsi:type="dcterms:W3CDTF">2023-01-24T23:49:06Z</dcterms:modified>
</cp:coreProperties>
</file>