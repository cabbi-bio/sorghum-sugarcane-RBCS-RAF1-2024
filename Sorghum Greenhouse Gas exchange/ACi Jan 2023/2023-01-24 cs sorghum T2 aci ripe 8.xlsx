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GB\Documents\CABBI\Sorghum T2 homozygous (top 3 events) GH Jan 2023\"/>
    </mc:Choice>
  </mc:AlternateContent>
  <bookViews>
    <workbookView xWindow="240" yWindow="15" windowWidth="16095" windowHeight="9660"/>
  </bookViews>
  <sheets>
    <sheet name="Measurements" sheetId="1" r:id="rId1"/>
    <sheet name="Remarks" sheetId="2" r:id="rId2"/>
  </sheets>
  <calcPr calcId="162913" concurrentCalc="0"/>
</workbook>
</file>

<file path=xl/calcChain.xml><?xml version="1.0" encoding="utf-8"?>
<calcChain xmlns="http://schemas.openxmlformats.org/spreadsheetml/2006/main">
  <c r="CY128" i="1" l="1"/>
  <c r="CX128" i="1"/>
  <c r="CV128" i="1"/>
  <c r="CW128" i="1"/>
  <c r="BF128" i="1"/>
  <c r="BH128" i="1"/>
  <c r="BL128" i="1"/>
  <c r="BM128" i="1"/>
  <c r="BK128" i="1"/>
  <c r="BJ128" i="1"/>
  <c r="BI128" i="1"/>
  <c r="BG128" i="1"/>
  <c r="AP128" i="1"/>
  <c r="BC128" i="1"/>
  <c r="BB128" i="1"/>
  <c r="AK128" i="1"/>
  <c r="AI128" i="1"/>
  <c r="L128" i="1"/>
  <c r="AY128" i="1"/>
  <c r="AX128" i="1"/>
  <c r="BA128" i="1"/>
  <c r="AV128" i="1"/>
  <c r="AZ128" i="1"/>
  <c r="AJ128" i="1"/>
  <c r="U128" i="1"/>
  <c r="K128" i="1"/>
  <c r="J128" i="1"/>
  <c r="R128" i="1"/>
  <c r="V128" i="1"/>
  <c r="W128" i="1"/>
  <c r="AE128" i="1"/>
  <c r="AC128" i="1"/>
  <c r="AD128" i="1"/>
  <c r="AF128" i="1"/>
  <c r="X128" i="1"/>
  <c r="AB128" i="1"/>
  <c r="AA128" i="1"/>
  <c r="Z128" i="1"/>
  <c r="Y128" i="1"/>
  <c r="S128" i="1"/>
  <c r="Q128" i="1"/>
  <c r="T128" i="1"/>
  <c r="P128" i="1"/>
  <c r="M128" i="1"/>
  <c r="N128" i="1"/>
  <c r="O128" i="1"/>
  <c r="CY127" i="1"/>
  <c r="CX127" i="1"/>
  <c r="CV127" i="1"/>
  <c r="CW127" i="1"/>
  <c r="BF127" i="1"/>
  <c r="BH127" i="1"/>
  <c r="BL127" i="1"/>
  <c r="BM127" i="1"/>
  <c r="BK127" i="1"/>
  <c r="BJ127" i="1"/>
  <c r="BI127" i="1"/>
  <c r="BG127" i="1"/>
  <c r="AP127" i="1"/>
  <c r="BC127" i="1"/>
  <c r="BB127" i="1"/>
  <c r="AK127" i="1"/>
  <c r="AI127" i="1"/>
  <c r="L127" i="1"/>
  <c r="AY127" i="1"/>
  <c r="AX127" i="1"/>
  <c r="BA127" i="1"/>
  <c r="AV127" i="1"/>
  <c r="AZ127" i="1"/>
  <c r="AJ127" i="1"/>
  <c r="U127" i="1"/>
  <c r="K127" i="1"/>
  <c r="J127" i="1"/>
  <c r="R127" i="1"/>
  <c r="V127" i="1"/>
  <c r="W127" i="1"/>
  <c r="AE127" i="1"/>
  <c r="AC127" i="1"/>
  <c r="AD127" i="1"/>
  <c r="AF127" i="1"/>
  <c r="X127" i="1"/>
  <c r="AB127" i="1"/>
  <c r="AA127" i="1"/>
  <c r="Z127" i="1"/>
  <c r="Y127" i="1"/>
  <c r="S127" i="1"/>
  <c r="Q127" i="1"/>
  <c r="T127" i="1"/>
  <c r="P127" i="1"/>
  <c r="M127" i="1"/>
  <c r="N127" i="1"/>
  <c r="O127" i="1"/>
  <c r="CY126" i="1"/>
  <c r="CX126" i="1"/>
  <c r="CV126" i="1"/>
  <c r="CW126" i="1"/>
  <c r="BF126" i="1"/>
  <c r="BH126" i="1"/>
  <c r="BL126" i="1"/>
  <c r="BM126" i="1"/>
  <c r="BK126" i="1"/>
  <c r="BJ126" i="1"/>
  <c r="BI126" i="1"/>
  <c r="BG126" i="1"/>
  <c r="AP126" i="1"/>
  <c r="BC126" i="1"/>
  <c r="BB126" i="1"/>
  <c r="AK126" i="1"/>
  <c r="AI126" i="1"/>
  <c r="L126" i="1"/>
  <c r="AY126" i="1"/>
  <c r="AX126" i="1"/>
  <c r="BA126" i="1"/>
  <c r="AV126" i="1"/>
  <c r="AZ126" i="1"/>
  <c r="AJ126" i="1"/>
  <c r="U126" i="1"/>
  <c r="K126" i="1"/>
  <c r="J126" i="1"/>
  <c r="R126" i="1"/>
  <c r="V126" i="1"/>
  <c r="W126" i="1"/>
  <c r="AE126" i="1"/>
  <c r="AC126" i="1"/>
  <c r="AD126" i="1"/>
  <c r="AF126" i="1"/>
  <c r="X126" i="1"/>
  <c r="AB126" i="1"/>
  <c r="AA126" i="1"/>
  <c r="Z126" i="1"/>
  <c r="Y126" i="1"/>
  <c r="S126" i="1"/>
  <c r="Q126" i="1"/>
  <c r="T126" i="1"/>
  <c r="P126" i="1"/>
  <c r="M126" i="1"/>
  <c r="N126" i="1"/>
  <c r="O126" i="1"/>
  <c r="CY125" i="1"/>
  <c r="CX125" i="1"/>
  <c r="CV125" i="1"/>
  <c r="CW125" i="1"/>
  <c r="BF125" i="1"/>
  <c r="BH125" i="1"/>
  <c r="BL125" i="1"/>
  <c r="BM125" i="1"/>
  <c r="BK125" i="1"/>
  <c r="BJ125" i="1"/>
  <c r="BI125" i="1"/>
  <c r="BG125" i="1"/>
  <c r="AP125" i="1"/>
  <c r="BC125" i="1"/>
  <c r="BB125" i="1"/>
  <c r="AK125" i="1"/>
  <c r="AI125" i="1"/>
  <c r="L125" i="1"/>
  <c r="AY125" i="1"/>
  <c r="AX125" i="1"/>
  <c r="BA125" i="1"/>
  <c r="AV125" i="1"/>
  <c r="AZ125" i="1"/>
  <c r="AJ125" i="1"/>
  <c r="U125" i="1"/>
  <c r="K125" i="1"/>
  <c r="J125" i="1"/>
  <c r="R125" i="1"/>
  <c r="V125" i="1"/>
  <c r="W125" i="1"/>
  <c r="AE125" i="1"/>
  <c r="AC125" i="1"/>
  <c r="AD125" i="1"/>
  <c r="AF125" i="1"/>
  <c r="X125" i="1"/>
  <c r="AB125" i="1"/>
  <c r="AA125" i="1"/>
  <c r="Z125" i="1"/>
  <c r="Y125" i="1"/>
  <c r="S125" i="1"/>
  <c r="Q125" i="1"/>
  <c r="T125" i="1"/>
  <c r="P125" i="1"/>
  <c r="M125" i="1"/>
  <c r="N125" i="1"/>
  <c r="O125" i="1"/>
  <c r="CY124" i="1"/>
  <c r="CX124" i="1"/>
  <c r="CV124" i="1"/>
  <c r="CW124" i="1"/>
  <c r="BF124" i="1"/>
  <c r="BH124" i="1"/>
  <c r="BL124" i="1"/>
  <c r="BM124" i="1"/>
  <c r="BK124" i="1"/>
  <c r="BJ124" i="1"/>
  <c r="BI124" i="1"/>
  <c r="BG124" i="1"/>
  <c r="AP124" i="1"/>
  <c r="BC124" i="1"/>
  <c r="BB124" i="1"/>
  <c r="AK124" i="1"/>
  <c r="AI124" i="1"/>
  <c r="L124" i="1"/>
  <c r="AY124" i="1"/>
  <c r="AX124" i="1"/>
  <c r="BA124" i="1"/>
  <c r="AV124" i="1"/>
  <c r="AZ124" i="1"/>
  <c r="AJ124" i="1"/>
  <c r="U124" i="1"/>
  <c r="K124" i="1"/>
  <c r="J124" i="1"/>
  <c r="R124" i="1"/>
  <c r="V124" i="1"/>
  <c r="W124" i="1"/>
  <c r="AE124" i="1"/>
  <c r="AC124" i="1"/>
  <c r="AD124" i="1"/>
  <c r="AF124" i="1"/>
  <c r="X124" i="1"/>
  <c r="AB124" i="1"/>
  <c r="AA124" i="1"/>
  <c r="Z124" i="1"/>
  <c r="Y124" i="1"/>
  <c r="S124" i="1"/>
  <c r="Q124" i="1"/>
  <c r="T124" i="1"/>
  <c r="P124" i="1"/>
  <c r="M124" i="1"/>
  <c r="N124" i="1"/>
  <c r="O124" i="1"/>
  <c r="CY123" i="1"/>
  <c r="CX123" i="1"/>
  <c r="CV123" i="1"/>
  <c r="CW123" i="1"/>
  <c r="BF123" i="1"/>
  <c r="BH123" i="1"/>
  <c r="BL123" i="1"/>
  <c r="BM123" i="1"/>
  <c r="BK123" i="1"/>
  <c r="BJ123" i="1"/>
  <c r="BI123" i="1"/>
  <c r="BG123" i="1"/>
  <c r="AP123" i="1"/>
  <c r="BC123" i="1"/>
  <c r="BB123" i="1"/>
  <c r="AK123" i="1"/>
  <c r="AI123" i="1"/>
  <c r="L123" i="1"/>
  <c r="AY123" i="1"/>
  <c r="AX123" i="1"/>
  <c r="BA123" i="1"/>
  <c r="AV123" i="1"/>
  <c r="AZ123" i="1"/>
  <c r="AJ123" i="1"/>
  <c r="U123" i="1"/>
  <c r="K123" i="1"/>
  <c r="J123" i="1"/>
  <c r="R123" i="1"/>
  <c r="V123" i="1"/>
  <c r="W123" i="1"/>
  <c r="AE123" i="1"/>
  <c r="AC123" i="1"/>
  <c r="AD123" i="1"/>
  <c r="AF123" i="1"/>
  <c r="X123" i="1"/>
  <c r="AB123" i="1"/>
  <c r="AA123" i="1"/>
  <c r="Z123" i="1"/>
  <c r="Y123" i="1"/>
  <c r="S123" i="1"/>
  <c r="Q123" i="1"/>
  <c r="T123" i="1"/>
  <c r="P123" i="1"/>
  <c r="M123" i="1"/>
  <c r="N123" i="1"/>
  <c r="O123" i="1"/>
  <c r="CY122" i="1"/>
  <c r="CX122" i="1"/>
  <c r="CV122" i="1"/>
  <c r="CW122" i="1"/>
  <c r="BF122" i="1"/>
  <c r="BH122" i="1"/>
  <c r="BL122" i="1"/>
  <c r="BM122" i="1"/>
  <c r="BK122" i="1"/>
  <c r="BJ122" i="1"/>
  <c r="BI122" i="1"/>
  <c r="BG122" i="1"/>
  <c r="AP122" i="1"/>
  <c r="BC122" i="1"/>
  <c r="BB122" i="1"/>
  <c r="AK122" i="1"/>
  <c r="AI122" i="1"/>
  <c r="L122" i="1"/>
  <c r="AY122" i="1"/>
  <c r="AX122" i="1"/>
  <c r="BA122" i="1"/>
  <c r="AV122" i="1"/>
  <c r="AZ122" i="1"/>
  <c r="AJ122" i="1"/>
  <c r="U122" i="1"/>
  <c r="K122" i="1"/>
  <c r="J122" i="1"/>
  <c r="R122" i="1"/>
  <c r="V122" i="1"/>
  <c r="W122" i="1"/>
  <c r="AE122" i="1"/>
  <c r="AC122" i="1"/>
  <c r="AD122" i="1"/>
  <c r="AF122" i="1"/>
  <c r="X122" i="1"/>
  <c r="AB122" i="1"/>
  <c r="AA122" i="1"/>
  <c r="Z122" i="1"/>
  <c r="Y122" i="1"/>
  <c r="S122" i="1"/>
  <c r="Q122" i="1"/>
  <c r="T122" i="1"/>
  <c r="P122" i="1"/>
  <c r="M122" i="1"/>
  <c r="N122" i="1"/>
  <c r="O122" i="1"/>
  <c r="CY121" i="1"/>
  <c r="CX121" i="1"/>
  <c r="CV121" i="1"/>
  <c r="CW121" i="1"/>
  <c r="BF121" i="1"/>
  <c r="BH121" i="1"/>
  <c r="BL121" i="1"/>
  <c r="BM121" i="1"/>
  <c r="BK121" i="1"/>
  <c r="BJ121" i="1"/>
  <c r="BI121" i="1"/>
  <c r="BG121" i="1"/>
  <c r="AP121" i="1"/>
  <c r="BC121" i="1"/>
  <c r="BB121" i="1"/>
  <c r="AK121" i="1"/>
  <c r="AI121" i="1"/>
  <c r="L121" i="1"/>
  <c r="AY121" i="1"/>
  <c r="AX121" i="1"/>
  <c r="BA121" i="1"/>
  <c r="AV121" i="1"/>
  <c r="AZ121" i="1"/>
  <c r="AJ121" i="1"/>
  <c r="U121" i="1"/>
  <c r="K121" i="1"/>
  <c r="J121" i="1"/>
  <c r="R121" i="1"/>
  <c r="V121" i="1"/>
  <c r="W121" i="1"/>
  <c r="AE121" i="1"/>
  <c r="AC121" i="1"/>
  <c r="AD121" i="1"/>
  <c r="AF121" i="1"/>
  <c r="X121" i="1"/>
  <c r="AB121" i="1"/>
  <c r="AA121" i="1"/>
  <c r="Z121" i="1"/>
  <c r="Y121" i="1"/>
  <c r="S121" i="1"/>
  <c r="Q121" i="1"/>
  <c r="T121" i="1"/>
  <c r="P121" i="1"/>
  <c r="M121" i="1"/>
  <c r="N121" i="1"/>
  <c r="O121" i="1"/>
  <c r="CY120" i="1"/>
  <c r="CX120" i="1"/>
  <c r="CV120" i="1"/>
  <c r="CW120" i="1"/>
  <c r="BF120" i="1"/>
  <c r="BH120" i="1"/>
  <c r="BL120" i="1"/>
  <c r="BM120" i="1"/>
  <c r="BK120" i="1"/>
  <c r="BJ120" i="1"/>
  <c r="BI120" i="1"/>
  <c r="BG120" i="1"/>
  <c r="AP120" i="1"/>
  <c r="BC120" i="1"/>
  <c r="BB120" i="1"/>
  <c r="AK120" i="1"/>
  <c r="AI120" i="1"/>
  <c r="L120" i="1"/>
  <c r="AY120" i="1"/>
  <c r="AX120" i="1"/>
  <c r="BA120" i="1"/>
  <c r="AV120" i="1"/>
  <c r="AZ120" i="1"/>
  <c r="AJ120" i="1"/>
  <c r="U120" i="1"/>
  <c r="K120" i="1"/>
  <c r="J120" i="1"/>
  <c r="R120" i="1"/>
  <c r="V120" i="1"/>
  <c r="W120" i="1"/>
  <c r="AE120" i="1"/>
  <c r="AC120" i="1"/>
  <c r="AD120" i="1"/>
  <c r="AF120" i="1"/>
  <c r="X120" i="1"/>
  <c r="AB120" i="1"/>
  <c r="AA120" i="1"/>
  <c r="Z120" i="1"/>
  <c r="Y120" i="1"/>
  <c r="S120" i="1"/>
  <c r="Q120" i="1"/>
  <c r="T120" i="1"/>
  <c r="P120" i="1"/>
  <c r="M120" i="1"/>
  <c r="N120" i="1"/>
  <c r="O120" i="1"/>
  <c r="CY119" i="1"/>
  <c r="CX119" i="1"/>
  <c r="CV119" i="1"/>
  <c r="CW119" i="1"/>
  <c r="BF119" i="1"/>
  <c r="BH119" i="1"/>
  <c r="BL119" i="1"/>
  <c r="BM119" i="1"/>
  <c r="BK119" i="1"/>
  <c r="BJ119" i="1"/>
  <c r="BI119" i="1"/>
  <c r="BG119" i="1"/>
  <c r="AP119" i="1"/>
  <c r="BC119" i="1"/>
  <c r="BB119" i="1"/>
  <c r="AK119" i="1"/>
  <c r="AI119" i="1"/>
  <c r="L119" i="1"/>
  <c r="AY119" i="1"/>
  <c r="AX119" i="1"/>
  <c r="BA119" i="1"/>
  <c r="AV119" i="1"/>
  <c r="AZ119" i="1"/>
  <c r="AJ119" i="1"/>
  <c r="U119" i="1"/>
  <c r="K119" i="1"/>
  <c r="J119" i="1"/>
  <c r="R119" i="1"/>
  <c r="V119" i="1"/>
  <c r="W119" i="1"/>
  <c r="AE119" i="1"/>
  <c r="AC119" i="1"/>
  <c r="AD119" i="1"/>
  <c r="AF119" i="1"/>
  <c r="X119" i="1"/>
  <c r="AB119" i="1"/>
  <c r="AA119" i="1"/>
  <c r="Z119" i="1"/>
  <c r="Y119" i="1"/>
  <c r="S119" i="1"/>
  <c r="Q119" i="1"/>
  <c r="T119" i="1"/>
  <c r="P119" i="1"/>
  <c r="M119" i="1"/>
  <c r="N119" i="1"/>
  <c r="O119" i="1"/>
  <c r="CY118" i="1"/>
  <c r="CX118" i="1"/>
  <c r="CV118" i="1"/>
  <c r="CW118" i="1"/>
  <c r="BF118" i="1"/>
  <c r="BH118" i="1"/>
  <c r="BL118" i="1"/>
  <c r="BM118" i="1"/>
  <c r="BK118" i="1"/>
  <c r="BJ118" i="1"/>
  <c r="BI118" i="1"/>
  <c r="BG118" i="1"/>
  <c r="AP118" i="1"/>
  <c r="BC118" i="1"/>
  <c r="BB118" i="1"/>
  <c r="AK118" i="1"/>
  <c r="AI118" i="1"/>
  <c r="L118" i="1"/>
  <c r="AY118" i="1"/>
  <c r="AX118" i="1"/>
  <c r="BA118" i="1"/>
  <c r="AV118" i="1"/>
  <c r="AZ118" i="1"/>
  <c r="AJ118" i="1"/>
  <c r="U118" i="1"/>
  <c r="K118" i="1"/>
  <c r="J118" i="1"/>
  <c r="R118" i="1"/>
  <c r="V118" i="1"/>
  <c r="W118" i="1"/>
  <c r="AE118" i="1"/>
  <c r="AC118" i="1"/>
  <c r="AD118" i="1"/>
  <c r="AF118" i="1"/>
  <c r="X118" i="1"/>
  <c r="AB118" i="1"/>
  <c r="AA118" i="1"/>
  <c r="Z118" i="1"/>
  <c r="Y118" i="1"/>
  <c r="S118" i="1"/>
  <c r="Q118" i="1"/>
  <c r="T118" i="1"/>
  <c r="P118" i="1"/>
  <c r="M118" i="1"/>
  <c r="N118" i="1"/>
  <c r="O118" i="1"/>
  <c r="CY117" i="1"/>
  <c r="CX117" i="1"/>
  <c r="CV117" i="1"/>
  <c r="CW117" i="1"/>
  <c r="BF117" i="1"/>
  <c r="BH117" i="1"/>
  <c r="BL117" i="1"/>
  <c r="BM117" i="1"/>
  <c r="BK117" i="1"/>
  <c r="BJ117" i="1"/>
  <c r="BI117" i="1"/>
  <c r="BG117" i="1"/>
  <c r="AP117" i="1"/>
  <c r="BC117" i="1"/>
  <c r="BB117" i="1"/>
  <c r="AK117" i="1"/>
  <c r="AI117" i="1"/>
  <c r="L117" i="1"/>
  <c r="AY117" i="1"/>
  <c r="AX117" i="1"/>
  <c r="BA117" i="1"/>
  <c r="AV117" i="1"/>
  <c r="AZ117" i="1"/>
  <c r="AJ117" i="1"/>
  <c r="U117" i="1"/>
  <c r="K117" i="1"/>
  <c r="J117" i="1"/>
  <c r="R117" i="1"/>
  <c r="V117" i="1"/>
  <c r="W117" i="1"/>
  <c r="AE117" i="1"/>
  <c r="AC117" i="1"/>
  <c r="AD117" i="1"/>
  <c r="AF117" i="1"/>
  <c r="X117" i="1"/>
  <c r="AB117" i="1"/>
  <c r="AA117" i="1"/>
  <c r="Z117" i="1"/>
  <c r="Y117" i="1"/>
  <c r="S117" i="1"/>
  <c r="Q117" i="1"/>
  <c r="T117" i="1"/>
  <c r="P117" i="1"/>
  <c r="M117" i="1"/>
  <c r="N117" i="1"/>
  <c r="O117" i="1"/>
  <c r="CY116" i="1"/>
  <c r="CX116" i="1"/>
  <c r="CV116" i="1"/>
  <c r="CW116" i="1"/>
  <c r="BF116" i="1"/>
  <c r="BH116" i="1"/>
  <c r="BL116" i="1"/>
  <c r="BM116" i="1"/>
  <c r="BK116" i="1"/>
  <c r="BJ116" i="1"/>
  <c r="BI116" i="1"/>
  <c r="BG116" i="1"/>
  <c r="AP116" i="1"/>
  <c r="BC116" i="1"/>
  <c r="BB116" i="1"/>
  <c r="AK116" i="1"/>
  <c r="AI116" i="1"/>
  <c r="L116" i="1"/>
  <c r="AY116" i="1"/>
  <c r="AX116" i="1"/>
  <c r="BA116" i="1"/>
  <c r="AV116" i="1"/>
  <c r="AZ116" i="1"/>
  <c r="AJ116" i="1"/>
  <c r="U116" i="1"/>
  <c r="K116" i="1"/>
  <c r="J116" i="1"/>
  <c r="R116" i="1"/>
  <c r="V116" i="1"/>
  <c r="W116" i="1"/>
  <c r="AE116" i="1"/>
  <c r="AC116" i="1"/>
  <c r="AD116" i="1"/>
  <c r="AF116" i="1"/>
  <c r="X116" i="1"/>
  <c r="AB116" i="1"/>
  <c r="AA116" i="1"/>
  <c r="Z116" i="1"/>
  <c r="Y116" i="1"/>
  <c r="S116" i="1"/>
  <c r="Q116" i="1"/>
  <c r="T116" i="1"/>
  <c r="P116" i="1"/>
  <c r="M116" i="1"/>
  <c r="N116" i="1"/>
  <c r="O116" i="1"/>
  <c r="CY115" i="1"/>
  <c r="CX115" i="1"/>
  <c r="CV115" i="1"/>
  <c r="CW115" i="1"/>
  <c r="BF115" i="1"/>
  <c r="BH115" i="1"/>
  <c r="BL115" i="1"/>
  <c r="BM115" i="1"/>
  <c r="BK115" i="1"/>
  <c r="BJ115" i="1"/>
  <c r="BI115" i="1"/>
  <c r="BG115" i="1"/>
  <c r="AP115" i="1"/>
  <c r="BC115" i="1"/>
  <c r="BB115" i="1"/>
  <c r="AK115" i="1"/>
  <c r="AI115" i="1"/>
  <c r="L115" i="1"/>
  <c r="AY115" i="1"/>
  <c r="AX115" i="1"/>
  <c r="BA115" i="1"/>
  <c r="AV115" i="1"/>
  <c r="AZ115" i="1"/>
  <c r="AJ115" i="1"/>
  <c r="U115" i="1"/>
  <c r="K115" i="1"/>
  <c r="J115" i="1"/>
  <c r="R115" i="1"/>
  <c r="V115" i="1"/>
  <c r="W115" i="1"/>
  <c r="AE115" i="1"/>
  <c r="AC115" i="1"/>
  <c r="AD115" i="1"/>
  <c r="AF115" i="1"/>
  <c r="X115" i="1"/>
  <c r="AB115" i="1"/>
  <c r="AA115" i="1"/>
  <c r="Z115" i="1"/>
  <c r="Y115" i="1"/>
  <c r="S115" i="1"/>
  <c r="Q115" i="1"/>
  <c r="T115" i="1"/>
  <c r="P115" i="1"/>
  <c r="M115" i="1"/>
  <c r="N115" i="1"/>
  <c r="O115" i="1"/>
  <c r="CY114" i="1"/>
  <c r="CX114" i="1"/>
  <c r="CV114" i="1"/>
  <c r="CW114" i="1"/>
  <c r="BF114" i="1"/>
  <c r="BH114" i="1"/>
  <c r="BL114" i="1"/>
  <c r="BM114" i="1"/>
  <c r="BK114" i="1"/>
  <c r="BJ114" i="1"/>
  <c r="BI114" i="1"/>
  <c r="BG114" i="1"/>
  <c r="AP114" i="1"/>
  <c r="BC114" i="1"/>
  <c r="BB114" i="1"/>
  <c r="AK114" i="1"/>
  <c r="AI114" i="1"/>
  <c r="L114" i="1"/>
  <c r="AY114" i="1"/>
  <c r="AX114" i="1"/>
  <c r="BA114" i="1"/>
  <c r="AV114" i="1"/>
  <c r="AZ114" i="1"/>
  <c r="AJ114" i="1"/>
  <c r="U114" i="1"/>
  <c r="K114" i="1"/>
  <c r="J114" i="1"/>
  <c r="R114" i="1"/>
  <c r="V114" i="1"/>
  <c r="W114" i="1"/>
  <c r="AE114" i="1"/>
  <c r="AC114" i="1"/>
  <c r="AD114" i="1"/>
  <c r="AF114" i="1"/>
  <c r="X114" i="1"/>
  <c r="AB114" i="1"/>
  <c r="AA114" i="1"/>
  <c r="Z114" i="1"/>
  <c r="Y114" i="1"/>
  <c r="S114" i="1"/>
  <c r="Q114" i="1"/>
  <c r="T114" i="1"/>
  <c r="P114" i="1"/>
  <c r="M114" i="1"/>
  <c r="N114" i="1"/>
  <c r="O114" i="1"/>
  <c r="CY113" i="1"/>
  <c r="CX113" i="1"/>
  <c r="CV113" i="1"/>
  <c r="CW113" i="1"/>
  <c r="BF113" i="1"/>
  <c r="BH113" i="1"/>
  <c r="BL113" i="1"/>
  <c r="BM113" i="1"/>
  <c r="BK113" i="1"/>
  <c r="BJ113" i="1"/>
  <c r="BI113" i="1"/>
  <c r="BG113" i="1"/>
  <c r="AP113" i="1"/>
  <c r="BC113" i="1"/>
  <c r="BB113" i="1"/>
  <c r="AK113" i="1"/>
  <c r="AI113" i="1"/>
  <c r="L113" i="1"/>
  <c r="AY113" i="1"/>
  <c r="AX113" i="1"/>
  <c r="BA113" i="1"/>
  <c r="AV113" i="1"/>
  <c r="AZ113" i="1"/>
  <c r="AJ113" i="1"/>
  <c r="U113" i="1"/>
  <c r="K113" i="1"/>
  <c r="J113" i="1"/>
  <c r="R113" i="1"/>
  <c r="V113" i="1"/>
  <c r="W113" i="1"/>
  <c r="AE113" i="1"/>
  <c r="AC113" i="1"/>
  <c r="AD113" i="1"/>
  <c r="AF113" i="1"/>
  <c r="X113" i="1"/>
  <c r="AB113" i="1"/>
  <c r="AA113" i="1"/>
  <c r="Z113" i="1"/>
  <c r="Y113" i="1"/>
  <c r="S113" i="1"/>
  <c r="Q113" i="1"/>
  <c r="T113" i="1"/>
  <c r="P113" i="1"/>
  <c r="M113" i="1"/>
  <c r="N113" i="1"/>
  <c r="O113" i="1"/>
  <c r="CY112" i="1"/>
  <c r="CX112" i="1"/>
  <c r="CV112" i="1"/>
  <c r="CW112" i="1"/>
  <c r="BF112" i="1"/>
  <c r="BH112" i="1"/>
  <c r="BL112" i="1"/>
  <c r="BM112" i="1"/>
  <c r="BK112" i="1"/>
  <c r="BJ112" i="1"/>
  <c r="BI112" i="1"/>
  <c r="BG112" i="1"/>
  <c r="AP112" i="1"/>
  <c r="BC112" i="1"/>
  <c r="BB112" i="1"/>
  <c r="AK112" i="1"/>
  <c r="AI112" i="1"/>
  <c r="L112" i="1"/>
  <c r="AY112" i="1"/>
  <c r="AX112" i="1"/>
  <c r="BA112" i="1"/>
  <c r="AV112" i="1"/>
  <c r="AZ112" i="1"/>
  <c r="AJ112" i="1"/>
  <c r="U112" i="1"/>
  <c r="K112" i="1"/>
  <c r="J112" i="1"/>
  <c r="R112" i="1"/>
  <c r="V112" i="1"/>
  <c r="W112" i="1"/>
  <c r="AE112" i="1"/>
  <c r="AC112" i="1"/>
  <c r="AD112" i="1"/>
  <c r="AF112" i="1"/>
  <c r="X112" i="1"/>
  <c r="AB112" i="1"/>
  <c r="AA112" i="1"/>
  <c r="Z112" i="1"/>
  <c r="Y112" i="1"/>
  <c r="S112" i="1"/>
  <c r="Q112" i="1"/>
  <c r="T112" i="1"/>
  <c r="P112" i="1"/>
  <c r="M112" i="1"/>
  <c r="N112" i="1"/>
  <c r="O112" i="1"/>
  <c r="CY111" i="1"/>
  <c r="CX111" i="1"/>
  <c r="CV111" i="1"/>
  <c r="CW111" i="1"/>
  <c r="BF111" i="1"/>
  <c r="BH111" i="1"/>
  <c r="BL111" i="1"/>
  <c r="BM111" i="1"/>
  <c r="BK111" i="1"/>
  <c r="BJ111" i="1"/>
  <c r="BI111" i="1"/>
  <c r="BG111" i="1"/>
  <c r="AP111" i="1"/>
  <c r="BC111" i="1"/>
  <c r="BB111" i="1"/>
  <c r="AK111" i="1"/>
  <c r="AI111" i="1"/>
  <c r="L111" i="1"/>
  <c r="AY111" i="1"/>
  <c r="AX111" i="1"/>
  <c r="BA111" i="1"/>
  <c r="AV111" i="1"/>
  <c r="AZ111" i="1"/>
  <c r="AJ111" i="1"/>
  <c r="U111" i="1"/>
  <c r="K111" i="1"/>
  <c r="J111" i="1"/>
  <c r="R111" i="1"/>
  <c r="V111" i="1"/>
  <c r="W111" i="1"/>
  <c r="AE111" i="1"/>
  <c r="AC111" i="1"/>
  <c r="AD111" i="1"/>
  <c r="AF111" i="1"/>
  <c r="X111" i="1"/>
  <c r="AB111" i="1"/>
  <c r="AA111" i="1"/>
  <c r="Z111" i="1"/>
  <c r="Y111" i="1"/>
  <c r="S111" i="1"/>
  <c r="Q111" i="1"/>
  <c r="T111" i="1"/>
  <c r="P111" i="1"/>
  <c r="M111" i="1"/>
  <c r="N111" i="1"/>
  <c r="O111" i="1"/>
  <c r="CY110" i="1"/>
  <c r="CX110" i="1"/>
  <c r="CV110" i="1"/>
  <c r="CW110" i="1"/>
  <c r="BF110" i="1"/>
  <c r="BH110" i="1"/>
  <c r="BL110" i="1"/>
  <c r="BM110" i="1"/>
  <c r="BK110" i="1"/>
  <c r="BJ110" i="1"/>
  <c r="BI110" i="1"/>
  <c r="BG110" i="1"/>
  <c r="AP110" i="1"/>
  <c r="BC110" i="1"/>
  <c r="BB110" i="1"/>
  <c r="AK110" i="1"/>
  <c r="AI110" i="1"/>
  <c r="L110" i="1"/>
  <c r="AY110" i="1"/>
  <c r="AX110" i="1"/>
  <c r="BA110" i="1"/>
  <c r="AV110" i="1"/>
  <c r="AZ110" i="1"/>
  <c r="AJ110" i="1"/>
  <c r="U110" i="1"/>
  <c r="K110" i="1"/>
  <c r="J110" i="1"/>
  <c r="R110" i="1"/>
  <c r="V110" i="1"/>
  <c r="W110" i="1"/>
  <c r="AE110" i="1"/>
  <c r="AC110" i="1"/>
  <c r="AD110" i="1"/>
  <c r="AF110" i="1"/>
  <c r="X110" i="1"/>
  <c r="AB110" i="1"/>
  <c r="AA110" i="1"/>
  <c r="Z110" i="1"/>
  <c r="Y110" i="1"/>
  <c r="S110" i="1"/>
  <c r="Q110" i="1"/>
  <c r="T110" i="1"/>
  <c r="P110" i="1"/>
  <c r="M110" i="1"/>
  <c r="N110" i="1"/>
  <c r="O110" i="1"/>
  <c r="CY109" i="1"/>
  <c r="CX109" i="1"/>
  <c r="CV109" i="1"/>
  <c r="CW109" i="1"/>
  <c r="BF109" i="1"/>
  <c r="BH109" i="1"/>
  <c r="BL109" i="1"/>
  <c r="BM109" i="1"/>
  <c r="BK109" i="1"/>
  <c r="BJ109" i="1"/>
  <c r="BI109" i="1"/>
  <c r="BG109" i="1"/>
  <c r="AP109" i="1"/>
  <c r="BC109" i="1"/>
  <c r="BB109" i="1"/>
  <c r="AK109" i="1"/>
  <c r="AI109" i="1"/>
  <c r="L109" i="1"/>
  <c r="AY109" i="1"/>
  <c r="AX109" i="1"/>
  <c r="BA109" i="1"/>
  <c r="AV109" i="1"/>
  <c r="AZ109" i="1"/>
  <c r="AJ109" i="1"/>
  <c r="U109" i="1"/>
  <c r="K109" i="1"/>
  <c r="J109" i="1"/>
  <c r="R109" i="1"/>
  <c r="V109" i="1"/>
  <c r="W109" i="1"/>
  <c r="AE109" i="1"/>
  <c r="AC109" i="1"/>
  <c r="AD109" i="1"/>
  <c r="AF109" i="1"/>
  <c r="X109" i="1"/>
  <c r="AB109" i="1"/>
  <c r="AA109" i="1"/>
  <c r="Z109" i="1"/>
  <c r="Y109" i="1"/>
  <c r="S109" i="1"/>
  <c r="Q109" i="1"/>
  <c r="T109" i="1"/>
  <c r="P109" i="1"/>
  <c r="M109" i="1"/>
  <c r="N109" i="1"/>
  <c r="O109" i="1"/>
  <c r="CY108" i="1"/>
  <c r="CX108" i="1"/>
  <c r="CV108" i="1"/>
  <c r="CW108" i="1"/>
  <c r="BF108" i="1"/>
  <c r="BH108" i="1"/>
  <c r="BL108" i="1"/>
  <c r="BM108" i="1"/>
  <c r="BK108" i="1"/>
  <c r="BJ108" i="1"/>
  <c r="BI108" i="1"/>
  <c r="BG108" i="1"/>
  <c r="AP108" i="1"/>
  <c r="BC108" i="1"/>
  <c r="BB108" i="1"/>
  <c r="AK108" i="1"/>
  <c r="AI108" i="1"/>
  <c r="L108" i="1"/>
  <c r="AY108" i="1"/>
  <c r="AX108" i="1"/>
  <c r="BA108" i="1"/>
  <c r="AV108" i="1"/>
  <c r="AZ108" i="1"/>
  <c r="AJ108" i="1"/>
  <c r="U108" i="1"/>
  <c r="K108" i="1"/>
  <c r="J108" i="1"/>
  <c r="R108" i="1"/>
  <c r="V108" i="1"/>
  <c r="W108" i="1"/>
  <c r="AE108" i="1"/>
  <c r="AC108" i="1"/>
  <c r="AD108" i="1"/>
  <c r="AF108" i="1"/>
  <c r="X108" i="1"/>
  <c r="AB108" i="1"/>
  <c r="AA108" i="1"/>
  <c r="Z108" i="1"/>
  <c r="Y108" i="1"/>
  <c r="S108" i="1"/>
  <c r="Q108" i="1"/>
  <c r="T108" i="1"/>
  <c r="P108" i="1"/>
  <c r="M108" i="1"/>
  <c r="N108" i="1"/>
  <c r="O108" i="1"/>
  <c r="CY107" i="1"/>
  <c r="CX107" i="1"/>
  <c r="CV107" i="1"/>
  <c r="CW107" i="1"/>
  <c r="BF107" i="1"/>
  <c r="BH107" i="1"/>
  <c r="BL107" i="1"/>
  <c r="BM107" i="1"/>
  <c r="BK107" i="1"/>
  <c r="BJ107" i="1"/>
  <c r="BI107" i="1"/>
  <c r="BG107" i="1"/>
  <c r="AP107" i="1"/>
  <c r="BC107" i="1"/>
  <c r="BB107" i="1"/>
  <c r="AK107" i="1"/>
  <c r="AI107" i="1"/>
  <c r="L107" i="1"/>
  <c r="AY107" i="1"/>
  <c r="AX107" i="1"/>
  <c r="BA107" i="1"/>
  <c r="AV107" i="1"/>
  <c r="AZ107" i="1"/>
  <c r="AJ107" i="1"/>
  <c r="U107" i="1"/>
  <c r="K107" i="1"/>
  <c r="J107" i="1"/>
  <c r="R107" i="1"/>
  <c r="V107" i="1"/>
  <c r="W107" i="1"/>
  <c r="AE107" i="1"/>
  <c r="AC107" i="1"/>
  <c r="AD107" i="1"/>
  <c r="AF107" i="1"/>
  <c r="X107" i="1"/>
  <c r="AB107" i="1"/>
  <c r="AA107" i="1"/>
  <c r="Z107" i="1"/>
  <c r="Y107" i="1"/>
  <c r="S107" i="1"/>
  <c r="Q107" i="1"/>
  <c r="T107" i="1"/>
  <c r="P107" i="1"/>
  <c r="M107" i="1"/>
  <c r="N107" i="1"/>
  <c r="O107" i="1"/>
  <c r="CY106" i="1"/>
  <c r="CX106" i="1"/>
  <c r="CV106" i="1"/>
  <c r="CW106" i="1"/>
  <c r="BF106" i="1"/>
  <c r="BH106" i="1"/>
  <c r="BL106" i="1"/>
  <c r="BM106" i="1"/>
  <c r="BK106" i="1"/>
  <c r="BJ106" i="1"/>
  <c r="BI106" i="1"/>
  <c r="BG106" i="1"/>
  <c r="AP106" i="1"/>
  <c r="BC106" i="1"/>
  <c r="BB106" i="1"/>
  <c r="AK106" i="1"/>
  <c r="AI106" i="1"/>
  <c r="L106" i="1"/>
  <c r="AY106" i="1"/>
  <c r="AX106" i="1"/>
  <c r="BA106" i="1"/>
  <c r="AV106" i="1"/>
  <c r="AZ106" i="1"/>
  <c r="AJ106" i="1"/>
  <c r="U106" i="1"/>
  <c r="K106" i="1"/>
  <c r="J106" i="1"/>
  <c r="R106" i="1"/>
  <c r="V106" i="1"/>
  <c r="W106" i="1"/>
  <c r="AE106" i="1"/>
  <c r="AC106" i="1"/>
  <c r="AD106" i="1"/>
  <c r="AF106" i="1"/>
  <c r="X106" i="1"/>
  <c r="AB106" i="1"/>
  <c r="AA106" i="1"/>
  <c r="Z106" i="1"/>
  <c r="Y106" i="1"/>
  <c r="S106" i="1"/>
  <c r="Q106" i="1"/>
  <c r="T106" i="1"/>
  <c r="P106" i="1"/>
  <c r="M106" i="1"/>
  <c r="N106" i="1"/>
  <c r="O106" i="1"/>
  <c r="CY105" i="1"/>
  <c r="CX105" i="1"/>
  <c r="CV105" i="1"/>
  <c r="CW105" i="1"/>
  <c r="BF105" i="1"/>
  <c r="BH105" i="1"/>
  <c r="BL105" i="1"/>
  <c r="BM105" i="1"/>
  <c r="BK105" i="1"/>
  <c r="BJ105" i="1"/>
  <c r="BI105" i="1"/>
  <c r="BG105" i="1"/>
  <c r="AP105" i="1"/>
  <c r="BC105" i="1"/>
  <c r="BB105" i="1"/>
  <c r="AK105" i="1"/>
  <c r="AI105" i="1"/>
  <c r="L105" i="1"/>
  <c r="AY105" i="1"/>
  <c r="AX105" i="1"/>
  <c r="BA105" i="1"/>
  <c r="AV105" i="1"/>
  <c r="AZ105" i="1"/>
  <c r="AJ105" i="1"/>
  <c r="U105" i="1"/>
  <c r="K105" i="1"/>
  <c r="J105" i="1"/>
  <c r="R105" i="1"/>
  <c r="V105" i="1"/>
  <c r="W105" i="1"/>
  <c r="AE105" i="1"/>
  <c r="AC105" i="1"/>
  <c r="AD105" i="1"/>
  <c r="AF105" i="1"/>
  <c r="X105" i="1"/>
  <c r="AB105" i="1"/>
  <c r="AA105" i="1"/>
  <c r="Z105" i="1"/>
  <c r="Y105" i="1"/>
  <c r="S105" i="1"/>
  <c r="Q105" i="1"/>
  <c r="T105" i="1"/>
  <c r="P105" i="1"/>
  <c r="M105" i="1"/>
  <c r="N105" i="1"/>
  <c r="O105" i="1"/>
  <c r="CY104" i="1"/>
  <c r="CX104" i="1"/>
  <c r="CV104" i="1"/>
  <c r="CW104" i="1"/>
  <c r="BF104" i="1"/>
  <c r="BH104" i="1"/>
  <c r="BL104" i="1"/>
  <c r="BM104" i="1"/>
  <c r="BK104" i="1"/>
  <c r="BJ104" i="1"/>
  <c r="BI104" i="1"/>
  <c r="BG104" i="1"/>
  <c r="AP104" i="1"/>
  <c r="BC104" i="1"/>
  <c r="BB104" i="1"/>
  <c r="AK104" i="1"/>
  <c r="AI104" i="1"/>
  <c r="L104" i="1"/>
  <c r="AY104" i="1"/>
  <c r="AX104" i="1"/>
  <c r="BA104" i="1"/>
  <c r="AV104" i="1"/>
  <c r="AZ104" i="1"/>
  <c r="AJ104" i="1"/>
  <c r="U104" i="1"/>
  <c r="K104" i="1"/>
  <c r="J104" i="1"/>
  <c r="R104" i="1"/>
  <c r="V104" i="1"/>
  <c r="W104" i="1"/>
  <c r="AE104" i="1"/>
  <c r="AC104" i="1"/>
  <c r="AD104" i="1"/>
  <c r="AF104" i="1"/>
  <c r="X104" i="1"/>
  <c r="AB104" i="1"/>
  <c r="AA104" i="1"/>
  <c r="Z104" i="1"/>
  <c r="Y104" i="1"/>
  <c r="S104" i="1"/>
  <c r="Q104" i="1"/>
  <c r="T104" i="1"/>
  <c r="P104" i="1"/>
  <c r="M104" i="1"/>
  <c r="N104" i="1"/>
  <c r="O104" i="1"/>
  <c r="CY103" i="1"/>
  <c r="CX103" i="1"/>
  <c r="CV103" i="1"/>
  <c r="CW103" i="1"/>
  <c r="BF103" i="1"/>
  <c r="BH103" i="1"/>
  <c r="BL103" i="1"/>
  <c r="BM103" i="1"/>
  <c r="BK103" i="1"/>
  <c r="BJ103" i="1"/>
  <c r="BI103" i="1"/>
  <c r="BG103" i="1"/>
  <c r="AP103" i="1"/>
  <c r="BC103" i="1"/>
  <c r="BB103" i="1"/>
  <c r="AK103" i="1"/>
  <c r="AI103" i="1"/>
  <c r="L103" i="1"/>
  <c r="AY103" i="1"/>
  <c r="AX103" i="1"/>
  <c r="BA103" i="1"/>
  <c r="AV103" i="1"/>
  <c r="AZ103" i="1"/>
  <c r="AJ103" i="1"/>
  <c r="U103" i="1"/>
  <c r="K103" i="1"/>
  <c r="J103" i="1"/>
  <c r="R103" i="1"/>
  <c r="V103" i="1"/>
  <c r="W103" i="1"/>
  <c r="AE103" i="1"/>
  <c r="AC103" i="1"/>
  <c r="AD103" i="1"/>
  <c r="AF103" i="1"/>
  <c r="X103" i="1"/>
  <c r="AB103" i="1"/>
  <c r="AA103" i="1"/>
  <c r="Z103" i="1"/>
  <c r="Y103" i="1"/>
  <c r="S103" i="1"/>
  <c r="Q103" i="1"/>
  <c r="T103" i="1"/>
  <c r="P103" i="1"/>
  <c r="M103" i="1"/>
  <c r="N103" i="1"/>
  <c r="O103" i="1"/>
  <c r="CY102" i="1"/>
  <c r="CX102" i="1"/>
  <c r="CV102" i="1"/>
  <c r="CW102" i="1"/>
  <c r="BF102" i="1"/>
  <c r="BH102" i="1"/>
  <c r="BL102" i="1"/>
  <c r="BM102" i="1"/>
  <c r="BK102" i="1"/>
  <c r="BJ102" i="1"/>
  <c r="BI102" i="1"/>
  <c r="BG102" i="1"/>
  <c r="AP102" i="1"/>
  <c r="BC102" i="1"/>
  <c r="BB102" i="1"/>
  <c r="AK102" i="1"/>
  <c r="AI102" i="1"/>
  <c r="L102" i="1"/>
  <c r="AY102" i="1"/>
  <c r="AX102" i="1"/>
  <c r="BA102" i="1"/>
  <c r="AV102" i="1"/>
  <c r="AZ102" i="1"/>
  <c r="AJ102" i="1"/>
  <c r="U102" i="1"/>
  <c r="K102" i="1"/>
  <c r="J102" i="1"/>
  <c r="R102" i="1"/>
  <c r="V102" i="1"/>
  <c r="W102" i="1"/>
  <c r="AE102" i="1"/>
  <c r="AC102" i="1"/>
  <c r="AD102" i="1"/>
  <c r="AF102" i="1"/>
  <c r="X102" i="1"/>
  <c r="AB102" i="1"/>
  <c r="AA102" i="1"/>
  <c r="Z102" i="1"/>
  <c r="Y102" i="1"/>
  <c r="S102" i="1"/>
  <c r="Q102" i="1"/>
  <c r="T102" i="1"/>
  <c r="P102" i="1"/>
  <c r="M102" i="1"/>
  <c r="N102" i="1"/>
  <c r="O102" i="1"/>
  <c r="CY101" i="1"/>
  <c r="CX101" i="1"/>
  <c r="CV101" i="1"/>
  <c r="CW101" i="1"/>
  <c r="BF101" i="1"/>
  <c r="BH101" i="1"/>
  <c r="BL101" i="1"/>
  <c r="BM101" i="1"/>
  <c r="BK101" i="1"/>
  <c r="BJ101" i="1"/>
  <c r="BI101" i="1"/>
  <c r="BG101" i="1"/>
  <c r="AP101" i="1"/>
  <c r="BC101" i="1"/>
  <c r="BB101" i="1"/>
  <c r="AK101" i="1"/>
  <c r="AI101" i="1"/>
  <c r="L101" i="1"/>
  <c r="AY101" i="1"/>
  <c r="AX101" i="1"/>
  <c r="BA101" i="1"/>
  <c r="AV101" i="1"/>
  <c r="AZ101" i="1"/>
  <c r="AJ101" i="1"/>
  <c r="U101" i="1"/>
  <c r="K101" i="1"/>
  <c r="J101" i="1"/>
  <c r="R101" i="1"/>
  <c r="V101" i="1"/>
  <c r="W101" i="1"/>
  <c r="AE101" i="1"/>
  <c r="AC101" i="1"/>
  <c r="AD101" i="1"/>
  <c r="AF101" i="1"/>
  <c r="X101" i="1"/>
  <c r="AB101" i="1"/>
  <c r="AA101" i="1"/>
  <c r="Z101" i="1"/>
  <c r="Y101" i="1"/>
  <c r="S101" i="1"/>
  <c r="Q101" i="1"/>
  <c r="T101" i="1"/>
  <c r="P101" i="1"/>
  <c r="M101" i="1"/>
  <c r="N101" i="1"/>
  <c r="O101" i="1"/>
  <c r="CY100" i="1"/>
  <c r="CX100" i="1"/>
  <c r="CV100" i="1"/>
  <c r="CW100" i="1"/>
  <c r="BF100" i="1"/>
  <c r="BH100" i="1"/>
  <c r="BL100" i="1"/>
  <c r="BM100" i="1"/>
  <c r="BK100" i="1"/>
  <c r="BJ100" i="1"/>
  <c r="BI100" i="1"/>
  <c r="BG100" i="1"/>
  <c r="AP100" i="1"/>
  <c r="BC100" i="1"/>
  <c r="BB100" i="1"/>
  <c r="AK100" i="1"/>
  <c r="AI100" i="1"/>
  <c r="L100" i="1"/>
  <c r="AY100" i="1"/>
  <c r="AX100" i="1"/>
  <c r="BA100" i="1"/>
  <c r="AV100" i="1"/>
  <c r="AZ100" i="1"/>
  <c r="AJ100" i="1"/>
  <c r="U100" i="1"/>
  <c r="K100" i="1"/>
  <c r="J100" i="1"/>
  <c r="R100" i="1"/>
  <c r="V100" i="1"/>
  <c r="W100" i="1"/>
  <c r="AE100" i="1"/>
  <c r="AC100" i="1"/>
  <c r="AD100" i="1"/>
  <c r="AF100" i="1"/>
  <c r="X100" i="1"/>
  <c r="AB100" i="1"/>
  <c r="AA100" i="1"/>
  <c r="Z100" i="1"/>
  <c r="Y100" i="1"/>
  <c r="S100" i="1"/>
  <c r="Q100" i="1"/>
  <c r="T100" i="1"/>
  <c r="P100" i="1"/>
  <c r="M100" i="1"/>
  <c r="N100" i="1"/>
  <c r="O100" i="1"/>
  <c r="CY99" i="1"/>
  <c r="CX99" i="1"/>
  <c r="CV99" i="1"/>
  <c r="CW99" i="1"/>
  <c r="BF99" i="1"/>
  <c r="BH99" i="1"/>
  <c r="BL99" i="1"/>
  <c r="BM99" i="1"/>
  <c r="BK99" i="1"/>
  <c r="BJ99" i="1"/>
  <c r="BI99" i="1"/>
  <c r="BG99" i="1"/>
  <c r="AP99" i="1"/>
  <c r="BC99" i="1"/>
  <c r="BB99" i="1"/>
  <c r="AK99" i="1"/>
  <c r="AI99" i="1"/>
  <c r="L99" i="1"/>
  <c r="AY99" i="1"/>
  <c r="AX99" i="1"/>
  <c r="BA99" i="1"/>
  <c r="AV99" i="1"/>
  <c r="AZ99" i="1"/>
  <c r="AJ99" i="1"/>
  <c r="U99" i="1"/>
  <c r="K99" i="1"/>
  <c r="J99" i="1"/>
  <c r="R99" i="1"/>
  <c r="V99" i="1"/>
  <c r="W99" i="1"/>
  <c r="AE99" i="1"/>
  <c r="AC99" i="1"/>
  <c r="AD99" i="1"/>
  <c r="AF99" i="1"/>
  <c r="X99" i="1"/>
  <c r="AB99" i="1"/>
  <c r="AA99" i="1"/>
  <c r="Z99" i="1"/>
  <c r="Y99" i="1"/>
  <c r="S99" i="1"/>
  <c r="Q99" i="1"/>
  <c r="T99" i="1"/>
  <c r="P99" i="1"/>
  <c r="M99" i="1"/>
  <c r="N99" i="1"/>
  <c r="O99" i="1"/>
  <c r="CY98" i="1"/>
  <c r="CX98" i="1"/>
  <c r="CV98" i="1"/>
  <c r="CW98" i="1"/>
  <c r="BF98" i="1"/>
  <c r="BH98" i="1"/>
  <c r="BL98" i="1"/>
  <c r="BM98" i="1"/>
  <c r="BK98" i="1"/>
  <c r="BJ98" i="1"/>
  <c r="BI98" i="1"/>
  <c r="BG98" i="1"/>
  <c r="AP98" i="1"/>
  <c r="BC98" i="1"/>
  <c r="BB98" i="1"/>
  <c r="AK98" i="1"/>
  <c r="AI98" i="1"/>
  <c r="L98" i="1"/>
  <c r="AY98" i="1"/>
  <c r="AX98" i="1"/>
  <c r="BA98" i="1"/>
  <c r="AV98" i="1"/>
  <c r="AZ98" i="1"/>
  <c r="AJ98" i="1"/>
  <c r="U98" i="1"/>
  <c r="K98" i="1"/>
  <c r="J98" i="1"/>
  <c r="R98" i="1"/>
  <c r="V98" i="1"/>
  <c r="W98" i="1"/>
  <c r="AE98" i="1"/>
  <c r="AC98" i="1"/>
  <c r="AD98" i="1"/>
  <c r="AF98" i="1"/>
  <c r="X98" i="1"/>
  <c r="AB98" i="1"/>
  <c r="AA98" i="1"/>
  <c r="Z98" i="1"/>
  <c r="Y98" i="1"/>
  <c r="S98" i="1"/>
  <c r="Q98" i="1"/>
  <c r="T98" i="1"/>
  <c r="P98" i="1"/>
  <c r="M98" i="1"/>
  <c r="N98" i="1"/>
  <c r="O98" i="1"/>
  <c r="CY97" i="1"/>
  <c r="CX97" i="1"/>
  <c r="CV97" i="1"/>
  <c r="CW97" i="1"/>
  <c r="BF97" i="1"/>
  <c r="BH97" i="1"/>
  <c r="BL97" i="1"/>
  <c r="BM97" i="1"/>
  <c r="BK97" i="1"/>
  <c r="BJ97" i="1"/>
  <c r="BI97" i="1"/>
  <c r="BG97" i="1"/>
  <c r="AP97" i="1"/>
  <c r="BC97" i="1"/>
  <c r="BB97" i="1"/>
  <c r="AK97" i="1"/>
  <c r="AI97" i="1"/>
  <c r="L97" i="1"/>
  <c r="AY97" i="1"/>
  <c r="AX97" i="1"/>
  <c r="BA97" i="1"/>
  <c r="AV97" i="1"/>
  <c r="AZ97" i="1"/>
  <c r="AJ97" i="1"/>
  <c r="U97" i="1"/>
  <c r="K97" i="1"/>
  <c r="J97" i="1"/>
  <c r="R97" i="1"/>
  <c r="V97" i="1"/>
  <c r="W97" i="1"/>
  <c r="AE97" i="1"/>
  <c r="AC97" i="1"/>
  <c r="AD97" i="1"/>
  <c r="AF97" i="1"/>
  <c r="X97" i="1"/>
  <c r="AB97" i="1"/>
  <c r="AA97" i="1"/>
  <c r="Z97" i="1"/>
  <c r="Y97" i="1"/>
  <c r="S97" i="1"/>
  <c r="Q97" i="1"/>
  <c r="T97" i="1"/>
  <c r="P97" i="1"/>
  <c r="M97" i="1"/>
  <c r="N97" i="1"/>
  <c r="O97" i="1"/>
  <c r="CY96" i="1"/>
  <c r="CX96" i="1"/>
  <c r="CV96" i="1"/>
  <c r="CW96" i="1"/>
  <c r="BF96" i="1"/>
  <c r="BH96" i="1"/>
  <c r="BL96" i="1"/>
  <c r="BM96" i="1"/>
  <c r="BK96" i="1"/>
  <c r="BJ96" i="1"/>
  <c r="BI96" i="1"/>
  <c r="BG96" i="1"/>
  <c r="AP96" i="1"/>
  <c r="BC96" i="1"/>
  <c r="BB96" i="1"/>
  <c r="AK96" i="1"/>
  <c r="AI96" i="1"/>
  <c r="L96" i="1"/>
  <c r="AY96" i="1"/>
  <c r="AX96" i="1"/>
  <c r="BA96" i="1"/>
  <c r="AV96" i="1"/>
  <c r="AZ96" i="1"/>
  <c r="AJ96" i="1"/>
  <c r="U96" i="1"/>
  <c r="K96" i="1"/>
  <c r="J96" i="1"/>
  <c r="R96" i="1"/>
  <c r="V96" i="1"/>
  <c r="W96" i="1"/>
  <c r="AE96" i="1"/>
  <c r="AC96" i="1"/>
  <c r="AD96" i="1"/>
  <c r="AF96" i="1"/>
  <c r="X96" i="1"/>
  <c r="AB96" i="1"/>
  <c r="AA96" i="1"/>
  <c r="Z96" i="1"/>
  <c r="Y96" i="1"/>
  <c r="S96" i="1"/>
  <c r="Q96" i="1"/>
  <c r="T96" i="1"/>
  <c r="P96" i="1"/>
  <c r="M96" i="1"/>
  <c r="N96" i="1"/>
  <c r="O96" i="1"/>
  <c r="CY95" i="1"/>
  <c r="CX95" i="1"/>
  <c r="CV95" i="1"/>
  <c r="CW95" i="1"/>
  <c r="BF95" i="1"/>
  <c r="BH95" i="1"/>
  <c r="BL95" i="1"/>
  <c r="BM95" i="1"/>
  <c r="BK95" i="1"/>
  <c r="BJ95" i="1"/>
  <c r="BI95" i="1"/>
  <c r="BG95" i="1"/>
  <c r="AP95" i="1"/>
  <c r="BC95" i="1"/>
  <c r="BB95" i="1"/>
  <c r="AK95" i="1"/>
  <c r="AI95" i="1"/>
  <c r="L95" i="1"/>
  <c r="AY95" i="1"/>
  <c r="AX95" i="1"/>
  <c r="BA95" i="1"/>
  <c r="AV95" i="1"/>
  <c r="AZ95" i="1"/>
  <c r="AJ95" i="1"/>
  <c r="U95" i="1"/>
  <c r="K95" i="1"/>
  <c r="J95" i="1"/>
  <c r="R95" i="1"/>
  <c r="V95" i="1"/>
  <c r="W95" i="1"/>
  <c r="AE95" i="1"/>
  <c r="AC95" i="1"/>
  <c r="AD95" i="1"/>
  <c r="AF95" i="1"/>
  <c r="X95" i="1"/>
  <c r="AB95" i="1"/>
  <c r="AA95" i="1"/>
  <c r="Z95" i="1"/>
  <c r="Y95" i="1"/>
  <c r="S95" i="1"/>
  <c r="Q95" i="1"/>
  <c r="T95" i="1"/>
  <c r="P95" i="1"/>
  <c r="M95" i="1"/>
  <c r="N95" i="1"/>
  <c r="O95" i="1"/>
  <c r="CY94" i="1"/>
  <c r="CX94" i="1"/>
  <c r="CV94" i="1"/>
  <c r="CW94" i="1"/>
  <c r="BF94" i="1"/>
  <c r="BH94" i="1"/>
  <c r="BL94" i="1"/>
  <c r="BM94" i="1"/>
  <c r="BK94" i="1"/>
  <c r="BJ94" i="1"/>
  <c r="BI94" i="1"/>
  <c r="BG94" i="1"/>
  <c r="AP94" i="1"/>
  <c r="BC94" i="1"/>
  <c r="BB94" i="1"/>
  <c r="AK94" i="1"/>
  <c r="AI94" i="1"/>
  <c r="L94" i="1"/>
  <c r="AY94" i="1"/>
  <c r="AX94" i="1"/>
  <c r="BA94" i="1"/>
  <c r="AV94" i="1"/>
  <c r="AZ94" i="1"/>
  <c r="AJ94" i="1"/>
  <c r="U94" i="1"/>
  <c r="K94" i="1"/>
  <c r="J94" i="1"/>
  <c r="R94" i="1"/>
  <c r="V94" i="1"/>
  <c r="W94" i="1"/>
  <c r="AE94" i="1"/>
  <c r="AC94" i="1"/>
  <c r="AD94" i="1"/>
  <c r="AF94" i="1"/>
  <c r="X94" i="1"/>
  <c r="AB94" i="1"/>
  <c r="AA94" i="1"/>
  <c r="Z94" i="1"/>
  <c r="Y94" i="1"/>
  <c r="S94" i="1"/>
  <c r="Q94" i="1"/>
  <c r="T94" i="1"/>
  <c r="P94" i="1"/>
  <c r="M94" i="1"/>
  <c r="N94" i="1"/>
  <c r="O94" i="1"/>
  <c r="CY93" i="1"/>
  <c r="CX93" i="1"/>
  <c r="CV93" i="1"/>
  <c r="CW93" i="1"/>
  <c r="BF93" i="1"/>
  <c r="BH93" i="1"/>
  <c r="BL93" i="1"/>
  <c r="BM93" i="1"/>
  <c r="BK93" i="1"/>
  <c r="BJ93" i="1"/>
  <c r="BI93" i="1"/>
  <c r="BG93" i="1"/>
  <c r="AP93" i="1"/>
  <c r="BC93" i="1"/>
  <c r="BB93" i="1"/>
  <c r="AK93" i="1"/>
  <c r="AI93" i="1"/>
  <c r="L93" i="1"/>
  <c r="AY93" i="1"/>
  <c r="AX93" i="1"/>
  <c r="BA93" i="1"/>
  <c r="AV93" i="1"/>
  <c r="AZ93" i="1"/>
  <c r="AJ93" i="1"/>
  <c r="U93" i="1"/>
  <c r="K93" i="1"/>
  <c r="J93" i="1"/>
  <c r="R93" i="1"/>
  <c r="V93" i="1"/>
  <c r="W93" i="1"/>
  <c r="AE93" i="1"/>
  <c r="AC93" i="1"/>
  <c r="AD93" i="1"/>
  <c r="AF93" i="1"/>
  <c r="X93" i="1"/>
  <c r="AB93" i="1"/>
  <c r="AA93" i="1"/>
  <c r="Z93" i="1"/>
  <c r="Y93" i="1"/>
  <c r="S93" i="1"/>
  <c r="Q93" i="1"/>
  <c r="T93" i="1"/>
  <c r="P93" i="1"/>
  <c r="M93" i="1"/>
  <c r="N93" i="1"/>
  <c r="O93" i="1"/>
  <c r="CY92" i="1"/>
  <c r="CX92" i="1"/>
  <c r="CV92" i="1"/>
  <c r="CW92" i="1"/>
  <c r="BF92" i="1"/>
  <c r="BH92" i="1"/>
  <c r="BL92" i="1"/>
  <c r="BM92" i="1"/>
  <c r="BK92" i="1"/>
  <c r="BJ92" i="1"/>
  <c r="BI92" i="1"/>
  <c r="BG92" i="1"/>
  <c r="AP92" i="1"/>
  <c r="BC92" i="1"/>
  <c r="BB92" i="1"/>
  <c r="AK92" i="1"/>
  <c r="AI92" i="1"/>
  <c r="L92" i="1"/>
  <c r="AY92" i="1"/>
  <c r="AX92" i="1"/>
  <c r="BA92" i="1"/>
  <c r="AV92" i="1"/>
  <c r="AZ92" i="1"/>
  <c r="AJ92" i="1"/>
  <c r="U92" i="1"/>
  <c r="K92" i="1"/>
  <c r="J92" i="1"/>
  <c r="R92" i="1"/>
  <c r="V92" i="1"/>
  <c r="W92" i="1"/>
  <c r="AE92" i="1"/>
  <c r="AC92" i="1"/>
  <c r="AD92" i="1"/>
  <c r="AF92" i="1"/>
  <c r="X92" i="1"/>
  <c r="AB92" i="1"/>
  <c r="AA92" i="1"/>
  <c r="Z92" i="1"/>
  <c r="Y92" i="1"/>
  <c r="S92" i="1"/>
  <c r="Q92" i="1"/>
  <c r="T92" i="1"/>
  <c r="P92" i="1"/>
  <c r="M92" i="1"/>
  <c r="N92" i="1"/>
  <c r="O92" i="1"/>
  <c r="CY91" i="1"/>
  <c r="CX91" i="1"/>
  <c r="CV91" i="1"/>
  <c r="CW91" i="1"/>
  <c r="BF91" i="1"/>
  <c r="BH91" i="1"/>
  <c r="BL91" i="1"/>
  <c r="BM91" i="1"/>
  <c r="BK91" i="1"/>
  <c r="BJ91" i="1"/>
  <c r="BI91" i="1"/>
  <c r="BG91" i="1"/>
  <c r="AP91" i="1"/>
  <c r="BC91" i="1"/>
  <c r="BB91" i="1"/>
  <c r="AK91" i="1"/>
  <c r="AI91" i="1"/>
  <c r="L91" i="1"/>
  <c r="AY91" i="1"/>
  <c r="AX91" i="1"/>
  <c r="BA91" i="1"/>
  <c r="AV91" i="1"/>
  <c r="AZ91" i="1"/>
  <c r="AJ91" i="1"/>
  <c r="U91" i="1"/>
  <c r="K91" i="1"/>
  <c r="J91" i="1"/>
  <c r="R91" i="1"/>
  <c r="V91" i="1"/>
  <c r="W91" i="1"/>
  <c r="AE91" i="1"/>
  <c r="AC91" i="1"/>
  <c r="AD91" i="1"/>
  <c r="AF91" i="1"/>
  <c r="X91" i="1"/>
  <c r="AB91" i="1"/>
  <c r="AA91" i="1"/>
  <c r="Z91" i="1"/>
  <c r="Y91" i="1"/>
  <c r="S91" i="1"/>
  <c r="Q91" i="1"/>
  <c r="T91" i="1"/>
  <c r="P91" i="1"/>
  <c r="M91" i="1"/>
  <c r="N91" i="1"/>
  <c r="O91" i="1"/>
  <c r="CY90" i="1"/>
  <c r="CX90" i="1"/>
  <c r="CV90" i="1"/>
  <c r="CW90" i="1"/>
  <c r="BF90" i="1"/>
  <c r="BH90" i="1"/>
  <c r="BL90" i="1"/>
  <c r="BM90" i="1"/>
  <c r="BK90" i="1"/>
  <c r="BJ90" i="1"/>
  <c r="BI90" i="1"/>
  <c r="BG90" i="1"/>
  <c r="AP90" i="1"/>
  <c r="BC90" i="1"/>
  <c r="BB90" i="1"/>
  <c r="AK90" i="1"/>
  <c r="AI90" i="1"/>
  <c r="L90" i="1"/>
  <c r="AY90" i="1"/>
  <c r="AX90" i="1"/>
  <c r="BA90" i="1"/>
  <c r="AV90" i="1"/>
  <c r="AZ90" i="1"/>
  <c r="AJ90" i="1"/>
  <c r="U90" i="1"/>
  <c r="K90" i="1"/>
  <c r="J90" i="1"/>
  <c r="R90" i="1"/>
  <c r="V90" i="1"/>
  <c r="W90" i="1"/>
  <c r="AE90" i="1"/>
  <c r="AC90" i="1"/>
  <c r="AD90" i="1"/>
  <c r="AF90" i="1"/>
  <c r="X90" i="1"/>
  <c r="AB90" i="1"/>
  <c r="AA90" i="1"/>
  <c r="Z90" i="1"/>
  <c r="Y90" i="1"/>
  <c r="S90" i="1"/>
  <c r="Q90" i="1"/>
  <c r="T90" i="1"/>
  <c r="P90" i="1"/>
  <c r="M90" i="1"/>
  <c r="N90" i="1"/>
  <c r="O90" i="1"/>
  <c r="CY89" i="1"/>
  <c r="CX89" i="1"/>
  <c r="CV89" i="1"/>
  <c r="CW89" i="1"/>
  <c r="BF89" i="1"/>
  <c r="BH89" i="1"/>
  <c r="BL89" i="1"/>
  <c r="BM89" i="1"/>
  <c r="BK89" i="1"/>
  <c r="BJ89" i="1"/>
  <c r="BI89" i="1"/>
  <c r="BG89" i="1"/>
  <c r="AP89" i="1"/>
  <c r="BC89" i="1"/>
  <c r="BB89" i="1"/>
  <c r="AK89" i="1"/>
  <c r="AI89" i="1"/>
  <c r="L89" i="1"/>
  <c r="AY89" i="1"/>
  <c r="AX89" i="1"/>
  <c r="BA89" i="1"/>
  <c r="AV89" i="1"/>
  <c r="AZ89" i="1"/>
  <c r="AJ89" i="1"/>
  <c r="U89" i="1"/>
  <c r="K89" i="1"/>
  <c r="J89" i="1"/>
  <c r="R89" i="1"/>
  <c r="V89" i="1"/>
  <c r="W89" i="1"/>
  <c r="AE89" i="1"/>
  <c r="AC89" i="1"/>
  <c r="AD89" i="1"/>
  <c r="AF89" i="1"/>
  <c r="X89" i="1"/>
  <c r="AB89" i="1"/>
  <c r="AA89" i="1"/>
  <c r="Z89" i="1"/>
  <c r="Y89" i="1"/>
  <c r="S89" i="1"/>
  <c r="Q89" i="1"/>
  <c r="T89" i="1"/>
  <c r="P89" i="1"/>
  <c r="M89" i="1"/>
  <c r="N89" i="1"/>
  <c r="O89" i="1"/>
  <c r="CY88" i="1"/>
  <c r="CX88" i="1"/>
  <c r="CV88" i="1"/>
  <c r="CW88" i="1"/>
  <c r="BF88" i="1"/>
  <c r="BH88" i="1"/>
  <c r="BL88" i="1"/>
  <c r="BM88" i="1"/>
  <c r="BK88" i="1"/>
  <c r="BJ88" i="1"/>
  <c r="BI88" i="1"/>
  <c r="BG88" i="1"/>
  <c r="AP88" i="1"/>
  <c r="BC88" i="1"/>
  <c r="BB88" i="1"/>
  <c r="AK88" i="1"/>
  <c r="AI88" i="1"/>
  <c r="L88" i="1"/>
  <c r="AY88" i="1"/>
  <c r="AX88" i="1"/>
  <c r="BA88" i="1"/>
  <c r="AV88" i="1"/>
  <c r="AZ88" i="1"/>
  <c r="AJ88" i="1"/>
  <c r="U88" i="1"/>
  <c r="K88" i="1"/>
  <c r="J88" i="1"/>
  <c r="R88" i="1"/>
  <c r="V88" i="1"/>
  <c r="W88" i="1"/>
  <c r="AE88" i="1"/>
  <c r="AC88" i="1"/>
  <c r="AD88" i="1"/>
  <c r="AF88" i="1"/>
  <c r="X88" i="1"/>
  <c r="AB88" i="1"/>
  <c r="AA88" i="1"/>
  <c r="Z88" i="1"/>
  <c r="Y88" i="1"/>
  <c r="S88" i="1"/>
  <c r="Q88" i="1"/>
  <c r="T88" i="1"/>
  <c r="P88" i="1"/>
  <c r="M88" i="1"/>
  <c r="N88" i="1"/>
  <c r="O88" i="1"/>
  <c r="CY87" i="1"/>
  <c r="CX87" i="1"/>
  <c r="CV87" i="1"/>
  <c r="CW87" i="1"/>
  <c r="BF87" i="1"/>
  <c r="BH87" i="1"/>
  <c r="BL87" i="1"/>
  <c r="BM87" i="1"/>
  <c r="BK87" i="1"/>
  <c r="BJ87" i="1"/>
  <c r="BI87" i="1"/>
  <c r="BG87" i="1"/>
  <c r="AP87" i="1"/>
  <c r="BC87" i="1"/>
  <c r="BB87" i="1"/>
  <c r="AK87" i="1"/>
  <c r="AI87" i="1"/>
  <c r="L87" i="1"/>
  <c r="AY87" i="1"/>
  <c r="AX87" i="1"/>
  <c r="BA87" i="1"/>
  <c r="AV87" i="1"/>
  <c r="AZ87" i="1"/>
  <c r="AJ87" i="1"/>
  <c r="U87" i="1"/>
  <c r="K87" i="1"/>
  <c r="J87" i="1"/>
  <c r="R87" i="1"/>
  <c r="V87" i="1"/>
  <c r="W87" i="1"/>
  <c r="AE87" i="1"/>
  <c r="AC87" i="1"/>
  <c r="AD87" i="1"/>
  <c r="AF87" i="1"/>
  <c r="X87" i="1"/>
  <c r="AB87" i="1"/>
  <c r="AA87" i="1"/>
  <c r="Z87" i="1"/>
  <c r="Y87" i="1"/>
  <c r="S87" i="1"/>
  <c r="Q87" i="1"/>
  <c r="T87" i="1"/>
  <c r="P87" i="1"/>
  <c r="M87" i="1"/>
  <c r="N87" i="1"/>
  <c r="O87" i="1"/>
  <c r="CY86" i="1"/>
  <c r="CX86" i="1"/>
  <c r="CV86" i="1"/>
  <c r="CW86" i="1"/>
  <c r="BF86" i="1"/>
  <c r="BH86" i="1"/>
  <c r="BL86" i="1"/>
  <c r="BM86" i="1"/>
  <c r="BK86" i="1"/>
  <c r="BJ86" i="1"/>
  <c r="BI86" i="1"/>
  <c r="BG86" i="1"/>
  <c r="AP86" i="1"/>
  <c r="BC86" i="1"/>
  <c r="BB86" i="1"/>
  <c r="AK86" i="1"/>
  <c r="AI86" i="1"/>
  <c r="L86" i="1"/>
  <c r="AY86" i="1"/>
  <c r="AX86" i="1"/>
  <c r="BA86" i="1"/>
  <c r="AV86" i="1"/>
  <c r="AZ86" i="1"/>
  <c r="AJ86" i="1"/>
  <c r="U86" i="1"/>
  <c r="K86" i="1"/>
  <c r="J86" i="1"/>
  <c r="R86" i="1"/>
  <c r="V86" i="1"/>
  <c r="W86" i="1"/>
  <c r="AE86" i="1"/>
  <c r="AC86" i="1"/>
  <c r="AD86" i="1"/>
  <c r="AF86" i="1"/>
  <c r="X86" i="1"/>
  <c r="AB86" i="1"/>
  <c r="AA86" i="1"/>
  <c r="Z86" i="1"/>
  <c r="Y86" i="1"/>
  <c r="S86" i="1"/>
  <c r="Q86" i="1"/>
  <c r="T86" i="1"/>
  <c r="P86" i="1"/>
  <c r="M86" i="1"/>
  <c r="N86" i="1"/>
  <c r="O86" i="1"/>
  <c r="CY85" i="1"/>
  <c r="CX85" i="1"/>
  <c r="CV85" i="1"/>
  <c r="CW85" i="1"/>
  <c r="BF85" i="1"/>
  <c r="BH85" i="1"/>
  <c r="BL85" i="1"/>
  <c r="BM85" i="1"/>
  <c r="BK85" i="1"/>
  <c r="BJ85" i="1"/>
  <c r="BI85" i="1"/>
  <c r="BG85" i="1"/>
  <c r="AP85" i="1"/>
  <c r="BC85" i="1"/>
  <c r="BB85" i="1"/>
  <c r="AK85" i="1"/>
  <c r="AI85" i="1"/>
  <c r="L85" i="1"/>
  <c r="AY85" i="1"/>
  <c r="AX85" i="1"/>
  <c r="BA85" i="1"/>
  <c r="AV85" i="1"/>
  <c r="AZ85" i="1"/>
  <c r="AJ85" i="1"/>
  <c r="U85" i="1"/>
  <c r="K85" i="1"/>
  <c r="J85" i="1"/>
  <c r="R85" i="1"/>
  <c r="V85" i="1"/>
  <c r="W85" i="1"/>
  <c r="AE85" i="1"/>
  <c r="AC85" i="1"/>
  <c r="AD85" i="1"/>
  <c r="AF85" i="1"/>
  <c r="X85" i="1"/>
  <c r="AB85" i="1"/>
  <c r="AA85" i="1"/>
  <c r="Z85" i="1"/>
  <c r="Y85" i="1"/>
  <c r="S85" i="1"/>
  <c r="Q85" i="1"/>
  <c r="T85" i="1"/>
  <c r="P85" i="1"/>
  <c r="M85" i="1"/>
  <c r="N85" i="1"/>
  <c r="O85" i="1"/>
  <c r="CY84" i="1"/>
  <c r="CX84" i="1"/>
  <c r="CV84" i="1"/>
  <c r="CW84" i="1"/>
  <c r="BF84" i="1"/>
  <c r="BH84" i="1"/>
  <c r="BL84" i="1"/>
  <c r="BM84" i="1"/>
  <c r="BK84" i="1"/>
  <c r="BJ84" i="1"/>
  <c r="BI84" i="1"/>
  <c r="BG84" i="1"/>
  <c r="AP84" i="1"/>
  <c r="BC84" i="1"/>
  <c r="BB84" i="1"/>
  <c r="AK84" i="1"/>
  <c r="AI84" i="1"/>
  <c r="L84" i="1"/>
  <c r="AY84" i="1"/>
  <c r="AX84" i="1"/>
  <c r="BA84" i="1"/>
  <c r="AV84" i="1"/>
  <c r="AZ84" i="1"/>
  <c r="AJ84" i="1"/>
  <c r="U84" i="1"/>
  <c r="K84" i="1"/>
  <c r="J84" i="1"/>
  <c r="R84" i="1"/>
  <c r="V84" i="1"/>
  <c r="W84" i="1"/>
  <c r="AE84" i="1"/>
  <c r="AC84" i="1"/>
  <c r="AD84" i="1"/>
  <c r="AF84" i="1"/>
  <c r="X84" i="1"/>
  <c r="AB84" i="1"/>
  <c r="AA84" i="1"/>
  <c r="Z84" i="1"/>
  <c r="Y84" i="1"/>
  <c r="S84" i="1"/>
  <c r="Q84" i="1"/>
  <c r="T84" i="1"/>
  <c r="P84" i="1"/>
  <c r="M84" i="1"/>
  <c r="N84" i="1"/>
  <c r="O84" i="1"/>
  <c r="CY83" i="1"/>
  <c r="CX83" i="1"/>
  <c r="CV83" i="1"/>
  <c r="CW83" i="1"/>
  <c r="BF83" i="1"/>
  <c r="BH83" i="1"/>
  <c r="BL83" i="1"/>
  <c r="BM83" i="1"/>
  <c r="BK83" i="1"/>
  <c r="BJ83" i="1"/>
  <c r="BI83" i="1"/>
  <c r="BG83" i="1"/>
  <c r="AP83" i="1"/>
  <c r="BC83" i="1"/>
  <c r="BB83" i="1"/>
  <c r="AK83" i="1"/>
  <c r="AI83" i="1"/>
  <c r="L83" i="1"/>
  <c r="AY83" i="1"/>
  <c r="AX83" i="1"/>
  <c r="BA83" i="1"/>
  <c r="AV83" i="1"/>
  <c r="AZ83" i="1"/>
  <c r="AJ83" i="1"/>
  <c r="U83" i="1"/>
  <c r="K83" i="1"/>
  <c r="J83" i="1"/>
  <c r="R83" i="1"/>
  <c r="V83" i="1"/>
  <c r="W83" i="1"/>
  <c r="AE83" i="1"/>
  <c r="AC83" i="1"/>
  <c r="AD83" i="1"/>
  <c r="AF83" i="1"/>
  <c r="X83" i="1"/>
  <c r="AB83" i="1"/>
  <c r="AA83" i="1"/>
  <c r="Z83" i="1"/>
  <c r="Y83" i="1"/>
  <c r="S83" i="1"/>
  <c r="Q83" i="1"/>
  <c r="T83" i="1"/>
  <c r="P83" i="1"/>
  <c r="M83" i="1"/>
  <c r="N83" i="1"/>
  <c r="O83" i="1"/>
  <c r="CY82" i="1"/>
  <c r="CX82" i="1"/>
  <c r="CV82" i="1"/>
  <c r="CW82" i="1"/>
  <c r="BF82" i="1"/>
  <c r="BH82" i="1"/>
  <c r="BL82" i="1"/>
  <c r="BM82" i="1"/>
  <c r="BK82" i="1"/>
  <c r="BJ82" i="1"/>
  <c r="BI82" i="1"/>
  <c r="BG82" i="1"/>
  <c r="AP82" i="1"/>
  <c r="BC82" i="1"/>
  <c r="BB82" i="1"/>
  <c r="AK82" i="1"/>
  <c r="AI82" i="1"/>
  <c r="L82" i="1"/>
  <c r="AY82" i="1"/>
  <c r="AX82" i="1"/>
  <c r="BA82" i="1"/>
  <c r="AV82" i="1"/>
  <c r="AZ82" i="1"/>
  <c r="AJ82" i="1"/>
  <c r="U82" i="1"/>
  <c r="K82" i="1"/>
  <c r="J82" i="1"/>
  <c r="R82" i="1"/>
  <c r="V82" i="1"/>
  <c r="W82" i="1"/>
  <c r="AE82" i="1"/>
  <c r="AC82" i="1"/>
  <c r="AD82" i="1"/>
  <c r="AF82" i="1"/>
  <c r="X82" i="1"/>
  <c r="AB82" i="1"/>
  <c r="AA82" i="1"/>
  <c r="Z82" i="1"/>
  <c r="Y82" i="1"/>
  <c r="S82" i="1"/>
  <c r="Q82" i="1"/>
  <c r="T82" i="1"/>
  <c r="P82" i="1"/>
  <c r="M82" i="1"/>
  <c r="N82" i="1"/>
  <c r="O82" i="1"/>
  <c r="CY81" i="1"/>
  <c r="CX81" i="1"/>
  <c r="CV81" i="1"/>
  <c r="CW81" i="1"/>
  <c r="BF81" i="1"/>
  <c r="BH81" i="1"/>
  <c r="BL81" i="1"/>
  <c r="BM81" i="1"/>
  <c r="BK81" i="1"/>
  <c r="BJ81" i="1"/>
  <c r="BI81" i="1"/>
  <c r="BG81" i="1"/>
  <c r="AP81" i="1"/>
  <c r="BC81" i="1"/>
  <c r="BB81" i="1"/>
  <c r="AK81" i="1"/>
  <c r="AI81" i="1"/>
  <c r="L81" i="1"/>
  <c r="AY81" i="1"/>
  <c r="AX81" i="1"/>
  <c r="BA81" i="1"/>
  <c r="AV81" i="1"/>
  <c r="AZ81" i="1"/>
  <c r="AJ81" i="1"/>
  <c r="U81" i="1"/>
  <c r="K81" i="1"/>
  <c r="J81" i="1"/>
  <c r="R81" i="1"/>
  <c r="V81" i="1"/>
  <c r="W81" i="1"/>
  <c r="AE81" i="1"/>
  <c r="AC81" i="1"/>
  <c r="AD81" i="1"/>
  <c r="AF81" i="1"/>
  <c r="X81" i="1"/>
  <c r="AB81" i="1"/>
  <c r="AA81" i="1"/>
  <c r="Z81" i="1"/>
  <c r="Y81" i="1"/>
  <c r="S81" i="1"/>
  <c r="Q81" i="1"/>
  <c r="T81" i="1"/>
  <c r="P81" i="1"/>
  <c r="M81" i="1"/>
  <c r="N81" i="1"/>
  <c r="O81" i="1"/>
  <c r="CY80" i="1"/>
  <c r="CX80" i="1"/>
  <c r="CV80" i="1"/>
  <c r="CW80" i="1"/>
  <c r="BF80" i="1"/>
  <c r="BH80" i="1"/>
  <c r="BL80" i="1"/>
  <c r="BM80" i="1"/>
  <c r="BK80" i="1"/>
  <c r="BJ80" i="1"/>
  <c r="BI80" i="1"/>
  <c r="BG80" i="1"/>
  <c r="AP80" i="1"/>
  <c r="BC80" i="1"/>
  <c r="BB80" i="1"/>
  <c r="AK80" i="1"/>
  <c r="AI80" i="1"/>
  <c r="L80" i="1"/>
  <c r="AY80" i="1"/>
  <c r="AX80" i="1"/>
  <c r="BA80" i="1"/>
  <c r="AV80" i="1"/>
  <c r="AZ80" i="1"/>
  <c r="AJ80" i="1"/>
  <c r="U80" i="1"/>
  <c r="K80" i="1"/>
  <c r="J80" i="1"/>
  <c r="R80" i="1"/>
  <c r="V80" i="1"/>
  <c r="W80" i="1"/>
  <c r="AE80" i="1"/>
  <c r="AC80" i="1"/>
  <c r="AD80" i="1"/>
  <c r="AF80" i="1"/>
  <c r="X80" i="1"/>
  <c r="AB80" i="1"/>
  <c r="AA80" i="1"/>
  <c r="Z80" i="1"/>
  <c r="Y80" i="1"/>
  <c r="S80" i="1"/>
  <c r="Q80" i="1"/>
  <c r="T80" i="1"/>
  <c r="P80" i="1"/>
  <c r="M80" i="1"/>
  <c r="N80" i="1"/>
  <c r="O80" i="1"/>
  <c r="CY79" i="1"/>
  <c r="CX79" i="1"/>
  <c r="CV79" i="1"/>
  <c r="CW79" i="1"/>
  <c r="BF79" i="1"/>
  <c r="BH79" i="1"/>
  <c r="BL79" i="1"/>
  <c r="BM79" i="1"/>
  <c r="BK79" i="1"/>
  <c r="BJ79" i="1"/>
  <c r="BI79" i="1"/>
  <c r="BG79" i="1"/>
  <c r="AP79" i="1"/>
  <c r="BC79" i="1"/>
  <c r="BB79" i="1"/>
  <c r="AK79" i="1"/>
  <c r="AI79" i="1"/>
  <c r="L79" i="1"/>
  <c r="AY79" i="1"/>
  <c r="AX79" i="1"/>
  <c r="BA79" i="1"/>
  <c r="AV79" i="1"/>
  <c r="AZ79" i="1"/>
  <c r="AJ79" i="1"/>
  <c r="U79" i="1"/>
  <c r="K79" i="1"/>
  <c r="J79" i="1"/>
  <c r="R79" i="1"/>
  <c r="V79" i="1"/>
  <c r="W79" i="1"/>
  <c r="AE79" i="1"/>
  <c r="AC79" i="1"/>
  <c r="AD79" i="1"/>
  <c r="AF79" i="1"/>
  <c r="X79" i="1"/>
  <c r="AB79" i="1"/>
  <c r="AA79" i="1"/>
  <c r="Z79" i="1"/>
  <c r="Y79" i="1"/>
  <c r="S79" i="1"/>
  <c r="Q79" i="1"/>
  <c r="T79" i="1"/>
  <c r="P79" i="1"/>
  <c r="M79" i="1"/>
  <c r="N79" i="1"/>
  <c r="O79" i="1"/>
  <c r="CY78" i="1"/>
  <c r="CX78" i="1"/>
  <c r="CV78" i="1"/>
  <c r="CW78" i="1"/>
  <c r="BF78" i="1"/>
  <c r="BH78" i="1"/>
  <c r="BL78" i="1"/>
  <c r="BM78" i="1"/>
  <c r="BK78" i="1"/>
  <c r="BJ78" i="1"/>
  <c r="BI78" i="1"/>
  <c r="BG78" i="1"/>
  <c r="AP78" i="1"/>
  <c r="BC78" i="1"/>
  <c r="BB78" i="1"/>
  <c r="AK78" i="1"/>
  <c r="AI78" i="1"/>
  <c r="L78" i="1"/>
  <c r="AY78" i="1"/>
  <c r="AX78" i="1"/>
  <c r="BA78" i="1"/>
  <c r="AV78" i="1"/>
  <c r="AZ78" i="1"/>
  <c r="AJ78" i="1"/>
  <c r="U78" i="1"/>
  <c r="K78" i="1"/>
  <c r="J78" i="1"/>
  <c r="R78" i="1"/>
  <c r="V78" i="1"/>
  <c r="W78" i="1"/>
  <c r="AE78" i="1"/>
  <c r="AC78" i="1"/>
  <c r="AD78" i="1"/>
  <c r="AF78" i="1"/>
  <c r="X78" i="1"/>
  <c r="AB78" i="1"/>
  <c r="AA78" i="1"/>
  <c r="Z78" i="1"/>
  <c r="Y78" i="1"/>
  <c r="S78" i="1"/>
  <c r="Q78" i="1"/>
  <c r="T78" i="1"/>
  <c r="P78" i="1"/>
  <c r="M78" i="1"/>
  <c r="N78" i="1"/>
  <c r="O78" i="1"/>
  <c r="CY77" i="1"/>
  <c r="CX77" i="1"/>
  <c r="CV77" i="1"/>
  <c r="CW77" i="1"/>
  <c r="BF77" i="1"/>
  <c r="BH77" i="1"/>
  <c r="BL77" i="1"/>
  <c r="BM77" i="1"/>
  <c r="BK77" i="1"/>
  <c r="BJ77" i="1"/>
  <c r="BI77" i="1"/>
  <c r="BG77" i="1"/>
  <c r="AP77" i="1"/>
  <c r="BC77" i="1"/>
  <c r="BB77" i="1"/>
  <c r="AK77" i="1"/>
  <c r="AI77" i="1"/>
  <c r="L77" i="1"/>
  <c r="AY77" i="1"/>
  <c r="AX77" i="1"/>
  <c r="BA77" i="1"/>
  <c r="AV77" i="1"/>
  <c r="AZ77" i="1"/>
  <c r="AJ77" i="1"/>
  <c r="U77" i="1"/>
  <c r="K77" i="1"/>
  <c r="J77" i="1"/>
  <c r="R77" i="1"/>
  <c r="V77" i="1"/>
  <c r="W77" i="1"/>
  <c r="AE77" i="1"/>
  <c r="AC77" i="1"/>
  <c r="AD77" i="1"/>
  <c r="AF77" i="1"/>
  <c r="X77" i="1"/>
  <c r="AB77" i="1"/>
  <c r="AA77" i="1"/>
  <c r="Z77" i="1"/>
  <c r="Y77" i="1"/>
  <c r="S77" i="1"/>
  <c r="Q77" i="1"/>
  <c r="T77" i="1"/>
  <c r="P77" i="1"/>
  <c r="M77" i="1"/>
  <c r="N77" i="1"/>
  <c r="O77" i="1"/>
  <c r="CY76" i="1"/>
  <c r="CX76" i="1"/>
  <c r="CV76" i="1"/>
  <c r="CW76" i="1"/>
  <c r="BF76" i="1"/>
  <c r="BH76" i="1"/>
  <c r="BL76" i="1"/>
  <c r="BM76" i="1"/>
  <c r="BK76" i="1"/>
  <c r="BJ76" i="1"/>
  <c r="BI76" i="1"/>
  <c r="BG76" i="1"/>
  <c r="AP76" i="1"/>
  <c r="BC76" i="1"/>
  <c r="BB76" i="1"/>
  <c r="AK76" i="1"/>
  <c r="AI76" i="1"/>
  <c r="L76" i="1"/>
  <c r="AY76" i="1"/>
  <c r="AX76" i="1"/>
  <c r="BA76" i="1"/>
  <c r="AV76" i="1"/>
  <c r="AZ76" i="1"/>
  <c r="AJ76" i="1"/>
  <c r="U76" i="1"/>
  <c r="K76" i="1"/>
  <c r="J76" i="1"/>
  <c r="R76" i="1"/>
  <c r="V76" i="1"/>
  <c r="W76" i="1"/>
  <c r="AE76" i="1"/>
  <c r="AC76" i="1"/>
  <c r="AD76" i="1"/>
  <c r="AF76" i="1"/>
  <c r="X76" i="1"/>
  <c r="AB76" i="1"/>
  <c r="AA76" i="1"/>
  <c r="Z76" i="1"/>
  <c r="Y76" i="1"/>
  <c r="S76" i="1"/>
  <c r="Q76" i="1"/>
  <c r="T76" i="1"/>
  <c r="P76" i="1"/>
  <c r="M76" i="1"/>
  <c r="N76" i="1"/>
  <c r="O76" i="1"/>
  <c r="CY75" i="1"/>
  <c r="CX75" i="1"/>
  <c r="CV75" i="1"/>
  <c r="CW75" i="1"/>
  <c r="BF75" i="1"/>
  <c r="BH75" i="1"/>
  <c r="BL75" i="1"/>
  <c r="BM75" i="1"/>
  <c r="BK75" i="1"/>
  <c r="BJ75" i="1"/>
  <c r="BI75" i="1"/>
  <c r="BG75" i="1"/>
  <c r="AP75" i="1"/>
  <c r="BC75" i="1"/>
  <c r="BB75" i="1"/>
  <c r="AK75" i="1"/>
  <c r="AI75" i="1"/>
  <c r="L75" i="1"/>
  <c r="AY75" i="1"/>
  <c r="AX75" i="1"/>
  <c r="BA75" i="1"/>
  <c r="AV75" i="1"/>
  <c r="AZ75" i="1"/>
  <c r="AJ75" i="1"/>
  <c r="U75" i="1"/>
  <c r="K75" i="1"/>
  <c r="J75" i="1"/>
  <c r="R75" i="1"/>
  <c r="V75" i="1"/>
  <c r="W75" i="1"/>
  <c r="AE75" i="1"/>
  <c r="AC75" i="1"/>
  <c r="AD75" i="1"/>
  <c r="AF75" i="1"/>
  <c r="X75" i="1"/>
  <c r="AB75" i="1"/>
  <c r="AA75" i="1"/>
  <c r="Z75" i="1"/>
  <c r="Y75" i="1"/>
  <c r="S75" i="1"/>
  <c r="Q75" i="1"/>
  <c r="T75" i="1"/>
  <c r="P75" i="1"/>
  <c r="M75" i="1"/>
  <c r="N75" i="1"/>
  <c r="O75" i="1"/>
  <c r="CY74" i="1"/>
  <c r="CX74" i="1"/>
  <c r="CV74" i="1"/>
  <c r="CW74" i="1"/>
  <c r="BF74" i="1"/>
  <c r="BH74" i="1"/>
  <c r="BL74" i="1"/>
  <c r="BM74" i="1"/>
  <c r="BK74" i="1"/>
  <c r="BJ74" i="1"/>
  <c r="BI74" i="1"/>
  <c r="BG74" i="1"/>
  <c r="AP74" i="1"/>
  <c r="BC74" i="1"/>
  <c r="BB74" i="1"/>
  <c r="AK74" i="1"/>
  <c r="AI74" i="1"/>
  <c r="L74" i="1"/>
  <c r="AY74" i="1"/>
  <c r="AX74" i="1"/>
  <c r="BA74" i="1"/>
  <c r="AV74" i="1"/>
  <c r="AZ74" i="1"/>
  <c r="AJ74" i="1"/>
  <c r="U74" i="1"/>
  <c r="K74" i="1"/>
  <c r="J74" i="1"/>
  <c r="R74" i="1"/>
  <c r="V74" i="1"/>
  <c r="W74" i="1"/>
  <c r="AE74" i="1"/>
  <c r="AC74" i="1"/>
  <c r="AD74" i="1"/>
  <c r="AF74" i="1"/>
  <c r="X74" i="1"/>
  <c r="AB74" i="1"/>
  <c r="AA74" i="1"/>
  <c r="Z74" i="1"/>
  <c r="Y74" i="1"/>
  <c r="S74" i="1"/>
  <c r="Q74" i="1"/>
  <c r="T74" i="1"/>
  <c r="P74" i="1"/>
  <c r="M74" i="1"/>
  <c r="N74" i="1"/>
  <c r="O74" i="1"/>
  <c r="CY73" i="1"/>
  <c r="CX73" i="1"/>
  <c r="CV73" i="1"/>
  <c r="CW73" i="1"/>
  <c r="BF73" i="1"/>
  <c r="BH73" i="1"/>
  <c r="BL73" i="1"/>
  <c r="BM73" i="1"/>
  <c r="BK73" i="1"/>
  <c r="BJ73" i="1"/>
  <c r="BI73" i="1"/>
  <c r="BG73" i="1"/>
  <c r="AP73" i="1"/>
  <c r="BC73" i="1"/>
  <c r="BB73" i="1"/>
  <c r="AK73" i="1"/>
  <c r="AI73" i="1"/>
  <c r="L73" i="1"/>
  <c r="AY73" i="1"/>
  <c r="AX73" i="1"/>
  <c r="BA73" i="1"/>
  <c r="AV73" i="1"/>
  <c r="AZ73" i="1"/>
  <c r="AJ73" i="1"/>
  <c r="U73" i="1"/>
  <c r="K73" i="1"/>
  <c r="J73" i="1"/>
  <c r="R73" i="1"/>
  <c r="V73" i="1"/>
  <c r="W73" i="1"/>
  <c r="AE73" i="1"/>
  <c r="AC73" i="1"/>
  <c r="AD73" i="1"/>
  <c r="AF73" i="1"/>
  <c r="X73" i="1"/>
  <c r="AB73" i="1"/>
  <c r="AA73" i="1"/>
  <c r="Z73" i="1"/>
  <c r="Y73" i="1"/>
  <c r="S73" i="1"/>
  <c r="Q73" i="1"/>
  <c r="T73" i="1"/>
  <c r="P73" i="1"/>
  <c r="M73" i="1"/>
  <c r="N73" i="1"/>
  <c r="O73" i="1"/>
  <c r="CY72" i="1"/>
  <c r="CX72" i="1"/>
  <c r="CV72" i="1"/>
  <c r="CW72" i="1"/>
  <c r="BF72" i="1"/>
  <c r="BH72" i="1"/>
  <c r="BL72" i="1"/>
  <c r="BM72" i="1"/>
  <c r="BK72" i="1"/>
  <c r="BJ72" i="1"/>
  <c r="BI72" i="1"/>
  <c r="BG72" i="1"/>
  <c r="AP72" i="1"/>
  <c r="BC72" i="1"/>
  <c r="BB72" i="1"/>
  <c r="AK72" i="1"/>
  <c r="AI72" i="1"/>
  <c r="L72" i="1"/>
  <c r="AY72" i="1"/>
  <c r="AX72" i="1"/>
  <c r="BA72" i="1"/>
  <c r="AV72" i="1"/>
  <c r="AZ72" i="1"/>
  <c r="AJ72" i="1"/>
  <c r="U72" i="1"/>
  <c r="K72" i="1"/>
  <c r="J72" i="1"/>
  <c r="R72" i="1"/>
  <c r="V72" i="1"/>
  <c r="W72" i="1"/>
  <c r="AE72" i="1"/>
  <c r="AC72" i="1"/>
  <c r="AD72" i="1"/>
  <c r="AF72" i="1"/>
  <c r="X72" i="1"/>
  <c r="AB72" i="1"/>
  <c r="AA72" i="1"/>
  <c r="Z72" i="1"/>
  <c r="Y72" i="1"/>
  <c r="S72" i="1"/>
  <c r="Q72" i="1"/>
  <c r="T72" i="1"/>
  <c r="P72" i="1"/>
  <c r="M72" i="1"/>
  <c r="N72" i="1"/>
  <c r="O72" i="1"/>
  <c r="CY71" i="1"/>
  <c r="CX71" i="1"/>
  <c r="CV71" i="1"/>
  <c r="CW71" i="1"/>
  <c r="BF71" i="1"/>
  <c r="BH71" i="1"/>
  <c r="BL71" i="1"/>
  <c r="BM71" i="1"/>
  <c r="BK71" i="1"/>
  <c r="BJ71" i="1"/>
  <c r="BI71" i="1"/>
  <c r="BG71" i="1"/>
  <c r="AP71" i="1"/>
  <c r="BC71" i="1"/>
  <c r="BB71" i="1"/>
  <c r="AK71" i="1"/>
  <c r="AI71" i="1"/>
  <c r="L71" i="1"/>
  <c r="AY71" i="1"/>
  <c r="AX71" i="1"/>
  <c r="BA71" i="1"/>
  <c r="AV71" i="1"/>
  <c r="AZ71" i="1"/>
  <c r="AJ71" i="1"/>
  <c r="U71" i="1"/>
  <c r="K71" i="1"/>
  <c r="J71" i="1"/>
  <c r="R71" i="1"/>
  <c r="V71" i="1"/>
  <c r="W71" i="1"/>
  <c r="AE71" i="1"/>
  <c r="AC71" i="1"/>
  <c r="AD71" i="1"/>
  <c r="AF71" i="1"/>
  <c r="X71" i="1"/>
  <c r="AB71" i="1"/>
  <c r="AA71" i="1"/>
  <c r="Z71" i="1"/>
  <c r="Y71" i="1"/>
  <c r="S71" i="1"/>
  <c r="Q71" i="1"/>
  <c r="T71" i="1"/>
  <c r="P71" i="1"/>
  <c r="M71" i="1"/>
  <c r="N71" i="1"/>
  <c r="O71" i="1"/>
  <c r="CY70" i="1"/>
  <c r="CX70" i="1"/>
  <c r="CV70" i="1"/>
  <c r="CW70" i="1"/>
  <c r="BF70" i="1"/>
  <c r="BH70" i="1"/>
  <c r="BL70" i="1"/>
  <c r="BM70" i="1"/>
  <c r="BK70" i="1"/>
  <c r="BJ70" i="1"/>
  <c r="BI70" i="1"/>
  <c r="BG70" i="1"/>
  <c r="AP70" i="1"/>
  <c r="BC70" i="1"/>
  <c r="BB70" i="1"/>
  <c r="AK70" i="1"/>
  <c r="AI70" i="1"/>
  <c r="L70" i="1"/>
  <c r="AY70" i="1"/>
  <c r="AX70" i="1"/>
  <c r="BA70" i="1"/>
  <c r="AV70" i="1"/>
  <c r="AZ70" i="1"/>
  <c r="AJ70" i="1"/>
  <c r="U70" i="1"/>
  <c r="K70" i="1"/>
  <c r="J70" i="1"/>
  <c r="R70" i="1"/>
  <c r="V70" i="1"/>
  <c r="W70" i="1"/>
  <c r="AE70" i="1"/>
  <c r="AC70" i="1"/>
  <c r="AD70" i="1"/>
  <c r="AF70" i="1"/>
  <c r="X70" i="1"/>
  <c r="AB70" i="1"/>
  <c r="AA70" i="1"/>
  <c r="Z70" i="1"/>
  <c r="Y70" i="1"/>
  <c r="S70" i="1"/>
  <c r="Q70" i="1"/>
  <c r="T70" i="1"/>
  <c r="P70" i="1"/>
  <c r="M70" i="1"/>
  <c r="N70" i="1"/>
  <c r="O70" i="1"/>
  <c r="CY69" i="1"/>
  <c r="CX69" i="1"/>
  <c r="CV69" i="1"/>
  <c r="CW69" i="1"/>
  <c r="BF69" i="1"/>
  <c r="BH69" i="1"/>
  <c r="BL69" i="1"/>
  <c r="BM69" i="1"/>
  <c r="BK69" i="1"/>
  <c r="BJ69" i="1"/>
  <c r="BI69" i="1"/>
  <c r="BG69" i="1"/>
  <c r="AP69" i="1"/>
  <c r="BC69" i="1"/>
  <c r="BB69" i="1"/>
  <c r="AK69" i="1"/>
  <c r="AI69" i="1"/>
  <c r="L69" i="1"/>
  <c r="AY69" i="1"/>
  <c r="AX69" i="1"/>
  <c r="BA69" i="1"/>
  <c r="AV69" i="1"/>
  <c r="AZ69" i="1"/>
  <c r="AJ69" i="1"/>
  <c r="U69" i="1"/>
  <c r="K69" i="1"/>
  <c r="J69" i="1"/>
  <c r="R69" i="1"/>
  <c r="V69" i="1"/>
  <c r="W69" i="1"/>
  <c r="AE69" i="1"/>
  <c r="AC69" i="1"/>
  <c r="AD69" i="1"/>
  <c r="AF69" i="1"/>
  <c r="X69" i="1"/>
  <c r="AB69" i="1"/>
  <c r="AA69" i="1"/>
  <c r="Z69" i="1"/>
  <c r="Y69" i="1"/>
  <c r="S69" i="1"/>
  <c r="Q69" i="1"/>
  <c r="T69" i="1"/>
  <c r="P69" i="1"/>
  <c r="M69" i="1"/>
  <c r="N69" i="1"/>
  <c r="O69" i="1"/>
  <c r="CY68" i="1"/>
  <c r="CX68" i="1"/>
  <c r="CV68" i="1"/>
  <c r="CW68" i="1"/>
  <c r="BF68" i="1"/>
  <c r="BH68" i="1"/>
  <c r="BL68" i="1"/>
  <c r="BM68" i="1"/>
  <c r="BK68" i="1"/>
  <c r="BJ68" i="1"/>
  <c r="BI68" i="1"/>
  <c r="BG68" i="1"/>
  <c r="AP68" i="1"/>
  <c r="BC68" i="1"/>
  <c r="BB68" i="1"/>
  <c r="AK68" i="1"/>
  <c r="AI68" i="1"/>
  <c r="L68" i="1"/>
  <c r="AY68" i="1"/>
  <c r="AX68" i="1"/>
  <c r="BA68" i="1"/>
  <c r="AV68" i="1"/>
  <c r="AZ68" i="1"/>
  <c r="AJ68" i="1"/>
  <c r="U68" i="1"/>
  <c r="K68" i="1"/>
  <c r="J68" i="1"/>
  <c r="R68" i="1"/>
  <c r="V68" i="1"/>
  <c r="W68" i="1"/>
  <c r="AE68" i="1"/>
  <c r="AC68" i="1"/>
  <c r="AD68" i="1"/>
  <c r="AF68" i="1"/>
  <c r="X68" i="1"/>
  <c r="AB68" i="1"/>
  <c r="AA68" i="1"/>
  <c r="Z68" i="1"/>
  <c r="Y68" i="1"/>
  <c r="S68" i="1"/>
  <c r="Q68" i="1"/>
  <c r="T68" i="1"/>
  <c r="P68" i="1"/>
  <c r="M68" i="1"/>
  <c r="N68" i="1"/>
  <c r="O68" i="1"/>
  <c r="CY67" i="1"/>
  <c r="CX67" i="1"/>
  <c r="CV67" i="1"/>
  <c r="CW67" i="1"/>
  <c r="BF67" i="1"/>
  <c r="BH67" i="1"/>
  <c r="BL67" i="1"/>
  <c r="BM67" i="1"/>
  <c r="BK67" i="1"/>
  <c r="BJ67" i="1"/>
  <c r="BI67" i="1"/>
  <c r="BG67" i="1"/>
  <c r="AP67" i="1"/>
  <c r="BC67" i="1"/>
  <c r="BB67" i="1"/>
  <c r="AK67" i="1"/>
  <c r="AI67" i="1"/>
  <c r="L67" i="1"/>
  <c r="AY67" i="1"/>
  <c r="AX67" i="1"/>
  <c r="BA67" i="1"/>
  <c r="AV67" i="1"/>
  <c r="AZ67" i="1"/>
  <c r="AJ67" i="1"/>
  <c r="U67" i="1"/>
  <c r="K67" i="1"/>
  <c r="J67" i="1"/>
  <c r="R67" i="1"/>
  <c r="V67" i="1"/>
  <c r="W67" i="1"/>
  <c r="AE67" i="1"/>
  <c r="AC67" i="1"/>
  <c r="AD67" i="1"/>
  <c r="AF67" i="1"/>
  <c r="X67" i="1"/>
  <c r="AB67" i="1"/>
  <c r="AA67" i="1"/>
  <c r="Z67" i="1"/>
  <c r="Y67" i="1"/>
  <c r="S67" i="1"/>
  <c r="Q67" i="1"/>
  <c r="T67" i="1"/>
  <c r="P67" i="1"/>
  <c r="M67" i="1"/>
  <c r="N67" i="1"/>
  <c r="O67" i="1"/>
  <c r="CY66" i="1"/>
  <c r="CX66" i="1"/>
  <c r="CV66" i="1"/>
  <c r="CW66" i="1"/>
  <c r="BF66" i="1"/>
  <c r="BH66" i="1"/>
  <c r="BL66" i="1"/>
  <c r="BM66" i="1"/>
  <c r="BK66" i="1"/>
  <c r="BJ66" i="1"/>
  <c r="BI66" i="1"/>
  <c r="BG66" i="1"/>
  <c r="AP66" i="1"/>
  <c r="BC66" i="1"/>
  <c r="BB66" i="1"/>
  <c r="AK66" i="1"/>
  <c r="AI66" i="1"/>
  <c r="L66" i="1"/>
  <c r="AY66" i="1"/>
  <c r="AX66" i="1"/>
  <c r="BA66" i="1"/>
  <c r="AV66" i="1"/>
  <c r="AZ66" i="1"/>
  <c r="AJ66" i="1"/>
  <c r="U66" i="1"/>
  <c r="K66" i="1"/>
  <c r="J66" i="1"/>
  <c r="R66" i="1"/>
  <c r="V66" i="1"/>
  <c r="W66" i="1"/>
  <c r="AE66" i="1"/>
  <c r="AC66" i="1"/>
  <c r="AD66" i="1"/>
  <c r="AF66" i="1"/>
  <c r="X66" i="1"/>
  <c r="AB66" i="1"/>
  <c r="AA66" i="1"/>
  <c r="Z66" i="1"/>
  <c r="Y66" i="1"/>
  <c r="S66" i="1"/>
  <c r="Q66" i="1"/>
  <c r="T66" i="1"/>
  <c r="P66" i="1"/>
  <c r="M66" i="1"/>
  <c r="N66" i="1"/>
  <c r="O66" i="1"/>
  <c r="CY65" i="1"/>
  <c r="CX65" i="1"/>
  <c r="CV65" i="1"/>
  <c r="CW65" i="1"/>
  <c r="BF65" i="1"/>
  <c r="BH65" i="1"/>
  <c r="BL65" i="1"/>
  <c r="BM65" i="1"/>
  <c r="BK65" i="1"/>
  <c r="BJ65" i="1"/>
  <c r="BI65" i="1"/>
  <c r="BG65" i="1"/>
  <c r="AP65" i="1"/>
  <c r="BC65" i="1"/>
  <c r="BB65" i="1"/>
  <c r="AK65" i="1"/>
  <c r="AI65" i="1"/>
  <c r="L65" i="1"/>
  <c r="AY65" i="1"/>
  <c r="AX65" i="1"/>
  <c r="BA65" i="1"/>
  <c r="AV65" i="1"/>
  <c r="AZ65" i="1"/>
  <c r="AJ65" i="1"/>
  <c r="U65" i="1"/>
  <c r="K65" i="1"/>
  <c r="J65" i="1"/>
  <c r="R65" i="1"/>
  <c r="V65" i="1"/>
  <c r="W65" i="1"/>
  <c r="AE65" i="1"/>
  <c r="AC65" i="1"/>
  <c r="AD65" i="1"/>
  <c r="AF65" i="1"/>
  <c r="X65" i="1"/>
  <c r="AB65" i="1"/>
  <c r="AA65" i="1"/>
  <c r="Z65" i="1"/>
  <c r="Y65" i="1"/>
  <c r="S65" i="1"/>
  <c r="Q65" i="1"/>
  <c r="T65" i="1"/>
  <c r="P65" i="1"/>
  <c r="M65" i="1"/>
  <c r="N65" i="1"/>
  <c r="O65" i="1"/>
  <c r="CY64" i="1"/>
  <c r="CX64" i="1"/>
  <c r="CV64" i="1"/>
  <c r="CW64" i="1"/>
  <c r="BF64" i="1"/>
  <c r="BH64" i="1"/>
  <c r="BL64" i="1"/>
  <c r="BM64" i="1"/>
  <c r="BK64" i="1"/>
  <c r="BJ64" i="1"/>
  <c r="BI64" i="1"/>
  <c r="BG64" i="1"/>
  <c r="AP64" i="1"/>
  <c r="BC64" i="1"/>
  <c r="BB64" i="1"/>
  <c r="AK64" i="1"/>
  <c r="AI64" i="1"/>
  <c r="L64" i="1"/>
  <c r="AY64" i="1"/>
  <c r="AX64" i="1"/>
  <c r="BA64" i="1"/>
  <c r="AV64" i="1"/>
  <c r="AZ64" i="1"/>
  <c r="AJ64" i="1"/>
  <c r="U64" i="1"/>
  <c r="K64" i="1"/>
  <c r="J64" i="1"/>
  <c r="R64" i="1"/>
  <c r="V64" i="1"/>
  <c r="W64" i="1"/>
  <c r="AE64" i="1"/>
  <c r="AC64" i="1"/>
  <c r="AD64" i="1"/>
  <c r="AF64" i="1"/>
  <c r="X64" i="1"/>
  <c r="AB64" i="1"/>
  <c r="AA64" i="1"/>
  <c r="Z64" i="1"/>
  <c r="Y64" i="1"/>
  <c r="S64" i="1"/>
  <c r="Q64" i="1"/>
  <c r="T64" i="1"/>
  <c r="P64" i="1"/>
  <c r="M64" i="1"/>
  <c r="N64" i="1"/>
  <c r="O64" i="1"/>
  <c r="CY63" i="1"/>
  <c r="CX63" i="1"/>
  <c r="CV63" i="1"/>
  <c r="CW63" i="1"/>
  <c r="BF63" i="1"/>
  <c r="BH63" i="1"/>
  <c r="BL63" i="1"/>
  <c r="BM63" i="1"/>
  <c r="BK63" i="1"/>
  <c r="BJ63" i="1"/>
  <c r="BI63" i="1"/>
  <c r="BG63" i="1"/>
  <c r="AP63" i="1"/>
  <c r="BC63" i="1"/>
  <c r="BB63" i="1"/>
  <c r="AK63" i="1"/>
  <c r="AI63" i="1"/>
  <c r="L63" i="1"/>
  <c r="AY63" i="1"/>
  <c r="AX63" i="1"/>
  <c r="BA63" i="1"/>
  <c r="AV63" i="1"/>
  <c r="AZ63" i="1"/>
  <c r="AJ63" i="1"/>
  <c r="U63" i="1"/>
  <c r="K63" i="1"/>
  <c r="J63" i="1"/>
  <c r="R63" i="1"/>
  <c r="V63" i="1"/>
  <c r="W63" i="1"/>
  <c r="AE63" i="1"/>
  <c r="AC63" i="1"/>
  <c r="AD63" i="1"/>
  <c r="AF63" i="1"/>
  <c r="X63" i="1"/>
  <c r="AB63" i="1"/>
  <c r="AA63" i="1"/>
  <c r="Z63" i="1"/>
  <c r="Y63" i="1"/>
  <c r="S63" i="1"/>
  <c r="Q63" i="1"/>
  <c r="T63" i="1"/>
  <c r="P63" i="1"/>
  <c r="M63" i="1"/>
  <c r="N63" i="1"/>
  <c r="O63" i="1"/>
  <c r="CY62" i="1"/>
  <c r="CX62" i="1"/>
  <c r="CV62" i="1"/>
  <c r="CW62" i="1"/>
  <c r="BF62" i="1"/>
  <c r="BH62" i="1"/>
  <c r="BL62" i="1"/>
  <c r="BM62" i="1"/>
  <c r="BK62" i="1"/>
  <c r="BJ62" i="1"/>
  <c r="BI62" i="1"/>
  <c r="BG62" i="1"/>
  <c r="AP62" i="1"/>
  <c r="BC62" i="1"/>
  <c r="BB62" i="1"/>
  <c r="AK62" i="1"/>
  <c r="AI62" i="1"/>
  <c r="L62" i="1"/>
  <c r="AY62" i="1"/>
  <c r="AX62" i="1"/>
  <c r="BA62" i="1"/>
  <c r="AV62" i="1"/>
  <c r="AZ62" i="1"/>
  <c r="AJ62" i="1"/>
  <c r="U62" i="1"/>
  <c r="K62" i="1"/>
  <c r="J62" i="1"/>
  <c r="R62" i="1"/>
  <c r="V62" i="1"/>
  <c r="W62" i="1"/>
  <c r="AE62" i="1"/>
  <c r="AC62" i="1"/>
  <c r="AD62" i="1"/>
  <c r="AF62" i="1"/>
  <c r="X62" i="1"/>
  <c r="AB62" i="1"/>
  <c r="AA62" i="1"/>
  <c r="Z62" i="1"/>
  <c r="Y62" i="1"/>
  <c r="S62" i="1"/>
  <c r="Q62" i="1"/>
  <c r="T62" i="1"/>
  <c r="P62" i="1"/>
  <c r="M62" i="1"/>
  <c r="N62" i="1"/>
  <c r="O62" i="1"/>
  <c r="CY61" i="1"/>
  <c r="CX61" i="1"/>
  <c r="CV61" i="1"/>
  <c r="CW61" i="1"/>
  <c r="BF61" i="1"/>
  <c r="BH61" i="1"/>
  <c r="BL61" i="1"/>
  <c r="BM61" i="1"/>
  <c r="BK61" i="1"/>
  <c r="BJ61" i="1"/>
  <c r="BI61" i="1"/>
  <c r="BG61" i="1"/>
  <c r="AP61" i="1"/>
  <c r="BC61" i="1"/>
  <c r="BB61" i="1"/>
  <c r="AK61" i="1"/>
  <c r="AI61" i="1"/>
  <c r="L61" i="1"/>
  <c r="AY61" i="1"/>
  <c r="AX61" i="1"/>
  <c r="BA61" i="1"/>
  <c r="AV61" i="1"/>
  <c r="AZ61" i="1"/>
  <c r="AJ61" i="1"/>
  <c r="U61" i="1"/>
  <c r="K61" i="1"/>
  <c r="J61" i="1"/>
  <c r="R61" i="1"/>
  <c r="V61" i="1"/>
  <c r="W61" i="1"/>
  <c r="AE61" i="1"/>
  <c r="AC61" i="1"/>
  <c r="AD61" i="1"/>
  <c r="AF61" i="1"/>
  <c r="X61" i="1"/>
  <c r="AB61" i="1"/>
  <c r="AA61" i="1"/>
  <c r="Z61" i="1"/>
  <c r="Y61" i="1"/>
  <c r="S61" i="1"/>
  <c r="Q61" i="1"/>
  <c r="T61" i="1"/>
  <c r="P61" i="1"/>
  <c r="M61" i="1"/>
  <c r="N61" i="1"/>
  <c r="O61" i="1"/>
  <c r="CY60" i="1"/>
  <c r="CX60" i="1"/>
  <c r="CV60" i="1"/>
  <c r="CW60" i="1"/>
  <c r="BF60" i="1"/>
  <c r="BH60" i="1"/>
  <c r="BL60" i="1"/>
  <c r="BM60" i="1"/>
  <c r="BK60" i="1"/>
  <c r="BJ60" i="1"/>
  <c r="BI60" i="1"/>
  <c r="BG60" i="1"/>
  <c r="AP60" i="1"/>
  <c r="BC60" i="1"/>
  <c r="BB60" i="1"/>
  <c r="AK60" i="1"/>
  <c r="AI60" i="1"/>
  <c r="L60" i="1"/>
  <c r="AY60" i="1"/>
  <c r="AX60" i="1"/>
  <c r="BA60" i="1"/>
  <c r="AV60" i="1"/>
  <c r="AZ60" i="1"/>
  <c r="AJ60" i="1"/>
  <c r="U60" i="1"/>
  <c r="K60" i="1"/>
  <c r="J60" i="1"/>
  <c r="R60" i="1"/>
  <c r="V60" i="1"/>
  <c r="W60" i="1"/>
  <c r="AE60" i="1"/>
  <c r="AC60" i="1"/>
  <c r="AD60" i="1"/>
  <c r="AF60" i="1"/>
  <c r="X60" i="1"/>
  <c r="AB60" i="1"/>
  <c r="AA60" i="1"/>
  <c r="Z60" i="1"/>
  <c r="Y60" i="1"/>
  <c r="S60" i="1"/>
  <c r="Q60" i="1"/>
  <c r="T60" i="1"/>
  <c r="P60" i="1"/>
  <c r="M60" i="1"/>
  <c r="N60" i="1"/>
  <c r="O60" i="1"/>
  <c r="CY59" i="1"/>
  <c r="CX59" i="1"/>
  <c r="CV59" i="1"/>
  <c r="CW59" i="1"/>
  <c r="BF59" i="1"/>
  <c r="BH59" i="1"/>
  <c r="BL59" i="1"/>
  <c r="BM59" i="1"/>
  <c r="BK59" i="1"/>
  <c r="BJ59" i="1"/>
  <c r="BI59" i="1"/>
  <c r="BG59" i="1"/>
  <c r="AP59" i="1"/>
  <c r="BC59" i="1"/>
  <c r="BB59" i="1"/>
  <c r="AK59" i="1"/>
  <c r="AI59" i="1"/>
  <c r="L59" i="1"/>
  <c r="AY59" i="1"/>
  <c r="AX59" i="1"/>
  <c r="BA59" i="1"/>
  <c r="AV59" i="1"/>
  <c r="AZ59" i="1"/>
  <c r="AJ59" i="1"/>
  <c r="U59" i="1"/>
  <c r="K59" i="1"/>
  <c r="J59" i="1"/>
  <c r="R59" i="1"/>
  <c r="V59" i="1"/>
  <c r="W59" i="1"/>
  <c r="AE59" i="1"/>
  <c r="AC59" i="1"/>
  <c r="AD59" i="1"/>
  <c r="AF59" i="1"/>
  <c r="X59" i="1"/>
  <c r="AB59" i="1"/>
  <c r="AA59" i="1"/>
  <c r="Z59" i="1"/>
  <c r="Y59" i="1"/>
  <c r="S59" i="1"/>
  <c r="Q59" i="1"/>
  <c r="T59" i="1"/>
  <c r="P59" i="1"/>
  <c r="M59" i="1"/>
  <c r="N59" i="1"/>
  <c r="O59" i="1"/>
  <c r="CY58" i="1"/>
  <c r="CX58" i="1"/>
  <c r="CV58" i="1"/>
  <c r="CW58" i="1"/>
  <c r="BF58" i="1"/>
  <c r="BH58" i="1"/>
  <c r="BL58" i="1"/>
  <c r="BM58" i="1"/>
  <c r="BK58" i="1"/>
  <c r="BJ58" i="1"/>
  <c r="BI58" i="1"/>
  <c r="BG58" i="1"/>
  <c r="AP58" i="1"/>
  <c r="BC58" i="1"/>
  <c r="BB58" i="1"/>
  <c r="AK58" i="1"/>
  <c r="AI58" i="1"/>
  <c r="L58" i="1"/>
  <c r="AY58" i="1"/>
  <c r="AX58" i="1"/>
  <c r="BA58" i="1"/>
  <c r="AV58" i="1"/>
  <c r="AZ58" i="1"/>
  <c r="AJ58" i="1"/>
  <c r="U58" i="1"/>
  <c r="K58" i="1"/>
  <c r="J58" i="1"/>
  <c r="R58" i="1"/>
  <c r="V58" i="1"/>
  <c r="W58" i="1"/>
  <c r="AE58" i="1"/>
  <c r="AC58" i="1"/>
  <c r="AD58" i="1"/>
  <c r="AF58" i="1"/>
  <c r="X58" i="1"/>
  <c r="AB58" i="1"/>
  <c r="AA58" i="1"/>
  <c r="Z58" i="1"/>
  <c r="Y58" i="1"/>
  <c r="S58" i="1"/>
  <c r="Q58" i="1"/>
  <c r="T58" i="1"/>
  <c r="P58" i="1"/>
  <c r="M58" i="1"/>
  <c r="N58" i="1"/>
  <c r="O58" i="1"/>
  <c r="CY57" i="1"/>
  <c r="CX57" i="1"/>
  <c r="CV57" i="1"/>
  <c r="CW57" i="1"/>
  <c r="BF57" i="1"/>
  <c r="BH57" i="1"/>
  <c r="BL57" i="1"/>
  <c r="BM57" i="1"/>
  <c r="BK57" i="1"/>
  <c r="BJ57" i="1"/>
  <c r="BI57" i="1"/>
  <c r="BG57" i="1"/>
  <c r="AP57" i="1"/>
  <c r="BC57" i="1"/>
  <c r="BB57" i="1"/>
  <c r="AK57" i="1"/>
  <c r="AI57" i="1"/>
  <c r="L57" i="1"/>
  <c r="AY57" i="1"/>
  <c r="AX57" i="1"/>
  <c r="BA57" i="1"/>
  <c r="AV57" i="1"/>
  <c r="AZ57" i="1"/>
  <c r="AJ57" i="1"/>
  <c r="U57" i="1"/>
  <c r="K57" i="1"/>
  <c r="J57" i="1"/>
  <c r="R57" i="1"/>
  <c r="V57" i="1"/>
  <c r="W57" i="1"/>
  <c r="AE57" i="1"/>
  <c r="AC57" i="1"/>
  <c r="AD57" i="1"/>
  <c r="AF57" i="1"/>
  <c r="X57" i="1"/>
  <c r="AB57" i="1"/>
  <c r="AA57" i="1"/>
  <c r="Z57" i="1"/>
  <c r="Y57" i="1"/>
  <c r="S57" i="1"/>
  <c r="Q57" i="1"/>
  <c r="T57" i="1"/>
  <c r="P57" i="1"/>
  <c r="M57" i="1"/>
  <c r="N57" i="1"/>
  <c r="O57" i="1"/>
  <c r="CY56" i="1"/>
  <c r="CX56" i="1"/>
  <c r="CV56" i="1"/>
  <c r="CW56" i="1"/>
  <c r="BF56" i="1"/>
  <c r="BH56" i="1"/>
  <c r="BL56" i="1"/>
  <c r="BM56" i="1"/>
  <c r="BK56" i="1"/>
  <c r="BJ56" i="1"/>
  <c r="BI56" i="1"/>
  <c r="BG56" i="1"/>
  <c r="AP56" i="1"/>
  <c r="BC56" i="1"/>
  <c r="BB56" i="1"/>
  <c r="AK56" i="1"/>
  <c r="AI56" i="1"/>
  <c r="L56" i="1"/>
  <c r="AY56" i="1"/>
  <c r="AX56" i="1"/>
  <c r="BA56" i="1"/>
  <c r="AV56" i="1"/>
  <c r="AZ56" i="1"/>
  <c r="AJ56" i="1"/>
  <c r="U56" i="1"/>
  <c r="K56" i="1"/>
  <c r="J56" i="1"/>
  <c r="R56" i="1"/>
  <c r="V56" i="1"/>
  <c r="W56" i="1"/>
  <c r="AE56" i="1"/>
  <c r="AC56" i="1"/>
  <c r="AD56" i="1"/>
  <c r="AF56" i="1"/>
  <c r="X56" i="1"/>
  <c r="AB56" i="1"/>
  <c r="AA56" i="1"/>
  <c r="Z56" i="1"/>
  <c r="Y56" i="1"/>
  <c r="S56" i="1"/>
  <c r="Q56" i="1"/>
  <c r="T56" i="1"/>
  <c r="P56" i="1"/>
  <c r="M56" i="1"/>
  <c r="N56" i="1"/>
  <c r="O56" i="1"/>
  <c r="CY55" i="1"/>
  <c r="CX55" i="1"/>
  <c r="CV55" i="1"/>
  <c r="CW55" i="1"/>
  <c r="BF55" i="1"/>
  <c r="BH55" i="1"/>
  <c r="BL55" i="1"/>
  <c r="BM55" i="1"/>
  <c r="BK55" i="1"/>
  <c r="BJ55" i="1"/>
  <c r="BI55" i="1"/>
  <c r="BG55" i="1"/>
  <c r="AP55" i="1"/>
  <c r="BC55" i="1"/>
  <c r="BB55" i="1"/>
  <c r="AK55" i="1"/>
  <c r="AI55" i="1"/>
  <c r="L55" i="1"/>
  <c r="AY55" i="1"/>
  <c r="AX55" i="1"/>
  <c r="BA55" i="1"/>
  <c r="AV55" i="1"/>
  <c r="AZ55" i="1"/>
  <c r="AJ55" i="1"/>
  <c r="U55" i="1"/>
  <c r="K55" i="1"/>
  <c r="J55" i="1"/>
  <c r="R55" i="1"/>
  <c r="V55" i="1"/>
  <c r="W55" i="1"/>
  <c r="AE55" i="1"/>
  <c r="AC55" i="1"/>
  <c r="AD55" i="1"/>
  <c r="AF55" i="1"/>
  <c r="X55" i="1"/>
  <c r="AB55" i="1"/>
  <c r="AA55" i="1"/>
  <c r="Z55" i="1"/>
  <c r="Y55" i="1"/>
  <c r="S55" i="1"/>
  <c r="Q55" i="1"/>
  <c r="T55" i="1"/>
  <c r="P55" i="1"/>
  <c r="M55" i="1"/>
  <c r="N55" i="1"/>
  <c r="O55" i="1"/>
  <c r="CY54" i="1"/>
  <c r="CX54" i="1"/>
  <c r="CV54" i="1"/>
  <c r="CW54" i="1"/>
  <c r="BF54" i="1"/>
  <c r="BH54" i="1"/>
  <c r="BL54" i="1"/>
  <c r="BM54" i="1"/>
  <c r="BK54" i="1"/>
  <c r="BJ54" i="1"/>
  <c r="BI54" i="1"/>
  <c r="BG54" i="1"/>
  <c r="AP54" i="1"/>
  <c r="BC54" i="1"/>
  <c r="BB54" i="1"/>
  <c r="AK54" i="1"/>
  <c r="AI54" i="1"/>
  <c r="L54" i="1"/>
  <c r="AY54" i="1"/>
  <c r="AX54" i="1"/>
  <c r="BA54" i="1"/>
  <c r="AV54" i="1"/>
  <c r="AZ54" i="1"/>
  <c r="AJ54" i="1"/>
  <c r="U54" i="1"/>
  <c r="K54" i="1"/>
  <c r="J54" i="1"/>
  <c r="R54" i="1"/>
  <c r="V54" i="1"/>
  <c r="W54" i="1"/>
  <c r="AE54" i="1"/>
  <c r="AC54" i="1"/>
  <c r="AD54" i="1"/>
  <c r="AF54" i="1"/>
  <c r="X54" i="1"/>
  <c r="AB54" i="1"/>
  <c r="AA54" i="1"/>
  <c r="Z54" i="1"/>
  <c r="Y54" i="1"/>
  <c r="S54" i="1"/>
  <c r="Q54" i="1"/>
  <c r="T54" i="1"/>
  <c r="P54" i="1"/>
  <c r="M54" i="1"/>
  <c r="N54" i="1"/>
  <c r="O54" i="1"/>
  <c r="CY53" i="1"/>
  <c r="CX53" i="1"/>
  <c r="CV53" i="1"/>
  <c r="CW53" i="1"/>
  <c r="BF53" i="1"/>
  <c r="BH53" i="1"/>
  <c r="BL53" i="1"/>
  <c r="BM53" i="1"/>
  <c r="BK53" i="1"/>
  <c r="BJ53" i="1"/>
  <c r="BI53" i="1"/>
  <c r="BG53" i="1"/>
  <c r="AP53" i="1"/>
  <c r="BC53" i="1"/>
  <c r="BB53" i="1"/>
  <c r="AK53" i="1"/>
  <c r="AI53" i="1"/>
  <c r="L53" i="1"/>
  <c r="AY53" i="1"/>
  <c r="AX53" i="1"/>
  <c r="BA53" i="1"/>
  <c r="AV53" i="1"/>
  <c r="AZ53" i="1"/>
  <c r="AJ53" i="1"/>
  <c r="U53" i="1"/>
  <c r="K53" i="1"/>
  <c r="J53" i="1"/>
  <c r="R53" i="1"/>
  <c r="V53" i="1"/>
  <c r="W53" i="1"/>
  <c r="AE53" i="1"/>
  <c r="AC53" i="1"/>
  <c r="AD53" i="1"/>
  <c r="AF53" i="1"/>
  <c r="X53" i="1"/>
  <c r="AB53" i="1"/>
  <c r="AA53" i="1"/>
  <c r="Z53" i="1"/>
  <c r="Y53" i="1"/>
  <c r="S53" i="1"/>
  <c r="Q53" i="1"/>
  <c r="T53" i="1"/>
  <c r="P53" i="1"/>
  <c r="M53" i="1"/>
  <c r="N53" i="1"/>
  <c r="O53" i="1"/>
  <c r="CY52" i="1"/>
  <c r="CX52" i="1"/>
  <c r="CV52" i="1"/>
  <c r="CW52" i="1"/>
  <c r="BF52" i="1"/>
  <c r="BH52" i="1"/>
  <c r="BL52" i="1"/>
  <c r="BM52" i="1"/>
  <c r="BK52" i="1"/>
  <c r="BJ52" i="1"/>
  <c r="BI52" i="1"/>
  <c r="BG52" i="1"/>
  <c r="AP52" i="1"/>
  <c r="BC52" i="1"/>
  <c r="BB52" i="1"/>
  <c r="AK52" i="1"/>
  <c r="AI52" i="1"/>
  <c r="L52" i="1"/>
  <c r="AY52" i="1"/>
  <c r="AX52" i="1"/>
  <c r="BA52" i="1"/>
  <c r="AV52" i="1"/>
  <c r="AZ52" i="1"/>
  <c r="AJ52" i="1"/>
  <c r="U52" i="1"/>
  <c r="K52" i="1"/>
  <c r="J52" i="1"/>
  <c r="R52" i="1"/>
  <c r="V52" i="1"/>
  <c r="W52" i="1"/>
  <c r="AE52" i="1"/>
  <c r="AC52" i="1"/>
  <c r="AD52" i="1"/>
  <c r="AF52" i="1"/>
  <c r="X52" i="1"/>
  <c r="AB52" i="1"/>
  <c r="AA52" i="1"/>
  <c r="Z52" i="1"/>
  <c r="Y52" i="1"/>
  <c r="S52" i="1"/>
  <c r="Q52" i="1"/>
  <c r="T52" i="1"/>
  <c r="P52" i="1"/>
  <c r="M52" i="1"/>
  <c r="N52" i="1"/>
  <c r="O52" i="1"/>
  <c r="CY51" i="1"/>
  <c r="CX51" i="1"/>
  <c r="CV51" i="1"/>
  <c r="CW51" i="1"/>
  <c r="BF51" i="1"/>
  <c r="BH51" i="1"/>
  <c r="BL51" i="1"/>
  <c r="BM51" i="1"/>
  <c r="BK51" i="1"/>
  <c r="BJ51" i="1"/>
  <c r="BI51" i="1"/>
  <c r="BG51" i="1"/>
  <c r="AP51" i="1"/>
  <c r="BC51" i="1"/>
  <c r="BB51" i="1"/>
  <c r="AK51" i="1"/>
  <c r="AI51" i="1"/>
  <c r="L51" i="1"/>
  <c r="AY51" i="1"/>
  <c r="AX51" i="1"/>
  <c r="BA51" i="1"/>
  <c r="AV51" i="1"/>
  <c r="AZ51" i="1"/>
  <c r="AJ51" i="1"/>
  <c r="U51" i="1"/>
  <c r="K51" i="1"/>
  <c r="J51" i="1"/>
  <c r="R51" i="1"/>
  <c r="V51" i="1"/>
  <c r="W51" i="1"/>
  <c r="AE51" i="1"/>
  <c r="AC51" i="1"/>
  <c r="AD51" i="1"/>
  <c r="AF51" i="1"/>
  <c r="X51" i="1"/>
  <c r="AB51" i="1"/>
  <c r="AA51" i="1"/>
  <c r="Z51" i="1"/>
  <c r="Y51" i="1"/>
  <c r="S51" i="1"/>
  <c r="Q51" i="1"/>
  <c r="T51" i="1"/>
  <c r="P51" i="1"/>
  <c r="M51" i="1"/>
  <c r="N51" i="1"/>
  <c r="O51" i="1"/>
  <c r="CY50" i="1"/>
  <c r="CX50" i="1"/>
  <c r="CV50" i="1"/>
  <c r="CW50" i="1"/>
  <c r="BF50" i="1"/>
  <c r="BH50" i="1"/>
  <c r="BL50" i="1"/>
  <c r="BM50" i="1"/>
  <c r="BK50" i="1"/>
  <c r="BJ50" i="1"/>
  <c r="BI50" i="1"/>
  <c r="BG50" i="1"/>
  <c r="AP50" i="1"/>
  <c r="BC50" i="1"/>
  <c r="BB50" i="1"/>
  <c r="AK50" i="1"/>
  <c r="AI50" i="1"/>
  <c r="L50" i="1"/>
  <c r="AY50" i="1"/>
  <c r="AX50" i="1"/>
  <c r="BA50" i="1"/>
  <c r="AV50" i="1"/>
  <c r="AZ50" i="1"/>
  <c r="AJ50" i="1"/>
  <c r="U50" i="1"/>
  <c r="K50" i="1"/>
  <c r="J50" i="1"/>
  <c r="R50" i="1"/>
  <c r="V50" i="1"/>
  <c r="W50" i="1"/>
  <c r="AE50" i="1"/>
  <c r="AC50" i="1"/>
  <c r="AD50" i="1"/>
  <c r="AF50" i="1"/>
  <c r="X50" i="1"/>
  <c r="AB50" i="1"/>
  <c r="AA50" i="1"/>
  <c r="Z50" i="1"/>
  <c r="Y50" i="1"/>
  <c r="S50" i="1"/>
  <c r="Q50" i="1"/>
  <c r="T50" i="1"/>
  <c r="P50" i="1"/>
  <c r="M50" i="1"/>
  <c r="N50" i="1"/>
  <c r="O50" i="1"/>
  <c r="CY49" i="1"/>
  <c r="CX49" i="1"/>
  <c r="CV49" i="1"/>
  <c r="CW49" i="1"/>
  <c r="BF49" i="1"/>
  <c r="BH49" i="1"/>
  <c r="BL49" i="1"/>
  <c r="BM49" i="1"/>
  <c r="BK49" i="1"/>
  <c r="BJ49" i="1"/>
  <c r="BI49" i="1"/>
  <c r="BG49" i="1"/>
  <c r="AP49" i="1"/>
  <c r="BC49" i="1"/>
  <c r="BB49" i="1"/>
  <c r="AK49" i="1"/>
  <c r="AI49" i="1"/>
  <c r="L49" i="1"/>
  <c r="AY49" i="1"/>
  <c r="AX49" i="1"/>
  <c r="BA49" i="1"/>
  <c r="AV49" i="1"/>
  <c r="AZ49" i="1"/>
  <c r="AJ49" i="1"/>
  <c r="U49" i="1"/>
  <c r="K49" i="1"/>
  <c r="J49" i="1"/>
  <c r="R49" i="1"/>
  <c r="V49" i="1"/>
  <c r="W49" i="1"/>
  <c r="AE49" i="1"/>
  <c r="AC49" i="1"/>
  <c r="AD49" i="1"/>
  <c r="AF49" i="1"/>
  <c r="X49" i="1"/>
  <c r="AB49" i="1"/>
  <c r="AA49" i="1"/>
  <c r="Z49" i="1"/>
  <c r="Y49" i="1"/>
  <c r="S49" i="1"/>
  <c r="Q49" i="1"/>
  <c r="T49" i="1"/>
  <c r="P49" i="1"/>
  <c r="M49" i="1"/>
  <c r="N49" i="1"/>
  <c r="O49" i="1"/>
  <c r="CY48" i="1"/>
  <c r="CX48" i="1"/>
  <c r="CV48" i="1"/>
  <c r="CW48" i="1"/>
  <c r="BF48" i="1"/>
  <c r="BH48" i="1"/>
  <c r="BL48" i="1"/>
  <c r="BM48" i="1"/>
  <c r="BK48" i="1"/>
  <c r="BJ48" i="1"/>
  <c r="BI48" i="1"/>
  <c r="BG48" i="1"/>
  <c r="AP48" i="1"/>
  <c r="BC48" i="1"/>
  <c r="BB48" i="1"/>
  <c r="AK48" i="1"/>
  <c r="AI48" i="1"/>
  <c r="L48" i="1"/>
  <c r="AY48" i="1"/>
  <c r="AX48" i="1"/>
  <c r="BA48" i="1"/>
  <c r="AV48" i="1"/>
  <c r="AZ48" i="1"/>
  <c r="AJ48" i="1"/>
  <c r="U48" i="1"/>
  <c r="K48" i="1"/>
  <c r="J48" i="1"/>
  <c r="R48" i="1"/>
  <c r="V48" i="1"/>
  <c r="W48" i="1"/>
  <c r="AE48" i="1"/>
  <c r="AC48" i="1"/>
  <c r="AD48" i="1"/>
  <c r="AF48" i="1"/>
  <c r="X48" i="1"/>
  <c r="AB48" i="1"/>
  <c r="AA48" i="1"/>
  <c r="Z48" i="1"/>
  <c r="Y48" i="1"/>
  <c r="S48" i="1"/>
  <c r="Q48" i="1"/>
  <c r="T48" i="1"/>
  <c r="P48" i="1"/>
  <c r="M48" i="1"/>
  <c r="N48" i="1"/>
  <c r="O48" i="1"/>
  <c r="CY47" i="1"/>
  <c r="CX47" i="1"/>
  <c r="CV47" i="1"/>
  <c r="CW47" i="1"/>
  <c r="BF47" i="1"/>
  <c r="BH47" i="1"/>
  <c r="BL47" i="1"/>
  <c r="BM47" i="1"/>
  <c r="BK47" i="1"/>
  <c r="BJ47" i="1"/>
  <c r="BI47" i="1"/>
  <c r="BG47" i="1"/>
  <c r="AP47" i="1"/>
  <c r="BC47" i="1"/>
  <c r="BB47" i="1"/>
  <c r="AK47" i="1"/>
  <c r="AI47" i="1"/>
  <c r="L47" i="1"/>
  <c r="AY47" i="1"/>
  <c r="AX47" i="1"/>
  <c r="BA47" i="1"/>
  <c r="AV47" i="1"/>
  <c r="AZ47" i="1"/>
  <c r="AJ47" i="1"/>
  <c r="U47" i="1"/>
  <c r="K47" i="1"/>
  <c r="J47" i="1"/>
  <c r="R47" i="1"/>
  <c r="V47" i="1"/>
  <c r="W47" i="1"/>
  <c r="AE47" i="1"/>
  <c r="AC47" i="1"/>
  <c r="AD47" i="1"/>
  <c r="AF47" i="1"/>
  <c r="X47" i="1"/>
  <c r="AB47" i="1"/>
  <c r="AA47" i="1"/>
  <c r="Z47" i="1"/>
  <c r="Y47" i="1"/>
  <c r="S47" i="1"/>
  <c r="Q47" i="1"/>
  <c r="T47" i="1"/>
  <c r="P47" i="1"/>
  <c r="M47" i="1"/>
  <c r="N47" i="1"/>
  <c r="O47" i="1"/>
  <c r="CY46" i="1"/>
  <c r="CX46" i="1"/>
  <c r="CV46" i="1"/>
  <c r="CW46" i="1"/>
  <c r="BF46" i="1"/>
  <c r="BH46" i="1"/>
  <c r="BL46" i="1"/>
  <c r="BM46" i="1"/>
  <c r="BK46" i="1"/>
  <c r="BJ46" i="1"/>
  <c r="BI46" i="1"/>
  <c r="BG46" i="1"/>
  <c r="AP46" i="1"/>
  <c r="BC46" i="1"/>
  <c r="BB46" i="1"/>
  <c r="AK46" i="1"/>
  <c r="AI46" i="1"/>
  <c r="L46" i="1"/>
  <c r="AY46" i="1"/>
  <c r="AX46" i="1"/>
  <c r="BA46" i="1"/>
  <c r="AV46" i="1"/>
  <c r="AZ46" i="1"/>
  <c r="AJ46" i="1"/>
  <c r="U46" i="1"/>
  <c r="K46" i="1"/>
  <c r="J46" i="1"/>
  <c r="R46" i="1"/>
  <c r="V46" i="1"/>
  <c r="W46" i="1"/>
  <c r="AE46" i="1"/>
  <c r="AC46" i="1"/>
  <c r="AD46" i="1"/>
  <c r="AF46" i="1"/>
  <c r="X46" i="1"/>
  <c r="AB46" i="1"/>
  <c r="AA46" i="1"/>
  <c r="Z46" i="1"/>
  <c r="Y46" i="1"/>
  <c r="S46" i="1"/>
  <c r="Q46" i="1"/>
  <c r="T46" i="1"/>
  <c r="P46" i="1"/>
  <c r="M46" i="1"/>
  <c r="N46" i="1"/>
  <c r="O46" i="1"/>
  <c r="CY45" i="1"/>
  <c r="CX45" i="1"/>
  <c r="CV45" i="1"/>
  <c r="CW45" i="1"/>
  <c r="BF45" i="1"/>
  <c r="BH45" i="1"/>
  <c r="BL45" i="1"/>
  <c r="BM45" i="1"/>
  <c r="BK45" i="1"/>
  <c r="BJ45" i="1"/>
  <c r="BI45" i="1"/>
  <c r="BG45" i="1"/>
  <c r="AP45" i="1"/>
  <c r="BC45" i="1"/>
  <c r="BB45" i="1"/>
  <c r="AK45" i="1"/>
  <c r="AI45" i="1"/>
  <c r="L45" i="1"/>
  <c r="AY45" i="1"/>
  <c r="AX45" i="1"/>
  <c r="BA45" i="1"/>
  <c r="AV45" i="1"/>
  <c r="AZ45" i="1"/>
  <c r="AJ45" i="1"/>
  <c r="U45" i="1"/>
  <c r="K45" i="1"/>
  <c r="J45" i="1"/>
  <c r="R45" i="1"/>
  <c r="V45" i="1"/>
  <c r="W45" i="1"/>
  <c r="AE45" i="1"/>
  <c r="AC45" i="1"/>
  <c r="AD45" i="1"/>
  <c r="AF45" i="1"/>
  <c r="X45" i="1"/>
  <c r="AB45" i="1"/>
  <c r="AA45" i="1"/>
  <c r="Z45" i="1"/>
  <c r="Y45" i="1"/>
  <c r="S45" i="1"/>
  <c r="Q45" i="1"/>
  <c r="T45" i="1"/>
  <c r="P45" i="1"/>
  <c r="M45" i="1"/>
  <c r="N45" i="1"/>
  <c r="O45" i="1"/>
  <c r="CY44" i="1"/>
  <c r="CX44" i="1"/>
  <c r="CV44" i="1"/>
  <c r="CW44" i="1"/>
  <c r="BF44" i="1"/>
  <c r="BH44" i="1"/>
  <c r="BL44" i="1"/>
  <c r="BM44" i="1"/>
  <c r="BK44" i="1"/>
  <c r="BJ44" i="1"/>
  <c r="BI44" i="1"/>
  <c r="BG44" i="1"/>
  <c r="AP44" i="1"/>
  <c r="BC44" i="1"/>
  <c r="BB44" i="1"/>
  <c r="AK44" i="1"/>
  <c r="AI44" i="1"/>
  <c r="L44" i="1"/>
  <c r="AY44" i="1"/>
  <c r="AX44" i="1"/>
  <c r="BA44" i="1"/>
  <c r="AV44" i="1"/>
  <c r="AZ44" i="1"/>
  <c r="AJ44" i="1"/>
  <c r="U44" i="1"/>
  <c r="K44" i="1"/>
  <c r="J44" i="1"/>
  <c r="R44" i="1"/>
  <c r="V44" i="1"/>
  <c r="W44" i="1"/>
  <c r="AE44" i="1"/>
  <c r="AC44" i="1"/>
  <c r="AD44" i="1"/>
  <c r="AF44" i="1"/>
  <c r="X44" i="1"/>
  <c r="AB44" i="1"/>
  <c r="AA44" i="1"/>
  <c r="Z44" i="1"/>
  <c r="Y44" i="1"/>
  <c r="S44" i="1"/>
  <c r="Q44" i="1"/>
  <c r="T44" i="1"/>
  <c r="P44" i="1"/>
  <c r="M44" i="1"/>
  <c r="N44" i="1"/>
  <c r="O44" i="1"/>
  <c r="CY43" i="1"/>
  <c r="CX43" i="1"/>
  <c r="CV43" i="1"/>
  <c r="CW43" i="1"/>
  <c r="BF43" i="1"/>
  <c r="BH43" i="1"/>
  <c r="BL43" i="1"/>
  <c r="BM43" i="1"/>
  <c r="BK43" i="1"/>
  <c r="BJ43" i="1"/>
  <c r="BI43" i="1"/>
  <c r="BG43" i="1"/>
  <c r="AP43" i="1"/>
  <c r="BC43" i="1"/>
  <c r="BB43" i="1"/>
  <c r="AK43" i="1"/>
  <c r="AI43" i="1"/>
  <c r="L43" i="1"/>
  <c r="AY43" i="1"/>
  <c r="AX43" i="1"/>
  <c r="BA43" i="1"/>
  <c r="AV43" i="1"/>
  <c r="AZ43" i="1"/>
  <c r="AJ43" i="1"/>
  <c r="U43" i="1"/>
  <c r="K43" i="1"/>
  <c r="J43" i="1"/>
  <c r="R43" i="1"/>
  <c r="V43" i="1"/>
  <c r="W43" i="1"/>
  <c r="AE43" i="1"/>
  <c r="AC43" i="1"/>
  <c r="AD43" i="1"/>
  <c r="AF43" i="1"/>
  <c r="X43" i="1"/>
  <c r="AB43" i="1"/>
  <c r="AA43" i="1"/>
  <c r="Z43" i="1"/>
  <c r="Y43" i="1"/>
  <c r="S43" i="1"/>
  <c r="Q43" i="1"/>
  <c r="T43" i="1"/>
  <c r="P43" i="1"/>
  <c r="M43" i="1"/>
  <c r="N43" i="1"/>
  <c r="O43" i="1"/>
  <c r="CY42" i="1"/>
  <c r="CX42" i="1"/>
  <c r="CV42" i="1"/>
  <c r="CW42" i="1"/>
  <c r="BF42" i="1"/>
  <c r="BH42" i="1"/>
  <c r="BL42" i="1"/>
  <c r="BM42" i="1"/>
  <c r="BK42" i="1"/>
  <c r="BJ42" i="1"/>
  <c r="BI42" i="1"/>
  <c r="BG42" i="1"/>
  <c r="AP42" i="1"/>
  <c r="BC42" i="1"/>
  <c r="BB42" i="1"/>
  <c r="AK42" i="1"/>
  <c r="AI42" i="1"/>
  <c r="L42" i="1"/>
  <c r="AY42" i="1"/>
  <c r="AX42" i="1"/>
  <c r="BA42" i="1"/>
  <c r="AV42" i="1"/>
  <c r="AZ42" i="1"/>
  <c r="AJ42" i="1"/>
  <c r="U42" i="1"/>
  <c r="K42" i="1"/>
  <c r="J42" i="1"/>
  <c r="R42" i="1"/>
  <c r="V42" i="1"/>
  <c r="W42" i="1"/>
  <c r="AE42" i="1"/>
  <c r="AC42" i="1"/>
  <c r="AD42" i="1"/>
  <c r="AF42" i="1"/>
  <c r="X42" i="1"/>
  <c r="AB42" i="1"/>
  <c r="AA42" i="1"/>
  <c r="Z42" i="1"/>
  <c r="Y42" i="1"/>
  <c r="S42" i="1"/>
  <c r="Q42" i="1"/>
  <c r="T42" i="1"/>
  <c r="P42" i="1"/>
  <c r="M42" i="1"/>
  <c r="N42" i="1"/>
  <c r="O42" i="1"/>
  <c r="CY41" i="1"/>
  <c r="CX41" i="1"/>
  <c r="CV41" i="1"/>
  <c r="CW41" i="1"/>
  <c r="BF41" i="1"/>
  <c r="BH41" i="1"/>
  <c r="BL41" i="1"/>
  <c r="BM41" i="1"/>
  <c r="BK41" i="1"/>
  <c r="BJ41" i="1"/>
  <c r="BI41" i="1"/>
  <c r="BG41" i="1"/>
  <c r="AP41" i="1"/>
  <c r="BC41" i="1"/>
  <c r="BB41" i="1"/>
  <c r="AK41" i="1"/>
  <c r="AI41" i="1"/>
  <c r="L41" i="1"/>
  <c r="AY41" i="1"/>
  <c r="AX41" i="1"/>
  <c r="BA41" i="1"/>
  <c r="AV41" i="1"/>
  <c r="AZ41" i="1"/>
  <c r="AJ41" i="1"/>
  <c r="U41" i="1"/>
  <c r="K41" i="1"/>
  <c r="J41" i="1"/>
  <c r="R41" i="1"/>
  <c r="V41" i="1"/>
  <c r="W41" i="1"/>
  <c r="AE41" i="1"/>
  <c r="AC41" i="1"/>
  <c r="AD41" i="1"/>
  <c r="AF41" i="1"/>
  <c r="X41" i="1"/>
  <c r="AB41" i="1"/>
  <c r="AA41" i="1"/>
  <c r="Z41" i="1"/>
  <c r="Y41" i="1"/>
  <c r="S41" i="1"/>
  <c r="Q41" i="1"/>
  <c r="T41" i="1"/>
  <c r="P41" i="1"/>
  <c r="M41" i="1"/>
  <c r="N41" i="1"/>
  <c r="O41" i="1"/>
  <c r="CY40" i="1"/>
  <c r="CX40" i="1"/>
  <c r="CV40" i="1"/>
  <c r="CW40" i="1"/>
  <c r="BF40" i="1"/>
  <c r="BH40" i="1"/>
  <c r="BL40" i="1"/>
  <c r="BM40" i="1"/>
  <c r="BK40" i="1"/>
  <c r="BJ40" i="1"/>
  <c r="BI40" i="1"/>
  <c r="BG40" i="1"/>
  <c r="AP40" i="1"/>
  <c r="BC40" i="1"/>
  <c r="BB40" i="1"/>
  <c r="AK40" i="1"/>
  <c r="AI40" i="1"/>
  <c r="L40" i="1"/>
  <c r="AY40" i="1"/>
  <c r="AX40" i="1"/>
  <c r="BA40" i="1"/>
  <c r="AV40" i="1"/>
  <c r="AZ40" i="1"/>
  <c r="AJ40" i="1"/>
  <c r="U40" i="1"/>
  <c r="K40" i="1"/>
  <c r="J40" i="1"/>
  <c r="R40" i="1"/>
  <c r="V40" i="1"/>
  <c r="W40" i="1"/>
  <c r="AE40" i="1"/>
  <c r="AC40" i="1"/>
  <c r="AD40" i="1"/>
  <c r="AF40" i="1"/>
  <c r="X40" i="1"/>
  <c r="AB40" i="1"/>
  <c r="AA40" i="1"/>
  <c r="Z40" i="1"/>
  <c r="Y40" i="1"/>
  <c r="S40" i="1"/>
  <c r="Q40" i="1"/>
  <c r="T40" i="1"/>
  <c r="P40" i="1"/>
  <c r="M40" i="1"/>
  <c r="N40" i="1"/>
  <c r="O40" i="1"/>
  <c r="CY39" i="1"/>
  <c r="CX39" i="1"/>
  <c r="CV39" i="1"/>
  <c r="CW39" i="1"/>
  <c r="BF39" i="1"/>
  <c r="BH39" i="1"/>
  <c r="BL39" i="1"/>
  <c r="BM39" i="1"/>
  <c r="BK39" i="1"/>
  <c r="BJ39" i="1"/>
  <c r="BI39" i="1"/>
  <c r="BG39" i="1"/>
  <c r="AP39" i="1"/>
  <c r="BC39" i="1"/>
  <c r="BB39" i="1"/>
  <c r="AK39" i="1"/>
  <c r="AI39" i="1"/>
  <c r="L39" i="1"/>
  <c r="AY39" i="1"/>
  <c r="AX39" i="1"/>
  <c r="BA39" i="1"/>
  <c r="AV39" i="1"/>
  <c r="AZ39" i="1"/>
  <c r="AJ39" i="1"/>
  <c r="U39" i="1"/>
  <c r="K39" i="1"/>
  <c r="J39" i="1"/>
  <c r="R39" i="1"/>
  <c r="V39" i="1"/>
  <c r="W39" i="1"/>
  <c r="AE39" i="1"/>
  <c r="AC39" i="1"/>
  <c r="AD39" i="1"/>
  <c r="AF39" i="1"/>
  <c r="X39" i="1"/>
  <c r="AB39" i="1"/>
  <c r="AA39" i="1"/>
  <c r="Z39" i="1"/>
  <c r="Y39" i="1"/>
  <c r="S39" i="1"/>
  <c r="Q39" i="1"/>
  <c r="T39" i="1"/>
  <c r="P39" i="1"/>
  <c r="M39" i="1"/>
  <c r="N39" i="1"/>
  <c r="O39" i="1"/>
  <c r="CY38" i="1"/>
  <c r="CX38" i="1"/>
  <c r="CV38" i="1"/>
  <c r="CW38" i="1"/>
  <c r="BF38" i="1"/>
  <c r="BH38" i="1"/>
  <c r="BL38" i="1"/>
  <c r="BM38" i="1"/>
  <c r="BK38" i="1"/>
  <c r="BJ38" i="1"/>
  <c r="BI38" i="1"/>
  <c r="BG38" i="1"/>
  <c r="AP38" i="1"/>
  <c r="BC38" i="1"/>
  <c r="BB38" i="1"/>
  <c r="AK38" i="1"/>
  <c r="AI38" i="1"/>
  <c r="L38" i="1"/>
  <c r="AY38" i="1"/>
  <c r="AX38" i="1"/>
  <c r="BA38" i="1"/>
  <c r="AV38" i="1"/>
  <c r="AZ38" i="1"/>
  <c r="AJ38" i="1"/>
  <c r="U38" i="1"/>
  <c r="K38" i="1"/>
  <c r="J38" i="1"/>
  <c r="R38" i="1"/>
  <c r="V38" i="1"/>
  <c r="W38" i="1"/>
  <c r="AE38" i="1"/>
  <c r="AC38" i="1"/>
  <c r="AD38" i="1"/>
  <c r="AF38" i="1"/>
  <c r="X38" i="1"/>
  <c r="AB38" i="1"/>
  <c r="AA38" i="1"/>
  <c r="Z38" i="1"/>
  <c r="Y38" i="1"/>
  <c r="S38" i="1"/>
  <c r="Q38" i="1"/>
  <c r="T38" i="1"/>
  <c r="P38" i="1"/>
  <c r="M38" i="1"/>
  <c r="N38" i="1"/>
  <c r="O38" i="1"/>
  <c r="CY37" i="1"/>
  <c r="CX37" i="1"/>
  <c r="CV37" i="1"/>
  <c r="CW37" i="1"/>
  <c r="BF37" i="1"/>
  <c r="BH37" i="1"/>
  <c r="BL37" i="1"/>
  <c r="BM37" i="1"/>
  <c r="BK37" i="1"/>
  <c r="BJ37" i="1"/>
  <c r="BI37" i="1"/>
  <c r="BG37" i="1"/>
  <c r="AP37" i="1"/>
  <c r="BC37" i="1"/>
  <c r="BB37" i="1"/>
  <c r="AK37" i="1"/>
  <c r="AI37" i="1"/>
  <c r="L37" i="1"/>
  <c r="AY37" i="1"/>
  <c r="AX37" i="1"/>
  <c r="BA37" i="1"/>
  <c r="AV37" i="1"/>
  <c r="AZ37" i="1"/>
  <c r="AJ37" i="1"/>
  <c r="U37" i="1"/>
  <c r="K37" i="1"/>
  <c r="J37" i="1"/>
  <c r="R37" i="1"/>
  <c r="V37" i="1"/>
  <c r="W37" i="1"/>
  <c r="AE37" i="1"/>
  <c r="AC37" i="1"/>
  <c r="AD37" i="1"/>
  <c r="AF37" i="1"/>
  <c r="X37" i="1"/>
  <c r="AB37" i="1"/>
  <c r="AA37" i="1"/>
  <c r="Z37" i="1"/>
  <c r="Y37" i="1"/>
  <c r="S37" i="1"/>
  <c r="Q37" i="1"/>
  <c r="T37" i="1"/>
  <c r="P37" i="1"/>
  <c r="M37" i="1"/>
  <c r="N37" i="1"/>
  <c r="O37" i="1"/>
  <c r="CY36" i="1"/>
  <c r="CX36" i="1"/>
  <c r="CV36" i="1"/>
  <c r="CW36" i="1"/>
  <c r="BF36" i="1"/>
  <c r="BH36" i="1"/>
  <c r="BL36" i="1"/>
  <c r="BM36" i="1"/>
  <c r="BK36" i="1"/>
  <c r="BJ36" i="1"/>
  <c r="BI36" i="1"/>
  <c r="BG36" i="1"/>
  <c r="AP36" i="1"/>
  <c r="BC36" i="1"/>
  <c r="BB36" i="1"/>
  <c r="AK36" i="1"/>
  <c r="AI36" i="1"/>
  <c r="L36" i="1"/>
  <c r="AY36" i="1"/>
  <c r="AX36" i="1"/>
  <c r="BA36" i="1"/>
  <c r="AV36" i="1"/>
  <c r="AZ36" i="1"/>
  <c r="AJ36" i="1"/>
  <c r="U36" i="1"/>
  <c r="K36" i="1"/>
  <c r="J36" i="1"/>
  <c r="R36" i="1"/>
  <c r="V36" i="1"/>
  <c r="W36" i="1"/>
  <c r="AE36" i="1"/>
  <c r="AC36" i="1"/>
  <c r="AD36" i="1"/>
  <c r="AF36" i="1"/>
  <c r="X36" i="1"/>
  <c r="AB36" i="1"/>
  <c r="AA36" i="1"/>
  <c r="Z36" i="1"/>
  <c r="Y36" i="1"/>
  <c r="S36" i="1"/>
  <c r="Q36" i="1"/>
  <c r="T36" i="1"/>
  <c r="P36" i="1"/>
  <c r="M36" i="1"/>
  <c r="N36" i="1"/>
  <c r="O36" i="1"/>
  <c r="CY35" i="1"/>
  <c r="CX35" i="1"/>
  <c r="CV35" i="1"/>
  <c r="CW35" i="1"/>
  <c r="BF35" i="1"/>
  <c r="BH35" i="1"/>
  <c r="BL35" i="1"/>
  <c r="BM35" i="1"/>
  <c r="BK35" i="1"/>
  <c r="BJ35" i="1"/>
  <c r="BI35" i="1"/>
  <c r="BG35" i="1"/>
  <c r="AP35" i="1"/>
  <c r="BC35" i="1"/>
  <c r="BB35" i="1"/>
  <c r="AK35" i="1"/>
  <c r="AI35" i="1"/>
  <c r="L35" i="1"/>
  <c r="AY35" i="1"/>
  <c r="AX35" i="1"/>
  <c r="BA35" i="1"/>
  <c r="AV35" i="1"/>
  <c r="AZ35" i="1"/>
  <c r="AJ35" i="1"/>
  <c r="U35" i="1"/>
  <c r="K35" i="1"/>
  <c r="J35" i="1"/>
  <c r="R35" i="1"/>
  <c r="V35" i="1"/>
  <c r="W35" i="1"/>
  <c r="AE35" i="1"/>
  <c r="AC35" i="1"/>
  <c r="AD35" i="1"/>
  <c r="AF35" i="1"/>
  <c r="X35" i="1"/>
  <c r="AB35" i="1"/>
  <c r="AA35" i="1"/>
  <c r="Z35" i="1"/>
  <c r="Y35" i="1"/>
  <c r="S35" i="1"/>
  <c r="Q35" i="1"/>
  <c r="T35" i="1"/>
  <c r="P35" i="1"/>
  <c r="M35" i="1"/>
  <c r="N35" i="1"/>
  <c r="O35" i="1"/>
  <c r="CY34" i="1"/>
  <c r="CX34" i="1"/>
  <c r="CV34" i="1"/>
  <c r="CW34" i="1"/>
  <c r="BF34" i="1"/>
  <c r="BH34" i="1"/>
  <c r="BL34" i="1"/>
  <c r="BM34" i="1"/>
  <c r="BK34" i="1"/>
  <c r="BJ34" i="1"/>
  <c r="BI34" i="1"/>
  <c r="BG34" i="1"/>
  <c r="AP34" i="1"/>
  <c r="BC34" i="1"/>
  <c r="BB34" i="1"/>
  <c r="AK34" i="1"/>
  <c r="AI34" i="1"/>
  <c r="L34" i="1"/>
  <c r="AY34" i="1"/>
  <c r="AX34" i="1"/>
  <c r="BA34" i="1"/>
  <c r="AV34" i="1"/>
  <c r="AZ34" i="1"/>
  <c r="AJ34" i="1"/>
  <c r="U34" i="1"/>
  <c r="K34" i="1"/>
  <c r="J34" i="1"/>
  <c r="R34" i="1"/>
  <c r="V34" i="1"/>
  <c r="W34" i="1"/>
  <c r="AE34" i="1"/>
  <c r="AC34" i="1"/>
  <c r="AD34" i="1"/>
  <c r="AF34" i="1"/>
  <c r="X34" i="1"/>
  <c r="AB34" i="1"/>
  <c r="AA34" i="1"/>
  <c r="Z34" i="1"/>
  <c r="Y34" i="1"/>
  <c r="S34" i="1"/>
  <c r="Q34" i="1"/>
  <c r="T34" i="1"/>
  <c r="P34" i="1"/>
  <c r="M34" i="1"/>
  <c r="N34" i="1"/>
  <c r="O34" i="1"/>
  <c r="CY33" i="1"/>
  <c r="CX33" i="1"/>
  <c r="CV33" i="1"/>
  <c r="CW33" i="1"/>
  <c r="BF33" i="1"/>
  <c r="BH33" i="1"/>
  <c r="BL33" i="1"/>
  <c r="BM33" i="1"/>
  <c r="BK33" i="1"/>
  <c r="BJ33" i="1"/>
  <c r="BI33" i="1"/>
  <c r="BG33" i="1"/>
  <c r="AP33" i="1"/>
  <c r="BC33" i="1"/>
  <c r="BB33" i="1"/>
  <c r="AK33" i="1"/>
  <c r="AI33" i="1"/>
  <c r="L33" i="1"/>
  <c r="AY33" i="1"/>
  <c r="AX33" i="1"/>
  <c r="BA33" i="1"/>
  <c r="AV33" i="1"/>
  <c r="AZ33" i="1"/>
  <c r="AJ33" i="1"/>
  <c r="U33" i="1"/>
  <c r="K33" i="1"/>
  <c r="J33" i="1"/>
  <c r="R33" i="1"/>
  <c r="V33" i="1"/>
  <c r="W33" i="1"/>
  <c r="AE33" i="1"/>
  <c r="AC33" i="1"/>
  <c r="AD33" i="1"/>
  <c r="AF33" i="1"/>
  <c r="X33" i="1"/>
  <c r="AB33" i="1"/>
  <c r="AA33" i="1"/>
  <c r="Z33" i="1"/>
  <c r="Y33" i="1"/>
  <c r="S33" i="1"/>
  <c r="Q33" i="1"/>
  <c r="T33" i="1"/>
  <c r="P33" i="1"/>
  <c r="M33" i="1"/>
  <c r="N33" i="1"/>
  <c r="O33" i="1"/>
  <c r="CY32" i="1"/>
  <c r="CX32" i="1"/>
  <c r="CV32" i="1"/>
  <c r="CW32" i="1"/>
  <c r="BF32" i="1"/>
  <c r="BH32" i="1"/>
  <c r="BL32" i="1"/>
  <c r="BM32" i="1"/>
  <c r="BK32" i="1"/>
  <c r="BJ32" i="1"/>
  <c r="BI32" i="1"/>
  <c r="BG32" i="1"/>
  <c r="AP32" i="1"/>
  <c r="BC32" i="1"/>
  <c r="BB32" i="1"/>
  <c r="AK32" i="1"/>
  <c r="AI32" i="1"/>
  <c r="L32" i="1"/>
  <c r="AY32" i="1"/>
  <c r="AX32" i="1"/>
  <c r="BA32" i="1"/>
  <c r="AV32" i="1"/>
  <c r="AZ32" i="1"/>
  <c r="AJ32" i="1"/>
  <c r="U32" i="1"/>
  <c r="K32" i="1"/>
  <c r="J32" i="1"/>
  <c r="R32" i="1"/>
  <c r="V32" i="1"/>
  <c r="W32" i="1"/>
  <c r="AE32" i="1"/>
  <c r="AC32" i="1"/>
  <c r="AD32" i="1"/>
  <c r="AF32" i="1"/>
  <c r="X32" i="1"/>
  <c r="AB32" i="1"/>
  <c r="AA32" i="1"/>
  <c r="Z32" i="1"/>
  <c r="Y32" i="1"/>
  <c r="S32" i="1"/>
  <c r="Q32" i="1"/>
  <c r="T32" i="1"/>
  <c r="P32" i="1"/>
  <c r="M32" i="1"/>
  <c r="N32" i="1"/>
  <c r="O32" i="1"/>
  <c r="CY31" i="1"/>
  <c r="CX31" i="1"/>
  <c r="CV31" i="1"/>
  <c r="CW31" i="1"/>
  <c r="BF31" i="1"/>
  <c r="BH31" i="1"/>
  <c r="BL31" i="1"/>
  <c r="BM31" i="1"/>
  <c r="BK31" i="1"/>
  <c r="BJ31" i="1"/>
  <c r="BI31" i="1"/>
  <c r="BG31" i="1"/>
  <c r="AP31" i="1"/>
  <c r="BC31" i="1"/>
  <c r="BB31" i="1"/>
  <c r="AK31" i="1"/>
  <c r="AI31" i="1"/>
  <c r="L31" i="1"/>
  <c r="AY31" i="1"/>
  <c r="AX31" i="1"/>
  <c r="BA31" i="1"/>
  <c r="AV31" i="1"/>
  <c r="AZ31" i="1"/>
  <c r="AJ31" i="1"/>
  <c r="U31" i="1"/>
  <c r="K31" i="1"/>
  <c r="J31" i="1"/>
  <c r="R31" i="1"/>
  <c r="V31" i="1"/>
  <c r="W31" i="1"/>
  <c r="AE31" i="1"/>
  <c r="AC31" i="1"/>
  <c r="AD31" i="1"/>
  <c r="AF31" i="1"/>
  <c r="X31" i="1"/>
  <c r="AB31" i="1"/>
  <c r="AA31" i="1"/>
  <c r="Z31" i="1"/>
  <c r="Y31" i="1"/>
  <c r="S31" i="1"/>
  <c r="Q31" i="1"/>
  <c r="T31" i="1"/>
  <c r="P31" i="1"/>
  <c r="M31" i="1"/>
  <c r="N31" i="1"/>
  <c r="O31" i="1"/>
  <c r="CY30" i="1"/>
  <c r="CX30" i="1"/>
  <c r="CV30" i="1"/>
  <c r="CW30" i="1"/>
  <c r="BF30" i="1"/>
  <c r="BH30" i="1"/>
  <c r="BL30" i="1"/>
  <c r="BM30" i="1"/>
  <c r="BK30" i="1"/>
  <c r="BJ30" i="1"/>
  <c r="BI30" i="1"/>
  <c r="BG30" i="1"/>
  <c r="AP30" i="1"/>
  <c r="BC30" i="1"/>
  <c r="BB30" i="1"/>
  <c r="AK30" i="1"/>
  <c r="AI30" i="1"/>
  <c r="L30" i="1"/>
  <c r="AY30" i="1"/>
  <c r="AX30" i="1"/>
  <c r="BA30" i="1"/>
  <c r="AV30" i="1"/>
  <c r="AZ30" i="1"/>
  <c r="AJ30" i="1"/>
  <c r="U30" i="1"/>
  <c r="K30" i="1"/>
  <c r="J30" i="1"/>
  <c r="R30" i="1"/>
  <c r="V30" i="1"/>
  <c r="W30" i="1"/>
  <c r="AE30" i="1"/>
  <c r="AC30" i="1"/>
  <c r="AD30" i="1"/>
  <c r="AF30" i="1"/>
  <c r="X30" i="1"/>
  <c r="AB30" i="1"/>
  <c r="AA30" i="1"/>
  <c r="Z30" i="1"/>
  <c r="Y30" i="1"/>
  <c r="S30" i="1"/>
  <c r="Q30" i="1"/>
  <c r="T30" i="1"/>
  <c r="P30" i="1"/>
  <c r="M30" i="1"/>
  <c r="N30" i="1"/>
  <c r="O30" i="1"/>
  <c r="CY29" i="1"/>
  <c r="CX29" i="1"/>
  <c r="CV29" i="1"/>
  <c r="CW29" i="1"/>
  <c r="BF29" i="1"/>
  <c r="BH29" i="1"/>
  <c r="BL29" i="1"/>
  <c r="BM29" i="1"/>
  <c r="BK29" i="1"/>
  <c r="BJ29" i="1"/>
  <c r="BI29" i="1"/>
  <c r="BG29" i="1"/>
  <c r="AP29" i="1"/>
  <c r="BC29" i="1"/>
  <c r="BB29" i="1"/>
  <c r="AK29" i="1"/>
  <c r="AI29" i="1"/>
  <c r="L29" i="1"/>
  <c r="AY29" i="1"/>
  <c r="AX29" i="1"/>
  <c r="BA29" i="1"/>
  <c r="AV29" i="1"/>
  <c r="AZ29" i="1"/>
  <c r="AJ29" i="1"/>
  <c r="U29" i="1"/>
  <c r="K29" i="1"/>
  <c r="J29" i="1"/>
  <c r="R29" i="1"/>
  <c r="V29" i="1"/>
  <c r="W29" i="1"/>
  <c r="AE29" i="1"/>
  <c r="AC29" i="1"/>
  <c r="AD29" i="1"/>
  <c r="AF29" i="1"/>
  <c r="X29" i="1"/>
  <c r="AB29" i="1"/>
  <c r="AA29" i="1"/>
  <c r="Z29" i="1"/>
  <c r="Y29" i="1"/>
  <c r="S29" i="1"/>
  <c r="Q29" i="1"/>
  <c r="T29" i="1"/>
  <c r="P29" i="1"/>
  <c r="M29" i="1"/>
  <c r="N29" i="1"/>
  <c r="O29" i="1"/>
  <c r="CY28" i="1"/>
  <c r="CX28" i="1"/>
  <c r="CV28" i="1"/>
  <c r="CW28" i="1"/>
  <c r="BF28" i="1"/>
  <c r="BH28" i="1"/>
  <c r="BL28" i="1"/>
  <c r="BM28" i="1"/>
  <c r="BK28" i="1"/>
  <c r="BJ28" i="1"/>
  <c r="BI28" i="1"/>
  <c r="BG28" i="1"/>
  <c r="AP28" i="1"/>
  <c r="BC28" i="1"/>
  <c r="BB28" i="1"/>
  <c r="AK28" i="1"/>
  <c r="AI28" i="1"/>
  <c r="L28" i="1"/>
  <c r="AY28" i="1"/>
  <c r="AX28" i="1"/>
  <c r="BA28" i="1"/>
  <c r="AV28" i="1"/>
  <c r="AZ28" i="1"/>
  <c r="AJ28" i="1"/>
  <c r="U28" i="1"/>
  <c r="K28" i="1"/>
  <c r="J28" i="1"/>
  <c r="R28" i="1"/>
  <c r="V28" i="1"/>
  <c r="W28" i="1"/>
  <c r="AE28" i="1"/>
  <c r="AC28" i="1"/>
  <c r="AD28" i="1"/>
  <c r="AF28" i="1"/>
  <c r="X28" i="1"/>
  <c r="AB28" i="1"/>
  <c r="AA28" i="1"/>
  <c r="Z28" i="1"/>
  <c r="Y28" i="1"/>
  <c r="S28" i="1"/>
  <c r="Q28" i="1"/>
  <c r="T28" i="1"/>
  <c r="P28" i="1"/>
  <c r="M28" i="1"/>
  <c r="N28" i="1"/>
  <c r="O28" i="1"/>
  <c r="CY27" i="1"/>
  <c r="CX27" i="1"/>
  <c r="CV27" i="1"/>
  <c r="CW27" i="1"/>
  <c r="BF27" i="1"/>
  <c r="BH27" i="1"/>
  <c r="BL27" i="1"/>
  <c r="BM27" i="1"/>
  <c r="BK27" i="1"/>
  <c r="BJ27" i="1"/>
  <c r="BI27" i="1"/>
  <c r="BG27" i="1"/>
  <c r="AP27" i="1"/>
  <c r="BC27" i="1"/>
  <c r="BB27" i="1"/>
  <c r="AK27" i="1"/>
  <c r="AI27" i="1"/>
  <c r="L27" i="1"/>
  <c r="AY27" i="1"/>
  <c r="AX27" i="1"/>
  <c r="BA27" i="1"/>
  <c r="AV27" i="1"/>
  <c r="AZ27" i="1"/>
  <c r="AJ27" i="1"/>
  <c r="U27" i="1"/>
  <c r="K27" i="1"/>
  <c r="J27" i="1"/>
  <c r="R27" i="1"/>
  <c r="V27" i="1"/>
  <c r="W27" i="1"/>
  <c r="AE27" i="1"/>
  <c r="AC27" i="1"/>
  <c r="AD27" i="1"/>
  <c r="AF27" i="1"/>
  <c r="X27" i="1"/>
  <c r="AB27" i="1"/>
  <c r="AA27" i="1"/>
  <c r="Z27" i="1"/>
  <c r="Y27" i="1"/>
  <c r="S27" i="1"/>
  <c r="Q27" i="1"/>
  <c r="T27" i="1"/>
  <c r="P27" i="1"/>
  <c r="M27" i="1"/>
  <c r="N27" i="1"/>
  <c r="O27" i="1"/>
  <c r="CY26" i="1"/>
  <c r="CX26" i="1"/>
  <c r="CV26" i="1"/>
  <c r="CW26" i="1"/>
  <c r="BF26" i="1"/>
  <c r="BH26" i="1"/>
  <c r="BL26" i="1"/>
  <c r="BM26" i="1"/>
  <c r="BK26" i="1"/>
  <c r="BJ26" i="1"/>
  <c r="BI26" i="1"/>
  <c r="BG26" i="1"/>
  <c r="AP26" i="1"/>
  <c r="BC26" i="1"/>
  <c r="BB26" i="1"/>
  <c r="AK26" i="1"/>
  <c r="AI26" i="1"/>
  <c r="L26" i="1"/>
  <c r="AY26" i="1"/>
  <c r="AX26" i="1"/>
  <c r="BA26" i="1"/>
  <c r="AV26" i="1"/>
  <c r="AZ26" i="1"/>
  <c r="AJ26" i="1"/>
  <c r="U26" i="1"/>
  <c r="K26" i="1"/>
  <c r="J26" i="1"/>
  <c r="R26" i="1"/>
  <c r="V26" i="1"/>
  <c r="W26" i="1"/>
  <c r="AE26" i="1"/>
  <c r="AC26" i="1"/>
  <c r="AD26" i="1"/>
  <c r="AF26" i="1"/>
  <c r="X26" i="1"/>
  <c r="AB26" i="1"/>
  <c r="AA26" i="1"/>
  <c r="Z26" i="1"/>
  <c r="Y26" i="1"/>
  <c r="S26" i="1"/>
  <c r="Q26" i="1"/>
  <c r="T26" i="1"/>
  <c r="P26" i="1"/>
  <c r="M26" i="1"/>
  <c r="N26" i="1"/>
  <c r="O26" i="1"/>
  <c r="CY25" i="1"/>
  <c r="CX25" i="1"/>
  <c r="CV25" i="1"/>
  <c r="CW25" i="1"/>
  <c r="BF25" i="1"/>
  <c r="BH25" i="1"/>
  <c r="BL25" i="1"/>
  <c r="BM25" i="1"/>
  <c r="BK25" i="1"/>
  <c r="BJ25" i="1"/>
  <c r="BI25" i="1"/>
  <c r="BG25" i="1"/>
  <c r="AP25" i="1"/>
  <c r="BC25" i="1"/>
  <c r="BB25" i="1"/>
  <c r="AK25" i="1"/>
  <c r="AI25" i="1"/>
  <c r="L25" i="1"/>
  <c r="AY25" i="1"/>
  <c r="AX25" i="1"/>
  <c r="BA25" i="1"/>
  <c r="AV25" i="1"/>
  <c r="AZ25" i="1"/>
  <c r="AJ25" i="1"/>
  <c r="U25" i="1"/>
  <c r="K25" i="1"/>
  <c r="J25" i="1"/>
  <c r="R25" i="1"/>
  <c r="V25" i="1"/>
  <c r="W25" i="1"/>
  <c r="AE25" i="1"/>
  <c r="AC25" i="1"/>
  <c r="AD25" i="1"/>
  <c r="AF25" i="1"/>
  <c r="X25" i="1"/>
  <c r="AB25" i="1"/>
  <c r="AA25" i="1"/>
  <c r="Z25" i="1"/>
  <c r="Y25" i="1"/>
  <c r="S25" i="1"/>
  <c r="Q25" i="1"/>
  <c r="T25" i="1"/>
  <c r="P25" i="1"/>
  <c r="M25" i="1"/>
  <c r="N25" i="1"/>
  <c r="O25" i="1"/>
  <c r="CY24" i="1"/>
  <c r="CX24" i="1"/>
  <c r="CV24" i="1"/>
  <c r="CW24" i="1"/>
  <c r="BF24" i="1"/>
  <c r="BH24" i="1"/>
  <c r="BL24" i="1"/>
  <c r="BM24" i="1"/>
  <c r="BK24" i="1"/>
  <c r="BJ24" i="1"/>
  <c r="BI24" i="1"/>
  <c r="BG24" i="1"/>
  <c r="AP24" i="1"/>
  <c r="BC24" i="1"/>
  <c r="BB24" i="1"/>
  <c r="AK24" i="1"/>
  <c r="AI24" i="1"/>
  <c r="L24" i="1"/>
  <c r="AY24" i="1"/>
  <c r="AX24" i="1"/>
  <c r="BA24" i="1"/>
  <c r="AV24" i="1"/>
  <c r="AZ24" i="1"/>
  <c r="AJ24" i="1"/>
  <c r="U24" i="1"/>
  <c r="K24" i="1"/>
  <c r="J24" i="1"/>
  <c r="R24" i="1"/>
  <c r="V24" i="1"/>
  <c r="W24" i="1"/>
  <c r="AE24" i="1"/>
  <c r="AC24" i="1"/>
  <c r="AD24" i="1"/>
  <c r="AF24" i="1"/>
  <c r="X24" i="1"/>
  <c r="AB24" i="1"/>
  <c r="AA24" i="1"/>
  <c r="Z24" i="1"/>
  <c r="Y24" i="1"/>
  <c r="S24" i="1"/>
  <c r="Q24" i="1"/>
  <c r="T24" i="1"/>
  <c r="P24" i="1"/>
  <c r="M24" i="1"/>
  <c r="N24" i="1"/>
  <c r="O24" i="1"/>
  <c r="CY23" i="1"/>
  <c r="CX23" i="1"/>
  <c r="CV23" i="1"/>
  <c r="CW23" i="1"/>
  <c r="BF23" i="1"/>
  <c r="BH23" i="1"/>
  <c r="BL23" i="1"/>
  <c r="BM23" i="1"/>
  <c r="BK23" i="1"/>
  <c r="BJ23" i="1"/>
  <c r="BI23" i="1"/>
  <c r="BG23" i="1"/>
  <c r="AP23" i="1"/>
  <c r="BC23" i="1"/>
  <c r="BB23" i="1"/>
  <c r="AK23" i="1"/>
  <c r="AI23" i="1"/>
  <c r="L23" i="1"/>
  <c r="AY23" i="1"/>
  <c r="AX23" i="1"/>
  <c r="BA23" i="1"/>
  <c r="AV23" i="1"/>
  <c r="AZ23" i="1"/>
  <c r="AJ23" i="1"/>
  <c r="U23" i="1"/>
  <c r="K23" i="1"/>
  <c r="J23" i="1"/>
  <c r="R23" i="1"/>
  <c r="V23" i="1"/>
  <c r="W23" i="1"/>
  <c r="AE23" i="1"/>
  <c r="AC23" i="1"/>
  <c r="AD23" i="1"/>
  <c r="AF23" i="1"/>
  <c r="X23" i="1"/>
  <c r="AB23" i="1"/>
  <c r="AA23" i="1"/>
  <c r="Z23" i="1"/>
  <c r="Y23" i="1"/>
  <c r="S23" i="1"/>
  <c r="Q23" i="1"/>
  <c r="T23" i="1"/>
  <c r="P23" i="1"/>
  <c r="M23" i="1"/>
  <c r="N23" i="1"/>
  <c r="O23" i="1"/>
  <c r="CY22" i="1"/>
  <c r="CX22" i="1"/>
  <c r="CV22" i="1"/>
  <c r="CW22" i="1"/>
  <c r="BF22" i="1"/>
  <c r="BH22" i="1"/>
  <c r="BL22" i="1"/>
  <c r="BM22" i="1"/>
  <c r="BK22" i="1"/>
  <c r="BJ22" i="1"/>
  <c r="BI22" i="1"/>
  <c r="BG22" i="1"/>
  <c r="AP22" i="1"/>
  <c r="BC22" i="1"/>
  <c r="BB22" i="1"/>
  <c r="AK22" i="1"/>
  <c r="AI22" i="1"/>
  <c r="L22" i="1"/>
  <c r="AY22" i="1"/>
  <c r="AX22" i="1"/>
  <c r="BA22" i="1"/>
  <c r="AV22" i="1"/>
  <c r="AZ22" i="1"/>
  <c r="AJ22" i="1"/>
  <c r="U22" i="1"/>
  <c r="K22" i="1"/>
  <c r="J22" i="1"/>
  <c r="R22" i="1"/>
  <c r="V22" i="1"/>
  <c r="W22" i="1"/>
  <c r="AE22" i="1"/>
  <c r="AC22" i="1"/>
  <c r="AD22" i="1"/>
  <c r="AF22" i="1"/>
  <c r="X22" i="1"/>
  <c r="AB22" i="1"/>
  <c r="AA22" i="1"/>
  <c r="Z22" i="1"/>
  <c r="Y22" i="1"/>
  <c r="S22" i="1"/>
  <c r="Q22" i="1"/>
  <c r="T22" i="1"/>
  <c r="P22" i="1"/>
  <c r="M22" i="1"/>
  <c r="N22" i="1"/>
  <c r="O22" i="1"/>
  <c r="CY21" i="1"/>
  <c r="CX21" i="1"/>
  <c r="CV21" i="1"/>
  <c r="CW21" i="1"/>
  <c r="BF21" i="1"/>
  <c r="BH21" i="1"/>
  <c r="BL21" i="1"/>
  <c r="BM21" i="1"/>
  <c r="BK21" i="1"/>
  <c r="BJ21" i="1"/>
  <c r="BI21" i="1"/>
  <c r="BG21" i="1"/>
  <c r="AP21" i="1"/>
  <c r="BC21" i="1"/>
  <c r="BB21" i="1"/>
  <c r="AK21" i="1"/>
  <c r="AI21" i="1"/>
  <c r="L21" i="1"/>
  <c r="AY21" i="1"/>
  <c r="AX21" i="1"/>
  <c r="BA21" i="1"/>
  <c r="AV21" i="1"/>
  <c r="AZ21" i="1"/>
  <c r="AJ21" i="1"/>
  <c r="U21" i="1"/>
  <c r="K21" i="1"/>
  <c r="J21" i="1"/>
  <c r="R21" i="1"/>
  <c r="V21" i="1"/>
  <c r="W21" i="1"/>
  <c r="AE21" i="1"/>
  <c r="AC21" i="1"/>
  <c r="AD21" i="1"/>
  <c r="AF21" i="1"/>
  <c r="X21" i="1"/>
  <c r="AB21" i="1"/>
  <c r="AA21" i="1"/>
  <c r="Z21" i="1"/>
  <c r="Y21" i="1"/>
  <c r="S21" i="1"/>
  <c r="Q21" i="1"/>
  <c r="T21" i="1"/>
  <c r="P21" i="1"/>
  <c r="M21" i="1"/>
  <c r="N21" i="1"/>
  <c r="O21" i="1"/>
  <c r="CY20" i="1"/>
  <c r="CX20" i="1"/>
  <c r="CV20" i="1"/>
  <c r="CW20" i="1"/>
  <c r="BF20" i="1"/>
  <c r="BH20" i="1"/>
  <c r="BL20" i="1"/>
  <c r="BM20" i="1"/>
  <c r="BK20" i="1"/>
  <c r="BJ20" i="1"/>
  <c r="BI20" i="1"/>
  <c r="BG20" i="1"/>
  <c r="AP20" i="1"/>
  <c r="BC20" i="1"/>
  <c r="BB20" i="1"/>
  <c r="AK20" i="1"/>
  <c r="AI20" i="1"/>
  <c r="L20" i="1"/>
  <c r="AY20" i="1"/>
  <c r="AX20" i="1"/>
  <c r="BA20" i="1"/>
  <c r="AV20" i="1"/>
  <c r="AZ20" i="1"/>
  <c r="AJ20" i="1"/>
  <c r="U20" i="1"/>
  <c r="K20" i="1"/>
  <c r="J20" i="1"/>
  <c r="R20" i="1"/>
  <c r="V20" i="1"/>
  <c r="W20" i="1"/>
  <c r="AE20" i="1"/>
  <c r="AC20" i="1"/>
  <c r="AD20" i="1"/>
  <c r="AF20" i="1"/>
  <c r="X20" i="1"/>
  <c r="AB20" i="1"/>
  <c r="AA20" i="1"/>
  <c r="Z20" i="1"/>
  <c r="Y20" i="1"/>
  <c r="S20" i="1"/>
  <c r="Q20" i="1"/>
  <c r="T20" i="1"/>
  <c r="P20" i="1"/>
  <c r="M20" i="1"/>
  <c r="N20" i="1"/>
  <c r="O20" i="1"/>
  <c r="CY19" i="1"/>
  <c r="CX19" i="1"/>
  <c r="CV19" i="1"/>
  <c r="CW19" i="1"/>
  <c r="BF19" i="1"/>
  <c r="BH19" i="1"/>
  <c r="BL19" i="1"/>
  <c r="BM19" i="1"/>
  <c r="BK19" i="1"/>
  <c r="BJ19" i="1"/>
  <c r="BI19" i="1"/>
  <c r="BG19" i="1"/>
  <c r="AP19" i="1"/>
  <c r="BC19" i="1"/>
  <c r="BB19" i="1"/>
  <c r="AK19" i="1"/>
  <c r="AI19" i="1"/>
  <c r="L19" i="1"/>
  <c r="AY19" i="1"/>
  <c r="AX19" i="1"/>
  <c r="BA19" i="1"/>
  <c r="AV19" i="1"/>
  <c r="AZ19" i="1"/>
  <c r="AJ19" i="1"/>
  <c r="U19" i="1"/>
  <c r="K19" i="1"/>
  <c r="J19" i="1"/>
  <c r="R19" i="1"/>
  <c r="V19" i="1"/>
  <c r="W19" i="1"/>
  <c r="AE19" i="1"/>
  <c r="AC19" i="1"/>
  <c r="AD19" i="1"/>
  <c r="AF19" i="1"/>
  <c r="X19" i="1"/>
  <c r="AB19" i="1"/>
  <c r="AA19" i="1"/>
  <c r="Z19" i="1"/>
  <c r="Y19" i="1"/>
  <c r="S19" i="1"/>
  <c r="Q19" i="1"/>
  <c r="T19" i="1"/>
  <c r="P19" i="1"/>
  <c r="M19" i="1"/>
  <c r="N19" i="1"/>
  <c r="O19" i="1"/>
  <c r="CY18" i="1"/>
  <c r="CX18" i="1"/>
  <c r="CV18" i="1"/>
  <c r="CW18" i="1"/>
  <c r="BF18" i="1"/>
  <c r="BH18" i="1"/>
  <c r="BL18" i="1"/>
  <c r="BM18" i="1"/>
  <c r="BK18" i="1"/>
  <c r="BJ18" i="1"/>
  <c r="BI18" i="1"/>
  <c r="BG18" i="1"/>
  <c r="AP18" i="1"/>
  <c r="BC18" i="1"/>
  <c r="BB18" i="1"/>
  <c r="AK18" i="1"/>
  <c r="AI18" i="1"/>
  <c r="L18" i="1"/>
  <c r="AY18" i="1"/>
  <c r="AX18" i="1"/>
  <c r="BA18" i="1"/>
  <c r="AV18" i="1"/>
  <c r="AZ18" i="1"/>
  <c r="AJ18" i="1"/>
  <c r="U18" i="1"/>
  <c r="K18" i="1"/>
  <c r="J18" i="1"/>
  <c r="R18" i="1"/>
  <c r="V18" i="1"/>
  <c r="W18" i="1"/>
  <c r="AE18" i="1"/>
  <c r="AC18" i="1"/>
  <c r="AD18" i="1"/>
  <c r="AF18" i="1"/>
  <c r="X18" i="1"/>
  <c r="AB18" i="1"/>
  <c r="AA18" i="1"/>
  <c r="Z18" i="1"/>
  <c r="Y18" i="1"/>
  <c r="S18" i="1"/>
  <c r="Q18" i="1"/>
  <c r="T18" i="1"/>
  <c r="P18" i="1"/>
  <c r="M18" i="1"/>
  <c r="N18" i="1"/>
  <c r="O18" i="1"/>
  <c r="CY17" i="1"/>
  <c r="CX17" i="1"/>
  <c r="CV17" i="1"/>
  <c r="CW17" i="1"/>
  <c r="BF17" i="1"/>
  <c r="BH17" i="1"/>
  <c r="BL17" i="1"/>
  <c r="BM17" i="1"/>
  <c r="BK17" i="1"/>
  <c r="BJ17" i="1"/>
  <c r="BI17" i="1"/>
  <c r="BG17" i="1"/>
  <c r="AP17" i="1"/>
  <c r="BC17" i="1"/>
  <c r="BB17" i="1"/>
  <c r="AK17" i="1"/>
  <c r="AI17" i="1"/>
  <c r="L17" i="1"/>
  <c r="AY17" i="1"/>
  <c r="AX17" i="1"/>
  <c r="BA17" i="1"/>
  <c r="AV17" i="1"/>
  <c r="AZ17" i="1"/>
  <c r="AJ17" i="1"/>
  <c r="U17" i="1"/>
  <c r="K17" i="1"/>
  <c r="J17" i="1"/>
  <c r="R17" i="1"/>
  <c r="V17" i="1"/>
  <c r="W17" i="1"/>
  <c r="AE17" i="1"/>
  <c r="AC17" i="1"/>
  <c r="AD17" i="1"/>
  <c r="AF17" i="1"/>
  <c r="X17" i="1"/>
  <c r="AB17" i="1"/>
  <c r="AA17" i="1"/>
  <c r="Z17" i="1"/>
  <c r="Y17" i="1"/>
  <c r="S17" i="1"/>
  <c r="Q17" i="1"/>
  <c r="T17" i="1"/>
  <c r="P17" i="1"/>
  <c r="M17" i="1"/>
  <c r="N17" i="1"/>
  <c r="O17" i="1"/>
</calcChain>
</file>

<file path=xl/sharedStrings.xml><?xml version="1.0" encoding="utf-8"?>
<sst xmlns="http://schemas.openxmlformats.org/spreadsheetml/2006/main" count="2742" uniqueCount="990">
  <si>
    <t>File opened</t>
  </si>
  <si>
    <t>2023-01-24 09:20:47</t>
  </si>
  <si>
    <t>Console s/n</t>
  </si>
  <si>
    <t>68C-812068</t>
  </si>
  <si>
    <t>Console ver</t>
  </si>
  <si>
    <t>Bluestem v.2.1.08</t>
  </si>
  <si>
    <t>Scripts ver</t>
  </si>
  <si>
    <t>2022.05  2.1.08, Aug 2022</t>
  </si>
  <si>
    <t>Head s/n</t>
  </si>
  <si>
    <t>68H-712058</t>
  </si>
  <si>
    <t>Head ver</t>
  </si>
  <si>
    <t>1.4.22</t>
  </si>
  <si>
    <t>Head cal</t>
  </si>
  <si>
    <t>{"oxygen": "21", "co2azero": "0.895998", "co2aspan1": "0.99881", "co2aspan2": "-0.0247369", "co2aspan2a": "0.285116", "co2aspan2b": "0.282766", "co2aspanconc1": "2490", "co2aspanconc2": "309.1", "co2bzero": "0.911525", "co2bspan1": "0.999994", "co2bspan2": "-0.0286752", "co2bspan2a": "0.281163", "co2bspan2b": "0.278895", "co2bspanconc1": "2490", "co2bspanconc2": "309.1", "h2oazero": "1.03459", "h2oaspan1": "1.00843", "h2oaspan2": "0", "h2oaspan2a": "0.0733649", "h2oaspan2b": "0.0739832", "h2oaspanconc1": "12.54", "h2oaspanconc2": "0", "h2obzero": "1.04039", "h2obspan1": "1.04271", "h2obspan2": "0", "h2obspan2a": "0.0711664", "h2obspan2b": "0.0742063", "h2obspanconc1": "12.54", "h2obspanconc2": "0", "tazero": "-0.00456619", "tbzero": "-0.0261154", "flowmeterzero": "0.996722", "flowazero": "0.30199", "flowbzero": "0.29665", "chamberpressurezero": "2.68502", "ssa_ref": "28357.3", "ssb_ref": "37271"}</t>
  </si>
  <si>
    <t>CO2 rangematch</t>
  </si>
  <si>
    <t>Thu Nov 17 10:57</t>
  </si>
  <si>
    <t>H2O rangematch</t>
  </si>
  <si>
    <t>Thu Nov 17 11:15</t>
  </si>
  <si>
    <t>Chamber type</t>
  </si>
  <si>
    <t>6800-01A</t>
  </si>
  <si>
    <t>Chamber s/n</t>
  </si>
  <si>
    <t>MPF-281817</t>
  </si>
  <si>
    <t>Chamber rev</t>
  </si>
  <si>
    <t>0</t>
  </si>
  <si>
    <t>Chamber cal</t>
  </si>
  <si>
    <t>Fluorometer</t>
  </si>
  <si>
    <t>Flr. Version</t>
  </si>
  <si>
    <t>09:20:47</t>
  </si>
  <si>
    <t>Stability Definition:	gsw (GasEx): Slp&lt;0.05 Std&lt;0.05 Per=20	A (GasEx): Slp&lt;0.7 Std&lt;0.2 Per=20</t>
  </si>
  <si>
    <t>SysConst</t>
  </si>
  <si>
    <t>AvgTime</t>
  </si>
  <si>
    <t>4</t>
  </si>
  <si>
    <t>Oxygen</t>
  </si>
  <si>
    <t>ChambConst</t>
  </si>
  <si>
    <t>Chamber</t>
  </si>
  <si>
    <t>Aperture</t>
  </si>
  <si>
    <t>6 cm²</t>
  </si>
  <si>
    <t>blc_a</t>
  </si>
  <si>
    <t>blc_b</t>
  </si>
  <si>
    <t>blc_c</t>
  </si>
  <si>
    <t>blc_d</t>
  </si>
  <si>
    <t>blc_e</t>
  </si>
  <si>
    <t>blc_minS</t>
  </si>
  <si>
    <t>blc_maxS</t>
  </si>
  <si>
    <t>blc_Po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</si>
  <si>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</si>
  <si>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</si>
  <si>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</si>
  <si>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</si>
  <si>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</si>
  <si>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</si>
  <si>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</si>
  <si>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</si>
  <si>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</si>
  <si>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</si>
  <si>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</si>
  <si>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</si>
  <si>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</si>
  <si>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</si>
  <si>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</si>
  <si>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</si>
  <si>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</si>
  <si>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</si>
  <si>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</si>
  <si>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</si>
  <si>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</si>
  <si>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</si>
  <si>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</si>
  <si>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</si>
  <si>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</si>
  <si>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</si>
  <si>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</si>
  <si>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</si>
  <si>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</si>
  <si>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</si>
  <si>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</si>
  <si>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</si>
  <si>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</si>
  <si>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</si>
  <si>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</si>
  <si>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</si>
  <si>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3.60197 75.8975 366.608 599.84 808.663 964.868 1111.9 1244.17</t>
  </si>
  <si>
    <t>Fs_true</t>
  </si>
  <si>
    <t>0.080042 99.6561 400.886 601.239 800.417 1001.25 1200.57 1400.81</t>
  </si>
  <si>
    <t>leak_wt</t>
  </si>
  <si>
    <t>SysObs</t>
  </si>
  <si>
    <t>UserDefCon</t>
  </si>
  <si>
    <t>GasEx</t>
  </si>
  <si>
    <t>Leak</t>
  </si>
  <si>
    <t>FLR</t>
  </si>
  <si>
    <t>MPF</t>
  </si>
  <si>
    <t>FastKntcs</t>
  </si>
  <si>
    <t>LeafQ</t>
  </si>
  <si>
    <t>Const</t>
  </si>
  <si>
    <t>Meas</t>
  </si>
  <si>
    <t>Meas2</t>
  </si>
  <si>
    <t>FlrLS</t>
  </si>
  <si>
    <t>FlrStats</t>
  </si>
  <si>
    <t>MchEvent</t>
  </si>
  <si>
    <t>Stability</t>
  </si>
  <si>
    <t>Raw</t>
  </si>
  <si>
    <t>Status2</t>
  </si>
  <si>
    <t>Auxiliary</t>
  </si>
  <si>
    <t>MchStatus</t>
  </si>
  <si>
    <t>ConStatus</t>
  </si>
  <si>
    <t>Status</t>
  </si>
  <si>
    <t>obs</t>
  </si>
  <si>
    <t>time</t>
  </si>
  <si>
    <t>elapsed</t>
  </si>
  <si>
    <t>date</t>
  </si>
  <si>
    <t>hhmmss</t>
  </si>
  <si>
    <t>averaging</t>
  </si>
  <si>
    <t>replicate</t>
  </si>
  <si>
    <t>event</t>
  </si>
  <si>
    <t>TIME</t>
  </si>
  <si>
    <t>E</t>
  </si>
  <si>
    <t>Emm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</si>
  <si>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</si>
  <si>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</si>
  <si>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</si>
  <si>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</si>
  <si>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</si>
  <si>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</si>
  <si>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</si>
  <si>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</si>
  <si>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</si>
  <si>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</si>
  <si>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</si>
  <si>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</si>
  <si>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</si>
  <si>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</si>
  <si>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</si>
  <si>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</si>
  <si>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</si>
  <si>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</si>
  <si>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</si>
  <si>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</si>
  <si>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</si>
  <si>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LeakPct</t>
  </si>
  <si>
    <t>CorrFact</t>
  </si>
  <si>
    <t>CorrFactPct</t>
  </si>
  <si>
    <t>Fan</t>
  </si>
  <si>
    <t>DarkAdaptedID</t>
  </si>
  <si>
    <t>Qmax_d</t>
  </si>
  <si>
    <t>Fo</t>
  </si>
  <si>
    <t>Fm</t>
  </si>
  <si>
    <t>Fv/Fm</t>
  </si>
  <si>
    <t>A_dark</t>
  </si>
  <si>
    <t>LightAdaptedID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</si>
  <si>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</si>
  <si>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</si>
  <si>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</si>
  <si>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</si>
  <si>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</si>
  <si>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</si>
  <si>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</si>
  <si>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</si>
  <si>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</si>
  <si>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</si>
  <si>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</si>
  <si>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</si>
  <si>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</si>
  <si>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</si>
  <si>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</si>
  <si>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</si>
  <si>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</si>
  <si>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</si>
  <si>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</si>
  <si>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</si>
  <si>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</si>
  <si>
    <t>ID</t>
  </si>
  <si>
    <t>P1_dur</t>
  </si>
  <si>
    <t>P1_Fmax</t>
  </si>
  <si>
    <t>T@P1_Fmax</t>
  </si>
  <si>
    <t>Q@P1_Fmax</t>
  </si>
  <si>
    <t>P1_PredF</t>
  </si>
  <si>
    <t>P1_ΔF</t>
  </si>
  <si>
    <t>P2_dur</t>
  </si>
  <si>
    <t>P2_ramp</t>
  </si>
  <si>
    <t>P2_int</t>
  </si>
  <si>
    <t>P2_int_se</t>
  </si>
  <si>
    <t>P2_slp</t>
  </si>
  <si>
    <t>P2_slp_se</t>
  </si>
  <si>
    <t>P2_R2</t>
  </si>
  <si>
    <t>P2_dQdt</t>
  </si>
  <si>
    <t>P3_dur</t>
  </si>
  <si>
    <t>P3_Fmax</t>
  </si>
  <si>
    <t>T@P3_Fmax</t>
  </si>
  <si>
    <t>Q@P3_Fmax</t>
  </si>
  <si>
    <t>P3_PredF</t>
  </si>
  <si>
    <t>P3_ΔF</t>
  </si>
  <si>
    <t>Dur</t>
  </si>
  <si>
    <t>DCo</t>
  </si>
  <si>
    <t>InitSlope</t>
  </si>
  <si>
    <t>F1</t>
  </si>
  <si>
    <t>T@F1</t>
  </si>
  <si>
    <t>T@HIR</t>
  </si>
  <si>
    <t>F2</t>
  </si>
  <si>
    <t>T@F2</t>
  </si>
  <si>
    <t>DCmax</t>
  </si>
  <si>
    <t>T@DCmax</t>
  </si>
  <si>
    <t>PhiPS2_dc</t>
  </si>
  <si>
    <t>Qin</t>
  </si>
  <si>
    <t>Qabs</t>
  </si>
  <si>
    <t>alpha</t>
  </si>
  <si>
    <t>convert</t>
  </si>
  <si>
    <t>S</t>
  </si>
  <si>
    <t>K</t>
  </si>
  <si>
    <t>Geometry</t>
  </si>
  <si>
    <t>Custom</t>
  </si>
  <si>
    <t>CO2_s</t>
  </si>
  <si>
    <t>CO2_r</t>
  </si>
  <si>
    <t>H2O_s</t>
  </si>
  <si>
    <t>H2O_r</t>
  </si>
  <si>
    <t>CO2_a</t>
  </si>
  <si>
    <t>H2O_a</t>
  </si>
  <si>
    <t>Flow</t>
  </si>
  <si>
    <t>Pa</t>
  </si>
  <si>
    <t>ΔPcham</t>
  </si>
  <si>
    <t>Tair</t>
  </si>
  <si>
    <t>Tleaf</t>
  </si>
  <si>
    <t>Tleaf2</t>
  </si>
  <si>
    <t>Offset</t>
  </si>
  <si>
    <t>Offset2</t>
  </si>
  <si>
    <t>Fan_speed</t>
  </si>
  <si>
    <t>Qamb_in</t>
  </si>
  <si>
    <t>Qamb_out</t>
  </si>
  <si>
    <t>ΔCO2</t>
  </si>
  <si>
    <t>CO2_s_d</t>
  </si>
  <si>
    <t>CO2_r_d</t>
  </si>
  <si>
    <t>ΔH2O</t>
  </si>
  <si>
    <t>CO2_b</t>
  </si>
  <si>
    <t>H2O_b</t>
  </si>
  <si>
    <t>e_s</t>
  </si>
  <si>
    <t>e_r</t>
  </si>
  <si>
    <t>Td_s</t>
  </si>
  <si>
    <t>Td_r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</si>
  <si>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</si>
  <si>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</si>
  <si>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</si>
  <si>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</si>
  <si>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</si>
  <si>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</si>
  <si>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</si>
  <si>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</si>
  <si>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</si>
  <si>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</si>
  <si>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</si>
  <si>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</si>
  <si>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</si>
  <si>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</si>
  <si>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</si>
  <si>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</si>
  <si>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</si>
  <si>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state</t>
  </si>
  <si>
    <t>F_avg</t>
  </si>
  <si>
    <t>dF/dt</t>
  </si>
  <si>
    <t>dF_dc/dt</t>
  </si>
  <si>
    <t>F_dc_avg</t>
  </si>
  <si>
    <t>period</t>
  </si>
  <si>
    <t>co2_t</t>
  </si>
  <si>
    <t>h2o_t</t>
  </si>
  <si>
    <t>count</t>
  </si>
  <si>
    <t>co2_adj</t>
  </si>
  <si>
    <t>h2o_adj</t>
  </si>
  <si>
    <t>co2_match</t>
  </si>
  <si>
    <t>h2o_match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</si>
  <si>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</si>
  <si>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</si>
  <si>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</si>
  <si>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</si>
  <si>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</si>
  <si>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</si>
  <si>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</si>
  <si>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</si>
  <si>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gsw:MN</t>
  </si>
  <si>
    <t>gsw:SLP</t>
  </si>
  <si>
    <t>gsw:SD</t>
  </si>
  <si>
    <t>gsw:OK</t>
  </si>
  <si>
    <t>Stable</t>
  </si>
  <si>
    <t>Total</t>
  </si>
  <si>
    <t>State</t>
  </si>
  <si>
    <t>Vflow</t>
  </si>
  <si>
    <t>VPchamber</t>
  </si>
  <si>
    <t>abs_c_a</t>
  </si>
  <si>
    <t>abs_c_b</t>
  </si>
  <si>
    <t>abs_h_a</t>
  </si>
  <si>
    <t>abs_h_b</t>
  </si>
  <si>
    <t>Wc_s</t>
  </si>
  <si>
    <t>Wc_r</t>
  </si>
  <si>
    <t>Wco_s</t>
  </si>
  <si>
    <t>Wco_r</t>
  </si>
  <si>
    <t>Ww_s</t>
  </si>
  <si>
    <t>Ww_r</t>
  </si>
  <si>
    <t>Wwo_s</t>
  </si>
  <si>
    <t>Wwo_r</t>
  </si>
  <si>
    <t>Flow_s_v</t>
  </si>
  <si>
    <t>Flow_r_v</t>
  </si>
  <si>
    <t>Tleaf_mv</t>
  </si>
  <si>
    <t>Tleaf2_mv</t>
  </si>
  <si>
    <t>Tleaf_j</t>
  </si>
  <si>
    <t>Tleaf2_j</t>
  </si>
  <si>
    <t>Console_RH</t>
  </si>
  <si>
    <t>Console_T</t>
  </si>
  <si>
    <t>Console_H2O</t>
  </si>
  <si>
    <t>Fan_%</t>
  </si>
  <si>
    <t>Flow_%</t>
  </si>
  <si>
    <t>Pump</t>
  </si>
  <si>
    <t>Tchp_pwm</t>
  </si>
  <si>
    <t>Txchg_pwm</t>
  </si>
  <si>
    <t>diag_20v</t>
  </si>
  <si>
    <t>diag_5_4v</t>
  </si>
  <si>
    <t>diag_12v</t>
  </si>
  <si>
    <t>diag_5va</t>
  </si>
  <si>
    <t>diag_3_3vf</t>
  </si>
  <si>
    <t>AccCO2_soda</t>
  </si>
  <si>
    <t>AccH2O_des</t>
  </si>
  <si>
    <t>AccH2O_hum</t>
  </si>
  <si>
    <t>CO2_hrs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</si>
  <si>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</si>
  <si>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</si>
  <si>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</si>
  <si>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</si>
  <si>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</si>
  <si>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</si>
  <si>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</si>
  <si>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</si>
  <si>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</si>
  <si>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</si>
  <si>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</si>
  <si>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</si>
  <si>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</si>
  <si>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</si>
  <si>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</si>
  <si>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</si>
  <si>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</si>
  <si>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</si>
  <si>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</si>
  <si>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</si>
  <si>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</si>
  <si>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</si>
  <si>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</si>
  <si>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cf_co2_a</t>
  </si>
  <si>
    <t>cf_co2_b</t>
  </si>
  <si>
    <t>cf_co2_c</t>
  </si>
  <si>
    <t>cf_co2_d</t>
  </si>
  <si>
    <t>cf_h2o_a</t>
  </si>
  <si>
    <t>cf_h2o_b</t>
  </si>
  <si>
    <t>cf_h2o_c</t>
  </si>
  <si>
    <t>cf_h2o_d</t>
  </si>
  <si>
    <t>co2_fit_low</t>
  </si>
  <si>
    <t>co2_fit_high</t>
  </si>
  <si>
    <t>h2o_fit_low</t>
  </si>
  <si>
    <t>h2o_fit_high</t>
  </si>
  <si>
    <t>co2_elapsed</t>
  </si>
  <si>
    <t>h2o_elapsed</t>
  </si>
  <si>
    <t>CO2_f</t>
  </si>
  <si>
    <t>CO2_f_s</t>
  </si>
  <si>
    <t>Pump_f</t>
  </si>
  <si>
    <t>Pump_f_s</t>
  </si>
  <si>
    <t>Pump_p</t>
  </si>
  <si>
    <t>Pump_p_s</t>
  </si>
  <si>
    <t>Tboard</t>
  </si>
  <si>
    <t>V_system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</si>
  <si>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</si>
  <si>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</si>
  <si>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</si>
  <si>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</si>
  <si>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</si>
  <si>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</si>
  <si>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</si>
  <si>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</si>
  <si>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</si>
  <si>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</si>
  <si>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</si>
  <si>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</si>
  <si>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</si>
  <si>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</si>
  <si>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</si>
  <si>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</si>
  <si>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</si>
  <si>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</si>
  <si>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mmol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</si>
  <si>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</si>
  <si>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</si>
  <si>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</si>
  <si>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</si>
  <si>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</si>
  <si>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</si>
  <si>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</si>
  <si>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</si>
  <si>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ms</t>
  </si>
  <si>
    <t>centimol m⁻² s⁻¹</t>
  </si>
  <si>
    <t>mol m⁻² s⁻²</t>
  </si>
  <si>
    <t>s⁻¹</t>
  </si>
  <si>
    <t>J/µmol</t>
  </si>
  <si>
    <t>cm²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</si>
  <si>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</si>
  <si>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</si>
  <si>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</si>
  <si>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</si>
  <si>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</si>
  <si>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</si>
  <si>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</si>
  <si>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mol m⁻² s⁻¹ min⁻¹</t>
  </si>
  <si>
    <t>V</t>
  </si>
  <si>
    <t>mV</t>
  </si>
  <si>
    <t>mg</t>
  </si>
  <si>
    <t>hrs</t>
  </si>
  <si>
    <t>min</t>
  </si>
  <si>
    <t>20230124 09:27:32</t>
  </si>
  <si>
    <t>09:27:32</t>
  </si>
  <si>
    <t>none</t>
  </si>
  <si>
    <t>1</t>
  </si>
  <si>
    <t>hn1a</t>
  </si>
  <si>
    <t>MPF-9056-20220831-11_12_14</t>
  </si>
  <si>
    <t>MPF-9058-20230124-09_27_32</t>
  </si>
  <si>
    <t>DARK-9059-20230124-09_27_39</t>
  </si>
  <si>
    <t>0: Broadleaf</t>
  </si>
  <si>
    <t>09:26:57</t>
  </si>
  <si>
    <t>2/2</t>
  </si>
  <si>
    <t>11111111</t>
  </si>
  <si>
    <t>oooooooo</t>
  </si>
  <si>
    <t>off</t>
  </si>
  <si>
    <t>20230124 09:29:30</t>
  </si>
  <si>
    <t>09:29:30</t>
  </si>
  <si>
    <t>MPF-9060-20230124-09_29_29</t>
  </si>
  <si>
    <t>DARK-9061-20230124-09_29_36</t>
  </si>
  <si>
    <t>09:28:56</t>
  </si>
  <si>
    <t>20230124 09:31:19</t>
  </si>
  <si>
    <t>09:31:19</t>
  </si>
  <si>
    <t>MPF-9062-20230124-09_31_19</t>
  </si>
  <si>
    <t>DARK-9063-20230124-09_31_26</t>
  </si>
  <si>
    <t>09:30:46</t>
  </si>
  <si>
    <t>20230124 09:33:31</t>
  </si>
  <si>
    <t>09:33:31</t>
  </si>
  <si>
    <t>MPF-9064-20230124-09_33_30</t>
  </si>
  <si>
    <t>DARK-9065-20230124-09_33_37</t>
  </si>
  <si>
    <t>09:32:58</t>
  </si>
  <si>
    <t>20230124 09:35:24</t>
  </si>
  <si>
    <t>09:35:24</t>
  </si>
  <si>
    <t>MPF-9066-20230124-09_35_24</t>
  </si>
  <si>
    <t>DARK-9067-20230124-09_35_31</t>
  </si>
  <si>
    <t>09:34:51</t>
  </si>
  <si>
    <t>20230124 09:37:04</t>
  </si>
  <si>
    <t>09:37:04</t>
  </si>
  <si>
    <t>MPF-9068-20230124-09_37_03</t>
  </si>
  <si>
    <t>DARK-9069-20230124-09_37_10</t>
  </si>
  <si>
    <t>09:37:32</t>
  </si>
  <si>
    <t>20230124 09:39:48</t>
  </si>
  <si>
    <t>09:39:48</t>
  </si>
  <si>
    <t>MPF-9070-20230124-09_39_48</t>
  </si>
  <si>
    <t>DARK-9071-20230124-09_39_55</t>
  </si>
  <si>
    <t>09:39:14</t>
  </si>
  <si>
    <t>20230124 09:42:58</t>
  </si>
  <si>
    <t>09:42:58</t>
  </si>
  <si>
    <t>MPF-9072-20230124-09_42_57</t>
  </si>
  <si>
    <t>DARK-9073-20230124-09_43_04</t>
  </si>
  <si>
    <t>09:41:44</t>
  </si>
  <si>
    <t>1/2</t>
  </si>
  <si>
    <t>20230124 09:45:45</t>
  </si>
  <si>
    <t>09:45:45</t>
  </si>
  <si>
    <t>MPF-9074-20230124-09_45_45</t>
  </si>
  <si>
    <t>DARK-9075-20230124-09_45_52</t>
  </si>
  <si>
    <t>09:44:13</t>
  </si>
  <si>
    <t>20230124 09:47:36</t>
  </si>
  <si>
    <t>09:47:36</t>
  </si>
  <si>
    <t>MPF-9076-20230124-09_47_36</t>
  </si>
  <si>
    <t>DARK-9077-20230124-09_47_43</t>
  </si>
  <si>
    <t>09:47:03</t>
  </si>
  <si>
    <t>20230124 09:49:35</t>
  </si>
  <si>
    <t>09:49:35</t>
  </si>
  <si>
    <t>MPF-9078-20230124-09_49_34</t>
  </si>
  <si>
    <t>DARK-9079-20230124-09_49_41</t>
  </si>
  <si>
    <t>09:49:01</t>
  </si>
  <si>
    <t>20230124 09:51:24</t>
  </si>
  <si>
    <t>09:51:24</t>
  </si>
  <si>
    <t>MPF-9080-20230124-09_51_23</t>
  </si>
  <si>
    <t>DARK-9081-20230124-09_51_30</t>
  </si>
  <si>
    <t>09:50:50</t>
  </si>
  <si>
    <t>20230124 09:53:27</t>
  </si>
  <si>
    <t>09:53:27</t>
  </si>
  <si>
    <t>MPF-9082-20230124-09_53_27</t>
  </si>
  <si>
    <t>DARK-9083-20230124-09_53_34</t>
  </si>
  <si>
    <t>09:52:53</t>
  </si>
  <si>
    <t>20230124 09:55:08</t>
  </si>
  <si>
    <t>09:55:08</t>
  </si>
  <si>
    <t>MPF-9084-20230124-09_55_08</t>
  </si>
  <si>
    <t>DARK-9085-20230124-09_55_15</t>
  </si>
  <si>
    <t>09:54:35</t>
  </si>
  <si>
    <t>20230124 10:29:16</t>
  </si>
  <si>
    <t>10:29:16</t>
  </si>
  <si>
    <t>2</t>
  </si>
  <si>
    <t>WT</t>
  </si>
  <si>
    <t>MPF-9086-20230124-10_29_15</t>
  </si>
  <si>
    <t>DARK-9087-20230124-10_29_22</t>
  </si>
  <si>
    <t>10:28:43</t>
  </si>
  <si>
    <t>20230124 10:31:05</t>
  </si>
  <si>
    <t>10:31:05</t>
  </si>
  <si>
    <t>MPF-9088-20230124-10_31_05</t>
  </si>
  <si>
    <t>DARK-9089-20230124-10_31_12</t>
  </si>
  <si>
    <t>10:30:32</t>
  </si>
  <si>
    <t>20230124 10:32:58</t>
  </si>
  <si>
    <t>10:32:58</t>
  </si>
  <si>
    <t>MPF-9090-20230124-10_32_58</t>
  </si>
  <si>
    <t>DARK-9091-20230124-10_33_05</t>
  </si>
  <si>
    <t>10:32:26</t>
  </si>
  <si>
    <t>20230124 10:34:57</t>
  </si>
  <si>
    <t>10:34:57</t>
  </si>
  <si>
    <t>MPF-9092-20230124-10_34_57</t>
  </si>
  <si>
    <t>DARK-9093-20230124-10_35_04</t>
  </si>
  <si>
    <t>10:34:24</t>
  </si>
  <si>
    <t>20230124 10:36:50</t>
  </si>
  <si>
    <t>10:36:50</t>
  </si>
  <si>
    <t>MPF-9094-20230124-10_36_49</t>
  </si>
  <si>
    <t>DARK-9095-20230124-10_36_57</t>
  </si>
  <si>
    <t>10:36:14</t>
  </si>
  <si>
    <t>20230124 10:38:41</t>
  </si>
  <si>
    <t>10:38:41</t>
  </si>
  <si>
    <t>MPF-9096-20230124-10_38_41</t>
  </si>
  <si>
    <t>DARK-9097-20230124-10_38_48</t>
  </si>
  <si>
    <t>10:38:07</t>
  </si>
  <si>
    <t>20230124 10:40:47</t>
  </si>
  <si>
    <t>10:40:47</t>
  </si>
  <si>
    <t>MPF-9098-20230124-10_40_46</t>
  </si>
  <si>
    <t>DARK-9099-20230124-10_40_53</t>
  </si>
  <si>
    <t>10:40:11</t>
  </si>
  <si>
    <t>20230124 10:43:57</t>
  </si>
  <si>
    <t>10:43:57</t>
  </si>
  <si>
    <t>MPF-9100-20230124-10_43_56</t>
  </si>
  <si>
    <t>DARK-9101-20230124-10_44_03</t>
  </si>
  <si>
    <t>10:42:25</t>
  </si>
  <si>
    <t>20230124 10:46:40</t>
  </si>
  <si>
    <t>10:46:40</t>
  </si>
  <si>
    <t>MPF-9102-20230124-10_46_40</t>
  </si>
  <si>
    <t>DARK-9103-20230124-10_46_47</t>
  </si>
  <si>
    <t>10:45:12</t>
  </si>
  <si>
    <t>20230124 10:48:34</t>
  </si>
  <si>
    <t>10:48:34</t>
  </si>
  <si>
    <t>MPF-9104-20230124-10_48_34</t>
  </si>
  <si>
    <t>DARK-9105-20230124-10_48_41</t>
  </si>
  <si>
    <t>10:48:01</t>
  </si>
  <si>
    <t>20230124 10:50:19</t>
  </si>
  <si>
    <t>10:50:19</t>
  </si>
  <si>
    <t>MPF-9106-20230124-10_50_18</t>
  </si>
  <si>
    <t>DARK-9107-20230124-10_50_26</t>
  </si>
  <si>
    <t>10:49:47</t>
  </si>
  <si>
    <t>20230124 10:52:05</t>
  </si>
  <si>
    <t>10:52:05</t>
  </si>
  <si>
    <t>MPF-9108-20230124-10_52_05</t>
  </si>
  <si>
    <t>DARK-9109-20230124-10_52_12</t>
  </si>
  <si>
    <t>10:51:32</t>
  </si>
  <si>
    <t>20230124 10:53:52</t>
  </si>
  <si>
    <t>10:53:52</t>
  </si>
  <si>
    <t>MPF-9110-20230124-10_53_52</t>
  </si>
  <si>
    <t>DARK-9111-20230124-10_53_59</t>
  </si>
  <si>
    <t>10:53:20</t>
  </si>
  <si>
    <t>20230124 10:55:42</t>
  </si>
  <si>
    <t>10:55:42</t>
  </si>
  <si>
    <t>MPF-9112-20230124-10_55_41</t>
  </si>
  <si>
    <t>DARK-9113-20230124-10_55_49</t>
  </si>
  <si>
    <t>10:55:07</t>
  </si>
  <si>
    <t>20230124 11:26:48</t>
  </si>
  <si>
    <t>11:26:48</t>
  </si>
  <si>
    <t>3</t>
  </si>
  <si>
    <t>zg12a</t>
  </si>
  <si>
    <t>MPF-9114-20230124-11_26_48</t>
  </si>
  <si>
    <t>DARK-9115-20230124-11_26_55</t>
  </si>
  <si>
    <t>11:26:16</t>
  </si>
  <si>
    <t>20230124 11:28:35</t>
  </si>
  <si>
    <t>11:28:35</t>
  </si>
  <si>
    <t>MPF-9116-20230124-11_28_35</t>
  </si>
  <si>
    <t>DARK-9117-20230124-11_28_42</t>
  </si>
  <si>
    <t>11:28:03</t>
  </si>
  <si>
    <t>20230124 11:30:25</t>
  </si>
  <si>
    <t>11:30:25</t>
  </si>
  <si>
    <t>MPF-9118-20230124-11_30_25</t>
  </si>
  <si>
    <t>DARK-9119-20230124-11_30_32</t>
  </si>
  <si>
    <t>11:29:53</t>
  </si>
  <si>
    <t>20230124 11:32:05</t>
  </si>
  <si>
    <t>11:32:05</t>
  </si>
  <si>
    <t>MPF-9120-20230124-11_32_04</t>
  </si>
  <si>
    <t>DARK-9121-20230124-11_32_12</t>
  </si>
  <si>
    <t>11:32:36</t>
  </si>
  <si>
    <t>20230124 11:34:33</t>
  </si>
  <si>
    <t>11:34:33</t>
  </si>
  <si>
    <t>MPF-9122-20230124-11_34_32</t>
  </si>
  <si>
    <t>DARK-9123-20230124-11_34_40</t>
  </si>
  <si>
    <t>11:33:58</t>
  </si>
  <si>
    <t>20230124 11:36:36</t>
  </si>
  <si>
    <t>11:36:36</t>
  </si>
  <si>
    <t>MPF-9124-20230124-11_36_36</t>
  </si>
  <si>
    <t>DARK-9125-20230124-11_36_43</t>
  </si>
  <si>
    <t>11:36:02</t>
  </si>
  <si>
    <t>20230124 11:38:21</t>
  </si>
  <si>
    <t>11:38:21</t>
  </si>
  <si>
    <t>MPF-9126-20230124-11_38_20</t>
  </si>
  <si>
    <t>DARK-9127-20230124-11_38_28</t>
  </si>
  <si>
    <t>11:37:47</t>
  </si>
  <si>
    <t>20230124 11:41:31</t>
  </si>
  <si>
    <t>11:41:31</t>
  </si>
  <si>
    <t>MPF-9128-20230124-11_41_30</t>
  </si>
  <si>
    <t>DARK-9129-20230124-11_41_38</t>
  </si>
  <si>
    <t>11:39:32</t>
  </si>
  <si>
    <t>20230124 11:43:20</t>
  </si>
  <si>
    <t>11:43:20</t>
  </si>
  <si>
    <t>MPF-9130-20230124-11_43_19</t>
  </si>
  <si>
    <t>DARK-9131-20230124-11_43_27</t>
  </si>
  <si>
    <t>11:42:47</t>
  </si>
  <si>
    <t>20230124 11:45:09</t>
  </si>
  <si>
    <t>11:45:09</t>
  </si>
  <si>
    <t>MPF-9132-20230124-11_45_08</t>
  </si>
  <si>
    <t>DARK-9133-20230124-11_45_16</t>
  </si>
  <si>
    <t>11:44:37</t>
  </si>
  <si>
    <t>20230124 11:46:58</t>
  </si>
  <si>
    <t>11:46:58</t>
  </si>
  <si>
    <t>MPF-9134-20230124-11_46_58</t>
  </si>
  <si>
    <t>DARK-9135-20230124-11_47_05</t>
  </si>
  <si>
    <t>11:46:25</t>
  </si>
  <si>
    <t>20230124 11:48:47</t>
  </si>
  <si>
    <t>11:48:47</t>
  </si>
  <si>
    <t>MPF-9136-20230124-11_48_46</t>
  </si>
  <si>
    <t>DARK-9137-20230124-11_48_54</t>
  </si>
  <si>
    <t>11:48:15</t>
  </si>
  <si>
    <t>20230124 11:50:43</t>
  </si>
  <si>
    <t>11:50:43</t>
  </si>
  <si>
    <t>MPF-9138-20230124-11_50_42</t>
  </si>
  <si>
    <t>DARK-9139-20230124-11_50_50</t>
  </si>
  <si>
    <t>11:50:09</t>
  </si>
  <si>
    <t>20230124 11:52:32</t>
  </si>
  <si>
    <t>11:52:32</t>
  </si>
  <si>
    <t>MPF-9140-20230124-11_52_32</t>
  </si>
  <si>
    <t>DARK-9141-20230124-11_52_39</t>
  </si>
  <si>
    <t>11:51:57</t>
  </si>
  <si>
    <t>20230124 12:17:05</t>
  </si>
  <si>
    <t>12:17:05</t>
  </si>
  <si>
    <t>zg5b</t>
  </si>
  <si>
    <t>MPF-9142-20230124-12_17_05</t>
  </si>
  <si>
    <t>DARK-9143-20230124-12_17_12</t>
  </si>
  <si>
    <t>12:16:32</t>
  </si>
  <si>
    <t>20230124 12:19:10</t>
  </si>
  <si>
    <t>12:19:10</t>
  </si>
  <si>
    <t>MPF-9144-20230124-12_19_10</t>
  </si>
  <si>
    <t>DARK-9145-20230124-12_19_17</t>
  </si>
  <si>
    <t>12:18:37</t>
  </si>
  <si>
    <t>20230124 12:21:04</t>
  </si>
  <si>
    <t>12:21:04</t>
  </si>
  <si>
    <t>MPF-9146-20230124-12_21_04</t>
  </si>
  <si>
    <t>DARK-9147-20230124-12_21_11</t>
  </si>
  <si>
    <t>12:20:29</t>
  </si>
  <si>
    <t>20230124 12:23:04</t>
  </si>
  <si>
    <t>12:23:04</t>
  </si>
  <si>
    <t>MPF-9148-20230124-12_23_04</t>
  </si>
  <si>
    <t>DARK-9149-20230124-12_23_11</t>
  </si>
  <si>
    <t>12:22:32</t>
  </si>
  <si>
    <t>20230124 12:24:58</t>
  </si>
  <si>
    <t>12:24:58</t>
  </si>
  <si>
    <t>MPF-9150-20230124-12_24_58</t>
  </si>
  <si>
    <t>DARK-9151-20230124-12_25_05</t>
  </si>
  <si>
    <t>12:24:23</t>
  </si>
  <si>
    <t>20230124 12:26:46</t>
  </si>
  <si>
    <t>12:26:46</t>
  </si>
  <si>
    <t>MPF-9152-20230124-12_26_46</t>
  </si>
  <si>
    <t>DARK-9153-20230124-12_26_53</t>
  </si>
  <si>
    <t>12:26:13</t>
  </si>
  <si>
    <t>20230124 12:28:36</t>
  </si>
  <si>
    <t>12:28:36</t>
  </si>
  <si>
    <t>MPF-9154-20230124-12_28_35</t>
  </si>
  <si>
    <t>DARK-9155-20230124-12_28_43</t>
  </si>
  <si>
    <t>12:28:02</t>
  </si>
  <si>
    <t>20230124 12:31:45</t>
  </si>
  <si>
    <t>12:31:45</t>
  </si>
  <si>
    <t>MPF-9156-20230124-12_31_45</t>
  </si>
  <si>
    <t>DARK-9157-20230124-12_31_52</t>
  </si>
  <si>
    <t>12:30:14</t>
  </si>
  <si>
    <t>0/2</t>
  </si>
  <si>
    <t>20230124 12:34:22</t>
  </si>
  <si>
    <t>12:34:22</t>
  </si>
  <si>
    <t>MPF-9158-20230124-12_34_21</t>
  </si>
  <si>
    <t>DARK-9159-20230124-12_34_29</t>
  </si>
  <si>
    <t>12:33:47</t>
  </si>
  <si>
    <t>20230124 12:36:07</t>
  </si>
  <si>
    <t>12:36:07</t>
  </si>
  <si>
    <t>MPF-9160-20230124-12_36_07</t>
  </si>
  <si>
    <t>DARK-9161-20230124-12_36_14</t>
  </si>
  <si>
    <t>12:35:35</t>
  </si>
  <si>
    <t>20230124 12:37:54</t>
  </si>
  <si>
    <t>12:37:54</t>
  </si>
  <si>
    <t>MPF-9162-20230124-12_37_54</t>
  </si>
  <si>
    <t>DARK-9163-20230124-12_38_01</t>
  </si>
  <si>
    <t>12:37:21</t>
  </si>
  <si>
    <t>20230124 12:39:51</t>
  </si>
  <si>
    <t>12:39:51</t>
  </si>
  <si>
    <t>MPF-9164-20230124-12_39_51</t>
  </si>
  <si>
    <t>DARK-9165-20230124-12_39_58</t>
  </si>
  <si>
    <t>12:39:19</t>
  </si>
  <si>
    <t>20230124 12:41:42</t>
  </si>
  <si>
    <t>12:41:42</t>
  </si>
  <si>
    <t>MPF-9166-20230124-12_41_41</t>
  </si>
  <si>
    <t>DARK-9167-20230124-12_41_49</t>
  </si>
  <si>
    <t>12:41:09</t>
  </si>
  <si>
    <t>20230124 12:43:49</t>
  </si>
  <si>
    <t>12:43:49</t>
  </si>
  <si>
    <t>MPF-9168-20230124-12_43_49</t>
  </si>
  <si>
    <t>DARK-9169-20230124-12_43_56</t>
  </si>
  <si>
    <t>12:43:16</t>
  </si>
  <si>
    <t>20230124 13:44:01</t>
  </si>
  <si>
    <t>13:44:01</t>
  </si>
  <si>
    <t>5</t>
  </si>
  <si>
    <t>MPF-9170-20230124-13_44_01</t>
  </si>
  <si>
    <t>DARK-9171-20230124-13_44_08</t>
  </si>
  <si>
    <t>13:43:28</t>
  </si>
  <si>
    <t>20230124 13:45:55</t>
  </si>
  <si>
    <t>13:45:55</t>
  </si>
  <si>
    <t>MPF-9172-20230124-13_45_55</t>
  </si>
  <si>
    <t>DARK-9173-20230124-13_46_02</t>
  </si>
  <si>
    <t>13:45:22</t>
  </si>
  <si>
    <t>20230124 13:47:49</t>
  </si>
  <si>
    <t>13:47:49</t>
  </si>
  <si>
    <t>MPF-9174-20230124-13_47_49</t>
  </si>
  <si>
    <t>DARK-9175-20230124-13_47_56</t>
  </si>
  <si>
    <t>13:47:16</t>
  </si>
  <si>
    <t>20230124 13:50:05</t>
  </si>
  <si>
    <t>13:50:05</t>
  </si>
  <si>
    <t>MPF-9176-20230124-13_50_05</t>
  </si>
  <si>
    <t>DARK-9177-20230124-13_50_12</t>
  </si>
  <si>
    <t>13:49:32</t>
  </si>
  <si>
    <t>20230124 13:52:04</t>
  </si>
  <si>
    <t>13:52:04</t>
  </si>
  <si>
    <t>MPF-9178-20230124-13_52_04</t>
  </si>
  <si>
    <t>DARK-9179-20230124-13_52_11</t>
  </si>
  <si>
    <t>13:51:30</t>
  </si>
  <si>
    <t>20230124 13:54:25</t>
  </si>
  <si>
    <t>13:54:25</t>
  </si>
  <si>
    <t>MPF-9180-20230124-13_54_25</t>
  </si>
  <si>
    <t>DARK-9181-20230124-13_54_32</t>
  </si>
  <si>
    <t>13:53:50</t>
  </si>
  <si>
    <t>20230124 13:56:16</t>
  </si>
  <si>
    <t>13:56:16</t>
  </si>
  <si>
    <t>MPF-9182-20230124-13_56_16</t>
  </si>
  <si>
    <t>DARK-9183-20230124-13_56_23</t>
  </si>
  <si>
    <t>13:55:40</t>
  </si>
  <si>
    <t>20230124 13:59:25</t>
  </si>
  <si>
    <t>13:59:25</t>
  </si>
  <si>
    <t>MPF-9184-20230124-13_59_25</t>
  </si>
  <si>
    <t>DARK-9185-20230124-13_59_32</t>
  </si>
  <si>
    <t>13:58:01</t>
  </si>
  <si>
    <t>20230124 14:02:35</t>
  </si>
  <si>
    <t>14:02:35</t>
  </si>
  <si>
    <t>MPF-9186-20230124-14_02_35</t>
  </si>
  <si>
    <t>DARK-9187-20230124-14_02_42</t>
  </si>
  <si>
    <t>14:00:32</t>
  </si>
  <si>
    <t>20230124 14:04:29</t>
  </si>
  <si>
    <t>14:04:29</t>
  </si>
  <si>
    <t>MPF-9188-20230124-14_04_29</t>
  </si>
  <si>
    <t>DARK-9189-20230124-14_04_36</t>
  </si>
  <si>
    <t>14:03:55</t>
  </si>
  <si>
    <t>20230124 14:06:18</t>
  </si>
  <si>
    <t>14:06:18</t>
  </si>
  <si>
    <t>MPF-9190-20230124-14_06_18</t>
  </si>
  <si>
    <t>DARK-9191-20230124-14_06_26</t>
  </si>
  <si>
    <t>14:05:42</t>
  </si>
  <si>
    <t>20230124 14:08:09</t>
  </si>
  <si>
    <t>14:08:09</t>
  </si>
  <si>
    <t>MPF-9192-20230124-14_08_09</t>
  </si>
  <si>
    <t>DARK-9193-20230124-14_08_16</t>
  </si>
  <si>
    <t>14:07:34</t>
  </si>
  <si>
    <t>20230124 14:10:00</t>
  </si>
  <si>
    <t>14:10:00</t>
  </si>
  <si>
    <t>MPF-9194-20230124-14_10_00</t>
  </si>
  <si>
    <t>DARK-9195-20230124-14_10_08</t>
  </si>
  <si>
    <t>14:09:28</t>
  </si>
  <si>
    <t>20230124 14:11:45</t>
  </si>
  <si>
    <t>14:11:45</t>
  </si>
  <si>
    <t>MPF-9196-20230124-14_11_45</t>
  </si>
  <si>
    <t>DARK-9197-20230124-14_11_52</t>
  </si>
  <si>
    <t>14:11:10</t>
  </si>
  <si>
    <t>20230124 14:37:20</t>
  </si>
  <si>
    <t>14:37:20</t>
  </si>
  <si>
    <t>6</t>
  </si>
  <si>
    <t>MPF-9198-20230124-14_37_20</t>
  </si>
  <si>
    <t>DARK-9199-20230124-14_37_28</t>
  </si>
  <si>
    <t>14:36:47</t>
  </si>
  <si>
    <t>20230124 14:39:13</t>
  </si>
  <si>
    <t>14:39:13</t>
  </si>
  <si>
    <t>MPF-9200-20230124-14_39_13</t>
  </si>
  <si>
    <t>DARK-9201-20230124-14_39_20</t>
  </si>
  <si>
    <t>14:38:41</t>
  </si>
  <si>
    <t>20230124 14:41:29</t>
  </si>
  <si>
    <t>14:41:29</t>
  </si>
  <si>
    <t>MPF-9202-20230124-14_41_29</t>
  </si>
  <si>
    <t>DARK-9203-20230124-14_41_37</t>
  </si>
  <si>
    <t>14:40:56</t>
  </si>
  <si>
    <t>20230124 14:43:28</t>
  </si>
  <si>
    <t>14:43:28</t>
  </si>
  <si>
    <t>MPF-9204-20230124-14_43_28</t>
  </si>
  <si>
    <t>DARK-9205-20230124-14_43_36</t>
  </si>
  <si>
    <t>14:42:56</t>
  </si>
  <si>
    <t>20230124 14:45:26</t>
  </si>
  <si>
    <t>14:45:26</t>
  </si>
  <si>
    <t>MPF-9206-20230124-14_45_26</t>
  </si>
  <si>
    <t>DARK-9207-20230124-14_45_33</t>
  </si>
  <si>
    <t>14:44:50</t>
  </si>
  <si>
    <t>20230124 14:47:20</t>
  </si>
  <si>
    <t>14:47:20</t>
  </si>
  <si>
    <t>MPF-9208-20230124-14_47_20</t>
  </si>
  <si>
    <t>DARK-9209-20230124-14_47_28</t>
  </si>
  <si>
    <t>14:46:45</t>
  </si>
  <si>
    <t>20230124 14:49:17</t>
  </si>
  <si>
    <t>14:49:17</t>
  </si>
  <si>
    <t>MPF-9210-20230124-14_49_17</t>
  </si>
  <si>
    <t>DARK-9211-20230124-14_49_25</t>
  </si>
  <si>
    <t>14:48:41</t>
  </si>
  <si>
    <t>20230124 14:52:27</t>
  </si>
  <si>
    <t>14:52:27</t>
  </si>
  <si>
    <t>MPF-9212-20230124-14_52_27</t>
  </si>
  <si>
    <t>DARK-9213-20230124-14_52_34</t>
  </si>
  <si>
    <t>14:50:52</t>
  </si>
  <si>
    <t>20230124 14:55:36</t>
  </si>
  <si>
    <t>14:55:36</t>
  </si>
  <si>
    <t>MPF-9214-20230124-14_55_36</t>
  </si>
  <si>
    <t>DARK-9215-20230124-14_55_44</t>
  </si>
  <si>
    <t>14:53:41</t>
  </si>
  <si>
    <t>20230124 14:57:27</t>
  </si>
  <si>
    <t>14:57:27</t>
  </si>
  <si>
    <t>MPF-9216-20230124-14_57_27</t>
  </si>
  <si>
    <t>DARK-9217-20230124-14_57_34</t>
  </si>
  <si>
    <t>14:56:52</t>
  </si>
  <si>
    <t>20230124 14:59:24</t>
  </si>
  <si>
    <t>14:59:24</t>
  </si>
  <si>
    <t>MPF-9218-20230124-14_59_24</t>
  </si>
  <si>
    <t>DARK-9219-20230124-14_59_32</t>
  </si>
  <si>
    <t>14:58:46</t>
  </si>
  <si>
    <t>20230124 15:01:21</t>
  </si>
  <si>
    <t>15:01:21</t>
  </si>
  <si>
    <t>MPF-9220-20230124-15_01_21</t>
  </si>
  <si>
    <t>DARK-9221-20230124-15_01_29</t>
  </si>
  <si>
    <t>15:00:44</t>
  </si>
  <si>
    <t>20230124 15:03:17</t>
  </si>
  <si>
    <t>15:03:17</t>
  </si>
  <si>
    <t>MPF-9222-20230124-15_03_17</t>
  </si>
  <si>
    <t>DARK-9223-20230124-15_03_25</t>
  </si>
  <si>
    <t>15:02:44</t>
  </si>
  <si>
    <t>20230124 15:05:14</t>
  </si>
  <si>
    <t>15:05:14</t>
  </si>
  <si>
    <t>MPF-9224-20230124-15_05_14</t>
  </si>
  <si>
    <t>DARK-9225-20230124-15_05_21</t>
  </si>
  <si>
    <t>15:04:39</t>
  </si>
  <si>
    <t>20230124 15:29:01</t>
  </si>
  <si>
    <t>15:29:01</t>
  </si>
  <si>
    <t>7</t>
  </si>
  <si>
    <t>MPF-9226-20230124-15_29_01</t>
  </si>
  <si>
    <t>DARK-9227-20230124-15_29_09</t>
  </si>
  <si>
    <t>15:28:29</t>
  </si>
  <si>
    <t>20230124 15:30:51</t>
  </si>
  <si>
    <t>15:30:51</t>
  </si>
  <si>
    <t>MPF-9228-20230124-15_30_51</t>
  </si>
  <si>
    <t>DARK-9229-20230124-15_30_59</t>
  </si>
  <si>
    <t>15:30:18</t>
  </si>
  <si>
    <t>20230124 15:33:05</t>
  </si>
  <si>
    <t>15:33:05</t>
  </si>
  <si>
    <t>MPF-9230-20230124-15_33_05</t>
  </si>
  <si>
    <t>DARK-9231-20230124-15_33_13</t>
  </si>
  <si>
    <t>15:32:11</t>
  </si>
  <si>
    <t>20230124 15:35:38</t>
  </si>
  <si>
    <t>15:35:38</t>
  </si>
  <si>
    <t>MPF-9232-20230124-15_35_38</t>
  </si>
  <si>
    <t>DARK-9233-20230124-15_35_45</t>
  </si>
  <si>
    <t>15:35:03</t>
  </si>
  <si>
    <t>20230124 15:38:03</t>
  </si>
  <si>
    <t>15:38:03</t>
  </si>
  <si>
    <t>MPF-9234-20230124-15_38_03</t>
  </si>
  <si>
    <t>DARK-9235-20230124-15_38_11</t>
  </si>
  <si>
    <t>15:37:29</t>
  </si>
  <si>
    <t>20230124 15:39:58</t>
  </si>
  <si>
    <t>15:39:58</t>
  </si>
  <si>
    <t>MPF-9236-20230124-15_39_58</t>
  </si>
  <si>
    <t>DARK-9237-20230124-15_40_06</t>
  </si>
  <si>
    <t>15:39:24</t>
  </si>
  <si>
    <t>20230124 15:42:16</t>
  </si>
  <si>
    <t>15:42:16</t>
  </si>
  <si>
    <t>MPF-9238-20230124-15_42_16</t>
  </si>
  <si>
    <t>DARK-9239-20230124-15_42_24</t>
  </si>
  <si>
    <t>15:41:40</t>
  </si>
  <si>
    <t>20230124 15:45:26</t>
  </si>
  <si>
    <t>15:45:26</t>
  </si>
  <si>
    <t>MPF-9240-20230124-15_45_26</t>
  </si>
  <si>
    <t>DARK-9241-20230124-15_45_33</t>
  </si>
  <si>
    <t>15:43:39</t>
  </si>
  <si>
    <t>20230124 15:48:35</t>
  </si>
  <si>
    <t>15:48:35</t>
  </si>
  <si>
    <t>MPF-9242-20230124-15_48_35</t>
  </si>
  <si>
    <t>DARK-9243-20230124-15_48_43</t>
  </si>
  <si>
    <t>15:46:39</t>
  </si>
  <si>
    <t>20230124 15:50:27</t>
  </si>
  <si>
    <t>15:50:27</t>
  </si>
  <si>
    <t>MPF-9244-20230124-15_50_27</t>
  </si>
  <si>
    <t>DARK-9245-20230124-15_50_35</t>
  </si>
  <si>
    <t>15:49:54</t>
  </si>
  <si>
    <t>20230124 15:52:23</t>
  </si>
  <si>
    <t>15:52:23</t>
  </si>
  <si>
    <t>MPF-9246-20230124-15_52_23</t>
  </si>
  <si>
    <t>DARK-9247-20230124-15_52_30</t>
  </si>
  <si>
    <t>15:51:48</t>
  </si>
  <si>
    <t>20230124 15:54:15</t>
  </si>
  <si>
    <t>15:54:15</t>
  </si>
  <si>
    <t>MPF-9248-20230124-15_54_15</t>
  </si>
  <si>
    <t>DARK-9249-20230124-15_54_23</t>
  </si>
  <si>
    <t>15:53:39</t>
  </si>
  <si>
    <t>20230124 15:56:05</t>
  </si>
  <si>
    <t>15:56:05</t>
  </si>
  <si>
    <t>MPF-9250-20230124-15_56_05</t>
  </si>
  <si>
    <t>DARK-9251-20230124-15_56_13</t>
  </si>
  <si>
    <t>15:55:32</t>
  </si>
  <si>
    <t>20230124 15:57:52</t>
  </si>
  <si>
    <t>15:57:52</t>
  </si>
  <si>
    <t>MPF-9252-20230124-15_57_52</t>
  </si>
  <si>
    <t>DARK-9253-20230124-15_58_00</t>
  </si>
  <si>
    <t>15:57:18</t>
  </si>
  <si>
    <t>20230124 16:19:18</t>
  </si>
  <si>
    <t>16:19:18</t>
  </si>
  <si>
    <t>8</t>
  </si>
  <si>
    <t>MPF-9254-20230124-16_19_18</t>
  </si>
  <si>
    <t>DARK-9255-20230124-16_19_26</t>
  </si>
  <si>
    <t>16:18:43</t>
  </si>
  <si>
    <t>20230124 16:21:07</t>
  </si>
  <si>
    <t>16:21:07</t>
  </si>
  <si>
    <t>MPF-9256-20230124-16_21_07</t>
  </si>
  <si>
    <t>DARK-9257-20230124-16_21_14</t>
  </si>
  <si>
    <t>16:20:34</t>
  </si>
  <si>
    <t>20230124 16:23:30</t>
  </si>
  <si>
    <t>16:23:30</t>
  </si>
  <si>
    <t>MPF-9258-20230124-16_23_30</t>
  </si>
  <si>
    <t>DARK-9259-20230124-16_23_38</t>
  </si>
  <si>
    <t>16:22:41</t>
  </si>
  <si>
    <t>20230124 16:25:31</t>
  </si>
  <si>
    <t>16:25:31</t>
  </si>
  <si>
    <t>MPF-9260-20230124-16_25_31</t>
  </si>
  <si>
    <t>DARK-9261-20230124-16_25_39</t>
  </si>
  <si>
    <t>16:24:56</t>
  </si>
  <si>
    <t>20230124 16:27:45</t>
  </si>
  <si>
    <t>16:27:45</t>
  </si>
  <si>
    <t>MPF-9262-20230124-16_27_45</t>
  </si>
  <si>
    <t>DARK-9263-20230124-16_27_53</t>
  </si>
  <si>
    <t>16:27:10</t>
  </si>
  <si>
    <t>20230124 16:29:43</t>
  </si>
  <si>
    <t>16:29:43</t>
  </si>
  <si>
    <t>MPF-9264-20230124-16_29_43</t>
  </si>
  <si>
    <t>DARK-9265-20230124-16_29_50</t>
  </si>
  <si>
    <t>16:29:08</t>
  </si>
  <si>
    <t>20230124 16:31:33</t>
  </si>
  <si>
    <t>16:31:33</t>
  </si>
  <si>
    <t>MPF-9266-20230124-16_31_33</t>
  </si>
  <si>
    <t>DARK-9267-20230124-16_31_40</t>
  </si>
  <si>
    <t>16:30:57</t>
  </si>
  <si>
    <t>20230124 16:34:42</t>
  </si>
  <si>
    <t>16:34:42</t>
  </si>
  <si>
    <t>MPF-9268-20230124-16_34_42</t>
  </si>
  <si>
    <t>DARK-9269-20230124-16_34_50</t>
  </si>
  <si>
    <t>16:32:56</t>
  </si>
  <si>
    <t>20230124 16:36:29</t>
  </si>
  <si>
    <t>16:36:29</t>
  </si>
  <si>
    <t>MPF-9270-20230124-16_36_29</t>
  </si>
  <si>
    <t>DARK-9271-20230124-16_36_37</t>
  </si>
  <si>
    <t>16:35:57</t>
  </si>
  <si>
    <t>20230124 16:38:13</t>
  </si>
  <si>
    <t>16:38:13</t>
  </si>
  <si>
    <t>MPF-9272-20230124-16_38_13</t>
  </si>
  <si>
    <t>DARK-9273-20230124-16_38_21</t>
  </si>
  <si>
    <t>16:37:41</t>
  </si>
  <si>
    <t>20230124 16:40:02</t>
  </si>
  <si>
    <t>16:40:02</t>
  </si>
  <si>
    <t>MPF-9274-20230124-16_40_02</t>
  </si>
  <si>
    <t>DARK-9275-20230124-16_40_10</t>
  </si>
  <si>
    <t>16:39:29</t>
  </si>
  <si>
    <t>20230124 16:42:03</t>
  </si>
  <si>
    <t>16:42:03</t>
  </si>
  <si>
    <t>MPF-9276-20230124-16_42_03</t>
  </si>
  <si>
    <t>DARK-9277-20230124-16_42_11</t>
  </si>
  <si>
    <t>16:41:26</t>
  </si>
  <si>
    <t>20230124 16:44:07</t>
  </si>
  <si>
    <t>16:44:07</t>
  </si>
  <si>
    <t>MPF-9278-20230124-16_44_07</t>
  </si>
  <si>
    <t>DARK-9279-20230124-16_44_15</t>
  </si>
  <si>
    <t>16:43:26</t>
  </si>
  <si>
    <t>20230124 16:45:53</t>
  </si>
  <si>
    <t>16:45:53</t>
  </si>
  <si>
    <t>MPF-9280-20230124-16_45_53</t>
  </si>
  <si>
    <t>DARK-9281-20230124-16_46_01</t>
  </si>
  <si>
    <t>16:45:20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</si>
</sst>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T128"/>
  <sheetViews>
    <sheetView tabSelected="1" workbookViewId="0"/>
  </sheetViews>
  <sheetFormatPr defaultRowHeight="15" x14ac:dyDescent="0.25"/>
  <sheetData>
    <row r="2" spans="1:280" x14ac:dyDescent="0.25">
      <c r="A2" t="s">
        <v>29</v>
      </c>
      <c r="B2" t="s">
        <v>30</v>
      </c>
      <c r="C2" t="s">
        <v>32</v>
      </c>
    </row>
    <row r="3" spans="1:280" x14ac:dyDescent="0.25">
      <c r="B3" t="s">
        <v>31</v>
      </c>
      <c r="C3">
        <v>21</v>
      </c>
    </row>
    <row r="4" spans="1:280" x14ac:dyDescent="0.25">
      <c r="A4" t="s">
        <v>33</v>
      </c>
      <c r="B4" t="s">
        <v>34</v>
      </c>
      <c r="C4" t="s">
        <v>35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</row>
    <row r="5" spans="1:280" x14ac:dyDescent="0.25">
      <c r="B5" t="s">
        <v>19</v>
      </c>
      <c r="C5" t="s">
        <v>36</v>
      </c>
      <c r="D5">
        <v>0.57799999999999996</v>
      </c>
      <c r="E5">
        <v>0.52297389999999999</v>
      </c>
      <c r="F5">
        <v>3.7402519999999999E-3</v>
      </c>
      <c r="G5">
        <v>-6.1979609999999997E-2</v>
      </c>
      <c r="H5">
        <v>-5.6085859999999996E-3</v>
      </c>
      <c r="I5">
        <v>1</v>
      </c>
      <c r="J5">
        <v>6</v>
      </c>
      <c r="K5">
        <v>96.9</v>
      </c>
    </row>
    <row r="6" spans="1:280" x14ac:dyDescent="0.25">
      <c r="A6" t="s">
        <v>45</v>
      </c>
      <c r="B6" t="s">
        <v>46</v>
      </c>
      <c r="C6" t="s">
        <v>47</v>
      </c>
      <c r="D6" t="s">
        <v>48</v>
      </c>
      <c r="E6" t="s">
        <v>49</v>
      </c>
    </row>
    <row r="7" spans="1:280" x14ac:dyDescent="0.25">
      <c r="B7">
        <v>0</v>
      </c>
      <c r="C7">
        <v>1</v>
      </c>
      <c r="D7">
        <v>0</v>
      </c>
      <c r="E7">
        <v>0</v>
      </c>
    </row>
    <row r="8" spans="1:280" x14ac:dyDescent="0.25">
      <c r="A8" t="s">
        <v>50</v>
      </c>
      <c r="B8" t="s">
        <v>51</v>
      </c>
      <c r="C8" t="s">
        <v>53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  <c r="L8" t="s">
        <v>63</v>
      </c>
      <c r="M8" t="s">
        <v>64</v>
      </c>
      <c r="N8" t="s">
        <v>65</v>
      </c>
      <c r="O8" t="s">
        <v>66</v>
      </c>
      <c r="P8" t="s">
        <v>67</v>
      </c>
      <c r="Q8" t="s">
        <v>68</v>
      </c>
    </row>
    <row r="9" spans="1:280" x14ac:dyDescent="0.25">
      <c r="B9" t="s">
        <v>52</v>
      </c>
      <c r="C9" t="s">
        <v>54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280" x14ac:dyDescent="0.25">
      <c r="A10" t="s">
        <v>69</v>
      </c>
      <c r="B10" t="s">
        <v>70</v>
      </c>
      <c r="C10" t="s">
        <v>71</v>
      </c>
      <c r="D10" t="s">
        <v>72</v>
      </c>
      <c r="E10" t="s">
        <v>73</v>
      </c>
      <c r="F10" t="s">
        <v>74</v>
      </c>
    </row>
    <row r="11" spans="1:280" x14ac:dyDescent="0.25">
      <c r="B11">
        <v>0</v>
      </c>
      <c r="C11">
        <v>0</v>
      </c>
      <c r="D11">
        <v>0</v>
      </c>
      <c r="E11">
        <v>0</v>
      </c>
      <c r="F11">
        <v>1</v>
      </c>
    </row>
    <row r="12" spans="1:280" x14ac:dyDescent="0.25">
      <c r="A12" t="s">
        <v>75</v>
      </c>
      <c r="B12" t="s">
        <v>76</v>
      </c>
      <c r="C12" t="s">
        <v>77</v>
      </c>
      <c r="D12" t="s">
        <v>78</v>
      </c>
      <c r="E12" t="s">
        <v>79</v>
      </c>
      <c r="F12" t="s">
        <v>80</v>
      </c>
      <c r="G12" t="s">
        <v>82</v>
      </c>
      <c r="H12" t="s">
        <v>84</v>
      </c>
    </row>
    <row r="13" spans="1:280" x14ac:dyDescent="0.25">
      <c r="B13">
        <v>-6276</v>
      </c>
      <c r="C13">
        <v>6.6</v>
      </c>
      <c r="D13">
        <v>1.7090000000000001E-5</v>
      </c>
      <c r="E13">
        <v>3.11</v>
      </c>
      <c r="F13" t="s">
        <v>81</v>
      </c>
      <c r="G13" t="s">
        <v>83</v>
      </c>
      <c r="H13">
        <v>0</v>
      </c>
    </row>
    <row r="14" spans="1:280" x14ac:dyDescent="0.25">
      <c r="A14" t="s">
        <v>85</v>
      </c>
      <c r="B14" t="s">
        <v>85</v>
      </c>
      <c r="C14" t="s">
        <v>85</v>
      </c>
      <c r="D14" t="s">
        <v>85</v>
      </c>
      <c r="E14" t="s">
        <v>85</v>
      </c>
      <c r="F14" t="s">
        <v>85</v>
      </c>
      <c r="G14" t="s">
        <v>86</v>
      </c>
      <c r="H14" t="s">
        <v>86</v>
      </c>
      <c r="I14" t="s">
        <v>87</v>
      </c>
      <c r="J14" t="s">
        <v>87</v>
      </c>
      <c r="K14" t="s">
        <v>87</v>
      </c>
      <c r="L14" t="s">
        <v>87</v>
      </c>
      <c r="M14" t="s">
        <v>87</v>
      </c>
      <c r="N14" t="s">
        <v>87</v>
      </c>
      <c r="O14" t="s">
        <v>87</v>
      </c>
      <c r="P14" t="s">
        <v>87</v>
      </c>
      <c r="Q14" t="s">
        <v>87</v>
      </c>
      <c r="R14" t="s">
        <v>87</v>
      </c>
      <c r="S14" t="s">
        <v>87</v>
      </c>
      <c r="T14" t="s">
        <v>87</v>
      </c>
      <c r="U14" t="s">
        <v>87</v>
      </c>
      <c r="V14" t="s">
        <v>87</v>
      </c>
      <c r="W14" t="s">
        <v>87</v>
      </c>
      <c r="X14" t="s">
        <v>87</v>
      </c>
      <c r="Y14" t="s">
        <v>87</v>
      </c>
      <c r="Z14" t="s">
        <v>87</v>
      </c>
      <c r="AA14" t="s">
        <v>87</v>
      </c>
      <c r="AB14" t="s">
        <v>87</v>
      </c>
      <c r="AC14" t="s">
        <v>87</v>
      </c>
      <c r="AD14" t="s">
        <v>87</v>
      </c>
      <c r="AE14" t="s">
        <v>87</v>
      </c>
      <c r="AF14" t="s">
        <v>87</v>
      </c>
      <c r="AG14" t="s">
        <v>88</v>
      </c>
      <c r="AH14" t="s">
        <v>88</v>
      </c>
      <c r="AI14" t="s">
        <v>88</v>
      </c>
      <c r="AJ14" t="s">
        <v>88</v>
      </c>
      <c r="AK14" t="s">
        <v>88</v>
      </c>
      <c r="AL14" t="s">
        <v>89</v>
      </c>
      <c r="AM14" t="s">
        <v>89</v>
      </c>
      <c r="AN14" t="s">
        <v>89</v>
      </c>
      <c r="AO14" t="s">
        <v>89</v>
      </c>
      <c r="AP14" t="s">
        <v>89</v>
      </c>
      <c r="AQ14" t="s">
        <v>89</v>
      </c>
      <c r="AR14" t="s">
        <v>89</v>
      </c>
      <c r="AS14" t="s">
        <v>89</v>
      </c>
      <c r="AT14" t="s">
        <v>89</v>
      </c>
      <c r="AU14" t="s">
        <v>89</v>
      </c>
      <c r="AV14" t="s">
        <v>89</v>
      </c>
      <c r="AW14" t="s">
        <v>89</v>
      </c>
      <c r="AX14" t="s">
        <v>89</v>
      </c>
      <c r="AY14" t="s">
        <v>89</v>
      </c>
      <c r="AZ14" t="s">
        <v>89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89</v>
      </c>
      <c r="BK14" t="s">
        <v>89</v>
      </c>
      <c r="BL14" t="s">
        <v>89</v>
      </c>
      <c r="BM14" t="s">
        <v>89</v>
      </c>
      <c r="BN14" t="s">
        <v>90</v>
      </c>
      <c r="BO14" t="s">
        <v>90</v>
      </c>
      <c r="BP14" t="s">
        <v>90</v>
      </c>
      <c r="BQ14" t="s">
        <v>90</v>
      </c>
      <c r="BR14" t="s">
        <v>90</v>
      </c>
      <c r="BS14" t="s">
        <v>90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  <c r="BY14" t="s">
        <v>90</v>
      </c>
      <c r="BZ14" t="s">
        <v>90</v>
      </c>
      <c r="CA14" t="s">
        <v>90</v>
      </c>
      <c r="CB14" t="s">
        <v>90</v>
      </c>
      <c r="CC14" t="s">
        <v>90</v>
      </c>
      <c r="CD14" t="s">
        <v>90</v>
      </c>
      <c r="CE14" t="s">
        <v>90</v>
      </c>
      <c r="CF14" t="s">
        <v>90</v>
      </c>
      <c r="CG14" t="s">
        <v>90</v>
      </c>
      <c r="CH14" t="s">
        <v>90</v>
      </c>
      <c r="CI14" t="s">
        <v>91</v>
      </c>
      <c r="CJ14" t="s">
        <v>91</v>
      </c>
      <c r="CK14" t="s">
        <v>91</v>
      </c>
      <c r="CL14" t="s">
        <v>91</v>
      </c>
      <c r="CM14" t="s">
        <v>91</v>
      </c>
      <c r="CN14" t="s">
        <v>91</v>
      </c>
      <c r="CO14" t="s">
        <v>91</v>
      </c>
      <c r="CP14" t="s">
        <v>91</v>
      </c>
      <c r="CQ14" t="s">
        <v>91</v>
      </c>
      <c r="CR14" t="s">
        <v>91</v>
      </c>
      <c r="CS14" t="s">
        <v>91</v>
      </c>
      <c r="CT14" t="s">
        <v>91</v>
      </c>
      <c r="CU14" t="s">
        <v>91</v>
      </c>
      <c r="CV14" t="s">
        <v>92</v>
      </c>
      <c r="CW14" t="s">
        <v>92</v>
      </c>
      <c r="CX14" t="s">
        <v>92</v>
      </c>
      <c r="CY14" t="s">
        <v>92</v>
      </c>
      <c r="CZ14" t="s">
        <v>93</v>
      </c>
      <c r="DA14" t="s">
        <v>93</v>
      </c>
      <c r="DB14" t="s">
        <v>93</v>
      </c>
      <c r="DC14" t="s">
        <v>93</v>
      </c>
      <c r="DD14" t="s">
        <v>94</v>
      </c>
      <c r="DE14" t="s">
        <v>94</v>
      </c>
      <c r="DF14" t="s">
        <v>94</v>
      </c>
      <c r="DG14" t="s">
        <v>94</v>
      </c>
      <c r="DH14" t="s">
        <v>94</v>
      </c>
      <c r="DI14" t="s">
        <v>94</v>
      </c>
      <c r="DJ14" t="s">
        <v>94</v>
      </c>
      <c r="DK14" t="s">
        <v>94</v>
      </c>
      <c r="DL14" t="s">
        <v>94</v>
      </c>
      <c r="DM14" t="s">
        <v>94</v>
      </c>
      <c r="DN14" t="s">
        <v>94</v>
      </c>
      <c r="DO14" t="s">
        <v>94</v>
      </c>
      <c r="DP14" t="s">
        <v>94</v>
      </c>
      <c r="DQ14" t="s">
        <v>94</v>
      </c>
      <c r="DR14" t="s">
        <v>94</v>
      </c>
      <c r="DS14" t="s">
        <v>94</v>
      </c>
      <c r="DT14" t="s">
        <v>94</v>
      </c>
      <c r="DU14" t="s">
        <v>94</v>
      </c>
      <c r="DV14" t="s">
        <v>95</v>
      </c>
      <c r="DW14" t="s">
        <v>95</v>
      </c>
      <c r="DX14" t="s">
        <v>95</v>
      </c>
      <c r="DY14" t="s">
        <v>95</v>
      </c>
      <c r="DZ14" t="s">
        <v>95</v>
      </c>
      <c r="EA14" t="s">
        <v>95</v>
      </c>
      <c r="EB14" t="s">
        <v>95</v>
      </c>
      <c r="EC14" t="s">
        <v>95</v>
      </c>
      <c r="ED14" t="s">
        <v>95</v>
      </c>
      <c r="EE14" t="s">
        <v>95</v>
      </c>
      <c r="EF14" t="s">
        <v>96</v>
      </c>
      <c r="EG14" t="s">
        <v>96</v>
      </c>
      <c r="EH14" t="s">
        <v>96</v>
      </c>
      <c r="EI14" t="s">
        <v>96</v>
      </c>
      <c r="EJ14" t="s">
        <v>96</v>
      </c>
      <c r="EK14" t="s">
        <v>96</v>
      </c>
      <c r="EL14" t="s">
        <v>96</v>
      </c>
      <c r="EM14" t="s">
        <v>96</v>
      </c>
      <c r="EN14" t="s">
        <v>96</v>
      </c>
      <c r="EO14" t="s">
        <v>96</v>
      </c>
      <c r="EP14" t="s">
        <v>96</v>
      </c>
      <c r="EQ14" t="s">
        <v>96</v>
      </c>
      <c r="ER14" t="s">
        <v>96</v>
      </c>
      <c r="ES14" t="s">
        <v>96</v>
      </c>
      <c r="ET14" t="s">
        <v>96</v>
      </c>
      <c r="EU14" t="s">
        <v>96</v>
      </c>
      <c r="EV14" t="s">
        <v>96</v>
      </c>
      <c r="EW14" t="s">
        <v>96</v>
      </c>
      <c r="EX14" t="s">
        <v>97</v>
      </c>
      <c r="EY14" t="s">
        <v>97</v>
      </c>
      <c r="EZ14" t="s">
        <v>97</v>
      </c>
      <c r="FA14" t="s">
        <v>97</v>
      </c>
      <c r="FB14" t="s">
        <v>97</v>
      </c>
      <c r="FC14" t="s">
        <v>98</v>
      </c>
      <c r="FD14" t="s">
        <v>98</v>
      </c>
      <c r="FE14" t="s">
        <v>98</v>
      </c>
      <c r="FF14" t="s">
        <v>98</v>
      </c>
      <c r="FG14" t="s">
        <v>98</v>
      </c>
      <c r="FH14" t="s">
        <v>98</v>
      </c>
      <c r="FI14" t="s">
        <v>98</v>
      </c>
      <c r="FJ14" t="s">
        <v>98</v>
      </c>
      <c r="FK14" t="s">
        <v>98</v>
      </c>
      <c r="FL14" t="s">
        <v>98</v>
      </c>
      <c r="FM14" t="s">
        <v>98</v>
      </c>
      <c r="FN14" t="s">
        <v>98</v>
      </c>
      <c r="FO14" t="s">
        <v>98</v>
      </c>
      <c r="FP14" t="s">
        <v>99</v>
      </c>
      <c r="FQ14" t="s">
        <v>99</v>
      </c>
      <c r="FR14" t="s">
        <v>99</v>
      </c>
      <c r="FS14" t="s">
        <v>99</v>
      </c>
      <c r="FT14" t="s">
        <v>99</v>
      </c>
      <c r="FU14" t="s">
        <v>99</v>
      </c>
      <c r="FV14" t="s">
        <v>99</v>
      </c>
      <c r="FW14" t="s">
        <v>99</v>
      </c>
      <c r="FX14" t="s">
        <v>99</v>
      </c>
      <c r="FY14" t="s">
        <v>99</v>
      </c>
      <c r="FZ14" t="s">
        <v>99</v>
      </c>
      <c r="GA14" t="s">
        <v>100</v>
      </c>
      <c r="GB14" t="s">
        <v>100</v>
      </c>
      <c r="GC14" t="s">
        <v>100</v>
      </c>
      <c r="GD14" t="s">
        <v>100</v>
      </c>
      <c r="GE14" t="s">
        <v>100</v>
      </c>
      <c r="GF14" t="s">
        <v>100</v>
      </c>
      <c r="GG14" t="s">
        <v>100</v>
      </c>
      <c r="GH14" t="s">
        <v>100</v>
      </c>
      <c r="GI14" t="s">
        <v>100</v>
      </c>
      <c r="GJ14" t="s">
        <v>100</v>
      </c>
      <c r="GK14" t="s">
        <v>100</v>
      </c>
      <c r="GL14" t="s">
        <v>100</v>
      </c>
      <c r="GM14" t="s">
        <v>100</v>
      </c>
      <c r="GN14" t="s">
        <v>100</v>
      </c>
      <c r="GO14" t="s">
        <v>100</v>
      </c>
      <c r="GP14" t="s">
        <v>100</v>
      </c>
      <c r="GQ14" t="s">
        <v>100</v>
      </c>
      <c r="GR14" t="s">
        <v>100</v>
      </c>
      <c r="GS14" t="s">
        <v>101</v>
      </c>
      <c r="GT14" t="s">
        <v>101</v>
      </c>
      <c r="GU14" t="s">
        <v>101</v>
      </c>
      <c r="GV14" t="s">
        <v>101</v>
      </c>
      <c r="GW14" t="s">
        <v>101</v>
      </c>
      <c r="GX14" t="s">
        <v>101</v>
      </c>
      <c r="GY14" t="s">
        <v>101</v>
      </c>
      <c r="GZ14" t="s">
        <v>101</v>
      </c>
      <c r="HA14" t="s">
        <v>101</v>
      </c>
      <c r="HB14" t="s">
        <v>101</v>
      </c>
      <c r="HC14" t="s">
        <v>101</v>
      </c>
      <c r="HD14" t="s">
        <v>101</v>
      </c>
      <c r="HE14" t="s">
        <v>101</v>
      </c>
      <c r="HF14" t="s">
        <v>101</v>
      </c>
      <c r="HG14" t="s">
        <v>101</v>
      </c>
      <c r="HH14" t="s">
        <v>101</v>
      </c>
      <c r="HI14" t="s">
        <v>101</v>
      </c>
      <c r="HJ14" t="s">
        <v>101</v>
      </c>
      <c r="HK14" t="s">
        <v>101</v>
      </c>
      <c r="HL14" t="s">
        <v>102</v>
      </c>
      <c r="HM14" t="s">
        <v>102</v>
      </c>
      <c r="HN14" t="s">
        <v>102</v>
      </c>
      <c r="HO14" t="s">
        <v>102</v>
      </c>
      <c r="HP14" t="s">
        <v>102</v>
      </c>
      <c r="HQ14" t="s">
        <v>102</v>
      </c>
      <c r="HR14" t="s">
        <v>102</v>
      </c>
      <c r="HS14" t="s">
        <v>102</v>
      </c>
      <c r="HT14" t="s">
        <v>102</v>
      </c>
      <c r="HU14" t="s">
        <v>102</v>
      </c>
      <c r="HV14" t="s">
        <v>102</v>
      </c>
      <c r="HW14" t="s">
        <v>102</v>
      </c>
      <c r="HX14" t="s">
        <v>102</v>
      </c>
      <c r="HY14" t="s">
        <v>102</v>
      </c>
      <c r="HZ14" t="s">
        <v>102</v>
      </c>
      <c r="IA14" t="s">
        <v>102</v>
      </c>
      <c r="IB14" t="s">
        <v>102</v>
      </c>
      <c r="IC14" t="s">
        <v>102</v>
      </c>
      <c r="ID14" t="s">
        <v>102</v>
      </c>
      <c r="IE14" t="s">
        <v>103</v>
      </c>
      <c r="IF14" t="s">
        <v>103</v>
      </c>
      <c r="IG14" t="s">
        <v>103</v>
      </c>
      <c r="IH14" t="s">
        <v>103</v>
      </c>
      <c r="II14" t="s">
        <v>103</v>
      </c>
      <c r="IJ14" t="s">
        <v>103</v>
      </c>
      <c r="IK14" t="s">
        <v>103</v>
      </c>
      <c r="IL14" t="s">
        <v>103</v>
      </c>
      <c r="IM14" t="s">
        <v>103</v>
      </c>
      <c r="IN14" t="s">
        <v>103</v>
      </c>
      <c r="IO14" t="s">
        <v>103</v>
      </c>
      <c r="IP14" t="s">
        <v>103</v>
      </c>
      <c r="IQ14" t="s">
        <v>103</v>
      </c>
      <c r="IR14" t="s">
        <v>103</v>
      </c>
      <c r="IS14" t="s">
        <v>103</v>
      </c>
      <c r="IT14" t="s">
        <v>103</v>
      </c>
      <c r="IU14" t="s">
        <v>103</v>
      </c>
      <c r="IV14" t="s">
        <v>103</v>
      </c>
      <c r="IW14" t="s">
        <v>104</v>
      </c>
      <c r="IX14" t="s">
        <v>104</v>
      </c>
      <c r="IY14" t="s">
        <v>104</v>
      </c>
      <c r="IZ14" t="s">
        <v>104</v>
      </c>
      <c r="JA14" t="s">
        <v>104</v>
      </c>
      <c r="JB14" t="s">
        <v>104</v>
      </c>
      <c r="JC14" t="s">
        <v>104</v>
      </c>
      <c r="JD14" t="s">
        <v>104</v>
      </c>
      <c r="JE14" t="s">
        <v>105</v>
      </c>
      <c r="JF14" t="s">
        <v>105</v>
      </c>
      <c r="JG14" t="s">
        <v>105</v>
      </c>
      <c r="JH14" t="s">
        <v>105</v>
      </c>
      <c r="JI14" t="s">
        <v>105</v>
      </c>
      <c r="JJ14" t="s">
        <v>105</v>
      </c>
      <c r="JK14" t="s">
        <v>105</v>
      </c>
      <c r="JL14" t="s">
        <v>105</v>
      </c>
      <c r="JM14" t="s">
        <v>105</v>
      </c>
      <c r="JN14" t="s">
        <v>105</v>
      </c>
      <c r="JO14" t="s">
        <v>105</v>
      </c>
      <c r="JP14" t="s">
        <v>105</v>
      </c>
      <c r="JQ14" t="s">
        <v>105</v>
      </c>
      <c r="JR14" t="s">
        <v>105</v>
      </c>
      <c r="JS14" t="s">
        <v>105</v>
      </c>
      <c r="JT14" t="s">
        <v>105</v>
      </c>
    </row>
    <row r="15" spans="1:280" x14ac:dyDescent="0.25">
      <c r="A15" t="s">
        <v>106</v>
      </c>
      <c r="B15" t="s">
        <v>107</v>
      </c>
      <c r="C15" t="s">
        <v>108</v>
      </c>
      <c r="D15" t="s">
        <v>109</v>
      </c>
      <c r="E15" t="s">
        <v>110</v>
      </c>
      <c r="F15" t="s">
        <v>111</v>
      </c>
      <c r="G15" t="s">
        <v>112</v>
      </c>
      <c r="H15" t="s">
        <v>113</v>
      </c>
      <c r="I15" t="s">
        <v>114</v>
      </c>
      <c r="J15" t="s">
        <v>115</v>
      </c>
      <c r="K15" t="s">
        <v>116</v>
      </c>
      <c r="L15" t="s">
        <v>117</v>
      </c>
      <c r="M15" t="s">
        <v>118</v>
      </c>
      <c r="N15" t="s">
        <v>119</v>
      </c>
      <c r="O15" t="s">
        <v>120</v>
      </c>
      <c r="P15" t="s">
        <v>121</v>
      </c>
      <c r="Q15" t="s">
        <v>122</v>
      </c>
      <c r="R15" t="s">
        <v>123</v>
      </c>
      <c r="S15" t="s">
        <v>124</v>
      </c>
      <c r="T15" t="s">
        <v>125</v>
      </c>
      <c r="U15" t="s">
        <v>126</v>
      </c>
      <c r="V15" t="s">
        <v>127</v>
      </c>
      <c r="W15" t="s">
        <v>128</v>
      </c>
      <c r="X15" t="s">
        <v>129</v>
      </c>
      <c r="Y15" t="s">
        <v>130</v>
      </c>
      <c r="Z15" t="s">
        <v>131</v>
      </c>
      <c r="AA15" t="s">
        <v>132</v>
      </c>
      <c r="AB15" t="s">
        <v>133</v>
      </c>
      <c r="AC15" t="s">
        <v>134</v>
      </c>
      <c r="AD15" t="s">
        <v>135</v>
      </c>
      <c r="AE15" t="s">
        <v>136</v>
      </c>
      <c r="AF15" t="s">
        <v>137</v>
      </c>
      <c r="AG15" t="s">
        <v>88</v>
      </c>
      <c r="AH15" t="s">
        <v>138</v>
      </c>
      <c r="AI15" t="s">
        <v>139</v>
      </c>
      <c r="AJ15" t="s">
        <v>140</v>
      </c>
      <c r="AK15" t="s">
        <v>141</v>
      </c>
      <c r="AL15" t="s">
        <v>142</v>
      </c>
      <c r="AM15" t="s">
        <v>143</v>
      </c>
      <c r="AN15" t="s">
        <v>144</v>
      </c>
      <c r="AO15" t="s">
        <v>145</v>
      </c>
      <c r="AP15" t="s">
        <v>146</v>
      </c>
      <c r="AQ15" t="s">
        <v>147</v>
      </c>
      <c r="AR15" t="s">
        <v>148</v>
      </c>
      <c r="AS15" t="s">
        <v>149</v>
      </c>
      <c r="AT15" t="s">
        <v>150</v>
      </c>
      <c r="AU15" t="s">
        <v>151</v>
      </c>
      <c r="AV15" t="s">
        <v>152</v>
      </c>
      <c r="AW15" t="s">
        <v>153</v>
      </c>
      <c r="AX15" t="s">
        <v>154</v>
      </c>
      <c r="AY15" t="s">
        <v>155</v>
      </c>
      <c r="AZ15" t="s">
        <v>156</v>
      </c>
      <c r="BA15" t="s">
        <v>157</v>
      </c>
      <c r="BB15" t="s">
        <v>158</v>
      </c>
      <c r="BC15" t="s">
        <v>159</v>
      </c>
      <c r="BD15" t="s">
        <v>160</v>
      </c>
      <c r="BE15" t="s">
        <v>161</v>
      </c>
      <c r="BF15" t="s">
        <v>162</v>
      </c>
      <c r="BG15" t="s">
        <v>163</v>
      </c>
      <c r="BH15" t="s">
        <v>164</v>
      </c>
      <c r="BI15" t="s">
        <v>165</v>
      </c>
      <c r="BJ15" t="s">
        <v>166</v>
      </c>
      <c r="BK15" t="s">
        <v>167</v>
      </c>
      <c r="BL15" t="s">
        <v>168</v>
      </c>
      <c r="BM15" t="s">
        <v>169</v>
      </c>
      <c r="BN15" t="s">
        <v>170</v>
      </c>
      <c r="BO15" t="s">
        <v>171</v>
      </c>
      <c r="BP15" t="s">
        <v>172</v>
      </c>
      <c r="BQ15" t="s">
        <v>173</v>
      </c>
      <c r="BR15" t="s">
        <v>174</v>
      </c>
      <c r="BS15" t="s">
        <v>175</v>
      </c>
      <c r="BT15" t="s">
        <v>176</v>
      </c>
      <c r="BU15" t="s">
        <v>177</v>
      </c>
      <c r="BV15" t="s">
        <v>178</v>
      </c>
      <c r="BW15" t="s">
        <v>179</v>
      </c>
      <c r="BX15" t="s">
        <v>180</v>
      </c>
      <c r="BY15" t="s">
        <v>181</v>
      </c>
      <c r="BZ15" t="s">
        <v>182</v>
      </c>
      <c r="CA15" t="s">
        <v>183</v>
      </c>
      <c r="CB15" t="s">
        <v>184</v>
      </c>
      <c r="CC15" t="s">
        <v>185</v>
      </c>
      <c r="CD15" t="s">
        <v>186</v>
      </c>
      <c r="CE15" t="s">
        <v>187</v>
      </c>
      <c r="CF15" t="s">
        <v>188</v>
      </c>
      <c r="CG15" t="s">
        <v>189</v>
      </c>
      <c r="CH15" t="s">
        <v>190</v>
      </c>
      <c r="CI15" t="s">
        <v>170</v>
      </c>
      <c r="CJ15" t="s">
        <v>191</v>
      </c>
      <c r="CK15" t="s">
        <v>192</v>
      </c>
      <c r="CL15" t="s">
        <v>193</v>
      </c>
      <c r="CM15" t="s">
        <v>144</v>
      </c>
      <c r="CN15" t="s">
        <v>194</v>
      </c>
      <c r="CO15" t="s">
        <v>195</v>
      </c>
      <c r="CP15" t="s">
        <v>196</v>
      </c>
      <c r="CQ15" t="s">
        <v>197</v>
      </c>
      <c r="CR15" t="s">
        <v>198</v>
      </c>
      <c r="CS15" t="s">
        <v>199</v>
      </c>
      <c r="CT15" t="s">
        <v>200</v>
      </c>
      <c r="CU15" t="s">
        <v>201</v>
      </c>
      <c r="CV15" t="s">
        <v>202</v>
      </c>
      <c r="CW15" t="s">
        <v>203</v>
      </c>
      <c r="CX15" t="s">
        <v>204</v>
      </c>
      <c r="CY15" t="s">
        <v>205</v>
      </c>
      <c r="CZ15" t="s">
        <v>206</v>
      </c>
      <c r="DA15" t="s">
        <v>207</v>
      </c>
      <c r="DB15" t="s">
        <v>208</v>
      </c>
      <c r="DC15" t="s">
        <v>209</v>
      </c>
      <c r="DD15" t="s">
        <v>114</v>
      </c>
      <c r="DE15" t="s">
        <v>210</v>
      </c>
      <c r="DF15" t="s">
        <v>211</v>
      </c>
      <c r="DG15" t="s">
        <v>212</v>
      </c>
      <c r="DH15" t="s">
        <v>213</v>
      </c>
      <c r="DI15" t="s">
        <v>214</v>
      </c>
      <c r="DJ15" t="s">
        <v>215</v>
      </c>
      <c r="DK15" t="s">
        <v>216</v>
      </c>
      <c r="DL15" t="s">
        <v>217</v>
      </c>
      <c r="DM15" t="s">
        <v>218</v>
      </c>
      <c r="DN15" t="s">
        <v>219</v>
      </c>
      <c r="DO15" t="s">
        <v>220</v>
      </c>
      <c r="DP15" t="s">
        <v>221</v>
      </c>
      <c r="DQ15" t="s">
        <v>222</v>
      </c>
      <c r="DR15" t="s">
        <v>223</v>
      </c>
      <c r="DS15" t="s">
        <v>224</v>
      </c>
      <c r="DT15" t="s">
        <v>225</v>
      </c>
      <c r="DU15" t="s">
        <v>226</v>
      </c>
      <c r="DV15" t="s">
        <v>227</v>
      </c>
      <c r="DW15" t="s">
        <v>228</v>
      </c>
      <c r="DX15" t="s">
        <v>229</v>
      </c>
      <c r="DY15" t="s">
        <v>230</v>
      </c>
      <c r="DZ15" t="s">
        <v>231</v>
      </c>
      <c r="EA15" t="s">
        <v>232</v>
      </c>
      <c r="EB15" t="s">
        <v>233</v>
      </c>
      <c r="EC15" t="s">
        <v>234</v>
      </c>
      <c r="ED15" t="s">
        <v>235</v>
      </c>
      <c r="EE15" t="s">
        <v>236</v>
      </c>
      <c r="EF15" t="s">
        <v>237</v>
      </c>
      <c r="EG15" t="s">
        <v>238</v>
      </c>
      <c r="EH15" t="s">
        <v>239</v>
      </c>
      <c r="EI15" t="s">
        <v>240</v>
      </c>
      <c r="EJ15" t="s">
        <v>241</v>
      </c>
      <c r="EK15" t="s">
        <v>242</v>
      </c>
      <c r="EL15" t="s">
        <v>243</v>
      </c>
      <c r="EM15" t="s">
        <v>244</v>
      </c>
      <c r="EN15" t="s">
        <v>245</v>
      </c>
      <c r="EO15" t="s">
        <v>246</v>
      </c>
      <c r="EP15" t="s">
        <v>247</v>
      </c>
      <c r="EQ15" t="s">
        <v>248</v>
      </c>
      <c r="ER15" t="s">
        <v>249</v>
      </c>
      <c r="ES15" t="s">
        <v>250</v>
      </c>
      <c r="ET15" t="s">
        <v>251</v>
      </c>
      <c r="EU15" t="s">
        <v>252</v>
      </c>
      <c r="EV15" t="s">
        <v>253</v>
      </c>
      <c r="EW15" t="s">
        <v>254</v>
      </c>
      <c r="EX15" t="s">
        <v>255</v>
      </c>
      <c r="EY15" t="s">
        <v>256</v>
      </c>
      <c r="EZ15" t="s">
        <v>257</v>
      </c>
      <c r="FA15" t="s">
        <v>258</v>
      </c>
      <c r="FB15" t="s">
        <v>259</v>
      </c>
      <c r="FC15" t="s">
        <v>107</v>
      </c>
      <c r="FD15" t="s">
        <v>110</v>
      </c>
      <c r="FE15" t="s">
        <v>260</v>
      </c>
      <c r="FF15" t="s">
        <v>261</v>
      </c>
      <c r="FG15" t="s">
        <v>262</v>
      </c>
      <c r="FH15" t="s">
        <v>263</v>
      </c>
      <c r="FI15" t="s">
        <v>264</v>
      </c>
      <c r="FJ15" t="s">
        <v>265</v>
      </c>
      <c r="FK15" t="s">
        <v>266</v>
      </c>
      <c r="FL15" t="s">
        <v>267</v>
      </c>
      <c r="FM15" t="s">
        <v>268</v>
      </c>
      <c r="FN15" t="s">
        <v>269</v>
      </c>
      <c r="FO15" t="s">
        <v>270</v>
      </c>
      <c r="FP15" t="s">
        <v>271</v>
      </c>
      <c r="FQ15" t="s">
        <v>272</v>
      </c>
      <c r="FR15" t="s">
        <v>273</v>
      </c>
      <c r="FS15" t="s">
        <v>274</v>
      </c>
      <c r="FT15" t="s">
        <v>275</v>
      </c>
      <c r="FU15" t="s">
        <v>276</v>
      </c>
      <c r="FV15" t="s">
        <v>277</v>
      </c>
      <c r="FW15" t="s">
        <v>278</v>
      </c>
      <c r="FX15" t="s">
        <v>279</v>
      </c>
      <c r="FY15" t="s">
        <v>280</v>
      </c>
      <c r="FZ15" t="s">
        <v>281</v>
      </c>
      <c r="GA15" t="s">
        <v>282</v>
      </c>
      <c r="GB15" t="s">
        <v>283</v>
      </c>
      <c r="GC15" t="s">
        <v>284</v>
      </c>
      <c r="GD15" t="s">
        <v>285</v>
      </c>
      <c r="GE15" t="s">
        <v>286</v>
      </c>
      <c r="GF15" t="s">
        <v>287</v>
      </c>
      <c r="GG15" t="s">
        <v>288</v>
      </c>
      <c r="GH15" t="s">
        <v>289</v>
      </c>
      <c r="GI15" t="s">
        <v>290</v>
      </c>
      <c r="GJ15" t="s">
        <v>291</v>
      </c>
      <c r="GK15" t="s">
        <v>292</v>
      </c>
      <c r="GL15" t="s">
        <v>293</v>
      </c>
      <c r="GM15" t="s">
        <v>294</v>
      </c>
      <c r="GN15" t="s">
        <v>295</v>
      </c>
      <c r="GO15" t="s">
        <v>296</v>
      </c>
      <c r="GP15" t="s">
        <v>297</v>
      </c>
      <c r="GQ15" t="s">
        <v>298</v>
      </c>
      <c r="GR15" t="s">
        <v>299</v>
      </c>
      <c r="GS15" t="s">
        <v>300</v>
      </c>
      <c r="GT15" t="s">
        <v>301</v>
      </c>
      <c r="GU15" t="s">
        <v>302</v>
      </c>
      <c r="GV15" t="s">
        <v>303</v>
      </c>
      <c r="GW15" t="s">
        <v>304</v>
      </c>
      <c r="GX15" t="s">
        <v>305</v>
      </c>
      <c r="GY15" t="s">
        <v>306</v>
      </c>
      <c r="GZ15" t="s">
        <v>307</v>
      </c>
      <c r="HA15" t="s">
        <v>308</v>
      </c>
      <c r="HB15" t="s">
        <v>309</v>
      </c>
      <c r="HC15" t="s">
        <v>310</v>
      </c>
      <c r="HD15" t="s">
        <v>311</v>
      </c>
      <c r="HE15" t="s">
        <v>312</v>
      </c>
      <c r="HF15" t="s">
        <v>313</v>
      </c>
      <c r="HG15" t="s">
        <v>314</v>
      </c>
      <c r="HH15" t="s">
        <v>315</v>
      </c>
      <c r="HI15" t="s">
        <v>316</v>
      </c>
      <c r="HJ15" t="s">
        <v>317</v>
      </c>
      <c r="HK15" t="s">
        <v>318</v>
      </c>
      <c r="HL15" t="s">
        <v>319</v>
      </c>
      <c r="HM15" t="s">
        <v>320</v>
      </c>
      <c r="HN15" t="s">
        <v>321</v>
      </c>
      <c r="HO15" t="s">
        <v>322</v>
      </c>
      <c r="HP15" t="s">
        <v>323</v>
      </c>
      <c r="HQ15" t="s">
        <v>324</v>
      </c>
      <c r="HR15" t="s">
        <v>325</v>
      </c>
      <c r="HS15" t="s">
        <v>326</v>
      </c>
      <c r="HT15" t="s">
        <v>327</v>
      </c>
      <c r="HU15" t="s">
        <v>328</v>
      </c>
      <c r="HV15" t="s">
        <v>329</v>
      </c>
      <c r="HW15" t="s">
        <v>330</v>
      </c>
      <c r="HX15" t="s">
        <v>331</v>
      </c>
      <c r="HY15" t="s">
        <v>332</v>
      </c>
      <c r="HZ15" t="s">
        <v>333</v>
      </c>
      <c r="IA15" t="s">
        <v>334</v>
      </c>
      <c r="IB15" t="s">
        <v>335</v>
      </c>
      <c r="IC15" t="s">
        <v>336</v>
      </c>
      <c r="ID15" t="s">
        <v>337</v>
      </c>
      <c r="IE15" t="s">
        <v>338</v>
      </c>
      <c r="IF15" t="s">
        <v>339</v>
      </c>
      <c r="IG15" t="s">
        <v>340</v>
      </c>
      <c r="IH15" t="s">
        <v>341</v>
      </c>
      <c r="II15" t="s">
        <v>342</v>
      </c>
      <c r="IJ15" t="s">
        <v>343</v>
      </c>
      <c r="IK15" t="s">
        <v>344</v>
      </c>
      <c r="IL15" t="s">
        <v>345</v>
      </c>
      <c r="IM15" t="s">
        <v>346</v>
      </c>
      <c r="IN15" t="s">
        <v>347</v>
      </c>
      <c r="IO15" t="s">
        <v>348</v>
      </c>
      <c r="IP15" t="s">
        <v>349</v>
      </c>
      <c r="IQ15" t="s">
        <v>350</v>
      </c>
      <c r="IR15" t="s">
        <v>351</v>
      </c>
      <c r="IS15" t="s">
        <v>352</v>
      </c>
      <c r="IT15" t="s">
        <v>353</v>
      </c>
      <c r="IU15" t="s">
        <v>354</v>
      </c>
      <c r="IV15" t="s">
        <v>355</v>
      </c>
      <c r="IW15" t="s">
        <v>356</v>
      </c>
      <c r="IX15" t="s">
        <v>357</v>
      </c>
      <c r="IY15" t="s">
        <v>358</v>
      </c>
      <c r="IZ15" t="s">
        <v>359</v>
      </c>
      <c r="JA15" t="s">
        <v>360</v>
      </c>
      <c r="JB15" t="s">
        <v>361</v>
      </c>
      <c r="JC15" t="s">
        <v>362</v>
      </c>
      <c r="JD15" t="s">
        <v>363</v>
      </c>
      <c r="JE15" t="s">
        <v>364</v>
      </c>
      <c r="JF15" t="s">
        <v>365</v>
      </c>
      <c r="JG15" t="s">
        <v>366</v>
      </c>
      <c r="JH15" t="s">
        <v>367</v>
      </c>
      <c r="JI15" t="s">
        <v>368</v>
      </c>
      <c r="JJ15" t="s">
        <v>369</v>
      </c>
      <c r="JK15" t="s">
        <v>370</v>
      </c>
      <c r="JL15" t="s">
        <v>371</v>
      </c>
      <c r="JM15" t="s">
        <v>372</v>
      </c>
      <c r="JN15" t="s">
        <v>373</v>
      </c>
      <c r="JO15" t="s">
        <v>374</v>
      </c>
      <c r="JP15" t="s">
        <v>375</v>
      </c>
      <c r="JQ15" t="s">
        <v>376</v>
      </c>
      <c r="JR15" t="s">
        <v>377</v>
      </c>
      <c r="JS15" t="s">
        <v>378</v>
      </c>
      <c r="JT15" t="s">
        <v>379</v>
      </c>
    </row>
    <row r="16" spans="1:280" x14ac:dyDescent="0.25">
      <c r="B16" t="s">
        <v>380</v>
      </c>
      <c r="C16" t="s">
        <v>380</v>
      </c>
      <c r="F16" t="s">
        <v>380</v>
      </c>
      <c r="I16" t="s">
        <v>380</v>
      </c>
      <c r="J16" t="s">
        <v>381</v>
      </c>
      <c r="K16" t="s">
        <v>382</v>
      </c>
      <c r="L16" t="s">
        <v>383</v>
      </c>
      <c r="M16" t="s">
        <v>384</v>
      </c>
      <c r="N16" t="s">
        <v>384</v>
      </c>
      <c r="O16" t="s">
        <v>217</v>
      </c>
      <c r="P16" t="s">
        <v>217</v>
      </c>
      <c r="Q16" t="s">
        <v>381</v>
      </c>
      <c r="R16" t="s">
        <v>381</v>
      </c>
      <c r="S16" t="s">
        <v>381</v>
      </c>
      <c r="T16" t="s">
        <v>381</v>
      </c>
      <c r="U16" t="s">
        <v>385</v>
      </c>
      <c r="V16" t="s">
        <v>386</v>
      </c>
      <c r="W16" t="s">
        <v>386</v>
      </c>
      <c r="X16" t="s">
        <v>387</v>
      </c>
      <c r="Y16" t="s">
        <v>388</v>
      </c>
      <c r="Z16" t="s">
        <v>387</v>
      </c>
      <c r="AA16" t="s">
        <v>387</v>
      </c>
      <c r="AB16" t="s">
        <v>387</v>
      </c>
      <c r="AC16" t="s">
        <v>385</v>
      </c>
      <c r="AD16" t="s">
        <v>385</v>
      </c>
      <c r="AE16" t="s">
        <v>385</v>
      </c>
      <c r="AF16" t="s">
        <v>385</v>
      </c>
      <c r="AG16" t="s">
        <v>389</v>
      </c>
      <c r="AH16" t="s">
        <v>388</v>
      </c>
      <c r="AJ16" t="s">
        <v>388</v>
      </c>
      <c r="AK16" t="s">
        <v>389</v>
      </c>
      <c r="AQ16" t="s">
        <v>383</v>
      </c>
      <c r="AX16" t="s">
        <v>383</v>
      </c>
      <c r="AY16" t="s">
        <v>383</v>
      </c>
      <c r="AZ16" t="s">
        <v>383</v>
      </c>
      <c r="BA16" t="s">
        <v>390</v>
      </c>
      <c r="BO16" t="s">
        <v>391</v>
      </c>
      <c r="BQ16" t="s">
        <v>391</v>
      </c>
      <c r="BR16" t="s">
        <v>383</v>
      </c>
      <c r="BU16" t="s">
        <v>391</v>
      </c>
      <c r="BV16" t="s">
        <v>388</v>
      </c>
      <c r="BY16" t="s">
        <v>392</v>
      </c>
      <c r="BZ16" t="s">
        <v>392</v>
      </c>
      <c r="CB16" t="s">
        <v>393</v>
      </c>
      <c r="CC16" t="s">
        <v>391</v>
      </c>
      <c r="CE16" t="s">
        <v>391</v>
      </c>
      <c r="CF16" t="s">
        <v>383</v>
      </c>
      <c r="CJ16" t="s">
        <v>391</v>
      </c>
      <c r="CL16" t="s">
        <v>394</v>
      </c>
      <c r="CO16" t="s">
        <v>391</v>
      </c>
      <c r="CP16" t="s">
        <v>391</v>
      </c>
      <c r="CR16" t="s">
        <v>391</v>
      </c>
      <c r="CT16" t="s">
        <v>391</v>
      </c>
      <c r="CV16" t="s">
        <v>383</v>
      </c>
      <c r="CW16" t="s">
        <v>383</v>
      </c>
      <c r="CY16" t="s">
        <v>395</v>
      </c>
      <c r="CZ16" t="s">
        <v>396</v>
      </c>
      <c r="DC16" t="s">
        <v>381</v>
      </c>
      <c r="DD16" t="s">
        <v>380</v>
      </c>
      <c r="DE16" t="s">
        <v>384</v>
      </c>
      <c r="DF16" t="s">
        <v>384</v>
      </c>
      <c r="DG16" t="s">
        <v>397</v>
      </c>
      <c r="DH16" t="s">
        <v>397</v>
      </c>
      <c r="DI16" t="s">
        <v>384</v>
      </c>
      <c r="DJ16" t="s">
        <v>397</v>
      </c>
      <c r="DK16" t="s">
        <v>389</v>
      </c>
      <c r="DL16" t="s">
        <v>387</v>
      </c>
      <c r="DM16" t="s">
        <v>387</v>
      </c>
      <c r="DN16" t="s">
        <v>386</v>
      </c>
      <c r="DO16" t="s">
        <v>386</v>
      </c>
      <c r="DP16" t="s">
        <v>386</v>
      </c>
      <c r="DQ16" t="s">
        <v>386</v>
      </c>
      <c r="DR16" t="s">
        <v>386</v>
      </c>
      <c r="DS16" t="s">
        <v>398</v>
      </c>
      <c r="DT16" t="s">
        <v>383</v>
      </c>
      <c r="DU16" t="s">
        <v>383</v>
      </c>
      <c r="DV16" t="s">
        <v>384</v>
      </c>
      <c r="DW16" t="s">
        <v>384</v>
      </c>
      <c r="DX16" t="s">
        <v>384</v>
      </c>
      <c r="DY16" t="s">
        <v>397</v>
      </c>
      <c r="DZ16" t="s">
        <v>384</v>
      </c>
      <c r="EA16" t="s">
        <v>397</v>
      </c>
      <c r="EB16" t="s">
        <v>387</v>
      </c>
      <c r="EC16" t="s">
        <v>387</v>
      </c>
      <c r="ED16" t="s">
        <v>386</v>
      </c>
      <c r="EE16" t="s">
        <v>386</v>
      </c>
      <c r="EF16" t="s">
        <v>383</v>
      </c>
      <c r="EK16" t="s">
        <v>383</v>
      </c>
      <c r="EN16" t="s">
        <v>386</v>
      </c>
      <c r="EO16" t="s">
        <v>386</v>
      </c>
      <c r="EP16" t="s">
        <v>386</v>
      </c>
      <c r="EQ16" t="s">
        <v>386</v>
      </c>
      <c r="ER16" t="s">
        <v>386</v>
      </c>
      <c r="ES16" t="s">
        <v>383</v>
      </c>
      <c r="ET16" t="s">
        <v>383</v>
      </c>
      <c r="EU16" t="s">
        <v>383</v>
      </c>
      <c r="EV16" t="s">
        <v>380</v>
      </c>
      <c r="EY16" t="s">
        <v>399</v>
      </c>
      <c r="EZ16" t="s">
        <v>399</v>
      </c>
      <c r="FB16" t="s">
        <v>380</v>
      </c>
      <c r="FC16" t="s">
        <v>400</v>
      </c>
      <c r="FE16" t="s">
        <v>380</v>
      </c>
      <c r="FF16" t="s">
        <v>380</v>
      </c>
      <c r="FH16" t="s">
        <v>401</v>
      </c>
      <c r="FI16" t="s">
        <v>402</v>
      </c>
      <c r="FJ16" t="s">
        <v>401</v>
      </c>
      <c r="FK16" t="s">
        <v>402</v>
      </c>
      <c r="FL16" t="s">
        <v>401</v>
      </c>
      <c r="FM16" t="s">
        <v>402</v>
      </c>
      <c r="FN16" t="s">
        <v>388</v>
      </c>
      <c r="FO16" t="s">
        <v>388</v>
      </c>
      <c r="FP16" t="s">
        <v>383</v>
      </c>
      <c r="FQ16" t="s">
        <v>403</v>
      </c>
      <c r="FR16" t="s">
        <v>383</v>
      </c>
      <c r="FT16" t="s">
        <v>381</v>
      </c>
      <c r="FU16" t="s">
        <v>404</v>
      </c>
      <c r="FV16" t="s">
        <v>381</v>
      </c>
      <c r="GA16" t="s">
        <v>405</v>
      </c>
      <c r="GB16" t="s">
        <v>405</v>
      </c>
      <c r="GO16" t="s">
        <v>405</v>
      </c>
      <c r="GP16" t="s">
        <v>405</v>
      </c>
      <c r="GQ16" t="s">
        <v>406</v>
      </c>
      <c r="GR16" t="s">
        <v>406</v>
      </c>
      <c r="GS16" t="s">
        <v>386</v>
      </c>
      <c r="GT16" t="s">
        <v>386</v>
      </c>
      <c r="GU16" t="s">
        <v>388</v>
      </c>
      <c r="GV16" t="s">
        <v>386</v>
      </c>
      <c r="GW16" t="s">
        <v>397</v>
      </c>
      <c r="GX16" t="s">
        <v>388</v>
      </c>
      <c r="GY16" t="s">
        <v>388</v>
      </c>
      <c r="HA16" t="s">
        <v>405</v>
      </c>
      <c r="HB16" t="s">
        <v>405</v>
      </c>
      <c r="HC16" t="s">
        <v>405</v>
      </c>
      <c r="HD16" t="s">
        <v>405</v>
      </c>
      <c r="HE16" t="s">
        <v>405</v>
      </c>
      <c r="HF16" t="s">
        <v>405</v>
      </c>
      <c r="HG16" t="s">
        <v>405</v>
      </c>
      <c r="HH16" t="s">
        <v>407</v>
      </c>
      <c r="HI16" t="s">
        <v>407</v>
      </c>
      <c r="HJ16" t="s">
        <v>407</v>
      </c>
      <c r="HK16" t="s">
        <v>408</v>
      </c>
      <c r="HL16" t="s">
        <v>405</v>
      </c>
      <c r="HM16" t="s">
        <v>405</v>
      </c>
      <c r="HN16" t="s">
        <v>405</v>
      </c>
      <c r="HO16" t="s">
        <v>405</v>
      </c>
      <c r="HP16" t="s">
        <v>405</v>
      </c>
      <c r="HQ16" t="s">
        <v>405</v>
      </c>
      <c r="HR16" t="s">
        <v>405</v>
      </c>
      <c r="HS16" t="s">
        <v>405</v>
      </c>
      <c r="HT16" t="s">
        <v>405</v>
      </c>
      <c r="HU16" t="s">
        <v>405</v>
      </c>
      <c r="HV16" t="s">
        <v>405</v>
      </c>
      <c r="HW16" t="s">
        <v>405</v>
      </c>
      <c r="ID16" t="s">
        <v>405</v>
      </c>
      <c r="IE16" t="s">
        <v>388</v>
      </c>
      <c r="IF16" t="s">
        <v>388</v>
      </c>
      <c r="IG16" t="s">
        <v>401</v>
      </c>
      <c r="IH16" t="s">
        <v>402</v>
      </c>
      <c r="II16" t="s">
        <v>402</v>
      </c>
      <c r="IM16" t="s">
        <v>402</v>
      </c>
      <c r="IQ16" t="s">
        <v>384</v>
      </c>
      <c r="IR16" t="s">
        <v>384</v>
      </c>
      <c r="IS16" t="s">
        <v>397</v>
      </c>
      <c r="IT16" t="s">
        <v>397</v>
      </c>
      <c r="IU16" t="s">
        <v>409</v>
      </c>
      <c r="IV16" t="s">
        <v>409</v>
      </c>
      <c r="IW16" t="s">
        <v>405</v>
      </c>
      <c r="IX16" t="s">
        <v>405</v>
      </c>
      <c r="IY16" t="s">
        <v>405</v>
      </c>
      <c r="IZ16" t="s">
        <v>405</v>
      </c>
      <c r="JA16" t="s">
        <v>405</v>
      </c>
      <c r="JB16" t="s">
        <v>405</v>
      </c>
      <c r="JC16" t="s">
        <v>386</v>
      </c>
      <c r="JD16" t="s">
        <v>405</v>
      </c>
      <c r="JF16" t="s">
        <v>389</v>
      </c>
      <c r="JG16" t="s">
        <v>389</v>
      </c>
      <c r="JH16" t="s">
        <v>386</v>
      </c>
      <c r="JI16" t="s">
        <v>386</v>
      </c>
      <c r="JJ16" t="s">
        <v>386</v>
      </c>
      <c r="JK16" t="s">
        <v>386</v>
      </c>
      <c r="JL16" t="s">
        <v>386</v>
      </c>
      <c r="JM16" t="s">
        <v>388</v>
      </c>
      <c r="JN16" t="s">
        <v>388</v>
      </c>
      <c r="JO16" t="s">
        <v>388</v>
      </c>
      <c r="JP16" t="s">
        <v>386</v>
      </c>
      <c r="JQ16" t="s">
        <v>384</v>
      </c>
      <c r="JR16" t="s">
        <v>397</v>
      </c>
      <c r="JS16" t="s">
        <v>388</v>
      </c>
      <c r="JT16" t="s">
        <v>388</v>
      </c>
    </row>
    <row r="17" spans="1:280" x14ac:dyDescent="0.25">
      <c r="A17">
        <v>1</v>
      </c>
      <c r="B17">
        <v>1674574052.5999999</v>
      </c>
      <c r="C17">
        <v>0</v>
      </c>
      <c r="D17" t="s">
        <v>410</v>
      </c>
      <c r="E17" t="s">
        <v>411</v>
      </c>
      <c r="F17" t="s">
        <v>412</v>
      </c>
      <c r="G17" t="s">
        <v>413</v>
      </c>
      <c r="H17" t="s">
        <v>414</v>
      </c>
      <c r="I17">
        <v>1674574052.5999999</v>
      </c>
      <c r="J17">
        <f t="shared" ref="J17:J48" si="0">(K17)/1000</f>
        <v>5.1579747191151425E-3</v>
      </c>
      <c r="K17">
        <f t="shared" ref="K17:K48" si="1">1000*DK17*AI17*(DG17-DH17)/(100*CZ17*(1000-AI17*DG17))</f>
        <v>5.1579747191151428</v>
      </c>
      <c r="L17">
        <f t="shared" ref="L17:L48" si="2">DK17*AI17*(DF17-DE17*(1000-AI17*DH17)/(1000-AI17*DG17))/(100*CZ17)</f>
        <v>47.848521567021393</v>
      </c>
      <c r="M17">
        <f t="shared" ref="M17:M48" si="3">DE17 - IF(AI17&gt;1, L17*CZ17*100/(AK17*DS17), 0)</f>
        <v>340.548</v>
      </c>
      <c r="N17">
        <f t="shared" ref="N17:N48" si="4">((T17-J17/2)*M17-L17)/(T17+J17/2)</f>
        <v>148.1538502975435</v>
      </c>
      <c r="O17">
        <f t="shared" ref="O17:O48" si="5">N17*(DL17+DM17)/1000</f>
        <v>14.79484601702605</v>
      </c>
      <c r="P17">
        <f t="shared" ref="P17:P48" si="6">(DE17 - IF(AI17&gt;1, L17*CZ17*100/(AK17*DS17), 0))*(DL17+DM17)/1000</f>
        <v>34.007588809115994</v>
      </c>
      <c r="Q17">
        <f t="shared" ref="Q17:Q48" si="7">2/((1/S17-1/R17)+SIGN(S17)*SQRT((1/S17-1/R17)*(1/S17-1/R17) + 4*DA17/((DA17+1)*(DA17+1))*(2*1/S17*1/R17-1/R17*1/R17)))</f>
        <v>0.4372792770681852</v>
      </c>
      <c r="R17">
        <f t="shared" ref="R17:R48" si="8">IF(LEFT(DB17,1)&lt;&gt;"0",IF(LEFT(DB17,1)="1",3,DC17),$D$5+$E$5*(DS17*DL17/($K$5*1000))+$F$5*(DS17*DL17/($K$5*1000))*MAX(MIN(CZ17,$J$5),$I$5)*MAX(MIN(CZ17,$J$5),$I$5)+$G$5*MAX(MIN(CZ17,$J$5),$I$5)*(DS17*DL17/($K$5*1000))+$H$5*(DS17*DL17/($K$5*1000))*(DS17*DL17/($K$5*1000)))</f>
        <v>2.9260337610702885</v>
      </c>
      <c r="S17">
        <f t="shared" ref="S17:S48" si="9">J17*(1000-(1000*0.61365*EXP(17.502*W17/(240.97+W17))/(DL17+DM17)+DG17)/2)/(1000*0.61365*EXP(17.502*W17/(240.97+W17))/(DL17+DM17)-DG17)</f>
        <v>0.40395032566172961</v>
      </c>
      <c r="T17">
        <f t="shared" ref="T17:T48" si="10">1/((DA17+1)/(Q17/1.6)+1/(R17/1.37)) + DA17/((DA17+1)/(Q17/1.6) + DA17/(R17/1.37))</f>
        <v>0.25525140726721451</v>
      </c>
      <c r="U17">
        <f t="shared" ref="U17:U48" si="11">(CV17*CY17)</f>
        <v>344.37380126398665</v>
      </c>
      <c r="V17">
        <f t="shared" ref="V17:V48" si="12">(DN17+(U17+2*0.95*0.0000000567*(((DN17+$B$7)+273)^4-(DN17+273)^4)-44100*J17)/(1.84*29.3*R17+8*0.95*0.0000000567*(DN17+273)^3))</f>
        <v>28.691916822055497</v>
      </c>
      <c r="W17">
        <f t="shared" ref="W17:W48" si="13">($C$7*DO17+$D$7*DP17+$E$7*V17)</f>
        <v>27.634399999999999</v>
      </c>
      <c r="X17">
        <f t="shared" ref="X17:X48" si="14">0.61365*EXP(17.502*W17/(240.97+W17))</f>
        <v>3.7147074646789826</v>
      </c>
      <c r="Y17">
        <f t="shared" ref="Y17:Y48" si="15">(Z17/AA17*100)</f>
        <v>65.320819893300524</v>
      </c>
      <c r="Z17">
        <f t="shared" ref="Z17:Z48" si="16">DG17*(DL17+DM17)/1000</f>
        <v>2.4791383248685999</v>
      </c>
      <c r="AA17">
        <f t="shared" ref="AA17:AA48" si="17">0.61365*EXP(17.502*DN17/(240.97+DN17))</f>
        <v>3.7953264042279216</v>
      </c>
      <c r="AB17">
        <f t="shared" ref="AB17:AB48" si="18">(X17-DG17*(DL17+DM17)/1000)</f>
        <v>1.2355691398103827</v>
      </c>
      <c r="AC17">
        <f t="shared" ref="AC17:AC48" si="19">(-J17*44100)</f>
        <v>-227.46668511297779</v>
      </c>
      <c r="AD17">
        <f t="shared" ref="AD17:AD48" si="20">2*29.3*R17*0.92*(DN17-W17)</f>
        <v>58.019836556244762</v>
      </c>
      <c r="AE17">
        <f t="shared" ref="AE17:AE48" si="21">2*0.95*0.0000000567*(((DN17+$B$7)+273)^4-(W17+273)^4)</f>
        <v>4.3144088312724458</v>
      </c>
      <c r="AF17">
        <f t="shared" ref="AF17:AF48" si="22">U17+AE17+AC17+AD17</f>
        <v>179.24136153852606</v>
      </c>
      <c r="AG17">
        <v>0</v>
      </c>
      <c r="AH17">
        <v>0</v>
      </c>
      <c r="AI17">
        <f t="shared" ref="AI17:AI48" si="23">IF(AG17*$H$13&gt;=AK17,1,(AK17/(AK17-AG17*$H$13)))</f>
        <v>1</v>
      </c>
      <c r="AJ17">
        <f t="shared" ref="AJ17:AJ48" si="24">(AI17-1)*100</f>
        <v>0</v>
      </c>
      <c r="AK17">
        <f t="shared" ref="AK17:AK48" si="25">MAX(0,($B$13+$C$13*DS17)/(1+$D$13*DS17)*DL17/(DN17+273)*$E$13)</f>
        <v>52594.741568306417</v>
      </c>
      <c r="AL17" t="s">
        <v>415</v>
      </c>
      <c r="AM17">
        <v>10214.9</v>
      </c>
      <c r="AN17">
        <v>729.4384</v>
      </c>
      <c r="AO17">
        <v>3170.19</v>
      </c>
      <c r="AP17">
        <f t="shared" ref="AP17:AP48" si="26">1-AN17/AO17</f>
        <v>0.76990704027203416</v>
      </c>
      <c r="AQ17">
        <v>-0.45549566560547827</v>
      </c>
      <c r="AR17" t="s">
        <v>416</v>
      </c>
      <c r="AS17">
        <v>10082.6</v>
      </c>
      <c r="AT17">
        <v>840.92851999999982</v>
      </c>
      <c r="AU17">
        <v>1199.2045652838451</v>
      </c>
      <c r="AV17">
        <f t="shared" ref="AV17:AV48" si="27">1-AT17/AU17</f>
        <v>0.29876140873349943</v>
      </c>
      <c r="AW17">
        <v>0.5</v>
      </c>
      <c r="AX17">
        <f t="shared" ref="AX17:AX48" si="28">CW17</f>
        <v>1513.2018006319931</v>
      </c>
      <c r="AY17">
        <f t="shared" ref="AY17:AY48" si="29">L17</f>
        <v>47.848521567021393</v>
      </c>
      <c r="AZ17">
        <f t="shared" ref="AZ17:AZ48" si="30">AV17*AW17*AX17</f>
        <v>226.04315082744111</v>
      </c>
      <c r="BA17">
        <f t="shared" ref="BA17:BA48" si="31">(AY17-AQ17)/AX17</f>
        <v>3.1921728623672374E-2</v>
      </c>
      <c r="BB17">
        <f t="shared" ref="BB17:BB48" si="32">(AO17-AU17)/AU17</f>
        <v>1.6435773276510448</v>
      </c>
      <c r="BC17">
        <f t="shared" ref="BC17:BC48" si="33">AN17/(AP17+AN17/AU17)</f>
        <v>529.27828274811759</v>
      </c>
      <c r="BD17" t="s">
        <v>417</v>
      </c>
      <c r="BE17">
        <v>604.61</v>
      </c>
      <c r="BF17">
        <f t="shared" ref="BF17:BF48" si="34">IF(BE17&lt;&gt;0, BE17, BC17)</f>
        <v>604.61</v>
      </c>
      <c r="BG17">
        <f t="shared" ref="BG17:BG48" si="35">1-BF17/AU17</f>
        <v>0.4958241341777313</v>
      </c>
      <c r="BH17">
        <f t="shared" ref="BH17:BH48" si="36">(AU17-AT17)/(AU17-BF17)</f>
        <v>0.60255519677145541</v>
      </c>
      <c r="BI17">
        <f t="shared" ref="BI17:BI48" si="37">(AO17-AU17)/(AO17-BF17)</f>
        <v>0.76824165869556005</v>
      </c>
      <c r="BJ17">
        <f t="shared" ref="BJ17:BJ48" si="38">(AU17-AT17)/(AU17-AN17)</f>
        <v>0.76266890159568101</v>
      </c>
      <c r="BK17">
        <f t="shared" ref="BK17:BK48" si="39">(AO17-AU17)/(AO17-AN17)</f>
        <v>0.80753216948261142</v>
      </c>
      <c r="BL17">
        <f t="shared" ref="BL17:BL48" si="40">(BH17*BF17/AT17)</f>
        <v>0.43322457123940777</v>
      </c>
      <c r="BM17">
        <f t="shared" ref="BM17:BM48" si="41">(1-BL17)</f>
        <v>0.56677542876059217</v>
      </c>
      <c r="BN17">
        <v>9058</v>
      </c>
      <c r="BO17">
        <v>290.00000000000011</v>
      </c>
      <c r="BP17">
        <v>1106.56</v>
      </c>
      <c r="BQ17">
        <v>165</v>
      </c>
      <c r="BR17">
        <v>10082.6</v>
      </c>
      <c r="BS17">
        <v>1105.43</v>
      </c>
      <c r="BT17">
        <v>1.1299999999999999</v>
      </c>
      <c r="BU17">
        <v>300.00000000000011</v>
      </c>
      <c r="BV17">
        <v>24.2</v>
      </c>
      <c r="BW17">
        <v>1199.2045652838451</v>
      </c>
      <c r="BX17">
        <v>2.1656937038294242</v>
      </c>
      <c r="BY17">
        <v>-94.549867337316385</v>
      </c>
      <c r="BZ17">
        <v>1.9420951116798519</v>
      </c>
      <c r="CA17">
        <v>0.98832446686262421</v>
      </c>
      <c r="CB17">
        <v>-6.8807790878754266E-3</v>
      </c>
      <c r="CC17">
        <v>289.99999999999989</v>
      </c>
      <c r="CD17">
        <v>1104.5899999999999</v>
      </c>
      <c r="CE17">
        <v>685</v>
      </c>
      <c r="CF17">
        <v>10051.299999999999</v>
      </c>
      <c r="CG17">
        <v>1105.1400000000001</v>
      </c>
      <c r="CH17">
        <v>-0.55000000000000004</v>
      </c>
      <c r="CV17">
        <f t="shared" ref="CV17:CV48" si="42">$B$11*DT17+$C$11*DU17+$F$11*EF17*(1-EI17)</f>
        <v>1800.02</v>
      </c>
      <c r="CW17">
        <f t="shared" ref="CW17:CW48" si="43">CV17*CX17</f>
        <v>1513.2018006319931</v>
      </c>
      <c r="CX17">
        <f t="shared" ref="CX17:CX48" si="44">($B$11*$D$9+$C$11*$D$9+$F$11*((ES17+EK17)/MAX(ES17+EK17+ET17, 0.1)*$I$9+ET17/MAX(ES17+EK17+ET17, 0.1)*$J$9))/($B$11+$C$11+$F$11)</f>
        <v>0.84065832636970317</v>
      </c>
      <c r="CY17">
        <f t="shared" ref="CY17:CY48" si="45">($B$11*$K$9+$C$11*$K$9+$F$11*((ES17+EK17)/MAX(ES17+EK17+ET17, 0.1)*$P$9+ET17/MAX(ES17+EK17+ET17, 0.1)*$Q$9))/($B$11+$C$11+$F$11)</f>
        <v>0.1913166527394066</v>
      </c>
      <c r="CZ17">
        <v>6</v>
      </c>
      <c r="DA17">
        <v>0.5</v>
      </c>
      <c r="DB17" t="s">
        <v>418</v>
      </c>
      <c r="DC17">
        <v>2</v>
      </c>
      <c r="DD17">
        <v>1674574052.5999999</v>
      </c>
      <c r="DE17">
        <v>340.548</v>
      </c>
      <c r="DF17">
        <v>400.07299999999998</v>
      </c>
      <c r="DG17">
        <v>24.825800000000001</v>
      </c>
      <c r="DH17">
        <v>18.79</v>
      </c>
      <c r="DI17">
        <v>338.06599999999997</v>
      </c>
      <c r="DJ17">
        <v>24.679099999999998</v>
      </c>
      <c r="DK17">
        <v>500.00900000000001</v>
      </c>
      <c r="DL17">
        <v>99.761799999999994</v>
      </c>
      <c r="DM17">
        <v>9.9567000000000003E-2</v>
      </c>
      <c r="DN17">
        <v>28.002199999999998</v>
      </c>
      <c r="DO17">
        <v>27.634399999999999</v>
      </c>
      <c r="DP17">
        <v>999.9</v>
      </c>
      <c r="DQ17">
        <v>0</v>
      </c>
      <c r="DR17">
        <v>0</v>
      </c>
      <c r="DS17">
        <v>10003.799999999999</v>
      </c>
      <c r="DT17">
        <v>0</v>
      </c>
      <c r="DU17">
        <v>318.92200000000003</v>
      </c>
      <c r="DV17">
        <v>-59.524999999999999</v>
      </c>
      <c r="DW17">
        <v>349.21800000000002</v>
      </c>
      <c r="DX17">
        <v>407.73399999999998</v>
      </c>
      <c r="DY17">
        <v>6.0358700000000001</v>
      </c>
      <c r="DZ17">
        <v>400.07299999999998</v>
      </c>
      <c r="EA17">
        <v>18.79</v>
      </c>
      <c r="EB17">
        <v>2.4766699999999999</v>
      </c>
      <c r="EC17">
        <v>1.87452</v>
      </c>
      <c r="ED17">
        <v>20.873999999999999</v>
      </c>
      <c r="EE17">
        <v>16.422499999999999</v>
      </c>
      <c r="EF17">
        <v>1800.02</v>
      </c>
      <c r="EG17">
        <v>0.97799499999999995</v>
      </c>
      <c r="EH17">
        <v>2.2005199999999999E-2</v>
      </c>
      <c r="EI17">
        <v>0</v>
      </c>
      <c r="EJ17">
        <v>840.69100000000003</v>
      </c>
      <c r="EK17">
        <v>4.9990399999999999</v>
      </c>
      <c r="EL17">
        <v>15667.1</v>
      </c>
      <c r="EM17">
        <v>14820.8</v>
      </c>
      <c r="EN17">
        <v>47.061999999999998</v>
      </c>
      <c r="EO17">
        <v>48.5</v>
      </c>
      <c r="EP17">
        <v>47.936999999999998</v>
      </c>
      <c r="EQ17">
        <v>46.936999999999998</v>
      </c>
      <c r="ER17">
        <v>48</v>
      </c>
      <c r="ES17">
        <v>1755.52</v>
      </c>
      <c r="ET17">
        <v>39.5</v>
      </c>
      <c r="EU17">
        <v>0</v>
      </c>
      <c r="EV17">
        <v>1674574052.4000001</v>
      </c>
      <c r="EW17">
        <v>0</v>
      </c>
      <c r="EX17">
        <v>840.92851999999982</v>
      </c>
      <c r="EY17">
        <v>-1.5403846190946131</v>
      </c>
      <c r="EZ17">
        <v>7.823076897941327</v>
      </c>
      <c r="FA17">
        <v>15665.968000000001</v>
      </c>
      <c r="FB17">
        <v>15</v>
      </c>
      <c r="FC17">
        <v>1674574017.0999999</v>
      </c>
      <c r="FD17" t="s">
        <v>419</v>
      </c>
      <c r="FE17">
        <v>1674574011.0999999</v>
      </c>
      <c r="FF17">
        <v>1674574017.0999999</v>
      </c>
      <c r="FG17">
        <v>2</v>
      </c>
      <c r="FH17">
        <v>0.185</v>
      </c>
      <c r="FI17">
        <v>-7.0000000000000001E-3</v>
      </c>
      <c r="FJ17">
        <v>2.5779999999999998</v>
      </c>
      <c r="FK17">
        <v>0.11</v>
      </c>
      <c r="FL17">
        <v>400</v>
      </c>
      <c r="FM17">
        <v>19</v>
      </c>
      <c r="FN17">
        <v>0.06</v>
      </c>
      <c r="FO17">
        <v>0.02</v>
      </c>
      <c r="FP17">
        <v>47.738247238527777</v>
      </c>
      <c r="FQ17">
        <v>-0.57613030272556054</v>
      </c>
      <c r="FR17">
        <v>6.5811478544601218E-2</v>
      </c>
      <c r="FS17">
        <v>1</v>
      </c>
      <c r="FT17">
        <v>0.44281768908766023</v>
      </c>
      <c r="FU17">
        <v>-2.351198522003152E-2</v>
      </c>
      <c r="FV17">
        <v>3.9097270532029429E-3</v>
      </c>
      <c r="FW17">
        <v>1</v>
      </c>
      <c r="FX17">
        <v>2</v>
      </c>
      <c r="FY17">
        <v>2</v>
      </c>
      <c r="FZ17" t="s">
        <v>420</v>
      </c>
      <c r="GA17">
        <v>2.9338600000000001</v>
      </c>
      <c r="GB17">
        <v>2.8330600000000001</v>
      </c>
      <c r="GC17">
        <v>7.9596500000000001E-2</v>
      </c>
      <c r="GD17">
        <v>8.8947600000000002E-2</v>
      </c>
      <c r="GE17">
        <v>0.12235500000000001</v>
      </c>
      <c r="GF17">
        <v>9.7378999999999993E-2</v>
      </c>
      <c r="GG17">
        <v>23755.1</v>
      </c>
      <c r="GH17">
        <v>29819.5</v>
      </c>
      <c r="GI17">
        <v>23219.8</v>
      </c>
      <c r="GJ17">
        <v>29984.799999999999</v>
      </c>
      <c r="GK17">
        <v>27701.7</v>
      </c>
      <c r="GL17">
        <v>38466.400000000001</v>
      </c>
      <c r="GM17">
        <v>32748.3</v>
      </c>
      <c r="GN17">
        <v>44462.6</v>
      </c>
      <c r="GO17">
        <v>1.9493</v>
      </c>
      <c r="GP17">
        <v>1.8931500000000001</v>
      </c>
      <c r="GQ17">
        <v>7.1488300000000005E-2</v>
      </c>
      <c r="GR17">
        <v>0</v>
      </c>
      <c r="GS17">
        <v>26.465399999999999</v>
      </c>
      <c r="GT17">
        <v>999.9</v>
      </c>
      <c r="GU17">
        <v>65.5</v>
      </c>
      <c r="GV17">
        <v>30</v>
      </c>
      <c r="GW17">
        <v>27.9725</v>
      </c>
      <c r="GX17">
        <v>61.123699999999999</v>
      </c>
      <c r="GY17">
        <v>36.302100000000003</v>
      </c>
      <c r="GZ17">
        <v>1</v>
      </c>
      <c r="HA17">
        <v>0.29484199999999999</v>
      </c>
      <c r="HB17">
        <v>1.8761300000000001</v>
      </c>
      <c r="HC17">
        <v>20.307700000000001</v>
      </c>
      <c r="HD17">
        <v>5.2065099999999997</v>
      </c>
      <c r="HE17">
        <v>11.872199999999999</v>
      </c>
      <c r="HF17">
        <v>4.9833999999999996</v>
      </c>
      <c r="HG17">
        <v>3.2833999999999999</v>
      </c>
      <c r="HH17">
        <v>9999</v>
      </c>
      <c r="HI17">
        <v>9999</v>
      </c>
      <c r="HJ17">
        <v>9999</v>
      </c>
      <c r="HK17">
        <v>999.9</v>
      </c>
      <c r="HL17">
        <v>1.85436</v>
      </c>
      <c r="HM17">
        <v>1.8604700000000001</v>
      </c>
      <c r="HN17">
        <v>1.85791</v>
      </c>
      <c r="HO17">
        <v>1.8591299999999999</v>
      </c>
      <c r="HP17">
        <v>1.85849</v>
      </c>
      <c r="HQ17">
        <v>1.8589800000000001</v>
      </c>
      <c r="HR17">
        <v>1.8573900000000001</v>
      </c>
      <c r="HS17">
        <v>1.8607800000000001</v>
      </c>
      <c r="HT17">
        <v>5</v>
      </c>
      <c r="HU17">
        <v>0</v>
      </c>
      <c r="HV17">
        <v>0</v>
      </c>
      <c r="HW17">
        <v>0</v>
      </c>
      <c r="HX17" t="s">
        <v>421</v>
      </c>
      <c r="HY17" t="s">
        <v>422</v>
      </c>
      <c r="HZ17" t="s">
        <v>423</v>
      </c>
      <c r="IA17" t="s">
        <v>423</v>
      </c>
      <c r="IB17" t="s">
        <v>423</v>
      </c>
      <c r="IC17" t="s">
        <v>423</v>
      </c>
      <c r="ID17">
        <v>0</v>
      </c>
      <c r="IE17">
        <v>100</v>
      </c>
      <c r="IF17">
        <v>100</v>
      </c>
      <c r="IG17">
        <v>2.4820000000000002</v>
      </c>
      <c r="IH17">
        <v>0.1467</v>
      </c>
      <c r="II17">
        <v>1.927614821086818</v>
      </c>
      <c r="IJ17">
        <v>1.6187016317407189E-3</v>
      </c>
      <c r="IK17">
        <v>1.4341569744255341E-7</v>
      </c>
      <c r="IL17">
        <v>-2.4096625942085749E-10</v>
      </c>
      <c r="IM17">
        <v>0.14667268489141619</v>
      </c>
      <c r="IN17">
        <v>0</v>
      </c>
      <c r="IO17">
        <v>0</v>
      </c>
      <c r="IP17">
        <v>0</v>
      </c>
      <c r="IQ17">
        <v>4</v>
      </c>
      <c r="IR17">
        <v>2205</v>
      </c>
      <c r="IS17">
        <v>1</v>
      </c>
      <c r="IT17">
        <v>21</v>
      </c>
      <c r="IU17">
        <v>0.7</v>
      </c>
      <c r="IV17">
        <v>0.6</v>
      </c>
      <c r="IW17">
        <v>0.98388699999999996</v>
      </c>
      <c r="IX17">
        <v>2.4206500000000002</v>
      </c>
      <c r="IY17">
        <v>1.49414</v>
      </c>
      <c r="IZ17">
        <v>2.3144499999999999</v>
      </c>
      <c r="JA17">
        <v>1.69434</v>
      </c>
      <c r="JB17">
        <v>2.2814899999999998</v>
      </c>
      <c r="JC17">
        <v>34.715000000000003</v>
      </c>
      <c r="JD17">
        <v>15.445399999999999</v>
      </c>
      <c r="JE17">
        <v>18</v>
      </c>
      <c r="JF17">
        <v>493.29</v>
      </c>
      <c r="JG17">
        <v>482.87200000000001</v>
      </c>
      <c r="JH17">
        <v>24.957599999999999</v>
      </c>
      <c r="JI17">
        <v>31.026399999999999</v>
      </c>
      <c r="JJ17">
        <v>30.000299999999999</v>
      </c>
      <c r="JK17">
        <v>30.93</v>
      </c>
      <c r="JL17">
        <v>30.892299999999999</v>
      </c>
      <c r="JM17">
        <v>19.766300000000001</v>
      </c>
      <c r="JN17">
        <v>41.667099999999998</v>
      </c>
      <c r="JO17">
        <v>43.342599999999997</v>
      </c>
      <c r="JP17">
        <v>24.953399999999998</v>
      </c>
      <c r="JQ17">
        <v>400</v>
      </c>
      <c r="JR17">
        <v>18.745000000000001</v>
      </c>
      <c r="JS17">
        <v>98.683700000000002</v>
      </c>
      <c r="JT17">
        <v>99.873099999999994</v>
      </c>
    </row>
    <row r="18" spans="1:280" x14ac:dyDescent="0.25">
      <c r="A18">
        <v>2</v>
      </c>
      <c r="B18">
        <v>1674574170.0999999</v>
      </c>
      <c r="C18">
        <v>117.5</v>
      </c>
      <c r="D18" t="s">
        <v>424</v>
      </c>
      <c r="E18" t="s">
        <v>425</v>
      </c>
      <c r="F18" t="s">
        <v>412</v>
      </c>
      <c r="G18" t="s">
        <v>413</v>
      </c>
      <c r="H18" t="s">
        <v>414</v>
      </c>
      <c r="I18">
        <v>1674574170.0999999</v>
      </c>
      <c r="J18">
        <f t="shared" si="0"/>
        <v>5.256501051670557E-3</v>
      </c>
      <c r="K18">
        <f t="shared" si="1"/>
        <v>5.2565010516705568</v>
      </c>
      <c r="L18">
        <f t="shared" si="2"/>
        <v>41.795410084708799</v>
      </c>
      <c r="M18">
        <f t="shared" si="3"/>
        <v>248.29499999999999</v>
      </c>
      <c r="N18">
        <f t="shared" si="4"/>
        <v>84.724843633183625</v>
      </c>
      <c r="O18">
        <f t="shared" si="5"/>
        <v>8.460166963881159</v>
      </c>
      <c r="P18">
        <f t="shared" si="6"/>
        <v>24.793402574945997</v>
      </c>
      <c r="Q18">
        <f t="shared" si="7"/>
        <v>0.44758089181431832</v>
      </c>
      <c r="R18">
        <f t="shared" si="8"/>
        <v>2.9276607957493042</v>
      </c>
      <c r="S18">
        <f t="shared" si="9"/>
        <v>0.41274787030958465</v>
      </c>
      <c r="T18">
        <f t="shared" si="10"/>
        <v>0.26087075180242308</v>
      </c>
      <c r="U18">
        <f t="shared" si="11"/>
        <v>344.33958809633498</v>
      </c>
      <c r="V18">
        <f t="shared" si="12"/>
        <v>28.672734125113283</v>
      </c>
      <c r="W18">
        <f t="shared" si="13"/>
        <v>27.638000000000002</v>
      </c>
      <c r="X18">
        <f t="shared" si="14"/>
        <v>3.7154892570123104</v>
      </c>
      <c r="Y18">
        <f t="shared" si="15"/>
        <v>65.403107667894545</v>
      </c>
      <c r="Z18">
        <f t="shared" si="16"/>
        <v>2.4832745294753198</v>
      </c>
      <c r="AA18">
        <f t="shared" si="17"/>
        <v>3.7968754360801178</v>
      </c>
      <c r="AB18">
        <f t="shared" si="18"/>
        <v>1.2322147275369906</v>
      </c>
      <c r="AC18">
        <f t="shared" si="19"/>
        <v>-231.81169637867157</v>
      </c>
      <c r="AD18">
        <f t="shared" si="20"/>
        <v>58.588741322145744</v>
      </c>
      <c r="AE18">
        <f t="shared" si="21"/>
        <v>4.3545220767135158</v>
      </c>
      <c r="AF18">
        <f t="shared" si="22"/>
        <v>175.47115511652268</v>
      </c>
      <c r="AG18">
        <v>0</v>
      </c>
      <c r="AH18">
        <v>0</v>
      </c>
      <c r="AI18">
        <f t="shared" si="23"/>
        <v>1</v>
      </c>
      <c r="AJ18">
        <f t="shared" si="24"/>
        <v>0</v>
      </c>
      <c r="AK18">
        <f t="shared" si="25"/>
        <v>52640.184378792255</v>
      </c>
      <c r="AL18" t="s">
        <v>415</v>
      </c>
      <c r="AM18">
        <v>10214.9</v>
      </c>
      <c r="AN18">
        <v>729.4384</v>
      </c>
      <c r="AO18">
        <v>3170.19</v>
      </c>
      <c r="AP18">
        <f t="shared" si="26"/>
        <v>0.76990704027203416</v>
      </c>
      <c r="AQ18">
        <v>-0.45549566560547827</v>
      </c>
      <c r="AR18" t="s">
        <v>426</v>
      </c>
      <c r="AS18">
        <v>10080</v>
      </c>
      <c r="AT18">
        <v>835.68732</v>
      </c>
      <c r="AU18">
        <v>1147.939800345177</v>
      </c>
      <c r="AV18">
        <f t="shared" si="27"/>
        <v>0.27201119801864604</v>
      </c>
      <c r="AW18">
        <v>0.5</v>
      </c>
      <c r="AX18">
        <f t="shared" si="28"/>
        <v>1513.0505940481673</v>
      </c>
      <c r="AY18">
        <f t="shared" si="29"/>
        <v>41.795410084708799</v>
      </c>
      <c r="AZ18">
        <f t="shared" si="30"/>
        <v>205.78335237493303</v>
      </c>
      <c r="BA18">
        <f t="shared" si="31"/>
        <v>2.7924317875763799E-2</v>
      </c>
      <c r="BB18">
        <f t="shared" si="32"/>
        <v>1.7616343636197189</v>
      </c>
      <c r="BC18">
        <f t="shared" si="33"/>
        <v>519.04775644694234</v>
      </c>
      <c r="BD18" t="s">
        <v>427</v>
      </c>
      <c r="BE18">
        <v>601.22</v>
      </c>
      <c r="BF18">
        <f t="shared" si="34"/>
        <v>601.22</v>
      </c>
      <c r="BG18">
        <f t="shared" si="35"/>
        <v>0.47626173444006592</v>
      </c>
      <c r="BH18">
        <f t="shared" si="36"/>
        <v>0.57113804941403856</v>
      </c>
      <c r="BI18">
        <f t="shared" si="37"/>
        <v>0.78718326786798709</v>
      </c>
      <c r="BJ18">
        <f t="shared" si="38"/>
        <v>0.74612051497948007</v>
      </c>
      <c r="BK18">
        <f t="shared" si="39"/>
        <v>0.82853584922563317</v>
      </c>
      <c r="BL18">
        <f t="shared" si="40"/>
        <v>0.41089485247748919</v>
      </c>
      <c r="BM18">
        <f t="shared" si="41"/>
        <v>0.58910514752251086</v>
      </c>
      <c r="BN18">
        <v>9060</v>
      </c>
      <c r="BO18">
        <v>290.00000000000011</v>
      </c>
      <c r="BP18">
        <v>1069.76</v>
      </c>
      <c r="BQ18">
        <v>175</v>
      </c>
      <c r="BR18">
        <v>10080</v>
      </c>
      <c r="BS18">
        <v>1067.04</v>
      </c>
      <c r="BT18">
        <v>2.72</v>
      </c>
      <c r="BU18">
        <v>300.00000000000011</v>
      </c>
      <c r="BV18">
        <v>24.2</v>
      </c>
      <c r="BW18">
        <v>1147.939800345177</v>
      </c>
      <c r="BX18">
        <v>1.905649777343553</v>
      </c>
      <c r="BY18">
        <v>-81.551226484828675</v>
      </c>
      <c r="BZ18">
        <v>1.70867151291928</v>
      </c>
      <c r="CA18">
        <v>0.98785748938004214</v>
      </c>
      <c r="CB18">
        <v>-6.880078976640721E-3</v>
      </c>
      <c r="CC18">
        <v>289.99999999999989</v>
      </c>
      <c r="CD18">
        <v>1066.08</v>
      </c>
      <c r="CE18">
        <v>735</v>
      </c>
      <c r="CF18">
        <v>10047.5</v>
      </c>
      <c r="CG18">
        <v>1066.77</v>
      </c>
      <c r="CH18">
        <v>-0.69</v>
      </c>
      <c r="CV18">
        <f t="shared" si="42"/>
        <v>1799.84</v>
      </c>
      <c r="CW18">
        <f t="shared" si="43"/>
        <v>1513.0505940481673</v>
      </c>
      <c r="CX18">
        <f t="shared" si="44"/>
        <v>0.84065838855018638</v>
      </c>
      <c r="CY18">
        <f t="shared" si="45"/>
        <v>0.19131677710037281</v>
      </c>
      <c r="CZ18">
        <v>6</v>
      </c>
      <c r="DA18">
        <v>0.5</v>
      </c>
      <c r="DB18" t="s">
        <v>418</v>
      </c>
      <c r="DC18">
        <v>2</v>
      </c>
      <c r="DD18">
        <v>1674574170.0999999</v>
      </c>
      <c r="DE18">
        <v>248.29499999999999</v>
      </c>
      <c r="DF18">
        <v>300.00700000000001</v>
      </c>
      <c r="DG18">
        <v>24.8689</v>
      </c>
      <c r="DH18">
        <v>18.719000000000001</v>
      </c>
      <c r="DI18">
        <v>245.98</v>
      </c>
      <c r="DJ18">
        <v>24.723400000000002</v>
      </c>
      <c r="DK18">
        <v>500.084</v>
      </c>
      <c r="DL18">
        <v>99.7547</v>
      </c>
      <c r="DM18">
        <v>9.9918800000000002E-2</v>
      </c>
      <c r="DN18">
        <v>28.0092</v>
      </c>
      <c r="DO18">
        <v>27.638000000000002</v>
      </c>
      <c r="DP18">
        <v>999.9</v>
      </c>
      <c r="DQ18">
        <v>0</v>
      </c>
      <c r="DR18">
        <v>0</v>
      </c>
      <c r="DS18">
        <v>10013.799999999999</v>
      </c>
      <c r="DT18">
        <v>0</v>
      </c>
      <c r="DU18">
        <v>315.24400000000003</v>
      </c>
      <c r="DV18">
        <v>-51.712200000000003</v>
      </c>
      <c r="DW18">
        <v>254.62700000000001</v>
      </c>
      <c r="DX18">
        <v>305.73</v>
      </c>
      <c r="DY18">
        <v>6.1499100000000002</v>
      </c>
      <c r="DZ18">
        <v>300.00700000000001</v>
      </c>
      <c r="EA18">
        <v>18.719000000000001</v>
      </c>
      <c r="EB18">
        <v>2.4807899999999998</v>
      </c>
      <c r="EC18">
        <v>1.86731</v>
      </c>
      <c r="ED18">
        <v>20.901</v>
      </c>
      <c r="EE18">
        <v>16.361899999999999</v>
      </c>
      <c r="EF18">
        <v>1799.84</v>
      </c>
      <c r="EG18">
        <v>0.97799499999999995</v>
      </c>
      <c r="EH18">
        <v>2.2005199999999999E-2</v>
      </c>
      <c r="EI18">
        <v>0</v>
      </c>
      <c r="EJ18">
        <v>835.452</v>
      </c>
      <c r="EK18">
        <v>4.9990399999999999</v>
      </c>
      <c r="EL18">
        <v>15561.3</v>
      </c>
      <c r="EM18">
        <v>14819.3</v>
      </c>
      <c r="EN18">
        <v>47.186999999999998</v>
      </c>
      <c r="EO18">
        <v>48.625</v>
      </c>
      <c r="EP18">
        <v>48.061999999999998</v>
      </c>
      <c r="EQ18">
        <v>47.061999999999998</v>
      </c>
      <c r="ER18">
        <v>48.125</v>
      </c>
      <c r="ES18">
        <v>1755.35</v>
      </c>
      <c r="ET18">
        <v>39.5</v>
      </c>
      <c r="EU18">
        <v>0</v>
      </c>
      <c r="EV18">
        <v>115.3999998569489</v>
      </c>
      <c r="EW18">
        <v>0</v>
      </c>
      <c r="EX18">
        <v>835.68732</v>
      </c>
      <c r="EY18">
        <v>-3.6828461835768072</v>
      </c>
      <c r="EZ18">
        <v>-19.92307701580226</v>
      </c>
      <c r="FA18">
        <v>15565.824000000001</v>
      </c>
      <c r="FB18">
        <v>15</v>
      </c>
      <c r="FC18">
        <v>1674574136.5999999</v>
      </c>
      <c r="FD18" t="s">
        <v>428</v>
      </c>
      <c r="FE18">
        <v>1674574121.0999999</v>
      </c>
      <c r="FF18">
        <v>1674574136.5999999</v>
      </c>
      <c r="FG18">
        <v>3</v>
      </c>
      <c r="FH18">
        <v>-1.4999999999999999E-2</v>
      </c>
      <c r="FI18">
        <v>-1E-3</v>
      </c>
      <c r="FJ18">
        <v>2.4</v>
      </c>
      <c r="FK18">
        <v>0.107</v>
      </c>
      <c r="FL18">
        <v>300</v>
      </c>
      <c r="FM18">
        <v>19</v>
      </c>
      <c r="FN18">
        <v>0.04</v>
      </c>
      <c r="FO18">
        <v>0.03</v>
      </c>
      <c r="FP18">
        <v>41.703483743871942</v>
      </c>
      <c r="FQ18">
        <v>-0.34861975467607842</v>
      </c>
      <c r="FR18">
        <v>5.0801651550345529E-2</v>
      </c>
      <c r="FS18">
        <v>1</v>
      </c>
      <c r="FT18">
        <v>0.44521573108514961</v>
      </c>
      <c r="FU18">
        <v>3.8057811493142232E-2</v>
      </c>
      <c r="FV18">
        <v>7.1996748235776016E-3</v>
      </c>
      <c r="FW18">
        <v>1</v>
      </c>
      <c r="FX18">
        <v>2</v>
      </c>
      <c r="FY18">
        <v>2</v>
      </c>
      <c r="FZ18" t="s">
        <v>420</v>
      </c>
      <c r="GA18">
        <v>2.9340099999999998</v>
      </c>
      <c r="GB18">
        <v>2.8334999999999999</v>
      </c>
      <c r="GC18">
        <v>6.1337200000000001E-2</v>
      </c>
      <c r="GD18">
        <v>7.0828299999999997E-2</v>
      </c>
      <c r="GE18">
        <v>0.122489</v>
      </c>
      <c r="GF18">
        <v>9.7103700000000001E-2</v>
      </c>
      <c r="GG18">
        <v>24225.1</v>
      </c>
      <c r="GH18">
        <v>30410.400000000001</v>
      </c>
      <c r="GI18">
        <v>23218.9</v>
      </c>
      <c r="GJ18">
        <v>29983.1</v>
      </c>
      <c r="GK18">
        <v>27697.200000000001</v>
      </c>
      <c r="GL18">
        <v>38476.300000000003</v>
      </c>
      <c r="GM18">
        <v>32748.3</v>
      </c>
      <c r="GN18">
        <v>44460.800000000003</v>
      </c>
      <c r="GO18">
        <v>1.94963</v>
      </c>
      <c r="GP18">
        <v>1.89035</v>
      </c>
      <c r="GQ18">
        <v>7.0441500000000004E-2</v>
      </c>
      <c r="GR18">
        <v>0</v>
      </c>
      <c r="GS18">
        <v>26.4861</v>
      </c>
      <c r="GT18">
        <v>999.9</v>
      </c>
      <c r="GU18">
        <v>64.7</v>
      </c>
      <c r="GV18">
        <v>30.1</v>
      </c>
      <c r="GW18">
        <v>27.790099999999999</v>
      </c>
      <c r="GX18">
        <v>61.353700000000003</v>
      </c>
      <c r="GY18">
        <v>36.8429</v>
      </c>
      <c r="GZ18">
        <v>1</v>
      </c>
      <c r="HA18">
        <v>0.29802600000000001</v>
      </c>
      <c r="HB18">
        <v>1.91259</v>
      </c>
      <c r="HC18">
        <v>20.3078</v>
      </c>
      <c r="HD18">
        <v>5.2103999999999999</v>
      </c>
      <c r="HE18">
        <v>11.872199999999999</v>
      </c>
      <c r="HF18">
        <v>4.9844999999999997</v>
      </c>
      <c r="HG18">
        <v>3.2839999999999998</v>
      </c>
      <c r="HH18">
        <v>9999</v>
      </c>
      <c r="HI18">
        <v>9999</v>
      </c>
      <c r="HJ18">
        <v>9999</v>
      </c>
      <c r="HK18">
        <v>999.9</v>
      </c>
      <c r="HL18">
        <v>1.85439</v>
      </c>
      <c r="HM18">
        <v>1.8605</v>
      </c>
      <c r="HN18">
        <v>1.85791</v>
      </c>
      <c r="HO18">
        <v>1.8591299999999999</v>
      </c>
      <c r="HP18">
        <v>1.8585199999999999</v>
      </c>
      <c r="HQ18">
        <v>1.8589899999999999</v>
      </c>
      <c r="HR18">
        <v>1.85741</v>
      </c>
      <c r="HS18">
        <v>1.8607800000000001</v>
      </c>
      <c r="HT18">
        <v>5</v>
      </c>
      <c r="HU18">
        <v>0</v>
      </c>
      <c r="HV18">
        <v>0</v>
      </c>
      <c r="HW18">
        <v>0</v>
      </c>
      <c r="HX18" t="s">
        <v>421</v>
      </c>
      <c r="HY18" t="s">
        <v>422</v>
      </c>
      <c r="HZ18" t="s">
        <v>423</v>
      </c>
      <c r="IA18" t="s">
        <v>423</v>
      </c>
      <c r="IB18" t="s">
        <v>423</v>
      </c>
      <c r="IC18" t="s">
        <v>423</v>
      </c>
      <c r="ID18">
        <v>0</v>
      </c>
      <c r="IE18">
        <v>100</v>
      </c>
      <c r="IF18">
        <v>100</v>
      </c>
      <c r="IG18">
        <v>2.3149999999999999</v>
      </c>
      <c r="IH18">
        <v>0.14549999999999999</v>
      </c>
      <c r="II18">
        <v>1.912328251606024</v>
      </c>
      <c r="IJ18">
        <v>1.6187016317407189E-3</v>
      </c>
      <c r="IK18">
        <v>1.4341569744255341E-7</v>
      </c>
      <c r="IL18">
        <v>-2.4096625942085749E-10</v>
      </c>
      <c r="IM18">
        <v>0.1454924391572385</v>
      </c>
      <c r="IN18">
        <v>0</v>
      </c>
      <c r="IO18">
        <v>0</v>
      </c>
      <c r="IP18">
        <v>0</v>
      </c>
      <c r="IQ18">
        <v>4</v>
      </c>
      <c r="IR18">
        <v>2205</v>
      </c>
      <c r="IS18">
        <v>1</v>
      </c>
      <c r="IT18">
        <v>21</v>
      </c>
      <c r="IU18">
        <v>0.8</v>
      </c>
      <c r="IV18">
        <v>0.6</v>
      </c>
      <c r="IW18">
        <v>0.78247100000000003</v>
      </c>
      <c r="IX18">
        <v>2.4108900000000002</v>
      </c>
      <c r="IY18">
        <v>1.49414</v>
      </c>
      <c r="IZ18">
        <v>2.3120099999999999</v>
      </c>
      <c r="JA18">
        <v>1.69434</v>
      </c>
      <c r="JB18">
        <v>2.3864700000000001</v>
      </c>
      <c r="JC18">
        <v>34.829599999999999</v>
      </c>
      <c r="JD18">
        <v>15.4367</v>
      </c>
      <c r="JE18">
        <v>18</v>
      </c>
      <c r="JF18">
        <v>493.80500000000001</v>
      </c>
      <c r="JG18">
        <v>481.15300000000002</v>
      </c>
      <c r="JH18">
        <v>24.952999999999999</v>
      </c>
      <c r="JI18">
        <v>31.0641</v>
      </c>
      <c r="JJ18">
        <v>30.000299999999999</v>
      </c>
      <c r="JK18">
        <v>30.9678</v>
      </c>
      <c r="JL18">
        <v>30.930099999999999</v>
      </c>
      <c r="JM18">
        <v>15.7392</v>
      </c>
      <c r="JN18">
        <v>41.859099999999998</v>
      </c>
      <c r="JO18">
        <v>39.932899999999997</v>
      </c>
      <c r="JP18">
        <v>24.950299999999999</v>
      </c>
      <c r="JQ18">
        <v>300</v>
      </c>
      <c r="JR18">
        <v>18.641400000000001</v>
      </c>
      <c r="JS18">
        <v>98.682199999999995</v>
      </c>
      <c r="JT18">
        <v>99.868399999999994</v>
      </c>
    </row>
    <row r="19" spans="1:280" x14ac:dyDescent="0.25">
      <c r="A19">
        <v>3</v>
      </c>
      <c r="B19">
        <v>1674574279.5999999</v>
      </c>
      <c r="C19">
        <v>227</v>
      </c>
      <c r="D19" t="s">
        <v>429</v>
      </c>
      <c r="E19" t="s">
        <v>430</v>
      </c>
      <c r="F19" t="s">
        <v>412</v>
      </c>
      <c r="G19" t="s">
        <v>413</v>
      </c>
      <c r="H19" t="s">
        <v>414</v>
      </c>
      <c r="I19">
        <v>1674574279.5999999</v>
      </c>
      <c r="J19">
        <f t="shared" si="0"/>
        <v>5.4733356248543993E-3</v>
      </c>
      <c r="K19">
        <f t="shared" si="1"/>
        <v>5.473335624854399</v>
      </c>
      <c r="L19">
        <f t="shared" si="2"/>
        <v>30.179559365399722</v>
      </c>
      <c r="M19">
        <f t="shared" si="3"/>
        <v>162.745</v>
      </c>
      <c r="N19">
        <f t="shared" si="4"/>
        <v>49.496678877640733</v>
      </c>
      <c r="O19">
        <f t="shared" si="5"/>
        <v>4.9416830835275327</v>
      </c>
      <c r="P19">
        <f t="shared" si="6"/>
        <v>16.2482459766</v>
      </c>
      <c r="Q19">
        <f t="shared" si="7"/>
        <v>0.46745213111087297</v>
      </c>
      <c r="R19">
        <f t="shared" si="8"/>
        <v>2.9238608526576431</v>
      </c>
      <c r="S19">
        <f t="shared" si="9"/>
        <v>0.42955262607110095</v>
      </c>
      <c r="T19">
        <f t="shared" si="10"/>
        <v>0.27161898765108022</v>
      </c>
      <c r="U19">
        <f t="shared" si="11"/>
        <v>344.3219012638562</v>
      </c>
      <c r="V19">
        <f t="shared" si="12"/>
        <v>28.612580016785742</v>
      </c>
      <c r="W19">
        <f t="shared" si="13"/>
        <v>27.6448</v>
      </c>
      <c r="X19">
        <f t="shared" si="14"/>
        <v>3.7169663676054259</v>
      </c>
      <c r="Y19">
        <f t="shared" si="15"/>
        <v>65.447843324097875</v>
      </c>
      <c r="Z19">
        <f t="shared" si="16"/>
        <v>2.4843357937800001</v>
      </c>
      <c r="AA19">
        <f t="shared" si="17"/>
        <v>3.7959016945410462</v>
      </c>
      <c r="AB19">
        <f t="shared" si="18"/>
        <v>1.2326305738254257</v>
      </c>
      <c r="AC19">
        <f t="shared" si="19"/>
        <v>-241.37410105607901</v>
      </c>
      <c r="AD19">
        <f t="shared" si="20"/>
        <v>56.7472270638523</v>
      </c>
      <c r="AE19">
        <f t="shared" si="21"/>
        <v>4.2231860782689052</v>
      </c>
      <c r="AF19">
        <f t="shared" si="22"/>
        <v>163.91821334989839</v>
      </c>
      <c r="AG19">
        <v>0</v>
      </c>
      <c r="AH19">
        <v>0</v>
      </c>
      <c r="AI19">
        <f t="shared" si="23"/>
        <v>1</v>
      </c>
      <c r="AJ19">
        <f t="shared" si="24"/>
        <v>0</v>
      </c>
      <c r="AK19">
        <f t="shared" si="25"/>
        <v>52531.282525901603</v>
      </c>
      <c r="AL19" t="s">
        <v>415</v>
      </c>
      <c r="AM19">
        <v>10214.9</v>
      </c>
      <c r="AN19">
        <v>729.4384</v>
      </c>
      <c r="AO19">
        <v>3170.19</v>
      </c>
      <c r="AP19">
        <f t="shared" si="26"/>
        <v>0.76990704027203416</v>
      </c>
      <c r="AQ19">
        <v>-0.45549566560547827</v>
      </c>
      <c r="AR19" t="s">
        <v>431</v>
      </c>
      <c r="AS19">
        <v>10072.299999999999</v>
      </c>
      <c r="AT19">
        <v>846.11396000000013</v>
      </c>
      <c r="AU19">
        <v>1096.2588286283949</v>
      </c>
      <c r="AV19">
        <f t="shared" si="27"/>
        <v>0.22818048265241186</v>
      </c>
      <c r="AW19">
        <v>0.5</v>
      </c>
      <c r="AX19">
        <f t="shared" si="28"/>
        <v>1512.9747006319278</v>
      </c>
      <c r="AY19">
        <f t="shared" si="29"/>
        <v>30.179559365399722</v>
      </c>
      <c r="AZ19">
        <f t="shared" si="30"/>
        <v>172.61564871554083</v>
      </c>
      <c r="BA19">
        <f t="shared" si="31"/>
        <v>2.0248226899107952E-2</v>
      </c>
      <c r="BB19">
        <f t="shared" si="32"/>
        <v>1.8918261976201767</v>
      </c>
      <c r="BC19">
        <f t="shared" si="33"/>
        <v>508.21465144494863</v>
      </c>
      <c r="BD19" t="s">
        <v>432</v>
      </c>
      <c r="BE19">
        <v>591.16999999999996</v>
      </c>
      <c r="BF19">
        <f t="shared" si="34"/>
        <v>591.16999999999996</v>
      </c>
      <c r="BG19">
        <f t="shared" si="35"/>
        <v>0.4607386644815864</v>
      </c>
      <c r="BH19">
        <f t="shared" si="36"/>
        <v>0.49524926003150999</v>
      </c>
      <c r="BI19">
        <f t="shared" si="37"/>
        <v>0.80415474535738585</v>
      </c>
      <c r="BJ19">
        <f t="shared" si="38"/>
        <v>0.68192731131068607</v>
      </c>
      <c r="BK19">
        <f t="shared" si="39"/>
        <v>0.84971005299007285</v>
      </c>
      <c r="BL19">
        <f t="shared" si="40"/>
        <v>0.34602490786563517</v>
      </c>
      <c r="BM19">
        <f t="shared" si="41"/>
        <v>0.65397509213436478</v>
      </c>
      <c r="BN19">
        <v>9062</v>
      </c>
      <c r="BO19">
        <v>290.00000000000011</v>
      </c>
      <c r="BP19">
        <v>1025.1300000000001</v>
      </c>
      <c r="BQ19">
        <v>225</v>
      </c>
      <c r="BR19">
        <v>10072.299999999999</v>
      </c>
      <c r="BS19">
        <v>1023.78</v>
      </c>
      <c r="BT19">
        <v>1.35</v>
      </c>
      <c r="BU19">
        <v>300.00000000000011</v>
      </c>
      <c r="BV19">
        <v>24.2</v>
      </c>
      <c r="BW19">
        <v>1096.2588286283949</v>
      </c>
      <c r="BX19">
        <v>2.547409080968293</v>
      </c>
      <c r="BY19">
        <v>-73.003791013388067</v>
      </c>
      <c r="BZ19">
        <v>2.283842427335212</v>
      </c>
      <c r="CA19">
        <v>0.97332781392492507</v>
      </c>
      <c r="CB19">
        <v>-6.8792745272525206E-3</v>
      </c>
      <c r="CC19">
        <v>289.99999999999989</v>
      </c>
      <c r="CD19">
        <v>1022.09</v>
      </c>
      <c r="CE19">
        <v>655</v>
      </c>
      <c r="CF19">
        <v>10050.4</v>
      </c>
      <c r="CG19">
        <v>1023.62</v>
      </c>
      <c r="CH19">
        <v>-1.53</v>
      </c>
      <c r="CV19">
        <f t="shared" si="42"/>
        <v>1799.75</v>
      </c>
      <c r="CW19">
        <f t="shared" si="43"/>
        <v>1512.9747006319278</v>
      </c>
      <c r="CX19">
        <f t="shared" si="44"/>
        <v>0.8406582584425214</v>
      </c>
      <c r="CY19">
        <f t="shared" si="45"/>
        <v>0.19131651688504303</v>
      </c>
      <c r="CZ19">
        <v>6</v>
      </c>
      <c r="DA19">
        <v>0.5</v>
      </c>
      <c r="DB19" t="s">
        <v>418</v>
      </c>
      <c r="DC19">
        <v>2</v>
      </c>
      <c r="DD19">
        <v>1674574279.5999999</v>
      </c>
      <c r="DE19">
        <v>162.745</v>
      </c>
      <c r="DF19">
        <v>200.02199999999999</v>
      </c>
      <c r="DG19">
        <v>24.883500000000002</v>
      </c>
      <c r="DH19">
        <v>18.4802</v>
      </c>
      <c r="DI19">
        <v>160.69999999999999</v>
      </c>
      <c r="DJ19">
        <v>24.7439</v>
      </c>
      <c r="DK19">
        <v>500.09899999999999</v>
      </c>
      <c r="DL19">
        <v>99.738399999999999</v>
      </c>
      <c r="DM19">
        <v>0.10027999999999999</v>
      </c>
      <c r="DN19">
        <v>28.004799999999999</v>
      </c>
      <c r="DO19">
        <v>27.6448</v>
      </c>
      <c r="DP19">
        <v>999.9</v>
      </c>
      <c r="DQ19">
        <v>0</v>
      </c>
      <c r="DR19">
        <v>0</v>
      </c>
      <c r="DS19">
        <v>9993.75</v>
      </c>
      <c r="DT19">
        <v>0</v>
      </c>
      <c r="DU19">
        <v>323.76600000000002</v>
      </c>
      <c r="DV19">
        <v>-37.277000000000001</v>
      </c>
      <c r="DW19">
        <v>166.898</v>
      </c>
      <c r="DX19">
        <v>203.78800000000001</v>
      </c>
      <c r="DY19">
        <v>6.4033199999999999</v>
      </c>
      <c r="DZ19">
        <v>200.02199999999999</v>
      </c>
      <c r="EA19">
        <v>18.4802</v>
      </c>
      <c r="EB19">
        <v>2.4818500000000001</v>
      </c>
      <c r="EC19">
        <v>1.8431900000000001</v>
      </c>
      <c r="ED19">
        <v>20.907900000000001</v>
      </c>
      <c r="EE19">
        <v>16.158000000000001</v>
      </c>
      <c r="EF19">
        <v>1799.75</v>
      </c>
      <c r="EG19">
        <v>0.97799499999999995</v>
      </c>
      <c r="EH19">
        <v>2.2005199999999999E-2</v>
      </c>
      <c r="EI19">
        <v>0</v>
      </c>
      <c r="EJ19">
        <v>845.22299999999996</v>
      </c>
      <c r="EK19">
        <v>4.9990399999999999</v>
      </c>
      <c r="EL19">
        <v>15753.2</v>
      </c>
      <c r="EM19">
        <v>14818.6</v>
      </c>
      <c r="EN19">
        <v>47.311999999999998</v>
      </c>
      <c r="EO19">
        <v>48.75</v>
      </c>
      <c r="EP19">
        <v>48.186999999999998</v>
      </c>
      <c r="EQ19">
        <v>47.25</v>
      </c>
      <c r="ER19">
        <v>48.25</v>
      </c>
      <c r="ES19">
        <v>1755.26</v>
      </c>
      <c r="ET19">
        <v>39.49</v>
      </c>
      <c r="EU19">
        <v>0</v>
      </c>
      <c r="EV19">
        <v>107.6000001430511</v>
      </c>
      <c r="EW19">
        <v>0</v>
      </c>
      <c r="EX19">
        <v>846.11396000000013</v>
      </c>
      <c r="EY19">
        <v>-6.4404615077638656</v>
      </c>
      <c r="EZ19">
        <v>-92.68461524559217</v>
      </c>
      <c r="FA19">
        <v>15765.904</v>
      </c>
      <c r="FB19">
        <v>15</v>
      </c>
      <c r="FC19">
        <v>1674574246.0999999</v>
      </c>
      <c r="FD19" t="s">
        <v>433</v>
      </c>
      <c r="FE19">
        <v>1674574239.5999999</v>
      </c>
      <c r="FF19">
        <v>1674574246.0999999</v>
      </c>
      <c r="FG19">
        <v>4</v>
      </c>
      <c r="FH19">
        <v>-0.13100000000000001</v>
      </c>
      <c r="FI19">
        <v>-6.0000000000000001E-3</v>
      </c>
      <c r="FJ19">
        <v>2.1059999999999999</v>
      </c>
      <c r="FK19">
        <v>0.10199999999999999</v>
      </c>
      <c r="FL19">
        <v>200</v>
      </c>
      <c r="FM19">
        <v>19</v>
      </c>
      <c r="FN19">
        <v>0.06</v>
      </c>
      <c r="FO19">
        <v>0.01</v>
      </c>
      <c r="FP19">
        <v>30.126776154247271</v>
      </c>
      <c r="FQ19">
        <v>2.0796388879636678E-2</v>
      </c>
      <c r="FR19">
        <v>3.0571566022488329E-2</v>
      </c>
      <c r="FS19">
        <v>1</v>
      </c>
      <c r="FT19">
        <v>0.47078414657778372</v>
      </c>
      <c r="FU19">
        <v>2.7616678695182511E-2</v>
      </c>
      <c r="FV19">
        <v>5.2401626416523212E-3</v>
      </c>
      <c r="FW19">
        <v>1</v>
      </c>
      <c r="FX19">
        <v>2</v>
      </c>
      <c r="FY19">
        <v>2</v>
      </c>
      <c r="FZ19" t="s">
        <v>420</v>
      </c>
      <c r="GA19">
        <v>2.9340000000000002</v>
      </c>
      <c r="GB19">
        <v>2.8336899999999998</v>
      </c>
      <c r="GC19">
        <v>4.2245999999999999E-2</v>
      </c>
      <c r="GD19">
        <v>5.0235700000000001E-2</v>
      </c>
      <c r="GE19">
        <v>0.122528</v>
      </c>
      <c r="GF19">
        <v>9.6201499999999995E-2</v>
      </c>
      <c r="GG19">
        <v>24716.7</v>
      </c>
      <c r="GH19">
        <v>31079.9</v>
      </c>
      <c r="GI19">
        <v>23218.400000000001</v>
      </c>
      <c r="GJ19">
        <v>29979.4</v>
      </c>
      <c r="GK19">
        <v>27694.9</v>
      </c>
      <c r="GL19">
        <v>38510.699999999997</v>
      </c>
      <c r="GM19">
        <v>32747.3</v>
      </c>
      <c r="GN19">
        <v>44456.2</v>
      </c>
      <c r="GO19">
        <v>1.9494499999999999</v>
      </c>
      <c r="GP19">
        <v>1.88785</v>
      </c>
      <c r="GQ19">
        <v>6.8426100000000004E-2</v>
      </c>
      <c r="GR19">
        <v>0</v>
      </c>
      <c r="GS19">
        <v>26.5259</v>
      </c>
      <c r="GT19">
        <v>999.9</v>
      </c>
      <c r="GU19">
        <v>64.099999999999994</v>
      </c>
      <c r="GV19">
        <v>30.2</v>
      </c>
      <c r="GW19">
        <v>27.698</v>
      </c>
      <c r="GX19">
        <v>61.373699999999999</v>
      </c>
      <c r="GY19">
        <v>36.302100000000003</v>
      </c>
      <c r="GZ19">
        <v>1</v>
      </c>
      <c r="HA19">
        <v>0.30213899999999999</v>
      </c>
      <c r="HB19">
        <v>1.96546</v>
      </c>
      <c r="HC19">
        <v>20.307099999999998</v>
      </c>
      <c r="HD19">
        <v>5.2102500000000003</v>
      </c>
      <c r="HE19">
        <v>11.872199999999999</v>
      </c>
      <c r="HF19">
        <v>4.9850500000000002</v>
      </c>
      <c r="HG19">
        <v>3.2839999999999998</v>
      </c>
      <c r="HH19">
        <v>9999</v>
      </c>
      <c r="HI19">
        <v>9999</v>
      </c>
      <c r="HJ19">
        <v>9999</v>
      </c>
      <c r="HK19">
        <v>999.9</v>
      </c>
      <c r="HL19">
        <v>1.85439</v>
      </c>
      <c r="HM19">
        <v>1.8605</v>
      </c>
      <c r="HN19">
        <v>1.85791</v>
      </c>
      <c r="HO19">
        <v>1.8591299999999999</v>
      </c>
      <c r="HP19">
        <v>1.8585199999999999</v>
      </c>
      <c r="HQ19">
        <v>1.8589800000000001</v>
      </c>
      <c r="HR19">
        <v>1.85741</v>
      </c>
      <c r="HS19">
        <v>1.8607499999999999</v>
      </c>
      <c r="HT19">
        <v>5</v>
      </c>
      <c r="HU19">
        <v>0</v>
      </c>
      <c r="HV19">
        <v>0</v>
      </c>
      <c r="HW19">
        <v>0</v>
      </c>
      <c r="HX19" t="s">
        <v>421</v>
      </c>
      <c r="HY19" t="s">
        <v>422</v>
      </c>
      <c r="HZ19" t="s">
        <v>423</v>
      </c>
      <c r="IA19" t="s">
        <v>423</v>
      </c>
      <c r="IB19" t="s">
        <v>423</v>
      </c>
      <c r="IC19" t="s">
        <v>423</v>
      </c>
      <c r="ID19">
        <v>0</v>
      </c>
      <c r="IE19">
        <v>100</v>
      </c>
      <c r="IF19">
        <v>100</v>
      </c>
      <c r="IG19">
        <v>2.0449999999999999</v>
      </c>
      <c r="IH19">
        <v>0.1396</v>
      </c>
      <c r="II19">
        <v>1.7816320586286281</v>
      </c>
      <c r="IJ19">
        <v>1.6187016317407189E-3</v>
      </c>
      <c r="IK19">
        <v>1.4341569744255341E-7</v>
      </c>
      <c r="IL19">
        <v>-2.4096625942085749E-10</v>
      </c>
      <c r="IM19">
        <v>0.1396066107397656</v>
      </c>
      <c r="IN19">
        <v>0</v>
      </c>
      <c r="IO19">
        <v>0</v>
      </c>
      <c r="IP19">
        <v>0</v>
      </c>
      <c r="IQ19">
        <v>4</v>
      </c>
      <c r="IR19">
        <v>2205</v>
      </c>
      <c r="IS19">
        <v>1</v>
      </c>
      <c r="IT19">
        <v>21</v>
      </c>
      <c r="IU19">
        <v>0.7</v>
      </c>
      <c r="IV19">
        <v>0.6</v>
      </c>
      <c r="IW19">
        <v>0.57250999999999996</v>
      </c>
      <c r="IX19">
        <v>2.4426299999999999</v>
      </c>
      <c r="IY19">
        <v>1.49414</v>
      </c>
      <c r="IZ19">
        <v>2.3120099999999999</v>
      </c>
      <c r="JA19">
        <v>1.69434</v>
      </c>
      <c r="JB19">
        <v>2.3095699999999999</v>
      </c>
      <c r="JC19">
        <v>34.944400000000002</v>
      </c>
      <c r="JD19">
        <v>15.4016</v>
      </c>
      <c r="JE19">
        <v>18</v>
      </c>
      <c r="JF19">
        <v>494.04899999999998</v>
      </c>
      <c r="JG19">
        <v>479.68900000000002</v>
      </c>
      <c r="JH19">
        <v>24.9102</v>
      </c>
      <c r="JI19">
        <v>31.110399999999998</v>
      </c>
      <c r="JJ19">
        <v>30.000299999999999</v>
      </c>
      <c r="JK19">
        <v>31.010999999999999</v>
      </c>
      <c r="JL19">
        <v>30.9712</v>
      </c>
      <c r="JM19">
        <v>11.533799999999999</v>
      </c>
      <c r="JN19">
        <v>42.009799999999998</v>
      </c>
      <c r="JO19">
        <v>36.598700000000001</v>
      </c>
      <c r="JP19">
        <v>24.904</v>
      </c>
      <c r="JQ19">
        <v>200</v>
      </c>
      <c r="JR19">
        <v>18.461500000000001</v>
      </c>
      <c r="JS19">
        <v>98.679500000000004</v>
      </c>
      <c r="JT19">
        <v>99.857299999999995</v>
      </c>
    </row>
    <row r="20" spans="1:280" x14ac:dyDescent="0.25">
      <c r="A20">
        <v>4</v>
      </c>
      <c r="B20">
        <v>1674574411.0999999</v>
      </c>
      <c r="C20">
        <v>358.5</v>
      </c>
      <c r="D20" t="s">
        <v>434</v>
      </c>
      <c r="E20" t="s">
        <v>435</v>
      </c>
      <c r="F20" t="s">
        <v>412</v>
      </c>
      <c r="G20" t="s">
        <v>413</v>
      </c>
      <c r="H20" t="s">
        <v>414</v>
      </c>
      <c r="I20">
        <v>1674574411.0999999</v>
      </c>
      <c r="J20">
        <f t="shared" si="0"/>
        <v>5.7756577881782718E-3</v>
      </c>
      <c r="K20">
        <f t="shared" si="1"/>
        <v>5.7756577881782718</v>
      </c>
      <c r="L20">
        <f t="shared" si="2"/>
        <v>19.017555334926662</v>
      </c>
      <c r="M20">
        <f t="shared" si="3"/>
        <v>96.490899999999996</v>
      </c>
      <c r="N20">
        <f t="shared" si="4"/>
        <v>29.143685420822198</v>
      </c>
      <c r="O20">
        <f t="shared" si="5"/>
        <v>2.9091998220417805</v>
      </c>
      <c r="P20">
        <f t="shared" si="6"/>
        <v>9.6319770494122992</v>
      </c>
      <c r="Q20">
        <f t="shared" si="7"/>
        <v>0.49753034945275842</v>
      </c>
      <c r="R20">
        <f t="shared" si="8"/>
        <v>2.9191924762738344</v>
      </c>
      <c r="S20">
        <f t="shared" si="9"/>
        <v>0.45477305862949263</v>
      </c>
      <c r="T20">
        <f t="shared" si="10"/>
        <v>0.28776790015594472</v>
      </c>
      <c r="U20">
        <f t="shared" si="11"/>
        <v>344.36940126368069</v>
      </c>
      <c r="V20">
        <f t="shared" si="12"/>
        <v>28.528039241324414</v>
      </c>
      <c r="W20">
        <f t="shared" si="13"/>
        <v>27.619800000000001</v>
      </c>
      <c r="X20">
        <f t="shared" si="14"/>
        <v>3.7115383338209251</v>
      </c>
      <c r="Y20">
        <f t="shared" si="15"/>
        <v>65.442087463148439</v>
      </c>
      <c r="Z20">
        <f t="shared" si="16"/>
        <v>2.4831182909190996</v>
      </c>
      <c r="AA20">
        <f t="shared" si="17"/>
        <v>3.7943751294874057</v>
      </c>
      <c r="AB20">
        <f t="shared" si="18"/>
        <v>1.2284200429018255</v>
      </c>
      <c r="AC20">
        <f t="shared" si="19"/>
        <v>-254.70650845866177</v>
      </c>
      <c r="AD20">
        <f t="shared" si="20"/>
        <v>59.505190757648812</v>
      </c>
      <c r="AE20">
        <f t="shared" si="21"/>
        <v>4.4348131652195075</v>
      </c>
      <c r="AF20">
        <f t="shared" si="22"/>
        <v>153.60289672788724</v>
      </c>
      <c r="AG20">
        <v>0</v>
      </c>
      <c r="AH20">
        <v>0</v>
      </c>
      <c r="AI20">
        <f t="shared" si="23"/>
        <v>1</v>
      </c>
      <c r="AJ20">
        <f t="shared" si="24"/>
        <v>0</v>
      </c>
      <c r="AK20">
        <f t="shared" si="25"/>
        <v>52397.971793864039</v>
      </c>
      <c r="AL20" t="s">
        <v>415</v>
      </c>
      <c r="AM20">
        <v>10214.9</v>
      </c>
      <c r="AN20">
        <v>729.4384</v>
      </c>
      <c r="AO20">
        <v>3170.19</v>
      </c>
      <c r="AP20">
        <f t="shared" si="26"/>
        <v>0.76990704027203416</v>
      </c>
      <c r="AQ20">
        <v>-0.45549566560547827</v>
      </c>
      <c r="AR20" t="s">
        <v>436</v>
      </c>
      <c r="AS20">
        <v>10084</v>
      </c>
      <c r="AT20">
        <v>868.73042307692299</v>
      </c>
      <c r="AU20">
        <v>1034.1371554596981</v>
      </c>
      <c r="AV20">
        <f t="shared" si="27"/>
        <v>0.15994661008891797</v>
      </c>
      <c r="AW20">
        <v>0.5</v>
      </c>
      <c r="AX20">
        <f t="shared" si="28"/>
        <v>1513.1847006318403</v>
      </c>
      <c r="AY20">
        <f t="shared" si="29"/>
        <v>19.017555334926662</v>
      </c>
      <c r="AZ20">
        <f t="shared" si="30"/>
        <v>121.01438165223851</v>
      </c>
      <c r="BA20">
        <f t="shared" si="31"/>
        <v>1.2868918772705698E-2</v>
      </c>
      <c r="BB20">
        <f t="shared" si="32"/>
        <v>2.0655411453529844</v>
      </c>
      <c r="BC20">
        <f t="shared" si="33"/>
        <v>494.44518131282632</v>
      </c>
      <c r="BD20" t="s">
        <v>437</v>
      </c>
      <c r="BE20">
        <v>583.04999999999995</v>
      </c>
      <c r="BF20">
        <f t="shared" si="34"/>
        <v>583.04999999999995</v>
      </c>
      <c r="BG20">
        <f t="shared" si="35"/>
        <v>0.43619664285167215</v>
      </c>
      <c r="BH20">
        <f t="shared" si="36"/>
        <v>0.36668464260351386</v>
      </c>
      <c r="BI20">
        <f t="shared" si="37"/>
        <v>0.82564254139331528</v>
      </c>
      <c r="BJ20">
        <f t="shared" si="38"/>
        <v>0.54285332453434687</v>
      </c>
      <c r="BK20">
        <f t="shared" si="39"/>
        <v>0.875161915100374</v>
      </c>
      <c r="BL20">
        <f t="shared" si="40"/>
        <v>0.24610106333417531</v>
      </c>
      <c r="BM20">
        <f t="shared" si="41"/>
        <v>0.75389893666582464</v>
      </c>
      <c r="BN20">
        <v>9064</v>
      </c>
      <c r="BO20">
        <v>290.00000000000011</v>
      </c>
      <c r="BP20">
        <v>994.25</v>
      </c>
      <c r="BQ20">
        <v>135</v>
      </c>
      <c r="BR20">
        <v>10084</v>
      </c>
      <c r="BS20">
        <v>993.26</v>
      </c>
      <c r="BT20">
        <v>0.99</v>
      </c>
      <c r="BU20">
        <v>300.00000000000011</v>
      </c>
      <c r="BV20">
        <v>24.2</v>
      </c>
      <c r="BW20">
        <v>1034.1371554596981</v>
      </c>
      <c r="BX20">
        <v>1.6862432517719339</v>
      </c>
      <c r="BY20">
        <v>-41.225512492094381</v>
      </c>
      <c r="BZ20">
        <v>1.51165348411224</v>
      </c>
      <c r="CA20">
        <v>0.96371887311534732</v>
      </c>
      <c r="CB20">
        <v>-6.8786791991101211E-3</v>
      </c>
      <c r="CC20">
        <v>289.99999999999989</v>
      </c>
      <c r="CD20">
        <v>992.22</v>
      </c>
      <c r="CE20">
        <v>695</v>
      </c>
      <c r="CF20">
        <v>10047.4</v>
      </c>
      <c r="CG20">
        <v>993.11</v>
      </c>
      <c r="CH20">
        <v>-0.89</v>
      </c>
      <c r="CV20">
        <f t="shared" si="42"/>
        <v>1800</v>
      </c>
      <c r="CW20">
        <f t="shared" si="43"/>
        <v>1513.1847006318403</v>
      </c>
      <c r="CX20">
        <f t="shared" si="44"/>
        <v>0.84065816701768903</v>
      </c>
      <c r="CY20">
        <f t="shared" si="45"/>
        <v>0.19131633403537815</v>
      </c>
      <c r="CZ20">
        <v>6</v>
      </c>
      <c r="DA20">
        <v>0.5</v>
      </c>
      <c r="DB20" t="s">
        <v>418</v>
      </c>
      <c r="DC20">
        <v>2</v>
      </c>
      <c r="DD20">
        <v>1674574411.0999999</v>
      </c>
      <c r="DE20">
        <v>96.490899999999996</v>
      </c>
      <c r="DF20">
        <v>119.97799999999999</v>
      </c>
      <c r="DG20">
        <v>24.875299999999999</v>
      </c>
      <c r="DH20">
        <v>18.117699999999999</v>
      </c>
      <c r="DI20">
        <v>94.688500000000005</v>
      </c>
      <c r="DJ20">
        <v>24.732700000000001</v>
      </c>
      <c r="DK20">
        <v>500.05799999999999</v>
      </c>
      <c r="DL20">
        <v>99.722399999999993</v>
      </c>
      <c r="DM20">
        <v>0.100247</v>
      </c>
      <c r="DN20">
        <v>27.997900000000001</v>
      </c>
      <c r="DO20">
        <v>27.619800000000001</v>
      </c>
      <c r="DP20">
        <v>999.9</v>
      </c>
      <c r="DQ20">
        <v>0</v>
      </c>
      <c r="DR20">
        <v>0</v>
      </c>
      <c r="DS20">
        <v>9968.75</v>
      </c>
      <c r="DT20">
        <v>0</v>
      </c>
      <c r="DU20">
        <v>328.767</v>
      </c>
      <c r="DV20">
        <v>-23.487500000000001</v>
      </c>
      <c r="DW20">
        <v>98.952299999999994</v>
      </c>
      <c r="DX20">
        <v>122.19199999999999</v>
      </c>
      <c r="DY20">
        <v>6.7575700000000003</v>
      </c>
      <c r="DZ20">
        <v>119.97799999999999</v>
      </c>
      <c r="EA20">
        <v>18.117699999999999</v>
      </c>
      <c r="EB20">
        <v>2.48062</v>
      </c>
      <c r="EC20">
        <v>1.80674</v>
      </c>
      <c r="ED20">
        <v>20.899899999999999</v>
      </c>
      <c r="EE20">
        <v>15.8452</v>
      </c>
      <c r="EF20">
        <v>1800</v>
      </c>
      <c r="EG20">
        <v>0.97799899999999995</v>
      </c>
      <c r="EH20">
        <v>2.20015E-2</v>
      </c>
      <c r="EI20">
        <v>0</v>
      </c>
      <c r="EJ20">
        <v>868.65800000000002</v>
      </c>
      <c r="EK20">
        <v>4.9990399999999999</v>
      </c>
      <c r="EL20">
        <v>16189</v>
      </c>
      <c r="EM20">
        <v>14820.7</v>
      </c>
      <c r="EN20">
        <v>47.436999999999998</v>
      </c>
      <c r="EO20">
        <v>48.875</v>
      </c>
      <c r="EP20">
        <v>48.311999999999998</v>
      </c>
      <c r="EQ20">
        <v>47.311999999999998</v>
      </c>
      <c r="ER20">
        <v>48.375</v>
      </c>
      <c r="ES20">
        <v>1755.51</v>
      </c>
      <c r="ET20">
        <v>39.49</v>
      </c>
      <c r="EU20">
        <v>0</v>
      </c>
      <c r="EV20">
        <v>129.79999995231631</v>
      </c>
      <c r="EW20">
        <v>0</v>
      </c>
      <c r="EX20">
        <v>868.73042307692299</v>
      </c>
      <c r="EY20">
        <v>-1.870393174116747</v>
      </c>
      <c r="EZ20">
        <v>-27.45982906088236</v>
      </c>
      <c r="FA20">
        <v>16191.80769230769</v>
      </c>
      <c r="FB20">
        <v>15</v>
      </c>
      <c r="FC20">
        <v>1674574378.0999999</v>
      </c>
      <c r="FD20" t="s">
        <v>438</v>
      </c>
      <c r="FE20">
        <v>1674574360.0999999</v>
      </c>
      <c r="FF20">
        <v>1674574378.0999999</v>
      </c>
      <c r="FG20">
        <v>5</v>
      </c>
      <c r="FH20">
        <v>-0.13400000000000001</v>
      </c>
      <c r="FI20">
        <v>3.0000000000000001E-3</v>
      </c>
      <c r="FJ20">
        <v>1.841</v>
      </c>
      <c r="FK20">
        <v>9.8000000000000004E-2</v>
      </c>
      <c r="FL20">
        <v>120</v>
      </c>
      <c r="FM20">
        <v>18</v>
      </c>
      <c r="FN20">
        <v>0.09</v>
      </c>
      <c r="FO20">
        <v>0.02</v>
      </c>
      <c r="FP20">
        <v>18.986932400422191</v>
      </c>
      <c r="FQ20">
        <v>-0.28810580227708732</v>
      </c>
      <c r="FR20">
        <v>4.3980065390321288E-2</v>
      </c>
      <c r="FS20">
        <v>1</v>
      </c>
      <c r="FT20">
        <v>0.49968464692401349</v>
      </c>
      <c r="FU20">
        <v>2.8796581965356231E-2</v>
      </c>
      <c r="FV20">
        <v>5.9596276454939199E-3</v>
      </c>
      <c r="FW20">
        <v>1</v>
      </c>
      <c r="FX20">
        <v>2</v>
      </c>
      <c r="FY20">
        <v>2</v>
      </c>
      <c r="FZ20" t="s">
        <v>420</v>
      </c>
      <c r="GA20">
        <v>2.9338299999999999</v>
      </c>
      <c r="GB20">
        <v>2.83344</v>
      </c>
      <c r="GC20">
        <v>2.5818399999999998E-2</v>
      </c>
      <c r="GD20">
        <v>3.1557700000000001E-2</v>
      </c>
      <c r="GE20">
        <v>0.12245499999999999</v>
      </c>
      <c r="GF20">
        <v>9.4833799999999996E-2</v>
      </c>
      <c r="GG20">
        <v>25138</v>
      </c>
      <c r="GH20">
        <v>31689</v>
      </c>
      <c r="GI20">
        <v>23216.5</v>
      </c>
      <c r="GJ20">
        <v>29978</v>
      </c>
      <c r="GK20">
        <v>27696.1</v>
      </c>
      <c r="GL20">
        <v>38568.699999999997</v>
      </c>
      <c r="GM20">
        <v>32746.2</v>
      </c>
      <c r="GN20">
        <v>44455.5</v>
      </c>
      <c r="GO20">
        <v>1.9491000000000001</v>
      </c>
      <c r="GP20">
        <v>1.8845499999999999</v>
      </c>
      <c r="GQ20">
        <v>6.6619399999999995E-2</v>
      </c>
      <c r="GR20">
        <v>0</v>
      </c>
      <c r="GS20">
        <v>26.5304</v>
      </c>
      <c r="GT20">
        <v>999.9</v>
      </c>
      <c r="GU20">
        <v>63.2</v>
      </c>
      <c r="GV20">
        <v>30.4</v>
      </c>
      <c r="GW20">
        <v>27.630299999999998</v>
      </c>
      <c r="GX20">
        <v>61.313699999999997</v>
      </c>
      <c r="GY20">
        <v>36.875</v>
      </c>
      <c r="GZ20">
        <v>1</v>
      </c>
      <c r="HA20">
        <v>0.30638199999999999</v>
      </c>
      <c r="HB20">
        <v>1.89717</v>
      </c>
      <c r="HC20">
        <v>20.308</v>
      </c>
      <c r="HD20">
        <v>5.2099500000000001</v>
      </c>
      <c r="HE20">
        <v>11.872199999999999</v>
      </c>
      <c r="HF20">
        <v>4.9850500000000002</v>
      </c>
      <c r="HG20">
        <v>3.2839999999999998</v>
      </c>
      <c r="HH20">
        <v>9999</v>
      </c>
      <c r="HI20">
        <v>9999</v>
      </c>
      <c r="HJ20">
        <v>9999</v>
      </c>
      <c r="HK20">
        <v>999.9</v>
      </c>
      <c r="HL20">
        <v>1.8543700000000001</v>
      </c>
      <c r="HM20">
        <v>1.8604700000000001</v>
      </c>
      <c r="HN20">
        <v>1.8579000000000001</v>
      </c>
      <c r="HO20">
        <v>1.8591299999999999</v>
      </c>
      <c r="HP20">
        <v>1.8584799999999999</v>
      </c>
      <c r="HQ20">
        <v>1.8589800000000001</v>
      </c>
      <c r="HR20">
        <v>1.8573299999999999</v>
      </c>
      <c r="HS20">
        <v>1.86069</v>
      </c>
      <c r="HT20">
        <v>5</v>
      </c>
      <c r="HU20">
        <v>0</v>
      </c>
      <c r="HV20">
        <v>0</v>
      </c>
      <c r="HW20">
        <v>0</v>
      </c>
      <c r="HX20" t="s">
        <v>421</v>
      </c>
      <c r="HY20" t="s">
        <v>422</v>
      </c>
      <c r="HZ20" t="s">
        <v>423</v>
      </c>
      <c r="IA20" t="s">
        <v>423</v>
      </c>
      <c r="IB20" t="s">
        <v>423</v>
      </c>
      <c r="IC20" t="s">
        <v>423</v>
      </c>
      <c r="ID20">
        <v>0</v>
      </c>
      <c r="IE20">
        <v>100</v>
      </c>
      <c r="IF20">
        <v>100</v>
      </c>
      <c r="IG20">
        <v>1.802</v>
      </c>
      <c r="IH20">
        <v>0.1426</v>
      </c>
      <c r="II20">
        <v>1.6480231765385089</v>
      </c>
      <c r="IJ20">
        <v>1.6187016317407189E-3</v>
      </c>
      <c r="IK20">
        <v>1.4341569744255341E-7</v>
      </c>
      <c r="IL20">
        <v>-2.4096625942085749E-10</v>
      </c>
      <c r="IM20">
        <v>0.14257085203211081</v>
      </c>
      <c r="IN20">
        <v>0</v>
      </c>
      <c r="IO20">
        <v>0</v>
      </c>
      <c r="IP20">
        <v>0</v>
      </c>
      <c r="IQ20">
        <v>4</v>
      </c>
      <c r="IR20">
        <v>2205</v>
      </c>
      <c r="IS20">
        <v>1</v>
      </c>
      <c r="IT20">
        <v>21</v>
      </c>
      <c r="IU20">
        <v>0.8</v>
      </c>
      <c r="IV20">
        <v>0.6</v>
      </c>
      <c r="IW20">
        <v>0.39917000000000002</v>
      </c>
      <c r="IX20">
        <v>2.4536099999999998</v>
      </c>
      <c r="IY20">
        <v>1.49414</v>
      </c>
      <c r="IZ20">
        <v>2.3120099999999999</v>
      </c>
      <c r="JA20">
        <v>1.69434</v>
      </c>
      <c r="JB20">
        <v>2.323</v>
      </c>
      <c r="JC20">
        <v>35.128599999999999</v>
      </c>
      <c r="JD20">
        <v>15.3841</v>
      </c>
      <c r="JE20">
        <v>18</v>
      </c>
      <c r="JF20">
        <v>494.25700000000001</v>
      </c>
      <c r="JG20">
        <v>477.74299999999999</v>
      </c>
      <c r="JH20">
        <v>24.933199999999999</v>
      </c>
      <c r="JI20">
        <v>31.164899999999999</v>
      </c>
      <c r="JJ20">
        <v>30.0002</v>
      </c>
      <c r="JK20">
        <v>31.063600000000001</v>
      </c>
      <c r="JL20">
        <v>31.023599999999998</v>
      </c>
      <c r="JM20">
        <v>8.0682500000000008</v>
      </c>
      <c r="JN20">
        <v>42.781799999999997</v>
      </c>
      <c r="JO20">
        <v>31.994299999999999</v>
      </c>
      <c r="JP20">
        <v>24.933700000000002</v>
      </c>
      <c r="JQ20">
        <v>120</v>
      </c>
      <c r="JR20">
        <v>18.0474</v>
      </c>
      <c r="JS20">
        <v>98.674199999999999</v>
      </c>
      <c r="JT20">
        <v>99.854600000000005</v>
      </c>
    </row>
    <row r="21" spans="1:280" x14ac:dyDescent="0.25">
      <c r="A21">
        <v>5</v>
      </c>
      <c r="B21">
        <v>1674574524.5999999</v>
      </c>
      <c r="C21">
        <v>472</v>
      </c>
      <c r="D21" t="s">
        <v>439</v>
      </c>
      <c r="E21" t="s">
        <v>440</v>
      </c>
      <c r="F21" t="s">
        <v>412</v>
      </c>
      <c r="G21" t="s">
        <v>413</v>
      </c>
      <c r="H21" t="s">
        <v>414</v>
      </c>
      <c r="I21">
        <v>1674574524.5999999</v>
      </c>
      <c r="J21">
        <f t="shared" si="0"/>
        <v>6.0251398297446607E-3</v>
      </c>
      <c r="K21">
        <f t="shared" si="1"/>
        <v>6.0251398297446608</v>
      </c>
      <c r="L21">
        <f t="shared" si="2"/>
        <v>11.444421443791542</v>
      </c>
      <c r="M21">
        <f t="shared" si="3"/>
        <v>55.874200000000002</v>
      </c>
      <c r="N21">
        <f t="shared" si="4"/>
        <v>17.293642432900558</v>
      </c>
      <c r="O21">
        <f t="shared" si="5"/>
        <v>1.7262718633247744</v>
      </c>
      <c r="P21">
        <f t="shared" si="6"/>
        <v>5.5774287990528002</v>
      </c>
      <c r="Q21">
        <f t="shared" si="7"/>
        <v>0.52483871082979283</v>
      </c>
      <c r="R21">
        <f t="shared" si="8"/>
        <v>2.9213606774069074</v>
      </c>
      <c r="S21">
        <f t="shared" si="9"/>
        <v>0.47752955441699996</v>
      </c>
      <c r="T21">
        <f t="shared" si="10"/>
        <v>0.30235033965886771</v>
      </c>
      <c r="U21">
        <f t="shared" si="11"/>
        <v>344.36560126369471</v>
      </c>
      <c r="V21">
        <f t="shared" si="12"/>
        <v>28.466643120534652</v>
      </c>
      <c r="W21">
        <f t="shared" si="13"/>
        <v>27.6065</v>
      </c>
      <c r="X21">
        <f t="shared" si="14"/>
        <v>3.7086534396611968</v>
      </c>
      <c r="Y21">
        <f t="shared" si="15"/>
        <v>65.56263814866135</v>
      </c>
      <c r="Z21">
        <f t="shared" si="16"/>
        <v>2.4882725999231998</v>
      </c>
      <c r="AA21">
        <f t="shared" si="17"/>
        <v>3.7952600294715335</v>
      </c>
      <c r="AB21">
        <f t="shared" si="18"/>
        <v>1.2203808397379969</v>
      </c>
      <c r="AC21">
        <f t="shared" si="19"/>
        <v>-265.70866649173956</v>
      </c>
      <c r="AD21">
        <f t="shared" si="20"/>
        <v>62.274075310678604</v>
      </c>
      <c r="AE21">
        <f t="shared" si="21"/>
        <v>4.6375135465968924</v>
      </c>
      <c r="AF21">
        <f t="shared" si="22"/>
        <v>145.56852362923064</v>
      </c>
      <c r="AG21">
        <v>0</v>
      </c>
      <c r="AH21">
        <v>0</v>
      </c>
      <c r="AI21">
        <f t="shared" si="23"/>
        <v>1</v>
      </c>
      <c r="AJ21">
        <f t="shared" si="24"/>
        <v>0</v>
      </c>
      <c r="AK21">
        <f t="shared" si="25"/>
        <v>52459.540902656452</v>
      </c>
      <c r="AL21" t="s">
        <v>415</v>
      </c>
      <c r="AM21">
        <v>10214.9</v>
      </c>
      <c r="AN21">
        <v>729.4384</v>
      </c>
      <c r="AO21">
        <v>3170.19</v>
      </c>
      <c r="AP21">
        <f t="shared" si="26"/>
        <v>0.76990704027203416</v>
      </c>
      <c r="AQ21">
        <v>-0.45549566560547827</v>
      </c>
      <c r="AR21" t="s">
        <v>441</v>
      </c>
      <c r="AS21">
        <v>10065.299999999999</v>
      </c>
      <c r="AT21">
        <v>886.30446153846162</v>
      </c>
      <c r="AU21">
        <v>1008.040228542893</v>
      </c>
      <c r="AV21">
        <f t="shared" si="27"/>
        <v>0.12076479048896549</v>
      </c>
      <c r="AW21">
        <v>0.5</v>
      </c>
      <c r="AX21">
        <f t="shared" si="28"/>
        <v>1513.1679006318473</v>
      </c>
      <c r="AY21">
        <f t="shared" si="29"/>
        <v>11.444421443791542</v>
      </c>
      <c r="AZ21">
        <f t="shared" si="30"/>
        <v>91.36870224721639</v>
      </c>
      <c r="BA21">
        <f t="shared" si="31"/>
        <v>7.8642410431968724E-3</v>
      </c>
      <c r="BB21">
        <f t="shared" si="32"/>
        <v>2.1449042510758343</v>
      </c>
      <c r="BC21">
        <f t="shared" si="33"/>
        <v>488.39975476244831</v>
      </c>
      <c r="BD21" t="s">
        <v>442</v>
      </c>
      <c r="BE21">
        <v>587.35</v>
      </c>
      <c r="BF21">
        <f t="shared" si="34"/>
        <v>587.35</v>
      </c>
      <c r="BG21">
        <f t="shared" si="35"/>
        <v>0.41733476168009132</v>
      </c>
      <c r="BH21">
        <f t="shared" si="36"/>
        <v>0.28937151078140477</v>
      </c>
      <c r="BI21">
        <f t="shared" si="37"/>
        <v>0.83712106497386862</v>
      </c>
      <c r="BJ21">
        <f t="shared" si="38"/>
        <v>0.43695250544879033</v>
      </c>
      <c r="BK21">
        <f t="shared" si="39"/>
        <v>0.88585408341312033</v>
      </c>
      <c r="BL21">
        <f t="shared" si="40"/>
        <v>0.19176520511070733</v>
      </c>
      <c r="BM21">
        <f t="shared" si="41"/>
        <v>0.80823479488929273</v>
      </c>
      <c r="BN21">
        <v>9066</v>
      </c>
      <c r="BO21">
        <v>290.00000000000011</v>
      </c>
      <c r="BP21">
        <v>974.11</v>
      </c>
      <c r="BQ21">
        <v>275</v>
      </c>
      <c r="BR21">
        <v>10065.299999999999</v>
      </c>
      <c r="BS21">
        <v>972.74</v>
      </c>
      <c r="BT21">
        <v>1.37</v>
      </c>
      <c r="BU21">
        <v>300.00000000000011</v>
      </c>
      <c r="BV21">
        <v>24.2</v>
      </c>
      <c r="BW21">
        <v>1008.040228542893</v>
      </c>
      <c r="BX21">
        <v>1.44073369822737</v>
      </c>
      <c r="BY21">
        <v>-35.534115528387879</v>
      </c>
      <c r="BZ21">
        <v>1.291494982312021</v>
      </c>
      <c r="CA21">
        <v>0.96433197795937731</v>
      </c>
      <c r="CB21">
        <v>-6.87837664071191E-3</v>
      </c>
      <c r="CC21">
        <v>289.99999999999989</v>
      </c>
      <c r="CD21">
        <v>969.11</v>
      </c>
      <c r="CE21">
        <v>655</v>
      </c>
      <c r="CF21">
        <v>10049</v>
      </c>
      <c r="CG21">
        <v>972.68</v>
      </c>
      <c r="CH21">
        <v>-3.57</v>
      </c>
      <c r="CV21">
        <f t="shared" si="42"/>
        <v>1799.98</v>
      </c>
      <c r="CW21">
        <f t="shared" si="43"/>
        <v>1513.1679006318473</v>
      </c>
      <c r="CX21">
        <f t="shared" si="44"/>
        <v>0.84065817433074108</v>
      </c>
      <c r="CY21">
        <f t="shared" si="45"/>
        <v>0.1913163486614822</v>
      </c>
      <c r="CZ21">
        <v>6</v>
      </c>
      <c r="DA21">
        <v>0.5</v>
      </c>
      <c r="DB21" t="s">
        <v>418</v>
      </c>
      <c r="DC21">
        <v>2</v>
      </c>
      <c r="DD21">
        <v>1674574524.5999999</v>
      </c>
      <c r="DE21">
        <v>55.874200000000002</v>
      </c>
      <c r="DF21">
        <v>70.008799999999994</v>
      </c>
      <c r="DG21">
        <v>24.927299999999999</v>
      </c>
      <c r="DH21">
        <v>17.878699999999998</v>
      </c>
      <c r="DI21">
        <v>54.247199999999999</v>
      </c>
      <c r="DJ21">
        <v>24.790500000000002</v>
      </c>
      <c r="DK21">
        <v>500.09500000000003</v>
      </c>
      <c r="DL21">
        <v>99.7209</v>
      </c>
      <c r="DM21">
        <v>0.100284</v>
      </c>
      <c r="DN21">
        <v>28.001899999999999</v>
      </c>
      <c r="DO21">
        <v>27.6065</v>
      </c>
      <c r="DP21">
        <v>999.9</v>
      </c>
      <c r="DQ21">
        <v>0</v>
      </c>
      <c r="DR21">
        <v>0</v>
      </c>
      <c r="DS21">
        <v>9981.25</v>
      </c>
      <c r="DT21">
        <v>0</v>
      </c>
      <c r="DU21">
        <v>333.798</v>
      </c>
      <c r="DV21">
        <v>-14.134499999999999</v>
      </c>
      <c r="DW21">
        <v>57.302599999999998</v>
      </c>
      <c r="DX21">
        <v>71.283199999999994</v>
      </c>
      <c r="DY21">
        <v>7.0486899999999997</v>
      </c>
      <c r="DZ21">
        <v>70.008799999999994</v>
      </c>
      <c r="EA21">
        <v>17.878699999999998</v>
      </c>
      <c r="EB21">
        <v>2.4857800000000001</v>
      </c>
      <c r="EC21">
        <v>1.78288</v>
      </c>
      <c r="ED21">
        <v>20.933700000000002</v>
      </c>
      <c r="EE21">
        <v>15.637499999999999</v>
      </c>
      <c r="EF21">
        <v>1799.98</v>
      </c>
      <c r="EG21">
        <v>0.97799899999999995</v>
      </c>
      <c r="EH21">
        <v>2.20015E-2</v>
      </c>
      <c r="EI21">
        <v>0</v>
      </c>
      <c r="EJ21">
        <v>885.80200000000002</v>
      </c>
      <c r="EK21">
        <v>4.9990399999999999</v>
      </c>
      <c r="EL21">
        <v>16523.400000000001</v>
      </c>
      <c r="EM21">
        <v>14820.5</v>
      </c>
      <c r="EN21">
        <v>47.5</v>
      </c>
      <c r="EO21">
        <v>48.936999999999998</v>
      </c>
      <c r="EP21">
        <v>48.436999999999998</v>
      </c>
      <c r="EQ21">
        <v>47.375</v>
      </c>
      <c r="ER21">
        <v>48.436999999999998</v>
      </c>
      <c r="ES21">
        <v>1755.49</v>
      </c>
      <c r="ET21">
        <v>39.49</v>
      </c>
      <c r="EU21">
        <v>0</v>
      </c>
      <c r="EV21">
        <v>111.6000001430511</v>
      </c>
      <c r="EW21">
        <v>0</v>
      </c>
      <c r="EX21">
        <v>886.30446153846162</v>
      </c>
      <c r="EY21">
        <v>-2.819692311011452</v>
      </c>
      <c r="EZ21">
        <v>-31.811965804588731</v>
      </c>
      <c r="FA21">
        <v>16526.826923076918</v>
      </c>
      <c r="FB21">
        <v>15</v>
      </c>
      <c r="FC21">
        <v>1674574491.5999999</v>
      </c>
      <c r="FD21" t="s">
        <v>443</v>
      </c>
      <c r="FE21">
        <v>1674574481.5999999</v>
      </c>
      <c r="FF21">
        <v>1674574491.5999999</v>
      </c>
      <c r="FG21">
        <v>6</v>
      </c>
      <c r="FH21">
        <v>-0.109</v>
      </c>
      <c r="FI21">
        <v>-6.0000000000000001E-3</v>
      </c>
      <c r="FJ21">
        <v>1.65</v>
      </c>
      <c r="FK21">
        <v>8.5999999999999993E-2</v>
      </c>
      <c r="FL21">
        <v>70</v>
      </c>
      <c r="FM21">
        <v>18</v>
      </c>
      <c r="FN21">
        <v>0.12</v>
      </c>
      <c r="FO21">
        <v>0.02</v>
      </c>
      <c r="FP21">
        <v>11.409266404874851</v>
      </c>
      <c r="FQ21">
        <v>-0.37899676663084209</v>
      </c>
      <c r="FR21">
        <v>5.3547550145636572E-2</v>
      </c>
      <c r="FS21">
        <v>1</v>
      </c>
      <c r="FT21">
        <v>0.52653594574525076</v>
      </c>
      <c r="FU21">
        <v>3.5957057146780873E-2</v>
      </c>
      <c r="FV21">
        <v>6.8525166270946994E-3</v>
      </c>
      <c r="FW21">
        <v>1</v>
      </c>
      <c r="FX21">
        <v>2</v>
      </c>
      <c r="FY21">
        <v>2</v>
      </c>
      <c r="FZ21" t="s">
        <v>420</v>
      </c>
      <c r="GA21">
        <v>2.9338799999999998</v>
      </c>
      <c r="GB21">
        <v>2.83358</v>
      </c>
      <c r="GC21">
        <v>1.5060499999999999E-2</v>
      </c>
      <c r="GD21">
        <v>1.8856999999999999E-2</v>
      </c>
      <c r="GE21">
        <v>0.122642</v>
      </c>
      <c r="GF21">
        <v>9.3934500000000004E-2</v>
      </c>
      <c r="GG21">
        <v>25415.7</v>
      </c>
      <c r="GH21">
        <v>32102.9</v>
      </c>
      <c r="GI21">
        <v>23217</v>
      </c>
      <c r="GJ21">
        <v>29977.1</v>
      </c>
      <c r="GK21">
        <v>27690.7</v>
      </c>
      <c r="GL21">
        <v>38606.400000000001</v>
      </c>
      <c r="GM21">
        <v>32747</v>
      </c>
      <c r="GN21">
        <v>44454.7</v>
      </c>
      <c r="GO21">
        <v>1.9493</v>
      </c>
      <c r="GP21">
        <v>1.8822300000000001</v>
      </c>
      <c r="GQ21">
        <v>6.7353200000000002E-2</v>
      </c>
      <c r="GR21">
        <v>0</v>
      </c>
      <c r="GS21">
        <v>26.505199999999999</v>
      </c>
      <c r="GT21">
        <v>999.9</v>
      </c>
      <c r="GU21">
        <v>62.4</v>
      </c>
      <c r="GV21">
        <v>30.5</v>
      </c>
      <c r="GW21">
        <v>27.432099999999998</v>
      </c>
      <c r="GX21">
        <v>61.293700000000001</v>
      </c>
      <c r="GY21">
        <v>36.670699999999997</v>
      </c>
      <c r="GZ21">
        <v>1</v>
      </c>
      <c r="HA21">
        <v>0.30867899999999998</v>
      </c>
      <c r="HB21">
        <v>1.9246700000000001</v>
      </c>
      <c r="HC21">
        <v>20.308199999999999</v>
      </c>
      <c r="HD21">
        <v>5.2098000000000004</v>
      </c>
      <c r="HE21">
        <v>11.872199999999999</v>
      </c>
      <c r="HF21">
        <v>4.9845499999999996</v>
      </c>
      <c r="HG21">
        <v>3.2839999999999998</v>
      </c>
      <c r="HH21">
        <v>9999</v>
      </c>
      <c r="HI21">
        <v>9999</v>
      </c>
      <c r="HJ21">
        <v>9999</v>
      </c>
      <c r="HK21">
        <v>999.9</v>
      </c>
      <c r="HL21">
        <v>1.8543400000000001</v>
      </c>
      <c r="HM21">
        <v>1.86049</v>
      </c>
      <c r="HN21">
        <v>1.85785</v>
      </c>
      <c r="HO21">
        <v>1.8591</v>
      </c>
      <c r="HP21">
        <v>1.85846</v>
      </c>
      <c r="HQ21">
        <v>1.8589800000000001</v>
      </c>
      <c r="HR21">
        <v>1.8573200000000001</v>
      </c>
      <c r="HS21">
        <v>1.8607100000000001</v>
      </c>
      <c r="HT21">
        <v>5</v>
      </c>
      <c r="HU21">
        <v>0</v>
      </c>
      <c r="HV21">
        <v>0</v>
      </c>
      <c r="HW21">
        <v>0</v>
      </c>
      <c r="HX21" t="s">
        <v>421</v>
      </c>
      <c r="HY21" t="s">
        <v>422</v>
      </c>
      <c r="HZ21" t="s">
        <v>423</v>
      </c>
      <c r="IA21" t="s">
        <v>423</v>
      </c>
      <c r="IB21" t="s">
        <v>423</v>
      </c>
      <c r="IC21" t="s">
        <v>423</v>
      </c>
      <c r="ID21">
        <v>0</v>
      </c>
      <c r="IE21">
        <v>100</v>
      </c>
      <c r="IF21">
        <v>100</v>
      </c>
      <c r="IG21">
        <v>1.627</v>
      </c>
      <c r="IH21">
        <v>0.1368</v>
      </c>
      <c r="II21">
        <v>1.5388246870476241</v>
      </c>
      <c r="IJ21">
        <v>1.6187016317407189E-3</v>
      </c>
      <c r="IK21">
        <v>1.4341569744255341E-7</v>
      </c>
      <c r="IL21">
        <v>-2.4096625942085749E-10</v>
      </c>
      <c r="IM21">
        <v>0.13687045383248289</v>
      </c>
      <c r="IN21">
        <v>0</v>
      </c>
      <c r="IO21">
        <v>0</v>
      </c>
      <c r="IP21">
        <v>0</v>
      </c>
      <c r="IQ21">
        <v>4</v>
      </c>
      <c r="IR21">
        <v>2205</v>
      </c>
      <c r="IS21">
        <v>1</v>
      </c>
      <c r="IT21">
        <v>21</v>
      </c>
      <c r="IU21">
        <v>0.7</v>
      </c>
      <c r="IV21">
        <v>0.6</v>
      </c>
      <c r="IW21">
        <v>0.29052699999999998</v>
      </c>
      <c r="IX21">
        <v>2.4609399999999999</v>
      </c>
      <c r="IY21">
        <v>1.49414</v>
      </c>
      <c r="IZ21">
        <v>2.3120099999999999</v>
      </c>
      <c r="JA21">
        <v>1.69434</v>
      </c>
      <c r="JB21">
        <v>2.4047900000000002</v>
      </c>
      <c r="JC21">
        <v>35.244</v>
      </c>
      <c r="JD21">
        <v>15.3666</v>
      </c>
      <c r="JE21">
        <v>18</v>
      </c>
      <c r="JF21">
        <v>494.68599999999998</v>
      </c>
      <c r="JG21">
        <v>476.37</v>
      </c>
      <c r="JH21">
        <v>24.905999999999999</v>
      </c>
      <c r="JI21">
        <v>31.197500000000002</v>
      </c>
      <c r="JJ21">
        <v>30.0001</v>
      </c>
      <c r="JK21">
        <v>31.1004</v>
      </c>
      <c r="JL21">
        <v>31.059899999999999</v>
      </c>
      <c r="JM21">
        <v>5.8804499999999997</v>
      </c>
      <c r="JN21">
        <v>43.572899999999997</v>
      </c>
      <c r="JO21">
        <v>28.0776</v>
      </c>
      <c r="JP21">
        <v>24.9026</v>
      </c>
      <c r="JQ21">
        <v>70</v>
      </c>
      <c r="JR21">
        <v>17.773900000000001</v>
      </c>
      <c r="JS21">
        <v>98.676400000000001</v>
      </c>
      <c r="JT21">
        <v>99.852099999999993</v>
      </c>
    </row>
    <row r="22" spans="1:280" x14ac:dyDescent="0.25">
      <c r="A22">
        <v>6</v>
      </c>
      <c r="B22">
        <v>1674574624.0999999</v>
      </c>
      <c r="C22">
        <v>571.5</v>
      </c>
      <c r="D22" t="s">
        <v>444</v>
      </c>
      <c r="E22" t="s">
        <v>445</v>
      </c>
      <c r="F22" t="s">
        <v>412</v>
      </c>
      <c r="G22" t="s">
        <v>413</v>
      </c>
      <c r="H22" t="s">
        <v>414</v>
      </c>
      <c r="I22">
        <v>1674574624.0999999</v>
      </c>
      <c r="J22">
        <f t="shared" si="0"/>
        <v>6.216951033148151E-3</v>
      </c>
      <c r="K22">
        <f t="shared" si="1"/>
        <v>6.2169510331481508</v>
      </c>
      <c r="L22">
        <f t="shared" si="2"/>
        <v>4.7528216858231414</v>
      </c>
      <c r="M22">
        <f t="shared" si="3"/>
        <v>24.0916</v>
      </c>
      <c r="N22">
        <f t="shared" si="4"/>
        <v>8.1731629097394354</v>
      </c>
      <c r="O22">
        <f t="shared" si="5"/>
        <v>0.8158605035427865</v>
      </c>
      <c r="P22">
        <f t="shared" si="6"/>
        <v>2.4048688523912003</v>
      </c>
      <c r="Q22">
        <f t="shared" si="7"/>
        <v>0.52956820533785143</v>
      </c>
      <c r="R22">
        <f t="shared" si="8"/>
        <v>2.9229115623305977</v>
      </c>
      <c r="S22">
        <f t="shared" si="9"/>
        <v>0.48146743470422598</v>
      </c>
      <c r="T22">
        <f t="shared" si="10"/>
        <v>0.30487389458261782</v>
      </c>
      <c r="U22">
        <f t="shared" si="11"/>
        <v>344.37700126365257</v>
      </c>
      <c r="V22">
        <f t="shared" si="12"/>
        <v>28.408528830252507</v>
      </c>
      <c r="W22">
        <f t="shared" si="13"/>
        <v>27.566400000000002</v>
      </c>
      <c r="X22">
        <f t="shared" si="14"/>
        <v>3.6999672157395942</v>
      </c>
      <c r="Y22">
        <f t="shared" si="15"/>
        <v>64.603485455903154</v>
      </c>
      <c r="Z22">
        <f t="shared" si="16"/>
        <v>2.4507270249819997</v>
      </c>
      <c r="AA22">
        <f t="shared" si="17"/>
        <v>3.7934904095148383</v>
      </c>
      <c r="AB22">
        <f t="shared" si="18"/>
        <v>1.2492401907575945</v>
      </c>
      <c r="AC22">
        <f t="shared" si="19"/>
        <v>-274.16754056183345</v>
      </c>
      <c r="AD22">
        <f t="shared" si="20"/>
        <v>67.36545348342672</v>
      </c>
      <c r="AE22">
        <f t="shared" si="21"/>
        <v>5.0128014632602378</v>
      </c>
      <c r="AF22">
        <f t="shared" si="22"/>
        <v>142.58771564850611</v>
      </c>
      <c r="AG22">
        <v>0</v>
      </c>
      <c r="AH22">
        <v>0</v>
      </c>
      <c r="AI22">
        <f t="shared" si="23"/>
        <v>1</v>
      </c>
      <c r="AJ22">
        <f t="shared" si="24"/>
        <v>0</v>
      </c>
      <c r="AK22">
        <f t="shared" si="25"/>
        <v>52505.534052733587</v>
      </c>
      <c r="AL22" t="s">
        <v>415</v>
      </c>
      <c r="AM22">
        <v>10214.9</v>
      </c>
      <c r="AN22">
        <v>729.4384</v>
      </c>
      <c r="AO22">
        <v>3170.19</v>
      </c>
      <c r="AP22">
        <f t="shared" si="26"/>
        <v>0.76990704027203416</v>
      </c>
      <c r="AQ22">
        <v>-0.45549566560547827</v>
      </c>
      <c r="AR22" t="s">
        <v>446</v>
      </c>
      <c r="AS22">
        <v>10083.5</v>
      </c>
      <c r="AT22">
        <v>899.26515384615391</v>
      </c>
      <c r="AU22">
        <v>985.83423630008929</v>
      </c>
      <c r="AV22">
        <f t="shared" si="27"/>
        <v>8.7813020958610322E-2</v>
      </c>
      <c r="AW22">
        <v>0.5</v>
      </c>
      <c r="AX22">
        <f t="shared" si="28"/>
        <v>1513.2183006318264</v>
      </c>
      <c r="AY22">
        <f t="shared" si="29"/>
        <v>4.7528216858231414</v>
      </c>
      <c r="AZ22">
        <f t="shared" si="30"/>
        <v>66.440135174167636</v>
      </c>
      <c r="BA22">
        <f t="shared" si="31"/>
        <v>3.4418810222252454E-3</v>
      </c>
      <c r="BB22">
        <f t="shared" si="32"/>
        <v>2.2157434620022567</v>
      </c>
      <c r="BC22">
        <f t="shared" si="33"/>
        <v>483.12714895717266</v>
      </c>
      <c r="BD22" t="s">
        <v>447</v>
      </c>
      <c r="BE22">
        <v>595.72</v>
      </c>
      <c r="BF22">
        <f t="shared" si="34"/>
        <v>595.72</v>
      </c>
      <c r="BG22">
        <f t="shared" si="35"/>
        <v>0.39571991105139293</v>
      </c>
      <c r="BH22">
        <f t="shared" si="36"/>
        <v>0.2219070067141653</v>
      </c>
      <c r="BI22">
        <f t="shared" si="37"/>
        <v>0.84846813662614462</v>
      </c>
      <c r="BJ22">
        <f t="shared" si="38"/>
        <v>0.33763840982430665</v>
      </c>
      <c r="BK22">
        <f t="shared" si="39"/>
        <v>0.89495209741946324</v>
      </c>
      <c r="BL22">
        <f t="shared" si="40"/>
        <v>0.14700274048690465</v>
      </c>
      <c r="BM22">
        <f t="shared" si="41"/>
        <v>0.85299725951309535</v>
      </c>
      <c r="BN22">
        <v>9068</v>
      </c>
      <c r="BO22">
        <v>290.00000000000011</v>
      </c>
      <c r="BP22">
        <v>957.45</v>
      </c>
      <c r="BQ22">
        <v>135</v>
      </c>
      <c r="BR22">
        <v>10083.5</v>
      </c>
      <c r="BS22">
        <v>954.54</v>
      </c>
      <c r="BT22">
        <v>2.91</v>
      </c>
      <c r="BU22">
        <v>300.00000000000011</v>
      </c>
      <c r="BV22">
        <v>24.2</v>
      </c>
      <c r="BW22">
        <v>985.83423630008929</v>
      </c>
      <c r="BX22">
        <v>2.325299820870268</v>
      </c>
      <c r="BY22">
        <v>-31.55919823002419</v>
      </c>
      <c r="BZ22">
        <v>2.08441397111587</v>
      </c>
      <c r="CA22">
        <v>0.89115079566460276</v>
      </c>
      <c r="CB22">
        <v>-6.8783254727475028E-3</v>
      </c>
      <c r="CC22">
        <v>289.99999999999989</v>
      </c>
      <c r="CD22">
        <v>950.16</v>
      </c>
      <c r="CE22">
        <v>755</v>
      </c>
      <c r="CF22">
        <v>10043.799999999999</v>
      </c>
      <c r="CG22">
        <v>954.41</v>
      </c>
      <c r="CH22">
        <v>-4.25</v>
      </c>
      <c r="CV22">
        <f t="shared" si="42"/>
        <v>1800.04</v>
      </c>
      <c r="CW22">
        <f t="shared" si="43"/>
        <v>1513.2183006318264</v>
      </c>
      <c r="CX22">
        <f t="shared" si="44"/>
        <v>0.84065815239207264</v>
      </c>
      <c r="CY22">
        <f t="shared" si="45"/>
        <v>0.19131630478414513</v>
      </c>
      <c r="CZ22">
        <v>6</v>
      </c>
      <c r="DA22">
        <v>0.5</v>
      </c>
      <c r="DB22" t="s">
        <v>418</v>
      </c>
      <c r="DC22">
        <v>2</v>
      </c>
      <c r="DD22">
        <v>1674574624.0999999</v>
      </c>
      <c r="DE22">
        <v>24.0916</v>
      </c>
      <c r="DF22">
        <v>29.973600000000001</v>
      </c>
      <c r="DG22">
        <v>24.550999999999998</v>
      </c>
      <c r="DH22">
        <v>17.275200000000002</v>
      </c>
      <c r="DI22">
        <v>22.497599999999998</v>
      </c>
      <c r="DJ22">
        <v>24.478999999999999</v>
      </c>
      <c r="DK22">
        <v>500.09500000000003</v>
      </c>
      <c r="DL22">
        <v>99.721800000000002</v>
      </c>
      <c r="DM22">
        <v>0.100082</v>
      </c>
      <c r="DN22">
        <v>27.9939</v>
      </c>
      <c r="DO22">
        <v>27.566400000000002</v>
      </c>
      <c r="DP22">
        <v>999.9</v>
      </c>
      <c r="DQ22">
        <v>0</v>
      </c>
      <c r="DR22">
        <v>0</v>
      </c>
      <c r="DS22">
        <v>9990</v>
      </c>
      <c r="DT22">
        <v>0</v>
      </c>
      <c r="DU22">
        <v>352.59199999999998</v>
      </c>
      <c r="DV22">
        <v>-5.9007199999999997</v>
      </c>
      <c r="DW22">
        <v>24.680399999999999</v>
      </c>
      <c r="DX22">
        <v>30.500499999999999</v>
      </c>
      <c r="DY22">
        <v>7.3406399999999996</v>
      </c>
      <c r="DZ22">
        <v>29.973600000000001</v>
      </c>
      <c r="EA22">
        <v>17.275200000000002</v>
      </c>
      <c r="EB22">
        <v>2.4547400000000001</v>
      </c>
      <c r="EC22">
        <v>1.72272</v>
      </c>
      <c r="ED22">
        <v>20.729500000000002</v>
      </c>
      <c r="EE22">
        <v>15.102600000000001</v>
      </c>
      <c r="EF22">
        <v>1800.04</v>
      </c>
      <c r="EG22">
        <v>0.97799899999999995</v>
      </c>
      <c r="EH22">
        <v>2.20015E-2</v>
      </c>
      <c r="EI22">
        <v>0</v>
      </c>
      <c r="EJ22">
        <v>899.22900000000004</v>
      </c>
      <c r="EK22">
        <v>4.9990399999999999</v>
      </c>
      <c r="EL22">
        <v>16801.7</v>
      </c>
      <c r="EM22">
        <v>14821</v>
      </c>
      <c r="EN22">
        <v>47.561999999999998</v>
      </c>
      <c r="EO22">
        <v>49</v>
      </c>
      <c r="EP22">
        <v>48.5</v>
      </c>
      <c r="EQ22">
        <v>47.436999999999998</v>
      </c>
      <c r="ER22">
        <v>48.5</v>
      </c>
      <c r="ES22">
        <v>1755.55</v>
      </c>
      <c r="ET22">
        <v>39.49</v>
      </c>
      <c r="EU22">
        <v>0</v>
      </c>
      <c r="EV22">
        <v>97.400000095367432</v>
      </c>
      <c r="EW22">
        <v>0</v>
      </c>
      <c r="EX22">
        <v>899.26515384615391</v>
      </c>
      <c r="EY22">
        <v>-3.2447179450438002</v>
      </c>
      <c r="EZ22">
        <v>-36.112820559530768</v>
      </c>
      <c r="FA22">
        <v>16806.365384615379</v>
      </c>
      <c r="FB22">
        <v>15</v>
      </c>
      <c r="FC22">
        <v>1674574652.0999999</v>
      </c>
      <c r="FD22" t="s">
        <v>448</v>
      </c>
      <c r="FE22">
        <v>1674574641.0999999</v>
      </c>
      <c r="FF22">
        <v>1674574652.0999999</v>
      </c>
      <c r="FG22">
        <v>7</v>
      </c>
      <c r="FH22">
        <v>8.9999999999999993E-3</v>
      </c>
      <c r="FI22">
        <v>-3.0000000000000001E-3</v>
      </c>
      <c r="FJ22">
        <v>1.5940000000000001</v>
      </c>
      <c r="FK22">
        <v>7.1999999999999995E-2</v>
      </c>
      <c r="FL22">
        <v>30</v>
      </c>
      <c r="FM22">
        <v>17</v>
      </c>
      <c r="FN22">
        <v>0.31</v>
      </c>
      <c r="FO22">
        <v>0.01</v>
      </c>
      <c r="FP22">
        <v>4.7592317422118882</v>
      </c>
      <c r="FQ22">
        <v>-4.7952575223737158E-2</v>
      </c>
      <c r="FR22">
        <v>1.8672260576623429E-2</v>
      </c>
      <c r="FS22">
        <v>1</v>
      </c>
      <c r="FT22">
        <v>0.53828836959234994</v>
      </c>
      <c r="FU22">
        <v>8.0159360280164117E-3</v>
      </c>
      <c r="FV22">
        <v>1.6605101057965729E-3</v>
      </c>
      <c r="FW22">
        <v>1</v>
      </c>
      <c r="FX22">
        <v>2</v>
      </c>
      <c r="FY22">
        <v>2</v>
      </c>
      <c r="FZ22" t="s">
        <v>420</v>
      </c>
      <c r="GA22">
        <v>2.9338799999999998</v>
      </c>
      <c r="GB22">
        <v>2.83345</v>
      </c>
      <c r="GC22">
        <v>6.3119400000000003E-3</v>
      </c>
      <c r="GD22">
        <v>8.1857300000000004E-3</v>
      </c>
      <c r="GE22">
        <v>0.12156400000000001</v>
      </c>
      <c r="GF22">
        <v>9.1663300000000003E-2</v>
      </c>
      <c r="GG22">
        <v>25641.8</v>
      </c>
      <c r="GH22">
        <v>32451.7</v>
      </c>
      <c r="GI22">
        <v>23217.5</v>
      </c>
      <c r="GJ22">
        <v>29977.1</v>
      </c>
      <c r="GK22">
        <v>27725.7</v>
      </c>
      <c r="GL22">
        <v>38704.6</v>
      </c>
      <c r="GM22">
        <v>32747.8</v>
      </c>
      <c r="GN22">
        <v>44455.1</v>
      </c>
      <c r="GO22">
        <v>1.9503999999999999</v>
      </c>
      <c r="GP22">
        <v>1.8802000000000001</v>
      </c>
      <c r="GQ22">
        <v>6.70515E-2</v>
      </c>
      <c r="GR22">
        <v>0</v>
      </c>
      <c r="GS22">
        <v>26.469899999999999</v>
      </c>
      <c r="GT22">
        <v>999.9</v>
      </c>
      <c r="GU22">
        <v>61.7</v>
      </c>
      <c r="GV22">
        <v>30.7</v>
      </c>
      <c r="GW22">
        <v>27.440899999999999</v>
      </c>
      <c r="GX22">
        <v>61.283700000000003</v>
      </c>
      <c r="GY22">
        <v>36.818899999999999</v>
      </c>
      <c r="GZ22">
        <v>1</v>
      </c>
      <c r="HA22">
        <v>0.30887399999999998</v>
      </c>
      <c r="HB22">
        <v>1.7829900000000001</v>
      </c>
      <c r="HC22">
        <v>20.309699999999999</v>
      </c>
      <c r="HD22">
        <v>5.2102500000000003</v>
      </c>
      <c r="HE22">
        <v>11.872199999999999</v>
      </c>
      <c r="HF22">
        <v>4.9851999999999999</v>
      </c>
      <c r="HG22">
        <v>3.2839999999999998</v>
      </c>
      <c r="HH22">
        <v>9999</v>
      </c>
      <c r="HI22">
        <v>9999</v>
      </c>
      <c r="HJ22">
        <v>9999</v>
      </c>
      <c r="HK22">
        <v>999.9</v>
      </c>
      <c r="HL22">
        <v>1.85439</v>
      </c>
      <c r="HM22">
        <v>1.8605</v>
      </c>
      <c r="HN22">
        <v>1.85791</v>
      </c>
      <c r="HO22">
        <v>1.8591299999999999</v>
      </c>
      <c r="HP22">
        <v>1.8585199999999999</v>
      </c>
      <c r="HQ22">
        <v>1.8589800000000001</v>
      </c>
      <c r="HR22">
        <v>1.8573900000000001</v>
      </c>
      <c r="HS22">
        <v>1.86073</v>
      </c>
      <c r="HT22">
        <v>5</v>
      </c>
      <c r="HU22">
        <v>0</v>
      </c>
      <c r="HV22">
        <v>0</v>
      </c>
      <c r="HW22">
        <v>0</v>
      </c>
      <c r="HX22" t="s">
        <v>421</v>
      </c>
      <c r="HY22" t="s">
        <v>422</v>
      </c>
      <c r="HZ22" t="s">
        <v>423</v>
      </c>
      <c r="IA22" t="s">
        <v>423</v>
      </c>
      <c r="IB22" t="s">
        <v>423</v>
      </c>
      <c r="IC22" t="s">
        <v>423</v>
      </c>
      <c r="ID22">
        <v>0</v>
      </c>
      <c r="IE22">
        <v>100</v>
      </c>
      <c r="IF22">
        <v>100</v>
      </c>
      <c r="IG22">
        <v>1.5940000000000001</v>
      </c>
      <c r="IH22">
        <v>7.1999999999999995E-2</v>
      </c>
      <c r="II22">
        <v>1.5388246870476241</v>
      </c>
      <c r="IJ22">
        <v>1.6187016317407189E-3</v>
      </c>
      <c r="IK22">
        <v>1.4341569744255341E-7</v>
      </c>
      <c r="IL22">
        <v>-2.4096625942085749E-10</v>
      </c>
      <c r="IM22">
        <v>0.13687045383248289</v>
      </c>
      <c r="IN22">
        <v>0</v>
      </c>
      <c r="IO22">
        <v>0</v>
      </c>
      <c r="IP22">
        <v>0</v>
      </c>
      <c r="IQ22">
        <v>4</v>
      </c>
      <c r="IR22">
        <v>2205</v>
      </c>
      <c r="IS22">
        <v>1</v>
      </c>
      <c r="IT22">
        <v>21</v>
      </c>
      <c r="IU22">
        <v>2.4</v>
      </c>
      <c r="IV22">
        <v>2.2000000000000002</v>
      </c>
      <c r="IW22">
        <v>0.20263700000000001</v>
      </c>
      <c r="IX22">
        <v>2.4853499999999999</v>
      </c>
      <c r="IY22">
        <v>1.49414</v>
      </c>
      <c r="IZ22">
        <v>2.3120099999999999</v>
      </c>
      <c r="JA22">
        <v>1.69434</v>
      </c>
      <c r="JB22">
        <v>2.4060100000000002</v>
      </c>
      <c r="JC22">
        <v>35.336500000000001</v>
      </c>
      <c r="JD22">
        <v>15.357900000000001</v>
      </c>
      <c r="JE22">
        <v>18</v>
      </c>
      <c r="JF22">
        <v>495.49599999999998</v>
      </c>
      <c r="JG22">
        <v>475.06299999999999</v>
      </c>
      <c r="JH22">
        <v>24.979800000000001</v>
      </c>
      <c r="JI22">
        <v>31.2057</v>
      </c>
      <c r="JJ22">
        <v>30</v>
      </c>
      <c r="JK22">
        <v>31.114100000000001</v>
      </c>
      <c r="JL22">
        <v>31.078900000000001</v>
      </c>
      <c r="JM22">
        <v>4.1232300000000004</v>
      </c>
      <c r="JN22">
        <v>44.731299999999997</v>
      </c>
      <c r="JO22">
        <v>23.101600000000001</v>
      </c>
      <c r="JP22">
        <v>24.982900000000001</v>
      </c>
      <c r="JQ22">
        <v>30</v>
      </c>
      <c r="JR22">
        <v>17.361499999999999</v>
      </c>
      <c r="JS22">
        <v>98.678799999999995</v>
      </c>
      <c r="JT22">
        <v>99.852699999999999</v>
      </c>
    </row>
    <row r="23" spans="1:280" x14ac:dyDescent="0.25">
      <c r="A23">
        <v>7</v>
      </c>
      <c r="B23">
        <v>1674574788.5999999</v>
      </c>
      <c r="C23">
        <v>736</v>
      </c>
      <c r="D23" t="s">
        <v>449</v>
      </c>
      <c r="E23" t="s">
        <v>450</v>
      </c>
      <c r="F23" t="s">
        <v>412</v>
      </c>
      <c r="G23" t="s">
        <v>413</v>
      </c>
      <c r="H23" t="s">
        <v>414</v>
      </c>
      <c r="I23">
        <v>1674574788.5999999</v>
      </c>
      <c r="J23">
        <f t="shared" si="0"/>
        <v>6.3432383162897897E-3</v>
      </c>
      <c r="K23">
        <f t="shared" si="1"/>
        <v>6.3432383162897894</v>
      </c>
      <c r="L23">
        <f t="shared" si="2"/>
        <v>1.3068116377781649</v>
      </c>
      <c r="M23">
        <f t="shared" si="3"/>
        <v>8.3773900000000001</v>
      </c>
      <c r="N23">
        <f t="shared" si="4"/>
        <v>4.1837454501459375</v>
      </c>
      <c r="O23">
        <f t="shared" si="5"/>
        <v>0.41762008183007798</v>
      </c>
      <c r="P23">
        <f t="shared" si="6"/>
        <v>0.83622828850651987</v>
      </c>
      <c r="Q23">
        <f t="shared" si="7"/>
        <v>0.56038252615734219</v>
      </c>
      <c r="R23">
        <f t="shared" si="8"/>
        <v>2.9193610948451281</v>
      </c>
      <c r="S23">
        <f t="shared" si="9"/>
        <v>0.50676536043045806</v>
      </c>
      <c r="T23">
        <f t="shared" si="10"/>
        <v>0.32111705215139508</v>
      </c>
      <c r="U23">
        <f t="shared" si="11"/>
        <v>344.37320126366666</v>
      </c>
      <c r="V23">
        <f t="shared" si="12"/>
        <v>28.379847503426674</v>
      </c>
      <c r="W23">
        <f t="shared" si="13"/>
        <v>27.549099999999999</v>
      </c>
      <c r="X23">
        <f t="shared" si="14"/>
        <v>3.6962252777361795</v>
      </c>
      <c r="Y23">
        <f t="shared" si="15"/>
        <v>65.50456183016297</v>
      </c>
      <c r="Z23">
        <f t="shared" si="16"/>
        <v>2.4854598233659999</v>
      </c>
      <c r="AA23">
        <f t="shared" si="17"/>
        <v>3.7943308892137599</v>
      </c>
      <c r="AB23">
        <f t="shared" si="18"/>
        <v>1.2107654543701796</v>
      </c>
      <c r="AC23">
        <f t="shared" si="19"/>
        <v>-279.7368097483797</v>
      </c>
      <c r="AD23">
        <f t="shared" si="20"/>
        <v>70.604523871897186</v>
      </c>
      <c r="AE23">
        <f t="shared" si="21"/>
        <v>5.2598630603719565</v>
      </c>
      <c r="AF23">
        <f t="shared" si="22"/>
        <v>140.50077844755612</v>
      </c>
      <c r="AG23">
        <v>0</v>
      </c>
      <c r="AH23">
        <v>0</v>
      </c>
      <c r="AI23">
        <f t="shared" si="23"/>
        <v>1</v>
      </c>
      <c r="AJ23">
        <f t="shared" si="24"/>
        <v>0</v>
      </c>
      <c r="AK23">
        <f t="shared" si="25"/>
        <v>52402.789230129711</v>
      </c>
      <c r="AL23" t="s">
        <v>415</v>
      </c>
      <c r="AM23">
        <v>10214.9</v>
      </c>
      <c r="AN23">
        <v>729.4384</v>
      </c>
      <c r="AO23">
        <v>3170.19</v>
      </c>
      <c r="AP23">
        <f t="shared" si="26"/>
        <v>0.76990704027203416</v>
      </c>
      <c r="AQ23">
        <v>-0.45549566560547827</v>
      </c>
      <c r="AR23" t="s">
        <v>451</v>
      </c>
      <c r="AS23">
        <v>10088.200000000001</v>
      </c>
      <c r="AT23">
        <v>902.30788000000018</v>
      </c>
      <c r="AU23">
        <v>968.75659942578022</v>
      </c>
      <c r="AV23">
        <f t="shared" si="27"/>
        <v>6.8591759235670513E-2</v>
      </c>
      <c r="AW23">
        <v>0.5</v>
      </c>
      <c r="AX23">
        <f t="shared" si="28"/>
        <v>1513.2015006318331</v>
      </c>
      <c r="AY23">
        <f t="shared" si="29"/>
        <v>1.3068116377781649</v>
      </c>
      <c r="AZ23">
        <f t="shared" si="30"/>
        <v>51.896576503197011</v>
      </c>
      <c r="BA23">
        <f t="shared" si="31"/>
        <v>1.1646216995210464E-3</v>
      </c>
      <c r="BB23">
        <f t="shared" si="32"/>
        <v>2.2724319007262457</v>
      </c>
      <c r="BC23">
        <f t="shared" si="33"/>
        <v>478.98909382636492</v>
      </c>
      <c r="BD23" t="s">
        <v>452</v>
      </c>
      <c r="BE23">
        <v>600.80999999999995</v>
      </c>
      <c r="BF23">
        <f t="shared" si="34"/>
        <v>600.80999999999995</v>
      </c>
      <c r="BG23">
        <f t="shared" si="35"/>
        <v>0.37981325716271408</v>
      </c>
      <c r="BH23">
        <f t="shared" si="36"/>
        <v>0.1805933783040265</v>
      </c>
      <c r="BI23">
        <f t="shared" si="37"/>
        <v>0.8567955695826307</v>
      </c>
      <c r="BJ23">
        <f t="shared" si="38"/>
        <v>0.27765844630795739</v>
      </c>
      <c r="BK23">
        <f t="shared" si="39"/>
        <v>0.90194897365804028</v>
      </c>
      <c r="BL23">
        <f t="shared" si="40"/>
        <v>0.12024976177625993</v>
      </c>
      <c r="BM23">
        <f t="shared" si="41"/>
        <v>0.8797502382237401</v>
      </c>
      <c r="BN23">
        <v>9070</v>
      </c>
      <c r="BO23">
        <v>290.00000000000011</v>
      </c>
      <c r="BP23">
        <v>946.08</v>
      </c>
      <c r="BQ23">
        <v>105</v>
      </c>
      <c r="BR23">
        <v>10088.200000000001</v>
      </c>
      <c r="BS23">
        <v>943.02</v>
      </c>
      <c r="BT23">
        <v>3.06</v>
      </c>
      <c r="BU23">
        <v>300.00000000000011</v>
      </c>
      <c r="BV23">
        <v>24.2</v>
      </c>
      <c r="BW23">
        <v>968.75659942578022</v>
      </c>
      <c r="BX23">
        <v>1.6091948130730021</v>
      </c>
      <c r="BY23">
        <v>-25.961806752504788</v>
      </c>
      <c r="BZ23">
        <v>1.4424641341728619</v>
      </c>
      <c r="CA23">
        <v>0.92044017505290365</v>
      </c>
      <c r="CB23">
        <v>-6.8782723025584032E-3</v>
      </c>
      <c r="CC23">
        <v>289.99999999999989</v>
      </c>
      <c r="CD23">
        <v>938.55</v>
      </c>
      <c r="CE23">
        <v>765</v>
      </c>
      <c r="CF23">
        <v>10043.200000000001</v>
      </c>
      <c r="CG23">
        <v>942.91</v>
      </c>
      <c r="CH23">
        <v>-4.3600000000000003</v>
      </c>
      <c r="CV23">
        <f t="shared" si="42"/>
        <v>1800.02</v>
      </c>
      <c r="CW23">
        <f t="shared" si="43"/>
        <v>1513.2015006318331</v>
      </c>
      <c r="CX23">
        <f t="shared" si="44"/>
        <v>0.84065815970479951</v>
      </c>
      <c r="CY23">
        <f t="shared" si="45"/>
        <v>0.19131631940959914</v>
      </c>
      <c r="CZ23">
        <v>6</v>
      </c>
      <c r="DA23">
        <v>0.5</v>
      </c>
      <c r="DB23" t="s">
        <v>418</v>
      </c>
      <c r="DC23">
        <v>2</v>
      </c>
      <c r="DD23">
        <v>1674574788.5999999</v>
      </c>
      <c r="DE23">
        <v>8.3773900000000001</v>
      </c>
      <c r="DF23">
        <v>10.0091</v>
      </c>
      <c r="DG23">
        <v>24.8995</v>
      </c>
      <c r="DH23">
        <v>17.478200000000001</v>
      </c>
      <c r="DI23">
        <v>6.8291199999999996</v>
      </c>
      <c r="DJ23">
        <v>24.760999999999999</v>
      </c>
      <c r="DK23">
        <v>500.07100000000003</v>
      </c>
      <c r="DL23">
        <v>99.719499999999996</v>
      </c>
      <c r="DM23">
        <v>0.10016799999999999</v>
      </c>
      <c r="DN23">
        <v>27.997699999999998</v>
      </c>
      <c r="DO23">
        <v>27.549099999999999</v>
      </c>
      <c r="DP23">
        <v>999.9</v>
      </c>
      <c r="DQ23">
        <v>0</v>
      </c>
      <c r="DR23">
        <v>0</v>
      </c>
      <c r="DS23">
        <v>9970</v>
      </c>
      <c r="DT23">
        <v>0</v>
      </c>
      <c r="DU23">
        <v>353.22</v>
      </c>
      <c r="DV23">
        <v>-1.6317299999999999</v>
      </c>
      <c r="DW23">
        <v>8.5913000000000004</v>
      </c>
      <c r="DX23">
        <v>10.187200000000001</v>
      </c>
      <c r="DY23">
        <v>7.4212499999999997</v>
      </c>
      <c r="DZ23">
        <v>10.0091</v>
      </c>
      <c r="EA23">
        <v>17.478200000000001</v>
      </c>
      <c r="EB23">
        <v>2.4829599999999998</v>
      </c>
      <c r="EC23">
        <v>1.74292</v>
      </c>
      <c r="ED23">
        <v>20.915299999999998</v>
      </c>
      <c r="EE23">
        <v>15.2841</v>
      </c>
      <c r="EF23">
        <v>1800.02</v>
      </c>
      <c r="EG23">
        <v>0.97799899999999995</v>
      </c>
      <c r="EH23">
        <v>2.20015E-2</v>
      </c>
      <c r="EI23">
        <v>0</v>
      </c>
      <c r="EJ23">
        <v>901.94600000000003</v>
      </c>
      <c r="EK23">
        <v>4.9990399999999999</v>
      </c>
      <c r="EL23">
        <v>16864.599999999999</v>
      </c>
      <c r="EM23">
        <v>14820.8</v>
      </c>
      <c r="EN23">
        <v>47.625</v>
      </c>
      <c r="EO23">
        <v>49.061999999999998</v>
      </c>
      <c r="EP23">
        <v>48.561999999999998</v>
      </c>
      <c r="EQ23">
        <v>47.5</v>
      </c>
      <c r="ER23">
        <v>48.561999999999998</v>
      </c>
      <c r="ES23">
        <v>1755.53</v>
      </c>
      <c r="ET23">
        <v>39.49</v>
      </c>
      <c r="EU23">
        <v>0</v>
      </c>
      <c r="EV23">
        <v>162.79999995231631</v>
      </c>
      <c r="EW23">
        <v>0</v>
      </c>
      <c r="EX23">
        <v>902.30788000000018</v>
      </c>
      <c r="EY23">
        <v>-1.132769233157022</v>
      </c>
      <c r="EZ23">
        <v>-16.01538464052576</v>
      </c>
      <c r="FA23">
        <v>16865.599999999999</v>
      </c>
      <c r="FB23">
        <v>15</v>
      </c>
      <c r="FC23">
        <v>1674574754.5999999</v>
      </c>
      <c r="FD23" t="s">
        <v>453</v>
      </c>
      <c r="FE23">
        <v>1674574736.0999999</v>
      </c>
      <c r="FF23">
        <v>1674574754.5999999</v>
      </c>
      <c r="FG23">
        <v>8</v>
      </c>
      <c r="FH23">
        <v>-1.0999999999999999E-2</v>
      </c>
      <c r="FI23">
        <v>5.0000000000000001E-3</v>
      </c>
      <c r="FJ23">
        <v>1.5509999999999999</v>
      </c>
      <c r="FK23">
        <v>7.9000000000000001E-2</v>
      </c>
      <c r="FL23">
        <v>10</v>
      </c>
      <c r="FM23">
        <v>17</v>
      </c>
      <c r="FN23">
        <v>0.4</v>
      </c>
      <c r="FO23">
        <v>0.02</v>
      </c>
      <c r="FP23">
        <v>1.34584963086128</v>
      </c>
      <c r="FQ23">
        <v>-0.69815006423461556</v>
      </c>
      <c r="FR23">
        <v>7.6319925816281275E-2</v>
      </c>
      <c r="FS23">
        <v>1</v>
      </c>
      <c r="FT23">
        <v>0.56364971324957014</v>
      </c>
      <c r="FU23">
        <v>9.6289947636407254E-3</v>
      </c>
      <c r="FV23">
        <v>4.790636856460976E-3</v>
      </c>
      <c r="FW23">
        <v>1</v>
      </c>
      <c r="FX23">
        <v>2</v>
      </c>
      <c r="FY23">
        <v>2</v>
      </c>
      <c r="FZ23" t="s">
        <v>420</v>
      </c>
      <c r="GA23">
        <v>2.9338099999999998</v>
      </c>
      <c r="GB23">
        <v>2.8333599999999999</v>
      </c>
      <c r="GC23">
        <v>1.9229E-3</v>
      </c>
      <c r="GD23">
        <v>2.7456999999999998E-3</v>
      </c>
      <c r="GE23">
        <v>0.122529</v>
      </c>
      <c r="GF23">
        <v>9.2423599999999995E-2</v>
      </c>
      <c r="GG23">
        <v>25756.2</v>
      </c>
      <c r="GH23">
        <v>32631.3</v>
      </c>
      <c r="GI23">
        <v>23218.7</v>
      </c>
      <c r="GJ23">
        <v>29978.799999999999</v>
      </c>
      <c r="GK23">
        <v>27696.6</v>
      </c>
      <c r="GL23">
        <v>38674.5</v>
      </c>
      <c r="GM23">
        <v>32749.9</v>
      </c>
      <c r="GN23">
        <v>44458.400000000001</v>
      </c>
      <c r="GO23">
        <v>1.94937</v>
      </c>
      <c r="GP23">
        <v>1.87862</v>
      </c>
      <c r="GQ23">
        <v>6.7085000000000006E-2</v>
      </c>
      <c r="GR23">
        <v>0</v>
      </c>
      <c r="GS23">
        <v>26.452000000000002</v>
      </c>
      <c r="GT23">
        <v>999.9</v>
      </c>
      <c r="GU23">
        <v>60.6</v>
      </c>
      <c r="GV23">
        <v>30.9</v>
      </c>
      <c r="GW23">
        <v>27.261600000000001</v>
      </c>
      <c r="GX23">
        <v>61.593699999999998</v>
      </c>
      <c r="GY23">
        <v>36.510399999999997</v>
      </c>
      <c r="GZ23">
        <v>1</v>
      </c>
      <c r="HA23">
        <v>0.30989800000000001</v>
      </c>
      <c r="HB23">
        <v>1.8363700000000001</v>
      </c>
      <c r="HC23">
        <v>20.267299999999999</v>
      </c>
      <c r="HD23">
        <v>5.2100999999999997</v>
      </c>
      <c r="HE23">
        <v>11.872199999999999</v>
      </c>
      <c r="HF23">
        <v>4.9852499999999997</v>
      </c>
      <c r="HG23">
        <v>3.2839999999999998</v>
      </c>
      <c r="HH23">
        <v>9999</v>
      </c>
      <c r="HI23">
        <v>9999</v>
      </c>
      <c r="HJ23">
        <v>9999</v>
      </c>
      <c r="HK23">
        <v>999.9</v>
      </c>
      <c r="HL23">
        <v>1.85456</v>
      </c>
      <c r="HM23">
        <v>1.86069</v>
      </c>
      <c r="HN23">
        <v>1.8581000000000001</v>
      </c>
      <c r="HO23">
        <v>1.85934</v>
      </c>
      <c r="HP23">
        <v>1.85873</v>
      </c>
      <c r="HQ23">
        <v>1.85927</v>
      </c>
      <c r="HR23">
        <v>1.8575999999999999</v>
      </c>
      <c r="HS23">
        <v>1.8609599999999999</v>
      </c>
      <c r="HT23">
        <v>5</v>
      </c>
      <c r="HU23">
        <v>0</v>
      </c>
      <c r="HV23">
        <v>0</v>
      </c>
      <c r="HW23">
        <v>0</v>
      </c>
      <c r="HX23" t="s">
        <v>421</v>
      </c>
      <c r="HY23" t="s">
        <v>422</v>
      </c>
      <c r="HZ23" t="s">
        <v>423</v>
      </c>
      <c r="IA23" t="s">
        <v>423</v>
      </c>
      <c r="IB23" t="s">
        <v>423</v>
      </c>
      <c r="IC23" t="s">
        <v>423</v>
      </c>
      <c r="ID23">
        <v>0</v>
      </c>
      <c r="IE23">
        <v>100</v>
      </c>
      <c r="IF23">
        <v>100</v>
      </c>
      <c r="IG23">
        <v>1.548</v>
      </c>
      <c r="IH23">
        <v>0.13850000000000001</v>
      </c>
      <c r="II23">
        <v>1.5372074908378659</v>
      </c>
      <c r="IJ23">
        <v>1.6187016317407189E-3</v>
      </c>
      <c r="IK23">
        <v>1.4341569744255341E-7</v>
      </c>
      <c r="IL23">
        <v>-2.4096625942085749E-10</v>
      </c>
      <c r="IM23">
        <v>0.13851511462715749</v>
      </c>
      <c r="IN23">
        <v>0</v>
      </c>
      <c r="IO23">
        <v>0</v>
      </c>
      <c r="IP23">
        <v>0</v>
      </c>
      <c r="IQ23">
        <v>4</v>
      </c>
      <c r="IR23">
        <v>2205</v>
      </c>
      <c r="IS23">
        <v>1</v>
      </c>
      <c r="IT23">
        <v>21</v>
      </c>
      <c r="IU23">
        <v>0.9</v>
      </c>
      <c r="IV23">
        <v>0.6</v>
      </c>
      <c r="IW23">
        <v>0.159912</v>
      </c>
      <c r="IX23">
        <v>2.51953</v>
      </c>
      <c r="IY23">
        <v>1.49414</v>
      </c>
      <c r="IZ23">
        <v>2.3120099999999999</v>
      </c>
      <c r="JA23">
        <v>1.69434</v>
      </c>
      <c r="JB23">
        <v>2.3095699999999999</v>
      </c>
      <c r="JC23">
        <v>35.498600000000003</v>
      </c>
      <c r="JD23">
        <v>23.7986</v>
      </c>
      <c r="JE23">
        <v>18</v>
      </c>
      <c r="JF23">
        <v>495.02300000000002</v>
      </c>
      <c r="JG23">
        <v>474.08699999999999</v>
      </c>
      <c r="JH23">
        <v>24.937799999999999</v>
      </c>
      <c r="JI23">
        <v>31.211200000000002</v>
      </c>
      <c r="JJ23">
        <v>30.0001</v>
      </c>
      <c r="JK23">
        <v>31.1358</v>
      </c>
      <c r="JL23">
        <v>31.097899999999999</v>
      </c>
      <c r="JM23">
        <v>3.2507999999999999</v>
      </c>
      <c r="JN23">
        <v>43.416899999999998</v>
      </c>
      <c r="JO23">
        <v>18.502099999999999</v>
      </c>
      <c r="JP23">
        <v>24.945499999999999</v>
      </c>
      <c r="JQ23">
        <v>10</v>
      </c>
      <c r="JR23">
        <v>17.422699999999999</v>
      </c>
      <c r="JS23">
        <v>98.684700000000007</v>
      </c>
      <c r="JT23">
        <v>99.859399999999994</v>
      </c>
    </row>
    <row r="24" spans="1:280" x14ac:dyDescent="0.25">
      <c r="A24">
        <v>8</v>
      </c>
      <c r="B24">
        <v>1674574978.0999999</v>
      </c>
      <c r="C24">
        <v>925.5</v>
      </c>
      <c r="D24" t="s">
        <v>454</v>
      </c>
      <c r="E24" t="s">
        <v>455</v>
      </c>
      <c r="F24" t="s">
        <v>412</v>
      </c>
      <c r="G24" t="s">
        <v>413</v>
      </c>
      <c r="H24" t="s">
        <v>414</v>
      </c>
      <c r="I24">
        <v>1674574978.0999999</v>
      </c>
      <c r="J24">
        <f t="shared" si="0"/>
        <v>5.8099256206724185E-3</v>
      </c>
      <c r="K24">
        <f t="shared" si="1"/>
        <v>5.8099256206724181</v>
      </c>
      <c r="L24">
        <f t="shared" si="2"/>
        <v>41.884278131477608</v>
      </c>
      <c r="M24">
        <f t="shared" si="3"/>
        <v>347.36099999999999</v>
      </c>
      <c r="N24">
        <f t="shared" si="4"/>
        <v>196.68387465501112</v>
      </c>
      <c r="O24">
        <f t="shared" si="5"/>
        <v>19.629143938395082</v>
      </c>
      <c r="P24">
        <f t="shared" si="6"/>
        <v>34.666792483850095</v>
      </c>
      <c r="Q24">
        <f t="shared" si="7"/>
        <v>0.49870727176598956</v>
      </c>
      <c r="R24">
        <f t="shared" si="8"/>
        <v>2.9280049206471808</v>
      </c>
      <c r="S24">
        <f t="shared" si="9"/>
        <v>0.45587418549830072</v>
      </c>
      <c r="T24">
        <f t="shared" si="10"/>
        <v>0.28846255302513946</v>
      </c>
      <c r="U24">
        <f t="shared" si="11"/>
        <v>344.3219012638562</v>
      </c>
      <c r="V24">
        <f t="shared" si="12"/>
        <v>28.517264068550929</v>
      </c>
      <c r="W24">
        <f t="shared" si="13"/>
        <v>27.5212</v>
      </c>
      <c r="X24">
        <f t="shared" si="14"/>
        <v>3.6901975490756249</v>
      </c>
      <c r="Y24">
        <f t="shared" si="15"/>
        <v>64.766165089979481</v>
      </c>
      <c r="Z24">
        <f t="shared" si="16"/>
        <v>2.4574569340961698</v>
      </c>
      <c r="AA24">
        <f t="shared" si="17"/>
        <v>3.7943530092943298</v>
      </c>
      <c r="AB24">
        <f t="shared" si="18"/>
        <v>1.2327406149794551</v>
      </c>
      <c r="AC24">
        <f t="shared" si="19"/>
        <v>-256.21771987165363</v>
      </c>
      <c r="AD24">
        <f t="shared" si="20"/>
        <v>75.233502970968416</v>
      </c>
      <c r="AE24">
        <f t="shared" si="21"/>
        <v>5.5873904903467677</v>
      </c>
      <c r="AF24">
        <f t="shared" si="22"/>
        <v>168.92507485351774</v>
      </c>
      <c r="AG24">
        <v>0</v>
      </c>
      <c r="AH24">
        <v>0</v>
      </c>
      <c r="AI24">
        <f t="shared" si="23"/>
        <v>1</v>
      </c>
      <c r="AJ24">
        <f t="shared" si="24"/>
        <v>0</v>
      </c>
      <c r="AK24">
        <f t="shared" si="25"/>
        <v>52650.902972682772</v>
      </c>
      <c r="AL24" t="s">
        <v>415</v>
      </c>
      <c r="AM24">
        <v>10214.9</v>
      </c>
      <c r="AN24">
        <v>729.4384</v>
      </c>
      <c r="AO24">
        <v>3170.19</v>
      </c>
      <c r="AP24">
        <f t="shared" si="26"/>
        <v>0.76990704027203416</v>
      </c>
      <c r="AQ24">
        <v>-0.45549566560547827</v>
      </c>
      <c r="AR24" t="s">
        <v>456</v>
      </c>
      <c r="AS24">
        <v>10065.5</v>
      </c>
      <c r="AT24">
        <v>811.97223076923069</v>
      </c>
      <c r="AU24">
        <v>1088.080355385865</v>
      </c>
      <c r="AV24">
        <f t="shared" si="27"/>
        <v>0.25375710833297627</v>
      </c>
      <c r="AW24">
        <v>0.5</v>
      </c>
      <c r="AX24">
        <f t="shared" si="28"/>
        <v>1512.9747006319278</v>
      </c>
      <c r="AY24">
        <f t="shared" si="29"/>
        <v>41.884278131477608</v>
      </c>
      <c r="AZ24">
        <f t="shared" si="30"/>
        <v>191.96404250665421</v>
      </c>
      <c r="BA24">
        <f t="shared" si="31"/>
        <v>2.7984455906234867E-2</v>
      </c>
      <c r="BB24">
        <f t="shared" si="32"/>
        <v>1.9135623893106297</v>
      </c>
      <c r="BC24">
        <f t="shared" si="33"/>
        <v>506.44990693019321</v>
      </c>
      <c r="BD24" t="s">
        <v>457</v>
      </c>
      <c r="BE24">
        <v>600.92999999999995</v>
      </c>
      <c r="BF24">
        <f t="shared" si="34"/>
        <v>600.92999999999995</v>
      </c>
      <c r="BG24">
        <f t="shared" si="35"/>
        <v>0.44771542191211355</v>
      </c>
      <c r="BH24">
        <f t="shared" si="36"/>
        <v>0.56678214757317147</v>
      </c>
      <c r="BI24">
        <f t="shared" si="37"/>
        <v>0.81039273744741092</v>
      </c>
      <c r="BJ24">
        <f t="shared" si="38"/>
        <v>0.76987123360837117</v>
      </c>
      <c r="BK24">
        <f t="shared" si="39"/>
        <v>0.85306085412957833</v>
      </c>
      <c r="BL24">
        <f t="shared" si="40"/>
        <v>0.41946803478547312</v>
      </c>
      <c r="BM24">
        <f t="shared" si="41"/>
        <v>0.58053196521452688</v>
      </c>
      <c r="BN24">
        <v>9072</v>
      </c>
      <c r="BO24">
        <v>290.00000000000011</v>
      </c>
      <c r="BP24">
        <v>1016.82</v>
      </c>
      <c r="BQ24">
        <v>295</v>
      </c>
      <c r="BR24">
        <v>10065.5</v>
      </c>
      <c r="BS24">
        <v>1017.47</v>
      </c>
      <c r="BT24">
        <v>-0.65</v>
      </c>
      <c r="BU24">
        <v>300.00000000000011</v>
      </c>
      <c r="BV24">
        <v>24.2</v>
      </c>
      <c r="BW24">
        <v>1088.080355385865</v>
      </c>
      <c r="BX24">
        <v>1.9648035843079099</v>
      </c>
      <c r="BY24">
        <v>-71.072652659659084</v>
      </c>
      <c r="BZ24">
        <v>1.7614661820159949</v>
      </c>
      <c r="CA24">
        <v>0.98309186514026492</v>
      </c>
      <c r="CB24">
        <v>-6.8794126807564023E-3</v>
      </c>
      <c r="CC24">
        <v>289.99999999999989</v>
      </c>
      <c r="CD24">
        <v>1015.75</v>
      </c>
      <c r="CE24">
        <v>655</v>
      </c>
      <c r="CF24">
        <v>10050.1</v>
      </c>
      <c r="CG24">
        <v>1017.36</v>
      </c>
      <c r="CH24">
        <v>-1.61</v>
      </c>
      <c r="CV24">
        <f t="shared" si="42"/>
        <v>1799.75</v>
      </c>
      <c r="CW24">
        <f t="shared" si="43"/>
        <v>1512.9747006319278</v>
      </c>
      <c r="CX24">
        <f t="shared" si="44"/>
        <v>0.8406582584425214</v>
      </c>
      <c r="CY24">
        <f t="shared" si="45"/>
        <v>0.19131651688504303</v>
      </c>
      <c r="CZ24">
        <v>6</v>
      </c>
      <c r="DA24">
        <v>0.5</v>
      </c>
      <c r="DB24" t="s">
        <v>418</v>
      </c>
      <c r="DC24">
        <v>2</v>
      </c>
      <c r="DD24">
        <v>1674574978.0999999</v>
      </c>
      <c r="DE24">
        <v>347.36099999999999</v>
      </c>
      <c r="DF24">
        <v>400.03199999999998</v>
      </c>
      <c r="DG24">
        <v>24.623699999999999</v>
      </c>
      <c r="DH24">
        <v>17.824999999999999</v>
      </c>
      <c r="DI24">
        <v>344.827</v>
      </c>
      <c r="DJ24">
        <v>24.482900000000001</v>
      </c>
      <c r="DK24">
        <v>500.113</v>
      </c>
      <c r="DL24">
        <v>99.700599999999994</v>
      </c>
      <c r="DM24">
        <v>9.9874099999999993E-2</v>
      </c>
      <c r="DN24">
        <v>27.997800000000002</v>
      </c>
      <c r="DO24">
        <v>27.5212</v>
      </c>
      <c r="DP24">
        <v>999.9</v>
      </c>
      <c r="DQ24">
        <v>0</v>
      </c>
      <c r="DR24">
        <v>0</v>
      </c>
      <c r="DS24">
        <v>10021.200000000001</v>
      </c>
      <c r="DT24">
        <v>0</v>
      </c>
      <c r="DU24">
        <v>365.322</v>
      </c>
      <c r="DV24">
        <v>-52.671300000000002</v>
      </c>
      <c r="DW24">
        <v>356.13</v>
      </c>
      <c r="DX24">
        <v>407.29199999999997</v>
      </c>
      <c r="DY24">
        <v>6.7986800000000001</v>
      </c>
      <c r="DZ24">
        <v>400.03199999999998</v>
      </c>
      <c r="EA24">
        <v>17.824999999999999</v>
      </c>
      <c r="EB24">
        <v>2.4550000000000001</v>
      </c>
      <c r="EC24">
        <v>1.7771600000000001</v>
      </c>
      <c r="ED24">
        <v>20.731200000000001</v>
      </c>
      <c r="EE24">
        <v>15.587400000000001</v>
      </c>
      <c r="EF24">
        <v>1799.75</v>
      </c>
      <c r="EG24">
        <v>0.97799499999999995</v>
      </c>
      <c r="EH24">
        <v>2.20051E-2</v>
      </c>
      <c r="EI24">
        <v>0</v>
      </c>
      <c r="EJ24">
        <v>810.57299999999998</v>
      </c>
      <c r="EK24">
        <v>4.9990399999999999</v>
      </c>
      <c r="EL24">
        <v>15236.3</v>
      </c>
      <c r="EM24">
        <v>14818.6</v>
      </c>
      <c r="EN24">
        <v>47.686999999999998</v>
      </c>
      <c r="EO24">
        <v>49.125</v>
      </c>
      <c r="EP24">
        <v>48.625</v>
      </c>
      <c r="EQ24">
        <v>47.561999999999998</v>
      </c>
      <c r="ER24">
        <v>48.625</v>
      </c>
      <c r="ES24">
        <v>1755.26</v>
      </c>
      <c r="ET24">
        <v>39.49</v>
      </c>
      <c r="EU24">
        <v>0</v>
      </c>
      <c r="EV24">
        <v>187.79999995231631</v>
      </c>
      <c r="EW24">
        <v>0</v>
      </c>
      <c r="EX24">
        <v>811.97223076923069</v>
      </c>
      <c r="EY24">
        <v>-11.11070084868946</v>
      </c>
      <c r="EZ24">
        <v>-210.90940147184949</v>
      </c>
      <c r="FA24">
        <v>15262.75769230769</v>
      </c>
      <c r="FB24">
        <v>15</v>
      </c>
      <c r="FC24">
        <v>1674574904.0999999</v>
      </c>
      <c r="FD24" t="s">
        <v>458</v>
      </c>
      <c r="FE24">
        <v>1674574893.5999999</v>
      </c>
      <c r="FF24">
        <v>1674574904.0999999</v>
      </c>
      <c r="FG24">
        <v>9</v>
      </c>
      <c r="FH24">
        <v>0.43099999999999999</v>
      </c>
      <c r="FI24">
        <v>2E-3</v>
      </c>
      <c r="FJ24">
        <v>2.6190000000000002</v>
      </c>
      <c r="FK24">
        <v>7.9000000000000001E-2</v>
      </c>
      <c r="FL24">
        <v>400</v>
      </c>
      <c r="FM24">
        <v>17</v>
      </c>
      <c r="FN24">
        <v>0.05</v>
      </c>
      <c r="FO24">
        <v>0.01</v>
      </c>
      <c r="FP24">
        <v>40.71946625849548</v>
      </c>
      <c r="FQ24">
        <v>6.3558270917700987</v>
      </c>
      <c r="FR24">
        <v>0.61164827801317823</v>
      </c>
      <c r="FS24">
        <v>0</v>
      </c>
      <c r="FT24">
        <v>0.50294452441288429</v>
      </c>
      <c r="FU24">
        <v>-4.0435316599032579E-2</v>
      </c>
      <c r="FV24">
        <v>4.0587099874723606E-3</v>
      </c>
      <c r="FW24">
        <v>1</v>
      </c>
      <c r="FX24">
        <v>1</v>
      </c>
      <c r="FY24">
        <v>2</v>
      </c>
      <c r="FZ24" t="s">
        <v>459</v>
      </c>
      <c r="GA24">
        <v>2.9339300000000001</v>
      </c>
      <c r="GB24">
        <v>2.83352</v>
      </c>
      <c r="GC24">
        <v>8.0761700000000006E-2</v>
      </c>
      <c r="GD24">
        <v>8.8832599999999998E-2</v>
      </c>
      <c r="GE24">
        <v>0.121547</v>
      </c>
      <c r="GF24">
        <v>9.3706499999999998E-2</v>
      </c>
      <c r="GG24">
        <v>23725.599999999999</v>
      </c>
      <c r="GH24">
        <v>29817.4</v>
      </c>
      <c r="GI24">
        <v>23220.799999999999</v>
      </c>
      <c r="GJ24">
        <v>29979.7</v>
      </c>
      <c r="GK24">
        <v>27732.6</v>
      </c>
      <c r="GL24">
        <v>38623.1</v>
      </c>
      <c r="GM24">
        <v>32753.7</v>
      </c>
      <c r="GN24">
        <v>44460.5</v>
      </c>
      <c r="GO24">
        <v>1.9493199999999999</v>
      </c>
      <c r="GP24">
        <v>1.8784700000000001</v>
      </c>
      <c r="GQ24">
        <v>6.7684800000000003E-2</v>
      </c>
      <c r="GR24">
        <v>0</v>
      </c>
      <c r="GS24">
        <v>26.414300000000001</v>
      </c>
      <c r="GT24">
        <v>999.9</v>
      </c>
      <c r="GU24">
        <v>59.3</v>
      </c>
      <c r="GV24">
        <v>31.1</v>
      </c>
      <c r="GW24">
        <v>26.987200000000001</v>
      </c>
      <c r="GX24">
        <v>61.223799999999997</v>
      </c>
      <c r="GY24">
        <v>36.265999999999998</v>
      </c>
      <c r="GZ24">
        <v>1</v>
      </c>
      <c r="HA24">
        <v>0.308087</v>
      </c>
      <c r="HB24">
        <v>1.79799</v>
      </c>
      <c r="HC24">
        <v>20.264099999999999</v>
      </c>
      <c r="HD24">
        <v>5.2107000000000001</v>
      </c>
      <c r="HE24">
        <v>11.872199999999999</v>
      </c>
      <c r="HF24">
        <v>4.9851999999999999</v>
      </c>
      <c r="HG24">
        <v>3.2839999999999998</v>
      </c>
      <c r="HH24">
        <v>9999</v>
      </c>
      <c r="HI24">
        <v>9999</v>
      </c>
      <c r="HJ24">
        <v>9999</v>
      </c>
      <c r="HK24">
        <v>999.9</v>
      </c>
      <c r="HL24">
        <v>1.8547</v>
      </c>
      <c r="HM24">
        <v>1.8608100000000001</v>
      </c>
      <c r="HN24">
        <v>1.85822</v>
      </c>
      <c r="HO24">
        <v>1.85944</v>
      </c>
      <c r="HP24">
        <v>1.85883</v>
      </c>
      <c r="HQ24">
        <v>1.85928</v>
      </c>
      <c r="HR24">
        <v>1.8576900000000001</v>
      </c>
      <c r="HS24">
        <v>1.86103</v>
      </c>
      <c r="HT24">
        <v>5</v>
      </c>
      <c r="HU24">
        <v>0</v>
      </c>
      <c r="HV24">
        <v>0</v>
      </c>
      <c r="HW24">
        <v>0</v>
      </c>
      <c r="HX24" t="s">
        <v>421</v>
      </c>
      <c r="HY24" t="s">
        <v>422</v>
      </c>
      <c r="HZ24" t="s">
        <v>423</v>
      </c>
      <c r="IA24" t="s">
        <v>423</v>
      </c>
      <c r="IB24" t="s">
        <v>423</v>
      </c>
      <c r="IC24" t="s">
        <v>423</v>
      </c>
      <c r="ID24">
        <v>0</v>
      </c>
      <c r="IE24">
        <v>100</v>
      </c>
      <c r="IF24">
        <v>100</v>
      </c>
      <c r="IG24">
        <v>2.5339999999999998</v>
      </c>
      <c r="IH24">
        <v>0.14080000000000001</v>
      </c>
      <c r="II24">
        <v>1.968262833840313</v>
      </c>
      <c r="IJ24">
        <v>1.6187016317407189E-3</v>
      </c>
      <c r="IK24">
        <v>1.4341569744255341E-7</v>
      </c>
      <c r="IL24">
        <v>-2.4096625942085749E-10</v>
      </c>
      <c r="IM24">
        <v>0.14077104710212779</v>
      </c>
      <c r="IN24">
        <v>0</v>
      </c>
      <c r="IO24">
        <v>0</v>
      </c>
      <c r="IP24">
        <v>0</v>
      </c>
      <c r="IQ24">
        <v>4</v>
      </c>
      <c r="IR24">
        <v>2205</v>
      </c>
      <c r="IS24">
        <v>1</v>
      </c>
      <c r="IT24">
        <v>21</v>
      </c>
      <c r="IU24">
        <v>1.4</v>
      </c>
      <c r="IV24">
        <v>1.2</v>
      </c>
      <c r="IW24">
        <v>0.98510699999999995</v>
      </c>
      <c r="IX24">
        <v>2.4426299999999999</v>
      </c>
      <c r="IY24">
        <v>1.49414</v>
      </c>
      <c r="IZ24">
        <v>2.3120099999999999</v>
      </c>
      <c r="JA24">
        <v>1.69434</v>
      </c>
      <c r="JB24">
        <v>2.3584000000000001</v>
      </c>
      <c r="JC24">
        <v>36.363500000000002</v>
      </c>
      <c r="JD24">
        <v>23.7986</v>
      </c>
      <c r="JE24">
        <v>18</v>
      </c>
      <c r="JF24">
        <v>494.96</v>
      </c>
      <c r="JG24">
        <v>474.00599999999997</v>
      </c>
      <c r="JH24">
        <v>24.952100000000002</v>
      </c>
      <c r="JI24">
        <v>31.197500000000002</v>
      </c>
      <c r="JJ24">
        <v>30</v>
      </c>
      <c r="JK24">
        <v>31.131900000000002</v>
      </c>
      <c r="JL24">
        <v>31.100999999999999</v>
      </c>
      <c r="JM24">
        <v>19.8002</v>
      </c>
      <c r="JN24">
        <v>40.624400000000001</v>
      </c>
      <c r="JO24">
        <v>11.550800000000001</v>
      </c>
      <c r="JP24">
        <v>24.950900000000001</v>
      </c>
      <c r="JQ24">
        <v>400</v>
      </c>
      <c r="JR24">
        <v>17.950600000000001</v>
      </c>
      <c r="JS24">
        <v>98.694999999999993</v>
      </c>
      <c r="JT24">
        <v>99.863399999999999</v>
      </c>
    </row>
    <row r="25" spans="1:280" x14ac:dyDescent="0.25">
      <c r="A25">
        <v>9</v>
      </c>
      <c r="B25">
        <v>1674575145.5999999</v>
      </c>
      <c r="C25">
        <v>1093</v>
      </c>
      <c r="D25" t="s">
        <v>460</v>
      </c>
      <c r="E25" t="s">
        <v>461</v>
      </c>
      <c r="F25" t="s">
        <v>412</v>
      </c>
      <c r="G25" t="s">
        <v>413</v>
      </c>
      <c r="H25" t="s">
        <v>414</v>
      </c>
      <c r="I25">
        <v>1674575145.5999999</v>
      </c>
      <c r="J25">
        <f t="shared" si="0"/>
        <v>5.3831965321747876E-3</v>
      </c>
      <c r="K25">
        <f t="shared" si="1"/>
        <v>5.3831965321747877</v>
      </c>
      <c r="L25">
        <f t="shared" si="2"/>
        <v>48.04217344384665</v>
      </c>
      <c r="M25">
        <f t="shared" si="3"/>
        <v>340.16899999999998</v>
      </c>
      <c r="N25">
        <f t="shared" si="4"/>
        <v>154.96434081393744</v>
      </c>
      <c r="O25">
        <f t="shared" si="5"/>
        <v>15.462958064633753</v>
      </c>
      <c r="P25">
        <f t="shared" si="6"/>
        <v>33.943415331943996</v>
      </c>
      <c r="Q25">
        <f t="shared" si="7"/>
        <v>0.45822927821907189</v>
      </c>
      <c r="R25">
        <f t="shared" si="8"/>
        <v>2.9188377740194871</v>
      </c>
      <c r="S25">
        <f t="shared" si="9"/>
        <v>0.42169063121468731</v>
      </c>
      <c r="T25">
        <f t="shared" si="10"/>
        <v>0.2665962816618988</v>
      </c>
      <c r="U25">
        <f t="shared" si="11"/>
        <v>344.37130126367367</v>
      </c>
      <c r="V25">
        <f t="shared" si="12"/>
        <v>28.64005005338322</v>
      </c>
      <c r="W25">
        <f t="shared" si="13"/>
        <v>27.577000000000002</v>
      </c>
      <c r="X25">
        <f t="shared" si="14"/>
        <v>3.7022615968096546</v>
      </c>
      <c r="Y25">
        <f t="shared" si="15"/>
        <v>65.002709983095016</v>
      </c>
      <c r="Z25">
        <f t="shared" si="16"/>
        <v>2.4678273592391999</v>
      </c>
      <c r="AA25">
        <f t="shared" si="17"/>
        <v>3.7964991919275324</v>
      </c>
      <c r="AB25">
        <f t="shared" si="18"/>
        <v>1.2344342375704547</v>
      </c>
      <c r="AC25">
        <f t="shared" si="19"/>
        <v>-237.39896706890812</v>
      </c>
      <c r="AD25">
        <f t="shared" si="20"/>
        <v>67.74364448239983</v>
      </c>
      <c r="AE25">
        <f t="shared" si="21"/>
        <v>5.0485882987803823</v>
      </c>
      <c r="AF25">
        <f t="shared" si="22"/>
        <v>179.76456697594574</v>
      </c>
      <c r="AG25">
        <v>0</v>
      </c>
      <c r="AH25">
        <v>0</v>
      </c>
      <c r="AI25">
        <f t="shared" si="23"/>
        <v>1</v>
      </c>
      <c r="AJ25">
        <f t="shared" si="24"/>
        <v>0</v>
      </c>
      <c r="AK25">
        <f t="shared" si="25"/>
        <v>52385.29233607382</v>
      </c>
      <c r="AL25" t="s">
        <v>415</v>
      </c>
      <c r="AM25">
        <v>10214.9</v>
      </c>
      <c r="AN25">
        <v>729.4384</v>
      </c>
      <c r="AO25">
        <v>3170.19</v>
      </c>
      <c r="AP25">
        <f t="shared" si="26"/>
        <v>0.76990704027203416</v>
      </c>
      <c r="AQ25">
        <v>-0.45549566560547827</v>
      </c>
      <c r="AR25" t="s">
        <v>462</v>
      </c>
      <c r="AS25">
        <v>10080.5</v>
      </c>
      <c r="AT25">
        <v>809.06596000000002</v>
      </c>
      <c r="AU25">
        <v>1137.9818487362911</v>
      </c>
      <c r="AV25">
        <f t="shared" si="27"/>
        <v>0.28903438934596926</v>
      </c>
      <c r="AW25">
        <v>0.5</v>
      </c>
      <c r="AX25">
        <f t="shared" si="28"/>
        <v>1513.1931006318368</v>
      </c>
      <c r="AY25">
        <f t="shared" si="29"/>
        <v>48.04217344384665</v>
      </c>
      <c r="AZ25">
        <f t="shared" si="30"/>
        <v>218.68242190182838</v>
      </c>
      <c r="BA25">
        <f t="shared" si="31"/>
        <v>3.2049887809561008E-2</v>
      </c>
      <c r="BB25">
        <f t="shared" si="32"/>
        <v>1.7858001456881236</v>
      </c>
      <c r="BC25">
        <f t="shared" si="33"/>
        <v>517.0021821538279</v>
      </c>
      <c r="BD25" t="s">
        <v>463</v>
      </c>
      <c r="BE25">
        <v>605.59</v>
      </c>
      <c r="BF25">
        <f t="shared" si="34"/>
        <v>605.59</v>
      </c>
      <c r="BG25">
        <f t="shared" si="35"/>
        <v>0.46783861212505529</v>
      </c>
      <c r="BH25">
        <f t="shared" si="36"/>
        <v>0.61780789754204624</v>
      </c>
      <c r="BI25">
        <f t="shared" si="37"/>
        <v>0.79240745194716877</v>
      </c>
      <c r="BJ25">
        <f t="shared" si="38"/>
        <v>0.8050940230560435</v>
      </c>
      <c r="BK25">
        <f t="shared" si="39"/>
        <v>0.83261572020016661</v>
      </c>
      <c r="BL25">
        <f t="shared" si="40"/>
        <v>0.46243236419498829</v>
      </c>
      <c r="BM25">
        <f t="shared" si="41"/>
        <v>0.53756763580501166</v>
      </c>
      <c r="BN25">
        <v>9074</v>
      </c>
      <c r="BO25">
        <v>290.00000000000011</v>
      </c>
      <c r="BP25">
        <v>1053.67</v>
      </c>
      <c r="BQ25">
        <v>165</v>
      </c>
      <c r="BR25">
        <v>10080.5</v>
      </c>
      <c r="BS25">
        <v>1052.5999999999999</v>
      </c>
      <c r="BT25">
        <v>1.07</v>
      </c>
      <c r="BU25">
        <v>300.00000000000011</v>
      </c>
      <c r="BV25">
        <v>24.2</v>
      </c>
      <c r="BW25">
        <v>1137.9818487362911</v>
      </c>
      <c r="BX25">
        <v>2.264389687802459</v>
      </c>
      <c r="BY25">
        <v>-86.066962469929166</v>
      </c>
      <c r="BZ25">
        <v>2.0300806869676071</v>
      </c>
      <c r="CA25">
        <v>0.9846609524127754</v>
      </c>
      <c r="CB25">
        <v>-6.8797830923248071E-3</v>
      </c>
      <c r="CC25">
        <v>289.99999999999989</v>
      </c>
      <c r="CD25">
        <v>1050.24</v>
      </c>
      <c r="CE25">
        <v>685</v>
      </c>
      <c r="CF25">
        <v>10048.6</v>
      </c>
      <c r="CG25">
        <v>1052.33</v>
      </c>
      <c r="CH25">
        <v>-2.09</v>
      </c>
      <c r="CV25">
        <f t="shared" si="42"/>
        <v>1800.01</v>
      </c>
      <c r="CW25">
        <f t="shared" si="43"/>
        <v>1513.1931006318368</v>
      </c>
      <c r="CX25">
        <f t="shared" si="44"/>
        <v>0.84065816336122401</v>
      </c>
      <c r="CY25">
        <f t="shared" si="45"/>
        <v>0.19131632672244803</v>
      </c>
      <c r="CZ25">
        <v>6</v>
      </c>
      <c r="DA25">
        <v>0.5</v>
      </c>
      <c r="DB25" t="s">
        <v>418</v>
      </c>
      <c r="DC25">
        <v>2</v>
      </c>
      <c r="DD25">
        <v>1674575145.5999999</v>
      </c>
      <c r="DE25">
        <v>340.16899999999998</v>
      </c>
      <c r="DF25">
        <v>400.00400000000002</v>
      </c>
      <c r="DG25">
        <v>24.7317</v>
      </c>
      <c r="DH25">
        <v>18.433</v>
      </c>
      <c r="DI25">
        <v>337.68299999999999</v>
      </c>
      <c r="DJ25">
        <v>24.594100000000001</v>
      </c>
      <c r="DK25">
        <v>500.10899999999998</v>
      </c>
      <c r="DL25">
        <v>99.683499999999995</v>
      </c>
      <c r="DM25">
        <v>0.100476</v>
      </c>
      <c r="DN25">
        <v>28.0075</v>
      </c>
      <c r="DO25">
        <v>27.577000000000002</v>
      </c>
      <c r="DP25">
        <v>999.9</v>
      </c>
      <c r="DQ25">
        <v>0</v>
      </c>
      <c r="DR25">
        <v>0</v>
      </c>
      <c r="DS25">
        <v>9970.6200000000008</v>
      </c>
      <c r="DT25">
        <v>0</v>
      </c>
      <c r="DU25">
        <v>383.51</v>
      </c>
      <c r="DV25">
        <v>-59.834899999999998</v>
      </c>
      <c r="DW25">
        <v>348.79599999999999</v>
      </c>
      <c r="DX25">
        <v>407.51600000000002</v>
      </c>
      <c r="DY25">
        <v>6.2987399999999996</v>
      </c>
      <c r="DZ25">
        <v>400.00400000000002</v>
      </c>
      <c r="EA25">
        <v>18.433</v>
      </c>
      <c r="EB25">
        <v>2.4653399999999999</v>
      </c>
      <c r="EC25">
        <v>1.8374600000000001</v>
      </c>
      <c r="ED25">
        <v>20.799499999999998</v>
      </c>
      <c r="EE25">
        <v>16.109200000000001</v>
      </c>
      <c r="EF25">
        <v>1800.01</v>
      </c>
      <c r="EG25">
        <v>0.97799899999999995</v>
      </c>
      <c r="EH25">
        <v>2.20015E-2</v>
      </c>
      <c r="EI25">
        <v>0</v>
      </c>
      <c r="EJ25">
        <v>809.33600000000001</v>
      </c>
      <c r="EK25">
        <v>4.9990399999999999</v>
      </c>
      <c r="EL25">
        <v>15276.5</v>
      </c>
      <c r="EM25">
        <v>14820.8</v>
      </c>
      <c r="EN25">
        <v>47.686999999999998</v>
      </c>
      <c r="EO25">
        <v>49.186999999999998</v>
      </c>
      <c r="EP25">
        <v>48.686999999999998</v>
      </c>
      <c r="EQ25">
        <v>47.625</v>
      </c>
      <c r="ER25">
        <v>48.625</v>
      </c>
      <c r="ES25">
        <v>1755.52</v>
      </c>
      <c r="ET25">
        <v>39.49</v>
      </c>
      <c r="EU25">
        <v>0</v>
      </c>
      <c r="EV25">
        <v>165.5999999046326</v>
      </c>
      <c r="EW25">
        <v>0</v>
      </c>
      <c r="EX25">
        <v>809.06596000000002</v>
      </c>
      <c r="EY25">
        <v>4.9821538292725318</v>
      </c>
      <c r="EZ25">
        <v>103.7307691385941</v>
      </c>
      <c r="FA25">
        <v>15273.268</v>
      </c>
      <c r="FB25">
        <v>15</v>
      </c>
      <c r="FC25">
        <v>1674575053.5999999</v>
      </c>
      <c r="FD25" t="s">
        <v>464</v>
      </c>
      <c r="FE25">
        <v>1674575053.5999999</v>
      </c>
      <c r="FF25">
        <v>1674575048.5999999</v>
      </c>
      <c r="FG25">
        <v>10</v>
      </c>
      <c r="FH25">
        <v>-3.5999999999999997E-2</v>
      </c>
      <c r="FI25">
        <v>-3.0000000000000001E-3</v>
      </c>
      <c r="FJ25">
        <v>2.5830000000000002</v>
      </c>
      <c r="FK25">
        <v>9.0999999999999998E-2</v>
      </c>
      <c r="FL25">
        <v>400</v>
      </c>
      <c r="FM25">
        <v>18</v>
      </c>
      <c r="FN25">
        <v>0.06</v>
      </c>
      <c r="FO25">
        <v>0.02</v>
      </c>
      <c r="FP25">
        <v>47.89530726855056</v>
      </c>
      <c r="FQ25">
        <v>0.67049819071819372</v>
      </c>
      <c r="FR25">
        <v>7.8698563916823477E-2</v>
      </c>
      <c r="FS25">
        <v>1</v>
      </c>
      <c r="FT25">
        <v>0.45703632948626299</v>
      </c>
      <c r="FU25">
        <v>8.5364089748493077E-3</v>
      </c>
      <c r="FV25">
        <v>9.3271408103261287E-4</v>
      </c>
      <c r="FW25">
        <v>1</v>
      </c>
      <c r="FX25">
        <v>2</v>
      </c>
      <c r="FY25">
        <v>2</v>
      </c>
      <c r="FZ25" t="s">
        <v>420</v>
      </c>
      <c r="GA25">
        <v>2.9339499999999998</v>
      </c>
      <c r="GB25">
        <v>2.8336800000000002</v>
      </c>
      <c r="GC25">
        <v>7.9425800000000005E-2</v>
      </c>
      <c r="GD25">
        <v>8.8821399999999995E-2</v>
      </c>
      <c r="GE25">
        <v>0.121916</v>
      </c>
      <c r="GF25">
        <v>9.5949699999999999E-2</v>
      </c>
      <c r="GG25">
        <v>23761.599999999999</v>
      </c>
      <c r="GH25">
        <v>29817.5</v>
      </c>
      <c r="GI25">
        <v>23222.3</v>
      </c>
      <c r="GJ25">
        <v>29979.3</v>
      </c>
      <c r="GK25">
        <v>27722.3</v>
      </c>
      <c r="GL25">
        <v>38525.300000000003</v>
      </c>
      <c r="GM25">
        <v>32755.599999999999</v>
      </c>
      <c r="GN25">
        <v>44459.5</v>
      </c>
      <c r="GO25">
        <v>1.94953</v>
      </c>
      <c r="GP25">
        <v>1.87757</v>
      </c>
      <c r="GQ25">
        <v>6.9685300000000006E-2</v>
      </c>
      <c r="GR25">
        <v>0</v>
      </c>
      <c r="GS25">
        <v>26.4375</v>
      </c>
      <c r="GT25">
        <v>999.9</v>
      </c>
      <c r="GU25">
        <v>58.3</v>
      </c>
      <c r="GV25">
        <v>31.3</v>
      </c>
      <c r="GW25">
        <v>26.8399</v>
      </c>
      <c r="GX25">
        <v>61.203800000000001</v>
      </c>
      <c r="GY25">
        <v>36.586500000000001</v>
      </c>
      <c r="GZ25">
        <v>1</v>
      </c>
      <c r="HA25">
        <v>0.30641299999999999</v>
      </c>
      <c r="HB25">
        <v>1.9774099999999999</v>
      </c>
      <c r="HC25">
        <v>20.261600000000001</v>
      </c>
      <c r="HD25">
        <v>5.2102500000000003</v>
      </c>
      <c r="HE25">
        <v>11.872199999999999</v>
      </c>
      <c r="HF25">
        <v>4.9850500000000002</v>
      </c>
      <c r="HG25">
        <v>3.2839999999999998</v>
      </c>
      <c r="HH25">
        <v>9999</v>
      </c>
      <c r="HI25">
        <v>9999</v>
      </c>
      <c r="HJ25">
        <v>9999</v>
      </c>
      <c r="HK25">
        <v>999.9</v>
      </c>
      <c r="HL25">
        <v>1.8547100000000001</v>
      </c>
      <c r="HM25">
        <v>1.8608100000000001</v>
      </c>
      <c r="HN25">
        <v>1.85822</v>
      </c>
      <c r="HO25">
        <v>1.85944</v>
      </c>
      <c r="HP25">
        <v>1.85883</v>
      </c>
      <c r="HQ25">
        <v>1.85928</v>
      </c>
      <c r="HR25">
        <v>1.85764</v>
      </c>
      <c r="HS25">
        <v>1.86104</v>
      </c>
      <c r="HT25">
        <v>5</v>
      </c>
      <c r="HU25">
        <v>0</v>
      </c>
      <c r="HV25">
        <v>0</v>
      </c>
      <c r="HW25">
        <v>0</v>
      </c>
      <c r="HX25" t="s">
        <v>421</v>
      </c>
      <c r="HY25" t="s">
        <v>422</v>
      </c>
      <c r="HZ25" t="s">
        <v>423</v>
      </c>
      <c r="IA25" t="s">
        <v>423</v>
      </c>
      <c r="IB25" t="s">
        <v>423</v>
      </c>
      <c r="IC25" t="s">
        <v>423</v>
      </c>
      <c r="ID25">
        <v>0</v>
      </c>
      <c r="IE25">
        <v>100</v>
      </c>
      <c r="IF25">
        <v>100</v>
      </c>
      <c r="IG25">
        <v>2.4860000000000002</v>
      </c>
      <c r="IH25">
        <v>0.1376</v>
      </c>
      <c r="II25">
        <v>1.9321983332723369</v>
      </c>
      <c r="IJ25">
        <v>1.6187016317407189E-3</v>
      </c>
      <c r="IK25">
        <v>1.4341569744255341E-7</v>
      </c>
      <c r="IL25">
        <v>-2.4096625942085749E-10</v>
      </c>
      <c r="IM25">
        <v>0.1375652541045646</v>
      </c>
      <c r="IN25">
        <v>0</v>
      </c>
      <c r="IO25">
        <v>0</v>
      </c>
      <c r="IP25">
        <v>0</v>
      </c>
      <c r="IQ25">
        <v>4</v>
      </c>
      <c r="IR25">
        <v>2205</v>
      </c>
      <c r="IS25">
        <v>1</v>
      </c>
      <c r="IT25">
        <v>21</v>
      </c>
      <c r="IU25">
        <v>1.5</v>
      </c>
      <c r="IV25">
        <v>1.6</v>
      </c>
      <c r="IW25">
        <v>0.98632799999999998</v>
      </c>
      <c r="IX25">
        <v>2.4462899999999999</v>
      </c>
      <c r="IY25">
        <v>1.49414</v>
      </c>
      <c r="IZ25">
        <v>2.3107899999999999</v>
      </c>
      <c r="JA25">
        <v>1.69434</v>
      </c>
      <c r="JB25">
        <v>2.3315399999999999</v>
      </c>
      <c r="JC25">
        <v>37.027000000000001</v>
      </c>
      <c r="JD25">
        <v>23.7986</v>
      </c>
      <c r="JE25">
        <v>18</v>
      </c>
      <c r="JF25">
        <v>494.94</v>
      </c>
      <c r="JG25">
        <v>473.22899999999998</v>
      </c>
      <c r="JH25">
        <v>24.8322</v>
      </c>
      <c r="JI25">
        <v>31.170300000000001</v>
      </c>
      <c r="JJ25">
        <v>30.0002</v>
      </c>
      <c r="JK25">
        <v>31.114100000000001</v>
      </c>
      <c r="JL25">
        <v>31.087</v>
      </c>
      <c r="JM25">
        <v>19.802199999999999</v>
      </c>
      <c r="JN25">
        <v>38.424300000000002</v>
      </c>
      <c r="JO25">
        <v>6.7379499999999997</v>
      </c>
      <c r="JP25">
        <v>24.826899999999998</v>
      </c>
      <c r="JQ25">
        <v>400</v>
      </c>
      <c r="JR25">
        <v>18.437899999999999</v>
      </c>
      <c r="JS25">
        <v>98.700999999999993</v>
      </c>
      <c r="JT25">
        <v>99.861500000000007</v>
      </c>
    </row>
    <row r="26" spans="1:280" x14ac:dyDescent="0.25">
      <c r="A26">
        <v>10</v>
      </c>
      <c r="B26">
        <v>1674575256.5999999</v>
      </c>
      <c r="C26">
        <v>1204</v>
      </c>
      <c r="D26" t="s">
        <v>465</v>
      </c>
      <c r="E26" t="s">
        <v>466</v>
      </c>
      <c r="F26" t="s">
        <v>412</v>
      </c>
      <c r="G26" t="s">
        <v>413</v>
      </c>
      <c r="H26" t="s">
        <v>414</v>
      </c>
      <c r="I26">
        <v>1674575256.5999999</v>
      </c>
      <c r="J26">
        <f t="shared" si="0"/>
        <v>5.3833664328239413E-3</v>
      </c>
      <c r="K26">
        <f t="shared" si="1"/>
        <v>5.3833664328239417</v>
      </c>
      <c r="L26">
        <f t="shared" si="2"/>
        <v>50.327947539515961</v>
      </c>
      <c r="M26">
        <f t="shared" si="3"/>
        <v>436.82900000000001</v>
      </c>
      <c r="N26">
        <f t="shared" si="4"/>
        <v>241.88509426519769</v>
      </c>
      <c r="O26">
        <f t="shared" si="5"/>
        <v>24.136398693540162</v>
      </c>
      <c r="P26">
        <f t="shared" si="6"/>
        <v>43.588791351238896</v>
      </c>
      <c r="Q26">
        <f t="shared" si="7"/>
        <v>0.4598685927046503</v>
      </c>
      <c r="R26">
        <f t="shared" si="8"/>
        <v>2.9273069634433933</v>
      </c>
      <c r="S26">
        <f t="shared" si="9"/>
        <v>0.42317662588411115</v>
      </c>
      <c r="T26">
        <f t="shared" si="10"/>
        <v>0.2675376318085172</v>
      </c>
      <c r="U26">
        <f t="shared" si="11"/>
        <v>344.35420126373685</v>
      </c>
      <c r="V26">
        <f t="shared" si="12"/>
        <v>28.631004925067408</v>
      </c>
      <c r="W26">
        <f t="shared" si="13"/>
        <v>27.601600000000001</v>
      </c>
      <c r="X26">
        <f t="shared" si="14"/>
        <v>3.7075910772831651</v>
      </c>
      <c r="Y26">
        <f t="shared" si="15"/>
        <v>65.285963139196312</v>
      </c>
      <c r="Z26">
        <f t="shared" si="16"/>
        <v>2.4775409635824901</v>
      </c>
      <c r="AA26">
        <f t="shared" si="17"/>
        <v>3.7949060478745191</v>
      </c>
      <c r="AB26">
        <f t="shared" si="18"/>
        <v>1.230050113700675</v>
      </c>
      <c r="AC26">
        <f t="shared" si="19"/>
        <v>-237.4064596875358</v>
      </c>
      <c r="AD26">
        <f t="shared" si="20"/>
        <v>62.921627140346665</v>
      </c>
      <c r="AE26">
        <f t="shared" si="21"/>
        <v>4.6760666008957035</v>
      </c>
      <c r="AF26">
        <f t="shared" si="22"/>
        <v>174.54543531744341</v>
      </c>
      <c r="AG26">
        <v>0</v>
      </c>
      <c r="AH26">
        <v>0</v>
      </c>
      <c r="AI26">
        <f t="shared" si="23"/>
        <v>1</v>
      </c>
      <c r="AJ26">
        <f t="shared" si="24"/>
        <v>0</v>
      </c>
      <c r="AK26">
        <f t="shared" si="25"/>
        <v>52630.035838759846</v>
      </c>
      <c r="AL26" t="s">
        <v>415</v>
      </c>
      <c r="AM26">
        <v>10214.9</v>
      </c>
      <c r="AN26">
        <v>729.4384</v>
      </c>
      <c r="AO26">
        <v>3170.19</v>
      </c>
      <c r="AP26">
        <f t="shared" si="26"/>
        <v>0.76990704027203416</v>
      </c>
      <c r="AQ26">
        <v>-0.45549566560547827</v>
      </c>
      <c r="AR26" t="s">
        <v>467</v>
      </c>
      <c r="AS26">
        <v>10073.4</v>
      </c>
      <c r="AT26">
        <v>815.89430769230785</v>
      </c>
      <c r="AU26">
        <v>1168.602101991574</v>
      </c>
      <c r="AV26">
        <f t="shared" si="27"/>
        <v>0.30182026345679924</v>
      </c>
      <c r="AW26">
        <v>0.5</v>
      </c>
      <c r="AX26">
        <f t="shared" si="28"/>
        <v>1513.1175006318683</v>
      </c>
      <c r="AY26">
        <f t="shared" si="29"/>
        <v>50.327947539515961</v>
      </c>
      <c r="AZ26">
        <f t="shared" si="30"/>
        <v>228.34476134090204</v>
      </c>
      <c r="BA26">
        <f t="shared" si="31"/>
        <v>3.3562127980090499E-2</v>
      </c>
      <c r="BB26">
        <f t="shared" si="32"/>
        <v>1.7128053206452798</v>
      </c>
      <c r="BC26">
        <f t="shared" si="33"/>
        <v>523.23081119794415</v>
      </c>
      <c r="BD26" t="s">
        <v>468</v>
      </c>
      <c r="BE26">
        <v>610.51</v>
      </c>
      <c r="BF26">
        <f t="shared" si="34"/>
        <v>610.51</v>
      </c>
      <c r="BG26">
        <f t="shared" si="35"/>
        <v>0.47757239272499452</v>
      </c>
      <c r="BH26">
        <f t="shared" si="36"/>
        <v>0.63198850698767151</v>
      </c>
      <c r="BI26">
        <f t="shared" si="37"/>
        <v>0.78196801866187404</v>
      </c>
      <c r="BJ26">
        <f t="shared" si="38"/>
        <v>0.80313512410010923</v>
      </c>
      <c r="BK26">
        <f t="shared" si="39"/>
        <v>0.82007030047974816</v>
      </c>
      <c r="BL26">
        <f t="shared" si="40"/>
        <v>0.47289863376096813</v>
      </c>
      <c r="BM26">
        <f t="shared" si="41"/>
        <v>0.52710136623903181</v>
      </c>
      <c r="BN26">
        <v>9076</v>
      </c>
      <c r="BO26">
        <v>290.00000000000011</v>
      </c>
      <c r="BP26">
        <v>1078.48</v>
      </c>
      <c r="BQ26">
        <v>215</v>
      </c>
      <c r="BR26">
        <v>10073.4</v>
      </c>
      <c r="BS26">
        <v>1076.8599999999999</v>
      </c>
      <c r="BT26">
        <v>1.62</v>
      </c>
      <c r="BU26">
        <v>300.00000000000011</v>
      </c>
      <c r="BV26">
        <v>24.2</v>
      </c>
      <c r="BW26">
        <v>1168.602101991574</v>
      </c>
      <c r="BX26">
        <v>2.280368451318894</v>
      </c>
      <c r="BY26">
        <v>-92.416317906978378</v>
      </c>
      <c r="BZ26">
        <v>2.044335366920762</v>
      </c>
      <c r="CA26">
        <v>0.98648378952448867</v>
      </c>
      <c r="CB26">
        <v>-6.8797214682981079E-3</v>
      </c>
      <c r="CC26">
        <v>289.99999999999989</v>
      </c>
      <c r="CD26">
        <v>1074.49</v>
      </c>
      <c r="CE26">
        <v>635</v>
      </c>
      <c r="CF26">
        <v>10051.1</v>
      </c>
      <c r="CG26">
        <v>1076.6600000000001</v>
      </c>
      <c r="CH26">
        <v>-2.17</v>
      </c>
      <c r="CV26">
        <f t="shared" si="42"/>
        <v>1799.92</v>
      </c>
      <c r="CW26">
        <f t="shared" si="43"/>
        <v>1513.1175006318683</v>
      </c>
      <c r="CX26">
        <f t="shared" si="44"/>
        <v>0.84065819627087224</v>
      </c>
      <c r="CY26">
        <f t="shared" si="45"/>
        <v>0.19131639254174454</v>
      </c>
      <c r="CZ26">
        <v>6</v>
      </c>
      <c r="DA26">
        <v>0.5</v>
      </c>
      <c r="DB26" t="s">
        <v>418</v>
      </c>
      <c r="DC26">
        <v>2</v>
      </c>
      <c r="DD26">
        <v>1674575256.5999999</v>
      </c>
      <c r="DE26">
        <v>436.82900000000001</v>
      </c>
      <c r="DF26">
        <v>500.036</v>
      </c>
      <c r="DG26">
        <v>24.828900000000001</v>
      </c>
      <c r="DH26">
        <v>18.530100000000001</v>
      </c>
      <c r="DI26">
        <v>433.875</v>
      </c>
      <c r="DJ26">
        <v>24.686800000000002</v>
      </c>
      <c r="DK26">
        <v>500.06700000000001</v>
      </c>
      <c r="DL26">
        <v>99.684799999999996</v>
      </c>
      <c r="DM26">
        <v>9.9764099999999994E-2</v>
      </c>
      <c r="DN26">
        <v>28.000299999999999</v>
      </c>
      <c r="DO26">
        <v>27.601600000000001</v>
      </c>
      <c r="DP26">
        <v>999.9</v>
      </c>
      <c r="DQ26">
        <v>0</v>
      </c>
      <c r="DR26">
        <v>0</v>
      </c>
      <c r="DS26">
        <v>10018.799999999999</v>
      </c>
      <c r="DT26">
        <v>0</v>
      </c>
      <c r="DU26">
        <v>374.988</v>
      </c>
      <c r="DV26">
        <v>-63.206899999999997</v>
      </c>
      <c r="DW26">
        <v>447.95100000000002</v>
      </c>
      <c r="DX26">
        <v>509.476</v>
      </c>
      <c r="DY26">
        <v>6.2988499999999998</v>
      </c>
      <c r="DZ26">
        <v>500.036</v>
      </c>
      <c r="EA26">
        <v>18.530100000000001</v>
      </c>
      <c r="EB26">
        <v>2.47506</v>
      </c>
      <c r="EC26">
        <v>1.8471599999999999</v>
      </c>
      <c r="ED26">
        <v>20.863399999999999</v>
      </c>
      <c r="EE26">
        <v>16.191700000000001</v>
      </c>
      <c r="EF26">
        <v>1799.92</v>
      </c>
      <c r="EG26">
        <v>0.97799899999999995</v>
      </c>
      <c r="EH26">
        <v>2.20015E-2</v>
      </c>
      <c r="EI26">
        <v>0</v>
      </c>
      <c r="EJ26">
        <v>816.27599999999995</v>
      </c>
      <c r="EK26">
        <v>4.9990399999999999</v>
      </c>
      <c r="EL26">
        <v>15411.4</v>
      </c>
      <c r="EM26">
        <v>14820</v>
      </c>
      <c r="EN26">
        <v>47.811999999999998</v>
      </c>
      <c r="EO26">
        <v>49.311999999999998</v>
      </c>
      <c r="EP26">
        <v>48.75</v>
      </c>
      <c r="EQ26">
        <v>47.686999999999998</v>
      </c>
      <c r="ER26">
        <v>48.75</v>
      </c>
      <c r="ES26">
        <v>1755.43</v>
      </c>
      <c r="ET26">
        <v>39.49</v>
      </c>
      <c r="EU26">
        <v>0</v>
      </c>
      <c r="EV26">
        <v>108.7999999523163</v>
      </c>
      <c r="EW26">
        <v>0</v>
      </c>
      <c r="EX26">
        <v>815.89430769230785</v>
      </c>
      <c r="EY26">
        <v>3.302905980751464</v>
      </c>
      <c r="EZ26">
        <v>54.406837688817419</v>
      </c>
      <c r="FA26">
        <v>15392.315384615389</v>
      </c>
      <c r="FB26">
        <v>15</v>
      </c>
      <c r="FC26">
        <v>1674575223.0999999</v>
      </c>
      <c r="FD26" t="s">
        <v>469</v>
      </c>
      <c r="FE26">
        <v>1674575221.0999999</v>
      </c>
      <c r="FF26">
        <v>1674575223.0999999</v>
      </c>
      <c r="FG26">
        <v>11</v>
      </c>
      <c r="FH26">
        <v>0.312</v>
      </c>
      <c r="FI26">
        <v>5.0000000000000001E-3</v>
      </c>
      <c r="FJ26">
        <v>3.0550000000000002</v>
      </c>
      <c r="FK26">
        <v>0.10100000000000001</v>
      </c>
      <c r="FL26">
        <v>500</v>
      </c>
      <c r="FM26">
        <v>18</v>
      </c>
      <c r="FN26">
        <v>0.04</v>
      </c>
      <c r="FO26">
        <v>0.02</v>
      </c>
      <c r="FP26">
        <v>50.218728585946742</v>
      </c>
      <c r="FQ26">
        <v>-6.3664390556916889E-3</v>
      </c>
      <c r="FR26">
        <v>5.5065305331672872E-2</v>
      </c>
      <c r="FS26">
        <v>1</v>
      </c>
      <c r="FT26">
        <v>0.46722767342363958</v>
      </c>
      <c r="FU26">
        <v>-1.5772393242883341E-2</v>
      </c>
      <c r="FV26">
        <v>4.4699765690281454E-3</v>
      </c>
      <c r="FW26">
        <v>1</v>
      </c>
      <c r="FX26">
        <v>2</v>
      </c>
      <c r="FY26">
        <v>2</v>
      </c>
      <c r="FZ26" t="s">
        <v>420</v>
      </c>
      <c r="GA26">
        <v>2.9338099999999998</v>
      </c>
      <c r="GB26">
        <v>2.8333900000000001</v>
      </c>
      <c r="GC26">
        <v>9.6394599999999997E-2</v>
      </c>
      <c r="GD26">
        <v>0.10498499999999999</v>
      </c>
      <c r="GE26">
        <v>0.12223199999999999</v>
      </c>
      <c r="GF26">
        <v>9.6305199999999994E-2</v>
      </c>
      <c r="GG26">
        <v>23322</v>
      </c>
      <c r="GH26">
        <v>29287.1</v>
      </c>
      <c r="GI26">
        <v>23220.5</v>
      </c>
      <c r="GJ26">
        <v>29977.8</v>
      </c>
      <c r="GK26">
        <v>27711.599999999999</v>
      </c>
      <c r="GL26">
        <v>38509</v>
      </c>
      <c r="GM26">
        <v>32754.3</v>
      </c>
      <c r="GN26">
        <v>44457.9</v>
      </c>
      <c r="GO26">
        <v>1.9489300000000001</v>
      </c>
      <c r="GP26">
        <v>1.8762300000000001</v>
      </c>
      <c r="GQ26">
        <v>6.3933400000000001E-2</v>
      </c>
      <c r="GR26">
        <v>0</v>
      </c>
      <c r="GS26">
        <v>26.5562</v>
      </c>
      <c r="GT26">
        <v>999.9</v>
      </c>
      <c r="GU26">
        <v>57.7</v>
      </c>
      <c r="GV26">
        <v>31.5</v>
      </c>
      <c r="GW26">
        <v>26.869599999999998</v>
      </c>
      <c r="GX26">
        <v>61.293799999999997</v>
      </c>
      <c r="GY26">
        <v>36.334099999999999</v>
      </c>
      <c r="GZ26">
        <v>1</v>
      </c>
      <c r="HA26">
        <v>0.30961100000000003</v>
      </c>
      <c r="HB26">
        <v>2.1452800000000001</v>
      </c>
      <c r="HC26">
        <v>20.259799999999998</v>
      </c>
      <c r="HD26">
        <v>5.2096499999999999</v>
      </c>
      <c r="HE26">
        <v>11.872199999999999</v>
      </c>
      <c r="HF26">
        <v>4.9850000000000003</v>
      </c>
      <c r="HG26">
        <v>3.2839999999999998</v>
      </c>
      <c r="HH26">
        <v>9999</v>
      </c>
      <c r="HI26">
        <v>9999</v>
      </c>
      <c r="HJ26">
        <v>9999</v>
      </c>
      <c r="HK26">
        <v>999.9</v>
      </c>
      <c r="HL26">
        <v>1.8547100000000001</v>
      </c>
      <c r="HM26">
        <v>1.8608100000000001</v>
      </c>
      <c r="HN26">
        <v>1.85822</v>
      </c>
      <c r="HO26">
        <v>1.8594299999999999</v>
      </c>
      <c r="HP26">
        <v>1.8588100000000001</v>
      </c>
      <c r="HQ26">
        <v>1.85928</v>
      </c>
      <c r="HR26">
        <v>1.85764</v>
      </c>
      <c r="HS26">
        <v>1.8609800000000001</v>
      </c>
      <c r="HT26">
        <v>5</v>
      </c>
      <c r="HU26">
        <v>0</v>
      </c>
      <c r="HV26">
        <v>0</v>
      </c>
      <c r="HW26">
        <v>0</v>
      </c>
      <c r="HX26" t="s">
        <v>421</v>
      </c>
      <c r="HY26" t="s">
        <v>422</v>
      </c>
      <c r="HZ26" t="s">
        <v>423</v>
      </c>
      <c r="IA26" t="s">
        <v>423</v>
      </c>
      <c r="IB26" t="s">
        <v>423</v>
      </c>
      <c r="IC26" t="s">
        <v>423</v>
      </c>
      <c r="ID26">
        <v>0</v>
      </c>
      <c r="IE26">
        <v>100</v>
      </c>
      <c r="IF26">
        <v>100</v>
      </c>
      <c r="IG26">
        <v>2.9540000000000002</v>
      </c>
      <c r="IH26">
        <v>0.1421</v>
      </c>
      <c r="II26">
        <v>2.2441073233457129</v>
      </c>
      <c r="IJ26">
        <v>1.6187016317407189E-3</v>
      </c>
      <c r="IK26">
        <v>1.4341569744255341E-7</v>
      </c>
      <c r="IL26">
        <v>-2.4096625942085749E-10</v>
      </c>
      <c r="IM26">
        <v>0.14215151242361021</v>
      </c>
      <c r="IN26">
        <v>0</v>
      </c>
      <c r="IO26">
        <v>0</v>
      </c>
      <c r="IP26">
        <v>0</v>
      </c>
      <c r="IQ26">
        <v>4</v>
      </c>
      <c r="IR26">
        <v>2205</v>
      </c>
      <c r="IS26">
        <v>1</v>
      </c>
      <c r="IT26">
        <v>21</v>
      </c>
      <c r="IU26">
        <v>0.6</v>
      </c>
      <c r="IV26">
        <v>0.6</v>
      </c>
      <c r="IW26">
        <v>1.18042</v>
      </c>
      <c r="IX26">
        <v>2.4340799999999998</v>
      </c>
      <c r="IY26">
        <v>1.49414</v>
      </c>
      <c r="IZ26">
        <v>2.3107899999999999</v>
      </c>
      <c r="JA26">
        <v>1.69434</v>
      </c>
      <c r="JB26">
        <v>2.3815900000000001</v>
      </c>
      <c r="JC26">
        <v>37.361800000000002</v>
      </c>
      <c r="JD26">
        <v>23.7986</v>
      </c>
      <c r="JE26">
        <v>18</v>
      </c>
      <c r="JF26">
        <v>494.70400000000001</v>
      </c>
      <c r="JG26">
        <v>472.37099999999998</v>
      </c>
      <c r="JH26">
        <v>24.726199999999999</v>
      </c>
      <c r="JI26">
        <v>31.1997</v>
      </c>
      <c r="JJ26">
        <v>30.000399999999999</v>
      </c>
      <c r="JK26">
        <v>31.131799999999998</v>
      </c>
      <c r="JL26">
        <v>31.1007</v>
      </c>
      <c r="JM26">
        <v>23.701499999999999</v>
      </c>
      <c r="JN26">
        <v>37.930199999999999</v>
      </c>
      <c r="JO26">
        <v>3.6667299999999998</v>
      </c>
      <c r="JP26">
        <v>24.722200000000001</v>
      </c>
      <c r="JQ26">
        <v>500</v>
      </c>
      <c r="JR26">
        <v>18.518599999999999</v>
      </c>
      <c r="JS26">
        <v>98.695700000000002</v>
      </c>
      <c r="JT26">
        <v>99.857399999999998</v>
      </c>
    </row>
    <row r="27" spans="1:280" x14ac:dyDescent="0.25">
      <c r="A27">
        <v>11</v>
      </c>
      <c r="B27">
        <v>1674575375</v>
      </c>
      <c r="C27">
        <v>1322.400000095367</v>
      </c>
      <c r="D27" t="s">
        <v>470</v>
      </c>
      <c r="E27" t="s">
        <v>471</v>
      </c>
      <c r="F27" t="s">
        <v>412</v>
      </c>
      <c r="G27" t="s">
        <v>413</v>
      </c>
      <c r="H27" t="s">
        <v>414</v>
      </c>
      <c r="I27">
        <v>1674575375</v>
      </c>
      <c r="J27">
        <f t="shared" si="0"/>
        <v>5.2584156572505775E-3</v>
      </c>
      <c r="K27">
        <f t="shared" si="1"/>
        <v>5.2584156572505778</v>
      </c>
      <c r="L27">
        <f t="shared" si="2"/>
        <v>51.144012117069224</v>
      </c>
      <c r="M27">
        <f t="shared" si="3"/>
        <v>535.279</v>
      </c>
      <c r="N27">
        <f t="shared" si="4"/>
        <v>328.18678511319678</v>
      </c>
      <c r="O27">
        <f t="shared" si="5"/>
        <v>32.749246330500775</v>
      </c>
      <c r="P27">
        <f t="shared" si="6"/>
        <v>53.414654768923</v>
      </c>
      <c r="Q27">
        <f t="shared" si="7"/>
        <v>0.44226761066714321</v>
      </c>
      <c r="R27">
        <f t="shared" si="8"/>
        <v>2.9183688900607807</v>
      </c>
      <c r="S27">
        <f t="shared" si="9"/>
        <v>0.40812357234805746</v>
      </c>
      <c r="T27">
        <f t="shared" si="10"/>
        <v>0.25792492078099222</v>
      </c>
      <c r="U27">
        <f t="shared" si="11"/>
        <v>344.38840126361043</v>
      </c>
      <c r="V27">
        <f t="shared" si="12"/>
        <v>28.673489729656811</v>
      </c>
      <c r="W27">
        <f t="shared" si="13"/>
        <v>27.6647</v>
      </c>
      <c r="X27">
        <f t="shared" si="14"/>
        <v>3.7212920328019496</v>
      </c>
      <c r="Y27">
        <f t="shared" si="15"/>
        <v>65.202190608306424</v>
      </c>
      <c r="Z27">
        <f t="shared" si="16"/>
        <v>2.4755016508775003</v>
      </c>
      <c r="AA27">
        <f t="shared" si="17"/>
        <v>3.7966541120508519</v>
      </c>
      <c r="AB27">
        <f t="shared" si="18"/>
        <v>1.2457903819244494</v>
      </c>
      <c r="AC27">
        <f t="shared" si="19"/>
        <v>-231.89613048475047</v>
      </c>
      <c r="AD27">
        <f t="shared" si="20"/>
        <v>54.044608086928477</v>
      </c>
      <c r="AE27">
        <f t="shared" si="21"/>
        <v>4.0300914357954847</v>
      </c>
      <c r="AF27">
        <f t="shared" si="22"/>
        <v>170.56697030158392</v>
      </c>
      <c r="AG27">
        <v>0</v>
      </c>
      <c r="AH27">
        <v>0</v>
      </c>
      <c r="AI27">
        <f t="shared" si="23"/>
        <v>1</v>
      </c>
      <c r="AJ27">
        <f t="shared" si="24"/>
        <v>0</v>
      </c>
      <c r="AK27">
        <f t="shared" si="25"/>
        <v>52371.799951814377</v>
      </c>
      <c r="AL27" t="s">
        <v>415</v>
      </c>
      <c r="AM27">
        <v>10214.9</v>
      </c>
      <c r="AN27">
        <v>729.4384</v>
      </c>
      <c r="AO27">
        <v>3170.19</v>
      </c>
      <c r="AP27">
        <f t="shared" si="26"/>
        <v>0.76990704027203416</v>
      </c>
      <c r="AQ27">
        <v>-0.45549566560547827</v>
      </c>
      <c r="AR27" t="s">
        <v>472</v>
      </c>
      <c r="AS27">
        <v>10074.1</v>
      </c>
      <c r="AT27">
        <v>818.70656000000008</v>
      </c>
      <c r="AU27">
        <v>1187.9917261309629</v>
      </c>
      <c r="AV27">
        <f t="shared" si="27"/>
        <v>0.31084826435083546</v>
      </c>
      <c r="AW27">
        <v>0.5</v>
      </c>
      <c r="AX27">
        <f t="shared" si="28"/>
        <v>1513.2687006318051</v>
      </c>
      <c r="AY27">
        <f t="shared" si="29"/>
        <v>51.144012117069224</v>
      </c>
      <c r="AZ27">
        <f t="shared" si="30"/>
        <v>235.19847454392033</v>
      </c>
      <c r="BA27">
        <f t="shared" si="31"/>
        <v>3.4098047333650246E-2</v>
      </c>
      <c r="BB27">
        <f t="shared" si="32"/>
        <v>1.6685286860748068</v>
      </c>
      <c r="BC27">
        <f t="shared" si="33"/>
        <v>527.08258959005002</v>
      </c>
      <c r="BD27" t="s">
        <v>473</v>
      </c>
      <c r="BE27">
        <v>613.12</v>
      </c>
      <c r="BF27">
        <f t="shared" si="34"/>
        <v>613.12</v>
      </c>
      <c r="BG27">
        <f t="shared" si="35"/>
        <v>0.4839021295234085</v>
      </c>
      <c r="BH27">
        <f t="shared" si="36"/>
        <v>0.64237837650557039</v>
      </c>
      <c r="BI27">
        <f t="shared" si="37"/>
        <v>0.77518342238149018</v>
      </c>
      <c r="BJ27">
        <f t="shared" si="38"/>
        <v>0.80532654565348183</v>
      </c>
      <c r="BK27">
        <f t="shared" si="39"/>
        <v>0.81212618025899774</v>
      </c>
      <c r="BL27">
        <f t="shared" si="40"/>
        <v>0.48106983557465977</v>
      </c>
      <c r="BM27">
        <f t="shared" si="41"/>
        <v>0.51893016442534023</v>
      </c>
      <c r="BN27">
        <v>9078</v>
      </c>
      <c r="BO27">
        <v>290.00000000000011</v>
      </c>
      <c r="BP27">
        <v>1089.02</v>
      </c>
      <c r="BQ27">
        <v>205</v>
      </c>
      <c r="BR27">
        <v>10074.1</v>
      </c>
      <c r="BS27">
        <v>1087.57</v>
      </c>
      <c r="BT27">
        <v>1.45</v>
      </c>
      <c r="BU27">
        <v>300.00000000000011</v>
      </c>
      <c r="BV27">
        <v>24.2</v>
      </c>
      <c r="BW27">
        <v>1187.9917261309629</v>
      </c>
      <c r="BX27">
        <v>2.1865783713197779</v>
      </c>
      <c r="BY27">
        <v>-101.1697003598609</v>
      </c>
      <c r="BZ27">
        <v>1.9601320981741921</v>
      </c>
      <c r="CA27">
        <v>0.98959871710373848</v>
      </c>
      <c r="CB27">
        <v>-6.8794647385984464E-3</v>
      </c>
      <c r="CC27">
        <v>289.99999999999989</v>
      </c>
      <c r="CD27">
        <v>1084.08</v>
      </c>
      <c r="CE27">
        <v>685</v>
      </c>
      <c r="CF27">
        <v>10047.6</v>
      </c>
      <c r="CG27">
        <v>1087.3</v>
      </c>
      <c r="CH27">
        <v>-3.22</v>
      </c>
      <c r="CV27">
        <f t="shared" si="42"/>
        <v>1800.1</v>
      </c>
      <c r="CW27">
        <f t="shared" si="43"/>
        <v>1513.2687006318051</v>
      </c>
      <c r="CX27">
        <f t="shared" si="44"/>
        <v>0.84065813045486648</v>
      </c>
      <c r="CY27">
        <f t="shared" si="45"/>
        <v>0.19131626090973305</v>
      </c>
      <c r="CZ27">
        <v>6</v>
      </c>
      <c r="DA27">
        <v>0.5</v>
      </c>
      <c r="DB27" t="s">
        <v>418</v>
      </c>
      <c r="DC27">
        <v>2</v>
      </c>
      <c r="DD27">
        <v>1674575375</v>
      </c>
      <c r="DE27">
        <v>535.279</v>
      </c>
      <c r="DF27">
        <v>600.01199999999994</v>
      </c>
      <c r="DG27">
        <v>24.807500000000001</v>
      </c>
      <c r="DH27">
        <v>18.6556</v>
      </c>
      <c r="DI27">
        <v>531.95799999999997</v>
      </c>
      <c r="DJ27">
        <v>24.662299999999998</v>
      </c>
      <c r="DK27">
        <v>500.13499999999999</v>
      </c>
      <c r="DL27">
        <v>99.688000000000002</v>
      </c>
      <c r="DM27">
        <v>0.100437</v>
      </c>
      <c r="DN27">
        <v>28.008199999999999</v>
      </c>
      <c r="DO27">
        <v>27.6647</v>
      </c>
      <c r="DP27">
        <v>999.9</v>
      </c>
      <c r="DQ27">
        <v>0</v>
      </c>
      <c r="DR27">
        <v>0</v>
      </c>
      <c r="DS27">
        <v>9967.5</v>
      </c>
      <c r="DT27">
        <v>0</v>
      </c>
      <c r="DU27">
        <v>372.87299999999999</v>
      </c>
      <c r="DV27">
        <v>-64.733800000000002</v>
      </c>
      <c r="DW27">
        <v>548.89499999999998</v>
      </c>
      <c r="DX27">
        <v>611.41899999999998</v>
      </c>
      <c r="DY27">
        <v>6.1519199999999996</v>
      </c>
      <c r="DZ27">
        <v>600.01199999999994</v>
      </c>
      <c r="EA27">
        <v>18.6556</v>
      </c>
      <c r="EB27">
        <v>2.47302</v>
      </c>
      <c r="EC27">
        <v>1.8597399999999999</v>
      </c>
      <c r="ED27">
        <v>20.85</v>
      </c>
      <c r="EE27">
        <v>16.298200000000001</v>
      </c>
      <c r="EF27">
        <v>1800.1</v>
      </c>
      <c r="EG27">
        <v>0.97800200000000004</v>
      </c>
      <c r="EH27">
        <v>2.1997800000000001E-2</v>
      </c>
      <c r="EI27">
        <v>0</v>
      </c>
      <c r="EJ27">
        <v>818.79200000000003</v>
      </c>
      <c r="EK27">
        <v>4.9990399999999999</v>
      </c>
      <c r="EL27">
        <v>15440.3</v>
      </c>
      <c r="EM27">
        <v>14821.5</v>
      </c>
      <c r="EN27">
        <v>47.936999999999998</v>
      </c>
      <c r="EO27">
        <v>49.436999999999998</v>
      </c>
      <c r="EP27">
        <v>48.875</v>
      </c>
      <c r="EQ27">
        <v>47.811999999999998</v>
      </c>
      <c r="ER27">
        <v>48.811999999999998</v>
      </c>
      <c r="ES27">
        <v>1755.61</v>
      </c>
      <c r="ET27">
        <v>39.49</v>
      </c>
      <c r="EU27">
        <v>0</v>
      </c>
      <c r="EV27">
        <v>116.6000001430511</v>
      </c>
      <c r="EW27">
        <v>0</v>
      </c>
      <c r="EX27">
        <v>818.70656000000008</v>
      </c>
      <c r="EY27">
        <v>2.1724615401373559</v>
      </c>
      <c r="EZ27">
        <v>51.215384543259191</v>
      </c>
      <c r="FA27">
        <v>15435.096</v>
      </c>
      <c r="FB27">
        <v>15</v>
      </c>
      <c r="FC27">
        <v>1674575341.5</v>
      </c>
      <c r="FD27" t="s">
        <v>474</v>
      </c>
      <c r="FE27">
        <v>1674575335.5</v>
      </c>
      <c r="FF27">
        <v>1674575341.5</v>
      </c>
      <c r="FG27">
        <v>12</v>
      </c>
      <c r="FH27">
        <v>0.21099999999999999</v>
      </c>
      <c r="FI27">
        <v>3.0000000000000001E-3</v>
      </c>
      <c r="FJ27">
        <v>3.4209999999999998</v>
      </c>
      <c r="FK27">
        <v>0.104</v>
      </c>
      <c r="FL27">
        <v>600</v>
      </c>
      <c r="FM27">
        <v>18</v>
      </c>
      <c r="FN27">
        <v>0.08</v>
      </c>
      <c r="FO27">
        <v>0.01</v>
      </c>
      <c r="FP27">
        <v>51.145340290681247</v>
      </c>
      <c r="FQ27">
        <v>-0.22545836885841769</v>
      </c>
      <c r="FR27">
        <v>6.014253914455675E-2</v>
      </c>
      <c r="FS27">
        <v>1</v>
      </c>
      <c r="FT27">
        <v>0.44870569510626068</v>
      </c>
      <c r="FU27">
        <v>-1.5791046354132279E-2</v>
      </c>
      <c r="FV27">
        <v>2.6901306223309461E-3</v>
      </c>
      <c r="FW27">
        <v>1</v>
      </c>
      <c r="FX27">
        <v>2</v>
      </c>
      <c r="FY27">
        <v>2</v>
      </c>
      <c r="FZ27" t="s">
        <v>420</v>
      </c>
      <c r="GA27">
        <v>2.9339</v>
      </c>
      <c r="GB27">
        <v>2.8336100000000002</v>
      </c>
      <c r="GC27">
        <v>0.111986</v>
      </c>
      <c r="GD27">
        <v>0.11965099999999999</v>
      </c>
      <c r="GE27">
        <v>0.122139</v>
      </c>
      <c r="GF27">
        <v>9.6759700000000004E-2</v>
      </c>
      <c r="GG27">
        <v>22917.5</v>
      </c>
      <c r="GH27">
        <v>28802.6</v>
      </c>
      <c r="GI27">
        <v>23218.5</v>
      </c>
      <c r="GJ27">
        <v>29973.200000000001</v>
      </c>
      <c r="GK27">
        <v>27712.799999999999</v>
      </c>
      <c r="GL27">
        <v>38485.1</v>
      </c>
      <c r="GM27">
        <v>32751.7</v>
      </c>
      <c r="GN27">
        <v>44452.7</v>
      </c>
      <c r="GO27">
        <v>1.94783</v>
      </c>
      <c r="GP27">
        <v>1.8738999999999999</v>
      </c>
      <c r="GQ27">
        <v>6.2789800000000007E-2</v>
      </c>
      <c r="GR27">
        <v>0</v>
      </c>
      <c r="GS27">
        <v>26.638100000000001</v>
      </c>
      <c r="GT27">
        <v>999.9</v>
      </c>
      <c r="GU27">
        <v>57.1</v>
      </c>
      <c r="GV27">
        <v>31.7</v>
      </c>
      <c r="GW27">
        <v>26.889399999999998</v>
      </c>
      <c r="GX27">
        <v>61.2438</v>
      </c>
      <c r="GY27">
        <v>36.350200000000001</v>
      </c>
      <c r="GZ27">
        <v>1</v>
      </c>
      <c r="HA27">
        <v>0.31540099999999999</v>
      </c>
      <c r="HB27">
        <v>2.2180800000000001</v>
      </c>
      <c r="HC27">
        <v>20.258199999999999</v>
      </c>
      <c r="HD27">
        <v>5.2107000000000001</v>
      </c>
      <c r="HE27">
        <v>11.872199999999999</v>
      </c>
      <c r="HF27">
        <v>4.9855999999999998</v>
      </c>
      <c r="HG27">
        <v>3.2839999999999998</v>
      </c>
      <c r="HH27">
        <v>9999</v>
      </c>
      <c r="HI27">
        <v>9999</v>
      </c>
      <c r="HJ27">
        <v>9999</v>
      </c>
      <c r="HK27">
        <v>999.9</v>
      </c>
      <c r="HL27">
        <v>1.8547199999999999</v>
      </c>
      <c r="HM27">
        <v>1.8608100000000001</v>
      </c>
      <c r="HN27">
        <v>1.8582399999999999</v>
      </c>
      <c r="HO27">
        <v>1.85944</v>
      </c>
      <c r="HP27">
        <v>1.85883</v>
      </c>
      <c r="HQ27">
        <v>1.85928</v>
      </c>
      <c r="HR27">
        <v>1.85772</v>
      </c>
      <c r="HS27">
        <v>1.8610800000000001</v>
      </c>
      <c r="HT27">
        <v>5</v>
      </c>
      <c r="HU27">
        <v>0</v>
      </c>
      <c r="HV27">
        <v>0</v>
      </c>
      <c r="HW27">
        <v>0</v>
      </c>
      <c r="HX27" t="s">
        <v>421</v>
      </c>
      <c r="HY27" t="s">
        <v>422</v>
      </c>
      <c r="HZ27" t="s">
        <v>423</v>
      </c>
      <c r="IA27" t="s">
        <v>423</v>
      </c>
      <c r="IB27" t="s">
        <v>423</v>
      </c>
      <c r="IC27" t="s">
        <v>423</v>
      </c>
      <c r="ID27">
        <v>0</v>
      </c>
      <c r="IE27">
        <v>100</v>
      </c>
      <c r="IF27">
        <v>100</v>
      </c>
      <c r="IG27">
        <v>3.3210000000000002</v>
      </c>
      <c r="IH27">
        <v>0.1452</v>
      </c>
      <c r="II27">
        <v>2.4553241721481198</v>
      </c>
      <c r="IJ27">
        <v>1.6187016317407189E-3</v>
      </c>
      <c r="IK27">
        <v>1.4341569744255341E-7</v>
      </c>
      <c r="IL27">
        <v>-2.4096625942085749E-10</v>
      </c>
      <c r="IM27">
        <v>0.14522347946488351</v>
      </c>
      <c r="IN27">
        <v>0</v>
      </c>
      <c r="IO27">
        <v>0</v>
      </c>
      <c r="IP27">
        <v>0</v>
      </c>
      <c r="IQ27">
        <v>4</v>
      </c>
      <c r="IR27">
        <v>2205</v>
      </c>
      <c r="IS27">
        <v>1</v>
      </c>
      <c r="IT27">
        <v>21</v>
      </c>
      <c r="IU27">
        <v>0.7</v>
      </c>
      <c r="IV27">
        <v>0.6</v>
      </c>
      <c r="IW27">
        <v>1.3708499999999999</v>
      </c>
      <c r="IX27">
        <v>2.4328599999999998</v>
      </c>
      <c r="IY27">
        <v>1.49414</v>
      </c>
      <c r="IZ27">
        <v>2.3107899999999999</v>
      </c>
      <c r="JA27">
        <v>1.69434</v>
      </c>
      <c r="JB27">
        <v>2.3840300000000001</v>
      </c>
      <c r="JC27">
        <v>37.674500000000002</v>
      </c>
      <c r="JD27">
        <v>23.7898</v>
      </c>
      <c r="JE27">
        <v>18</v>
      </c>
      <c r="JF27">
        <v>494.39499999999998</v>
      </c>
      <c r="JG27">
        <v>471.07</v>
      </c>
      <c r="JH27">
        <v>24.696899999999999</v>
      </c>
      <c r="JI27">
        <v>31.264199999999999</v>
      </c>
      <c r="JJ27">
        <v>30.000499999999999</v>
      </c>
      <c r="JK27">
        <v>31.179300000000001</v>
      </c>
      <c r="JL27">
        <v>31.144200000000001</v>
      </c>
      <c r="JM27">
        <v>27.4956</v>
      </c>
      <c r="JN27">
        <v>37.685600000000001</v>
      </c>
      <c r="JO27">
        <v>0.85600799999999999</v>
      </c>
      <c r="JP27">
        <v>24.694099999999999</v>
      </c>
      <c r="JQ27">
        <v>600</v>
      </c>
      <c r="JR27">
        <v>18.623999999999999</v>
      </c>
      <c r="JS27">
        <v>98.6875</v>
      </c>
      <c r="JT27">
        <v>99.844200000000001</v>
      </c>
    </row>
    <row r="28" spans="1:280" x14ac:dyDescent="0.25">
      <c r="A28">
        <v>12</v>
      </c>
      <c r="B28">
        <v>1674575484</v>
      </c>
      <c r="C28">
        <v>1431.400000095367</v>
      </c>
      <c r="D28" t="s">
        <v>475</v>
      </c>
      <c r="E28" t="s">
        <v>476</v>
      </c>
      <c r="F28" t="s">
        <v>412</v>
      </c>
      <c r="G28" t="s">
        <v>413</v>
      </c>
      <c r="H28" t="s">
        <v>414</v>
      </c>
      <c r="I28">
        <v>1674575484</v>
      </c>
      <c r="J28">
        <f t="shared" si="0"/>
        <v>4.9974426223792709E-3</v>
      </c>
      <c r="K28">
        <f t="shared" si="1"/>
        <v>4.9974426223792712</v>
      </c>
      <c r="L28">
        <f t="shared" si="2"/>
        <v>51.121304283534485</v>
      </c>
      <c r="M28">
        <f t="shared" si="3"/>
        <v>734.32</v>
      </c>
      <c r="N28">
        <f t="shared" si="4"/>
        <v>511.74698554419149</v>
      </c>
      <c r="O28">
        <f t="shared" si="5"/>
        <v>51.061844782811534</v>
      </c>
      <c r="P28">
        <f t="shared" si="6"/>
        <v>73.270062980519995</v>
      </c>
      <c r="Q28">
        <f t="shared" si="7"/>
        <v>0.41609859315198711</v>
      </c>
      <c r="R28">
        <f t="shared" si="8"/>
        <v>2.9277597533616948</v>
      </c>
      <c r="S28">
        <f t="shared" si="9"/>
        <v>0.38581680605945889</v>
      </c>
      <c r="T28">
        <f t="shared" si="10"/>
        <v>0.24367230029250386</v>
      </c>
      <c r="U28">
        <f t="shared" si="11"/>
        <v>344.37320126366666</v>
      </c>
      <c r="V28">
        <f t="shared" si="12"/>
        <v>28.735577492449032</v>
      </c>
      <c r="W28">
        <f t="shared" si="13"/>
        <v>27.6873</v>
      </c>
      <c r="X28">
        <f t="shared" si="14"/>
        <v>3.726209923897013</v>
      </c>
      <c r="Y28">
        <f t="shared" si="15"/>
        <v>65.17491048110459</v>
      </c>
      <c r="Z28">
        <f t="shared" si="16"/>
        <v>2.4739322659589997</v>
      </c>
      <c r="AA28">
        <f t="shared" si="17"/>
        <v>3.7958353110070457</v>
      </c>
      <c r="AB28">
        <f t="shared" si="18"/>
        <v>1.2522776579380133</v>
      </c>
      <c r="AC28">
        <f t="shared" si="19"/>
        <v>-220.38721964692584</v>
      </c>
      <c r="AD28">
        <f t="shared" si="20"/>
        <v>50.06728694873032</v>
      </c>
      <c r="AE28">
        <f t="shared" si="21"/>
        <v>3.7218789331849287</v>
      </c>
      <c r="AF28">
        <f t="shared" si="22"/>
        <v>177.77514749865608</v>
      </c>
      <c r="AG28">
        <v>0</v>
      </c>
      <c r="AH28">
        <v>0</v>
      </c>
      <c r="AI28">
        <f t="shared" si="23"/>
        <v>1</v>
      </c>
      <c r="AJ28">
        <f t="shared" si="24"/>
        <v>0</v>
      </c>
      <c r="AK28">
        <f t="shared" si="25"/>
        <v>52642.218906120215</v>
      </c>
      <c r="AL28" t="s">
        <v>415</v>
      </c>
      <c r="AM28">
        <v>10214.9</v>
      </c>
      <c r="AN28">
        <v>729.4384</v>
      </c>
      <c r="AO28">
        <v>3170.19</v>
      </c>
      <c r="AP28">
        <f t="shared" si="26"/>
        <v>0.76990704027203416</v>
      </c>
      <c r="AQ28">
        <v>-0.45549566560547827</v>
      </c>
      <c r="AR28" t="s">
        <v>477</v>
      </c>
      <c r="AS28">
        <v>10076.299999999999</v>
      </c>
      <c r="AT28">
        <v>819.62211538461531</v>
      </c>
      <c r="AU28">
        <v>1192.382990803954</v>
      </c>
      <c r="AV28">
        <f t="shared" si="27"/>
        <v>0.31261841060648465</v>
      </c>
      <c r="AW28">
        <v>0.5</v>
      </c>
      <c r="AX28">
        <f t="shared" si="28"/>
        <v>1513.2015006318331</v>
      </c>
      <c r="AY28">
        <f t="shared" si="29"/>
        <v>51.121304283534485</v>
      </c>
      <c r="AZ28">
        <f t="shared" si="30"/>
        <v>236.52732402743558</v>
      </c>
      <c r="BA28">
        <f t="shared" si="31"/>
        <v>3.4084555115497975E-2</v>
      </c>
      <c r="BB28">
        <f t="shared" si="32"/>
        <v>1.6587011257704427</v>
      </c>
      <c r="BC28">
        <f t="shared" si="33"/>
        <v>527.94522635613987</v>
      </c>
      <c r="BD28" t="s">
        <v>478</v>
      </c>
      <c r="BE28">
        <v>609.23</v>
      </c>
      <c r="BF28">
        <f t="shared" si="34"/>
        <v>609.23</v>
      </c>
      <c r="BG28">
        <f t="shared" si="35"/>
        <v>0.48906517058815813</v>
      </c>
      <c r="BH28">
        <f t="shared" si="36"/>
        <v>0.63921626279484267</v>
      </c>
      <c r="BI28">
        <f t="shared" si="37"/>
        <v>0.77229125374705032</v>
      </c>
      <c r="BJ28">
        <f t="shared" si="38"/>
        <v>0.80519544417183619</v>
      </c>
      <c r="BK28">
        <f t="shared" si="39"/>
        <v>0.81032703581800214</v>
      </c>
      <c r="BL28">
        <f t="shared" si="40"/>
        <v>0.47513325528040262</v>
      </c>
      <c r="BM28">
        <f t="shared" si="41"/>
        <v>0.52486674471959738</v>
      </c>
      <c r="BN28">
        <v>9080</v>
      </c>
      <c r="BO28">
        <v>290.00000000000011</v>
      </c>
      <c r="BP28">
        <v>1094.43</v>
      </c>
      <c r="BQ28">
        <v>185</v>
      </c>
      <c r="BR28">
        <v>10076.299999999999</v>
      </c>
      <c r="BS28">
        <v>1092.1300000000001</v>
      </c>
      <c r="BT28">
        <v>2.2999999999999998</v>
      </c>
      <c r="BU28">
        <v>300.00000000000011</v>
      </c>
      <c r="BV28">
        <v>24.2</v>
      </c>
      <c r="BW28">
        <v>1192.382990803954</v>
      </c>
      <c r="BX28">
        <v>1.601536238207369</v>
      </c>
      <c r="BY28">
        <v>-101.01355802641091</v>
      </c>
      <c r="BZ28">
        <v>1.435592005495681</v>
      </c>
      <c r="CA28">
        <v>0.99437643679192689</v>
      </c>
      <c r="CB28">
        <v>-6.8791472747497329E-3</v>
      </c>
      <c r="CC28">
        <v>289.99999999999989</v>
      </c>
      <c r="CD28">
        <v>1088.43</v>
      </c>
      <c r="CE28">
        <v>695</v>
      </c>
      <c r="CF28">
        <v>10046.4</v>
      </c>
      <c r="CG28">
        <v>1091.8399999999999</v>
      </c>
      <c r="CH28">
        <v>-3.41</v>
      </c>
      <c r="CV28">
        <f t="shared" si="42"/>
        <v>1800.02</v>
      </c>
      <c r="CW28">
        <f t="shared" si="43"/>
        <v>1513.2015006318331</v>
      </c>
      <c r="CX28">
        <f t="shared" si="44"/>
        <v>0.84065815970479951</v>
      </c>
      <c r="CY28">
        <f t="shared" si="45"/>
        <v>0.19131631940959914</v>
      </c>
      <c r="CZ28">
        <v>6</v>
      </c>
      <c r="DA28">
        <v>0.5</v>
      </c>
      <c r="DB28" t="s">
        <v>418</v>
      </c>
      <c r="DC28">
        <v>2</v>
      </c>
      <c r="DD28">
        <v>1674575484</v>
      </c>
      <c r="DE28">
        <v>734.32</v>
      </c>
      <c r="DF28">
        <v>800.06200000000001</v>
      </c>
      <c r="DG28">
        <v>24.794</v>
      </c>
      <c r="DH28">
        <v>18.946400000000001</v>
      </c>
      <c r="DI28">
        <v>730.01300000000003</v>
      </c>
      <c r="DJ28">
        <v>24.650600000000001</v>
      </c>
      <c r="DK28">
        <v>500.05500000000001</v>
      </c>
      <c r="DL28">
        <v>99.679699999999997</v>
      </c>
      <c r="DM28">
        <v>9.9773500000000001E-2</v>
      </c>
      <c r="DN28">
        <v>28.0045</v>
      </c>
      <c r="DO28">
        <v>27.6873</v>
      </c>
      <c r="DP28">
        <v>999.9</v>
      </c>
      <c r="DQ28">
        <v>0</v>
      </c>
      <c r="DR28">
        <v>0</v>
      </c>
      <c r="DS28">
        <v>10021.9</v>
      </c>
      <c r="DT28">
        <v>0</v>
      </c>
      <c r="DU28">
        <v>374.54700000000003</v>
      </c>
      <c r="DV28">
        <v>-65.741600000000005</v>
      </c>
      <c r="DW28">
        <v>752.99</v>
      </c>
      <c r="DX28">
        <v>815.51300000000003</v>
      </c>
      <c r="DY28">
        <v>5.84762</v>
      </c>
      <c r="DZ28">
        <v>800.06200000000001</v>
      </c>
      <c r="EA28">
        <v>18.946400000000001</v>
      </c>
      <c r="EB28">
        <v>2.47146</v>
      </c>
      <c r="EC28">
        <v>1.8885700000000001</v>
      </c>
      <c r="ED28">
        <v>20.8398</v>
      </c>
      <c r="EE28">
        <v>16.5398</v>
      </c>
      <c r="EF28">
        <v>1800.02</v>
      </c>
      <c r="EG28">
        <v>0.97800200000000004</v>
      </c>
      <c r="EH28">
        <v>2.1997800000000001E-2</v>
      </c>
      <c r="EI28">
        <v>0</v>
      </c>
      <c r="EJ28">
        <v>820.26400000000001</v>
      </c>
      <c r="EK28">
        <v>4.9990399999999999</v>
      </c>
      <c r="EL28">
        <v>15457.2</v>
      </c>
      <c r="EM28">
        <v>14820.9</v>
      </c>
      <c r="EN28">
        <v>48</v>
      </c>
      <c r="EO28">
        <v>49.561999999999998</v>
      </c>
      <c r="EP28">
        <v>48.936999999999998</v>
      </c>
      <c r="EQ28">
        <v>47.936999999999998</v>
      </c>
      <c r="ER28">
        <v>48.936999999999998</v>
      </c>
      <c r="ES28">
        <v>1755.53</v>
      </c>
      <c r="ET28">
        <v>39.49</v>
      </c>
      <c r="EU28">
        <v>0</v>
      </c>
      <c r="EV28">
        <v>107</v>
      </c>
      <c r="EW28">
        <v>0</v>
      </c>
      <c r="EX28">
        <v>819.62211538461531</v>
      </c>
      <c r="EY28">
        <v>0.28352136523664201</v>
      </c>
      <c r="EZ28">
        <v>10.05811967275177</v>
      </c>
      <c r="FA28">
        <v>15456.384615384621</v>
      </c>
      <c r="FB28">
        <v>15</v>
      </c>
      <c r="FC28">
        <v>1674575450.5</v>
      </c>
      <c r="FD28" t="s">
        <v>479</v>
      </c>
      <c r="FE28">
        <v>1674575438.5</v>
      </c>
      <c r="FF28">
        <v>1674575450.5</v>
      </c>
      <c r="FG28">
        <v>13</v>
      </c>
      <c r="FH28">
        <v>0.68799999999999994</v>
      </c>
      <c r="FI28">
        <v>-2E-3</v>
      </c>
      <c r="FJ28">
        <v>4.4009999999999998</v>
      </c>
      <c r="FK28">
        <v>0.107</v>
      </c>
      <c r="FL28">
        <v>800</v>
      </c>
      <c r="FM28">
        <v>19</v>
      </c>
      <c r="FN28">
        <v>0.05</v>
      </c>
      <c r="FO28">
        <v>0.02</v>
      </c>
      <c r="FP28">
        <v>51.001602833334189</v>
      </c>
      <c r="FQ28">
        <v>-0.28995323640820198</v>
      </c>
      <c r="FR28">
        <v>8.5088843503012337E-2</v>
      </c>
      <c r="FS28">
        <v>1</v>
      </c>
      <c r="FT28">
        <v>0.42348698506116261</v>
      </c>
      <c r="FU28">
        <v>-1.658002840475881E-2</v>
      </c>
      <c r="FV28">
        <v>3.2453092501577691E-3</v>
      </c>
      <c r="FW28">
        <v>1</v>
      </c>
      <c r="FX28">
        <v>2</v>
      </c>
      <c r="FY28">
        <v>2</v>
      </c>
      <c r="FZ28" t="s">
        <v>420</v>
      </c>
      <c r="GA28">
        <v>2.93363</v>
      </c>
      <c r="GB28">
        <v>2.8334199999999998</v>
      </c>
      <c r="GC28">
        <v>0.13961000000000001</v>
      </c>
      <c r="GD28">
        <v>0.145677</v>
      </c>
      <c r="GE28">
        <v>0.122073</v>
      </c>
      <c r="GF28">
        <v>9.7802700000000006E-2</v>
      </c>
      <c r="GG28">
        <v>22202.5</v>
      </c>
      <c r="GH28">
        <v>27947.7</v>
      </c>
      <c r="GI28">
        <v>23216.5</v>
      </c>
      <c r="GJ28">
        <v>29970.1</v>
      </c>
      <c r="GK28">
        <v>27713.599999999999</v>
      </c>
      <c r="GL28">
        <v>38437.199999999997</v>
      </c>
      <c r="GM28">
        <v>32749.3</v>
      </c>
      <c r="GN28">
        <v>44448.7</v>
      </c>
      <c r="GO28">
        <v>1.94692</v>
      </c>
      <c r="GP28">
        <v>1.8722700000000001</v>
      </c>
      <c r="GQ28">
        <v>6.3467800000000005E-2</v>
      </c>
      <c r="GR28">
        <v>0</v>
      </c>
      <c r="GS28">
        <v>26.649699999999999</v>
      </c>
      <c r="GT28">
        <v>999.9</v>
      </c>
      <c r="GU28">
        <v>56.8</v>
      </c>
      <c r="GV28">
        <v>31.8</v>
      </c>
      <c r="GW28">
        <v>26.904</v>
      </c>
      <c r="GX28">
        <v>61.143799999999999</v>
      </c>
      <c r="GY28">
        <v>36.522399999999998</v>
      </c>
      <c r="GZ28">
        <v>1</v>
      </c>
      <c r="HA28">
        <v>0.32109799999999999</v>
      </c>
      <c r="HB28">
        <v>2.1748699999999999</v>
      </c>
      <c r="HC28">
        <v>20.258600000000001</v>
      </c>
      <c r="HD28">
        <v>5.2110000000000003</v>
      </c>
      <c r="HE28">
        <v>11.872199999999999</v>
      </c>
      <c r="HF28">
        <v>4.9851999999999999</v>
      </c>
      <c r="HG28">
        <v>3.2839999999999998</v>
      </c>
      <c r="HH28">
        <v>9999</v>
      </c>
      <c r="HI28">
        <v>9999</v>
      </c>
      <c r="HJ28">
        <v>9999</v>
      </c>
      <c r="HK28">
        <v>999.9</v>
      </c>
      <c r="HL28">
        <v>1.8547100000000001</v>
      </c>
      <c r="HM28">
        <v>1.8608100000000001</v>
      </c>
      <c r="HN28">
        <v>1.85822</v>
      </c>
      <c r="HO28">
        <v>1.85944</v>
      </c>
      <c r="HP28">
        <v>1.85883</v>
      </c>
      <c r="HQ28">
        <v>1.8593</v>
      </c>
      <c r="HR28">
        <v>1.8576999999999999</v>
      </c>
      <c r="HS28">
        <v>1.8610199999999999</v>
      </c>
      <c r="HT28">
        <v>5</v>
      </c>
      <c r="HU28">
        <v>0</v>
      </c>
      <c r="HV28">
        <v>0</v>
      </c>
      <c r="HW28">
        <v>0</v>
      </c>
      <c r="HX28" t="s">
        <v>421</v>
      </c>
      <c r="HY28" t="s">
        <v>422</v>
      </c>
      <c r="HZ28" t="s">
        <v>423</v>
      </c>
      <c r="IA28" t="s">
        <v>423</v>
      </c>
      <c r="IB28" t="s">
        <v>423</v>
      </c>
      <c r="IC28" t="s">
        <v>423</v>
      </c>
      <c r="ID28">
        <v>0</v>
      </c>
      <c r="IE28">
        <v>100</v>
      </c>
      <c r="IF28">
        <v>100</v>
      </c>
      <c r="IG28">
        <v>4.3070000000000004</v>
      </c>
      <c r="IH28">
        <v>0.1434</v>
      </c>
      <c r="II28">
        <v>3.1432712271020802</v>
      </c>
      <c r="IJ28">
        <v>1.6187016317407189E-3</v>
      </c>
      <c r="IK28">
        <v>1.4341569744255341E-7</v>
      </c>
      <c r="IL28">
        <v>-2.4096625942085749E-10</v>
      </c>
      <c r="IM28">
        <v>0.1433937303398769</v>
      </c>
      <c r="IN28">
        <v>0</v>
      </c>
      <c r="IO28">
        <v>0</v>
      </c>
      <c r="IP28">
        <v>0</v>
      </c>
      <c r="IQ28">
        <v>4</v>
      </c>
      <c r="IR28">
        <v>2205</v>
      </c>
      <c r="IS28">
        <v>1</v>
      </c>
      <c r="IT28">
        <v>21</v>
      </c>
      <c r="IU28">
        <v>0.8</v>
      </c>
      <c r="IV28">
        <v>0.6</v>
      </c>
      <c r="IW28">
        <v>1.73706</v>
      </c>
      <c r="IX28">
        <v>2.4206500000000002</v>
      </c>
      <c r="IY28">
        <v>1.49414</v>
      </c>
      <c r="IZ28">
        <v>2.3107899999999999</v>
      </c>
      <c r="JA28">
        <v>1.69434</v>
      </c>
      <c r="JB28">
        <v>2.4023400000000001</v>
      </c>
      <c r="JC28">
        <v>37.9649</v>
      </c>
      <c r="JD28">
        <v>23.7986</v>
      </c>
      <c r="JE28">
        <v>18</v>
      </c>
      <c r="JF28">
        <v>494.27300000000002</v>
      </c>
      <c r="JG28">
        <v>470.36900000000003</v>
      </c>
      <c r="JH28">
        <v>24.708600000000001</v>
      </c>
      <c r="JI28">
        <v>31.3354</v>
      </c>
      <c r="JJ28">
        <v>30.000299999999999</v>
      </c>
      <c r="JK28">
        <v>31.234400000000001</v>
      </c>
      <c r="JL28">
        <v>31.198399999999999</v>
      </c>
      <c r="JM28">
        <v>34.818199999999997</v>
      </c>
      <c r="JN28">
        <v>36.983899999999998</v>
      </c>
      <c r="JO28">
        <v>0</v>
      </c>
      <c r="JP28">
        <v>24.706900000000001</v>
      </c>
      <c r="JQ28">
        <v>800</v>
      </c>
      <c r="JR28">
        <v>18.910299999999999</v>
      </c>
      <c r="JS28">
        <v>98.679599999999994</v>
      </c>
      <c r="JT28">
        <v>99.834699999999998</v>
      </c>
    </row>
    <row r="29" spans="1:280" x14ac:dyDescent="0.25">
      <c r="A29">
        <v>13</v>
      </c>
      <c r="B29">
        <v>1674575607.5</v>
      </c>
      <c r="C29">
        <v>1554.900000095367</v>
      </c>
      <c r="D29" t="s">
        <v>480</v>
      </c>
      <c r="E29" t="s">
        <v>481</v>
      </c>
      <c r="F29" t="s">
        <v>412</v>
      </c>
      <c r="G29" t="s">
        <v>413</v>
      </c>
      <c r="H29" t="s">
        <v>414</v>
      </c>
      <c r="I29">
        <v>1674575607.5</v>
      </c>
      <c r="J29">
        <f t="shared" si="0"/>
        <v>4.6905914124310269E-3</v>
      </c>
      <c r="K29">
        <f t="shared" si="1"/>
        <v>4.6905914124310266</v>
      </c>
      <c r="L29">
        <f t="shared" si="2"/>
        <v>50.958240144775502</v>
      </c>
      <c r="M29">
        <f t="shared" si="3"/>
        <v>1132.58</v>
      </c>
      <c r="N29">
        <f t="shared" si="4"/>
        <v>887.57261236237309</v>
      </c>
      <c r="O29">
        <f t="shared" si="5"/>
        <v>88.552274566266988</v>
      </c>
      <c r="P29">
        <f t="shared" si="6"/>
        <v>112.99642838383998</v>
      </c>
      <c r="Q29">
        <f t="shared" si="7"/>
        <v>0.38647100846035098</v>
      </c>
      <c r="R29">
        <f t="shared" si="8"/>
        <v>2.9248229050578471</v>
      </c>
      <c r="S29">
        <f t="shared" si="9"/>
        <v>0.36017765901176302</v>
      </c>
      <c r="T29">
        <f t="shared" si="10"/>
        <v>0.22732414695521402</v>
      </c>
      <c r="U29">
        <f t="shared" si="11"/>
        <v>344.34980126343089</v>
      </c>
      <c r="V29">
        <f t="shared" si="12"/>
        <v>28.801396921457769</v>
      </c>
      <c r="W29">
        <f t="shared" si="13"/>
        <v>27.703900000000001</v>
      </c>
      <c r="X29">
        <f t="shared" si="14"/>
        <v>3.7298257919144389</v>
      </c>
      <c r="Y29">
        <f t="shared" si="15"/>
        <v>65.150723763268246</v>
      </c>
      <c r="Z29">
        <f t="shared" si="16"/>
        <v>2.4709101734823999</v>
      </c>
      <c r="AA29">
        <f t="shared" si="17"/>
        <v>3.7926058695229576</v>
      </c>
      <c r="AB29">
        <f t="shared" si="18"/>
        <v>1.2589156184320389</v>
      </c>
      <c r="AC29">
        <f t="shared" si="19"/>
        <v>-206.85508128820828</v>
      </c>
      <c r="AD29">
        <f t="shared" si="20"/>
        <v>45.097353002838553</v>
      </c>
      <c r="AE29">
        <f t="shared" si="21"/>
        <v>3.3558257699668457</v>
      </c>
      <c r="AF29">
        <f t="shared" si="22"/>
        <v>185.947898748028</v>
      </c>
      <c r="AG29">
        <v>0</v>
      </c>
      <c r="AH29">
        <v>0</v>
      </c>
      <c r="AI29">
        <f t="shared" si="23"/>
        <v>1</v>
      </c>
      <c r="AJ29">
        <f t="shared" si="24"/>
        <v>0</v>
      </c>
      <c r="AK29">
        <f t="shared" si="25"/>
        <v>52560.054276492985</v>
      </c>
      <c r="AL29" t="s">
        <v>415</v>
      </c>
      <c r="AM29">
        <v>10214.9</v>
      </c>
      <c r="AN29">
        <v>729.4384</v>
      </c>
      <c r="AO29">
        <v>3170.19</v>
      </c>
      <c r="AP29">
        <f t="shared" si="26"/>
        <v>0.76990704027203416</v>
      </c>
      <c r="AQ29">
        <v>-0.45549566560547827</v>
      </c>
      <c r="AR29" t="s">
        <v>482</v>
      </c>
      <c r="AS29">
        <v>10083.1</v>
      </c>
      <c r="AT29">
        <v>819.35630769230784</v>
      </c>
      <c r="AU29">
        <v>1200.931399260176</v>
      </c>
      <c r="AV29">
        <f t="shared" si="27"/>
        <v>0.31773262969303195</v>
      </c>
      <c r="AW29">
        <v>0.5</v>
      </c>
      <c r="AX29">
        <f t="shared" si="28"/>
        <v>1513.1004006317155</v>
      </c>
      <c r="AY29">
        <f t="shared" si="29"/>
        <v>50.958240144775502</v>
      </c>
      <c r="AZ29">
        <f t="shared" si="30"/>
        <v>240.38068464114758</v>
      </c>
      <c r="BA29">
        <f t="shared" si="31"/>
        <v>3.3979064303278142E-2</v>
      </c>
      <c r="BB29">
        <f t="shared" si="32"/>
        <v>1.6397760954147504</v>
      </c>
      <c r="BC29">
        <f t="shared" si="33"/>
        <v>529.61439393410774</v>
      </c>
      <c r="BD29" t="s">
        <v>483</v>
      </c>
      <c r="BE29">
        <v>610.73</v>
      </c>
      <c r="BF29">
        <f t="shared" si="34"/>
        <v>610.73</v>
      </c>
      <c r="BG29">
        <f t="shared" si="35"/>
        <v>0.49145305021066543</v>
      </c>
      <c r="BH29">
        <f t="shared" si="36"/>
        <v>0.64651675181756052</v>
      </c>
      <c r="BI29">
        <f t="shared" si="37"/>
        <v>0.76940393705696675</v>
      </c>
      <c r="BJ29">
        <f t="shared" si="38"/>
        <v>0.80929110753839639</v>
      </c>
      <c r="BK29">
        <f t="shared" si="39"/>
        <v>0.80682466857332957</v>
      </c>
      <c r="BL29">
        <f t="shared" si="40"/>
        <v>0.48189923252023759</v>
      </c>
      <c r="BM29">
        <f t="shared" si="41"/>
        <v>0.51810076747976241</v>
      </c>
      <c r="BN29">
        <v>9082</v>
      </c>
      <c r="BO29">
        <v>290.00000000000011</v>
      </c>
      <c r="BP29">
        <v>1095.31</v>
      </c>
      <c r="BQ29">
        <v>135</v>
      </c>
      <c r="BR29">
        <v>10083.1</v>
      </c>
      <c r="BS29">
        <v>1093.8699999999999</v>
      </c>
      <c r="BT29">
        <v>1.44</v>
      </c>
      <c r="BU29">
        <v>300.00000000000011</v>
      </c>
      <c r="BV29">
        <v>24.2</v>
      </c>
      <c r="BW29">
        <v>1200.931399260176</v>
      </c>
      <c r="BX29">
        <v>1.2710977397016641</v>
      </c>
      <c r="BY29">
        <v>-107.9533116154558</v>
      </c>
      <c r="BZ29">
        <v>1.1393092186182869</v>
      </c>
      <c r="CA29">
        <v>0.99689102662989093</v>
      </c>
      <c r="CB29">
        <v>-6.8788723025584031E-3</v>
      </c>
      <c r="CC29">
        <v>289.99999999999989</v>
      </c>
      <c r="CD29">
        <v>1089.81</v>
      </c>
      <c r="CE29">
        <v>685</v>
      </c>
      <c r="CF29">
        <v>10046.200000000001</v>
      </c>
      <c r="CG29">
        <v>1093.47</v>
      </c>
      <c r="CH29">
        <v>-3.66</v>
      </c>
      <c r="CV29">
        <f t="shared" si="42"/>
        <v>1799.9</v>
      </c>
      <c r="CW29">
        <f t="shared" si="43"/>
        <v>1513.1004006317155</v>
      </c>
      <c r="CX29">
        <f t="shared" si="44"/>
        <v>0.840658036908559</v>
      </c>
      <c r="CY29">
        <f t="shared" si="45"/>
        <v>0.1913160738171181</v>
      </c>
      <c r="CZ29">
        <v>6</v>
      </c>
      <c r="DA29">
        <v>0.5</v>
      </c>
      <c r="DB29" t="s">
        <v>418</v>
      </c>
      <c r="DC29">
        <v>2</v>
      </c>
      <c r="DD29">
        <v>1674575607.5</v>
      </c>
      <c r="DE29">
        <v>1132.58</v>
      </c>
      <c r="DF29">
        <v>1200.0899999999999</v>
      </c>
      <c r="DG29">
        <v>24.766300000000001</v>
      </c>
      <c r="DH29">
        <v>19.278199999999998</v>
      </c>
      <c r="DI29">
        <v>1127.5999999999999</v>
      </c>
      <c r="DJ29">
        <v>24.6252</v>
      </c>
      <c r="DK29">
        <v>500.11</v>
      </c>
      <c r="DL29">
        <v>99.668999999999997</v>
      </c>
      <c r="DM29">
        <v>0.100048</v>
      </c>
      <c r="DN29">
        <v>27.989899999999999</v>
      </c>
      <c r="DO29">
        <v>27.703900000000001</v>
      </c>
      <c r="DP29">
        <v>999.9</v>
      </c>
      <c r="DQ29">
        <v>0</v>
      </c>
      <c r="DR29">
        <v>0</v>
      </c>
      <c r="DS29">
        <v>10006.200000000001</v>
      </c>
      <c r="DT29">
        <v>0</v>
      </c>
      <c r="DU29">
        <v>376.14600000000002</v>
      </c>
      <c r="DV29">
        <v>-67.508399999999995</v>
      </c>
      <c r="DW29">
        <v>1161.3399999999999</v>
      </c>
      <c r="DX29">
        <v>1223.68</v>
      </c>
      <c r="DY29">
        <v>5.4880500000000003</v>
      </c>
      <c r="DZ29">
        <v>1200.0899999999999</v>
      </c>
      <c r="EA29">
        <v>19.278199999999998</v>
      </c>
      <c r="EB29">
        <v>2.4684300000000001</v>
      </c>
      <c r="EC29">
        <v>1.92144</v>
      </c>
      <c r="ED29">
        <v>20.819800000000001</v>
      </c>
      <c r="EE29">
        <v>16.811399999999999</v>
      </c>
      <c r="EF29">
        <v>1799.9</v>
      </c>
      <c r="EG29">
        <v>0.97800200000000004</v>
      </c>
      <c r="EH29">
        <v>2.1997699999999999E-2</v>
      </c>
      <c r="EI29">
        <v>0</v>
      </c>
      <c r="EJ29">
        <v>819.29100000000005</v>
      </c>
      <c r="EK29">
        <v>4.9990399999999999</v>
      </c>
      <c r="EL29">
        <v>15451.2</v>
      </c>
      <c r="EM29">
        <v>14819.9</v>
      </c>
      <c r="EN29">
        <v>48.125</v>
      </c>
      <c r="EO29">
        <v>49.625</v>
      </c>
      <c r="EP29">
        <v>49.061999999999998</v>
      </c>
      <c r="EQ29">
        <v>48.061999999999998</v>
      </c>
      <c r="ER29">
        <v>49</v>
      </c>
      <c r="ES29">
        <v>1755.42</v>
      </c>
      <c r="ET29">
        <v>39.479999999999997</v>
      </c>
      <c r="EU29">
        <v>0</v>
      </c>
      <c r="EV29">
        <v>121.4000000953674</v>
      </c>
      <c r="EW29">
        <v>0</v>
      </c>
      <c r="EX29">
        <v>819.35630769230784</v>
      </c>
      <c r="EY29">
        <v>0.95897435917852225</v>
      </c>
      <c r="EZ29">
        <v>27.70598297447204</v>
      </c>
      <c r="FA29">
        <v>15450.223076923079</v>
      </c>
      <c r="FB29">
        <v>15</v>
      </c>
      <c r="FC29">
        <v>1674575573.5</v>
      </c>
      <c r="FD29" t="s">
        <v>484</v>
      </c>
      <c r="FE29">
        <v>1674575570</v>
      </c>
      <c r="FF29">
        <v>1674575573.5</v>
      </c>
      <c r="FG29">
        <v>14</v>
      </c>
      <c r="FH29">
        <v>0.17299999999999999</v>
      </c>
      <c r="FI29">
        <v>-2E-3</v>
      </c>
      <c r="FJ29">
        <v>5.0430000000000001</v>
      </c>
      <c r="FK29">
        <v>0.111</v>
      </c>
      <c r="FL29">
        <v>1200</v>
      </c>
      <c r="FM29">
        <v>19</v>
      </c>
      <c r="FN29">
        <v>0.06</v>
      </c>
      <c r="FO29">
        <v>0.02</v>
      </c>
      <c r="FP29">
        <v>50.803264250399543</v>
      </c>
      <c r="FQ29">
        <v>-0.4904872699913837</v>
      </c>
      <c r="FR29">
        <v>0.14872105253172169</v>
      </c>
      <c r="FS29">
        <v>1</v>
      </c>
      <c r="FT29">
        <v>0.39303078554678389</v>
      </c>
      <c r="FU29">
        <v>-1.6067800016742771E-2</v>
      </c>
      <c r="FV29">
        <v>4.0687905283345628E-3</v>
      </c>
      <c r="FW29">
        <v>1</v>
      </c>
      <c r="FX29">
        <v>2</v>
      </c>
      <c r="FY29">
        <v>2</v>
      </c>
      <c r="FZ29" t="s">
        <v>420</v>
      </c>
      <c r="GA29">
        <v>2.9336600000000002</v>
      </c>
      <c r="GB29">
        <v>2.8335599999999999</v>
      </c>
      <c r="GC29">
        <v>0.18502199999999999</v>
      </c>
      <c r="GD29">
        <v>0.188939</v>
      </c>
      <c r="GE29">
        <v>0.121952</v>
      </c>
      <c r="GF29">
        <v>9.8981E-2</v>
      </c>
      <c r="GG29">
        <v>21027.8</v>
      </c>
      <c r="GH29">
        <v>26526.400000000001</v>
      </c>
      <c r="GI29">
        <v>23214.2</v>
      </c>
      <c r="GJ29">
        <v>29964.5</v>
      </c>
      <c r="GK29">
        <v>27715.7</v>
      </c>
      <c r="GL29">
        <v>38381.699999999997</v>
      </c>
      <c r="GM29">
        <v>32745.8</v>
      </c>
      <c r="GN29">
        <v>44442.2</v>
      </c>
      <c r="GO29">
        <v>1.9459200000000001</v>
      </c>
      <c r="GP29">
        <v>1.871</v>
      </c>
      <c r="GQ29">
        <v>6.2901499999999999E-2</v>
      </c>
      <c r="GR29">
        <v>0</v>
      </c>
      <c r="GS29">
        <v>26.675599999999999</v>
      </c>
      <c r="GT29">
        <v>999.9</v>
      </c>
      <c r="GU29">
        <v>56.4</v>
      </c>
      <c r="GV29">
        <v>32</v>
      </c>
      <c r="GW29">
        <v>27.020199999999999</v>
      </c>
      <c r="GX29">
        <v>61.293799999999997</v>
      </c>
      <c r="GY29">
        <v>36.999200000000002</v>
      </c>
      <c r="GZ29">
        <v>1</v>
      </c>
      <c r="HA29">
        <v>0.32744899999999999</v>
      </c>
      <c r="HB29">
        <v>2.0142500000000001</v>
      </c>
      <c r="HC29">
        <v>20.260000000000002</v>
      </c>
      <c r="HD29">
        <v>5.2090500000000004</v>
      </c>
      <c r="HE29">
        <v>11.872199999999999</v>
      </c>
      <c r="HF29">
        <v>4.98515</v>
      </c>
      <c r="HG29">
        <v>3.2839999999999998</v>
      </c>
      <c r="HH29">
        <v>9999</v>
      </c>
      <c r="HI29">
        <v>9999</v>
      </c>
      <c r="HJ29">
        <v>9999</v>
      </c>
      <c r="HK29">
        <v>999.9</v>
      </c>
      <c r="HL29">
        <v>1.8547400000000001</v>
      </c>
      <c r="HM29">
        <v>1.8608100000000001</v>
      </c>
      <c r="HN29">
        <v>1.85823</v>
      </c>
      <c r="HO29">
        <v>1.85944</v>
      </c>
      <c r="HP29">
        <v>1.85883</v>
      </c>
      <c r="HQ29">
        <v>1.8592900000000001</v>
      </c>
      <c r="HR29">
        <v>1.8576999999999999</v>
      </c>
      <c r="HS29">
        <v>1.8610800000000001</v>
      </c>
      <c r="HT29">
        <v>5</v>
      </c>
      <c r="HU29">
        <v>0</v>
      </c>
      <c r="HV29">
        <v>0</v>
      </c>
      <c r="HW29">
        <v>0</v>
      </c>
      <c r="HX29" t="s">
        <v>421</v>
      </c>
      <c r="HY29" t="s">
        <v>422</v>
      </c>
      <c r="HZ29" t="s">
        <v>423</v>
      </c>
      <c r="IA29" t="s">
        <v>423</v>
      </c>
      <c r="IB29" t="s">
        <v>423</v>
      </c>
      <c r="IC29" t="s">
        <v>423</v>
      </c>
      <c r="ID29">
        <v>0</v>
      </c>
      <c r="IE29">
        <v>100</v>
      </c>
      <c r="IF29">
        <v>100</v>
      </c>
      <c r="IG29">
        <v>4.9800000000000004</v>
      </c>
      <c r="IH29">
        <v>0.1411</v>
      </c>
      <c r="II29">
        <v>3.3147883305276471</v>
      </c>
      <c r="IJ29">
        <v>1.6187016317407189E-3</v>
      </c>
      <c r="IK29">
        <v>1.4341569744255341E-7</v>
      </c>
      <c r="IL29">
        <v>-2.4096625942085749E-10</v>
      </c>
      <c r="IM29">
        <v>0.14109446396508599</v>
      </c>
      <c r="IN29">
        <v>0</v>
      </c>
      <c r="IO29">
        <v>0</v>
      </c>
      <c r="IP29">
        <v>0</v>
      </c>
      <c r="IQ29">
        <v>4</v>
      </c>
      <c r="IR29">
        <v>2205</v>
      </c>
      <c r="IS29">
        <v>1</v>
      </c>
      <c r="IT29">
        <v>21</v>
      </c>
      <c r="IU29">
        <v>0.6</v>
      </c>
      <c r="IV29">
        <v>0.6</v>
      </c>
      <c r="IW29">
        <v>2.4279799999999998</v>
      </c>
      <c r="IX29">
        <v>2.4169900000000002</v>
      </c>
      <c r="IY29">
        <v>1.49414</v>
      </c>
      <c r="IZ29">
        <v>2.3107899999999999</v>
      </c>
      <c r="JA29">
        <v>1.69434</v>
      </c>
      <c r="JB29">
        <v>2.3327599999999999</v>
      </c>
      <c r="JC29">
        <v>38.232399999999998</v>
      </c>
      <c r="JD29">
        <v>23.780999999999999</v>
      </c>
      <c r="JE29">
        <v>18</v>
      </c>
      <c r="JF29">
        <v>494.22699999999998</v>
      </c>
      <c r="JG29">
        <v>470.06</v>
      </c>
      <c r="JH29">
        <v>24.6372</v>
      </c>
      <c r="JI29">
        <v>31.420100000000001</v>
      </c>
      <c r="JJ29">
        <v>29.9999</v>
      </c>
      <c r="JK29">
        <v>31.3065</v>
      </c>
      <c r="JL29">
        <v>31.2684</v>
      </c>
      <c r="JM29">
        <v>48.6479</v>
      </c>
      <c r="JN29">
        <v>36.039400000000001</v>
      </c>
      <c r="JO29">
        <v>0</v>
      </c>
      <c r="JP29">
        <v>24.667999999999999</v>
      </c>
      <c r="JQ29">
        <v>1200</v>
      </c>
      <c r="JR29">
        <v>19.311900000000001</v>
      </c>
      <c r="JS29">
        <v>98.669499999999999</v>
      </c>
      <c r="JT29">
        <v>99.8185</v>
      </c>
    </row>
    <row r="30" spans="1:280" x14ac:dyDescent="0.25">
      <c r="A30">
        <v>14</v>
      </c>
      <c r="B30">
        <v>1674575708.5</v>
      </c>
      <c r="C30">
        <v>1655.900000095367</v>
      </c>
      <c r="D30" t="s">
        <v>485</v>
      </c>
      <c r="E30" t="s">
        <v>486</v>
      </c>
      <c r="F30" t="s">
        <v>412</v>
      </c>
      <c r="G30" t="s">
        <v>413</v>
      </c>
      <c r="H30" t="s">
        <v>414</v>
      </c>
      <c r="I30">
        <v>1674575708.5</v>
      </c>
      <c r="J30">
        <f t="shared" si="0"/>
        <v>4.5425943663590347E-3</v>
      </c>
      <c r="K30">
        <f t="shared" si="1"/>
        <v>4.5425943663590349</v>
      </c>
      <c r="L30">
        <f t="shared" si="2"/>
        <v>50.197374267214194</v>
      </c>
      <c r="M30">
        <f t="shared" si="3"/>
        <v>1432.09</v>
      </c>
      <c r="N30">
        <f t="shared" si="4"/>
        <v>1175.4711207095547</v>
      </c>
      <c r="O30">
        <f t="shared" si="5"/>
        <v>117.26739249628116</v>
      </c>
      <c r="P30">
        <f t="shared" si="6"/>
        <v>142.868214421658</v>
      </c>
      <c r="Q30">
        <f t="shared" si="7"/>
        <v>0.3709120855973328</v>
      </c>
      <c r="R30">
        <f t="shared" si="8"/>
        <v>2.9251569367640959</v>
      </c>
      <c r="S30">
        <f t="shared" si="9"/>
        <v>0.34662444328494602</v>
      </c>
      <c r="T30">
        <f t="shared" si="10"/>
        <v>0.21868975755339015</v>
      </c>
      <c r="U30">
        <f t="shared" si="11"/>
        <v>344.3403012634659</v>
      </c>
      <c r="V30">
        <f t="shared" si="12"/>
        <v>28.853962733130121</v>
      </c>
      <c r="W30">
        <f t="shared" si="13"/>
        <v>27.744499999999999</v>
      </c>
      <c r="X30">
        <f t="shared" si="14"/>
        <v>3.7386823253700054</v>
      </c>
      <c r="Y30">
        <f t="shared" si="15"/>
        <v>65.12482775734378</v>
      </c>
      <c r="Z30">
        <f t="shared" si="16"/>
        <v>2.4719735663889399</v>
      </c>
      <c r="AA30">
        <f t="shared" si="17"/>
        <v>3.7957468012039208</v>
      </c>
      <c r="AB30">
        <f t="shared" si="18"/>
        <v>1.2667087589810655</v>
      </c>
      <c r="AC30">
        <f t="shared" si="19"/>
        <v>-200.32841155643342</v>
      </c>
      <c r="AD30">
        <f t="shared" si="20"/>
        <v>40.939195377145211</v>
      </c>
      <c r="AE30">
        <f t="shared" si="21"/>
        <v>3.0468894620147964</v>
      </c>
      <c r="AF30">
        <f t="shared" si="22"/>
        <v>187.99797454619249</v>
      </c>
      <c r="AG30">
        <v>0</v>
      </c>
      <c r="AH30">
        <v>0</v>
      </c>
      <c r="AI30">
        <f t="shared" si="23"/>
        <v>1</v>
      </c>
      <c r="AJ30">
        <f t="shared" si="24"/>
        <v>0</v>
      </c>
      <c r="AK30">
        <f t="shared" si="25"/>
        <v>52567.03109938564</v>
      </c>
      <c r="AL30" t="s">
        <v>415</v>
      </c>
      <c r="AM30">
        <v>10214.9</v>
      </c>
      <c r="AN30">
        <v>729.4384</v>
      </c>
      <c r="AO30">
        <v>3170.19</v>
      </c>
      <c r="AP30">
        <f t="shared" si="26"/>
        <v>0.76990704027203416</v>
      </c>
      <c r="AQ30">
        <v>-0.45549566560547827</v>
      </c>
      <c r="AR30" t="s">
        <v>487</v>
      </c>
      <c r="AS30">
        <v>10086</v>
      </c>
      <c r="AT30">
        <v>818.66623999999979</v>
      </c>
      <c r="AU30">
        <v>1194.0203076507139</v>
      </c>
      <c r="AV30">
        <f t="shared" si="27"/>
        <v>0.31436154414261119</v>
      </c>
      <c r="AW30">
        <v>0.5</v>
      </c>
      <c r="AX30">
        <f t="shared" si="28"/>
        <v>1513.0584006317329</v>
      </c>
      <c r="AY30">
        <f t="shared" si="29"/>
        <v>50.197374267214194</v>
      </c>
      <c r="AZ30">
        <f t="shared" si="30"/>
        <v>237.8236876002706</v>
      </c>
      <c r="BA30">
        <f t="shared" si="31"/>
        <v>3.3477141339469156E-2</v>
      </c>
      <c r="BB30">
        <f t="shared" si="32"/>
        <v>1.6550553451117467</v>
      </c>
      <c r="BC30">
        <f t="shared" si="33"/>
        <v>528.26596164111152</v>
      </c>
      <c r="BD30" t="s">
        <v>488</v>
      </c>
      <c r="BE30">
        <v>611.91999999999996</v>
      </c>
      <c r="BF30">
        <f t="shared" si="34"/>
        <v>611.91999999999996</v>
      </c>
      <c r="BG30">
        <f t="shared" si="35"/>
        <v>0.48751290402758829</v>
      </c>
      <c r="BH30">
        <f t="shared" si="36"/>
        <v>0.64482712466790726</v>
      </c>
      <c r="BI30">
        <f t="shared" si="37"/>
        <v>0.77246330228994053</v>
      </c>
      <c r="BJ30">
        <f t="shared" si="38"/>
        <v>0.80793948595371512</v>
      </c>
      <c r="BK30">
        <f t="shared" si="39"/>
        <v>0.80965621095947904</v>
      </c>
      <c r="BL30">
        <f t="shared" si="40"/>
        <v>0.48198227170914715</v>
      </c>
      <c r="BM30">
        <f t="shared" si="41"/>
        <v>0.51801772829085291</v>
      </c>
      <c r="BN30">
        <v>9084</v>
      </c>
      <c r="BO30">
        <v>290.00000000000011</v>
      </c>
      <c r="BP30">
        <v>1094.42</v>
      </c>
      <c r="BQ30">
        <v>115</v>
      </c>
      <c r="BR30">
        <v>10086</v>
      </c>
      <c r="BS30">
        <v>1092.1300000000001</v>
      </c>
      <c r="BT30">
        <v>2.29</v>
      </c>
      <c r="BU30">
        <v>300.00000000000011</v>
      </c>
      <c r="BV30">
        <v>24.2</v>
      </c>
      <c r="BW30">
        <v>1194.0203076507139</v>
      </c>
      <c r="BX30">
        <v>1.9923425996719519</v>
      </c>
      <c r="BY30">
        <v>-102.7697165404264</v>
      </c>
      <c r="BZ30">
        <v>1.7857049399066161</v>
      </c>
      <c r="CA30">
        <v>0.99161716056010152</v>
      </c>
      <c r="CB30">
        <v>-6.8787328142380479E-3</v>
      </c>
      <c r="CC30">
        <v>289.99999999999989</v>
      </c>
      <c r="CD30">
        <v>1087.78</v>
      </c>
      <c r="CE30">
        <v>715</v>
      </c>
      <c r="CF30">
        <v>10044.299999999999</v>
      </c>
      <c r="CG30">
        <v>1091.7</v>
      </c>
      <c r="CH30">
        <v>-3.92</v>
      </c>
      <c r="CV30">
        <f t="shared" si="42"/>
        <v>1799.85</v>
      </c>
      <c r="CW30">
        <f t="shared" si="43"/>
        <v>1513.0584006317329</v>
      </c>
      <c r="CX30">
        <f t="shared" si="44"/>
        <v>0.84065805518889514</v>
      </c>
      <c r="CY30">
        <f t="shared" si="45"/>
        <v>0.19131611037779034</v>
      </c>
      <c r="CZ30">
        <v>6</v>
      </c>
      <c r="DA30">
        <v>0.5</v>
      </c>
      <c r="DB30" t="s">
        <v>418</v>
      </c>
      <c r="DC30">
        <v>2</v>
      </c>
      <c r="DD30">
        <v>1674575708.5</v>
      </c>
      <c r="DE30">
        <v>1432.09</v>
      </c>
      <c r="DF30">
        <v>1500.12</v>
      </c>
      <c r="DG30">
        <v>24.778700000000001</v>
      </c>
      <c r="DH30">
        <v>19.463699999999999</v>
      </c>
      <c r="DI30">
        <v>1426.85</v>
      </c>
      <c r="DJ30">
        <v>24.638000000000002</v>
      </c>
      <c r="DK30">
        <v>500.09800000000001</v>
      </c>
      <c r="DL30">
        <v>99.662099999999995</v>
      </c>
      <c r="DM30">
        <v>9.9936200000000003E-2</v>
      </c>
      <c r="DN30">
        <v>28.004100000000001</v>
      </c>
      <c r="DO30">
        <v>27.744499999999999</v>
      </c>
      <c r="DP30">
        <v>999.9</v>
      </c>
      <c r="DQ30">
        <v>0</v>
      </c>
      <c r="DR30">
        <v>0</v>
      </c>
      <c r="DS30">
        <v>10008.799999999999</v>
      </c>
      <c r="DT30">
        <v>0</v>
      </c>
      <c r="DU30">
        <v>368.88499999999999</v>
      </c>
      <c r="DV30">
        <v>-68.028400000000005</v>
      </c>
      <c r="DW30">
        <v>1468.48</v>
      </c>
      <c r="DX30">
        <v>1529.9</v>
      </c>
      <c r="DY30">
        <v>5.3150000000000004</v>
      </c>
      <c r="DZ30">
        <v>1500.12</v>
      </c>
      <c r="EA30">
        <v>19.463699999999999</v>
      </c>
      <c r="EB30">
        <v>2.4695</v>
      </c>
      <c r="EC30">
        <v>1.9397899999999999</v>
      </c>
      <c r="ED30">
        <v>20.826799999999999</v>
      </c>
      <c r="EE30">
        <v>16.961300000000001</v>
      </c>
      <c r="EF30">
        <v>1799.85</v>
      </c>
      <c r="EG30">
        <v>0.97800200000000004</v>
      </c>
      <c r="EH30">
        <v>2.1997800000000001E-2</v>
      </c>
      <c r="EI30">
        <v>0</v>
      </c>
      <c r="EJ30">
        <v>818.81399999999996</v>
      </c>
      <c r="EK30">
        <v>4.9990399999999999</v>
      </c>
      <c r="EL30">
        <v>15427.4</v>
      </c>
      <c r="EM30">
        <v>14819.5</v>
      </c>
      <c r="EN30">
        <v>48.186999999999998</v>
      </c>
      <c r="EO30">
        <v>49.686999999999998</v>
      </c>
      <c r="EP30">
        <v>49.125</v>
      </c>
      <c r="EQ30">
        <v>48.061999999999998</v>
      </c>
      <c r="ER30">
        <v>49.061999999999998</v>
      </c>
      <c r="ES30">
        <v>1755.37</v>
      </c>
      <c r="ET30">
        <v>39.479999999999997</v>
      </c>
      <c r="EU30">
        <v>0</v>
      </c>
      <c r="EV30">
        <v>99.200000047683716</v>
      </c>
      <c r="EW30">
        <v>0</v>
      </c>
      <c r="EX30">
        <v>818.66623999999979</v>
      </c>
      <c r="EY30">
        <v>1.5536922967846301</v>
      </c>
      <c r="EZ30">
        <v>-3.8769229605747921</v>
      </c>
      <c r="FA30">
        <v>15427.788</v>
      </c>
      <c r="FB30">
        <v>15</v>
      </c>
      <c r="FC30">
        <v>1674575675</v>
      </c>
      <c r="FD30" t="s">
        <v>489</v>
      </c>
      <c r="FE30">
        <v>1674575670.5</v>
      </c>
      <c r="FF30">
        <v>1674575675</v>
      </c>
      <c r="FG30">
        <v>15</v>
      </c>
      <c r="FH30">
        <v>2.5999999999999999E-2</v>
      </c>
      <c r="FI30">
        <v>0</v>
      </c>
      <c r="FJ30">
        <v>5.2759999999999998</v>
      </c>
      <c r="FK30">
        <v>0.114</v>
      </c>
      <c r="FL30">
        <v>1500</v>
      </c>
      <c r="FM30">
        <v>19</v>
      </c>
      <c r="FN30">
        <v>0.04</v>
      </c>
      <c r="FO30">
        <v>0.02</v>
      </c>
      <c r="FP30">
        <v>50.166321601281567</v>
      </c>
      <c r="FQ30">
        <v>-0.4093412898019001</v>
      </c>
      <c r="FR30">
        <v>0.15366982181985281</v>
      </c>
      <c r="FS30">
        <v>1</v>
      </c>
      <c r="FT30">
        <v>0.37111376368966342</v>
      </c>
      <c r="FU30">
        <v>1.4022459942765551E-2</v>
      </c>
      <c r="FV30">
        <v>3.4581100446845112E-3</v>
      </c>
      <c r="FW30">
        <v>1</v>
      </c>
      <c r="FX30">
        <v>2</v>
      </c>
      <c r="FY30">
        <v>2</v>
      </c>
      <c r="FZ30" t="s">
        <v>420</v>
      </c>
      <c r="GA30">
        <v>2.9335599999999999</v>
      </c>
      <c r="GB30">
        <v>2.8334800000000002</v>
      </c>
      <c r="GC30">
        <v>0.21352199999999999</v>
      </c>
      <c r="GD30">
        <v>0.21628800000000001</v>
      </c>
      <c r="GE30">
        <v>0.121972</v>
      </c>
      <c r="GF30">
        <v>9.9630899999999994E-2</v>
      </c>
      <c r="GG30">
        <v>20290.2</v>
      </c>
      <c r="GH30">
        <v>25628.6</v>
      </c>
      <c r="GI30">
        <v>23212.6</v>
      </c>
      <c r="GJ30">
        <v>29962</v>
      </c>
      <c r="GK30">
        <v>27714.2</v>
      </c>
      <c r="GL30">
        <v>38352</v>
      </c>
      <c r="GM30">
        <v>32744</v>
      </c>
      <c r="GN30">
        <v>44439.6</v>
      </c>
      <c r="GO30">
        <v>1.9451000000000001</v>
      </c>
      <c r="GP30">
        <v>1.86975</v>
      </c>
      <c r="GQ30">
        <v>6.6142500000000007E-2</v>
      </c>
      <c r="GR30">
        <v>0</v>
      </c>
      <c r="GS30">
        <v>26.6632</v>
      </c>
      <c r="GT30">
        <v>999.9</v>
      </c>
      <c r="GU30">
        <v>56.1</v>
      </c>
      <c r="GV30">
        <v>32.200000000000003</v>
      </c>
      <c r="GW30">
        <v>27.186199999999999</v>
      </c>
      <c r="GX30">
        <v>61.723799999999997</v>
      </c>
      <c r="GY30">
        <v>36.718800000000002</v>
      </c>
      <c r="GZ30">
        <v>1</v>
      </c>
      <c r="HA30">
        <v>0.33259699999999998</v>
      </c>
      <c r="HB30">
        <v>2.20973</v>
      </c>
      <c r="HC30">
        <v>20.257200000000001</v>
      </c>
      <c r="HD30">
        <v>5.2102500000000003</v>
      </c>
      <c r="HE30">
        <v>11.872199999999999</v>
      </c>
      <c r="HF30">
        <v>4.9849500000000004</v>
      </c>
      <c r="HG30">
        <v>3.2839999999999998</v>
      </c>
      <c r="HH30">
        <v>9999</v>
      </c>
      <c r="HI30">
        <v>9999</v>
      </c>
      <c r="HJ30">
        <v>9999</v>
      </c>
      <c r="HK30">
        <v>999.9</v>
      </c>
      <c r="HL30">
        <v>1.8547100000000001</v>
      </c>
      <c r="HM30">
        <v>1.8608100000000001</v>
      </c>
      <c r="HN30">
        <v>1.85822</v>
      </c>
      <c r="HO30">
        <v>1.8594299999999999</v>
      </c>
      <c r="HP30">
        <v>1.8588100000000001</v>
      </c>
      <c r="HQ30">
        <v>1.85928</v>
      </c>
      <c r="HR30">
        <v>1.8576699999999999</v>
      </c>
      <c r="HS30">
        <v>1.8609899999999999</v>
      </c>
      <c r="HT30">
        <v>5</v>
      </c>
      <c r="HU30">
        <v>0</v>
      </c>
      <c r="HV30">
        <v>0</v>
      </c>
      <c r="HW30">
        <v>0</v>
      </c>
      <c r="HX30" t="s">
        <v>421</v>
      </c>
      <c r="HY30" t="s">
        <v>422</v>
      </c>
      <c r="HZ30" t="s">
        <v>423</v>
      </c>
      <c r="IA30" t="s">
        <v>423</v>
      </c>
      <c r="IB30" t="s">
        <v>423</v>
      </c>
      <c r="IC30" t="s">
        <v>423</v>
      </c>
      <c r="ID30">
        <v>0</v>
      </c>
      <c r="IE30">
        <v>100</v>
      </c>
      <c r="IF30">
        <v>100</v>
      </c>
      <c r="IG30">
        <v>5.24</v>
      </c>
      <c r="IH30">
        <v>0.14069999999999999</v>
      </c>
      <c r="II30">
        <v>3.3407888188234738</v>
      </c>
      <c r="IJ30">
        <v>1.6187016317407189E-3</v>
      </c>
      <c r="IK30">
        <v>1.4341569744255341E-7</v>
      </c>
      <c r="IL30">
        <v>-2.4096625942085749E-10</v>
      </c>
      <c r="IM30">
        <v>0.1406644540258695</v>
      </c>
      <c r="IN30">
        <v>0</v>
      </c>
      <c r="IO30">
        <v>0</v>
      </c>
      <c r="IP30">
        <v>0</v>
      </c>
      <c r="IQ30">
        <v>4</v>
      </c>
      <c r="IR30">
        <v>2205</v>
      </c>
      <c r="IS30">
        <v>1</v>
      </c>
      <c r="IT30">
        <v>21</v>
      </c>
      <c r="IU30">
        <v>0.6</v>
      </c>
      <c r="IV30">
        <v>0.6</v>
      </c>
      <c r="IW30">
        <v>2.9162599999999999</v>
      </c>
      <c r="IX30">
        <v>2.4206500000000002</v>
      </c>
      <c r="IY30">
        <v>1.49414</v>
      </c>
      <c r="IZ30">
        <v>2.3107899999999999</v>
      </c>
      <c r="JA30">
        <v>1.69434</v>
      </c>
      <c r="JB30">
        <v>2.36206</v>
      </c>
      <c r="JC30">
        <v>38.427900000000001</v>
      </c>
      <c r="JD30">
        <v>23.780999999999999</v>
      </c>
      <c r="JE30">
        <v>18</v>
      </c>
      <c r="JF30">
        <v>494.16</v>
      </c>
      <c r="JG30">
        <v>469.64699999999999</v>
      </c>
      <c r="JH30">
        <v>24.688400000000001</v>
      </c>
      <c r="JI30">
        <v>31.479900000000001</v>
      </c>
      <c r="JJ30">
        <v>30.0002</v>
      </c>
      <c r="JK30">
        <v>31.3626</v>
      </c>
      <c r="JL30">
        <v>31.3245</v>
      </c>
      <c r="JM30">
        <v>58.417099999999998</v>
      </c>
      <c r="JN30">
        <v>35.671300000000002</v>
      </c>
      <c r="JO30">
        <v>0</v>
      </c>
      <c r="JP30">
        <v>24.682600000000001</v>
      </c>
      <c r="JQ30">
        <v>1500</v>
      </c>
      <c r="JR30">
        <v>19.518999999999998</v>
      </c>
      <c r="JS30">
        <v>98.663499999999999</v>
      </c>
      <c r="JT30">
        <v>99.811700000000002</v>
      </c>
    </row>
    <row r="31" spans="1:280" x14ac:dyDescent="0.25">
      <c r="A31">
        <v>15</v>
      </c>
      <c r="B31">
        <v>1674577756.0999999</v>
      </c>
      <c r="C31">
        <v>3703.5</v>
      </c>
      <c r="D31" t="s">
        <v>490</v>
      </c>
      <c r="E31" t="s">
        <v>491</v>
      </c>
      <c r="F31" t="s">
        <v>412</v>
      </c>
      <c r="G31" t="s">
        <v>492</v>
      </c>
      <c r="H31" t="s">
        <v>493</v>
      </c>
      <c r="I31">
        <v>1674577756.0999999</v>
      </c>
      <c r="J31">
        <f t="shared" si="0"/>
        <v>4.8751347042679492E-3</v>
      </c>
      <c r="K31">
        <f t="shared" si="1"/>
        <v>4.8751347042679489</v>
      </c>
      <c r="L31">
        <f t="shared" si="2"/>
        <v>49.586257768194379</v>
      </c>
      <c r="M31">
        <f t="shared" si="3"/>
        <v>338.50799999999998</v>
      </c>
      <c r="N31">
        <f t="shared" si="4"/>
        <v>125.73668017434512</v>
      </c>
      <c r="O31">
        <f t="shared" si="5"/>
        <v>12.541203309560219</v>
      </c>
      <c r="P31">
        <f t="shared" si="6"/>
        <v>33.763398588431997</v>
      </c>
      <c r="Q31">
        <f t="shared" si="7"/>
        <v>0.40651480990374494</v>
      </c>
      <c r="R31">
        <f t="shared" si="8"/>
        <v>2.9205199940328597</v>
      </c>
      <c r="S31">
        <f t="shared" si="9"/>
        <v>0.3774935878967518</v>
      </c>
      <c r="T31">
        <f t="shared" si="10"/>
        <v>0.23836805395364163</v>
      </c>
      <c r="U31">
        <f t="shared" si="11"/>
        <v>344.38520126394451</v>
      </c>
      <c r="V31">
        <f t="shared" si="12"/>
        <v>28.75901775643764</v>
      </c>
      <c r="W31">
        <f t="shared" si="13"/>
        <v>27.687100000000001</v>
      </c>
      <c r="X31">
        <f t="shared" si="14"/>
        <v>3.726166377877282</v>
      </c>
      <c r="Y31">
        <f t="shared" si="15"/>
        <v>65.323936198855151</v>
      </c>
      <c r="Z31">
        <f t="shared" si="16"/>
        <v>2.4781150429212002</v>
      </c>
      <c r="AA31">
        <f t="shared" si="17"/>
        <v>3.7935788734124554</v>
      </c>
      <c r="AB31">
        <f t="shared" si="18"/>
        <v>1.2480513349560818</v>
      </c>
      <c r="AC31">
        <f t="shared" si="19"/>
        <v>-214.99344045821655</v>
      </c>
      <c r="AD31">
        <f t="shared" si="20"/>
        <v>48.36896990770132</v>
      </c>
      <c r="AE31">
        <f t="shared" si="21"/>
        <v>3.6043565636169146</v>
      </c>
      <c r="AF31">
        <f t="shared" si="22"/>
        <v>181.3650872770462</v>
      </c>
      <c r="AG31">
        <v>0</v>
      </c>
      <c r="AH31">
        <v>0</v>
      </c>
      <c r="AI31">
        <f t="shared" si="23"/>
        <v>1</v>
      </c>
      <c r="AJ31">
        <f t="shared" si="24"/>
        <v>0</v>
      </c>
      <c r="AK31">
        <f t="shared" si="25"/>
        <v>52435.025690587296</v>
      </c>
      <c r="AL31" t="s">
        <v>415</v>
      </c>
      <c r="AM31">
        <v>10214.9</v>
      </c>
      <c r="AN31">
        <v>729.4384</v>
      </c>
      <c r="AO31">
        <v>3170.19</v>
      </c>
      <c r="AP31">
        <f t="shared" si="26"/>
        <v>0.76990704027203416</v>
      </c>
      <c r="AQ31">
        <v>-0.45549566560547827</v>
      </c>
      <c r="AR31" t="s">
        <v>494</v>
      </c>
      <c r="AS31">
        <v>10081.299999999999</v>
      </c>
      <c r="AT31">
        <v>820.68636000000004</v>
      </c>
      <c r="AU31">
        <v>1182.2048294143451</v>
      </c>
      <c r="AV31">
        <f t="shared" si="27"/>
        <v>0.30580019673362224</v>
      </c>
      <c r="AW31">
        <v>0.5</v>
      </c>
      <c r="AX31">
        <f t="shared" si="28"/>
        <v>1513.2522006319721</v>
      </c>
      <c r="AY31">
        <f t="shared" si="29"/>
        <v>49.586257768194379</v>
      </c>
      <c r="AZ31">
        <f t="shared" si="30"/>
        <v>231.37641033042192</v>
      </c>
      <c r="BA31">
        <f t="shared" si="31"/>
        <v>3.30690108449214E-2</v>
      </c>
      <c r="BB31">
        <f t="shared" si="32"/>
        <v>1.6815911431951154</v>
      </c>
      <c r="BC31">
        <f t="shared" si="33"/>
        <v>525.94035645760835</v>
      </c>
      <c r="BD31" t="s">
        <v>495</v>
      </c>
      <c r="BE31">
        <v>586.30999999999995</v>
      </c>
      <c r="BF31">
        <f t="shared" si="34"/>
        <v>586.30999999999995</v>
      </c>
      <c r="BG31">
        <f t="shared" si="35"/>
        <v>0.50405379388404858</v>
      </c>
      <c r="BH31">
        <f t="shared" si="36"/>
        <v>0.60668166859184047</v>
      </c>
      <c r="BI31">
        <f t="shared" si="37"/>
        <v>0.76937983597754345</v>
      </c>
      <c r="BJ31">
        <f t="shared" si="38"/>
        <v>0.79846571196095617</v>
      </c>
      <c r="BK31">
        <f t="shared" si="39"/>
        <v>0.81449712891129722</v>
      </c>
      <c r="BL31">
        <f t="shared" si="40"/>
        <v>0.43342200680913223</v>
      </c>
      <c r="BM31">
        <f t="shared" si="41"/>
        <v>0.56657799319086777</v>
      </c>
      <c r="BN31">
        <v>9086</v>
      </c>
      <c r="BO31">
        <v>290.00000000000011</v>
      </c>
      <c r="BP31">
        <v>1091.05</v>
      </c>
      <c r="BQ31">
        <v>225</v>
      </c>
      <c r="BR31">
        <v>10081.299999999999</v>
      </c>
      <c r="BS31">
        <v>1091.8900000000001</v>
      </c>
      <c r="BT31">
        <v>-0.84</v>
      </c>
      <c r="BU31">
        <v>300.00000000000011</v>
      </c>
      <c r="BV31">
        <v>24.2</v>
      </c>
      <c r="BW31">
        <v>1182.2048294143451</v>
      </c>
      <c r="BX31">
        <v>2.446602458695347</v>
      </c>
      <c r="BY31">
        <v>-91.047892881659109</v>
      </c>
      <c r="BZ31">
        <v>2.195345128074218</v>
      </c>
      <c r="CA31">
        <v>0.98398190175296529</v>
      </c>
      <c r="CB31">
        <v>-6.8864048943270313E-3</v>
      </c>
      <c r="CC31">
        <v>289.99999999999989</v>
      </c>
      <c r="CD31">
        <v>1092.53</v>
      </c>
      <c r="CE31">
        <v>715</v>
      </c>
      <c r="CF31">
        <v>10055.6</v>
      </c>
      <c r="CG31">
        <v>1091.6600000000001</v>
      </c>
      <c r="CH31">
        <v>0.87</v>
      </c>
      <c r="CV31">
        <f t="shared" si="42"/>
        <v>1800.08</v>
      </c>
      <c r="CW31">
        <f t="shared" si="43"/>
        <v>1513.2522006319721</v>
      </c>
      <c r="CX31">
        <f t="shared" si="44"/>
        <v>0.84065830442645439</v>
      </c>
      <c r="CY31">
        <f t="shared" si="45"/>
        <v>0.19131660885290905</v>
      </c>
      <c r="CZ31">
        <v>6</v>
      </c>
      <c r="DA31">
        <v>0.5</v>
      </c>
      <c r="DB31" t="s">
        <v>418</v>
      </c>
      <c r="DC31">
        <v>2</v>
      </c>
      <c r="DD31">
        <v>1674577756.0999999</v>
      </c>
      <c r="DE31">
        <v>338.50799999999998</v>
      </c>
      <c r="DF31">
        <v>399.98200000000003</v>
      </c>
      <c r="DG31">
        <v>24.845300000000002</v>
      </c>
      <c r="DH31">
        <v>19.141400000000001</v>
      </c>
      <c r="DI31">
        <v>336.16500000000002</v>
      </c>
      <c r="DJ31">
        <v>24.699400000000001</v>
      </c>
      <c r="DK31">
        <v>500.08</v>
      </c>
      <c r="DL31">
        <v>99.641800000000003</v>
      </c>
      <c r="DM31">
        <v>0.100004</v>
      </c>
      <c r="DN31">
        <v>27.994299999999999</v>
      </c>
      <c r="DO31">
        <v>27.687100000000001</v>
      </c>
      <c r="DP31">
        <v>999.9</v>
      </c>
      <c r="DQ31">
        <v>0</v>
      </c>
      <c r="DR31">
        <v>0</v>
      </c>
      <c r="DS31">
        <v>9984.3799999999992</v>
      </c>
      <c r="DT31">
        <v>0</v>
      </c>
      <c r="DU31">
        <v>348.48</v>
      </c>
      <c r="DV31">
        <v>-61.473999999999997</v>
      </c>
      <c r="DW31">
        <v>347.13299999999998</v>
      </c>
      <c r="DX31">
        <v>407.78800000000001</v>
      </c>
      <c r="DY31">
        <v>5.7039499999999999</v>
      </c>
      <c r="DZ31">
        <v>399.98200000000003</v>
      </c>
      <c r="EA31">
        <v>19.141400000000001</v>
      </c>
      <c r="EB31">
        <v>2.4756300000000002</v>
      </c>
      <c r="EC31">
        <v>1.9072800000000001</v>
      </c>
      <c r="ED31">
        <v>20.8672</v>
      </c>
      <c r="EE31">
        <v>16.694900000000001</v>
      </c>
      <c r="EF31">
        <v>1800.08</v>
      </c>
      <c r="EG31">
        <v>0.97799599999999998</v>
      </c>
      <c r="EH31">
        <v>2.20039E-2</v>
      </c>
      <c r="EI31">
        <v>0</v>
      </c>
      <c r="EJ31">
        <v>820.60799999999995</v>
      </c>
      <c r="EK31">
        <v>4.9990399999999999</v>
      </c>
      <c r="EL31">
        <v>15528.6</v>
      </c>
      <c r="EM31">
        <v>14821.3</v>
      </c>
      <c r="EN31">
        <v>47.561999999999998</v>
      </c>
      <c r="EO31">
        <v>49</v>
      </c>
      <c r="EP31">
        <v>48.561999999999998</v>
      </c>
      <c r="EQ31">
        <v>47.375</v>
      </c>
      <c r="ER31">
        <v>48.5</v>
      </c>
      <c r="ES31">
        <v>1755.58</v>
      </c>
      <c r="ET31">
        <v>39.5</v>
      </c>
      <c r="EU31">
        <v>0</v>
      </c>
      <c r="EV31">
        <v>2045.400000095367</v>
      </c>
      <c r="EW31">
        <v>0</v>
      </c>
      <c r="EX31">
        <v>820.68636000000004</v>
      </c>
      <c r="EY31">
        <v>-0.13899998973616021</v>
      </c>
      <c r="EZ31">
        <v>-19.284615269078351</v>
      </c>
      <c r="FA31">
        <v>15531.092000000001</v>
      </c>
      <c r="FB31">
        <v>15</v>
      </c>
      <c r="FC31">
        <v>1674577723.5999999</v>
      </c>
      <c r="FD31" t="s">
        <v>496</v>
      </c>
      <c r="FE31">
        <v>1674577714.0999999</v>
      </c>
      <c r="FF31">
        <v>1674577723.5999999</v>
      </c>
      <c r="FG31">
        <v>21</v>
      </c>
      <c r="FH31">
        <v>9.6000000000000002E-2</v>
      </c>
      <c r="FI31">
        <v>-8.8999999999999996E-2</v>
      </c>
      <c r="FJ31">
        <v>2.4430000000000001</v>
      </c>
      <c r="FK31">
        <v>0.113</v>
      </c>
      <c r="FL31">
        <v>400</v>
      </c>
      <c r="FM31">
        <v>19</v>
      </c>
      <c r="FN31">
        <v>0.06</v>
      </c>
      <c r="FO31">
        <v>0.02</v>
      </c>
      <c r="FP31">
        <v>49.58311664475454</v>
      </c>
      <c r="FQ31">
        <v>-0.45820291102491972</v>
      </c>
      <c r="FR31">
        <v>6.2372666838030263E-2</v>
      </c>
      <c r="FS31">
        <v>1</v>
      </c>
      <c r="FT31">
        <v>0.40386045097687789</v>
      </c>
      <c r="FU31">
        <v>4.9073024893882149E-2</v>
      </c>
      <c r="FV31">
        <v>6.9853005084862963E-3</v>
      </c>
      <c r="FW31">
        <v>1</v>
      </c>
      <c r="FX31">
        <v>2</v>
      </c>
      <c r="FY31">
        <v>2</v>
      </c>
      <c r="FZ31" t="s">
        <v>420</v>
      </c>
      <c r="GA31">
        <v>2.9342299999999999</v>
      </c>
      <c r="GB31">
        <v>2.8333200000000001</v>
      </c>
      <c r="GC31">
        <v>7.9168600000000006E-2</v>
      </c>
      <c r="GD31">
        <v>8.8848700000000003E-2</v>
      </c>
      <c r="GE31">
        <v>0.122308</v>
      </c>
      <c r="GF31">
        <v>9.8562499999999997E-2</v>
      </c>
      <c r="GG31">
        <v>23795.5</v>
      </c>
      <c r="GH31">
        <v>29817.4</v>
      </c>
      <c r="GI31">
        <v>23248</v>
      </c>
      <c r="GJ31">
        <v>29978.6</v>
      </c>
      <c r="GK31">
        <v>27745.7</v>
      </c>
      <c r="GL31">
        <v>38413.9</v>
      </c>
      <c r="GM31">
        <v>32799.199999999997</v>
      </c>
      <c r="GN31">
        <v>44461</v>
      </c>
      <c r="GO31">
        <v>1.9501200000000001</v>
      </c>
      <c r="GP31">
        <v>1.8567499999999999</v>
      </c>
      <c r="GQ31">
        <v>8.7082400000000004E-2</v>
      </c>
      <c r="GR31">
        <v>0</v>
      </c>
      <c r="GS31">
        <v>26.262899999999998</v>
      </c>
      <c r="GT31">
        <v>999.9</v>
      </c>
      <c r="GU31">
        <v>50.6</v>
      </c>
      <c r="GV31">
        <v>34.5</v>
      </c>
      <c r="GW31">
        <v>27.898499999999999</v>
      </c>
      <c r="GX31">
        <v>61.504899999999999</v>
      </c>
      <c r="GY31">
        <v>37.319699999999997</v>
      </c>
      <c r="GZ31">
        <v>1</v>
      </c>
      <c r="HA31">
        <v>0.27717000000000003</v>
      </c>
      <c r="HB31">
        <v>1.50935</v>
      </c>
      <c r="HC31">
        <v>20.264700000000001</v>
      </c>
      <c r="HD31">
        <v>5.2103999999999999</v>
      </c>
      <c r="HE31">
        <v>11.872199999999999</v>
      </c>
      <c r="HF31">
        <v>4.9854000000000003</v>
      </c>
      <c r="HG31">
        <v>3.2839999999999998</v>
      </c>
      <c r="HH31">
        <v>9999</v>
      </c>
      <c r="HI31">
        <v>9999</v>
      </c>
      <c r="HJ31">
        <v>9999</v>
      </c>
      <c r="HK31">
        <v>999.9</v>
      </c>
      <c r="HL31">
        <v>1.8548500000000001</v>
      </c>
      <c r="HM31">
        <v>1.8608800000000001</v>
      </c>
      <c r="HN31">
        <v>1.8582399999999999</v>
      </c>
      <c r="HO31">
        <v>1.85944</v>
      </c>
      <c r="HP31">
        <v>1.85883</v>
      </c>
      <c r="HQ31">
        <v>1.85934</v>
      </c>
      <c r="HR31">
        <v>1.8577399999999999</v>
      </c>
      <c r="HS31">
        <v>1.8610100000000001</v>
      </c>
      <c r="HT31">
        <v>5</v>
      </c>
      <c r="HU31">
        <v>0</v>
      </c>
      <c r="HV31">
        <v>0</v>
      </c>
      <c r="HW31">
        <v>0</v>
      </c>
      <c r="HX31" t="s">
        <v>421</v>
      </c>
      <c r="HY31" t="s">
        <v>422</v>
      </c>
      <c r="HZ31" t="s">
        <v>423</v>
      </c>
      <c r="IA31" t="s">
        <v>423</v>
      </c>
      <c r="IB31" t="s">
        <v>423</v>
      </c>
      <c r="IC31" t="s">
        <v>423</v>
      </c>
      <c r="ID31">
        <v>0</v>
      </c>
      <c r="IE31">
        <v>100</v>
      </c>
      <c r="IF31">
        <v>100</v>
      </c>
      <c r="IG31">
        <v>2.343</v>
      </c>
      <c r="IH31">
        <v>0.1459</v>
      </c>
      <c r="II31">
        <v>1.7917397950227409</v>
      </c>
      <c r="IJ31">
        <v>1.6187016317407189E-3</v>
      </c>
      <c r="IK31">
        <v>1.4341569744255341E-7</v>
      </c>
      <c r="IL31">
        <v>-2.4096625942085749E-10</v>
      </c>
      <c r="IM31">
        <v>0.1458776927046149</v>
      </c>
      <c r="IN31">
        <v>0</v>
      </c>
      <c r="IO31">
        <v>0</v>
      </c>
      <c r="IP31">
        <v>0</v>
      </c>
      <c r="IQ31">
        <v>4</v>
      </c>
      <c r="IR31">
        <v>2205</v>
      </c>
      <c r="IS31">
        <v>1</v>
      </c>
      <c r="IT31">
        <v>21</v>
      </c>
      <c r="IU31">
        <v>0.7</v>
      </c>
      <c r="IV31">
        <v>0.5</v>
      </c>
      <c r="IW31">
        <v>0.98754900000000001</v>
      </c>
      <c r="IX31">
        <v>2.4401899999999999</v>
      </c>
      <c r="IY31">
        <v>1.49414</v>
      </c>
      <c r="IZ31">
        <v>2.3071299999999999</v>
      </c>
      <c r="JA31">
        <v>1.69434</v>
      </c>
      <c r="JB31">
        <v>2.2827099999999998</v>
      </c>
      <c r="JC31">
        <v>40.374499999999998</v>
      </c>
      <c r="JD31">
        <v>23.763500000000001</v>
      </c>
      <c r="JE31">
        <v>18</v>
      </c>
      <c r="JF31">
        <v>493.03100000000001</v>
      </c>
      <c r="JG31">
        <v>455.98399999999998</v>
      </c>
      <c r="JH31">
        <v>25.049399999999999</v>
      </c>
      <c r="JI31">
        <v>30.841999999999999</v>
      </c>
      <c r="JJ31">
        <v>29.9998</v>
      </c>
      <c r="JK31">
        <v>30.834700000000002</v>
      </c>
      <c r="JL31">
        <v>30.814299999999999</v>
      </c>
      <c r="JM31">
        <v>19.853300000000001</v>
      </c>
      <c r="JN31">
        <v>37.985799999999998</v>
      </c>
      <c r="JO31">
        <v>0</v>
      </c>
      <c r="JP31">
        <v>25.0489</v>
      </c>
      <c r="JQ31">
        <v>400</v>
      </c>
      <c r="JR31">
        <v>19.076000000000001</v>
      </c>
      <c r="JS31">
        <v>98.8232</v>
      </c>
      <c r="JT31">
        <v>99.862700000000004</v>
      </c>
    </row>
    <row r="32" spans="1:280" x14ac:dyDescent="0.25">
      <c r="A32">
        <v>16</v>
      </c>
      <c r="B32">
        <v>1674577865.5999999</v>
      </c>
      <c r="C32">
        <v>3813</v>
      </c>
      <c r="D32" t="s">
        <v>497</v>
      </c>
      <c r="E32" t="s">
        <v>498</v>
      </c>
      <c r="F32" t="s">
        <v>412</v>
      </c>
      <c r="G32" t="s">
        <v>492</v>
      </c>
      <c r="H32" t="s">
        <v>493</v>
      </c>
      <c r="I32">
        <v>1674577865.5999999</v>
      </c>
      <c r="J32">
        <f t="shared" si="0"/>
        <v>4.9807387170251877E-3</v>
      </c>
      <c r="K32">
        <f t="shared" si="1"/>
        <v>4.9807387170251873</v>
      </c>
      <c r="L32">
        <f t="shared" si="2"/>
        <v>41.844705963211119</v>
      </c>
      <c r="M32">
        <f t="shared" si="3"/>
        <v>248.291</v>
      </c>
      <c r="N32">
        <f t="shared" si="4"/>
        <v>73.94332553773485</v>
      </c>
      <c r="O32">
        <f t="shared" si="5"/>
        <v>7.3756015337159004</v>
      </c>
      <c r="P32">
        <f t="shared" si="6"/>
        <v>24.766203941873101</v>
      </c>
      <c r="Q32">
        <f t="shared" si="7"/>
        <v>0.41782457475607165</v>
      </c>
      <c r="R32">
        <f t="shared" si="8"/>
        <v>2.925973345070485</v>
      </c>
      <c r="S32">
        <f t="shared" si="9"/>
        <v>0.38728374631260648</v>
      </c>
      <c r="T32">
        <f t="shared" si="10"/>
        <v>0.2446100218160443</v>
      </c>
      <c r="U32">
        <f t="shared" si="11"/>
        <v>344.32630126416217</v>
      </c>
      <c r="V32">
        <f t="shared" si="12"/>
        <v>28.751556390808847</v>
      </c>
      <c r="W32">
        <f t="shared" si="13"/>
        <v>27.687100000000001</v>
      </c>
      <c r="X32">
        <f t="shared" si="14"/>
        <v>3.726166377877282</v>
      </c>
      <c r="Y32">
        <f t="shared" si="15"/>
        <v>65.377423801417251</v>
      </c>
      <c r="Z32">
        <f t="shared" si="16"/>
        <v>2.4832834726851902</v>
      </c>
      <c r="AA32">
        <f t="shared" si="17"/>
        <v>3.7983807380176358</v>
      </c>
      <c r="AB32">
        <f t="shared" si="18"/>
        <v>1.2428829051920918</v>
      </c>
      <c r="AC32">
        <f t="shared" si="19"/>
        <v>-219.65057742081078</v>
      </c>
      <c r="AD32">
        <f t="shared" si="20"/>
        <v>51.88235516073739</v>
      </c>
      <c r="AE32">
        <f t="shared" si="21"/>
        <v>3.8593788670142928</v>
      </c>
      <c r="AF32">
        <f t="shared" si="22"/>
        <v>180.41745787110307</v>
      </c>
      <c r="AG32">
        <v>0</v>
      </c>
      <c r="AH32">
        <v>0</v>
      </c>
      <c r="AI32">
        <f t="shared" si="23"/>
        <v>1</v>
      </c>
      <c r="AJ32">
        <f t="shared" si="24"/>
        <v>0</v>
      </c>
      <c r="AK32">
        <f t="shared" si="25"/>
        <v>52588.099494316826</v>
      </c>
      <c r="AL32" t="s">
        <v>415</v>
      </c>
      <c r="AM32">
        <v>10214.9</v>
      </c>
      <c r="AN32">
        <v>729.4384</v>
      </c>
      <c r="AO32">
        <v>3170.19</v>
      </c>
      <c r="AP32">
        <f t="shared" si="26"/>
        <v>0.76990704027203416</v>
      </c>
      <c r="AQ32">
        <v>-0.45549566560547827</v>
      </c>
      <c r="AR32" t="s">
        <v>499</v>
      </c>
      <c r="AS32">
        <v>10074.1</v>
      </c>
      <c r="AT32">
        <v>819.12173076923079</v>
      </c>
      <c r="AU32">
        <v>1129.8304695529871</v>
      </c>
      <c r="AV32">
        <f t="shared" si="27"/>
        <v>0.27500474377070661</v>
      </c>
      <c r="AW32">
        <v>0.5</v>
      </c>
      <c r="AX32">
        <f t="shared" si="28"/>
        <v>1512.9918006320809</v>
      </c>
      <c r="AY32">
        <f t="shared" si="29"/>
        <v>41.844705963211119</v>
      </c>
      <c r="AZ32">
        <f t="shared" si="30"/>
        <v>208.03996123000272</v>
      </c>
      <c r="BA32">
        <f t="shared" si="31"/>
        <v>2.7957984710257445E-2</v>
      </c>
      <c r="BB32">
        <f t="shared" si="32"/>
        <v>1.8058988365345405</v>
      </c>
      <c r="BC32">
        <f t="shared" si="33"/>
        <v>515.31311835883128</v>
      </c>
      <c r="BD32" t="s">
        <v>500</v>
      </c>
      <c r="BE32">
        <v>578.16</v>
      </c>
      <c r="BF32">
        <f t="shared" si="34"/>
        <v>578.16</v>
      </c>
      <c r="BG32">
        <f t="shared" si="35"/>
        <v>0.48827721009440761</v>
      </c>
      <c r="BH32">
        <f t="shared" si="36"/>
        <v>0.56321437512419392</v>
      </c>
      <c r="BI32">
        <f t="shared" si="37"/>
        <v>0.78716663404629295</v>
      </c>
      <c r="BJ32">
        <f t="shared" si="38"/>
        <v>0.77601122102803721</v>
      </c>
      <c r="BK32">
        <f t="shared" si="39"/>
        <v>0.83595542063641914</v>
      </c>
      <c r="BL32">
        <f t="shared" si="40"/>
        <v>0.39753312711653888</v>
      </c>
      <c r="BM32">
        <f t="shared" si="41"/>
        <v>0.60246687288346112</v>
      </c>
      <c r="BN32">
        <v>9088</v>
      </c>
      <c r="BO32">
        <v>290.00000000000011</v>
      </c>
      <c r="BP32">
        <v>1046.79</v>
      </c>
      <c r="BQ32">
        <v>295</v>
      </c>
      <c r="BR32">
        <v>10074.1</v>
      </c>
      <c r="BS32">
        <v>1046.52</v>
      </c>
      <c r="BT32">
        <v>0.27</v>
      </c>
      <c r="BU32">
        <v>300.00000000000011</v>
      </c>
      <c r="BV32">
        <v>24.2</v>
      </c>
      <c r="BW32">
        <v>1129.8304695529871</v>
      </c>
      <c r="BX32">
        <v>2.3839071715230178</v>
      </c>
      <c r="BY32">
        <v>-83.932089917009776</v>
      </c>
      <c r="BZ32">
        <v>2.1390080617653822</v>
      </c>
      <c r="CA32">
        <v>0.98213924291056875</v>
      </c>
      <c r="CB32">
        <v>-6.8860838709677479E-3</v>
      </c>
      <c r="CC32">
        <v>289.99999999999989</v>
      </c>
      <c r="CD32">
        <v>1045.0999999999999</v>
      </c>
      <c r="CE32">
        <v>645</v>
      </c>
      <c r="CF32">
        <v>10059.1</v>
      </c>
      <c r="CG32">
        <v>1046.3900000000001</v>
      </c>
      <c r="CH32">
        <v>-1.29</v>
      </c>
      <c r="CV32">
        <f t="shared" si="42"/>
        <v>1799.77</v>
      </c>
      <c r="CW32">
        <f t="shared" si="43"/>
        <v>1512.9918006320809</v>
      </c>
      <c r="CX32">
        <f t="shared" si="44"/>
        <v>0.84065841781565476</v>
      </c>
      <c r="CY32">
        <f t="shared" si="45"/>
        <v>0.19131683563130966</v>
      </c>
      <c r="CZ32">
        <v>6</v>
      </c>
      <c r="DA32">
        <v>0.5</v>
      </c>
      <c r="DB32" t="s">
        <v>418</v>
      </c>
      <c r="DC32">
        <v>2</v>
      </c>
      <c r="DD32">
        <v>1674577865.5999999</v>
      </c>
      <c r="DE32">
        <v>248.291</v>
      </c>
      <c r="DF32">
        <v>299.98700000000002</v>
      </c>
      <c r="DG32">
        <v>24.895900000000001</v>
      </c>
      <c r="DH32">
        <v>19.068000000000001</v>
      </c>
      <c r="DI32">
        <v>246.29300000000001</v>
      </c>
      <c r="DJ32">
        <v>24.751999999999999</v>
      </c>
      <c r="DK32">
        <v>500.01600000000002</v>
      </c>
      <c r="DL32">
        <v>99.646799999999999</v>
      </c>
      <c r="DM32">
        <v>9.9884100000000003E-2</v>
      </c>
      <c r="DN32">
        <v>28.015999999999998</v>
      </c>
      <c r="DO32">
        <v>27.687100000000001</v>
      </c>
      <c r="DP32">
        <v>999.9</v>
      </c>
      <c r="DQ32">
        <v>0</v>
      </c>
      <c r="DR32">
        <v>0</v>
      </c>
      <c r="DS32">
        <v>10015</v>
      </c>
      <c r="DT32">
        <v>0</v>
      </c>
      <c r="DU32">
        <v>343.09500000000003</v>
      </c>
      <c r="DV32">
        <v>-51.6967</v>
      </c>
      <c r="DW32">
        <v>254.63</v>
      </c>
      <c r="DX32">
        <v>305.81900000000002</v>
      </c>
      <c r="DY32">
        <v>5.8278699999999999</v>
      </c>
      <c r="DZ32">
        <v>299.98700000000002</v>
      </c>
      <c r="EA32">
        <v>19.068000000000001</v>
      </c>
      <c r="EB32">
        <v>2.4807899999999998</v>
      </c>
      <c r="EC32">
        <v>1.9000600000000001</v>
      </c>
      <c r="ED32">
        <v>20.901</v>
      </c>
      <c r="EE32">
        <v>16.635200000000001</v>
      </c>
      <c r="EF32">
        <v>1799.77</v>
      </c>
      <c r="EG32">
        <v>0.97799199999999997</v>
      </c>
      <c r="EH32">
        <v>2.2007499999999999E-2</v>
      </c>
      <c r="EI32">
        <v>0</v>
      </c>
      <c r="EJ32">
        <v>818.66600000000005</v>
      </c>
      <c r="EK32">
        <v>4.9990399999999999</v>
      </c>
      <c r="EL32">
        <v>15467.6</v>
      </c>
      <c r="EM32">
        <v>14818.7</v>
      </c>
      <c r="EN32">
        <v>47.561999999999998</v>
      </c>
      <c r="EO32">
        <v>49.061999999999998</v>
      </c>
      <c r="EP32">
        <v>48.561999999999998</v>
      </c>
      <c r="EQ32">
        <v>47.375</v>
      </c>
      <c r="ER32">
        <v>48.5</v>
      </c>
      <c r="ES32">
        <v>1755.27</v>
      </c>
      <c r="ET32">
        <v>39.5</v>
      </c>
      <c r="EU32">
        <v>0</v>
      </c>
      <c r="EV32">
        <v>107.3999998569489</v>
      </c>
      <c r="EW32">
        <v>0</v>
      </c>
      <c r="EX32">
        <v>819.12173076923079</v>
      </c>
      <c r="EY32">
        <v>-3.5082735175268969</v>
      </c>
      <c r="EZ32">
        <v>-86.023931624781966</v>
      </c>
      <c r="FA32">
        <v>15479.653846153849</v>
      </c>
      <c r="FB32">
        <v>15</v>
      </c>
      <c r="FC32">
        <v>1674577832.0999999</v>
      </c>
      <c r="FD32" t="s">
        <v>501</v>
      </c>
      <c r="FE32">
        <v>1674577828.5999999</v>
      </c>
      <c r="FF32">
        <v>1674577832.0999999</v>
      </c>
      <c r="FG32">
        <v>22</v>
      </c>
      <c r="FH32">
        <v>-0.19800000000000001</v>
      </c>
      <c r="FI32">
        <v>-2E-3</v>
      </c>
      <c r="FJ32">
        <v>2.0819999999999999</v>
      </c>
      <c r="FK32">
        <v>0.113</v>
      </c>
      <c r="FL32">
        <v>300</v>
      </c>
      <c r="FM32">
        <v>19</v>
      </c>
      <c r="FN32">
        <v>0.02</v>
      </c>
      <c r="FO32">
        <v>0.02</v>
      </c>
      <c r="FP32">
        <v>41.764913294352397</v>
      </c>
      <c r="FQ32">
        <v>-0.14307608711282779</v>
      </c>
      <c r="FR32">
        <v>5.5452767391599073E-2</v>
      </c>
      <c r="FS32">
        <v>1</v>
      </c>
      <c r="FT32">
        <v>0.42119178862411638</v>
      </c>
      <c r="FU32">
        <v>8.813977712266401E-3</v>
      </c>
      <c r="FV32">
        <v>4.5491344998202649E-3</v>
      </c>
      <c r="FW32">
        <v>1</v>
      </c>
      <c r="FX32">
        <v>2</v>
      </c>
      <c r="FY32">
        <v>2</v>
      </c>
      <c r="FZ32" t="s">
        <v>420</v>
      </c>
      <c r="GA32">
        <v>2.9341300000000001</v>
      </c>
      <c r="GB32">
        <v>2.8334700000000002</v>
      </c>
      <c r="GC32">
        <v>6.1370800000000003E-2</v>
      </c>
      <c r="GD32">
        <v>7.0784100000000003E-2</v>
      </c>
      <c r="GE32">
        <v>0.12250999999999999</v>
      </c>
      <c r="GF32">
        <v>9.8312899999999995E-2</v>
      </c>
      <c r="GG32">
        <v>24258.1</v>
      </c>
      <c r="GH32">
        <v>30411</v>
      </c>
      <c r="GI32">
        <v>23250.7</v>
      </c>
      <c r="GJ32">
        <v>29981</v>
      </c>
      <c r="GK32">
        <v>27741.3</v>
      </c>
      <c r="GL32">
        <v>38427.300000000003</v>
      </c>
      <c r="GM32">
        <v>32802.199999999997</v>
      </c>
      <c r="GN32">
        <v>44464.5</v>
      </c>
      <c r="GO32">
        <v>1.95075</v>
      </c>
      <c r="GP32">
        <v>1.8566</v>
      </c>
      <c r="GQ32">
        <v>8.7715699999999994E-2</v>
      </c>
      <c r="GR32">
        <v>0</v>
      </c>
      <c r="GS32">
        <v>26.252600000000001</v>
      </c>
      <c r="GT32">
        <v>999.9</v>
      </c>
      <c r="GU32">
        <v>50.4</v>
      </c>
      <c r="GV32">
        <v>34.6</v>
      </c>
      <c r="GW32">
        <v>27.941299999999998</v>
      </c>
      <c r="GX32">
        <v>61.554900000000004</v>
      </c>
      <c r="GY32">
        <v>36.987200000000001</v>
      </c>
      <c r="GZ32">
        <v>1</v>
      </c>
      <c r="HA32">
        <v>0.27323900000000001</v>
      </c>
      <c r="HB32">
        <v>1.6474</v>
      </c>
      <c r="HC32">
        <v>20.264099999999999</v>
      </c>
      <c r="HD32">
        <v>5.2103999999999999</v>
      </c>
      <c r="HE32">
        <v>11.872199999999999</v>
      </c>
      <c r="HF32">
        <v>4.9852499999999997</v>
      </c>
      <c r="HG32">
        <v>3.2839999999999998</v>
      </c>
      <c r="HH32">
        <v>9999</v>
      </c>
      <c r="HI32">
        <v>9999</v>
      </c>
      <c r="HJ32">
        <v>9999</v>
      </c>
      <c r="HK32">
        <v>999.9</v>
      </c>
      <c r="HL32">
        <v>1.8548500000000001</v>
      </c>
      <c r="HM32">
        <v>1.86084</v>
      </c>
      <c r="HN32">
        <v>1.8582399999999999</v>
      </c>
      <c r="HO32">
        <v>1.85944</v>
      </c>
      <c r="HP32">
        <v>1.85883</v>
      </c>
      <c r="HQ32">
        <v>1.8593200000000001</v>
      </c>
      <c r="HR32">
        <v>1.85768</v>
      </c>
      <c r="HS32">
        <v>1.8609899999999999</v>
      </c>
      <c r="HT32">
        <v>5</v>
      </c>
      <c r="HU32">
        <v>0</v>
      </c>
      <c r="HV32">
        <v>0</v>
      </c>
      <c r="HW32">
        <v>0</v>
      </c>
      <c r="HX32" t="s">
        <v>421</v>
      </c>
      <c r="HY32" t="s">
        <v>422</v>
      </c>
      <c r="HZ32" t="s">
        <v>423</v>
      </c>
      <c r="IA32" t="s">
        <v>423</v>
      </c>
      <c r="IB32" t="s">
        <v>423</v>
      </c>
      <c r="IC32" t="s">
        <v>423</v>
      </c>
      <c r="ID32">
        <v>0</v>
      </c>
      <c r="IE32">
        <v>100</v>
      </c>
      <c r="IF32">
        <v>100</v>
      </c>
      <c r="IG32">
        <v>1.998</v>
      </c>
      <c r="IH32">
        <v>0.1439</v>
      </c>
      <c r="II32">
        <v>1.593782245939098</v>
      </c>
      <c r="IJ32">
        <v>1.6187016317407189E-3</v>
      </c>
      <c r="IK32">
        <v>1.4341569744255341E-7</v>
      </c>
      <c r="IL32">
        <v>-2.4096625942085749E-10</v>
      </c>
      <c r="IM32">
        <v>0.14386504034354011</v>
      </c>
      <c r="IN32">
        <v>0</v>
      </c>
      <c r="IO32">
        <v>0</v>
      </c>
      <c r="IP32">
        <v>0</v>
      </c>
      <c r="IQ32">
        <v>4</v>
      </c>
      <c r="IR32">
        <v>2205</v>
      </c>
      <c r="IS32">
        <v>1</v>
      </c>
      <c r="IT32">
        <v>21</v>
      </c>
      <c r="IU32">
        <v>0.6</v>
      </c>
      <c r="IV32">
        <v>0.6</v>
      </c>
      <c r="IW32">
        <v>0.78613299999999997</v>
      </c>
      <c r="IX32">
        <v>2.4365199999999998</v>
      </c>
      <c r="IY32">
        <v>1.49414</v>
      </c>
      <c r="IZ32">
        <v>2.3071299999999999</v>
      </c>
      <c r="JA32">
        <v>1.69434</v>
      </c>
      <c r="JB32">
        <v>2.4169900000000002</v>
      </c>
      <c r="JC32">
        <v>40.451000000000001</v>
      </c>
      <c r="JD32">
        <v>23.780999999999999</v>
      </c>
      <c r="JE32">
        <v>18</v>
      </c>
      <c r="JF32">
        <v>492.983</v>
      </c>
      <c r="JG32">
        <v>455.42099999999999</v>
      </c>
      <c r="JH32">
        <v>24.984200000000001</v>
      </c>
      <c r="JI32">
        <v>30.790700000000001</v>
      </c>
      <c r="JJ32">
        <v>30</v>
      </c>
      <c r="JK32">
        <v>30.7807</v>
      </c>
      <c r="JL32">
        <v>30.7606</v>
      </c>
      <c r="JM32">
        <v>15.7995</v>
      </c>
      <c r="JN32">
        <v>37.885199999999998</v>
      </c>
      <c r="JO32">
        <v>0</v>
      </c>
      <c r="JP32">
        <v>24.976900000000001</v>
      </c>
      <c r="JQ32">
        <v>300</v>
      </c>
      <c r="JR32">
        <v>18.979299999999999</v>
      </c>
      <c r="JS32">
        <v>98.833200000000005</v>
      </c>
      <c r="JT32">
        <v>99.870500000000007</v>
      </c>
    </row>
    <row r="33" spans="1:280" x14ac:dyDescent="0.25">
      <c r="A33">
        <v>17</v>
      </c>
      <c r="B33">
        <v>1674577978.5999999</v>
      </c>
      <c r="C33">
        <v>3926</v>
      </c>
      <c r="D33" t="s">
        <v>502</v>
      </c>
      <c r="E33" t="s">
        <v>503</v>
      </c>
      <c r="F33" t="s">
        <v>412</v>
      </c>
      <c r="G33" t="s">
        <v>492</v>
      </c>
      <c r="H33" t="s">
        <v>493</v>
      </c>
      <c r="I33">
        <v>1674577978.5999999</v>
      </c>
      <c r="J33">
        <f t="shared" si="0"/>
        <v>5.2797942765133001E-3</v>
      </c>
      <c r="K33">
        <f t="shared" si="1"/>
        <v>5.2797942765133001</v>
      </c>
      <c r="L33">
        <f t="shared" si="2"/>
        <v>29.80232111082017</v>
      </c>
      <c r="M33">
        <f t="shared" si="3"/>
        <v>163.249</v>
      </c>
      <c r="N33">
        <f t="shared" si="4"/>
        <v>47.060839080580919</v>
      </c>
      <c r="O33">
        <f t="shared" si="5"/>
        <v>4.6947653527116611</v>
      </c>
      <c r="P33">
        <f t="shared" si="6"/>
        <v>16.285637146259003</v>
      </c>
      <c r="Q33">
        <f t="shared" si="7"/>
        <v>0.44841815344165337</v>
      </c>
      <c r="R33">
        <f t="shared" si="8"/>
        <v>2.9198415338675958</v>
      </c>
      <c r="S33">
        <f t="shared" si="9"/>
        <v>0.41337435996914007</v>
      </c>
      <c r="T33">
        <f t="shared" si="10"/>
        <v>0.26127892216325127</v>
      </c>
      <c r="U33">
        <f t="shared" si="11"/>
        <v>344.37570126397964</v>
      </c>
      <c r="V33">
        <f t="shared" si="12"/>
        <v>28.662931350519521</v>
      </c>
      <c r="W33">
        <f t="shared" si="13"/>
        <v>27.693200000000001</v>
      </c>
      <c r="X33">
        <f t="shared" si="14"/>
        <v>3.7274947312698243</v>
      </c>
      <c r="Y33">
        <f t="shared" si="15"/>
        <v>65.681994438766978</v>
      </c>
      <c r="Z33">
        <f t="shared" si="16"/>
        <v>2.4930495357846003</v>
      </c>
      <c r="AA33">
        <f t="shared" si="17"/>
        <v>3.7956361664820988</v>
      </c>
      <c r="AB33">
        <f t="shared" si="18"/>
        <v>1.234445195485224</v>
      </c>
      <c r="AC33">
        <f t="shared" si="19"/>
        <v>-232.83892759423654</v>
      </c>
      <c r="AD33">
        <f t="shared" si="20"/>
        <v>48.861459798608841</v>
      </c>
      <c r="AE33">
        <f t="shared" si="21"/>
        <v>3.6421816142766166</v>
      </c>
      <c r="AF33">
        <f t="shared" si="22"/>
        <v>164.04041508262858</v>
      </c>
      <c r="AG33">
        <v>0</v>
      </c>
      <c r="AH33">
        <v>0</v>
      </c>
      <c r="AI33">
        <f t="shared" si="23"/>
        <v>1</v>
      </c>
      <c r="AJ33">
        <f t="shared" si="24"/>
        <v>0</v>
      </c>
      <c r="AK33">
        <f t="shared" si="25"/>
        <v>52414.290865673051</v>
      </c>
      <c r="AL33" t="s">
        <v>415</v>
      </c>
      <c r="AM33">
        <v>10214.9</v>
      </c>
      <c r="AN33">
        <v>729.4384</v>
      </c>
      <c r="AO33">
        <v>3170.19</v>
      </c>
      <c r="AP33">
        <f t="shared" si="26"/>
        <v>0.76990704027203416</v>
      </c>
      <c r="AQ33">
        <v>-0.45549566560547827</v>
      </c>
      <c r="AR33" t="s">
        <v>504</v>
      </c>
      <c r="AS33">
        <v>10093</v>
      </c>
      <c r="AT33">
        <v>833.68164000000002</v>
      </c>
      <c r="AU33">
        <v>1063.355545697076</v>
      </c>
      <c r="AV33">
        <f t="shared" si="27"/>
        <v>0.21598975679062704</v>
      </c>
      <c r="AW33">
        <v>0.5</v>
      </c>
      <c r="AX33">
        <f t="shared" si="28"/>
        <v>1513.2102006319897</v>
      </c>
      <c r="AY33">
        <f t="shared" si="29"/>
        <v>29.80232111082017</v>
      </c>
      <c r="AZ33">
        <f t="shared" si="30"/>
        <v>163.41895160379971</v>
      </c>
      <c r="BA33">
        <f t="shared" si="31"/>
        <v>1.9995779015888556E-2</v>
      </c>
      <c r="BB33">
        <f t="shared" si="32"/>
        <v>1.9813076283171143</v>
      </c>
      <c r="BC33">
        <f t="shared" si="33"/>
        <v>501.0275069115209</v>
      </c>
      <c r="BD33" t="s">
        <v>505</v>
      </c>
      <c r="BE33">
        <v>573.70000000000005</v>
      </c>
      <c r="BF33">
        <f t="shared" si="34"/>
        <v>573.70000000000005</v>
      </c>
      <c r="BG33">
        <f t="shared" si="35"/>
        <v>0.46048148963767843</v>
      </c>
      <c r="BH33">
        <f t="shared" si="36"/>
        <v>0.46905198504412138</v>
      </c>
      <c r="BI33">
        <f t="shared" si="37"/>
        <v>0.81141635604332174</v>
      </c>
      <c r="BJ33">
        <f t="shared" si="38"/>
        <v>0.68781704879998062</v>
      </c>
      <c r="BK33">
        <f t="shared" si="39"/>
        <v>0.86319085248286809</v>
      </c>
      <c r="BL33">
        <f t="shared" si="40"/>
        <v>0.32277923719156443</v>
      </c>
      <c r="BM33">
        <f t="shared" si="41"/>
        <v>0.67722076280843557</v>
      </c>
      <c r="BN33">
        <v>9090</v>
      </c>
      <c r="BO33">
        <v>290.00000000000011</v>
      </c>
      <c r="BP33">
        <v>1001.38</v>
      </c>
      <c r="BQ33">
        <v>135</v>
      </c>
      <c r="BR33">
        <v>10093</v>
      </c>
      <c r="BS33">
        <v>1001.83</v>
      </c>
      <c r="BT33">
        <v>-0.45</v>
      </c>
      <c r="BU33">
        <v>300.00000000000011</v>
      </c>
      <c r="BV33">
        <v>24.2</v>
      </c>
      <c r="BW33">
        <v>1063.355545697076</v>
      </c>
      <c r="BX33">
        <v>1.7455071789093719</v>
      </c>
      <c r="BY33">
        <v>-62.101191427488388</v>
      </c>
      <c r="BZ33">
        <v>1.5660962488078169</v>
      </c>
      <c r="CA33">
        <v>0.98250437116904699</v>
      </c>
      <c r="CB33">
        <v>-6.8856527252502816E-3</v>
      </c>
      <c r="CC33">
        <v>289.99999999999989</v>
      </c>
      <c r="CD33">
        <v>1000.87</v>
      </c>
      <c r="CE33">
        <v>775</v>
      </c>
      <c r="CF33">
        <v>10051.799999999999</v>
      </c>
      <c r="CG33">
        <v>1001.57</v>
      </c>
      <c r="CH33">
        <v>-0.7</v>
      </c>
      <c r="CV33">
        <f t="shared" si="42"/>
        <v>1800.03</v>
      </c>
      <c r="CW33">
        <f t="shared" si="43"/>
        <v>1513.2102006319897</v>
      </c>
      <c r="CX33">
        <f t="shared" si="44"/>
        <v>0.84065832271239349</v>
      </c>
      <c r="CY33">
        <f t="shared" si="45"/>
        <v>0.19131664542478716</v>
      </c>
      <c r="CZ33">
        <v>6</v>
      </c>
      <c r="DA33">
        <v>0.5</v>
      </c>
      <c r="DB33" t="s">
        <v>418</v>
      </c>
      <c r="DC33">
        <v>2</v>
      </c>
      <c r="DD33">
        <v>1674577978.5999999</v>
      </c>
      <c r="DE33">
        <v>163.249</v>
      </c>
      <c r="DF33">
        <v>200.04300000000001</v>
      </c>
      <c r="DG33">
        <v>24.990600000000001</v>
      </c>
      <c r="DH33">
        <v>18.813700000000001</v>
      </c>
      <c r="DI33">
        <v>161.392</v>
      </c>
      <c r="DJ33">
        <v>24.8447</v>
      </c>
      <c r="DK33">
        <v>500.04199999999997</v>
      </c>
      <c r="DL33">
        <v>99.659400000000005</v>
      </c>
      <c r="DM33">
        <v>0.100091</v>
      </c>
      <c r="DN33">
        <v>28.003599999999999</v>
      </c>
      <c r="DO33">
        <v>27.693200000000001</v>
      </c>
      <c r="DP33">
        <v>999.9</v>
      </c>
      <c r="DQ33">
        <v>0</v>
      </c>
      <c r="DR33">
        <v>0</v>
      </c>
      <c r="DS33">
        <v>9978.75</v>
      </c>
      <c r="DT33">
        <v>0</v>
      </c>
      <c r="DU33">
        <v>339.90699999999998</v>
      </c>
      <c r="DV33">
        <v>-36.793900000000001</v>
      </c>
      <c r="DW33">
        <v>167.434</v>
      </c>
      <c r="DX33">
        <v>203.87899999999999</v>
      </c>
      <c r="DY33">
        <v>6.1768599999999996</v>
      </c>
      <c r="DZ33">
        <v>200.04300000000001</v>
      </c>
      <c r="EA33">
        <v>18.813700000000001</v>
      </c>
      <c r="EB33">
        <v>2.4905499999999998</v>
      </c>
      <c r="EC33">
        <v>1.87497</v>
      </c>
      <c r="ED33">
        <v>20.9649</v>
      </c>
      <c r="EE33">
        <v>16.426200000000001</v>
      </c>
      <c r="EF33">
        <v>1800.03</v>
      </c>
      <c r="EG33">
        <v>0.97799599999999998</v>
      </c>
      <c r="EH33">
        <v>2.20038E-2</v>
      </c>
      <c r="EI33">
        <v>0</v>
      </c>
      <c r="EJ33">
        <v>833.01700000000005</v>
      </c>
      <c r="EK33">
        <v>4.9990399999999999</v>
      </c>
      <c r="EL33">
        <v>15712</v>
      </c>
      <c r="EM33">
        <v>14820.9</v>
      </c>
      <c r="EN33">
        <v>47.625</v>
      </c>
      <c r="EO33">
        <v>49.125</v>
      </c>
      <c r="EP33">
        <v>48.561999999999998</v>
      </c>
      <c r="EQ33">
        <v>47.436999999999998</v>
      </c>
      <c r="ER33">
        <v>48.561999999999998</v>
      </c>
      <c r="ES33">
        <v>1755.53</v>
      </c>
      <c r="ET33">
        <v>39.5</v>
      </c>
      <c r="EU33">
        <v>0</v>
      </c>
      <c r="EV33">
        <v>111.19999980926509</v>
      </c>
      <c r="EW33">
        <v>0</v>
      </c>
      <c r="EX33">
        <v>833.68164000000002</v>
      </c>
      <c r="EY33">
        <v>-5.7651538638624817</v>
      </c>
      <c r="EZ33">
        <v>-95.969230913399954</v>
      </c>
      <c r="FA33">
        <v>15723.124</v>
      </c>
      <c r="FB33">
        <v>15</v>
      </c>
      <c r="FC33">
        <v>1674577946.0999999</v>
      </c>
      <c r="FD33" t="s">
        <v>506</v>
      </c>
      <c r="FE33">
        <v>1674577931.0999999</v>
      </c>
      <c r="FF33">
        <v>1674577946.0999999</v>
      </c>
      <c r="FG33">
        <v>23</v>
      </c>
      <c r="FH33">
        <v>-1E-3</v>
      </c>
      <c r="FI33">
        <v>2E-3</v>
      </c>
      <c r="FJ33">
        <v>1.917</v>
      </c>
      <c r="FK33">
        <v>0.111</v>
      </c>
      <c r="FL33">
        <v>200</v>
      </c>
      <c r="FM33">
        <v>19</v>
      </c>
      <c r="FN33">
        <v>0.04</v>
      </c>
      <c r="FO33">
        <v>0.02</v>
      </c>
      <c r="FP33">
        <v>29.78451781053824</v>
      </c>
      <c r="FQ33">
        <v>-0.4235082312628527</v>
      </c>
      <c r="FR33">
        <v>7.6898085777819633E-2</v>
      </c>
      <c r="FS33">
        <v>1</v>
      </c>
      <c r="FT33">
        <v>0.44641055460107981</v>
      </c>
      <c r="FU33">
        <v>4.7674592059463589E-2</v>
      </c>
      <c r="FV33">
        <v>8.0842838508621267E-3</v>
      </c>
      <c r="FW33">
        <v>1</v>
      </c>
      <c r="FX33">
        <v>2</v>
      </c>
      <c r="FY33">
        <v>2</v>
      </c>
      <c r="FZ33" t="s">
        <v>420</v>
      </c>
      <c r="GA33">
        <v>2.9342100000000002</v>
      </c>
      <c r="GB33">
        <v>2.8333599999999999</v>
      </c>
      <c r="GC33">
        <v>4.2410400000000001E-2</v>
      </c>
      <c r="GD33">
        <v>5.0237499999999997E-2</v>
      </c>
      <c r="GE33">
        <v>0.122852</v>
      </c>
      <c r="GF33">
        <v>9.7404599999999994E-2</v>
      </c>
      <c r="GG33">
        <v>24749.3</v>
      </c>
      <c r="GH33">
        <v>31081.9</v>
      </c>
      <c r="GI33">
        <v>23252.1</v>
      </c>
      <c r="GJ33">
        <v>29979.9</v>
      </c>
      <c r="GK33">
        <v>27731.599999999999</v>
      </c>
      <c r="GL33">
        <v>38464.400000000001</v>
      </c>
      <c r="GM33">
        <v>32804.300000000003</v>
      </c>
      <c r="GN33">
        <v>44462.5</v>
      </c>
      <c r="GO33">
        <v>1.9516800000000001</v>
      </c>
      <c r="GP33">
        <v>1.85537</v>
      </c>
      <c r="GQ33">
        <v>8.08947E-2</v>
      </c>
      <c r="GR33">
        <v>0</v>
      </c>
      <c r="GS33">
        <v>26.3704</v>
      </c>
      <c r="GT33">
        <v>999.9</v>
      </c>
      <c r="GU33">
        <v>50.2</v>
      </c>
      <c r="GV33">
        <v>34.700000000000003</v>
      </c>
      <c r="GW33">
        <v>27.981200000000001</v>
      </c>
      <c r="GX33">
        <v>61.5349</v>
      </c>
      <c r="GY33">
        <v>37.311700000000002</v>
      </c>
      <c r="GZ33">
        <v>1</v>
      </c>
      <c r="HA33">
        <v>0.27327699999999999</v>
      </c>
      <c r="HB33">
        <v>1.8163400000000001</v>
      </c>
      <c r="HC33">
        <v>20.2624</v>
      </c>
      <c r="HD33">
        <v>5.2102500000000003</v>
      </c>
      <c r="HE33">
        <v>11.872199999999999</v>
      </c>
      <c r="HF33">
        <v>4.9854500000000002</v>
      </c>
      <c r="HG33">
        <v>3.2839800000000001</v>
      </c>
      <c r="HH33">
        <v>9999</v>
      </c>
      <c r="HI33">
        <v>9999</v>
      </c>
      <c r="HJ33">
        <v>9999</v>
      </c>
      <c r="HK33">
        <v>999.9</v>
      </c>
      <c r="HL33">
        <v>1.85486</v>
      </c>
      <c r="HM33">
        <v>1.86083</v>
      </c>
      <c r="HN33">
        <v>1.85823</v>
      </c>
      <c r="HO33">
        <v>1.85944</v>
      </c>
      <c r="HP33">
        <v>1.85883</v>
      </c>
      <c r="HQ33">
        <v>1.8593</v>
      </c>
      <c r="HR33">
        <v>1.8576900000000001</v>
      </c>
      <c r="HS33">
        <v>1.8609899999999999</v>
      </c>
      <c r="HT33">
        <v>5</v>
      </c>
      <c r="HU33">
        <v>0</v>
      </c>
      <c r="HV33">
        <v>0</v>
      </c>
      <c r="HW33">
        <v>0</v>
      </c>
      <c r="HX33" t="s">
        <v>421</v>
      </c>
      <c r="HY33" t="s">
        <v>422</v>
      </c>
      <c r="HZ33" t="s">
        <v>423</v>
      </c>
      <c r="IA33" t="s">
        <v>423</v>
      </c>
      <c r="IB33" t="s">
        <v>423</v>
      </c>
      <c r="IC33" t="s">
        <v>423</v>
      </c>
      <c r="ID33">
        <v>0</v>
      </c>
      <c r="IE33">
        <v>100</v>
      </c>
      <c r="IF33">
        <v>100</v>
      </c>
      <c r="IG33">
        <v>1.857</v>
      </c>
      <c r="IH33">
        <v>0.1459</v>
      </c>
      <c r="II33">
        <v>1.592979105086014</v>
      </c>
      <c r="IJ33">
        <v>1.6187016317407189E-3</v>
      </c>
      <c r="IK33">
        <v>1.4341569744255341E-7</v>
      </c>
      <c r="IL33">
        <v>-2.4096625942085749E-10</v>
      </c>
      <c r="IM33">
        <v>0.145901662863336</v>
      </c>
      <c r="IN33">
        <v>0</v>
      </c>
      <c r="IO33">
        <v>0</v>
      </c>
      <c r="IP33">
        <v>0</v>
      </c>
      <c r="IQ33">
        <v>4</v>
      </c>
      <c r="IR33">
        <v>2205</v>
      </c>
      <c r="IS33">
        <v>1</v>
      </c>
      <c r="IT33">
        <v>21</v>
      </c>
      <c r="IU33">
        <v>0.8</v>
      </c>
      <c r="IV33">
        <v>0.5</v>
      </c>
      <c r="IW33">
        <v>0.57495099999999999</v>
      </c>
      <c r="IX33">
        <v>2.4487299999999999</v>
      </c>
      <c r="IY33">
        <v>1.49414</v>
      </c>
      <c r="IZ33">
        <v>2.3071299999999999</v>
      </c>
      <c r="JA33">
        <v>1.69434</v>
      </c>
      <c r="JB33">
        <v>2.33887</v>
      </c>
      <c r="JC33">
        <v>40.476500000000001</v>
      </c>
      <c r="JD33">
        <v>23.772300000000001</v>
      </c>
      <c r="JE33">
        <v>18</v>
      </c>
      <c r="JF33">
        <v>493.34199999999998</v>
      </c>
      <c r="JG33">
        <v>454.31</v>
      </c>
      <c r="JH33">
        <v>24.8674</v>
      </c>
      <c r="JI33">
        <v>30.776800000000001</v>
      </c>
      <c r="JJ33">
        <v>30</v>
      </c>
      <c r="JK33">
        <v>30.7532</v>
      </c>
      <c r="JL33">
        <v>30.731200000000001</v>
      </c>
      <c r="JM33">
        <v>11.5756</v>
      </c>
      <c r="JN33">
        <v>39.820300000000003</v>
      </c>
      <c r="JO33">
        <v>0</v>
      </c>
      <c r="JP33">
        <v>24.861699999999999</v>
      </c>
      <c r="JQ33">
        <v>200</v>
      </c>
      <c r="JR33">
        <v>18.6675</v>
      </c>
      <c r="JS33">
        <v>98.839399999999998</v>
      </c>
      <c r="JT33">
        <v>99.866299999999995</v>
      </c>
    </row>
    <row r="34" spans="1:280" x14ac:dyDescent="0.25">
      <c r="A34">
        <v>18</v>
      </c>
      <c r="B34">
        <v>1674578097.5999999</v>
      </c>
      <c r="C34">
        <v>4045</v>
      </c>
      <c r="D34" t="s">
        <v>507</v>
      </c>
      <c r="E34" t="s">
        <v>508</v>
      </c>
      <c r="F34" t="s">
        <v>412</v>
      </c>
      <c r="G34" t="s">
        <v>492</v>
      </c>
      <c r="H34" t="s">
        <v>493</v>
      </c>
      <c r="I34">
        <v>1674578097.5999999</v>
      </c>
      <c r="J34">
        <f t="shared" si="0"/>
        <v>5.624013344742349E-3</v>
      </c>
      <c r="K34">
        <f t="shared" si="1"/>
        <v>5.624013344742349</v>
      </c>
      <c r="L34">
        <f t="shared" si="2"/>
        <v>18.87465425452536</v>
      </c>
      <c r="M34">
        <f t="shared" si="3"/>
        <v>96.762799999999999</v>
      </c>
      <c r="N34">
        <f t="shared" si="4"/>
        <v>27.679227350724005</v>
      </c>
      <c r="O34">
        <f t="shared" si="5"/>
        <v>2.7614507836691002</v>
      </c>
      <c r="P34">
        <f t="shared" si="6"/>
        <v>9.6536549414565602</v>
      </c>
      <c r="Q34">
        <f t="shared" si="7"/>
        <v>0.47980521691735528</v>
      </c>
      <c r="R34">
        <f t="shared" si="8"/>
        <v>2.9234701416337825</v>
      </c>
      <c r="S34">
        <f t="shared" si="9"/>
        <v>0.43996267487912305</v>
      </c>
      <c r="T34">
        <f t="shared" si="10"/>
        <v>0.27828013706469001</v>
      </c>
      <c r="U34">
        <f t="shared" si="11"/>
        <v>344.36810126400769</v>
      </c>
      <c r="V34">
        <f t="shared" si="12"/>
        <v>28.578491748740909</v>
      </c>
      <c r="W34">
        <f t="shared" si="13"/>
        <v>27.695</v>
      </c>
      <c r="X34">
        <f t="shared" si="14"/>
        <v>3.7278867833500291</v>
      </c>
      <c r="Y34">
        <f t="shared" si="15"/>
        <v>65.640305806733124</v>
      </c>
      <c r="Z34">
        <f t="shared" si="16"/>
        <v>2.4923387605203602</v>
      </c>
      <c r="AA34">
        <f t="shared" si="17"/>
        <v>3.7969639688435239</v>
      </c>
      <c r="AB34">
        <f t="shared" si="18"/>
        <v>1.2355480228296689</v>
      </c>
      <c r="AC34">
        <f t="shared" si="19"/>
        <v>-248.01898850313759</v>
      </c>
      <c r="AD34">
        <f t="shared" si="20"/>
        <v>49.58414446795404</v>
      </c>
      <c r="AE34">
        <f t="shared" si="21"/>
        <v>3.6916073005563192</v>
      </c>
      <c r="AF34">
        <f t="shared" si="22"/>
        <v>149.62486452938046</v>
      </c>
      <c r="AG34">
        <v>0</v>
      </c>
      <c r="AH34">
        <v>0</v>
      </c>
      <c r="AI34">
        <f t="shared" si="23"/>
        <v>1</v>
      </c>
      <c r="AJ34">
        <f t="shared" si="24"/>
        <v>0</v>
      </c>
      <c r="AK34">
        <f t="shared" si="25"/>
        <v>52517.662393186765</v>
      </c>
      <c r="AL34" t="s">
        <v>415</v>
      </c>
      <c r="AM34">
        <v>10214.9</v>
      </c>
      <c r="AN34">
        <v>729.4384</v>
      </c>
      <c r="AO34">
        <v>3170.19</v>
      </c>
      <c r="AP34">
        <f t="shared" si="26"/>
        <v>0.76990704027203416</v>
      </c>
      <c r="AQ34">
        <v>-0.45549566560547827</v>
      </c>
      <c r="AR34" t="s">
        <v>509</v>
      </c>
      <c r="AS34">
        <v>10077.299999999999</v>
      </c>
      <c r="AT34">
        <v>859.06363999999996</v>
      </c>
      <c r="AU34">
        <v>1015.226370637661</v>
      </c>
      <c r="AV34">
        <f t="shared" si="27"/>
        <v>0.15382060115280072</v>
      </c>
      <c r="AW34">
        <v>0.5</v>
      </c>
      <c r="AX34">
        <f t="shared" si="28"/>
        <v>1513.1766006320036</v>
      </c>
      <c r="AY34">
        <f t="shared" si="29"/>
        <v>18.87465425452536</v>
      </c>
      <c r="AZ34">
        <f t="shared" si="30"/>
        <v>116.37886717978311</v>
      </c>
      <c r="BA34">
        <f t="shared" si="31"/>
        <v>1.2774549852315506E-2</v>
      </c>
      <c r="BB34">
        <f t="shared" si="32"/>
        <v>2.1226434731091666</v>
      </c>
      <c r="BC34">
        <f t="shared" si="33"/>
        <v>490.08048453115401</v>
      </c>
      <c r="BD34" t="s">
        <v>510</v>
      </c>
      <c r="BE34">
        <v>571.66999999999996</v>
      </c>
      <c r="BF34">
        <f t="shared" si="34"/>
        <v>571.66999999999996</v>
      </c>
      <c r="BG34">
        <f t="shared" si="35"/>
        <v>0.43690390977439297</v>
      </c>
      <c r="BH34">
        <f t="shared" si="36"/>
        <v>0.35206963753707327</v>
      </c>
      <c r="BI34">
        <f t="shared" si="37"/>
        <v>0.82930423062448588</v>
      </c>
      <c r="BJ34">
        <f t="shared" si="38"/>
        <v>0.54642863479951531</v>
      </c>
      <c r="BK34">
        <f t="shared" si="39"/>
        <v>0.88290985013072976</v>
      </c>
      <c r="BL34">
        <f t="shared" si="40"/>
        <v>0.23428724057139547</v>
      </c>
      <c r="BM34">
        <f t="shared" si="41"/>
        <v>0.76571275942860451</v>
      </c>
      <c r="BN34">
        <v>9092</v>
      </c>
      <c r="BO34">
        <v>290.00000000000011</v>
      </c>
      <c r="BP34">
        <v>977.22</v>
      </c>
      <c r="BQ34">
        <v>245</v>
      </c>
      <c r="BR34">
        <v>10077.299999999999</v>
      </c>
      <c r="BS34">
        <v>976.78</v>
      </c>
      <c r="BT34">
        <v>0.44</v>
      </c>
      <c r="BU34">
        <v>300.00000000000011</v>
      </c>
      <c r="BV34">
        <v>24.2</v>
      </c>
      <c r="BW34">
        <v>1015.226370637661</v>
      </c>
      <c r="BX34">
        <v>1.7968174121057101</v>
      </c>
      <c r="BY34">
        <v>-38.74838426830668</v>
      </c>
      <c r="BZ34">
        <v>1.612028609371563</v>
      </c>
      <c r="CA34">
        <v>0.95377851839707273</v>
      </c>
      <c r="CB34">
        <v>-6.8852451612903334E-3</v>
      </c>
      <c r="CC34">
        <v>289.99999999999989</v>
      </c>
      <c r="CD34">
        <v>977.22</v>
      </c>
      <c r="CE34">
        <v>655</v>
      </c>
      <c r="CF34">
        <v>10057.200000000001</v>
      </c>
      <c r="CG34">
        <v>976.7</v>
      </c>
      <c r="CH34">
        <v>0.52</v>
      </c>
      <c r="CV34">
        <f t="shared" si="42"/>
        <v>1799.99</v>
      </c>
      <c r="CW34">
        <f t="shared" si="43"/>
        <v>1513.1766006320036</v>
      </c>
      <c r="CX34">
        <f t="shared" si="44"/>
        <v>0.84065833734187612</v>
      </c>
      <c r="CY34">
        <f t="shared" si="45"/>
        <v>0.19131667468375252</v>
      </c>
      <c r="CZ34">
        <v>6</v>
      </c>
      <c r="DA34">
        <v>0.5</v>
      </c>
      <c r="DB34" t="s">
        <v>418</v>
      </c>
      <c r="DC34">
        <v>2</v>
      </c>
      <c r="DD34">
        <v>1674578097.5999999</v>
      </c>
      <c r="DE34">
        <v>96.762799999999999</v>
      </c>
      <c r="DF34">
        <v>120.065</v>
      </c>
      <c r="DG34">
        <v>24.9818</v>
      </c>
      <c r="DH34">
        <v>18.401700000000002</v>
      </c>
      <c r="DI34">
        <v>95.165099999999995</v>
      </c>
      <c r="DJ34">
        <v>24.8399</v>
      </c>
      <c r="DK34">
        <v>500.00900000000001</v>
      </c>
      <c r="DL34">
        <v>99.666300000000007</v>
      </c>
      <c r="DM34">
        <v>9.9880200000000002E-2</v>
      </c>
      <c r="DN34">
        <v>28.009599999999999</v>
      </c>
      <c r="DO34">
        <v>27.695</v>
      </c>
      <c r="DP34">
        <v>999.9</v>
      </c>
      <c r="DQ34">
        <v>0</v>
      </c>
      <c r="DR34">
        <v>0</v>
      </c>
      <c r="DS34">
        <v>9998.75</v>
      </c>
      <c r="DT34">
        <v>0</v>
      </c>
      <c r="DU34">
        <v>340.209</v>
      </c>
      <c r="DV34">
        <v>-23.302399999999999</v>
      </c>
      <c r="DW34">
        <v>99.242000000000004</v>
      </c>
      <c r="DX34">
        <v>122.316</v>
      </c>
      <c r="DY34">
        <v>6.5800599999999996</v>
      </c>
      <c r="DZ34">
        <v>120.065</v>
      </c>
      <c r="EA34">
        <v>18.401700000000002</v>
      </c>
      <c r="EB34">
        <v>2.4898400000000001</v>
      </c>
      <c r="EC34">
        <v>1.83403</v>
      </c>
      <c r="ED34">
        <v>20.9602</v>
      </c>
      <c r="EE34">
        <v>16.079899999999999</v>
      </c>
      <c r="EF34">
        <v>1799.99</v>
      </c>
      <c r="EG34">
        <v>0.97799599999999998</v>
      </c>
      <c r="EH34">
        <v>2.20038E-2</v>
      </c>
      <c r="EI34">
        <v>0</v>
      </c>
      <c r="EJ34">
        <v>858.96</v>
      </c>
      <c r="EK34">
        <v>4.9990399999999999</v>
      </c>
      <c r="EL34">
        <v>16172.3</v>
      </c>
      <c r="EM34">
        <v>14820.6</v>
      </c>
      <c r="EN34">
        <v>47.686999999999998</v>
      </c>
      <c r="EO34">
        <v>49.186999999999998</v>
      </c>
      <c r="EP34">
        <v>48.686999999999998</v>
      </c>
      <c r="EQ34">
        <v>47.561999999999998</v>
      </c>
      <c r="ER34">
        <v>48.625</v>
      </c>
      <c r="ES34">
        <v>1755.49</v>
      </c>
      <c r="ET34">
        <v>39.5</v>
      </c>
      <c r="EU34">
        <v>0</v>
      </c>
      <c r="EV34">
        <v>117</v>
      </c>
      <c r="EW34">
        <v>0</v>
      </c>
      <c r="EX34">
        <v>859.06363999999996</v>
      </c>
      <c r="EY34">
        <v>-2.3503076951218569</v>
      </c>
      <c r="EZ34">
        <v>-54.361538379103678</v>
      </c>
      <c r="FA34">
        <v>16178.596</v>
      </c>
      <c r="FB34">
        <v>15</v>
      </c>
      <c r="FC34">
        <v>1674578064.5999999</v>
      </c>
      <c r="FD34" t="s">
        <v>511</v>
      </c>
      <c r="FE34">
        <v>1674578048.5999999</v>
      </c>
      <c r="FF34">
        <v>1674578064.5999999</v>
      </c>
      <c r="FG34">
        <v>24</v>
      </c>
      <c r="FH34">
        <v>-0.151</v>
      </c>
      <c r="FI34">
        <v>-4.0000000000000001E-3</v>
      </c>
      <c r="FJ34">
        <v>1.6359999999999999</v>
      </c>
      <c r="FK34">
        <v>0.1</v>
      </c>
      <c r="FL34">
        <v>120</v>
      </c>
      <c r="FM34">
        <v>18</v>
      </c>
      <c r="FN34">
        <v>7.0000000000000007E-2</v>
      </c>
      <c r="FO34">
        <v>0.02</v>
      </c>
      <c r="FP34">
        <v>18.842086758430082</v>
      </c>
      <c r="FQ34">
        <v>2.5598916810777451E-2</v>
      </c>
      <c r="FR34">
        <v>3.2423791610279327E-2</v>
      </c>
      <c r="FS34">
        <v>1</v>
      </c>
      <c r="FT34">
        <v>0.47091590578845632</v>
      </c>
      <c r="FU34">
        <v>4.6471246877626077E-2</v>
      </c>
      <c r="FV34">
        <v>4.7894411570880719E-3</v>
      </c>
      <c r="FW34">
        <v>1</v>
      </c>
      <c r="FX34">
        <v>2</v>
      </c>
      <c r="FY34">
        <v>2</v>
      </c>
      <c r="FZ34" t="s">
        <v>420</v>
      </c>
      <c r="GA34">
        <v>2.9340799999999998</v>
      </c>
      <c r="GB34">
        <v>2.8333300000000001</v>
      </c>
      <c r="GC34">
        <v>2.5951700000000001E-2</v>
      </c>
      <c r="GD34">
        <v>3.1589100000000002E-2</v>
      </c>
      <c r="GE34">
        <v>0.122838</v>
      </c>
      <c r="GF34">
        <v>9.5894300000000002E-2</v>
      </c>
      <c r="GG34">
        <v>25171.8</v>
      </c>
      <c r="GH34">
        <v>31687.9</v>
      </c>
      <c r="GI34">
        <v>23249.8</v>
      </c>
      <c r="GJ34">
        <v>29976.400000000001</v>
      </c>
      <c r="GK34">
        <v>27729.9</v>
      </c>
      <c r="GL34">
        <v>38525.4</v>
      </c>
      <c r="GM34">
        <v>32801.9</v>
      </c>
      <c r="GN34">
        <v>44458</v>
      </c>
      <c r="GO34">
        <v>1.9514</v>
      </c>
      <c r="GP34">
        <v>1.85328</v>
      </c>
      <c r="GQ34">
        <v>7.3909799999999998E-2</v>
      </c>
      <c r="GR34">
        <v>0</v>
      </c>
      <c r="GS34">
        <v>26.486499999999999</v>
      </c>
      <c r="GT34">
        <v>999.9</v>
      </c>
      <c r="GU34">
        <v>50</v>
      </c>
      <c r="GV34">
        <v>34.799999999999997</v>
      </c>
      <c r="GW34">
        <v>28.023700000000002</v>
      </c>
      <c r="GX34">
        <v>61.424900000000001</v>
      </c>
      <c r="GY34">
        <v>37.271599999999999</v>
      </c>
      <c r="GZ34">
        <v>1</v>
      </c>
      <c r="HA34">
        <v>0.27812799999999999</v>
      </c>
      <c r="HB34">
        <v>1.91428</v>
      </c>
      <c r="HC34">
        <v>20.261900000000001</v>
      </c>
      <c r="HD34">
        <v>5.2105499999999996</v>
      </c>
      <c r="HE34">
        <v>11.872199999999999</v>
      </c>
      <c r="HF34">
        <v>4.9852999999999996</v>
      </c>
      <c r="HG34">
        <v>3.2839999999999998</v>
      </c>
      <c r="HH34">
        <v>9999</v>
      </c>
      <c r="HI34">
        <v>9999</v>
      </c>
      <c r="HJ34">
        <v>9999</v>
      </c>
      <c r="HK34">
        <v>999.9</v>
      </c>
      <c r="HL34">
        <v>1.8548500000000001</v>
      </c>
      <c r="HM34">
        <v>1.86087</v>
      </c>
      <c r="HN34">
        <v>1.85823</v>
      </c>
      <c r="HO34">
        <v>1.85944</v>
      </c>
      <c r="HP34">
        <v>1.85883</v>
      </c>
      <c r="HQ34">
        <v>1.8593200000000001</v>
      </c>
      <c r="HR34">
        <v>1.8577399999999999</v>
      </c>
      <c r="HS34">
        <v>1.8609899999999999</v>
      </c>
      <c r="HT34">
        <v>5</v>
      </c>
      <c r="HU34">
        <v>0</v>
      </c>
      <c r="HV34">
        <v>0</v>
      </c>
      <c r="HW34">
        <v>0</v>
      </c>
      <c r="HX34" t="s">
        <v>421</v>
      </c>
      <c r="HY34" t="s">
        <v>422</v>
      </c>
      <c r="HZ34" t="s">
        <v>423</v>
      </c>
      <c r="IA34" t="s">
        <v>423</v>
      </c>
      <c r="IB34" t="s">
        <v>423</v>
      </c>
      <c r="IC34" t="s">
        <v>423</v>
      </c>
      <c r="ID34">
        <v>0</v>
      </c>
      <c r="IE34">
        <v>100</v>
      </c>
      <c r="IF34">
        <v>100</v>
      </c>
      <c r="IG34">
        <v>1.5980000000000001</v>
      </c>
      <c r="IH34">
        <v>0.1419</v>
      </c>
      <c r="II34">
        <v>1.442517106350669</v>
      </c>
      <c r="IJ34">
        <v>1.6187016317407189E-3</v>
      </c>
      <c r="IK34">
        <v>1.4341569744255341E-7</v>
      </c>
      <c r="IL34">
        <v>-2.4096625942085749E-10</v>
      </c>
      <c r="IM34">
        <v>0.14185066867389631</v>
      </c>
      <c r="IN34">
        <v>0</v>
      </c>
      <c r="IO34">
        <v>0</v>
      </c>
      <c r="IP34">
        <v>0</v>
      </c>
      <c r="IQ34">
        <v>4</v>
      </c>
      <c r="IR34">
        <v>2205</v>
      </c>
      <c r="IS34">
        <v>1</v>
      </c>
      <c r="IT34">
        <v>21</v>
      </c>
      <c r="IU34">
        <v>0.8</v>
      </c>
      <c r="IV34">
        <v>0.6</v>
      </c>
      <c r="IW34">
        <v>0.400391</v>
      </c>
      <c r="IX34">
        <v>2.4670399999999999</v>
      </c>
      <c r="IY34">
        <v>1.49414</v>
      </c>
      <c r="IZ34">
        <v>2.3071299999999999</v>
      </c>
      <c r="JA34">
        <v>1.69434</v>
      </c>
      <c r="JB34">
        <v>2.36938</v>
      </c>
      <c r="JC34">
        <v>40.578699999999998</v>
      </c>
      <c r="JD34">
        <v>23.772300000000001</v>
      </c>
      <c r="JE34">
        <v>18</v>
      </c>
      <c r="JF34">
        <v>493.31799999999998</v>
      </c>
      <c r="JG34">
        <v>452.952</v>
      </c>
      <c r="JH34">
        <v>24.843</v>
      </c>
      <c r="JI34">
        <v>30.824300000000001</v>
      </c>
      <c r="JJ34">
        <v>30.000399999999999</v>
      </c>
      <c r="JK34">
        <v>30.7715</v>
      </c>
      <c r="JL34">
        <v>30.744599999999998</v>
      </c>
      <c r="JM34">
        <v>8.0870300000000004</v>
      </c>
      <c r="JN34">
        <v>41.561799999999998</v>
      </c>
      <c r="JO34">
        <v>0</v>
      </c>
      <c r="JP34">
        <v>24.836400000000001</v>
      </c>
      <c r="JQ34">
        <v>120</v>
      </c>
      <c r="JR34">
        <v>18.273399999999999</v>
      </c>
      <c r="JS34">
        <v>98.831299999999999</v>
      </c>
      <c r="JT34">
        <v>99.855699999999999</v>
      </c>
    </row>
    <row r="35" spans="1:280" x14ac:dyDescent="0.25">
      <c r="A35">
        <v>19</v>
      </c>
      <c r="B35">
        <v>1674578210.0999999</v>
      </c>
      <c r="C35">
        <v>4157.5</v>
      </c>
      <c r="D35" t="s">
        <v>512</v>
      </c>
      <c r="E35" t="s">
        <v>513</v>
      </c>
      <c r="F35" t="s">
        <v>412</v>
      </c>
      <c r="G35" t="s">
        <v>492</v>
      </c>
      <c r="H35" t="s">
        <v>493</v>
      </c>
      <c r="I35">
        <v>1674578210.0999999</v>
      </c>
      <c r="J35">
        <f t="shared" si="0"/>
        <v>5.9043546766304588E-3</v>
      </c>
      <c r="K35">
        <f t="shared" si="1"/>
        <v>5.9043546766304589</v>
      </c>
      <c r="L35">
        <f t="shared" si="2"/>
        <v>11.354684642593995</v>
      </c>
      <c r="M35">
        <f t="shared" si="3"/>
        <v>55.975700000000003</v>
      </c>
      <c r="N35">
        <f t="shared" si="4"/>
        <v>16.203304913238927</v>
      </c>
      <c r="O35">
        <f t="shared" si="5"/>
        <v>1.6167565640064501</v>
      </c>
      <c r="P35">
        <f t="shared" si="6"/>
        <v>5.5852235629975393</v>
      </c>
      <c r="Q35">
        <f t="shared" si="7"/>
        <v>0.50322037857510116</v>
      </c>
      <c r="R35">
        <f t="shared" si="8"/>
        <v>2.9241333097594069</v>
      </c>
      <c r="S35">
        <f t="shared" si="9"/>
        <v>0.45959243919576998</v>
      </c>
      <c r="T35">
        <f t="shared" si="10"/>
        <v>0.2908492143851687</v>
      </c>
      <c r="U35">
        <f t="shared" si="11"/>
        <v>344.41748809904601</v>
      </c>
      <c r="V35">
        <f t="shared" si="12"/>
        <v>28.501182731493703</v>
      </c>
      <c r="W35">
        <f t="shared" si="13"/>
        <v>27.674700000000001</v>
      </c>
      <c r="X35">
        <f t="shared" si="14"/>
        <v>3.7234673917566887</v>
      </c>
      <c r="Y35">
        <f t="shared" si="15"/>
        <v>65.37106048832058</v>
      </c>
      <c r="Z35">
        <f t="shared" si="16"/>
        <v>2.4814645890978997</v>
      </c>
      <c r="AA35">
        <f t="shared" si="17"/>
        <v>3.795968079087912</v>
      </c>
      <c r="AB35">
        <f t="shared" si="18"/>
        <v>1.242002802658789</v>
      </c>
      <c r="AC35">
        <f t="shared" si="19"/>
        <v>-260.38204123940324</v>
      </c>
      <c r="AD35">
        <f t="shared" si="20"/>
        <v>52.086197098595107</v>
      </c>
      <c r="AE35">
        <f t="shared" si="21"/>
        <v>3.8765298075959995</v>
      </c>
      <c r="AF35">
        <f t="shared" si="22"/>
        <v>139.99817376583388</v>
      </c>
      <c r="AG35">
        <v>0</v>
      </c>
      <c r="AH35">
        <v>0</v>
      </c>
      <c r="AI35">
        <f t="shared" si="23"/>
        <v>1</v>
      </c>
      <c r="AJ35">
        <f t="shared" si="24"/>
        <v>0</v>
      </c>
      <c r="AK35">
        <f t="shared" si="25"/>
        <v>52537.80011344923</v>
      </c>
      <c r="AL35" t="s">
        <v>415</v>
      </c>
      <c r="AM35">
        <v>10214.9</v>
      </c>
      <c r="AN35">
        <v>729.4384</v>
      </c>
      <c r="AO35">
        <v>3170.19</v>
      </c>
      <c r="AP35">
        <f t="shared" si="26"/>
        <v>0.76990704027203416</v>
      </c>
      <c r="AQ35">
        <v>-0.45549566560547827</v>
      </c>
      <c r="AR35" t="s">
        <v>514</v>
      </c>
      <c r="AS35">
        <v>10076.799999999999</v>
      </c>
      <c r="AT35">
        <v>878.12657692307687</v>
      </c>
      <c r="AU35">
        <v>988.56717048343023</v>
      </c>
      <c r="AV35">
        <f t="shared" si="27"/>
        <v>0.11171784463198953</v>
      </c>
      <c r="AW35">
        <v>0.5</v>
      </c>
      <c r="AX35">
        <f t="shared" si="28"/>
        <v>1513.3949940495231</v>
      </c>
      <c r="AY35">
        <f t="shared" si="29"/>
        <v>11.354684642593995</v>
      </c>
      <c r="AZ35">
        <f t="shared" si="30"/>
        <v>84.536613406027669</v>
      </c>
      <c r="BA35">
        <f t="shared" si="31"/>
        <v>7.8037659399136398E-3</v>
      </c>
      <c r="BB35">
        <f t="shared" si="32"/>
        <v>2.2068534083017446</v>
      </c>
      <c r="BC35">
        <f t="shared" si="33"/>
        <v>483.78258567490371</v>
      </c>
      <c r="BD35" t="s">
        <v>515</v>
      </c>
      <c r="BE35">
        <v>580.71</v>
      </c>
      <c r="BF35">
        <f t="shared" si="34"/>
        <v>580.71</v>
      </c>
      <c r="BG35">
        <f t="shared" si="35"/>
        <v>0.41257405936713376</v>
      </c>
      <c r="BH35">
        <f t="shared" si="36"/>
        <v>0.2707825227872025</v>
      </c>
      <c r="BI35">
        <f t="shared" si="37"/>
        <v>0.84249456628997699</v>
      </c>
      <c r="BJ35">
        <f t="shared" si="38"/>
        <v>0.42619965878090482</v>
      </c>
      <c r="BK35">
        <f t="shared" si="39"/>
        <v>0.89383238733370884</v>
      </c>
      <c r="BL35">
        <f t="shared" si="40"/>
        <v>0.17906999166195489</v>
      </c>
      <c r="BM35">
        <f t="shared" si="41"/>
        <v>0.82093000833804508</v>
      </c>
      <c r="BN35">
        <v>9094</v>
      </c>
      <c r="BO35">
        <v>290.00000000000011</v>
      </c>
      <c r="BP35">
        <v>963.61</v>
      </c>
      <c r="BQ35">
        <v>245</v>
      </c>
      <c r="BR35">
        <v>10076.799999999999</v>
      </c>
      <c r="BS35">
        <v>963.92</v>
      </c>
      <c r="BT35">
        <v>-0.31</v>
      </c>
      <c r="BU35">
        <v>300.00000000000011</v>
      </c>
      <c r="BV35">
        <v>24.2</v>
      </c>
      <c r="BW35">
        <v>988.56717048343023</v>
      </c>
      <c r="BX35">
        <v>1.89902817926542</v>
      </c>
      <c r="BY35">
        <v>-24.83319222190136</v>
      </c>
      <c r="BZ35">
        <v>1.703633305364652</v>
      </c>
      <c r="CA35">
        <v>0.88356496893914949</v>
      </c>
      <c r="CB35">
        <v>-6.8848362625139057E-3</v>
      </c>
      <c r="CC35">
        <v>289.99999999999989</v>
      </c>
      <c r="CD35">
        <v>963.42</v>
      </c>
      <c r="CE35">
        <v>695</v>
      </c>
      <c r="CF35">
        <v>10054.4</v>
      </c>
      <c r="CG35">
        <v>963.87</v>
      </c>
      <c r="CH35">
        <v>-0.45</v>
      </c>
      <c r="CV35">
        <f t="shared" si="42"/>
        <v>1800.25</v>
      </c>
      <c r="CW35">
        <f t="shared" si="43"/>
        <v>1513.3949940495231</v>
      </c>
      <c r="CX35">
        <f t="shared" si="44"/>
        <v>0.84065823860548428</v>
      </c>
      <c r="CY35">
        <f t="shared" si="45"/>
        <v>0.19131647721096848</v>
      </c>
      <c r="CZ35">
        <v>6</v>
      </c>
      <c r="DA35">
        <v>0.5</v>
      </c>
      <c r="DB35" t="s">
        <v>418</v>
      </c>
      <c r="DC35">
        <v>2</v>
      </c>
      <c r="DD35">
        <v>1674578210.0999999</v>
      </c>
      <c r="DE35">
        <v>55.975700000000003</v>
      </c>
      <c r="DF35">
        <v>69.999099999999999</v>
      </c>
      <c r="DG35">
        <v>24.869499999999999</v>
      </c>
      <c r="DH35">
        <v>17.959900000000001</v>
      </c>
      <c r="DI35">
        <v>54.522599999999997</v>
      </c>
      <c r="DJ35">
        <v>24.731400000000001</v>
      </c>
      <c r="DK35">
        <v>499.95800000000003</v>
      </c>
      <c r="DL35">
        <v>99.679599999999994</v>
      </c>
      <c r="DM35">
        <v>9.9832199999999996E-2</v>
      </c>
      <c r="DN35">
        <v>28.005099999999999</v>
      </c>
      <c r="DO35">
        <v>27.674700000000001</v>
      </c>
      <c r="DP35">
        <v>999.9</v>
      </c>
      <c r="DQ35">
        <v>0</v>
      </c>
      <c r="DR35">
        <v>0</v>
      </c>
      <c r="DS35">
        <v>10001.200000000001</v>
      </c>
      <c r="DT35">
        <v>0</v>
      </c>
      <c r="DU35">
        <v>336.464</v>
      </c>
      <c r="DV35">
        <v>-14.023400000000001</v>
      </c>
      <c r="DW35">
        <v>57.403300000000002</v>
      </c>
      <c r="DX35">
        <v>71.279300000000006</v>
      </c>
      <c r="DY35">
        <v>6.9096700000000002</v>
      </c>
      <c r="DZ35">
        <v>69.999099999999999</v>
      </c>
      <c r="EA35">
        <v>17.959900000000001</v>
      </c>
      <c r="EB35">
        <v>2.47899</v>
      </c>
      <c r="EC35">
        <v>1.79023</v>
      </c>
      <c r="ED35">
        <v>20.889199999999999</v>
      </c>
      <c r="EE35">
        <v>15.7018</v>
      </c>
      <c r="EF35">
        <v>1800.25</v>
      </c>
      <c r="EG35">
        <v>0.97799999999999998</v>
      </c>
      <c r="EH35">
        <v>2.2000100000000002E-2</v>
      </c>
      <c r="EI35">
        <v>0</v>
      </c>
      <c r="EJ35">
        <v>877.88499999999999</v>
      </c>
      <c r="EK35">
        <v>4.9990399999999999</v>
      </c>
      <c r="EL35">
        <v>16510.900000000001</v>
      </c>
      <c r="EM35">
        <v>14822.8</v>
      </c>
      <c r="EN35">
        <v>47.811999999999998</v>
      </c>
      <c r="EO35">
        <v>49.311999999999998</v>
      </c>
      <c r="EP35">
        <v>48.75</v>
      </c>
      <c r="EQ35">
        <v>47.686999999999998</v>
      </c>
      <c r="ER35">
        <v>48.686999999999998</v>
      </c>
      <c r="ES35">
        <v>1755.76</v>
      </c>
      <c r="ET35">
        <v>39.5</v>
      </c>
      <c r="EU35">
        <v>0</v>
      </c>
      <c r="EV35">
        <v>110.5999999046326</v>
      </c>
      <c r="EW35">
        <v>0</v>
      </c>
      <c r="EX35">
        <v>878.12657692307687</v>
      </c>
      <c r="EY35">
        <v>-1.9646837472086049</v>
      </c>
      <c r="EZ35">
        <v>-35.035897382497978</v>
      </c>
      <c r="FA35">
        <v>16513.376923076921</v>
      </c>
      <c r="FB35">
        <v>15</v>
      </c>
      <c r="FC35">
        <v>1674578174.5999999</v>
      </c>
      <c r="FD35" t="s">
        <v>516</v>
      </c>
      <c r="FE35">
        <v>1674578165.0999999</v>
      </c>
      <c r="FF35">
        <v>1674578174.5999999</v>
      </c>
      <c r="FG35">
        <v>25</v>
      </c>
      <c r="FH35">
        <v>-7.8E-2</v>
      </c>
      <c r="FI35">
        <v>-4.0000000000000001E-3</v>
      </c>
      <c r="FJ35">
        <v>1.476</v>
      </c>
      <c r="FK35">
        <v>9.0999999999999998E-2</v>
      </c>
      <c r="FL35">
        <v>70</v>
      </c>
      <c r="FM35">
        <v>18</v>
      </c>
      <c r="FN35">
        <v>0.14000000000000001</v>
      </c>
      <c r="FO35">
        <v>0.02</v>
      </c>
      <c r="FP35">
        <v>11.3652821978368</v>
      </c>
      <c r="FQ35">
        <v>-0.1456667139946381</v>
      </c>
      <c r="FR35">
        <v>4.1794313904570127E-2</v>
      </c>
      <c r="FS35">
        <v>1</v>
      </c>
      <c r="FT35">
        <v>0.50392539778624834</v>
      </c>
      <c r="FU35">
        <v>3.7696094682160772E-2</v>
      </c>
      <c r="FV35">
        <v>5.8388494364741651E-3</v>
      </c>
      <c r="FW35">
        <v>1</v>
      </c>
      <c r="FX35">
        <v>2</v>
      </c>
      <c r="FY35">
        <v>2</v>
      </c>
      <c r="FZ35" t="s">
        <v>420</v>
      </c>
      <c r="GA35">
        <v>2.9338500000000001</v>
      </c>
      <c r="GB35">
        <v>2.8332999999999999</v>
      </c>
      <c r="GC35">
        <v>1.51427E-2</v>
      </c>
      <c r="GD35">
        <v>1.8863100000000001E-2</v>
      </c>
      <c r="GE35">
        <v>0.12246600000000001</v>
      </c>
      <c r="GF35">
        <v>9.4257999999999995E-2</v>
      </c>
      <c r="GG35">
        <v>25447.7</v>
      </c>
      <c r="GH35">
        <v>32098.9</v>
      </c>
      <c r="GI35">
        <v>23247.200000000001</v>
      </c>
      <c r="GJ35">
        <v>29972.1</v>
      </c>
      <c r="GK35">
        <v>27739.3</v>
      </c>
      <c r="GL35">
        <v>38591.1</v>
      </c>
      <c r="GM35">
        <v>32798.800000000003</v>
      </c>
      <c r="GN35">
        <v>44452.6</v>
      </c>
      <c r="GO35">
        <v>1.9508799999999999</v>
      </c>
      <c r="GP35">
        <v>1.8503700000000001</v>
      </c>
      <c r="GQ35">
        <v>6.6645399999999994E-2</v>
      </c>
      <c r="GR35">
        <v>0</v>
      </c>
      <c r="GS35">
        <v>26.585100000000001</v>
      </c>
      <c r="GT35">
        <v>999.9</v>
      </c>
      <c r="GU35">
        <v>49.9</v>
      </c>
      <c r="GV35">
        <v>34.9</v>
      </c>
      <c r="GW35">
        <v>28.119800000000001</v>
      </c>
      <c r="GX35">
        <v>61.2849</v>
      </c>
      <c r="GY35">
        <v>37.319699999999997</v>
      </c>
      <c r="GZ35">
        <v>1</v>
      </c>
      <c r="HA35">
        <v>0.28575699999999998</v>
      </c>
      <c r="HB35">
        <v>1.98336</v>
      </c>
      <c r="HC35">
        <v>20.260200000000001</v>
      </c>
      <c r="HD35">
        <v>5.2069599999999996</v>
      </c>
      <c r="HE35">
        <v>11.872199999999999</v>
      </c>
      <c r="HF35">
        <v>4.9840499999999999</v>
      </c>
      <c r="HG35">
        <v>3.2833999999999999</v>
      </c>
      <c r="HH35">
        <v>9999</v>
      </c>
      <c r="HI35">
        <v>9999</v>
      </c>
      <c r="HJ35">
        <v>9999</v>
      </c>
      <c r="HK35">
        <v>999.9</v>
      </c>
      <c r="HL35">
        <v>1.85486</v>
      </c>
      <c r="HM35">
        <v>1.86093</v>
      </c>
      <c r="HN35">
        <v>1.8583000000000001</v>
      </c>
      <c r="HO35">
        <v>1.85944</v>
      </c>
      <c r="HP35">
        <v>1.85884</v>
      </c>
      <c r="HQ35">
        <v>1.8593900000000001</v>
      </c>
      <c r="HR35">
        <v>1.8577399999999999</v>
      </c>
      <c r="HS35">
        <v>1.8610899999999999</v>
      </c>
      <c r="HT35">
        <v>5</v>
      </c>
      <c r="HU35">
        <v>0</v>
      </c>
      <c r="HV35">
        <v>0</v>
      </c>
      <c r="HW35">
        <v>0</v>
      </c>
      <c r="HX35" t="s">
        <v>421</v>
      </c>
      <c r="HY35" t="s">
        <v>422</v>
      </c>
      <c r="HZ35" t="s">
        <v>423</v>
      </c>
      <c r="IA35" t="s">
        <v>423</v>
      </c>
      <c r="IB35" t="s">
        <v>423</v>
      </c>
      <c r="IC35" t="s">
        <v>423</v>
      </c>
      <c r="ID35">
        <v>0</v>
      </c>
      <c r="IE35">
        <v>100</v>
      </c>
      <c r="IF35">
        <v>100</v>
      </c>
      <c r="IG35">
        <v>1.4530000000000001</v>
      </c>
      <c r="IH35">
        <v>0.1381</v>
      </c>
      <c r="II35">
        <v>1.364462345372135</v>
      </c>
      <c r="IJ35">
        <v>1.6187016317407189E-3</v>
      </c>
      <c r="IK35">
        <v>1.4341569744255341E-7</v>
      </c>
      <c r="IL35">
        <v>-2.4096625942085749E-10</v>
      </c>
      <c r="IM35">
        <v>0.1381569193316235</v>
      </c>
      <c r="IN35">
        <v>0</v>
      </c>
      <c r="IO35">
        <v>0</v>
      </c>
      <c r="IP35">
        <v>0</v>
      </c>
      <c r="IQ35">
        <v>4</v>
      </c>
      <c r="IR35">
        <v>2205</v>
      </c>
      <c r="IS35">
        <v>1</v>
      </c>
      <c r="IT35">
        <v>21</v>
      </c>
      <c r="IU35">
        <v>0.8</v>
      </c>
      <c r="IV35">
        <v>0.6</v>
      </c>
      <c r="IW35">
        <v>0.29052699999999998</v>
      </c>
      <c r="IX35">
        <v>2.4841299999999999</v>
      </c>
      <c r="IY35">
        <v>1.49414</v>
      </c>
      <c r="IZ35">
        <v>2.3071299999999999</v>
      </c>
      <c r="JA35">
        <v>1.69434</v>
      </c>
      <c r="JB35">
        <v>2.3767100000000001</v>
      </c>
      <c r="JC35">
        <v>40.629800000000003</v>
      </c>
      <c r="JD35">
        <v>23.763500000000001</v>
      </c>
      <c r="JE35">
        <v>18</v>
      </c>
      <c r="JF35">
        <v>493.42899999999997</v>
      </c>
      <c r="JG35">
        <v>451.33499999999998</v>
      </c>
      <c r="JH35">
        <v>24.8218</v>
      </c>
      <c r="JI35">
        <v>30.909300000000002</v>
      </c>
      <c r="JJ35">
        <v>30.000399999999999</v>
      </c>
      <c r="JK35">
        <v>30.825600000000001</v>
      </c>
      <c r="JL35">
        <v>30.793099999999999</v>
      </c>
      <c r="JM35">
        <v>5.8847300000000002</v>
      </c>
      <c r="JN35">
        <v>42.6143</v>
      </c>
      <c r="JO35">
        <v>0</v>
      </c>
      <c r="JP35">
        <v>24.820799999999998</v>
      </c>
      <c r="JQ35">
        <v>70</v>
      </c>
      <c r="JR35">
        <v>17.950199999999999</v>
      </c>
      <c r="JS35">
        <v>98.821200000000005</v>
      </c>
      <c r="JT35">
        <v>99.842600000000004</v>
      </c>
    </row>
    <row r="36" spans="1:280" x14ac:dyDescent="0.25">
      <c r="A36">
        <v>20</v>
      </c>
      <c r="B36">
        <v>1674578321.5999999</v>
      </c>
      <c r="C36">
        <v>4269</v>
      </c>
      <c r="D36" t="s">
        <v>517</v>
      </c>
      <c r="E36" t="s">
        <v>518</v>
      </c>
      <c r="F36" t="s">
        <v>412</v>
      </c>
      <c r="G36" t="s">
        <v>492</v>
      </c>
      <c r="H36" t="s">
        <v>493</v>
      </c>
      <c r="I36">
        <v>1674578321.5999999</v>
      </c>
      <c r="J36">
        <f t="shared" si="0"/>
        <v>6.1486607846372799E-3</v>
      </c>
      <c r="K36">
        <f t="shared" si="1"/>
        <v>6.1486607846372801</v>
      </c>
      <c r="L36">
        <f t="shared" si="2"/>
        <v>4.8450444871951737</v>
      </c>
      <c r="M36">
        <f t="shared" si="3"/>
        <v>24.0045</v>
      </c>
      <c r="N36">
        <f t="shared" si="4"/>
        <v>7.7838779216122385</v>
      </c>
      <c r="O36">
        <f t="shared" si="5"/>
        <v>0.77678665625662624</v>
      </c>
      <c r="P36">
        <f t="shared" si="6"/>
        <v>2.3955122983545003</v>
      </c>
      <c r="Q36">
        <f t="shared" si="7"/>
        <v>0.52937661807431358</v>
      </c>
      <c r="R36">
        <f t="shared" si="8"/>
        <v>2.9167155382883232</v>
      </c>
      <c r="S36">
        <f t="shared" si="9"/>
        <v>0.48121678023194181</v>
      </c>
      <c r="T36">
        <f t="shared" si="10"/>
        <v>0.30472151065943465</v>
      </c>
      <c r="U36">
        <f t="shared" si="11"/>
        <v>344.35478809686407</v>
      </c>
      <c r="V36">
        <f t="shared" si="12"/>
        <v>28.437934126806866</v>
      </c>
      <c r="W36">
        <f t="shared" si="13"/>
        <v>27.6706</v>
      </c>
      <c r="X36">
        <f t="shared" si="14"/>
        <v>3.7225753604104983</v>
      </c>
      <c r="Y36">
        <f t="shared" si="15"/>
        <v>65.521808141383246</v>
      </c>
      <c r="Z36">
        <f t="shared" si="16"/>
        <v>2.4871434255326998</v>
      </c>
      <c r="AA36">
        <f t="shared" si="17"/>
        <v>3.7959016945410462</v>
      </c>
      <c r="AB36">
        <f t="shared" si="18"/>
        <v>1.2354319348777985</v>
      </c>
      <c r="AC36">
        <f t="shared" si="19"/>
        <v>-271.15594060250402</v>
      </c>
      <c r="AD36">
        <f t="shared" si="20"/>
        <v>52.551602539086737</v>
      </c>
      <c r="AE36">
        <f t="shared" si="21"/>
        <v>3.9210285978365209</v>
      </c>
      <c r="AF36">
        <f t="shared" si="22"/>
        <v>129.67147863128332</v>
      </c>
      <c r="AG36">
        <v>0</v>
      </c>
      <c r="AH36">
        <v>0</v>
      </c>
      <c r="AI36">
        <f t="shared" si="23"/>
        <v>1</v>
      </c>
      <c r="AJ36">
        <f t="shared" si="24"/>
        <v>0</v>
      </c>
      <c r="AK36">
        <f t="shared" si="25"/>
        <v>52325.044034514918</v>
      </c>
      <c r="AL36" t="s">
        <v>415</v>
      </c>
      <c r="AM36">
        <v>10214.9</v>
      </c>
      <c r="AN36">
        <v>729.4384</v>
      </c>
      <c r="AO36">
        <v>3170.19</v>
      </c>
      <c r="AP36">
        <f t="shared" si="26"/>
        <v>0.76990704027203416</v>
      </c>
      <c r="AQ36">
        <v>-0.45549566560547827</v>
      </c>
      <c r="AR36" t="s">
        <v>519</v>
      </c>
      <c r="AS36">
        <v>10078.799999999999</v>
      </c>
      <c r="AT36">
        <v>892.45547999999997</v>
      </c>
      <c r="AU36">
        <v>977.81233370446216</v>
      </c>
      <c r="AV36">
        <f t="shared" si="27"/>
        <v>8.7293697125997549E-2</v>
      </c>
      <c r="AW36">
        <v>0.5</v>
      </c>
      <c r="AX36">
        <f t="shared" si="28"/>
        <v>1513.1177940484322</v>
      </c>
      <c r="AY36">
        <f t="shared" si="29"/>
        <v>4.8450444871951737</v>
      </c>
      <c r="AZ36">
        <f t="shared" si="30"/>
        <v>66.042823214810682</v>
      </c>
      <c r="BA36">
        <f t="shared" si="31"/>
        <v>3.5030585018888433E-3</v>
      </c>
      <c r="BB36">
        <f t="shared" si="32"/>
        <v>2.2421251918450138</v>
      </c>
      <c r="BC36">
        <f t="shared" si="33"/>
        <v>481.19251732090595</v>
      </c>
      <c r="BD36" t="s">
        <v>520</v>
      </c>
      <c r="BE36">
        <v>591.66999999999996</v>
      </c>
      <c r="BF36">
        <f t="shared" si="34"/>
        <v>591.66999999999996</v>
      </c>
      <c r="BG36">
        <f t="shared" si="35"/>
        <v>0.39490433940585923</v>
      </c>
      <c r="BH36">
        <f t="shared" si="36"/>
        <v>0.22105023524768691</v>
      </c>
      <c r="BI36">
        <f t="shared" si="37"/>
        <v>0.85024652370178933</v>
      </c>
      <c r="BJ36">
        <f t="shared" si="38"/>
        <v>0.34366268807429495</v>
      </c>
      <c r="BK36">
        <f t="shared" si="39"/>
        <v>0.89823875002091069</v>
      </c>
      <c r="BL36">
        <f t="shared" si="40"/>
        <v>0.14654937486517414</v>
      </c>
      <c r="BM36">
        <f t="shared" si="41"/>
        <v>0.85345062513482584</v>
      </c>
      <c r="BN36">
        <v>9096</v>
      </c>
      <c r="BO36">
        <v>290.00000000000011</v>
      </c>
      <c r="BP36">
        <v>950.21</v>
      </c>
      <c r="BQ36">
        <v>225</v>
      </c>
      <c r="BR36">
        <v>10078.799999999999</v>
      </c>
      <c r="BS36">
        <v>949.93</v>
      </c>
      <c r="BT36">
        <v>0.28000000000000003</v>
      </c>
      <c r="BU36">
        <v>300.00000000000011</v>
      </c>
      <c r="BV36">
        <v>24.2</v>
      </c>
      <c r="BW36">
        <v>977.81233370446216</v>
      </c>
      <c r="BX36">
        <v>1.5764969510742739</v>
      </c>
      <c r="BY36">
        <v>-28.103529882848381</v>
      </c>
      <c r="BZ36">
        <v>1.41421953270479</v>
      </c>
      <c r="CA36">
        <v>0.93379062910896871</v>
      </c>
      <c r="CB36">
        <v>-6.8846436040044517E-3</v>
      </c>
      <c r="CC36">
        <v>289.99999999999989</v>
      </c>
      <c r="CD36">
        <v>947.19</v>
      </c>
      <c r="CE36">
        <v>635</v>
      </c>
      <c r="CF36">
        <v>10057.299999999999</v>
      </c>
      <c r="CG36">
        <v>949.87</v>
      </c>
      <c r="CH36">
        <v>-2.68</v>
      </c>
      <c r="CV36">
        <f t="shared" si="42"/>
        <v>1799.92</v>
      </c>
      <c r="CW36">
        <f t="shared" si="43"/>
        <v>1513.1177940484322</v>
      </c>
      <c r="CX36">
        <f t="shared" si="44"/>
        <v>0.84065835928731947</v>
      </c>
      <c r="CY36">
        <f t="shared" si="45"/>
        <v>0.19131671857463892</v>
      </c>
      <c r="CZ36">
        <v>6</v>
      </c>
      <c r="DA36">
        <v>0.5</v>
      </c>
      <c r="DB36" t="s">
        <v>418</v>
      </c>
      <c r="DC36">
        <v>2</v>
      </c>
      <c r="DD36">
        <v>1674578321.5999999</v>
      </c>
      <c r="DE36">
        <v>24.0045</v>
      </c>
      <c r="DF36">
        <v>29.993500000000001</v>
      </c>
      <c r="DG36">
        <v>24.922699999999999</v>
      </c>
      <c r="DH36">
        <v>17.730799999999999</v>
      </c>
      <c r="DI36">
        <v>22.625399999999999</v>
      </c>
      <c r="DJ36">
        <v>24.7864</v>
      </c>
      <c r="DK36">
        <v>500.18099999999998</v>
      </c>
      <c r="DL36">
        <v>99.693899999999999</v>
      </c>
      <c r="DM36">
        <v>0.100401</v>
      </c>
      <c r="DN36">
        <v>28.004799999999999</v>
      </c>
      <c r="DO36">
        <v>27.6706</v>
      </c>
      <c r="DP36">
        <v>999.9</v>
      </c>
      <c r="DQ36">
        <v>0</v>
      </c>
      <c r="DR36">
        <v>0</v>
      </c>
      <c r="DS36">
        <v>9957.5</v>
      </c>
      <c r="DT36">
        <v>0</v>
      </c>
      <c r="DU36">
        <v>333.20299999999997</v>
      </c>
      <c r="DV36">
        <v>-5.9889999999999999</v>
      </c>
      <c r="DW36">
        <v>24.617999999999999</v>
      </c>
      <c r="DX36">
        <v>30.5349</v>
      </c>
      <c r="DY36">
        <v>7.1919500000000003</v>
      </c>
      <c r="DZ36">
        <v>29.993500000000001</v>
      </c>
      <c r="EA36">
        <v>17.730799999999999</v>
      </c>
      <c r="EB36">
        <v>2.4846400000000002</v>
      </c>
      <c r="EC36">
        <v>1.7676499999999999</v>
      </c>
      <c r="ED36">
        <v>20.926300000000001</v>
      </c>
      <c r="EE36">
        <v>15.5036</v>
      </c>
      <c r="EF36">
        <v>1799.92</v>
      </c>
      <c r="EG36">
        <v>0.97799599999999998</v>
      </c>
      <c r="EH36">
        <v>2.20038E-2</v>
      </c>
      <c r="EI36">
        <v>0</v>
      </c>
      <c r="EJ36">
        <v>892.13800000000003</v>
      </c>
      <c r="EK36">
        <v>4.9990399999999999</v>
      </c>
      <c r="EL36">
        <v>16763.400000000001</v>
      </c>
      <c r="EM36">
        <v>14820</v>
      </c>
      <c r="EN36">
        <v>47.875</v>
      </c>
      <c r="EO36">
        <v>49.375</v>
      </c>
      <c r="EP36">
        <v>48.875</v>
      </c>
      <c r="EQ36">
        <v>47.811999999999998</v>
      </c>
      <c r="ER36">
        <v>48.811999999999998</v>
      </c>
      <c r="ES36">
        <v>1755.43</v>
      </c>
      <c r="ET36">
        <v>39.5</v>
      </c>
      <c r="EU36">
        <v>0</v>
      </c>
      <c r="EV36">
        <v>109.4000000953674</v>
      </c>
      <c r="EW36">
        <v>0</v>
      </c>
      <c r="EX36">
        <v>892.45547999999997</v>
      </c>
      <c r="EY36">
        <v>-1.007692313889653</v>
      </c>
      <c r="EZ36">
        <v>-28.92307685966416</v>
      </c>
      <c r="FA36">
        <v>16767.536</v>
      </c>
      <c r="FB36">
        <v>15</v>
      </c>
      <c r="FC36">
        <v>1674578287.5999999</v>
      </c>
      <c r="FD36" t="s">
        <v>521</v>
      </c>
      <c r="FE36">
        <v>1674578278.5999999</v>
      </c>
      <c r="FF36">
        <v>1674578287.5999999</v>
      </c>
      <c r="FG36">
        <v>26</v>
      </c>
      <c r="FH36">
        <v>-2.1999999999999999E-2</v>
      </c>
      <c r="FI36">
        <v>-2E-3</v>
      </c>
      <c r="FJ36">
        <v>1.389</v>
      </c>
      <c r="FK36">
        <v>8.6999999999999994E-2</v>
      </c>
      <c r="FL36">
        <v>30</v>
      </c>
      <c r="FM36">
        <v>18</v>
      </c>
      <c r="FN36">
        <v>0.34</v>
      </c>
      <c r="FO36">
        <v>0.01</v>
      </c>
      <c r="FP36">
        <v>4.9027295104848889</v>
      </c>
      <c r="FQ36">
        <v>-0.426659016389979</v>
      </c>
      <c r="FR36">
        <v>5.1778038335438127E-2</v>
      </c>
      <c r="FS36">
        <v>1</v>
      </c>
      <c r="FT36">
        <v>0.53307805421575338</v>
      </c>
      <c r="FU36">
        <v>1.188994932295079E-2</v>
      </c>
      <c r="FV36">
        <v>5.8581930267885256E-3</v>
      </c>
      <c r="FW36">
        <v>1</v>
      </c>
      <c r="FX36">
        <v>2</v>
      </c>
      <c r="FY36">
        <v>2</v>
      </c>
      <c r="FZ36" t="s">
        <v>420</v>
      </c>
      <c r="GA36">
        <v>2.93431</v>
      </c>
      <c r="GB36">
        <v>2.8334899999999998</v>
      </c>
      <c r="GC36">
        <v>6.3502899999999998E-3</v>
      </c>
      <c r="GD36">
        <v>8.1946599999999994E-3</v>
      </c>
      <c r="GE36">
        <v>0.122652</v>
      </c>
      <c r="GF36">
        <v>9.3399800000000005E-2</v>
      </c>
      <c r="GG36">
        <v>25670</v>
      </c>
      <c r="GH36">
        <v>32441.1</v>
      </c>
      <c r="GI36">
        <v>23243.4</v>
      </c>
      <c r="GJ36">
        <v>29966.6</v>
      </c>
      <c r="GK36">
        <v>27728.799999999999</v>
      </c>
      <c r="GL36">
        <v>38621.9</v>
      </c>
      <c r="GM36">
        <v>32793.300000000003</v>
      </c>
      <c r="GN36">
        <v>44445.8</v>
      </c>
      <c r="GO36">
        <v>1.95055</v>
      </c>
      <c r="GP36">
        <v>1.8475299999999999</v>
      </c>
      <c r="GQ36">
        <v>6.4373E-2</v>
      </c>
      <c r="GR36">
        <v>0</v>
      </c>
      <c r="GS36">
        <v>26.618099999999998</v>
      </c>
      <c r="GT36">
        <v>999.9</v>
      </c>
      <c r="GU36">
        <v>49.7</v>
      </c>
      <c r="GV36">
        <v>35</v>
      </c>
      <c r="GW36">
        <v>28.157699999999998</v>
      </c>
      <c r="GX36">
        <v>61.374899999999997</v>
      </c>
      <c r="GY36">
        <v>36.806899999999999</v>
      </c>
      <c r="GZ36">
        <v>1</v>
      </c>
      <c r="HA36">
        <v>0.29431400000000002</v>
      </c>
      <c r="HB36">
        <v>2.0298699999999998</v>
      </c>
      <c r="HC36">
        <v>20.2605</v>
      </c>
      <c r="HD36">
        <v>5.2105499999999996</v>
      </c>
      <c r="HE36">
        <v>11.872199999999999</v>
      </c>
      <c r="HF36">
        <v>4.9851000000000001</v>
      </c>
      <c r="HG36">
        <v>3.2839999999999998</v>
      </c>
      <c r="HH36">
        <v>9999</v>
      </c>
      <c r="HI36">
        <v>9999</v>
      </c>
      <c r="HJ36">
        <v>9999</v>
      </c>
      <c r="HK36">
        <v>999.9</v>
      </c>
      <c r="HL36">
        <v>1.85486</v>
      </c>
      <c r="HM36">
        <v>1.86094</v>
      </c>
      <c r="HN36">
        <v>1.85825</v>
      </c>
      <c r="HO36">
        <v>1.85944</v>
      </c>
      <c r="HP36">
        <v>1.85883</v>
      </c>
      <c r="HQ36">
        <v>1.85937</v>
      </c>
      <c r="HR36">
        <v>1.85775</v>
      </c>
      <c r="HS36">
        <v>1.8610500000000001</v>
      </c>
      <c r="HT36">
        <v>5</v>
      </c>
      <c r="HU36">
        <v>0</v>
      </c>
      <c r="HV36">
        <v>0</v>
      </c>
      <c r="HW36">
        <v>0</v>
      </c>
      <c r="HX36" t="s">
        <v>421</v>
      </c>
      <c r="HY36" t="s">
        <v>422</v>
      </c>
      <c r="HZ36" t="s">
        <v>423</v>
      </c>
      <c r="IA36" t="s">
        <v>423</v>
      </c>
      <c r="IB36" t="s">
        <v>423</v>
      </c>
      <c r="IC36" t="s">
        <v>423</v>
      </c>
      <c r="ID36">
        <v>0</v>
      </c>
      <c r="IE36">
        <v>100</v>
      </c>
      <c r="IF36">
        <v>100</v>
      </c>
      <c r="IG36">
        <v>1.379</v>
      </c>
      <c r="IH36">
        <v>0.1363</v>
      </c>
      <c r="II36">
        <v>1.342423448691471</v>
      </c>
      <c r="IJ36">
        <v>1.6187016317407189E-3</v>
      </c>
      <c r="IK36">
        <v>1.4341569744255341E-7</v>
      </c>
      <c r="IL36">
        <v>-2.4096625942085749E-10</v>
      </c>
      <c r="IM36">
        <v>0.1362998760244499</v>
      </c>
      <c r="IN36">
        <v>0</v>
      </c>
      <c r="IO36">
        <v>0</v>
      </c>
      <c r="IP36">
        <v>0</v>
      </c>
      <c r="IQ36">
        <v>4</v>
      </c>
      <c r="IR36">
        <v>2205</v>
      </c>
      <c r="IS36">
        <v>1</v>
      </c>
      <c r="IT36">
        <v>21</v>
      </c>
      <c r="IU36">
        <v>0.7</v>
      </c>
      <c r="IV36">
        <v>0.6</v>
      </c>
      <c r="IW36">
        <v>0.20263700000000001</v>
      </c>
      <c r="IX36">
        <v>2.52075</v>
      </c>
      <c r="IY36">
        <v>1.49414</v>
      </c>
      <c r="IZ36">
        <v>2.3059099999999999</v>
      </c>
      <c r="JA36">
        <v>1.69434</v>
      </c>
      <c r="JB36">
        <v>2.3120099999999999</v>
      </c>
      <c r="JC36">
        <v>40.758000000000003</v>
      </c>
      <c r="JD36">
        <v>23.754799999999999</v>
      </c>
      <c r="JE36">
        <v>18</v>
      </c>
      <c r="JF36">
        <v>493.83800000000002</v>
      </c>
      <c r="JG36">
        <v>449.93799999999999</v>
      </c>
      <c r="JH36">
        <v>24.789000000000001</v>
      </c>
      <c r="JI36">
        <v>31.0061</v>
      </c>
      <c r="JJ36">
        <v>30.000399999999999</v>
      </c>
      <c r="JK36">
        <v>30.900400000000001</v>
      </c>
      <c r="JL36">
        <v>30.863399999999999</v>
      </c>
      <c r="JM36">
        <v>4.1226599999999998</v>
      </c>
      <c r="JN36">
        <v>43.534300000000002</v>
      </c>
      <c r="JO36">
        <v>0</v>
      </c>
      <c r="JP36">
        <v>24.789400000000001</v>
      </c>
      <c r="JQ36">
        <v>30</v>
      </c>
      <c r="JR36">
        <v>17.659500000000001</v>
      </c>
      <c r="JS36">
        <v>98.804699999999997</v>
      </c>
      <c r="JT36">
        <v>99.826099999999997</v>
      </c>
    </row>
    <row r="37" spans="1:280" x14ac:dyDescent="0.25">
      <c r="A37">
        <v>21</v>
      </c>
      <c r="B37">
        <v>1674578447.0999999</v>
      </c>
      <c r="C37">
        <v>4394.5</v>
      </c>
      <c r="D37" t="s">
        <v>522</v>
      </c>
      <c r="E37" t="s">
        <v>523</v>
      </c>
      <c r="F37" t="s">
        <v>412</v>
      </c>
      <c r="G37" t="s">
        <v>492</v>
      </c>
      <c r="H37" t="s">
        <v>493</v>
      </c>
      <c r="I37">
        <v>1674578447.0999999</v>
      </c>
      <c r="J37">
        <f t="shared" si="0"/>
        <v>6.344449569744821E-3</v>
      </c>
      <c r="K37">
        <f t="shared" si="1"/>
        <v>6.3444495697448211</v>
      </c>
      <c r="L37">
        <f t="shared" si="2"/>
        <v>1.4098456961713668</v>
      </c>
      <c r="M37">
        <f t="shared" si="3"/>
        <v>8.2912800000000004</v>
      </c>
      <c r="N37">
        <f t="shared" si="4"/>
        <v>3.6969491369537777</v>
      </c>
      <c r="O37">
        <f t="shared" si="5"/>
        <v>0.36895489316846419</v>
      </c>
      <c r="P37">
        <f t="shared" si="6"/>
        <v>0.82746832950763205</v>
      </c>
      <c r="Q37">
        <f t="shared" si="7"/>
        <v>0.54893372804804785</v>
      </c>
      <c r="R37">
        <f t="shared" si="8"/>
        <v>2.9257043322490883</v>
      </c>
      <c r="S37">
        <f t="shared" si="9"/>
        <v>0.49747784716867621</v>
      </c>
      <c r="T37">
        <f t="shared" si="10"/>
        <v>0.3151438363771526</v>
      </c>
      <c r="U37">
        <f t="shared" si="11"/>
        <v>344.40170126356134</v>
      </c>
      <c r="V37">
        <f t="shared" si="12"/>
        <v>28.384827846219302</v>
      </c>
      <c r="W37">
        <f t="shared" si="13"/>
        <v>27.641999999999999</v>
      </c>
      <c r="X37">
        <f t="shared" si="14"/>
        <v>3.7163580835492604</v>
      </c>
      <c r="Y37">
        <f t="shared" si="15"/>
        <v>65.420378729366575</v>
      </c>
      <c r="Z37">
        <f t="shared" si="16"/>
        <v>2.4831195553013998</v>
      </c>
      <c r="AA37">
        <f t="shared" si="17"/>
        <v>3.7956361664820988</v>
      </c>
      <c r="AB37">
        <f t="shared" si="18"/>
        <v>1.2332385282478606</v>
      </c>
      <c r="AC37">
        <f t="shared" si="19"/>
        <v>-279.79022602574662</v>
      </c>
      <c r="AD37">
        <f t="shared" si="20"/>
        <v>57.035374820812855</v>
      </c>
      <c r="AE37">
        <f t="shared" si="21"/>
        <v>4.2418712017804072</v>
      </c>
      <c r="AF37">
        <f t="shared" si="22"/>
        <v>125.88872126040795</v>
      </c>
      <c r="AG37">
        <v>0</v>
      </c>
      <c r="AH37">
        <v>0</v>
      </c>
      <c r="AI37">
        <f t="shared" si="23"/>
        <v>1</v>
      </c>
      <c r="AJ37">
        <f t="shared" si="24"/>
        <v>0</v>
      </c>
      <c r="AK37">
        <f t="shared" si="25"/>
        <v>52583.687594254094</v>
      </c>
      <c r="AL37" t="s">
        <v>415</v>
      </c>
      <c r="AM37">
        <v>10214.9</v>
      </c>
      <c r="AN37">
        <v>729.4384</v>
      </c>
      <c r="AO37">
        <v>3170.19</v>
      </c>
      <c r="AP37">
        <f t="shared" si="26"/>
        <v>0.76990704027203416</v>
      </c>
      <c r="AQ37">
        <v>-0.45549566560547827</v>
      </c>
      <c r="AR37" t="s">
        <v>524</v>
      </c>
      <c r="AS37">
        <v>10101.299999999999</v>
      </c>
      <c r="AT37">
        <v>897.33126923076929</v>
      </c>
      <c r="AU37">
        <v>965.12651481278135</v>
      </c>
      <c r="AV37">
        <f t="shared" si="27"/>
        <v>7.0244931147874667E-2</v>
      </c>
      <c r="AW37">
        <v>0.5</v>
      </c>
      <c r="AX37">
        <f t="shared" si="28"/>
        <v>1513.3275006317808</v>
      </c>
      <c r="AY37">
        <f t="shared" si="29"/>
        <v>1.4098456961713668</v>
      </c>
      <c r="AZ37">
        <f t="shared" si="30"/>
        <v>53.151793043032349</v>
      </c>
      <c r="BA37">
        <f t="shared" si="31"/>
        <v>1.2326091748138498E-3</v>
      </c>
      <c r="BB37">
        <f t="shared" si="32"/>
        <v>2.2847403437205998</v>
      </c>
      <c r="BC37">
        <f t="shared" si="33"/>
        <v>478.09997016368413</v>
      </c>
      <c r="BD37" t="s">
        <v>525</v>
      </c>
      <c r="BE37">
        <v>602.13</v>
      </c>
      <c r="BF37">
        <f t="shared" si="34"/>
        <v>602.13</v>
      </c>
      <c r="BG37">
        <f t="shared" si="35"/>
        <v>0.37611288182585756</v>
      </c>
      <c r="BH37">
        <f t="shared" si="36"/>
        <v>0.1867655550824725</v>
      </c>
      <c r="BI37">
        <f t="shared" si="37"/>
        <v>0.85864951955453483</v>
      </c>
      <c r="BJ37">
        <f t="shared" si="38"/>
        <v>0.2876481303941234</v>
      </c>
      <c r="BK37">
        <f t="shared" si="39"/>
        <v>0.90343625512207737</v>
      </c>
      <c r="BL37">
        <f t="shared" si="40"/>
        <v>0.12532399966203367</v>
      </c>
      <c r="BM37">
        <f t="shared" si="41"/>
        <v>0.87467600033796633</v>
      </c>
      <c r="BN37">
        <v>9098</v>
      </c>
      <c r="BO37">
        <v>290.00000000000011</v>
      </c>
      <c r="BP37">
        <v>941.55</v>
      </c>
      <c r="BQ37">
        <v>75</v>
      </c>
      <c r="BR37">
        <v>10101.299999999999</v>
      </c>
      <c r="BS37">
        <v>940.31</v>
      </c>
      <c r="BT37">
        <v>1.24</v>
      </c>
      <c r="BU37">
        <v>300.00000000000011</v>
      </c>
      <c r="BV37">
        <v>24.2</v>
      </c>
      <c r="BW37">
        <v>965.12651481278135</v>
      </c>
      <c r="BX37">
        <v>1.9105261446092821</v>
      </c>
      <c r="BY37">
        <v>-25.071764662887119</v>
      </c>
      <c r="BZ37">
        <v>1.713794989814881</v>
      </c>
      <c r="CA37">
        <v>0.88430654209694481</v>
      </c>
      <c r="CB37">
        <v>-6.8843833147942176E-3</v>
      </c>
      <c r="CC37">
        <v>289.99999999999989</v>
      </c>
      <c r="CD37">
        <v>936.99</v>
      </c>
      <c r="CE37">
        <v>705</v>
      </c>
      <c r="CF37">
        <v>10052.9</v>
      </c>
      <c r="CG37">
        <v>940.19</v>
      </c>
      <c r="CH37">
        <v>-3.2</v>
      </c>
      <c r="CV37">
        <f t="shared" si="42"/>
        <v>1800.17</v>
      </c>
      <c r="CW37">
        <f t="shared" si="43"/>
        <v>1513.3275006317808</v>
      </c>
      <c r="CX37">
        <f t="shared" si="44"/>
        <v>0.84065810486330772</v>
      </c>
      <c r="CY37">
        <f t="shared" si="45"/>
        <v>0.19131620972661545</v>
      </c>
      <c r="CZ37">
        <v>6</v>
      </c>
      <c r="DA37">
        <v>0.5</v>
      </c>
      <c r="DB37" t="s">
        <v>418</v>
      </c>
      <c r="DC37">
        <v>2</v>
      </c>
      <c r="DD37">
        <v>1674578447.0999999</v>
      </c>
      <c r="DE37">
        <v>8.2912800000000004</v>
      </c>
      <c r="DF37">
        <v>10.0465</v>
      </c>
      <c r="DG37">
        <v>24.881</v>
      </c>
      <c r="DH37">
        <v>17.4559</v>
      </c>
      <c r="DI37">
        <v>6.9052100000000003</v>
      </c>
      <c r="DJ37">
        <v>24.747800000000002</v>
      </c>
      <c r="DK37">
        <v>499.92</v>
      </c>
      <c r="DL37">
        <v>99.700199999999995</v>
      </c>
      <c r="DM37">
        <v>9.9629400000000007E-2</v>
      </c>
      <c r="DN37">
        <v>28.003599999999999</v>
      </c>
      <c r="DO37">
        <v>27.641999999999999</v>
      </c>
      <c r="DP37">
        <v>999.9</v>
      </c>
      <c r="DQ37">
        <v>0</v>
      </c>
      <c r="DR37">
        <v>0</v>
      </c>
      <c r="DS37">
        <v>10008.1</v>
      </c>
      <c r="DT37">
        <v>0</v>
      </c>
      <c r="DU37">
        <v>334.22899999999998</v>
      </c>
      <c r="DV37">
        <v>-1.75518</v>
      </c>
      <c r="DW37">
        <v>8.5028400000000008</v>
      </c>
      <c r="DX37">
        <v>10.2249</v>
      </c>
      <c r="DY37">
        <v>7.4250699999999998</v>
      </c>
      <c r="DZ37">
        <v>10.0465</v>
      </c>
      <c r="EA37">
        <v>17.4559</v>
      </c>
      <c r="EB37">
        <v>2.4806400000000002</v>
      </c>
      <c r="EC37">
        <v>1.7403599999999999</v>
      </c>
      <c r="ED37">
        <v>20.9</v>
      </c>
      <c r="EE37">
        <v>15.261200000000001</v>
      </c>
      <c r="EF37">
        <v>1800.17</v>
      </c>
      <c r="EG37">
        <v>0.97799999999999998</v>
      </c>
      <c r="EH37">
        <v>2.2000100000000002E-2</v>
      </c>
      <c r="EI37">
        <v>0</v>
      </c>
      <c r="EJ37">
        <v>897.32799999999997</v>
      </c>
      <c r="EK37">
        <v>4.9990399999999999</v>
      </c>
      <c r="EL37">
        <v>16857.599999999999</v>
      </c>
      <c r="EM37">
        <v>14822.1</v>
      </c>
      <c r="EN37">
        <v>48</v>
      </c>
      <c r="EO37">
        <v>49.5</v>
      </c>
      <c r="EP37">
        <v>48.936999999999998</v>
      </c>
      <c r="EQ37">
        <v>47.875</v>
      </c>
      <c r="ER37">
        <v>48.875</v>
      </c>
      <c r="ES37">
        <v>1755.68</v>
      </c>
      <c r="ET37">
        <v>39.49</v>
      </c>
      <c r="EU37">
        <v>0</v>
      </c>
      <c r="EV37">
        <v>123.7999999523163</v>
      </c>
      <c r="EW37">
        <v>0</v>
      </c>
      <c r="EX37">
        <v>897.33126923076929</v>
      </c>
      <c r="EY37">
        <v>-1.1950427486931019</v>
      </c>
      <c r="EZ37">
        <v>-24.960683658273378</v>
      </c>
      <c r="FA37">
        <v>16858.81923076923</v>
      </c>
      <c r="FB37">
        <v>15</v>
      </c>
      <c r="FC37">
        <v>1674578411.5999999</v>
      </c>
      <c r="FD37" t="s">
        <v>526</v>
      </c>
      <c r="FE37">
        <v>1674578391.5999999</v>
      </c>
      <c r="FF37">
        <v>1674578411.5999999</v>
      </c>
      <c r="FG37">
        <v>27</v>
      </c>
      <c r="FH37">
        <v>3.2000000000000001E-2</v>
      </c>
      <c r="FI37">
        <v>-3.0000000000000001E-3</v>
      </c>
      <c r="FJ37">
        <v>1.389</v>
      </c>
      <c r="FK37">
        <v>7.5999999999999998E-2</v>
      </c>
      <c r="FL37">
        <v>10</v>
      </c>
      <c r="FM37">
        <v>18</v>
      </c>
      <c r="FN37">
        <v>0.57999999999999996</v>
      </c>
      <c r="FO37">
        <v>0.02</v>
      </c>
      <c r="FP37">
        <v>1.4139697070951109</v>
      </c>
      <c r="FQ37">
        <v>-0.64093719532743598</v>
      </c>
      <c r="FR37">
        <v>7.6062390063378407E-2</v>
      </c>
      <c r="FS37">
        <v>1</v>
      </c>
      <c r="FT37">
        <v>0.55042751025034675</v>
      </c>
      <c r="FU37">
        <v>-4.3335865082061139E-3</v>
      </c>
      <c r="FV37">
        <v>3.523145730404248E-3</v>
      </c>
      <c r="FW37">
        <v>1</v>
      </c>
      <c r="FX37">
        <v>2</v>
      </c>
      <c r="FY37">
        <v>2</v>
      </c>
      <c r="FZ37" t="s">
        <v>420</v>
      </c>
      <c r="GA37">
        <v>2.9335300000000002</v>
      </c>
      <c r="GB37">
        <v>2.8331499999999998</v>
      </c>
      <c r="GC37">
        <v>1.94488E-3</v>
      </c>
      <c r="GD37">
        <v>2.7567799999999999E-3</v>
      </c>
      <c r="GE37">
        <v>0.122502</v>
      </c>
      <c r="GF37">
        <v>9.2354599999999995E-2</v>
      </c>
      <c r="GG37">
        <v>25780.6</v>
      </c>
      <c r="GH37">
        <v>32614.1</v>
      </c>
      <c r="GI37">
        <v>23240.9</v>
      </c>
      <c r="GJ37">
        <v>29962.799999999999</v>
      </c>
      <c r="GK37">
        <v>27731.1</v>
      </c>
      <c r="GL37">
        <v>38662.5</v>
      </c>
      <c r="GM37">
        <v>32790.1</v>
      </c>
      <c r="GN37">
        <v>44441</v>
      </c>
      <c r="GO37">
        <v>1.9494499999999999</v>
      </c>
      <c r="GP37">
        <v>1.84483</v>
      </c>
      <c r="GQ37">
        <v>6.2119199999999999E-2</v>
      </c>
      <c r="GR37">
        <v>0</v>
      </c>
      <c r="GS37">
        <v>26.6264</v>
      </c>
      <c r="GT37">
        <v>999.9</v>
      </c>
      <c r="GU37">
        <v>49.6</v>
      </c>
      <c r="GV37">
        <v>35.1</v>
      </c>
      <c r="GW37">
        <v>28.255099999999999</v>
      </c>
      <c r="GX37">
        <v>61.344900000000003</v>
      </c>
      <c r="GY37">
        <v>37.692300000000003</v>
      </c>
      <c r="GZ37">
        <v>1</v>
      </c>
      <c r="HA37">
        <v>0.30240899999999998</v>
      </c>
      <c r="HB37">
        <v>1.9950000000000001</v>
      </c>
      <c r="HC37">
        <v>20.259899999999998</v>
      </c>
      <c r="HD37">
        <v>5.2068099999999999</v>
      </c>
      <c r="HE37">
        <v>11.872199999999999</v>
      </c>
      <c r="HF37">
        <v>4.9838500000000003</v>
      </c>
      <c r="HG37">
        <v>3.2833999999999999</v>
      </c>
      <c r="HH37">
        <v>9999</v>
      </c>
      <c r="HI37">
        <v>9999</v>
      </c>
      <c r="HJ37">
        <v>9999</v>
      </c>
      <c r="HK37">
        <v>999.9</v>
      </c>
      <c r="HL37">
        <v>1.85486</v>
      </c>
      <c r="HM37">
        <v>1.8609599999999999</v>
      </c>
      <c r="HN37">
        <v>1.8583000000000001</v>
      </c>
      <c r="HO37">
        <v>1.85945</v>
      </c>
      <c r="HP37">
        <v>1.85884</v>
      </c>
      <c r="HQ37">
        <v>1.8594299999999999</v>
      </c>
      <c r="HR37">
        <v>1.8577600000000001</v>
      </c>
      <c r="HS37">
        <v>1.86111</v>
      </c>
      <c r="HT37">
        <v>5</v>
      </c>
      <c r="HU37">
        <v>0</v>
      </c>
      <c r="HV37">
        <v>0</v>
      </c>
      <c r="HW37">
        <v>0</v>
      </c>
      <c r="HX37" t="s">
        <v>421</v>
      </c>
      <c r="HY37" t="s">
        <v>422</v>
      </c>
      <c r="HZ37" t="s">
        <v>423</v>
      </c>
      <c r="IA37" t="s">
        <v>423</v>
      </c>
      <c r="IB37" t="s">
        <v>423</v>
      </c>
      <c r="IC37" t="s">
        <v>423</v>
      </c>
      <c r="ID37">
        <v>0</v>
      </c>
      <c r="IE37">
        <v>100</v>
      </c>
      <c r="IF37">
        <v>100</v>
      </c>
      <c r="IG37">
        <v>1.3859999999999999</v>
      </c>
      <c r="IH37">
        <v>0.13320000000000001</v>
      </c>
      <c r="II37">
        <v>1.374884633171122</v>
      </c>
      <c r="IJ37">
        <v>1.6187016317407189E-3</v>
      </c>
      <c r="IK37">
        <v>1.4341569744255341E-7</v>
      </c>
      <c r="IL37">
        <v>-2.4096625942085749E-10</v>
      </c>
      <c r="IM37">
        <v>0.13313477189540859</v>
      </c>
      <c r="IN37">
        <v>0</v>
      </c>
      <c r="IO37">
        <v>0</v>
      </c>
      <c r="IP37">
        <v>0</v>
      </c>
      <c r="IQ37">
        <v>4</v>
      </c>
      <c r="IR37">
        <v>2205</v>
      </c>
      <c r="IS37">
        <v>1</v>
      </c>
      <c r="IT37">
        <v>21</v>
      </c>
      <c r="IU37">
        <v>0.9</v>
      </c>
      <c r="IV37">
        <v>0.6</v>
      </c>
      <c r="IW37">
        <v>0.158691</v>
      </c>
      <c r="IX37">
        <v>2.52075</v>
      </c>
      <c r="IY37">
        <v>1.49414</v>
      </c>
      <c r="IZ37">
        <v>2.3071299999999999</v>
      </c>
      <c r="JA37">
        <v>1.69434</v>
      </c>
      <c r="JB37">
        <v>2.4340799999999998</v>
      </c>
      <c r="JC37">
        <v>40.835000000000001</v>
      </c>
      <c r="JD37">
        <v>23.772300000000001</v>
      </c>
      <c r="JE37">
        <v>18</v>
      </c>
      <c r="JF37">
        <v>493.858</v>
      </c>
      <c r="JG37">
        <v>448.762</v>
      </c>
      <c r="JH37">
        <v>24.812799999999999</v>
      </c>
      <c r="JI37">
        <v>31.106000000000002</v>
      </c>
      <c r="JJ37">
        <v>30.000399999999999</v>
      </c>
      <c r="JK37">
        <v>30.9879</v>
      </c>
      <c r="JL37">
        <v>30.947199999999999</v>
      </c>
      <c r="JM37">
        <v>3.2382399999999998</v>
      </c>
      <c r="JN37">
        <v>44.553600000000003</v>
      </c>
      <c r="JO37">
        <v>0</v>
      </c>
      <c r="JP37">
        <v>24.810300000000002</v>
      </c>
      <c r="JQ37">
        <v>10</v>
      </c>
      <c r="JR37">
        <v>17.4468</v>
      </c>
      <c r="JS37">
        <v>98.794700000000006</v>
      </c>
      <c r="JT37">
        <v>99.814599999999999</v>
      </c>
    </row>
    <row r="38" spans="1:280" x14ac:dyDescent="0.25">
      <c r="A38">
        <v>22</v>
      </c>
      <c r="B38">
        <v>1674578637</v>
      </c>
      <c r="C38">
        <v>4584.4000000953674</v>
      </c>
      <c r="D38" t="s">
        <v>527</v>
      </c>
      <c r="E38" t="s">
        <v>528</v>
      </c>
      <c r="F38" t="s">
        <v>412</v>
      </c>
      <c r="G38" t="s">
        <v>492</v>
      </c>
      <c r="H38" t="s">
        <v>493</v>
      </c>
      <c r="I38">
        <v>1674578637</v>
      </c>
      <c r="J38">
        <f t="shared" si="0"/>
        <v>5.7155009930927782E-3</v>
      </c>
      <c r="K38">
        <f t="shared" si="1"/>
        <v>5.7155009930927783</v>
      </c>
      <c r="L38">
        <f t="shared" si="2"/>
        <v>42.578373690516337</v>
      </c>
      <c r="M38">
        <f t="shared" si="3"/>
        <v>346.54399999999998</v>
      </c>
      <c r="N38">
        <f t="shared" si="4"/>
        <v>188.05245112466764</v>
      </c>
      <c r="O38">
        <f t="shared" si="5"/>
        <v>18.768247109075141</v>
      </c>
      <c r="P38">
        <f t="shared" si="6"/>
        <v>34.586219893808</v>
      </c>
      <c r="Q38">
        <f t="shared" si="7"/>
        <v>0.47976505287293042</v>
      </c>
      <c r="R38">
        <f t="shared" si="8"/>
        <v>2.9276358864888437</v>
      </c>
      <c r="S38">
        <f t="shared" si="9"/>
        <v>0.43998053594456699</v>
      </c>
      <c r="T38">
        <f t="shared" si="10"/>
        <v>0.27828686940818009</v>
      </c>
      <c r="U38">
        <f t="shared" si="11"/>
        <v>344.32000126386328</v>
      </c>
      <c r="V38">
        <f t="shared" si="12"/>
        <v>28.54196842280755</v>
      </c>
      <c r="W38">
        <f t="shared" si="13"/>
        <v>27.618200000000002</v>
      </c>
      <c r="X38">
        <f t="shared" si="14"/>
        <v>3.711191175296253</v>
      </c>
      <c r="Y38">
        <f t="shared" si="15"/>
        <v>64.694734321211456</v>
      </c>
      <c r="Z38">
        <f t="shared" si="16"/>
        <v>2.4547609091720002</v>
      </c>
      <c r="AA38">
        <f t="shared" si="17"/>
        <v>3.7943751294874057</v>
      </c>
      <c r="AB38">
        <f t="shared" si="18"/>
        <v>1.2564302661242528</v>
      </c>
      <c r="AC38">
        <f t="shared" si="19"/>
        <v>-252.05359379539152</v>
      </c>
      <c r="AD38">
        <f t="shared" si="20"/>
        <v>59.929837834933132</v>
      </c>
      <c r="AE38">
        <f t="shared" si="21"/>
        <v>4.453544378599128</v>
      </c>
      <c r="AF38">
        <f t="shared" si="22"/>
        <v>156.64978968200401</v>
      </c>
      <c r="AG38">
        <v>0</v>
      </c>
      <c r="AH38">
        <v>0</v>
      </c>
      <c r="AI38">
        <f t="shared" si="23"/>
        <v>1</v>
      </c>
      <c r="AJ38">
        <f t="shared" si="24"/>
        <v>0</v>
      </c>
      <c r="AK38">
        <f t="shared" si="25"/>
        <v>52640.328498087743</v>
      </c>
      <c r="AL38" t="s">
        <v>415</v>
      </c>
      <c r="AM38">
        <v>10214.9</v>
      </c>
      <c r="AN38">
        <v>729.4384</v>
      </c>
      <c r="AO38">
        <v>3170.19</v>
      </c>
      <c r="AP38">
        <f t="shared" si="26"/>
        <v>0.76990704027203416</v>
      </c>
      <c r="AQ38">
        <v>-0.45549566560547827</v>
      </c>
      <c r="AR38" t="s">
        <v>529</v>
      </c>
      <c r="AS38">
        <v>10073.1</v>
      </c>
      <c r="AT38">
        <v>797.0794400000002</v>
      </c>
      <c r="AU38">
        <v>1065.8155319630951</v>
      </c>
      <c r="AV38">
        <f t="shared" si="27"/>
        <v>0.25214127952152987</v>
      </c>
      <c r="AW38">
        <v>0.5</v>
      </c>
      <c r="AX38">
        <f t="shared" si="28"/>
        <v>1512.9663006319315</v>
      </c>
      <c r="AY38">
        <f t="shared" si="29"/>
        <v>42.578373690516337</v>
      </c>
      <c r="AZ38">
        <f t="shared" si="30"/>
        <v>190.74062945714542</v>
      </c>
      <c r="BA38">
        <f t="shared" si="31"/>
        <v>2.8443375994658668E-2</v>
      </c>
      <c r="BB38">
        <f t="shared" si="32"/>
        <v>1.9744265352944501</v>
      </c>
      <c r="BC38">
        <f t="shared" si="33"/>
        <v>501.57297309796189</v>
      </c>
      <c r="BD38" t="s">
        <v>530</v>
      </c>
      <c r="BE38">
        <v>580.70000000000005</v>
      </c>
      <c r="BF38">
        <f t="shared" si="34"/>
        <v>580.70000000000005</v>
      </c>
      <c r="BG38">
        <f t="shared" si="35"/>
        <v>0.45515900023484801</v>
      </c>
      <c r="BH38">
        <f t="shared" si="36"/>
        <v>0.55396307530210942</v>
      </c>
      <c r="BI38">
        <f t="shared" si="37"/>
        <v>0.81265981642597773</v>
      </c>
      <c r="BJ38">
        <f t="shared" si="38"/>
        <v>0.79891308423599583</v>
      </c>
      <c r="BK38">
        <f t="shared" si="39"/>
        <v>0.86218297185051729</v>
      </c>
      <c r="BL38">
        <f t="shared" si="40"/>
        <v>0.40358130154245964</v>
      </c>
      <c r="BM38">
        <f t="shared" si="41"/>
        <v>0.59641869845754036</v>
      </c>
      <c r="BN38">
        <v>9100</v>
      </c>
      <c r="BO38">
        <v>290.00000000000011</v>
      </c>
      <c r="BP38">
        <v>1001.77</v>
      </c>
      <c r="BQ38">
        <v>275</v>
      </c>
      <c r="BR38">
        <v>10073.1</v>
      </c>
      <c r="BS38">
        <v>1003.18</v>
      </c>
      <c r="BT38">
        <v>-1.41</v>
      </c>
      <c r="BU38">
        <v>300.00000000000011</v>
      </c>
      <c r="BV38">
        <v>24.2</v>
      </c>
      <c r="BW38">
        <v>1065.8155319630951</v>
      </c>
      <c r="BX38">
        <v>2.4144504215020821</v>
      </c>
      <c r="BY38">
        <v>-63.094184967667921</v>
      </c>
      <c r="BZ38">
        <v>2.1659312440761069</v>
      </c>
      <c r="CA38">
        <v>0.96805743272306932</v>
      </c>
      <c r="CB38">
        <v>-6.8851263626251401E-3</v>
      </c>
      <c r="CC38">
        <v>289.99999999999989</v>
      </c>
      <c r="CD38">
        <v>1003.06</v>
      </c>
      <c r="CE38">
        <v>685</v>
      </c>
      <c r="CF38">
        <v>10054.5</v>
      </c>
      <c r="CG38">
        <v>1003.06</v>
      </c>
      <c r="CH38">
        <v>0</v>
      </c>
      <c r="CV38">
        <f t="shared" si="42"/>
        <v>1799.74</v>
      </c>
      <c r="CW38">
        <f t="shared" si="43"/>
        <v>1512.9663006319315</v>
      </c>
      <c r="CX38">
        <f t="shared" si="44"/>
        <v>0.84065826210004313</v>
      </c>
      <c r="CY38">
        <f t="shared" si="45"/>
        <v>0.19131652420008627</v>
      </c>
      <c r="CZ38">
        <v>6</v>
      </c>
      <c r="DA38">
        <v>0.5</v>
      </c>
      <c r="DB38" t="s">
        <v>418</v>
      </c>
      <c r="DC38">
        <v>2</v>
      </c>
      <c r="DD38">
        <v>1674578637</v>
      </c>
      <c r="DE38">
        <v>346.54399999999998</v>
      </c>
      <c r="DF38">
        <v>400.01400000000001</v>
      </c>
      <c r="DG38">
        <v>24.596</v>
      </c>
      <c r="DH38">
        <v>17.906199999999998</v>
      </c>
      <c r="DI38">
        <v>344.16</v>
      </c>
      <c r="DJ38">
        <v>24.461099999999998</v>
      </c>
      <c r="DK38">
        <v>500.00799999999998</v>
      </c>
      <c r="DL38">
        <v>99.703500000000005</v>
      </c>
      <c r="DM38">
        <v>9.9756999999999998E-2</v>
      </c>
      <c r="DN38">
        <v>27.997900000000001</v>
      </c>
      <c r="DO38">
        <v>27.618200000000002</v>
      </c>
      <c r="DP38">
        <v>999.9</v>
      </c>
      <c r="DQ38">
        <v>0</v>
      </c>
      <c r="DR38">
        <v>0</v>
      </c>
      <c r="DS38">
        <v>10018.799999999999</v>
      </c>
      <c r="DT38">
        <v>0</v>
      </c>
      <c r="DU38">
        <v>335.10599999999999</v>
      </c>
      <c r="DV38">
        <v>-53.470500000000001</v>
      </c>
      <c r="DW38">
        <v>355.28199999999998</v>
      </c>
      <c r="DX38">
        <v>407.30700000000002</v>
      </c>
      <c r="DY38">
        <v>6.6897700000000002</v>
      </c>
      <c r="DZ38">
        <v>400.01400000000001</v>
      </c>
      <c r="EA38">
        <v>17.906199999999998</v>
      </c>
      <c r="EB38">
        <v>2.4523100000000002</v>
      </c>
      <c r="EC38">
        <v>1.78531</v>
      </c>
      <c r="ED38">
        <v>20.7134</v>
      </c>
      <c r="EE38">
        <v>15.658799999999999</v>
      </c>
      <c r="EF38">
        <v>1799.74</v>
      </c>
      <c r="EG38">
        <v>0.97799599999999998</v>
      </c>
      <c r="EH38">
        <v>2.2003700000000001E-2</v>
      </c>
      <c r="EI38">
        <v>0</v>
      </c>
      <c r="EJ38">
        <v>795.73900000000003</v>
      </c>
      <c r="EK38">
        <v>4.9990399999999999</v>
      </c>
      <c r="EL38">
        <v>15021.3</v>
      </c>
      <c r="EM38">
        <v>14818.5</v>
      </c>
      <c r="EN38">
        <v>48.061999999999998</v>
      </c>
      <c r="EO38">
        <v>49.561999999999998</v>
      </c>
      <c r="EP38">
        <v>49</v>
      </c>
      <c r="EQ38">
        <v>47.936999999999998</v>
      </c>
      <c r="ER38">
        <v>49</v>
      </c>
      <c r="ES38">
        <v>1755.25</v>
      </c>
      <c r="ET38">
        <v>39.49</v>
      </c>
      <c r="EU38">
        <v>0</v>
      </c>
      <c r="EV38">
        <v>187.79999995231631</v>
      </c>
      <c r="EW38">
        <v>0</v>
      </c>
      <c r="EX38">
        <v>797.0794400000002</v>
      </c>
      <c r="EY38">
        <v>-12.58707692198346</v>
      </c>
      <c r="EZ38">
        <v>-249.86923078084041</v>
      </c>
      <c r="FA38">
        <v>15053.824000000001</v>
      </c>
      <c r="FB38">
        <v>15</v>
      </c>
      <c r="FC38">
        <v>1674578545.5999999</v>
      </c>
      <c r="FD38" t="s">
        <v>531</v>
      </c>
      <c r="FE38">
        <v>1674578533.0999999</v>
      </c>
      <c r="FF38">
        <v>1674578545.5999999</v>
      </c>
      <c r="FG38">
        <v>28</v>
      </c>
      <c r="FH38">
        <v>0.44500000000000001</v>
      </c>
      <c r="FI38">
        <v>2E-3</v>
      </c>
      <c r="FJ38">
        <v>2.4710000000000001</v>
      </c>
      <c r="FK38">
        <v>7.5999999999999998E-2</v>
      </c>
      <c r="FL38">
        <v>400</v>
      </c>
      <c r="FM38">
        <v>17</v>
      </c>
      <c r="FN38">
        <v>0.06</v>
      </c>
      <c r="FO38">
        <v>0.02</v>
      </c>
      <c r="FP38">
        <v>41.51150531340415</v>
      </c>
      <c r="FQ38">
        <v>6.2146699934310137</v>
      </c>
      <c r="FR38">
        <v>0.61351161114101782</v>
      </c>
      <c r="FS38">
        <v>0</v>
      </c>
      <c r="FT38">
        <v>0.48325107727426719</v>
      </c>
      <c r="FU38">
        <v>-1.280357286389156E-2</v>
      </c>
      <c r="FV38">
        <v>1.3791271558570911E-3</v>
      </c>
      <c r="FW38">
        <v>1</v>
      </c>
      <c r="FX38">
        <v>1</v>
      </c>
      <c r="FY38">
        <v>2</v>
      </c>
      <c r="FZ38" t="s">
        <v>459</v>
      </c>
      <c r="GA38">
        <v>2.9336099999999998</v>
      </c>
      <c r="GB38">
        <v>2.83338</v>
      </c>
      <c r="GC38">
        <v>8.0646399999999993E-2</v>
      </c>
      <c r="GD38">
        <v>8.8840699999999995E-2</v>
      </c>
      <c r="GE38">
        <v>0.12148299999999999</v>
      </c>
      <c r="GF38">
        <v>9.4020099999999995E-2</v>
      </c>
      <c r="GG38">
        <v>23745.599999999999</v>
      </c>
      <c r="GH38">
        <v>29794.9</v>
      </c>
      <c r="GI38">
        <v>23237.5</v>
      </c>
      <c r="GJ38">
        <v>29957.4</v>
      </c>
      <c r="GK38">
        <v>27761.7</v>
      </c>
      <c r="GL38">
        <v>38587.4</v>
      </c>
      <c r="GM38">
        <v>32785.5</v>
      </c>
      <c r="GN38">
        <v>44434.9</v>
      </c>
      <c r="GO38">
        <v>1.9480200000000001</v>
      </c>
      <c r="GP38">
        <v>1.84358</v>
      </c>
      <c r="GQ38">
        <v>6.0461500000000001E-2</v>
      </c>
      <c r="GR38">
        <v>0</v>
      </c>
      <c r="GS38">
        <v>26.6296</v>
      </c>
      <c r="GT38">
        <v>999.9</v>
      </c>
      <c r="GU38">
        <v>49.4</v>
      </c>
      <c r="GV38">
        <v>35.200000000000003</v>
      </c>
      <c r="GW38">
        <v>28.2958</v>
      </c>
      <c r="GX38">
        <v>61.064900000000002</v>
      </c>
      <c r="GY38">
        <v>37.572099999999999</v>
      </c>
      <c r="GZ38">
        <v>1</v>
      </c>
      <c r="HA38">
        <v>0.312162</v>
      </c>
      <c r="HB38">
        <v>2.0986099999999999</v>
      </c>
      <c r="HC38">
        <v>20.259499999999999</v>
      </c>
      <c r="HD38">
        <v>5.2098000000000004</v>
      </c>
      <c r="HE38">
        <v>11.872199999999999</v>
      </c>
      <c r="HF38">
        <v>4.9849500000000004</v>
      </c>
      <c r="HG38">
        <v>3.2839999999999998</v>
      </c>
      <c r="HH38">
        <v>9999</v>
      </c>
      <c r="HI38">
        <v>9999</v>
      </c>
      <c r="HJ38">
        <v>9999</v>
      </c>
      <c r="HK38">
        <v>999.9</v>
      </c>
      <c r="HL38">
        <v>1.8548</v>
      </c>
      <c r="HM38">
        <v>1.86084</v>
      </c>
      <c r="HN38">
        <v>1.85822</v>
      </c>
      <c r="HO38">
        <v>1.85944</v>
      </c>
      <c r="HP38">
        <v>1.85883</v>
      </c>
      <c r="HQ38">
        <v>1.85928</v>
      </c>
      <c r="HR38">
        <v>1.85761</v>
      </c>
      <c r="HS38">
        <v>1.8609599999999999</v>
      </c>
      <c r="HT38">
        <v>5</v>
      </c>
      <c r="HU38">
        <v>0</v>
      </c>
      <c r="HV38">
        <v>0</v>
      </c>
      <c r="HW38">
        <v>0</v>
      </c>
      <c r="HX38" t="s">
        <v>421</v>
      </c>
      <c r="HY38" t="s">
        <v>422</v>
      </c>
      <c r="HZ38" t="s">
        <v>423</v>
      </c>
      <c r="IA38" t="s">
        <v>423</v>
      </c>
      <c r="IB38" t="s">
        <v>423</v>
      </c>
      <c r="IC38" t="s">
        <v>423</v>
      </c>
      <c r="ID38">
        <v>0</v>
      </c>
      <c r="IE38">
        <v>100</v>
      </c>
      <c r="IF38">
        <v>100</v>
      </c>
      <c r="IG38">
        <v>2.3839999999999999</v>
      </c>
      <c r="IH38">
        <v>0.13489999999999999</v>
      </c>
      <c r="II38">
        <v>1.819556050938073</v>
      </c>
      <c r="IJ38">
        <v>1.6187016317407189E-3</v>
      </c>
      <c r="IK38">
        <v>1.4341569744255341E-7</v>
      </c>
      <c r="IL38">
        <v>-2.4096625942085749E-10</v>
      </c>
      <c r="IM38">
        <v>0.13491578595576309</v>
      </c>
      <c r="IN38">
        <v>0</v>
      </c>
      <c r="IO38">
        <v>0</v>
      </c>
      <c r="IP38">
        <v>0</v>
      </c>
      <c r="IQ38">
        <v>4</v>
      </c>
      <c r="IR38">
        <v>2205</v>
      </c>
      <c r="IS38">
        <v>1</v>
      </c>
      <c r="IT38">
        <v>21</v>
      </c>
      <c r="IU38">
        <v>1.7</v>
      </c>
      <c r="IV38">
        <v>1.5</v>
      </c>
      <c r="IW38">
        <v>0.98877000000000004</v>
      </c>
      <c r="IX38">
        <v>2.4523899999999998</v>
      </c>
      <c r="IY38">
        <v>1.49414</v>
      </c>
      <c r="IZ38">
        <v>2.3059099999999999</v>
      </c>
      <c r="JA38">
        <v>1.69434</v>
      </c>
      <c r="JB38">
        <v>2.4133300000000002</v>
      </c>
      <c r="JC38">
        <v>40.963799999999999</v>
      </c>
      <c r="JD38">
        <v>23.816099999999999</v>
      </c>
      <c r="JE38">
        <v>18</v>
      </c>
      <c r="JF38">
        <v>493.89699999999999</v>
      </c>
      <c r="JG38">
        <v>448.88200000000001</v>
      </c>
      <c r="JH38">
        <v>24.7272</v>
      </c>
      <c r="JI38">
        <v>31.225200000000001</v>
      </c>
      <c r="JJ38">
        <v>30.000399999999999</v>
      </c>
      <c r="JK38">
        <v>31.103000000000002</v>
      </c>
      <c r="JL38">
        <v>31.0657</v>
      </c>
      <c r="JM38">
        <v>19.872499999999999</v>
      </c>
      <c r="JN38">
        <v>42.845799999999997</v>
      </c>
      <c r="JO38">
        <v>0</v>
      </c>
      <c r="JP38">
        <v>24.775300000000001</v>
      </c>
      <c r="JQ38">
        <v>400</v>
      </c>
      <c r="JR38">
        <v>18.023700000000002</v>
      </c>
      <c r="JS38">
        <v>98.780600000000007</v>
      </c>
      <c r="JT38">
        <v>99.799300000000002</v>
      </c>
    </row>
    <row r="39" spans="1:280" x14ac:dyDescent="0.25">
      <c r="A39">
        <v>23</v>
      </c>
      <c r="B39">
        <v>1674578800.5</v>
      </c>
      <c r="C39">
        <v>4747.9000000953674</v>
      </c>
      <c r="D39" t="s">
        <v>532</v>
      </c>
      <c r="E39" t="s">
        <v>533</v>
      </c>
      <c r="F39" t="s">
        <v>412</v>
      </c>
      <c r="G39" t="s">
        <v>492</v>
      </c>
      <c r="H39" t="s">
        <v>493</v>
      </c>
      <c r="I39">
        <v>1674578800.5</v>
      </c>
      <c r="J39">
        <f t="shared" si="0"/>
        <v>5.3631855322044467E-3</v>
      </c>
      <c r="K39">
        <f t="shared" si="1"/>
        <v>5.3631855322044464</v>
      </c>
      <c r="L39">
        <f t="shared" si="2"/>
        <v>49.280947943361781</v>
      </c>
      <c r="M39">
        <f t="shared" si="3"/>
        <v>338.67599999999999</v>
      </c>
      <c r="N39">
        <f t="shared" si="4"/>
        <v>146.65167159791443</v>
      </c>
      <c r="O39">
        <f t="shared" si="5"/>
        <v>14.638222789508088</v>
      </c>
      <c r="P39">
        <f t="shared" si="6"/>
        <v>33.805374923049598</v>
      </c>
      <c r="Q39">
        <f t="shared" si="7"/>
        <v>0.45227897083751756</v>
      </c>
      <c r="R39">
        <f t="shared" si="8"/>
        <v>2.9265321179167092</v>
      </c>
      <c r="S39">
        <f t="shared" si="9"/>
        <v>0.41672939415799726</v>
      </c>
      <c r="T39">
        <f t="shared" si="10"/>
        <v>0.26341661776726527</v>
      </c>
      <c r="U39">
        <f t="shared" si="11"/>
        <v>344.35800126372283</v>
      </c>
      <c r="V39">
        <f t="shared" si="12"/>
        <v>28.637332133824437</v>
      </c>
      <c r="W39">
        <f t="shared" si="13"/>
        <v>27.638100000000001</v>
      </c>
      <c r="X39">
        <f t="shared" si="14"/>
        <v>3.715510975515369</v>
      </c>
      <c r="Y39">
        <f t="shared" si="15"/>
        <v>65.10260167773761</v>
      </c>
      <c r="Z39">
        <f t="shared" si="16"/>
        <v>2.4707121949009601</v>
      </c>
      <c r="AA39">
        <f t="shared" si="17"/>
        <v>3.7951051589783713</v>
      </c>
      <c r="AB39">
        <f t="shared" si="18"/>
        <v>1.244798780614409</v>
      </c>
      <c r="AC39">
        <f t="shared" si="19"/>
        <v>-236.51648197021609</v>
      </c>
      <c r="AD39">
        <f t="shared" si="20"/>
        <v>57.288174953382608</v>
      </c>
      <c r="AE39">
        <f t="shared" si="21"/>
        <v>4.2593336675162696</v>
      </c>
      <c r="AF39">
        <f t="shared" si="22"/>
        <v>169.38902791440563</v>
      </c>
      <c r="AG39">
        <v>0</v>
      </c>
      <c r="AH39">
        <v>0</v>
      </c>
      <c r="AI39">
        <f t="shared" si="23"/>
        <v>1</v>
      </c>
      <c r="AJ39">
        <f t="shared" si="24"/>
        <v>0</v>
      </c>
      <c r="AK39">
        <f t="shared" si="25"/>
        <v>52608.271911575197</v>
      </c>
      <c r="AL39" t="s">
        <v>415</v>
      </c>
      <c r="AM39">
        <v>10214.9</v>
      </c>
      <c r="AN39">
        <v>729.4384</v>
      </c>
      <c r="AO39">
        <v>3170.19</v>
      </c>
      <c r="AP39">
        <f t="shared" si="26"/>
        <v>0.76990704027203416</v>
      </c>
      <c r="AQ39">
        <v>-0.45549566560547827</v>
      </c>
      <c r="AR39" t="s">
        <v>534</v>
      </c>
      <c r="AS39">
        <v>10076.299999999999</v>
      </c>
      <c r="AT39">
        <v>784.31261538461558</v>
      </c>
      <c r="AU39">
        <v>1103.6522962483409</v>
      </c>
      <c r="AV39">
        <f t="shared" si="27"/>
        <v>0.2893480872094053</v>
      </c>
      <c r="AW39">
        <v>0.5</v>
      </c>
      <c r="AX39">
        <f t="shared" si="28"/>
        <v>1513.1343006318612</v>
      </c>
      <c r="AY39">
        <f t="shared" si="29"/>
        <v>49.280947943361781</v>
      </c>
      <c r="AZ39">
        <f t="shared" si="30"/>
        <v>218.91125778938513</v>
      </c>
      <c r="BA39">
        <f t="shared" si="31"/>
        <v>3.2869814390036695E-2</v>
      </c>
      <c r="BB39">
        <f t="shared" si="32"/>
        <v>1.8724535895738781</v>
      </c>
      <c r="BC39">
        <f t="shared" si="33"/>
        <v>509.79789606199728</v>
      </c>
      <c r="BD39" t="s">
        <v>535</v>
      </c>
      <c r="BE39">
        <v>587.57000000000005</v>
      </c>
      <c r="BF39">
        <f t="shared" si="34"/>
        <v>587.57000000000005</v>
      </c>
      <c r="BG39">
        <f t="shared" si="35"/>
        <v>0.46761312235988262</v>
      </c>
      <c r="BH39">
        <f t="shared" si="36"/>
        <v>0.61877666253069419</v>
      </c>
      <c r="BI39">
        <f t="shared" si="37"/>
        <v>0.80017102932357809</v>
      </c>
      <c r="BJ39">
        <f t="shared" si="38"/>
        <v>0.85336136382225847</v>
      </c>
      <c r="BK39">
        <f t="shared" si="39"/>
        <v>0.84668087639547551</v>
      </c>
      <c r="BL39">
        <f t="shared" si="40"/>
        <v>0.4635582757072807</v>
      </c>
      <c r="BM39">
        <f t="shared" si="41"/>
        <v>0.5364417242927193</v>
      </c>
      <c r="BN39">
        <v>9102</v>
      </c>
      <c r="BO39">
        <v>290.00000000000011</v>
      </c>
      <c r="BP39">
        <v>1026.3499999999999</v>
      </c>
      <c r="BQ39">
        <v>245</v>
      </c>
      <c r="BR39">
        <v>10076.299999999999</v>
      </c>
      <c r="BS39">
        <v>1026.72</v>
      </c>
      <c r="BT39">
        <v>-0.37</v>
      </c>
      <c r="BU39">
        <v>300.00000000000011</v>
      </c>
      <c r="BV39">
        <v>24.2</v>
      </c>
      <c r="BW39">
        <v>1103.6522962483409</v>
      </c>
      <c r="BX39">
        <v>2.2068684643761709</v>
      </c>
      <c r="BY39">
        <v>-77.519892167901006</v>
      </c>
      <c r="BZ39">
        <v>1.979653280523477</v>
      </c>
      <c r="CA39">
        <v>0.98206707507238655</v>
      </c>
      <c r="CB39">
        <v>-6.8850656284760881E-3</v>
      </c>
      <c r="CC39">
        <v>289.99999999999989</v>
      </c>
      <c r="CD39">
        <v>1027.1300000000001</v>
      </c>
      <c r="CE39">
        <v>655</v>
      </c>
      <c r="CF39">
        <v>10055.799999999999</v>
      </c>
      <c r="CG39">
        <v>1026.56</v>
      </c>
      <c r="CH39">
        <v>0.56999999999999995</v>
      </c>
      <c r="CV39">
        <f t="shared" si="42"/>
        <v>1799.94</v>
      </c>
      <c r="CW39">
        <f t="shared" si="43"/>
        <v>1513.1343006318612</v>
      </c>
      <c r="CX39">
        <f t="shared" si="44"/>
        <v>0.84065818895733257</v>
      </c>
      <c r="CY39">
        <f t="shared" si="45"/>
        <v>0.19131637791466538</v>
      </c>
      <c r="CZ39">
        <v>6</v>
      </c>
      <c r="DA39">
        <v>0.5</v>
      </c>
      <c r="DB39" t="s">
        <v>418</v>
      </c>
      <c r="DC39">
        <v>2</v>
      </c>
      <c r="DD39">
        <v>1674578800.5</v>
      </c>
      <c r="DE39">
        <v>338.67599999999999</v>
      </c>
      <c r="DF39">
        <v>399.976</v>
      </c>
      <c r="DG39">
        <v>24.752600000000001</v>
      </c>
      <c r="DH39">
        <v>18.477799999999998</v>
      </c>
      <c r="DI39">
        <v>336.35599999999999</v>
      </c>
      <c r="DJ39">
        <v>24.622</v>
      </c>
      <c r="DK39">
        <v>500.137</v>
      </c>
      <c r="DL39">
        <v>99.716399999999993</v>
      </c>
      <c r="DM39">
        <v>9.9869600000000003E-2</v>
      </c>
      <c r="DN39">
        <v>28.001200000000001</v>
      </c>
      <c r="DO39">
        <v>27.638100000000001</v>
      </c>
      <c r="DP39">
        <v>999.9</v>
      </c>
      <c r="DQ39">
        <v>0</v>
      </c>
      <c r="DR39">
        <v>0</v>
      </c>
      <c r="DS39">
        <v>10011.200000000001</v>
      </c>
      <c r="DT39">
        <v>0</v>
      </c>
      <c r="DU39">
        <v>328.65800000000002</v>
      </c>
      <c r="DV39">
        <v>-61.3</v>
      </c>
      <c r="DW39">
        <v>347.27100000000002</v>
      </c>
      <c r="DX39">
        <v>407.505</v>
      </c>
      <c r="DY39">
        <v>6.2747900000000003</v>
      </c>
      <c r="DZ39">
        <v>399.976</v>
      </c>
      <c r="EA39">
        <v>18.477799999999998</v>
      </c>
      <c r="EB39">
        <v>2.4682400000000002</v>
      </c>
      <c r="EC39">
        <v>1.8425400000000001</v>
      </c>
      <c r="ED39">
        <v>20.8186</v>
      </c>
      <c r="EE39">
        <v>16.1524</v>
      </c>
      <c r="EF39">
        <v>1799.94</v>
      </c>
      <c r="EG39">
        <v>0.97799999999999998</v>
      </c>
      <c r="EH39">
        <v>2.2000100000000002E-2</v>
      </c>
      <c r="EI39">
        <v>0</v>
      </c>
      <c r="EJ39">
        <v>784.45500000000004</v>
      </c>
      <c r="EK39">
        <v>4.9990399999999999</v>
      </c>
      <c r="EL39">
        <v>14821.6</v>
      </c>
      <c r="EM39">
        <v>14820.2</v>
      </c>
      <c r="EN39">
        <v>48.125</v>
      </c>
      <c r="EO39">
        <v>49.625</v>
      </c>
      <c r="EP39">
        <v>49.125</v>
      </c>
      <c r="EQ39">
        <v>48</v>
      </c>
      <c r="ER39">
        <v>49</v>
      </c>
      <c r="ES39">
        <v>1755.45</v>
      </c>
      <c r="ET39">
        <v>39.49</v>
      </c>
      <c r="EU39">
        <v>0</v>
      </c>
      <c r="EV39">
        <v>161.39999985694891</v>
      </c>
      <c r="EW39">
        <v>0</v>
      </c>
      <c r="EX39">
        <v>784.31261538461558</v>
      </c>
      <c r="EY39">
        <v>1.146735041344709</v>
      </c>
      <c r="EZ39">
        <v>28.270085487354859</v>
      </c>
      <c r="FA39">
        <v>14818.219230769229</v>
      </c>
      <c r="FB39">
        <v>15</v>
      </c>
      <c r="FC39">
        <v>1674578712.5</v>
      </c>
      <c r="FD39" t="s">
        <v>536</v>
      </c>
      <c r="FE39">
        <v>1674578708</v>
      </c>
      <c r="FF39">
        <v>1674578712.5</v>
      </c>
      <c r="FG39">
        <v>29</v>
      </c>
      <c r="FH39">
        <v>-5.0999999999999997E-2</v>
      </c>
      <c r="FI39">
        <v>-4.0000000000000001E-3</v>
      </c>
      <c r="FJ39">
        <v>2.419</v>
      </c>
      <c r="FK39">
        <v>8.6999999999999994E-2</v>
      </c>
      <c r="FL39">
        <v>400</v>
      </c>
      <c r="FM39">
        <v>18</v>
      </c>
      <c r="FN39">
        <v>0.04</v>
      </c>
      <c r="FO39">
        <v>0.02</v>
      </c>
      <c r="FP39">
        <v>49.16472336174472</v>
      </c>
      <c r="FQ39">
        <v>0.65263374760639703</v>
      </c>
      <c r="FR39">
        <v>7.3222193003950165E-2</v>
      </c>
      <c r="FS39">
        <v>1</v>
      </c>
      <c r="FT39">
        <v>0.45241866968557493</v>
      </c>
      <c r="FU39">
        <v>-3.4896086496460379E-3</v>
      </c>
      <c r="FV39">
        <v>5.6968623684070896E-4</v>
      </c>
      <c r="FW39">
        <v>1</v>
      </c>
      <c r="FX39">
        <v>2</v>
      </c>
      <c r="FY39">
        <v>2</v>
      </c>
      <c r="FZ39" t="s">
        <v>420</v>
      </c>
      <c r="GA39">
        <v>2.9338600000000001</v>
      </c>
      <c r="GB39">
        <v>2.8334199999999998</v>
      </c>
      <c r="GC39">
        <v>7.9189499999999996E-2</v>
      </c>
      <c r="GD39">
        <v>8.8832300000000003E-2</v>
      </c>
      <c r="GE39">
        <v>0.122033</v>
      </c>
      <c r="GF39">
        <v>9.6132800000000004E-2</v>
      </c>
      <c r="GG39">
        <v>23782</v>
      </c>
      <c r="GH39">
        <v>29791.7</v>
      </c>
      <c r="GI39">
        <v>23236.5</v>
      </c>
      <c r="GJ39">
        <v>29954.3</v>
      </c>
      <c r="GK39">
        <v>27743.4</v>
      </c>
      <c r="GL39">
        <v>38492.800000000003</v>
      </c>
      <c r="GM39">
        <v>32784.5</v>
      </c>
      <c r="GN39">
        <v>44431.199999999997</v>
      </c>
      <c r="GO39">
        <v>1.9472</v>
      </c>
      <c r="GP39">
        <v>1.8426499999999999</v>
      </c>
      <c r="GQ39">
        <v>6.4857300000000007E-2</v>
      </c>
      <c r="GR39">
        <v>0</v>
      </c>
      <c r="GS39">
        <v>26.5776</v>
      </c>
      <c r="GT39">
        <v>999.9</v>
      </c>
      <c r="GU39">
        <v>49.2</v>
      </c>
      <c r="GV39">
        <v>35.299999999999997</v>
      </c>
      <c r="GW39">
        <v>28.333100000000002</v>
      </c>
      <c r="GX39">
        <v>61.3249</v>
      </c>
      <c r="GY39">
        <v>36.9071</v>
      </c>
      <c r="GZ39">
        <v>1</v>
      </c>
      <c r="HA39">
        <v>0.31712699999999999</v>
      </c>
      <c r="HB39">
        <v>1.9994400000000001</v>
      </c>
      <c r="HC39">
        <v>20.259599999999999</v>
      </c>
      <c r="HD39">
        <v>5.2107000000000001</v>
      </c>
      <c r="HE39">
        <v>11.872199999999999</v>
      </c>
      <c r="HF39">
        <v>4.98515</v>
      </c>
      <c r="HG39">
        <v>3.2839999999999998</v>
      </c>
      <c r="HH39">
        <v>9999</v>
      </c>
      <c r="HI39">
        <v>9999</v>
      </c>
      <c r="HJ39">
        <v>9999</v>
      </c>
      <c r="HK39">
        <v>999.9</v>
      </c>
      <c r="HL39">
        <v>1.8548100000000001</v>
      </c>
      <c r="HM39">
        <v>1.8608199999999999</v>
      </c>
      <c r="HN39">
        <v>1.85822</v>
      </c>
      <c r="HO39">
        <v>1.8594299999999999</v>
      </c>
      <c r="HP39">
        <v>1.8588199999999999</v>
      </c>
      <c r="HQ39">
        <v>1.8593</v>
      </c>
      <c r="HR39">
        <v>1.8576299999999999</v>
      </c>
      <c r="HS39">
        <v>1.8609599999999999</v>
      </c>
      <c r="HT39">
        <v>5</v>
      </c>
      <c r="HU39">
        <v>0</v>
      </c>
      <c r="HV39">
        <v>0</v>
      </c>
      <c r="HW39">
        <v>0</v>
      </c>
      <c r="HX39" t="s">
        <v>421</v>
      </c>
      <c r="HY39" t="s">
        <v>422</v>
      </c>
      <c r="HZ39" t="s">
        <v>423</v>
      </c>
      <c r="IA39" t="s">
        <v>423</v>
      </c>
      <c r="IB39" t="s">
        <v>423</v>
      </c>
      <c r="IC39" t="s">
        <v>423</v>
      </c>
      <c r="ID39">
        <v>0</v>
      </c>
      <c r="IE39">
        <v>100</v>
      </c>
      <c r="IF39">
        <v>100</v>
      </c>
      <c r="IG39">
        <v>2.3199999999999998</v>
      </c>
      <c r="IH39">
        <v>0.13059999999999999</v>
      </c>
      <c r="II39">
        <v>1.768083954648217</v>
      </c>
      <c r="IJ39">
        <v>1.6187016317407189E-3</v>
      </c>
      <c r="IK39">
        <v>1.4341569744255341E-7</v>
      </c>
      <c r="IL39">
        <v>-2.4096625942085749E-10</v>
      </c>
      <c r="IM39">
        <v>0.13060274372969871</v>
      </c>
      <c r="IN39">
        <v>0</v>
      </c>
      <c r="IO39">
        <v>0</v>
      </c>
      <c r="IP39">
        <v>0</v>
      </c>
      <c r="IQ39">
        <v>4</v>
      </c>
      <c r="IR39">
        <v>2205</v>
      </c>
      <c r="IS39">
        <v>1</v>
      </c>
      <c r="IT39">
        <v>21</v>
      </c>
      <c r="IU39">
        <v>1.5</v>
      </c>
      <c r="IV39">
        <v>1.5</v>
      </c>
      <c r="IW39">
        <v>0.98877000000000004</v>
      </c>
      <c r="IX39">
        <v>2.4670399999999999</v>
      </c>
      <c r="IY39">
        <v>1.49414</v>
      </c>
      <c r="IZ39">
        <v>2.3059099999999999</v>
      </c>
      <c r="JA39">
        <v>1.69434</v>
      </c>
      <c r="JB39">
        <v>2.2900399999999999</v>
      </c>
      <c r="JC39">
        <v>40.963799999999999</v>
      </c>
      <c r="JD39">
        <v>23.833600000000001</v>
      </c>
      <c r="JE39">
        <v>18</v>
      </c>
      <c r="JF39">
        <v>494.01600000000002</v>
      </c>
      <c r="JG39">
        <v>448.90499999999997</v>
      </c>
      <c r="JH39">
        <v>24.798500000000001</v>
      </c>
      <c r="JI39">
        <v>31.294499999999999</v>
      </c>
      <c r="JJ39">
        <v>30.0001</v>
      </c>
      <c r="JK39">
        <v>31.1815</v>
      </c>
      <c r="JL39">
        <v>31.145499999999998</v>
      </c>
      <c r="JM39">
        <v>19.879100000000001</v>
      </c>
      <c r="JN39">
        <v>41.054699999999997</v>
      </c>
      <c r="JO39">
        <v>0</v>
      </c>
      <c r="JP39">
        <v>24.791799999999999</v>
      </c>
      <c r="JQ39">
        <v>400</v>
      </c>
      <c r="JR39">
        <v>18.429400000000001</v>
      </c>
      <c r="JS39">
        <v>98.777000000000001</v>
      </c>
      <c r="JT39">
        <v>99.79</v>
      </c>
    </row>
    <row r="40" spans="1:280" x14ac:dyDescent="0.25">
      <c r="A40">
        <v>24</v>
      </c>
      <c r="B40">
        <v>1674578914.5</v>
      </c>
      <c r="C40">
        <v>4861.9000000953674</v>
      </c>
      <c r="D40" t="s">
        <v>537</v>
      </c>
      <c r="E40" t="s">
        <v>538</v>
      </c>
      <c r="F40" t="s">
        <v>412</v>
      </c>
      <c r="G40" t="s">
        <v>492</v>
      </c>
      <c r="H40" t="s">
        <v>493</v>
      </c>
      <c r="I40">
        <v>1674578914.5</v>
      </c>
      <c r="J40">
        <f t="shared" si="0"/>
        <v>5.3437217367667805E-3</v>
      </c>
      <c r="K40">
        <f t="shared" si="1"/>
        <v>5.3437217367667804</v>
      </c>
      <c r="L40">
        <f t="shared" si="2"/>
        <v>53.111519989082737</v>
      </c>
      <c r="M40">
        <f t="shared" si="3"/>
        <v>433.55500000000001</v>
      </c>
      <c r="N40">
        <f t="shared" si="4"/>
        <v>226.42114741165113</v>
      </c>
      <c r="O40">
        <f t="shared" si="5"/>
        <v>22.599897159703325</v>
      </c>
      <c r="P40">
        <f t="shared" si="6"/>
        <v>43.274661068919997</v>
      </c>
      <c r="Q40">
        <f t="shared" si="7"/>
        <v>0.45505316262118251</v>
      </c>
      <c r="R40">
        <f t="shared" si="8"/>
        <v>2.9269381812692772</v>
      </c>
      <c r="S40">
        <f t="shared" si="9"/>
        <v>0.41908927891259762</v>
      </c>
      <c r="T40">
        <f t="shared" si="10"/>
        <v>0.26492475153481998</v>
      </c>
      <c r="U40">
        <f t="shared" si="11"/>
        <v>344.40930126353328</v>
      </c>
      <c r="V40">
        <f t="shared" si="12"/>
        <v>28.643214873968631</v>
      </c>
      <c r="W40">
        <f t="shared" si="13"/>
        <v>27.626799999999999</v>
      </c>
      <c r="X40">
        <f t="shared" si="14"/>
        <v>3.7130574855834237</v>
      </c>
      <c r="Y40">
        <f t="shared" si="15"/>
        <v>65.34076700422267</v>
      </c>
      <c r="Z40">
        <f t="shared" si="16"/>
        <v>2.4798375566167996</v>
      </c>
      <c r="AA40">
        <f t="shared" si="17"/>
        <v>3.7952379047777924</v>
      </c>
      <c r="AB40">
        <f t="shared" si="18"/>
        <v>1.2332199289666241</v>
      </c>
      <c r="AC40">
        <f t="shared" si="19"/>
        <v>-235.65812859141502</v>
      </c>
      <c r="AD40">
        <f t="shared" si="20"/>
        <v>59.173909210720986</v>
      </c>
      <c r="AE40">
        <f t="shared" si="21"/>
        <v>4.3986916705206829</v>
      </c>
      <c r="AF40">
        <f t="shared" si="22"/>
        <v>172.32377355335993</v>
      </c>
      <c r="AG40">
        <v>0</v>
      </c>
      <c r="AH40">
        <v>0</v>
      </c>
      <c r="AI40">
        <f t="shared" si="23"/>
        <v>1</v>
      </c>
      <c r="AJ40">
        <f t="shared" si="24"/>
        <v>0</v>
      </c>
      <c r="AK40">
        <f t="shared" si="25"/>
        <v>52619.789664701217</v>
      </c>
      <c r="AL40" t="s">
        <v>415</v>
      </c>
      <c r="AM40">
        <v>10214.9</v>
      </c>
      <c r="AN40">
        <v>729.4384</v>
      </c>
      <c r="AO40">
        <v>3170.19</v>
      </c>
      <c r="AP40">
        <f t="shared" si="26"/>
        <v>0.76990704027203416</v>
      </c>
      <c r="AQ40">
        <v>-0.45549566560547827</v>
      </c>
      <c r="AR40" t="s">
        <v>539</v>
      </c>
      <c r="AS40">
        <v>10075.1</v>
      </c>
      <c r="AT40">
        <v>787.34823076923078</v>
      </c>
      <c r="AU40">
        <v>1136.378206610987</v>
      </c>
      <c r="AV40">
        <f t="shared" si="27"/>
        <v>0.30714244061637364</v>
      </c>
      <c r="AW40">
        <v>0.5</v>
      </c>
      <c r="AX40">
        <f t="shared" si="28"/>
        <v>1513.3611006317667</v>
      </c>
      <c r="AY40">
        <f t="shared" si="29"/>
        <v>53.111519989082737</v>
      </c>
      <c r="AZ40">
        <f t="shared" si="30"/>
        <v>232.40871099096111</v>
      </c>
      <c r="BA40">
        <f t="shared" si="31"/>
        <v>3.5396056917497191E-2</v>
      </c>
      <c r="BB40">
        <f t="shared" si="32"/>
        <v>1.7897314305722529</v>
      </c>
      <c r="BC40">
        <f t="shared" si="33"/>
        <v>516.67093234980814</v>
      </c>
      <c r="BD40" t="s">
        <v>540</v>
      </c>
      <c r="BE40">
        <v>590.98</v>
      </c>
      <c r="BF40">
        <f t="shared" si="34"/>
        <v>590.98</v>
      </c>
      <c r="BG40">
        <f t="shared" si="35"/>
        <v>0.47994426805977242</v>
      </c>
      <c r="BH40">
        <f t="shared" si="36"/>
        <v>0.63995438857522102</v>
      </c>
      <c r="BI40">
        <f t="shared" si="37"/>
        <v>0.78854059707779245</v>
      </c>
      <c r="BJ40">
        <f t="shared" si="38"/>
        <v>0.85769435717899789</v>
      </c>
      <c r="BK40">
        <f t="shared" si="39"/>
        <v>0.83327274819322583</v>
      </c>
      <c r="BL40">
        <f t="shared" si="40"/>
        <v>0.48034685261270799</v>
      </c>
      <c r="BM40">
        <f t="shared" si="41"/>
        <v>0.51965314738729207</v>
      </c>
      <c r="BN40">
        <v>9104</v>
      </c>
      <c r="BO40">
        <v>290.00000000000011</v>
      </c>
      <c r="BP40">
        <v>1056.76</v>
      </c>
      <c r="BQ40">
        <v>255</v>
      </c>
      <c r="BR40">
        <v>10075.1</v>
      </c>
      <c r="BS40">
        <v>1056.24</v>
      </c>
      <c r="BT40">
        <v>0.52</v>
      </c>
      <c r="BU40">
        <v>300.00000000000011</v>
      </c>
      <c r="BV40">
        <v>24.2</v>
      </c>
      <c r="BW40">
        <v>1136.378206610987</v>
      </c>
      <c r="BX40">
        <v>2.363184623971553</v>
      </c>
      <c r="BY40">
        <v>-80.741543631225127</v>
      </c>
      <c r="BZ40">
        <v>2.119890760326927</v>
      </c>
      <c r="CA40">
        <v>0.9810640002639246</v>
      </c>
      <c r="CB40">
        <v>-6.8851575083426078E-3</v>
      </c>
      <c r="CC40">
        <v>289.99999999999989</v>
      </c>
      <c r="CD40">
        <v>1056.47</v>
      </c>
      <c r="CE40">
        <v>705</v>
      </c>
      <c r="CF40">
        <v>10053.1</v>
      </c>
      <c r="CG40">
        <v>1056.06</v>
      </c>
      <c r="CH40">
        <v>0.41</v>
      </c>
      <c r="CV40">
        <f t="shared" si="42"/>
        <v>1800.21</v>
      </c>
      <c r="CW40">
        <f t="shared" si="43"/>
        <v>1513.3611006317667</v>
      </c>
      <c r="CX40">
        <f t="shared" si="44"/>
        <v>0.84065809024045346</v>
      </c>
      <c r="CY40">
        <f t="shared" si="45"/>
        <v>0.19131618048090682</v>
      </c>
      <c r="CZ40">
        <v>6</v>
      </c>
      <c r="DA40">
        <v>0.5</v>
      </c>
      <c r="DB40" t="s">
        <v>418</v>
      </c>
      <c r="DC40">
        <v>2</v>
      </c>
      <c r="DD40">
        <v>1674578914.5</v>
      </c>
      <c r="DE40">
        <v>433.55500000000001</v>
      </c>
      <c r="DF40">
        <v>500.06099999999998</v>
      </c>
      <c r="DG40">
        <v>24.8447</v>
      </c>
      <c r="DH40">
        <v>18.592300000000002</v>
      </c>
      <c r="DI40">
        <v>430.89100000000002</v>
      </c>
      <c r="DJ40">
        <v>24.709900000000001</v>
      </c>
      <c r="DK40">
        <v>500.06</v>
      </c>
      <c r="DL40">
        <v>99.7136</v>
      </c>
      <c r="DM40">
        <v>9.9944000000000005E-2</v>
      </c>
      <c r="DN40">
        <v>28.001799999999999</v>
      </c>
      <c r="DO40">
        <v>27.626799999999999</v>
      </c>
      <c r="DP40">
        <v>999.9</v>
      </c>
      <c r="DQ40">
        <v>0</v>
      </c>
      <c r="DR40">
        <v>0</v>
      </c>
      <c r="DS40">
        <v>10013.799999999999</v>
      </c>
      <c r="DT40">
        <v>0</v>
      </c>
      <c r="DU40">
        <v>336.10399999999998</v>
      </c>
      <c r="DV40">
        <v>-66.505600000000001</v>
      </c>
      <c r="DW40">
        <v>444.601</v>
      </c>
      <c r="DX40">
        <v>509.53399999999999</v>
      </c>
      <c r="DY40">
        <v>6.2524300000000004</v>
      </c>
      <c r="DZ40">
        <v>500.06099999999998</v>
      </c>
      <c r="EA40">
        <v>18.592300000000002</v>
      </c>
      <c r="EB40">
        <v>2.47736</v>
      </c>
      <c r="EC40">
        <v>1.8539099999999999</v>
      </c>
      <c r="ED40">
        <v>20.878499999999999</v>
      </c>
      <c r="EE40">
        <v>16.248899999999999</v>
      </c>
      <c r="EF40">
        <v>1800.21</v>
      </c>
      <c r="EG40">
        <v>0.97800399999999998</v>
      </c>
      <c r="EH40">
        <v>2.1996399999999999E-2</v>
      </c>
      <c r="EI40">
        <v>0</v>
      </c>
      <c r="EJ40">
        <v>787.47199999999998</v>
      </c>
      <c r="EK40">
        <v>4.9990399999999999</v>
      </c>
      <c r="EL40">
        <v>14898.1</v>
      </c>
      <c r="EM40">
        <v>14822.5</v>
      </c>
      <c r="EN40">
        <v>48.125</v>
      </c>
      <c r="EO40">
        <v>49.686999999999998</v>
      </c>
      <c r="EP40">
        <v>49.125</v>
      </c>
      <c r="EQ40">
        <v>48.061999999999998</v>
      </c>
      <c r="ER40">
        <v>49.061999999999998</v>
      </c>
      <c r="ES40">
        <v>1755.72</v>
      </c>
      <c r="ET40">
        <v>39.49</v>
      </c>
      <c r="EU40">
        <v>0</v>
      </c>
      <c r="EV40">
        <v>111.7999999523163</v>
      </c>
      <c r="EW40">
        <v>0</v>
      </c>
      <c r="EX40">
        <v>787.34823076923078</v>
      </c>
      <c r="EY40">
        <v>2.6703589731939998</v>
      </c>
      <c r="EZ40">
        <v>37.42564109241129</v>
      </c>
      <c r="FA40">
        <v>14890.56538461538</v>
      </c>
      <c r="FB40">
        <v>15</v>
      </c>
      <c r="FC40">
        <v>1674578881</v>
      </c>
      <c r="FD40" t="s">
        <v>541</v>
      </c>
      <c r="FE40">
        <v>1674578875</v>
      </c>
      <c r="FF40">
        <v>1674578881</v>
      </c>
      <c r="FG40">
        <v>30</v>
      </c>
      <c r="FH40">
        <v>0.192</v>
      </c>
      <c r="FI40">
        <v>4.0000000000000001E-3</v>
      </c>
      <c r="FJ40">
        <v>2.7709999999999999</v>
      </c>
      <c r="FK40">
        <v>9.2999999999999999E-2</v>
      </c>
      <c r="FL40">
        <v>500</v>
      </c>
      <c r="FM40">
        <v>18</v>
      </c>
      <c r="FN40">
        <v>0.09</v>
      </c>
      <c r="FO40">
        <v>0.02</v>
      </c>
      <c r="FP40">
        <v>53.040787039209</v>
      </c>
      <c r="FQ40">
        <v>-3.6732436411438502E-2</v>
      </c>
      <c r="FR40">
        <v>5.4216799120588549E-2</v>
      </c>
      <c r="FS40">
        <v>1</v>
      </c>
      <c r="FT40">
        <v>0.45499908143348328</v>
      </c>
      <c r="FU40">
        <v>4.3161892276667772E-2</v>
      </c>
      <c r="FV40">
        <v>5.4809262366836116E-3</v>
      </c>
      <c r="FW40">
        <v>1</v>
      </c>
      <c r="FX40">
        <v>2</v>
      </c>
      <c r="FY40">
        <v>2</v>
      </c>
      <c r="FZ40" t="s">
        <v>420</v>
      </c>
      <c r="GA40">
        <v>2.93364</v>
      </c>
      <c r="GB40">
        <v>2.83352</v>
      </c>
      <c r="GC40">
        <v>9.5902600000000005E-2</v>
      </c>
      <c r="GD40">
        <v>0.105</v>
      </c>
      <c r="GE40">
        <v>0.122324</v>
      </c>
      <c r="GF40">
        <v>9.6543699999999996E-2</v>
      </c>
      <c r="GG40">
        <v>23351.200000000001</v>
      </c>
      <c r="GH40">
        <v>29262.1</v>
      </c>
      <c r="GI40">
        <v>23237.3</v>
      </c>
      <c r="GJ40">
        <v>29953.200000000001</v>
      </c>
      <c r="GK40">
        <v>27735.9</v>
      </c>
      <c r="GL40">
        <v>38474.699999999997</v>
      </c>
      <c r="GM40">
        <v>32786.1</v>
      </c>
      <c r="GN40">
        <v>44430.3</v>
      </c>
      <c r="GO40">
        <v>1.9467000000000001</v>
      </c>
      <c r="GP40">
        <v>1.8419300000000001</v>
      </c>
      <c r="GQ40">
        <v>6.5267099999999995E-2</v>
      </c>
      <c r="GR40">
        <v>0</v>
      </c>
      <c r="GS40">
        <v>26.5596</v>
      </c>
      <c r="GT40">
        <v>999.9</v>
      </c>
      <c r="GU40">
        <v>49.1</v>
      </c>
      <c r="GV40">
        <v>35.4</v>
      </c>
      <c r="GW40">
        <v>28.432500000000001</v>
      </c>
      <c r="GX40">
        <v>61.114899999999999</v>
      </c>
      <c r="GY40">
        <v>37.4559</v>
      </c>
      <c r="GZ40">
        <v>1</v>
      </c>
      <c r="HA40">
        <v>0.31844499999999998</v>
      </c>
      <c r="HB40">
        <v>2.0371000000000001</v>
      </c>
      <c r="HC40">
        <v>20.2591</v>
      </c>
      <c r="HD40">
        <v>5.2111499999999999</v>
      </c>
      <c r="HE40">
        <v>11.872199999999999</v>
      </c>
      <c r="HF40">
        <v>4.98475</v>
      </c>
      <c r="HG40">
        <v>3.2839999999999998</v>
      </c>
      <c r="HH40">
        <v>9999</v>
      </c>
      <c r="HI40">
        <v>9999</v>
      </c>
      <c r="HJ40">
        <v>9999</v>
      </c>
      <c r="HK40">
        <v>999.9</v>
      </c>
      <c r="HL40">
        <v>1.8547100000000001</v>
      </c>
      <c r="HM40">
        <v>1.8608100000000001</v>
      </c>
      <c r="HN40">
        <v>1.8582000000000001</v>
      </c>
      <c r="HO40">
        <v>1.85938</v>
      </c>
      <c r="HP40">
        <v>1.8587100000000001</v>
      </c>
      <c r="HQ40">
        <v>1.85928</v>
      </c>
      <c r="HR40">
        <v>1.8575999999999999</v>
      </c>
      <c r="HS40">
        <v>1.8609500000000001</v>
      </c>
      <c r="HT40">
        <v>5</v>
      </c>
      <c r="HU40">
        <v>0</v>
      </c>
      <c r="HV40">
        <v>0</v>
      </c>
      <c r="HW40">
        <v>0</v>
      </c>
      <c r="HX40" t="s">
        <v>421</v>
      </c>
      <c r="HY40" t="s">
        <v>422</v>
      </c>
      <c r="HZ40" t="s">
        <v>423</v>
      </c>
      <c r="IA40" t="s">
        <v>423</v>
      </c>
      <c r="IB40" t="s">
        <v>423</v>
      </c>
      <c r="IC40" t="s">
        <v>423</v>
      </c>
      <c r="ID40">
        <v>0</v>
      </c>
      <c r="IE40">
        <v>100</v>
      </c>
      <c r="IF40">
        <v>100</v>
      </c>
      <c r="IG40">
        <v>2.6640000000000001</v>
      </c>
      <c r="IH40">
        <v>0.1348</v>
      </c>
      <c r="II40">
        <v>1.959663394411437</v>
      </c>
      <c r="IJ40">
        <v>1.6187016317407189E-3</v>
      </c>
      <c r="IK40">
        <v>1.4341569744255341E-7</v>
      </c>
      <c r="IL40">
        <v>-2.4096625942085749E-10</v>
      </c>
      <c r="IM40">
        <v>0.1348000209950824</v>
      </c>
      <c r="IN40">
        <v>0</v>
      </c>
      <c r="IO40">
        <v>0</v>
      </c>
      <c r="IP40">
        <v>0</v>
      </c>
      <c r="IQ40">
        <v>4</v>
      </c>
      <c r="IR40">
        <v>2205</v>
      </c>
      <c r="IS40">
        <v>1</v>
      </c>
      <c r="IT40">
        <v>21</v>
      </c>
      <c r="IU40">
        <v>0.7</v>
      </c>
      <c r="IV40">
        <v>0.6</v>
      </c>
      <c r="IW40">
        <v>1.1853</v>
      </c>
      <c r="IX40">
        <v>2.4511699999999998</v>
      </c>
      <c r="IY40">
        <v>1.49414</v>
      </c>
      <c r="IZ40">
        <v>2.3059099999999999</v>
      </c>
      <c r="JA40">
        <v>1.69434</v>
      </c>
      <c r="JB40">
        <v>2.3974600000000001</v>
      </c>
      <c r="JC40">
        <v>40.963799999999999</v>
      </c>
      <c r="JD40">
        <v>23.868600000000001</v>
      </c>
      <c r="JE40">
        <v>18</v>
      </c>
      <c r="JF40">
        <v>493.971</v>
      </c>
      <c r="JG40">
        <v>448.685</v>
      </c>
      <c r="JH40">
        <v>24.7498</v>
      </c>
      <c r="JI40">
        <v>31.315100000000001</v>
      </c>
      <c r="JJ40">
        <v>30.0001</v>
      </c>
      <c r="JK40">
        <v>31.2148</v>
      </c>
      <c r="JL40">
        <v>31.179600000000001</v>
      </c>
      <c r="JM40">
        <v>23.801100000000002</v>
      </c>
      <c r="JN40">
        <v>40.969099999999997</v>
      </c>
      <c r="JO40">
        <v>0</v>
      </c>
      <c r="JP40">
        <v>24.7501</v>
      </c>
      <c r="JQ40">
        <v>500</v>
      </c>
      <c r="JR40">
        <v>18.520700000000001</v>
      </c>
      <c r="JS40">
        <v>98.781199999999998</v>
      </c>
      <c r="JT40">
        <v>99.787400000000005</v>
      </c>
    </row>
    <row r="41" spans="1:280" x14ac:dyDescent="0.25">
      <c r="A41">
        <v>25</v>
      </c>
      <c r="B41">
        <v>1674579019</v>
      </c>
      <c r="C41">
        <v>4966.4000000953674</v>
      </c>
      <c r="D41" t="s">
        <v>542</v>
      </c>
      <c r="E41" t="s">
        <v>543</v>
      </c>
      <c r="F41" t="s">
        <v>412</v>
      </c>
      <c r="G41" t="s">
        <v>492</v>
      </c>
      <c r="H41" t="s">
        <v>493</v>
      </c>
      <c r="I41">
        <v>1674579019</v>
      </c>
      <c r="J41">
        <f t="shared" si="0"/>
        <v>5.2370613120099746E-3</v>
      </c>
      <c r="K41">
        <f t="shared" si="1"/>
        <v>5.2370613120099749</v>
      </c>
      <c r="L41">
        <f t="shared" si="2"/>
        <v>54.6768576983754</v>
      </c>
      <c r="M41">
        <f t="shared" si="3"/>
        <v>531.09699999999998</v>
      </c>
      <c r="N41">
        <f t="shared" si="4"/>
        <v>310.04369747892139</v>
      </c>
      <c r="O41">
        <f t="shared" si="5"/>
        <v>30.944706209928452</v>
      </c>
      <c r="P41">
        <f t="shared" si="6"/>
        <v>53.007497870817694</v>
      </c>
      <c r="Q41">
        <f t="shared" si="7"/>
        <v>0.44107264063689644</v>
      </c>
      <c r="R41">
        <f t="shared" si="8"/>
        <v>2.9246255384987241</v>
      </c>
      <c r="S41">
        <f t="shared" si="9"/>
        <v>0.40717195624339952</v>
      </c>
      <c r="T41">
        <f t="shared" si="10"/>
        <v>0.25731083748596612</v>
      </c>
      <c r="U41">
        <f t="shared" si="11"/>
        <v>344.35230126374387</v>
      </c>
      <c r="V41">
        <f t="shared" si="12"/>
        <v>28.672912628398777</v>
      </c>
      <c r="W41">
        <f t="shared" si="13"/>
        <v>27.640699999999999</v>
      </c>
      <c r="X41">
        <f t="shared" si="14"/>
        <v>3.7160756954807344</v>
      </c>
      <c r="Y41">
        <f t="shared" si="15"/>
        <v>65.131204033197974</v>
      </c>
      <c r="Z41">
        <f t="shared" si="16"/>
        <v>2.4721435359493098</v>
      </c>
      <c r="AA41">
        <f t="shared" si="17"/>
        <v>3.7956361664820988</v>
      </c>
      <c r="AB41">
        <f t="shared" si="18"/>
        <v>1.2439321595314246</v>
      </c>
      <c r="AC41">
        <f t="shared" si="19"/>
        <v>-230.95440385963988</v>
      </c>
      <c r="AD41">
        <f t="shared" si="20"/>
        <v>57.219318326246999</v>
      </c>
      <c r="AE41">
        <f t="shared" si="21"/>
        <v>4.2570937073713804</v>
      </c>
      <c r="AF41">
        <f t="shared" si="22"/>
        <v>174.87430943772236</v>
      </c>
      <c r="AG41">
        <v>0</v>
      </c>
      <c r="AH41">
        <v>0</v>
      </c>
      <c r="AI41">
        <f t="shared" si="23"/>
        <v>1</v>
      </c>
      <c r="AJ41">
        <f t="shared" si="24"/>
        <v>0</v>
      </c>
      <c r="AK41">
        <f t="shared" si="25"/>
        <v>52552.819868382467</v>
      </c>
      <c r="AL41" t="s">
        <v>415</v>
      </c>
      <c r="AM41">
        <v>10214.9</v>
      </c>
      <c r="AN41">
        <v>729.4384</v>
      </c>
      <c r="AO41">
        <v>3170.19</v>
      </c>
      <c r="AP41">
        <f t="shared" si="26"/>
        <v>0.76990704027203416</v>
      </c>
      <c r="AQ41">
        <v>-0.45549566560547827</v>
      </c>
      <c r="AR41" t="s">
        <v>544</v>
      </c>
      <c r="AS41">
        <v>10081.4</v>
      </c>
      <c r="AT41">
        <v>788.79859999999985</v>
      </c>
      <c r="AU41">
        <v>1160.347441420751</v>
      </c>
      <c r="AV41">
        <f t="shared" si="27"/>
        <v>0.32020481810673862</v>
      </c>
      <c r="AW41">
        <v>0.5</v>
      </c>
      <c r="AX41">
        <f t="shared" si="28"/>
        <v>1513.109100631872</v>
      </c>
      <c r="AY41">
        <f t="shared" si="29"/>
        <v>54.6768576983754</v>
      </c>
      <c r="AZ41">
        <f t="shared" si="30"/>
        <v>242.25241217173973</v>
      </c>
      <c r="BA41">
        <f t="shared" si="31"/>
        <v>3.6436469347093138E-2</v>
      </c>
      <c r="BB41">
        <f t="shared" si="32"/>
        <v>1.7321040981642191</v>
      </c>
      <c r="BC41">
        <f t="shared" si="33"/>
        <v>521.56950376518864</v>
      </c>
      <c r="BD41" t="s">
        <v>545</v>
      </c>
      <c r="BE41">
        <v>589.69000000000005</v>
      </c>
      <c r="BF41">
        <f t="shared" si="34"/>
        <v>589.69000000000005</v>
      </c>
      <c r="BG41">
        <f t="shared" si="35"/>
        <v>0.4917987673778359</v>
      </c>
      <c r="BH41">
        <f t="shared" si="36"/>
        <v>0.65108910258966513</v>
      </c>
      <c r="BI41">
        <f t="shared" si="37"/>
        <v>0.77885780220083278</v>
      </c>
      <c r="BJ41">
        <f t="shared" si="38"/>
        <v>0.86224424578262915</v>
      </c>
      <c r="BK41">
        <f t="shared" si="39"/>
        <v>0.82345231631897686</v>
      </c>
      <c r="BL41">
        <f t="shared" si="40"/>
        <v>0.48674114394485452</v>
      </c>
      <c r="BM41">
        <f t="shared" si="41"/>
        <v>0.51325885605514543</v>
      </c>
      <c r="BN41">
        <v>9106</v>
      </c>
      <c r="BO41">
        <v>290.00000000000011</v>
      </c>
      <c r="BP41">
        <v>1069.27</v>
      </c>
      <c r="BQ41">
        <v>205</v>
      </c>
      <c r="BR41">
        <v>10081.4</v>
      </c>
      <c r="BS41">
        <v>1070.3900000000001</v>
      </c>
      <c r="BT41">
        <v>-1.1200000000000001</v>
      </c>
      <c r="BU41">
        <v>300.00000000000011</v>
      </c>
      <c r="BV41">
        <v>24.2</v>
      </c>
      <c r="BW41">
        <v>1160.347441420751</v>
      </c>
      <c r="BX41">
        <v>2.3644079875223691</v>
      </c>
      <c r="BY41">
        <v>-90.694114520139138</v>
      </c>
      <c r="BZ41">
        <v>2.1209804306140998</v>
      </c>
      <c r="CA41">
        <v>0.98491751147852602</v>
      </c>
      <c r="CB41">
        <v>-6.8852362625139024E-3</v>
      </c>
      <c r="CC41">
        <v>289.99999999999989</v>
      </c>
      <c r="CD41">
        <v>1069.76</v>
      </c>
      <c r="CE41">
        <v>785</v>
      </c>
      <c r="CF41">
        <v>10049.299999999999</v>
      </c>
      <c r="CG41">
        <v>1070.0999999999999</v>
      </c>
      <c r="CH41">
        <v>-0.34</v>
      </c>
      <c r="CV41">
        <f t="shared" si="42"/>
        <v>1799.91</v>
      </c>
      <c r="CW41">
        <f t="shared" si="43"/>
        <v>1513.109100631872</v>
      </c>
      <c r="CX41">
        <f t="shared" si="44"/>
        <v>0.84065819992770308</v>
      </c>
      <c r="CY41">
        <f t="shared" si="45"/>
        <v>0.19131639985540602</v>
      </c>
      <c r="CZ41">
        <v>6</v>
      </c>
      <c r="DA41">
        <v>0.5</v>
      </c>
      <c r="DB41" t="s">
        <v>418</v>
      </c>
      <c r="DC41">
        <v>2</v>
      </c>
      <c r="DD41">
        <v>1674579019</v>
      </c>
      <c r="DE41">
        <v>531.09699999999998</v>
      </c>
      <c r="DF41">
        <v>600.04</v>
      </c>
      <c r="DG41">
        <v>24.769100000000002</v>
      </c>
      <c r="DH41">
        <v>18.640899999999998</v>
      </c>
      <c r="DI41">
        <v>528.03899999999999</v>
      </c>
      <c r="DJ41">
        <v>24.6358</v>
      </c>
      <c r="DK41">
        <v>500.05</v>
      </c>
      <c r="DL41">
        <v>99.707599999999999</v>
      </c>
      <c r="DM41">
        <v>9.99641E-2</v>
      </c>
      <c r="DN41">
        <v>28.003599999999999</v>
      </c>
      <c r="DO41">
        <v>27.640699999999999</v>
      </c>
      <c r="DP41">
        <v>999.9</v>
      </c>
      <c r="DQ41">
        <v>0</v>
      </c>
      <c r="DR41">
        <v>0</v>
      </c>
      <c r="DS41">
        <v>10001.200000000001</v>
      </c>
      <c r="DT41">
        <v>0</v>
      </c>
      <c r="DU41">
        <v>345.69200000000001</v>
      </c>
      <c r="DV41">
        <v>-68.942999999999998</v>
      </c>
      <c r="DW41">
        <v>544.58600000000001</v>
      </c>
      <c r="DX41">
        <v>611.43799999999999</v>
      </c>
      <c r="DY41">
        <v>6.12812</v>
      </c>
      <c r="DZ41">
        <v>600.04</v>
      </c>
      <c r="EA41">
        <v>18.640899999999998</v>
      </c>
      <c r="EB41">
        <v>2.4696600000000002</v>
      </c>
      <c r="EC41">
        <v>1.8586400000000001</v>
      </c>
      <c r="ED41">
        <v>20.8279</v>
      </c>
      <c r="EE41">
        <v>16.288900000000002</v>
      </c>
      <c r="EF41">
        <v>1799.91</v>
      </c>
      <c r="EG41">
        <v>0.97799999999999998</v>
      </c>
      <c r="EH41">
        <v>2.2000100000000002E-2</v>
      </c>
      <c r="EI41">
        <v>0</v>
      </c>
      <c r="EJ41">
        <v>788.79499999999996</v>
      </c>
      <c r="EK41">
        <v>4.9990399999999999</v>
      </c>
      <c r="EL41">
        <v>14954.4</v>
      </c>
      <c r="EM41">
        <v>14819.9</v>
      </c>
      <c r="EN41">
        <v>48.186999999999998</v>
      </c>
      <c r="EO41">
        <v>49.625</v>
      </c>
      <c r="EP41">
        <v>49.186999999999998</v>
      </c>
      <c r="EQ41">
        <v>48.061999999999998</v>
      </c>
      <c r="ER41">
        <v>49.061999999999998</v>
      </c>
      <c r="ES41">
        <v>1755.42</v>
      </c>
      <c r="ET41">
        <v>39.49</v>
      </c>
      <c r="EU41">
        <v>0</v>
      </c>
      <c r="EV41">
        <v>102.5999999046326</v>
      </c>
      <c r="EW41">
        <v>0</v>
      </c>
      <c r="EX41">
        <v>788.79859999999985</v>
      </c>
      <c r="EY41">
        <v>1.3006153750367091</v>
      </c>
      <c r="EZ41">
        <v>50.153846105656903</v>
      </c>
      <c r="FA41">
        <v>14949.111999999999</v>
      </c>
      <c r="FB41">
        <v>15</v>
      </c>
      <c r="FC41">
        <v>1674578987</v>
      </c>
      <c r="FD41" t="s">
        <v>546</v>
      </c>
      <c r="FE41">
        <v>1674578987</v>
      </c>
      <c r="FF41">
        <v>1674578985</v>
      </c>
      <c r="FG41">
        <v>31</v>
      </c>
      <c r="FH41">
        <v>0.23899999999999999</v>
      </c>
      <c r="FI41">
        <v>-2E-3</v>
      </c>
      <c r="FJ41">
        <v>3.165</v>
      </c>
      <c r="FK41">
        <v>9.2999999999999999E-2</v>
      </c>
      <c r="FL41">
        <v>600</v>
      </c>
      <c r="FM41">
        <v>18</v>
      </c>
      <c r="FN41">
        <v>0.03</v>
      </c>
      <c r="FO41">
        <v>0.02</v>
      </c>
      <c r="FP41">
        <v>54.669279077926568</v>
      </c>
      <c r="FQ41">
        <v>5.6226187328411302E-2</v>
      </c>
      <c r="FR41">
        <v>4.4566327272682033E-2</v>
      </c>
      <c r="FS41">
        <v>1</v>
      </c>
      <c r="FT41">
        <v>0.43983219340182089</v>
      </c>
      <c r="FU41">
        <v>3.8612794473948962E-2</v>
      </c>
      <c r="FV41">
        <v>4.7058109080982836E-3</v>
      </c>
      <c r="FW41">
        <v>1</v>
      </c>
      <c r="FX41">
        <v>2</v>
      </c>
      <c r="FY41">
        <v>2</v>
      </c>
      <c r="FZ41" t="s">
        <v>420</v>
      </c>
      <c r="GA41">
        <v>2.9336000000000002</v>
      </c>
      <c r="GB41">
        <v>2.8334299999999999</v>
      </c>
      <c r="GC41">
        <v>0.111398</v>
      </c>
      <c r="GD41">
        <v>0.11966400000000001</v>
      </c>
      <c r="GE41">
        <v>0.122056</v>
      </c>
      <c r="GF41">
        <v>9.6712800000000002E-2</v>
      </c>
      <c r="GG41">
        <v>22951.4</v>
      </c>
      <c r="GH41">
        <v>28782</v>
      </c>
      <c r="GI41">
        <v>23237.599999999999</v>
      </c>
      <c r="GJ41">
        <v>29952.5</v>
      </c>
      <c r="GK41">
        <v>27745.7</v>
      </c>
      <c r="GL41">
        <v>38466.9</v>
      </c>
      <c r="GM41">
        <v>32787.300000000003</v>
      </c>
      <c r="GN41">
        <v>44429.4</v>
      </c>
      <c r="GO41">
        <v>1.9461299999999999</v>
      </c>
      <c r="GP41">
        <v>1.8420300000000001</v>
      </c>
      <c r="GQ41">
        <v>6.9271799999999994E-2</v>
      </c>
      <c r="GR41">
        <v>0</v>
      </c>
      <c r="GS41">
        <v>26.507999999999999</v>
      </c>
      <c r="GT41">
        <v>999.9</v>
      </c>
      <c r="GU41">
        <v>49</v>
      </c>
      <c r="GV41">
        <v>35.5</v>
      </c>
      <c r="GW41">
        <v>28.5349</v>
      </c>
      <c r="GX41">
        <v>61.204900000000002</v>
      </c>
      <c r="GY41">
        <v>37.351799999999997</v>
      </c>
      <c r="GZ41">
        <v>1</v>
      </c>
      <c r="HA41">
        <v>0.31832300000000002</v>
      </c>
      <c r="HB41">
        <v>1.9792099999999999</v>
      </c>
      <c r="HC41">
        <v>20.260100000000001</v>
      </c>
      <c r="HD41">
        <v>5.2112999999999996</v>
      </c>
      <c r="HE41">
        <v>11.872199999999999</v>
      </c>
      <c r="HF41">
        <v>4.9854500000000002</v>
      </c>
      <c r="HG41">
        <v>3.2839999999999998</v>
      </c>
      <c r="HH41">
        <v>9999</v>
      </c>
      <c r="HI41">
        <v>9999</v>
      </c>
      <c r="HJ41">
        <v>9999</v>
      </c>
      <c r="HK41">
        <v>999.9</v>
      </c>
      <c r="HL41">
        <v>1.8547800000000001</v>
      </c>
      <c r="HM41">
        <v>1.8608199999999999</v>
      </c>
      <c r="HN41">
        <v>1.85822</v>
      </c>
      <c r="HO41">
        <v>1.8593999999999999</v>
      </c>
      <c r="HP41">
        <v>1.8587499999999999</v>
      </c>
      <c r="HQ41">
        <v>1.85928</v>
      </c>
      <c r="HR41">
        <v>1.8575999999999999</v>
      </c>
      <c r="HS41">
        <v>1.8609599999999999</v>
      </c>
      <c r="HT41">
        <v>5</v>
      </c>
      <c r="HU41">
        <v>0</v>
      </c>
      <c r="HV41">
        <v>0</v>
      </c>
      <c r="HW41">
        <v>0</v>
      </c>
      <c r="HX41" t="s">
        <v>421</v>
      </c>
      <c r="HY41" t="s">
        <v>422</v>
      </c>
      <c r="HZ41" t="s">
        <v>423</v>
      </c>
      <c r="IA41" t="s">
        <v>423</v>
      </c>
      <c r="IB41" t="s">
        <v>423</v>
      </c>
      <c r="IC41" t="s">
        <v>423</v>
      </c>
      <c r="ID41">
        <v>0</v>
      </c>
      <c r="IE41">
        <v>100</v>
      </c>
      <c r="IF41">
        <v>100</v>
      </c>
      <c r="IG41">
        <v>3.0579999999999998</v>
      </c>
      <c r="IH41">
        <v>0.1333</v>
      </c>
      <c r="II41">
        <v>2.1989287411499552</v>
      </c>
      <c r="IJ41">
        <v>1.6187016317407189E-3</v>
      </c>
      <c r="IK41">
        <v>1.4341569744255341E-7</v>
      </c>
      <c r="IL41">
        <v>-2.4096625942085749E-10</v>
      </c>
      <c r="IM41">
        <v>0.1332631178656547</v>
      </c>
      <c r="IN41">
        <v>0</v>
      </c>
      <c r="IO41">
        <v>0</v>
      </c>
      <c r="IP41">
        <v>0</v>
      </c>
      <c r="IQ41">
        <v>4</v>
      </c>
      <c r="IR41">
        <v>2205</v>
      </c>
      <c r="IS41">
        <v>1</v>
      </c>
      <c r="IT41">
        <v>21</v>
      </c>
      <c r="IU41">
        <v>0.5</v>
      </c>
      <c r="IV41">
        <v>0.6</v>
      </c>
      <c r="IW41">
        <v>1.3769499999999999</v>
      </c>
      <c r="IX41">
        <v>2.4414099999999999</v>
      </c>
      <c r="IY41">
        <v>1.49414</v>
      </c>
      <c r="IZ41">
        <v>2.3059099999999999</v>
      </c>
      <c r="JA41">
        <v>1.69434</v>
      </c>
      <c r="JB41">
        <v>2.34619</v>
      </c>
      <c r="JC41">
        <v>40.938000000000002</v>
      </c>
      <c r="JD41">
        <v>23.886099999999999</v>
      </c>
      <c r="JE41">
        <v>18</v>
      </c>
      <c r="JF41">
        <v>493.74</v>
      </c>
      <c r="JG41">
        <v>448.89</v>
      </c>
      <c r="JH41">
        <v>24.785499999999999</v>
      </c>
      <c r="JI41">
        <v>31.317799999999998</v>
      </c>
      <c r="JJ41">
        <v>29.9999</v>
      </c>
      <c r="JK41">
        <v>31.231200000000001</v>
      </c>
      <c r="JL41">
        <v>31.196000000000002</v>
      </c>
      <c r="JM41">
        <v>27.625499999999999</v>
      </c>
      <c r="JN41">
        <v>40.640999999999998</v>
      </c>
      <c r="JO41">
        <v>0</v>
      </c>
      <c r="JP41">
        <v>24.785900000000002</v>
      </c>
      <c r="JQ41">
        <v>600</v>
      </c>
      <c r="JR41">
        <v>18.690899999999999</v>
      </c>
      <c r="JS41">
        <v>98.783900000000003</v>
      </c>
      <c r="JT41">
        <v>99.785200000000003</v>
      </c>
    </row>
    <row r="42" spans="1:280" x14ac:dyDescent="0.25">
      <c r="A42">
        <v>26</v>
      </c>
      <c r="B42">
        <v>1674579125.5</v>
      </c>
      <c r="C42">
        <v>5072.9000000953674</v>
      </c>
      <c r="D42" t="s">
        <v>547</v>
      </c>
      <c r="E42" t="s">
        <v>548</v>
      </c>
      <c r="F42" t="s">
        <v>412</v>
      </c>
      <c r="G42" t="s">
        <v>492</v>
      </c>
      <c r="H42" t="s">
        <v>493</v>
      </c>
      <c r="I42">
        <v>1674579125.5</v>
      </c>
      <c r="J42">
        <f t="shared" si="0"/>
        <v>4.9684849611712793E-3</v>
      </c>
      <c r="K42">
        <f t="shared" si="1"/>
        <v>4.9684849611712796</v>
      </c>
      <c r="L42">
        <f t="shared" si="2"/>
        <v>55.324228340855356</v>
      </c>
      <c r="M42">
        <f t="shared" si="3"/>
        <v>729.23599999999999</v>
      </c>
      <c r="N42">
        <f t="shared" si="4"/>
        <v>489.16965768934335</v>
      </c>
      <c r="O42">
        <f t="shared" si="5"/>
        <v>48.822858087263924</v>
      </c>
      <c r="P42">
        <f t="shared" si="6"/>
        <v>72.783307755230013</v>
      </c>
      <c r="Q42">
        <f t="shared" si="7"/>
        <v>0.4150458829477246</v>
      </c>
      <c r="R42">
        <f t="shared" si="8"/>
        <v>2.9215674750553622</v>
      </c>
      <c r="S42">
        <f t="shared" si="9"/>
        <v>0.38485228787963832</v>
      </c>
      <c r="T42">
        <f t="shared" si="10"/>
        <v>0.24306215887091853</v>
      </c>
      <c r="U42">
        <f t="shared" si="11"/>
        <v>344.35040126375088</v>
      </c>
      <c r="V42">
        <f t="shared" si="12"/>
        <v>28.736933379729802</v>
      </c>
      <c r="W42">
        <f t="shared" si="13"/>
        <v>27.667400000000001</v>
      </c>
      <c r="X42">
        <f t="shared" si="14"/>
        <v>3.7218792703992274</v>
      </c>
      <c r="Y42">
        <f t="shared" si="15"/>
        <v>65.187869942300665</v>
      </c>
      <c r="Z42">
        <f t="shared" si="16"/>
        <v>2.4733425500292503</v>
      </c>
      <c r="AA42">
        <f t="shared" si="17"/>
        <v>3.7941760517999206</v>
      </c>
      <c r="AB42">
        <f t="shared" si="18"/>
        <v>1.2485367203699771</v>
      </c>
      <c r="AC42">
        <f t="shared" si="19"/>
        <v>-219.11018678765342</v>
      </c>
      <c r="AD42">
        <f t="shared" si="20"/>
        <v>51.914487067724757</v>
      </c>
      <c r="AE42">
        <f t="shared" si="21"/>
        <v>3.8668466001733099</v>
      </c>
      <c r="AF42">
        <f t="shared" si="22"/>
        <v>181.02154814399552</v>
      </c>
      <c r="AG42">
        <v>0</v>
      </c>
      <c r="AH42">
        <v>0</v>
      </c>
      <c r="AI42">
        <f t="shared" si="23"/>
        <v>1</v>
      </c>
      <c r="AJ42">
        <f t="shared" si="24"/>
        <v>0</v>
      </c>
      <c r="AK42">
        <f t="shared" si="25"/>
        <v>52466.057239174872</v>
      </c>
      <c r="AL42" t="s">
        <v>415</v>
      </c>
      <c r="AM42">
        <v>10214.9</v>
      </c>
      <c r="AN42">
        <v>729.4384</v>
      </c>
      <c r="AO42">
        <v>3170.19</v>
      </c>
      <c r="AP42">
        <f t="shared" si="26"/>
        <v>0.76990704027203416</v>
      </c>
      <c r="AQ42">
        <v>-0.45549566560547827</v>
      </c>
      <c r="AR42" t="s">
        <v>549</v>
      </c>
      <c r="AS42">
        <v>10074</v>
      </c>
      <c r="AT42">
        <v>789.78688461538457</v>
      </c>
      <c r="AU42">
        <v>1174.3852377080759</v>
      </c>
      <c r="AV42">
        <f t="shared" si="27"/>
        <v>0.32748909024373596</v>
      </c>
      <c r="AW42">
        <v>0.5</v>
      </c>
      <c r="AX42">
        <f t="shared" si="28"/>
        <v>1513.1007006318755</v>
      </c>
      <c r="AY42">
        <f t="shared" si="29"/>
        <v>55.324228340855356</v>
      </c>
      <c r="AZ42">
        <f t="shared" si="30"/>
        <v>247.7619859485462</v>
      </c>
      <c r="BA42">
        <f t="shared" si="31"/>
        <v>3.6864515351269778E-2</v>
      </c>
      <c r="BB42">
        <f t="shared" si="32"/>
        <v>1.6994463981741854</v>
      </c>
      <c r="BC42">
        <f t="shared" si="33"/>
        <v>524.38700695213049</v>
      </c>
      <c r="BD42" t="s">
        <v>550</v>
      </c>
      <c r="BE42">
        <v>591.32000000000005</v>
      </c>
      <c r="BF42">
        <f t="shared" si="34"/>
        <v>591.32000000000005</v>
      </c>
      <c r="BG42">
        <f t="shared" si="35"/>
        <v>0.4964854963997869</v>
      </c>
      <c r="BH42">
        <f t="shared" si="36"/>
        <v>0.65961461637548147</v>
      </c>
      <c r="BI42">
        <f t="shared" si="37"/>
        <v>0.77390669645694599</v>
      </c>
      <c r="BJ42">
        <f t="shared" si="38"/>
        <v>0.86436922458817778</v>
      </c>
      <c r="BK42">
        <f t="shared" si="39"/>
        <v>0.81770089274628521</v>
      </c>
      <c r="BL42">
        <f t="shared" si="40"/>
        <v>0.49385894163726907</v>
      </c>
      <c r="BM42">
        <f t="shared" si="41"/>
        <v>0.50614105836273093</v>
      </c>
      <c r="BN42">
        <v>9108</v>
      </c>
      <c r="BO42">
        <v>290.00000000000011</v>
      </c>
      <c r="BP42">
        <v>1080.8800000000001</v>
      </c>
      <c r="BQ42">
        <v>265</v>
      </c>
      <c r="BR42">
        <v>10074</v>
      </c>
      <c r="BS42">
        <v>1080.7</v>
      </c>
      <c r="BT42">
        <v>0.18</v>
      </c>
      <c r="BU42">
        <v>300.00000000000011</v>
      </c>
      <c r="BV42">
        <v>24.2</v>
      </c>
      <c r="BW42">
        <v>1174.3852377080759</v>
      </c>
      <c r="BX42">
        <v>2.4030789475111232</v>
      </c>
      <c r="BY42">
        <v>-94.379301680576432</v>
      </c>
      <c r="BZ42">
        <v>2.1556705959676732</v>
      </c>
      <c r="CA42">
        <v>0.98560302222290164</v>
      </c>
      <c r="CB42">
        <v>-6.8852307007786426E-3</v>
      </c>
      <c r="CC42">
        <v>289.99999999999989</v>
      </c>
      <c r="CD42">
        <v>1079.1199999999999</v>
      </c>
      <c r="CE42">
        <v>755</v>
      </c>
      <c r="CF42">
        <v>10050.6</v>
      </c>
      <c r="CG42">
        <v>1080.48</v>
      </c>
      <c r="CH42">
        <v>-1.36</v>
      </c>
      <c r="CV42">
        <f t="shared" si="42"/>
        <v>1799.9</v>
      </c>
      <c r="CW42">
        <f t="shared" si="43"/>
        <v>1513.1007006318755</v>
      </c>
      <c r="CX42">
        <f t="shared" si="44"/>
        <v>0.84065820358457433</v>
      </c>
      <c r="CY42">
        <f t="shared" si="45"/>
        <v>0.19131640716914877</v>
      </c>
      <c r="CZ42">
        <v>6</v>
      </c>
      <c r="DA42">
        <v>0.5</v>
      </c>
      <c r="DB42" t="s">
        <v>418</v>
      </c>
      <c r="DC42">
        <v>2</v>
      </c>
      <c r="DD42">
        <v>1674579125.5</v>
      </c>
      <c r="DE42">
        <v>729.23599999999999</v>
      </c>
      <c r="DF42">
        <v>799.96400000000006</v>
      </c>
      <c r="DG42">
        <v>24.781099999999999</v>
      </c>
      <c r="DH42">
        <v>18.967400000000001</v>
      </c>
      <c r="DI42">
        <v>725.255</v>
      </c>
      <c r="DJ42">
        <v>24.643899999999999</v>
      </c>
      <c r="DK42">
        <v>500.06299999999999</v>
      </c>
      <c r="DL42">
        <v>99.707700000000003</v>
      </c>
      <c r="DM42">
        <v>9.9917500000000006E-2</v>
      </c>
      <c r="DN42">
        <v>27.997</v>
      </c>
      <c r="DO42">
        <v>27.667400000000001</v>
      </c>
      <c r="DP42">
        <v>999.9</v>
      </c>
      <c r="DQ42">
        <v>0</v>
      </c>
      <c r="DR42">
        <v>0</v>
      </c>
      <c r="DS42">
        <v>9983.75</v>
      </c>
      <c r="DT42">
        <v>0</v>
      </c>
      <c r="DU42">
        <v>354.89100000000002</v>
      </c>
      <c r="DV42">
        <v>-70.7286</v>
      </c>
      <c r="DW42">
        <v>747.76599999999996</v>
      </c>
      <c r="DX42">
        <v>815.43100000000004</v>
      </c>
      <c r="DY42">
        <v>5.8137800000000004</v>
      </c>
      <c r="DZ42">
        <v>799.96400000000006</v>
      </c>
      <c r="EA42">
        <v>18.967400000000001</v>
      </c>
      <c r="EB42">
        <v>2.4708700000000001</v>
      </c>
      <c r="EC42">
        <v>1.8911899999999999</v>
      </c>
      <c r="ED42">
        <v>20.835899999999999</v>
      </c>
      <c r="EE42">
        <v>16.561599999999999</v>
      </c>
      <c r="EF42">
        <v>1799.9</v>
      </c>
      <c r="EG42">
        <v>0.97799999999999998</v>
      </c>
      <c r="EH42">
        <v>2.2000100000000002E-2</v>
      </c>
      <c r="EI42">
        <v>0</v>
      </c>
      <c r="EJ42">
        <v>789.78599999999994</v>
      </c>
      <c r="EK42">
        <v>4.9990399999999999</v>
      </c>
      <c r="EL42">
        <v>14974.3</v>
      </c>
      <c r="EM42">
        <v>14819.9</v>
      </c>
      <c r="EN42">
        <v>48.186999999999998</v>
      </c>
      <c r="EO42">
        <v>49.686999999999998</v>
      </c>
      <c r="EP42">
        <v>49.186999999999998</v>
      </c>
      <c r="EQ42">
        <v>48</v>
      </c>
      <c r="ER42">
        <v>49.061999999999998</v>
      </c>
      <c r="ES42">
        <v>1755.41</v>
      </c>
      <c r="ET42">
        <v>39.49</v>
      </c>
      <c r="EU42">
        <v>0</v>
      </c>
      <c r="EV42">
        <v>104.5999999046326</v>
      </c>
      <c r="EW42">
        <v>0</v>
      </c>
      <c r="EX42">
        <v>789.78688461538457</v>
      </c>
      <c r="EY42">
        <v>0.65124786431229054</v>
      </c>
      <c r="EZ42">
        <v>-111.85641007583379</v>
      </c>
      <c r="FA42">
        <v>14989.09230769231</v>
      </c>
      <c r="FB42">
        <v>15</v>
      </c>
      <c r="FC42">
        <v>1674579092.5</v>
      </c>
      <c r="FD42" t="s">
        <v>551</v>
      </c>
      <c r="FE42">
        <v>1674579090.5</v>
      </c>
      <c r="FF42">
        <v>1674579092.5</v>
      </c>
      <c r="FG42">
        <v>32</v>
      </c>
      <c r="FH42">
        <v>0.624</v>
      </c>
      <c r="FI42">
        <v>4.0000000000000001E-3</v>
      </c>
      <c r="FJ42">
        <v>4.0810000000000004</v>
      </c>
      <c r="FK42">
        <v>0.10299999999999999</v>
      </c>
      <c r="FL42">
        <v>800</v>
      </c>
      <c r="FM42">
        <v>19</v>
      </c>
      <c r="FN42">
        <v>7.0000000000000007E-2</v>
      </c>
      <c r="FO42">
        <v>0.02</v>
      </c>
      <c r="FP42">
        <v>55.273169518058573</v>
      </c>
      <c r="FQ42">
        <v>-0.42808258251862169</v>
      </c>
      <c r="FR42">
        <v>7.5566166462317494E-2</v>
      </c>
      <c r="FS42">
        <v>1</v>
      </c>
      <c r="FT42">
        <v>0.41890737589062571</v>
      </c>
      <c r="FU42">
        <v>7.1183562973634396E-3</v>
      </c>
      <c r="FV42">
        <v>3.0271482037021289E-3</v>
      </c>
      <c r="FW42">
        <v>1</v>
      </c>
      <c r="FX42">
        <v>2</v>
      </c>
      <c r="FY42">
        <v>2</v>
      </c>
      <c r="FZ42" t="s">
        <v>420</v>
      </c>
      <c r="GA42">
        <v>2.93364</v>
      </c>
      <c r="GB42">
        <v>2.8332299999999999</v>
      </c>
      <c r="GC42">
        <v>0.13903199999999999</v>
      </c>
      <c r="GD42">
        <v>0.145705</v>
      </c>
      <c r="GE42">
        <v>0.122083</v>
      </c>
      <c r="GF42">
        <v>9.7905099999999995E-2</v>
      </c>
      <c r="GG42">
        <v>22238.1</v>
      </c>
      <c r="GH42">
        <v>27930.7</v>
      </c>
      <c r="GI42">
        <v>23238</v>
      </c>
      <c r="GJ42">
        <v>29952.7</v>
      </c>
      <c r="GK42">
        <v>27746</v>
      </c>
      <c r="GL42">
        <v>38416.400000000001</v>
      </c>
      <c r="GM42">
        <v>32788</v>
      </c>
      <c r="GN42">
        <v>44429.7</v>
      </c>
      <c r="GO42">
        <v>1.9462699999999999</v>
      </c>
      <c r="GP42">
        <v>1.8427</v>
      </c>
      <c r="GQ42">
        <v>6.9811899999999996E-2</v>
      </c>
      <c r="GR42">
        <v>0</v>
      </c>
      <c r="GS42">
        <v>26.5259</v>
      </c>
      <c r="GT42">
        <v>999.9</v>
      </c>
      <c r="GU42">
        <v>48.9</v>
      </c>
      <c r="GV42">
        <v>35.5</v>
      </c>
      <c r="GW42">
        <v>28.4772</v>
      </c>
      <c r="GX42">
        <v>61.435000000000002</v>
      </c>
      <c r="GY42">
        <v>36.951099999999997</v>
      </c>
      <c r="GZ42">
        <v>1</v>
      </c>
      <c r="HA42">
        <v>0.31717200000000001</v>
      </c>
      <c r="HB42">
        <v>1.8821600000000001</v>
      </c>
      <c r="HC42">
        <v>20.260300000000001</v>
      </c>
      <c r="HD42">
        <v>5.2099500000000001</v>
      </c>
      <c r="HE42">
        <v>11.872199999999999</v>
      </c>
      <c r="HF42">
        <v>4.9845499999999996</v>
      </c>
      <c r="HG42">
        <v>3.2839999999999998</v>
      </c>
      <c r="HH42">
        <v>9999</v>
      </c>
      <c r="HI42">
        <v>9999</v>
      </c>
      <c r="HJ42">
        <v>9999</v>
      </c>
      <c r="HK42">
        <v>999.9</v>
      </c>
      <c r="HL42">
        <v>1.8547400000000001</v>
      </c>
      <c r="HM42">
        <v>1.8608100000000001</v>
      </c>
      <c r="HN42">
        <v>1.85822</v>
      </c>
      <c r="HO42">
        <v>1.85937</v>
      </c>
      <c r="HP42">
        <v>1.8587</v>
      </c>
      <c r="HQ42">
        <v>1.85928</v>
      </c>
      <c r="HR42">
        <v>1.8575999999999999</v>
      </c>
      <c r="HS42">
        <v>1.8609599999999999</v>
      </c>
      <c r="HT42">
        <v>5</v>
      </c>
      <c r="HU42">
        <v>0</v>
      </c>
      <c r="HV42">
        <v>0</v>
      </c>
      <c r="HW42">
        <v>0</v>
      </c>
      <c r="HX42" t="s">
        <v>421</v>
      </c>
      <c r="HY42" t="s">
        <v>422</v>
      </c>
      <c r="HZ42" t="s">
        <v>423</v>
      </c>
      <c r="IA42" t="s">
        <v>423</v>
      </c>
      <c r="IB42" t="s">
        <v>423</v>
      </c>
      <c r="IC42" t="s">
        <v>423</v>
      </c>
      <c r="ID42">
        <v>0</v>
      </c>
      <c r="IE42">
        <v>100</v>
      </c>
      <c r="IF42">
        <v>100</v>
      </c>
      <c r="IG42">
        <v>3.9809999999999999</v>
      </c>
      <c r="IH42">
        <v>0.13719999999999999</v>
      </c>
      <c r="II42">
        <v>2.822711219707561</v>
      </c>
      <c r="IJ42">
        <v>1.6187016317407189E-3</v>
      </c>
      <c r="IK42">
        <v>1.4341569744255341E-7</v>
      </c>
      <c r="IL42">
        <v>-2.4096625942085749E-10</v>
      </c>
      <c r="IM42">
        <v>0.13727476312334649</v>
      </c>
      <c r="IN42">
        <v>0</v>
      </c>
      <c r="IO42">
        <v>0</v>
      </c>
      <c r="IP42">
        <v>0</v>
      </c>
      <c r="IQ42">
        <v>4</v>
      </c>
      <c r="IR42">
        <v>2205</v>
      </c>
      <c r="IS42">
        <v>1</v>
      </c>
      <c r="IT42">
        <v>21</v>
      </c>
      <c r="IU42">
        <v>0.6</v>
      </c>
      <c r="IV42">
        <v>0.6</v>
      </c>
      <c r="IW42">
        <v>1.7456100000000001</v>
      </c>
      <c r="IX42">
        <v>2.4523899999999998</v>
      </c>
      <c r="IY42">
        <v>1.49414</v>
      </c>
      <c r="IZ42">
        <v>2.3059099999999999</v>
      </c>
      <c r="JA42">
        <v>1.69434</v>
      </c>
      <c r="JB42">
        <v>2.2985799999999998</v>
      </c>
      <c r="JC42">
        <v>40.938000000000002</v>
      </c>
      <c r="JD42">
        <v>23.886099999999999</v>
      </c>
      <c r="JE42">
        <v>18</v>
      </c>
      <c r="JF42">
        <v>493.858</v>
      </c>
      <c r="JG42">
        <v>449.40699999999998</v>
      </c>
      <c r="JH42">
        <v>24.755600000000001</v>
      </c>
      <c r="JI42">
        <v>31.3095</v>
      </c>
      <c r="JJ42">
        <v>30</v>
      </c>
      <c r="JK42">
        <v>31.233899999999998</v>
      </c>
      <c r="JL42">
        <v>31.201499999999999</v>
      </c>
      <c r="JM42">
        <v>34.998199999999997</v>
      </c>
      <c r="JN42">
        <v>39.494399999999999</v>
      </c>
      <c r="JO42">
        <v>0</v>
      </c>
      <c r="JP42">
        <v>24.773299999999999</v>
      </c>
      <c r="JQ42">
        <v>800</v>
      </c>
      <c r="JR42">
        <v>18.998899999999999</v>
      </c>
      <c r="JS42">
        <v>98.785899999999998</v>
      </c>
      <c r="JT42">
        <v>99.785899999999998</v>
      </c>
    </row>
    <row r="43" spans="1:280" x14ac:dyDescent="0.25">
      <c r="A43">
        <v>27</v>
      </c>
      <c r="B43">
        <v>1674579232.5</v>
      </c>
      <c r="C43">
        <v>5179.9000000953674</v>
      </c>
      <c r="D43" t="s">
        <v>552</v>
      </c>
      <c r="E43" t="s">
        <v>553</v>
      </c>
      <c r="F43" t="s">
        <v>412</v>
      </c>
      <c r="G43" t="s">
        <v>492</v>
      </c>
      <c r="H43" t="s">
        <v>493</v>
      </c>
      <c r="I43">
        <v>1674579232.5</v>
      </c>
      <c r="J43">
        <f t="shared" si="0"/>
        <v>4.6749785542363554E-3</v>
      </c>
      <c r="K43">
        <f t="shared" si="1"/>
        <v>4.6749785542363558</v>
      </c>
      <c r="L43">
        <f t="shared" si="2"/>
        <v>55.294126460429588</v>
      </c>
      <c r="M43">
        <f t="shared" si="3"/>
        <v>1127.3599999999999</v>
      </c>
      <c r="N43">
        <f t="shared" si="4"/>
        <v>863.18042686059152</v>
      </c>
      <c r="O43">
        <f t="shared" si="5"/>
        <v>86.153038842021331</v>
      </c>
      <c r="P43">
        <f t="shared" si="6"/>
        <v>112.52049611711999</v>
      </c>
      <c r="Q43">
        <f t="shared" si="7"/>
        <v>0.38571408779156718</v>
      </c>
      <c r="R43">
        <f t="shared" si="8"/>
        <v>2.9276083337408578</v>
      </c>
      <c r="S43">
        <f t="shared" si="9"/>
        <v>0.35954299763424152</v>
      </c>
      <c r="T43">
        <f t="shared" si="10"/>
        <v>0.22691759492037733</v>
      </c>
      <c r="U43">
        <f t="shared" si="11"/>
        <v>344.35230126374387</v>
      </c>
      <c r="V43">
        <f t="shared" si="12"/>
        <v>28.816046818928978</v>
      </c>
      <c r="W43">
        <f t="shared" si="13"/>
        <v>27.707999999999998</v>
      </c>
      <c r="X43">
        <f t="shared" si="14"/>
        <v>3.7307193391010296</v>
      </c>
      <c r="Y43">
        <f t="shared" si="15"/>
        <v>65.170343453518399</v>
      </c>
      <c r="Z43">
        <f t="shared" si="16"/>
        <v>2.4732830665284</v>
      </c>
      <c r="AA43">
        <f t="shared" si="17"/>
        <v>3.7951051589783713</v>
      </c>
      <c r="AB43">
        <f t="shared" si="18"/>
        <v>1.2574362725726296</v>
      </c>
      <c r="AC43">
        <f t="shared" si="19"/>
        <v>-206.16655424182326</v>
      </c>
      <c r="AD43">
        <f t="shared" si="20"/>
        <v>46.276700247268785</v>
      </c>
      <c r="AE43">
        <f t="shared" si="21"/>
        <v>3.4405723013990039</v>
      </c>
      <c r="AF43">
        <f t="shared" si="22"/>
        <v>187.90301957058841</v>
      </c>
      <c r="AG43">
        <v>0</v>
      </c>
      <c r="AH43">
        <v>0</v>
      </c>
      <c r="AI43">
        <f t="shared" si="23"/>
        <v>1</v>
      </c>
      <c r="AJ43">
        <f t="shared" si="24"/>
        <v>0</v>
      </c>
      <c r="AK43">
        <f t="shared" si="25"/>
        <v>52639.076272522805</v>
      </c>
      <c r="AL43" t="s">
        <v>415</v>
      </c>
      <c r="AM43">
        <v>10214.9</v>
      </c>
      <c r="AN43">
        <v>729.4384</v>
      </c>
      <c r="AO43">
        <v>3170.19</v>
      </c>
      <c r="AP43">
        <f t="shared" si="26"/>
        <v>0.76990704027203416</v>
      </c>
      <c r="AQ43">
        <v>-0.45549566560547827</v>
      </c>
      <c r="AR43" t="s">
        <v>554</v>
      </c>
      <c r="AS43">
        <v>10071.9</v>
      </c>
      <c r="AT43">
        <v>790.11176923076937</v>
      </c>
      <c r="AU43">
        <v>1185.9502241740149</v>
      </c>
      <c r="AV43">
        <f t="shared" si="27"/>
        <v>0.33377324517893425</v>
      </c>
      <c r="AW43">
        <v>0.5</v>
      </c>
      <c r="AX43">
        <f t="shared" si="28"/>
        <v>1513.109100631872</v>
      </c>
      <c r="AY43">
        <f t="shared" si="29"/>
        <v>55.294126460429588</v>
      </c>
      <c r="AZ43">
        <f t="shared" si="30"/>
        <v>252.51766741383926</v>
      </c>
      <c r="BA43">
        <f t="shared" si="31"/>
        <v>3.6844416640382446E-2</v>
      </c>
      <c r="BB43">
        <f t="shared" si="32"/>
        <v>1.6731223076482482</v>
      </c>
      <c r="BC43">
        <f t="shared" si="33"/>
        <v>526.68033991564573</v>
      </c>
      <c r="BD43" t="s">
        <v>555</v>
      </c>
      <c r="BE43">
        <v>589.39</v>
      </c>
      <c r="BF43">
        <f t="shared" si="34"/>
        <v>589.39</v>
      </c>
      <c r="BG43">
        <f t="shared" si="35"/>
        <v>0.50302298698033843</v>
      </c>
      <c r="BH43">
        <f t="shared" si="36"/>
        <v>0.66353477637788438</v>
      </c>
      <c r="BI43">
        <f t="shared" si="37"/>
        <v>0.76884678232562964</v>
      </c>
      <c r="BJ43">
        <f t="shared" si="38"/>
        <v>0.86709354277833195</v>
      </c>
      <c r="BK43">
        <f t="shared" si="39"/>
        <v>0.81296260374303764</v>
      </c>
      <c r="BL43">
        <f t="shared" si="40"/>
        <v>0.49496891082904199</v>
      </c>
      <c r="BM43">
        <f t="shared" si="41"/>
        <v>0.50503108917095796</v>
      </c>
      <c r="BN43">
        <v>9110</v>
      </c>
      <c r="BO43">
        <v>290.00000000000011</v>
      </c>
      <c r="BP43">
        <v>1085.6300000000001</v>
      </c>
      <c r="BQ43">
        <v>295</v>
      </c>
      <c r="BR43">
        <v>10071.9</v>
      </c>
      <c r="BS43">
        <v>1085.9000000000001</v>
      </c>
      <c r="BT43">
        <v>-0.27</v>
      </c>
      <c r="BU43">
        <v>300.00000000000011</v>
      </c>
      <c r="BV43">
        <v>24.2</v>
      </c>
      <c r="BW43">
        <v>1185.9502241740149</v>
      </c>
      <c r="BX43">
        <v>2.1423592307654178</v>
      </c>
      <c r="BY43">
        <v>-100.7720802015599</v>
      </c>
      <c r="BZ43">
        <v>1.9217916335800791</v>
      </c>
      <c r="CA43">
        <v>0.98991931649821752</v>
      </c>
      <c r="CB43">
        <v>-6.885310344827594E-3</v>
      </c>
      <c r="CC43">
        <v>289.99999999999989</v>
      </c>
      <c r="CD43">
        <v>1084.06</v>
      </c>
      <c r="CE43">
        <v>695</v>
      </c>
      <c r="CF43">
        <v>10053.6</v>
      </c>
      <c r="CG43">
        <v>1085.72</v>
      </c>
      <c r="CH43">
        <v>-1.66</v>
      </c>
      <c r="CV43">
        <f t="shared" si="42"/>
        <v>1799.91</v>
      </c>
      <c r="CW43">
        <f t="shared" si="43"/>
        <v>1513.109100631872</v>
      </c>
      <c r="CX43">
        <f t="shared" si="44"/>
        <v>0.84065819992770308</v>
      </c>
      <c r="CY43">
        <f t="shared" si="45"/>
        <v>0.19131639985540602</v>
      </c>
      <c r="CZ43">
        <v>6</v>
      </c>
      <c r="DA43">
        <v>0.5</v>
      </c>
      <c r="DB43" t="s">
        <v>418</v>
      </c>
      <c r="DC43">
        <v>2</v>
      </c>
      <c r="DD43">
        <v>1674579232.5</v>
      </c>
      <c r="DE43">
        <v>1127.3599999999999</v>
      </c>
      <c r="DF43">
        <v>1200.03</v>
      </c>
      <c r="DG43">
        <v>24.780200000000001</v>
      </c>
      <c r="DH43">
        <v>19.309799999999999</v>
      </c>
      <c r="DI43">
        <v>1122.6300000000001</v>
      </c>
      <c r="DJ43">
        <v>24.6447</v>
      </c>
      <c r="DK43">
        <v>500.05099999999999</v>
      </c>
      <c r="DL43">
        <v>99.7089</v>
      </c>
      <c r="DM43">
        <v>9.9942000000000003E-2</v>
      </c>
      <c r="DN43">
        <v>28.001200000000001</v>
      </c>
      <c r="DO43">
        <v>27.707999999999998</v>
      </c>
      <c r="DP43">
        <v>999.9</v>
      </c>
      <c r="DQ43">
        <v>0</v>
      </c>
      <c r="DR43">
        <v>0</v>
      </c>
      <c r="DS43">
        <v>10018.1</v>
      </c>
      <c r="DT43">
        <v>0</v>
      </c>
      <c r="DU43">
        <v>362.92599999999999</v>
      </c>
      <c r="DV43">
        <v>-72.6708</v>
      </c>
      <c r="DW43">
        <v>1156.01</v>
      </c>
      <c r="DX43">
        <v>1223.6600000000001</v>
      </c>
      <c r="DY43">
        <v>5.4704800000000002</v>
      </c>
      <c r="DZ43">
        <v>1200.03</v>
      </c>
      <c r="EA43">
        <v>19.309799999999999</v>
      </c>
      <c r="EB43">
        <v>2.4708100000000002</v>
      </c>
      <c r="EC43">
        <v>1.9253499999999999</v>
      </c>
      <c r="ED43">
        <v>20.8355</v>
      </c>
      <c r="EE43">
        <v>16.843499999999999</v>
      </c>
      <c r="EF43">
        <v>1799.91</v>
      </c>
      <c r="EG43">
        <v>0.97799999999999998</v>
      </c>
      <c r="EH43">
        <v>2.2000100000000002E-2</v>
      </c>
      <c r="EI43">
        <v>0</v>
      </c>
      <c r="EJ43">
        <v>790.76300000000003</v>
      </c>
      <c r="EK43">
        <v>4.9990399999999999</v>
      </c>
      <c r="EL43">
        <v>15037</v>
      </c>
      <c r="EM43">
        <v>14820</v>
      </c>
      <c r="EN43">
        <v>48.186999999999998</v>
      </c>
      <c r="EO43">
        <v>49.686999999999998</v>
      </c>
      <c r="EP43">
        <v>49.186999999999998</v>
      </c>
      <c r="EQ43">
        <v>48.061999999999998</v>
      </c>
      <c r="ER43">
        <v>49.061999999999998</v>
      </c>
      <c r="ES43">
        <v>1755.42</v>
      </c>
      <c r="ET43">
        <v>39.49</v>
      </c>
      <c r="EU43">
        <v>0</v>
      </c>
      <c r="EV43">
        <v>105.2000000476837</v>
      </c>
      <c r="EW43">
        <v>0</v>
      </c>
      <c r="EX43">
        <v>790.11176923076937</v>
      </c>
      <c r="EY43">
        <v>2.2376068383864629</v>
      </c>
      <c r="EZ43">
        <v>38.731623891870782</v>
      </c>
      <c r="FA43">
        <v>15032.79615384615</v>
      </c>
      <c r="FB43">
        <v>15</v>
      </c>
      <c r="FC43">
        <v>1674579200</v>
      </c>
      <c r="FD43" t="s">
        <v>556</v>
      </c>
      <c r="FE43">
        <v>1674579194</v>
      </c>
      <c r="FF43">
        <v>1674579200</v>
      </c>
      <c r="FG43">
        <v>33</v>
      </c>
      <c r="FH43">
        <v>0.248</v>
      </c>
      <c r="FI43">
        <v>-2E-3</v>
      </c>
      <c r="FJ43">
        <v>4.7990000000000004</v>
      </c>
      <c r="FK43">
        <v>0.104</v>
      </c>
      <c r="FL43">
        <v>1200</v>
      </c>
      <c r="FM43">
        <v>19</v>
      </c>
      <c r="FN43">
        <v>0.03</v>
      </c>
      <c r="FO43">
        <v>0.01</v>
      </c>
      <c r="FP43">
        <v>55.294173329135127</v>
      </c>
      <c r="FQ43">
        <v>-0.63032493854312577</v>
      </c>
      <c r="FR43">
        <v>0.1479219420512603</v>
      </c>
      <c r="FS43">
        <v>1</v>
      </c>
      <c r="FT43">
        <v>0.38766555005718811</v>
      </c>
      <c r="FU43">
        <v>2.644011747966056E-2</v>
      </c>
      <c r="FV43">
        <v>4.9527008681799654E-3</v>
      </c>
      <c r="FW43">
        <v>1</v>
      </c>
      <c r="FX43">
        <v>2</v>
      </c>
      <c r="FY43">
        <v>2</v>
      </c>
      <c r="FZ43" t="s">
        <v>420</v>
      </c>
      <c r="GA43">
        <v>2.9336199999999999</v>
      </c>
      <c r="GB43">
        <v>2.8335599999999999</v>
      </c>
      <c r="GC43">
        <v>0.184613</v>
      </c>
      <c r="GD43">
        <v>0.18903200000000001</v>
      </c>
      <c r="GE43">
        <v>0.122087</v>
      </c>
      <c r="GF43">
        <v>9.9148E-2</v>
      </c>
      <c r="GG43">
        <v>21060.6</v>
      </c>
      <c r="GH43">
        <v>26513.9</v>
      </c>
      <c r="GI43">
        <v>23238.400000000001</v>
      </c>
      <c r="GJ43">
        <v>29953.200000000001</v>
      </c>
      <c r="GK43">
        <v>27747</v>
      </c>
      <c r="GL43">
        <v>38364.300000000003</v>
      </c>
      <c r="GM43">
        <v>32788.400000000001</v>
      </c>
      <c r="GN43">
        <v>44430.3</v>
      </c>
      <c r="GO43">
        <v>1.94615</v>
      </c>
      <c r="GP43">
        <v>1.84415</v>
      </c>
      <c r="GQ43">
        <v>7.1749099999999996E-2</v>
      </c>
      <c r="GR43">
        <v>0</v>
      </c>
      <c r="GS43">
        <v>26.5349</v>
      </c>
      <c r="GT43">
        <v>999.9</v>
      </c>
      <c r="GU43">
        <v>48.8</v>
      </c>
      <c r="GV43">
        <v>35.6</v>
      </c>
      <c r="GW43">
        <v>28.576699999999999</v>
      </c>
      <c r="GX43">
        <v>61.204900000000002</v>
      </c>
      <c r="GY43">
        <v>37.443899999999999</v>
      </c>
      <c r="GZ43">
        <v>1</v>
      </c>
      <c r="HA43">
        <v>0.31689000000000001</v>
      </c>
      <c r="HB43">
        <v>2.0255299999999998</v>
      </c>
      <c r="HC43">
        <v>20.2592</v>
      </c>
      <c r="HD43">
        <v>5.2105499999999996</v>
      </c>
      <c r="HE43">
        <v>11.872199999999999</v>
      </c>
      <c r="HF43">
        <v>4.9851999999999999</v>
      </c>
      <c r="HG43">
        <v>3.2839999999999998</v>
      </c>
      <c r="HH43">
        <v>9999</v>
      </c>
      <c r="HI43">
        <v>9999</v>
      </c>
      <c r="HJ43">
        <v>9999</v>
      </c>
      <c r="HK43">
        <v>999.9</v>
      </c>
      <c r="HL43">
        <v>1.8547100000000001</v>
      </c>
      <c r="HM43">
        <v>1.8608100000000001</v>
      </c>
      <c r="HN43">
        <v>1.8582099999999999</v>
      </c>
      <c r="HO43">
        <v>1.8593</v>
      </c>
      <c r="HP43">
        <v>1.8587</v>
      </c>
      <c r="HQ43">
        <v>1.85928</v>
      </c>
      <c r="HR43">
        <v>1.8575999999999999</v>
      </c>
      <c r="HS43">
        <v>1.86094</v>
      </c>
      <c r="HT43">
        <v>5</v>
      </c>
      <c r="HU43">
        <v>0</v>
      </c>
      <c r="HV43">
        <v>0</v>
      </c>
      <c r="HW43">
        <v>0</v>
      </c>
      <c r="HX43" t="s">
        <v>421</v>
      </c>
      <c r="HY43" t="s">
        <v>422</v>
      </c>
      <c r="HZ43" t="s">
        <v>423</v>
      </c>
      <c r="IA43" t="s">
        <v>423</v>
      </c>
      <c r="IB43" t="s">
        <v>423</v>
      </c>
      <c r="IC43" t="s">
        <v>423</v>
      </c>
      <c r="ID43">
        <v>0</v>
      </c>
      <c r="IE43">
        <v>100</v>
      </c>
      <c r="IF43">
        <v>100</v>
      </c>
      <c r="IG43">
        <v>4.7300000000000004</v>
      </c>
      <c r="IH43">
        <v>0.13550000000000001</v>
      </c>
      <c r="II43">
        <v>3.0705553010531821</v>
      </c>
      <c r="IJ43">
        <v>1.6187016317407189E-3</v>
      </c>
      <c r="IK43">
        <v>1.4341569744255341E-7</v>
      </c>
      <c r="IL43">
        <v>-2.4096625942085749E-10</v>
      </c>
      <c r="IM43">
        <v>0.1355674306135084</v>
      </c>
      <c r="IN43">
        <v>0</v>
      </c>
      <c r="IO43">
        <v>0</v>
      </c>
      <c r="IP43">
        <v>0</v>
      </c>
      <c r="IQ43">
        <v>4</v>
      </c>
      <c r="IR43">
        <v>2205</v>
      </c>
      <c r="IS43">
        <v>1</v>
      </c>
      <c r="IT43">
        <v>21</v>
      </c>
      <c r="IU43">
        <v>0.6</v>
      </c>
      <c r="IV43">
        <v>0.5</v>
      </c>
      <c r="IW43">
        <v>2.4414099999999999</v>
      </c>
      <c r="IX43">
        <v>2.4291999999999998</v>
      </c>
      <c r="IY43">
        <v>1.49414</v>
      </c>
      <c r="IZ43">
        <v>2.3059099999999999</v>
      </c>
      <c r="JA43">
        <v>1.69434</v>
      </c>
      <c r="JB43">
        <v>2.4169900000000002</v>
      </c>
      <c r="JC43">
        <v>40.938000000000002</v>
      </c>
      <c r="JD43">
        <v>23.912400000000002</v>
      </c>
      <c r="JE43">
        <v>18</v>
      </c>
      <c r="JF43">
        <v>493.8</v>
      </c>
      <c r="JG43">
        <v>450.464</v>
      </c>
      <c r="JH43">
        <v>24.706800000000001</v>
      </c>
      <c r="JI43">
        <v>31.303999999999998</v>
      </c>
      <c r="JJ43">
        <v>30.0001</v>
      </c>
      <c r="JK43">
        <v>31.236599999999999</v>
      </c>
      <c r="JL43">
        <v>31.206900000000001</v>
      </c>
      <c r="JM43">
        <v>48.913499999999999</v>
      </c>
      <c r="JN43">
        <v>38.491900000000001</v>
      </c>
      <c r="JO43">
        <v>0</v>
      </c>
      <c r="JP43">
        <v>24.7088</v>
      </c>
      <c r="JQ43">
        <v>1200</v>
      </c>
      <c r="JR43">
        <v>19.292899999999999</v>
      </c>
      <c r="JS43">
        <v>98.787300000000002</v>
      </c>
      <c r="JT43">
        <v>99.787400000000005</v>
      </c>
    </row>
    <row r="44" spans="1:280" x14ac:dyDescent="0.25">
      <c r="A44">
        <v>28</v>
      </c>
      <c r="B44">
        <v>1674579342</v>
      </c>
      <c r="C44">
        <v>5289.4000000953674</v>
      </c>
      <c r="D44" t="s">
        <v>557</v>
      </c>
      <c r="E44" t="s">
        <v>558</v>
      </c>
      <c r="F44" t="s">
        <v>412</v>
      </c>
      <c r="G44" t="s">
        <v>492</v>
      </c>
      <c r="H44" t="s">
        <v>493</v>
      </c>
      <c r="I44">
        <v>1674579342</v>
      </c>
      <c r="J44">
        <f t="shared" si="0"/>
        <v>4.4471169433933696E-3</v>
      </c>
      <c r="K44">
        <f t="shared" si="1"/>
        <v>4.4471169433933699</v>
      </c>
      <c r="L44">
        <f t="shared" si="2"/>
        <v>54.633935901013515</v>
      </c>
      <c r="M44">
        <f t="shared" si="3"/>
        <v>1426.75</v>
      </c>
      <c r="N44">
        <f t="shared" si="4"/>
        <v>1144.2820515916951</v>
      </c>
      <c r="O44">
        <f t="shared" si="5"/>
        <v>114.21070689249527</v>
      </c>
      <c r="P44">
        <f t="shared" si="6"/>
        <v>142.40381192049998</v>
      </c>
      <c r="Q44">
        <f t="shared" si="7"/>
        <v>0.36192814013380004</v>
      </c>
      <c r="R44">
        <f t="shared" si="8"/>
        <v>2.9178698040377617</v>
      </c>
      <c r="S44">
        <f t="shared" si="9"/>
        <v>0.33870952559551631</v>
      </c>
      <c r="T44">
        <f t="shared" si="10"/>
        <v>0.21365530616980821</v>
      </c>
      <c r="U44">
        <f t="shared" si="11"/>
        <v>344.34470126377192</v>
      </c>
      <c r="V44">
        <f t="shared" si="12"/>
        <v>28.888364766067969</v>
      </c>
      <c r="W44">
        <f t="shared" si="13"/>
        <v>27.752199999999998</v>
      </c>
      <c r="X44">
        <f t="shared" si="14"/>
        <v>3.740364081266637</v>
      </c>
      <c r="Y44">
        <f t="shared" si="15"/>
        <v>65.062163935565891</v>
      </c>
      <c r="Z44">
        <f t="shared" si="16"/>
        <v>2.4706749462187996</v>
      </c>
      <c r="AA44">
        <f t="shared" si="17"/>
        <v>3.7974066596764664</v>
      </c>
      <c r="AB44">
        <f t="shared" si="18"/>
        <v>1.2696891350478374</v>
      </c>
      <c r="AC44">
        <f t="shared" si="19"/>
        <v>-196.11785720364759</v>
      </c>
      <c r="AD44">
        <f t="shared" si="20"/>
        <v>40.805746269449095</v>
      </c>
      <c r="AE44">
        <f t="shared" si="21"/>
        <v>3.0447728072988474</v>
      </c>
      <c r="AF44">
        <f t="shared" si="22"/>
        <v>192.07736313687226</v>
      </c>
      <c r="AG44">
        <v>0</v>
      </c>
      <c r="AH44">
        <v>0</v>
      </c>
      <c r="AI44">
        <f t="shared" si="23"/>
        <v>1</v>
      </c>
      <c r="AJ44">
        <f t="shared" si="24"/>
        <v>0</v>
      </c>
      <c r="AK44">
        <f t="shared" si="25"/>
        <v>52357.33086211206</v>
      </c>
      <c r="AL44" t="s">
        <v>415</v>
      </c>
      <c r="AM44">
        <v>10214.9</v>
      </c>
      <c r="AN44">
        <v>729.4384</v>
      </c>
      <c r="AO44">
        <v>3170.19</v>
      </c>
      <c r="AP44">
        <f t="shared" si="26"/>
        <v>0.76990704027203416</v>
      </c>
      <c r="AQ44">
        <v>-0.45549566560547827</v>
      </c>
      <c r="AR44" t="s">
        <v>559</v>
      </c>
      <c r="AS44">
        <v>10084.1</v>
      </c>
      <c r="AT44">
        <v>790.73796000000004</v>
      </c>
      <c r="AU44">
        <v>1186.47852497863</v>
      </c>
      <c r="AV44">
        <f t="shared" si="27"/>
        <v>0.33354212204199629</v>
      </c>
      <c r="AW44">
        <v>0.5</v>
      </c>
      <c r="AX44">
        <f t="shared" si="28"/>
        <v>1513.0755006318859</v>
      </c>
      <c r="AY44">
        <f t="shared" si="29"/>
        <v>54.633935901013515</v>
      </c>
      <c r="AZ44">
        <f t="shared" si="30"/>
        <v>252.33720664525757</v>
      </c>
      <c r="BA44">
        <f t="shared" si="31"/>
        <v>3.6408911216666132E-2</v>
      </c>
      <c r="BB44">
        <f t="shared" si="32"/>
        <v>1.671932052084212</v>
      </c>
      <c r="BC44">
        <f t="shared" si="33"/>
        <v>526.78450808461514</v>
      </c>
      <c r="BD44" t="s">
        <v>560</v>
      </c>
      <c r="BE44">
        <v>591.52</v>
      </c>
      <c r="BF44">
        <f t="shared" si="34"/>
        <v>591.52</v>
      </c>
      <c r="BG44">
        <f t="shared" si="35"/>
        <v>0.50144904644552746</v>
      </c>
      <c r="BH44">
        <f t="shared" si="36"/>
        <v>0.66515655859010403</v>
      </c>
      <c r="BI44">
        <f t="shared" si="37"/>
        <v>0.76927698194083383</v>
      </c>
      <c r="BJ44">
        <f t="shared" si="38"/>
        <v>0.86587707150905791</v>
      </c>
      <c r="BK44">
        <f t="shared" si="39"/>
        <v>0.81274615369354664</v>
      </c>
      <c r="BL44">
        <f t="shared" si="40"/>
        <v>0.4975774876638252</v>
      </c>
      <c r="BM44">
        <f t="shared" si="41"/>
        <v>0.50242251233617474</v>
      </c>
      <c r="BN44">
        <v>9112</v>
      </c>
      <c r="BO44">
        <v>290.00000000000011</v>
      </c>
      <c r="BP44">
        <v>1088.25</v>
      </c>
      <c r="BQ44">
        <v>185</v>
      </c>
      <c r="BR44">
        <v>10084.1</v>
      </c>
      <c r="BS44">
        <v>1088.24</v>
      </c>
      <c r="BT44">
        <v>0.01</v>
      </c>
      <c r="BU44">
        <v>300.00000000000011</v>
      </c>
      <c r="BV44">
        <v>24.2</v>
      </c>
      <c r="BW44">
        <v>1186.47852497863</v>
      </c>
      <c r="BX44">
        <v>2.9424295306379649</v>
      </c>
      <c r="BY44">
        <v>-99.066899810460725</v>
      </c>
      <c r="BZ44">
        <v>2.6394737201906531</v>
      </c>
      <c r="CA44">
        <v>0.98051106662848253</v>
      </c>
      <c r="CB44">
        <v>-6.8851911012235752E-3</v>
      </c>
      <c r="CC44">
        <v>289.99999999999989</v>
      </c>
      <c r="CD44">
        <v>1086.79</v>
      </c>
      <c r="CE44">
        <v>625</v>
      </c>
      <c r="CF44">
        <v>10057.6</v>
      </c>
      <c r="CG44">
        <v>1087.98</v>
      </c>
      <c r="CH44">
        <v>-1.19</v>
      </c>
      <c r="CV44">
        <f t="shared" si="42"/>
        <v>1799.87</v>
      </c>
      <c r="CW44">
        <f t="shared" si="43"/>
        <v>1513.0755006318859</v>
      </c>
      <c r="CX44">
        <f t="shared" si="44"/>
        <v>0.84065821455543233</v>
      </c>
      <c r="CY44">
        <f t="shared" si="45"/>
        <v>0.19131642911086463</v>
      </c>
      <c r="CZ44">
        <v>6</v>
      </c>
      <c r="DA44">
        <v>0.5</v>
      </c>
      <c r="DB44" t="s">
        <v>418</v>
      </c>
      <c r="DC44">
        <v>2</v>
      </c>
      <c r="DD44">
        <v>1674579342</v>
      </c>
      <c r="DE44">
        <v>1426.75</v>
      </c>
      <c r="DF44">
        <v>1499.91</v>
      </c>
      <c r="DG44">
        <v>24.753799999999998</v>
      </c>
      <c r="DH44">
        <v>19.5504</v>
      </c>
      <c r="DI44">
        <v>1421.75</v>
      </c>
      <c r="DJ44">
        <v>24.613099999999999</v>
      </c>
      <c r="DK44">
        <v>500.1</v>
      </c>
      <c r="DL44">
        <v>99.709599999999995</v>
      </c>
      <c r="DM44">
        <v>0.100326</v>
      </c>
      <c r="DN44">
        <v>28.011600000000001</v>
      </c>
      <c r="DO44">
        <v>27.752199999999998</v>
      </c>
      <c r="DP44">
        <v>999.9</v>
      </c>
      <c r="DQ44">
        <v>0</v>
      </c>
      <c r="DR44">
        <v>0</v>
      </c>
      <c r="DS44">
        <v>9962.5</v>
      </c>
      <c r="DT44">
        <v>0</v>
      </c>
      <c r="DU44">
        <v>373.928</v>
      </c>
      <c r="DV44">
        <v>-73.163499999999999</v>
      </c>
      <c r="DW44">
        <v>1462.97</v>
      </c>
      <c r="DX44">
        <v>1529.82</v>
      </c>
      <c r="DY44">
        <v>5.2033800000000001</v>
      </c>
      <c r="DZ44">
        <v>1499.91</v>
      </c>
      <c r="EA44">
        <v>19.5504</v>
      </c>
      <c r="EB44">
        <v>2.4681899999999999</v>
      </c>
      <c r="EC44">
        <v>1.94936</v>
      </c>
      <c r="ED44">
        <v>20.818200000000001</v>
      </c>
      <c r="EE44">
        <v>17.038900000000002</v>
      </c>
      <c r="EF44">
        <v>1799.87</v>
      </c>
      <c r="EG44">
        <v>0.97799999999999998</v>
      </c>
      <c r="EH44">
        <v>2.2000100000000002E-2</v>
      </c>
      <c r="EI44">
        <v>0</v>
      </c>
      <c r="EJ44">
        <v>790.78200000000004</v>
      </c>
      <c r="EK44">
        <v>4.9990399999999999</v>
      </c>
      <c r="EL44">
        <v>15030.3</v>
      </c>
      <c r="EM44">
        <v>14819.7</v>
      </c>
      <c r="EN44">
        <v>48.186999999999998</v>
      </c>
      <c r="EO44">
        <v>49.686999999999998</v>
      </c>
      <c r="EP44">
        <v>49.186999999999998</v>
      </c>
      <c r="EQ44">
        <v>48.061999999999998</v>
      </c>
      <c r="ER44">
        <v>49.061999999999998</v>
      </c>
      <c r="ES44">
        <v>1755.38</v>
      </c>
      <c r="ET44">
        <v>39.49</v>
      </c>
      <c r="EU44">
        <v>0</v>
      </c>
      <c r="EV44">
        <v>107.3999998569489</v>
      </c>
      <c r="EW44">
        <v>0</v>
      </c>
      <c r="EX44">
        <v>790.73796000000004</v>
      </c>
      <c r="EY44">
        <v>1.51646154049271</v>
      </c>
      <c r="EZ44">
        <v>33.192307762608337</v>
      </c>
      <c r="FA44">
        <v>15028.691999999999</v>
      </c>
      <c r="FB44">
        <v>15</v>
      </c>
      <c r="FC44">
        <v>1674579307.5</v>
      </c>
      <c r="FD44" t="s">
        <v>561</v>
      </c>
      <c r="FE44">
        <v>1674579298</v>
      </c>
      <c r="FF44">
        <v>1674579307.5</v>
      </c>
      <c r="FG44">
        <v>34</v>
      </c>
      <c r="FH44">
        <v>0.03</v>
      </c>
      <c r="FI44">
        <v>5.0000000000000001E-3</v>
      </c>
      <c r="FJ44">
        <v>5.0350000000000001</v>
      </c>
      <c r="FK44">
        <v>0.113</v>
      </c>
      <c r="FL44">
        <v>1500</v>
      </c>
      <c r="FM44">
        <v>19</v>
      </c>
      <c r="FN44">
        <v>0.04</v>
      </c>
      <c r="FO44">
        <v>0.02</v>
      </c>
      <c r="FP44">
        <v>54.756265554573822</v>
      </c>
      <c r="FQ44">
        <v>-0.16864195228770221</v>
      </c>
      <c r="FR44">
        <v>0.14841663210805259</v>
      </c>
      <c r="FS44">
        <v>1</v>
      </c>
      <c r="FT44">
        <v>0.36336819213492749</v>
      </c>
      <c r="FU44">
        <v>1.0726260622949331E-2</v>
      </c>
      <c r="FV44">
        <v>1.707170427937781E-3</v>
      </c>
      <c r="FW44">
        <v>1</v>
      </c>
      <c r="FX44">
        <v>2</v>
      </c>
      <c r="FY44">
        <v>2</v>
      </c>
      <c r="FZ44" t="s">
        <v>420</v>
      </c>
      <c r="GA44">
        <v>2.9337499999999999</v>
      </c>
      <c r="GB44">
        <v>2.8334600000000001</v>
      </c>
      <c r="GC44">
        <v>0.21321799999999999</v>
      </c>
      <c r="GD44">
        <v>0.21642500000000001</v>
      </c>
      <c r="GE44">
        <v>0.121979</v>
      </c>
      <c r="GF44">
        <v>0.10001699999999999</v>
      </c>
      <c r="GG44">
        <v>20322.3</v>
      </c>
      <c r="GH44">
        <v>25617</v>
      </c>
      <c r="GI44">
        <v>23239.9</v>
      </c>
      <c r="GJ44">
        <v>29952.799999999999</v>
      </c>
      <c r="GK44">
        <v>27752.5</v>
      </c>
      <c r="GL44">
        <v>38327</v>
      </c>
      <c r="GM44">
        <v>32790.1</v>
      </c>
      <c r="GN44">
        <v>44429.8</v>
      </c>
      <c r="GO44">
        <v>1.9457</v>
      </c>
      <c r="GP44">
        <v>1.8454299999999999</v>
      </c>
      <c r="GQ44">
        <v>7.5120500000000007E-2</v>
      </c>
      <c r="GR44">
        <v>0</v>
      </c>
      <c r="GS44">
        <v>26.524000000000001</v>
      </c>
      <c r="GT44">
        <v>999.9</v>
      </c>
      <c r="GU44">
        <v>48.6</v>
      </c>
      <c r="GV44">
        <v>35.700000000000003</v>
      </c>
      <c r="GW44">
        <v>28.615200000000002</v>
      </c>
      <c r="GX44">
        <v>61.575000000000003</v>
      </c>
      <c r="GY44">
        <v>36.866999999999997</v>
      </c>
      <c r="GZ44">
        <v>1</v>
      </c>
      <c r="HA44">
        <v>0.31647399999999998</v>
      </c>
      <c r="HB44">
        <v>1.9897100000000001</v>
      </c>
      <c r="HC44">
        <v>20.259399999999999</v>
      </c>
      <c r="HD44">
        <v>5.2098000000000004</v>
      </c>
      <c r="HE44">
        <v>11.872199999999999</v>
      </c>
      <c r="HF44">
        <v>4.9851000000000001</v>
      </c>
      <c r="HG44">
        <v>3.2839999999999998</v>
      </c>
      <c r="HH44">
        <v>9999</v>
      </c>
      <c r="HI44">
        <v>9999</v>
      </c>
      <c r="HJ44">
        <v>9999</v>
      </c>
      <c r="HK44">
        <v>999.9</v>
      </c>
      <c r="HL44">
        <v>1.8547100000000001</v>
      </c>
      <c r="HM44">
        <v>1.8608100000000001</v>
      </c>
      <c r="HN44">
        <v>1.85815</v>
      </c>
      <c r="HO44">
        <v>1.8593</v>
      </c>
      <c r="HP44">
        <v>1.8586800000000001</v>
      </c>
      <c r="HQ44">
        <v>1.85928</v>
      </c>
      <c r="HR44">
        <v>1.8575999999999999</v>
      </c>
      <c r="HS44">
        <v>1.8609</v>
      </c>
      <c r="HT44">
        <v>5</v>
      </c>
      <c r="HU44">
        <v>0</v>
      </c>
      <c r="HV44">
        <v>0</v>
      </c>
      <c r="HW44">
        <v>0</v>
      </c>
      <c r="HX44" t="s">
        <v>421</v>
      </c>
      <c r="HY44" t="s">
        <v>422</v>
      </c>
      <c r="HZ44" t="s">
        <v>423</v>
      </c>
      <c r="IA44" t="s">
        <v>423</v>
      </c>
      <c r="IB44" t="s">
        <v>423</v>
      </c>
      <c r="IC44" t="s">
        <v>423</v>
      </c>
      <c r="ID44">
        <v>0</v>
      </c>
      <c r="IE44">
        <v>100</v>
      </c>
      <c r="IF44">
        <v>100</v>
      </c>
      <c r="IG44">
        <v>5</v>
      </c>
      <c r="IH44">
        <v>0.14069999999999999</v>
      </c>
      <c r="II44">
        <v>3.099757556417829</v>
      </c>
      <c r="IJ44">
        <v>1.6187016317407189E-3</v>
      </c>
      <c r="IK44">
        <v>1.4341569744255341E-7</v>
      </c>
      <c r="IL44">
        <v>-2.4096625942085749E-10</v>
      </c>
      <c r="IM44">
        <v>0.14069067440888491</v>
      </c>
      <c r="IN44">
        <v>0</v>
      </c>
      <c r="IO44">
        <v>0</v>
      </c>
      <c r="IP44">
        <v>0</v>
      </c>
      <c r="IQ44">
        <v>4</v>
      </c>
      <c r="IR44">
        <v>2205</v>
      </c>
      <c r="IS44">
        <v>1</v>
      </c>
      <c r="IT44">
        <v>21</v>
      </c>
      <c r="IU44">
        <v>0.7</v>
      </c>
      <c r="IV44">
        <v>0.6</v>
      </c>
      <c r="IW44">
        <v>2.9333499999999999</v>
      </c>
      <c r="IX44">
        <v>2.4401899999999999</v>
      </c>
      <c r="IY44">
        <v>1.49414</v>
      </c>
      <c r="IZ44">
        <v>2.3059099999999999</v>
      </c>
      <c r="JA44">
        <v>1.69434</v>
      </c>
      <c r="JB44">
        <v>2.2961399999999998</v>
      </c>
      <c r="JC44">
        <v>40.912199999999999</v>
      </c>
      <c r="JD44">
        <v>23.921099999999999</v>
      </c>
      <c r="JE44">
        <v>18</v>
      </c>
      <c r="JF44">
        <v>493.51499999999999</v>
      </c>
      <c r="JG44">
        <v>451.35500000000002</v>
      </c>
      <c r="JH44">
        <v>24.762499999999999</v>
      </c>
      <c r="JI44">
        <v>31.301300000000001</v>
      </c>
      <c r="JJ44">
        <v>30.000299999999999</v>
      </c>
      <c r="JK44">
        <v>31.236599999999999</v>
      </c>
      <c r="JL44">
        <v>31.206900000000001</v>
      </c>
      <c r="JM44">
        <v>58.748699999999999</v>
      </c>
      <c r="JN44">
        <v>37.695</v>
      </c>
      <c r="JO44">
        <v>0</v>
      </c>
      <c r="JP44">
        <v>24.749300000000002</v>
      </c>
      <c r="JQ44">
        <v>1500</v>
      </c>
      <c r="JR44">
        <v>19.559999999999999</v>
      </c>
      <c r="JS44">
        <v>98.792900000000003</v>
      </c>
      <c r="JT44">
        <v>99.786199999999994</v>
      </c>
    </row>
    <row r="45" spans="1:280" x14ac:dyDescent="0.25">
      <c r="A45">
        <v>29</v>
      </c>
      <c r="B45">
        <v>1674581208.5999999</v>
      </c>
      <c r="C45">
        <v>7156</v>
      </c>
      <c r="D45" t="s">
        <v>562</v>
      </c>
      <c r="E45" t="s">
        <v>563</v>
      </c>
      <c r="F45" t="s">
        <v>412</v>
      </c>
      <c r="G45" t="s">
        <v>564</v>
      </c>
      <c r="H45" t="s">
        <v>565</v>
      </c>
      <c r="I45">
        <v>1674581208.5999999</v>
      </c>
      <c r="J45">
        <f t="shared" si="0"/>
        <v>4.7684690745145543E-3</v>
      </c>
      <c r="K45">
        <f t="shared" si="1"/>
        <v>4.7684690745145542</v>
      </c>
      <c r="L45">
        <f t="shared" si="2"/>
        <v>44.267606750400837</v>
      </c>
      <c r="M45">
        <f t="shared" si="3"/>
        <v>344.95499999999998</v>
      </c>
      <c r="N45">
        <f t="shared" si="4"/>
        <v>149.16996006519551</v>
      </c>
      <c r="O45">
        <f t="shared" si="5"/>
        <v>14.8957522202458</v>
      </c>
      <c r="P45">
        <f t="shared" si="6"/>
        <v>34.446373820098501</v>
      </c>
      <c r="Q45">
        <f t="shared" si="7"/>
        <v>0.39511927220454712</v>
      </c>
      <c r="R45">
        <f t="shared" si="8"/>
        <v>2.9277170492129816</v>
      </c>
      <c r="S45">
        <f t="shared" si="9"/>
        <v>0.36770588762905332</v>
      </c>
      <c r="T45">
        <f t="shared" si="10"/>
        <v>0.23212047540017547</v>
      </c>
      <c r="U45">
        <f t="shared" si="11"/>
        <v>344.41118810186066</v>
      </c>
      <c r="V45">
        <f t="shared" si="12"/>
        <v>28.8063470166637</v>
      </c>
      <c r="W45">
        <f t="shared" si="13"/>
        <v>27.728899999999999</v>
      </c>
      <c r="X45">
        <f t="shared" si="14"/>
        <v>3.7352771539600127</v>
      </c>
      <c r="Y45">
        <f t="shared" si="15"/>
        <v>65.309001632004097</v>
      </c>
      <c r="Z45">
        <f t="shared" si="16"/>
        <v>2.4806122400080501</v>
      </c>
      <c r="AA45">
        <f t="shared" si="17"/>
        <v>3.7982700363198454</v>
      </c>
      <c r="AB45">
        <f t="shared" si="18"/>
        <v>1.2546649139519626</v>
      </c>
      <c r="AC45">
        <f t="shared" si="19"/>
        <v>-210.28948618609184</v>
      </c>
      <c r="AD45">
        <f t="shared" si="20"/>
        <v>45.236680774284991</v>
      </c>
      <c r="AE45">
        <f t="shared" si="21"/>
        <v>3.3637144483302492</v>
      </c>
      <c r="AF45">
        <f t="shared" si="22"/>
        <v>182.72209713838407</v>
      </c>
      <c r="AG45">
        <v>0</v>
      </c>
      <c r="AH45">
        <v>0</v>
      </c>
      <c r="AI45">
        <f t="shared" si="23"/>
        <v>1</v>
      </c>
      <c r="AJ45">
        <f t="shared" si="24"/>
        <v>0</v>
      </c>
      <c r="AK45">
        <f t="shared" si="25"/>
        <v>52640.77125698742</v>
      </c>
      <c r="AL45" t="s">
        <v>415</v>
      </c>
      <c r="AM45">
        <v>10214.9</v>
      </c>
      <c r="AN45">
        <v>729.4384</v>
      </c>
      <c r="AO45">
        <v>3170.19</v>
      </c>
      <c r="AP45">
        <f t="shared" si="26"/>
        <v>0.76990704027203416</v>
      </c>
      <c r="AQ45">
        <v>-0.45549566560547827</v>
      </c>
      <c r="AR45" t="s">
        <v>566</v>
      </c>
      <c r="AS45">
        <v>10095.4</v>
      </c>
      <c r="AT45">
        <v>892.14084615384627</v>
      </c>
      <c r="AU45">
        <v>1234.095776374799</v>
      </c>
      <c r="AV45">
        <f t="shared" si="27"/>
        <v>0.27708945834451981</v>
      </c>
      <c r="AW45">
        <v>0.5</v>
      </c>
      <c r="AX45">
        <f t="shared" si="28"/>
        <v>1513.3694940509304</v>
      </c>
      <c r="AY45">
        <f t="shared" si="29"/>
        <v>44.267606750400837</v>
      </c>
      <c r="AZ45">
        <f t="shared" si="30"/>
        <v>209.66936669084615</v>
      </c>
      <c r="BA45">
        <f t="shared" si="31"/>
        <v>2.9552004709896194E-2</v>
      </c>
      <c r="BB45">
        <f t="shared" si="32"/>
        <v>1.568836277288419</v>
      </c>
      <c r="BC45">
        <f t="shared" si="33"/>
        <v>535.96627003220271</v>
      </c>
      <c r="BD45" t="s">
        <v>567</v>
      </c>
      <c r="BE45">
        <v>628.63</v>
      </c>
      <c r="BF45">
        <f t="shared" si="34"/>
        <v>628.63</v>
      </c>
      <c r="BG45">
        <f t="shared" si="35"/>
        <v>0.49061490037132827</v>
      </c>
      <c r="BH45">
        <f t="shared" si="36"/>
        <v>0.56477994886580307</v>
      </c>
      <c r="BI45">
        <f t="shared" si="37"/>
        <v>0.76177395915311896</v>
      </c>
      <c r="BJ45">
        <f t="shared" si="38"/>
        <v>0.67759820073845434</v>
      </c>
      <c r="BK45">
        <f t="shared" si="39"/>
        <v>0.79323689621885363</v>
      </c>
      <c r="BL45">
        <f t="shared" si="40"/>
        <v>0.39796139901690469</v>
      </c>
      <c r="BM45">
        <f t="shared" si="41"/>
        <v>0.60203860098309536</v>
      </c>
      <c r="BN45">
        <v>9114</v>
      </c>
      <c r="BO45">
        <v>290.00000000000011</v>
      </c>
      <c r="BP45">
        <v>1146.93</v>
      </c>
      <c r="BQ45">
        <v>155</v>
      </c>
      <c r="BR45">
        <v>10095.4</v>
      </c>
      <c r="BS45">
        <v>1142.72</v>
      </c>
      <c r="BT45">
        <v>4.21</v>
      </c>
      <c r="BU45">
        <v>300.00000000000011</v>
      </c>
      <c r="BV45">
        <v>24.2</v>
      </c>
      <c r="BW45">
        <v>1234.095776374799</v>
      </c>
      <c r="BX45">
        <v>2.2953050403635689</v>
      </c>
      <c r="BY45">
        <v>-92.249066971817612</v>
      </c>
      <c r="BZ45">
        <v>2.060505235485552</v>
      </c>
      <c r="CA45">
        <v>0.9862229380647497</v>
      </c>
      <c r="CB45">
        <v>-6.8892064516129104E-3</v>
      </c>
      <c r="CC45">
        <v>289.99999999999989</v>
      </c>
      <c r="CD45">
        <v>1140.77</v>
      </c>
      <c r="CE45">
        <v>785</v>
      </c>
      <c r="CF45">
        <v>10057</v>
      </c>
      <c r="CG45">
        <v>1142.3699999999999</v>
      </c>
      <c r="CH45">
        <v>-1.6</v>
      </c>
      <c r="CV45">
        <f t="shared" si="42"/>
        <v>1800.22</v>
      </c>
      <c r="CW45">
        <f t="shared" si="43"/>
        <v>1513.3694940509304</v>
      </c>
      <c r="CX45">
        <f t="shared" si="44"/>
        <v>0.84065808292926991</v>
      </c>
      <c r="CY45">
        <f t="shared" si="45"/>
        <v>0.19131616585853986</v>
      </c>
      <c r="CZ45">
        <v>6</v>
      </c>
      <c r="DA45">
        <v>0.5</v>
      </c>
      <c r="DB45" t="s">
        <v>418</v>
      </c>
      <c r="DC45">
        <v>2</v>
      </c>
      <c r="DD45">
        <v>1674581208.5999999</v>
      </c>
      <c r="DE45">
        <v>344.95499999999998</v>
      </c>
      <c r="DF45">
        <v>400.03899999999999</v>
      </c>
      <c r="DG45">
        <v>24.8415</v>
      </c>
      <c r="DH45">
        <v>19.262599999999999</v>
      </c>
      <c r="DI45">
        <v>342.83100000000002</v>
      </c>
      <c r="DJ45">
        <v>24.702400000000001</v>
      </c>
      <c r="DK45">
        <v>500.1</v>
      </c>
      <c r="DL45">
        <v>99.757900000000006</v>
      </c>
      <c r="DM45">
        <v>9.9686700000000003E-2</v>
      </c>
      <c r="DN45">
        <v>28.015499999999999</v>
      </c>
      <c r="DO45">
        <v>27.728899999999999</v>
      </c>
      <c r="DP45">
        <v>999.9</v>
      </c>
      <c r="DQ45">
        <v>0</v>
      </c>
      <c r="DR45">
        <v>0</v>
      </c>
      <c r="DS45">
        <v>10013.799999999999</v>
      </c>
      <c r="DT45">
        <v>0</v>
      </c>
      <c r="DU45">
        <v>349.39800000000002</v>
      </c>
      <c r="DV45">
        <v>-55.083799999999997</v>
      </c>
      <c r="DW45">
        <v>353.74200000000002</v>
      </c>
      <c r="DX45">
        <v>407.89600000000002</v>
      </c>
      <c r="DY45">
        <v>5.5788900000000003</v>
      </c>
      <c r="DZ45">
        <v>400.03899999999999</v>
      </c>
      <c r="EA45">
        <v>19.262599999999999</v>
      </c>
      <c r="EB45">
        <v>2.4781300000000002</v>
      </c>
      <c r="EC45">
        <v>1.9215899999999999</v>
      </c>
      <c r="ED45">
        <v>20.883600000000001</v>
      </c>
      <c r="EE45">
        <v>16.8127</v>
      </c>
      <c r="EF45">
        <v>1800.22</v>
      </c>
      <c r="EG45">
        <v>0.97800500000000001</v>
      </c>
      <c r="EH45">
        <v>2.19951E-2</v>
      </c>
      <c r="EI45">
        <v>0</v>
      </c>
      <c r="EJ45">
        <v>891.88900000000001</v>
      </c>
      <c r="EK45">
        <v>4.9990399999999999</v>
      </c>
      <c r="EL45">
        <v>16839.8</v>
      </c>
      <c r="EM45">
        <v>14822.6</v>
      </c>
      <c r="EN45">
        <v>47.686999999999998</v>
      </c>
      <c r="EO45">
        <v>49.186999999999998</v>
      </c>
      <c r="EP45">
        <v>48.686999999999998</v>
      </c>
      <c r="EQ45">
        <v>47.561999999999998</v>
      </c>
      <c r="ER45">
        <v>48.625</v>
      </c>
      <c r="ES45">
        <v>1755.74</v>
      </c>
      <c r="ET45">
        <v>39.49</v>
      </c>
      <c r="EU45">
        <v>0</v>
      </c>
      <c r="EV45">
        <v>1864.400000095367</v>
      </c>
      <c r="EW45">
        <v>0</v>
      </c>
      <c r="EX45">
        <v>892.14084615384627</v>
      </c>
      <c r="EY45">
        <v>-1.3917948709394561</v>
      </c>
      <c r="EZ45">
        <v>-22.28717942350502</v>
      </c>
      <c r="FA45">
        <v>16840.096153846149</v>
      </c>
      <c r="FB45">
        <v>15</v>
      </c>
      <c r="FC45">
        <v>1674581176.0999999</v>
      </c>
      <c r="FD45" t="s">
        <v>568</v>
      </c>
      <c r="FE45">
        <v>1674581174.0999999</v>
      </c>
      <c r="FF45">
        <v>1674581176.0999999</v>
      </c>
      <c r="FG45">
        <v>36</v>
      </c>
      <c r="FH45">
        <v>0.183</v>
      </c>
      <c r="FI45">
        <v>-2E-3</v>
      </c>
      <c r="FJ45">
        <v>2.2130000000000001</v>
      </c>
      <c r="FK45">
        <v>0.112</v>
      </c>
      <c r="FL45">
        <v>400</v>
      </c>
      <c r="FM45">
        <v>19</v>
      </c>
      <c r="FN45">
        <v>0.03</v>
      </c>
      <c r="FO45">
        <v>0.01</v>
      </c>
      <c r="FP45">
        <v>44.305363122203218</v>
      </c>
      <c r="FQ45">
        <v>-0.27084905026574191</v>
      </c>
      <c r="FR45">
        <v>6.2836714558363968E-2</v>
      </c>
      <c r="FS45">
        <v>1</v>
      </c>
      <c r="FT45">
        <v>0.39458809098234587</v>
      </c>
      <c r="FU45">
        <v>3.7609179585016188E-2</v>
      </c>
      <c r="FV45">
        <v>4.0939810904893096E-3</v>
      </c>
      <c r="FW45">
        <v>1</v>
      </c>
      <c r="FX45">
        <v>2</v>
      </c>
      <c r="FY45">
        <v>2</v>
      </c>
      <c r="FZ45" t="s">
        <v>420</v>
      </c>
      <c r="GA45">
        <v>2.9341699999999999</v>
      </c>
      <c r="GB45">
        <v>2.8332700000000002</v>
      </c>
      <c r="GC45">
        <v>8.0487400000000001E-2</v>
      </c>
      <c r="GD45">
        <v>8.8945999999999997E-2</v>
      </c>
      <c r="GE45">
        <v>0.12243999999999999</v>
      </c>
      <c r="GF45">
        <v>9.9100599999999997E-2</v>
      </c>
      <c r="GG45">
        <v>23778</v>
      </c>
      <c r="GH45">
        <v>29791.8</v>
      </c>
      <c r="GI45">
        <v>23264.400000000001</v>
      </c>
      <c r="GJ45">
        <v>29956.400000000001</v>
      </c>
      <c r="GK45">
        <v>27765.200000000001</v>
      </c>
      <c r="GL45">
        <v>38366.5</v>
      </c>
      <c r="GM45">
        <v>32826.800000000003</v>
      </c>
      <c r="GN45">
        <v>44433.2</v>
      </c>
      <c r="GO45">
        <v>1.97438</v>
      </c>
      <c r="GP45">
        <v>1.84718</v>
      </c>
      <c r="GQ45">
        <v>7.59214E-2</v>
      </c>
      <c r="GR45">
        <v>0</v>
      </c>
      <c r="GS45">
        <v>26.4876</v>
      </c>
      <c r="GT45">
        <v>999.9</v>
      </c>
      <c r="GU45">
        <v>47.4</v>
      </c>
      <c r="GV45">
        <v>36.1</v>
      </c>
      <c r="GW45">
        <v>28.515599999999999</v>
      </c>
      <c r="GX45">
        <v>61.1661</v>
      </c>
      <c r="GY45">
        <v>37.007199999999997</v>
      </c>
      <c r="GZ45">
        <v>1</v>
      </c>
      <c r="HA45">
        <v>0.28626499999999999</v>
      </c>
      <c r="HB45">
        <v>1.9017500000000001</v>
      </c>
      <c r="HC45">
        <v>20.261299999999999</v>
      </c>
      <c r="HD45">
        <v>5.2107000000000001</v>
      </c>
      <c r="HE45">
        <v>11.872199999999999</v>
      </c>
      <c r="HF45">
        <v>4.9851000000000001</v>
      </c>
      <c r="HG45">
        <v>3.2839999999999998</v>
      </c>
      <c r="HH45">
        <v>9999</v>
      </c>
      <c r="HI45">
        <v>9999</v>
      </c>
      <c r="HJ45">
        <v>9999</v>
      </c>
      <c r="HK45">
        <v>999.9</v>
      </c>
      <c r="HL45">
        <v>1.8546199999999999</v>
      </c>
      <c r="HM45">
        <v>1.86067</v>
      </c>
      <c r="HN45">
        <v>1.85806</v>
      </c>
      <c r="HO45">
        <v>1.85928</v>
      </c>
      <c r="HP45">
        <v>1.85867</v>
      </c>
      <c r="HQ45">
        <v>1.8591299999999999</v>
      </c>
      <c r="HR45">
        <v>1.8574999999999999</v>
      </c>
      <c r="HS45">
        <v>1.86083</v>
      </c>
      <c r="HT45">
        <v>5</v>
      </c>
      <c r="HU45">
        <v>0</v>
      </c>
      <c r="HV45">
        <v>0</v>
      </c>
      <c r="HW45">
        <v>0</v>
      </c>
      <c r="HX45" t="s">
        <v>421</v>
      </c>
      <c r="HY45" t="s">
        <v>422</v>
      </c>
      <c r="HZ45" t="s">
        <v>423</v>
      </c>
      <c r="IA45" t="s">
        <v>423</v>
      </c>
      <c r="IB45" t="s">
        <v>423</v>
      </c>
      <c r="IC45" t="s">
        <v>423</v>
      </c>
      <c r="ID45">
        <v>0</v>
      </c>
      <c r="IE45">
        <v>100</v>
      </c>
      <c r="IF45">
        <v>100</v>
      </c>
      <c r="IG45">
        <v>2.1240000000000001</v>
      </c>
      <c r="IH45">
        <v>0.1391</v>
      </c>
      <c r="II45">
        <v>1.5613667566988021</v>
      </c>
      <c r="IJ45">
        <v>1.6187016317407189E-3</v>
      </c>
      <c r="IK45">
        <v>1.4341569744255341E-7</v>
      </c>
      <c r="IL45">
        <v>-2.4096625942085749E-10</v>
      </c>
      <c r="IM45">
        <v>0.13904375484509229</v>
      </c>
      <c r="IN45">
        <v>0</v>
      </c>
      <c r="IO45">
        <v>0</v>
      </c>
      <c r="IP45">
        <v>0</v>
      </c>
      <c r="IQ45">
        <v>4</v>
      </c>
      <c r="IR45">
        <v>2205</v>
      </c>
      <c r="IS45">
        <v>1</v>
      </c>
      <c r="IT45">
        <v>21</v>
      </c>
      <c r="IU45">
        <v>0.6</v>
      </c>
      <c r="IV45">
        <v>0.5</v>
      </c>
      <c r="IW45">
        <v>0.99121099999999995</v>
      </c>
      <c r="IX45">
        <v>2.4389599999999998</v>
      </c>
      <c r="IY45">
        <v>1.49414</v>
      </c>
      <c r="IZ45">
        <v>2.3034699999999999</v>
      </c>
      <c r="JA45">
        <v>1.69434</v>
      </c>
      <c r="JB45">
        <v>2.3571800000000001</v>
      </c>
      <c r="JC45">
        <v>40.044699999999999</v>
      </c>
      <c r="JD45">
        <v>23.991199999999999</v>
      </c>
      <c r="JE45">
        <v>18</v>
      </c>
      <c r="JF45">
        <v>509.07499999999999</v>
      </c>
      <c r="JG45">
        <v>449.803</v>
      </c>
      <c r="JH45">
        <v>24.8598</v>
      </c>
      <c r="JI45">
        <v>30.9373</v>
      </c>
      <c r="JJ45">
        <v>30.0002</v>
      </c>
      <c r="JK45">
        <v>30.8977</v>
      </c>
      <c r="JL45">
        <v>30.876100000000001</v>
      </c>
      <c r="JM45">
        <v>19.929200000000002</v>
      </c>
      <c r="JN45">
        <v>38.373100000000001</v>
      </c>
      <c r="JO45">
        <v>0</v>
      </c>
      <c r="JP45">
        <v>24.8459</v>
      </c>
      <c r="JQ45">
        <v>400</v>
      </c>
      <c r="JR45">
        <v>19.2624</v>
      </c>
      <c r="JS45">
        <v>98.900899999999993</v>
      </c>
      <c r="JT45">
        <v>99.795599999999993</v>
      </c>
    </row>
    <row r="46" spans="1:280" x14ac:dyDescent="0.25">
      <c r="A46">
        <v>30</v>
      </c>
      <c r="B46">
        <v>1674581315.5999999</v>
      </c>
      <c r="C46">
        <v>7263</v>
      </c>
      <c r="D46" t="s">
        <v>569</v>
      </c>
      <c r="E46" t="s">
        <v>570</v>
      </c>
      <c r="F46" t="s">
        <v>412</v>
      </c>
      <c r="G46" t="s">
        <v>564</v>
      </c>
      <c r="H46" t="s">
        <v>565</v>
      </c>
      <c r="I46">
        <v>1674581315.5999999</v>
      </c>
      <c r="J46">
        <f t="shared" si="0"/>
        <v>4.8635012679145214E-3</v>
      </c>
      <c r="K46">
        <f t="shared" si="1"/>
        <v>4.8635012679145211</v>
      </c>
      <c r="L46">
        <f t="shared" si="2"/>
        <v>37.900837096571784</v>
      </c>
      <c r="M46">
        <f t="shared" si="3"/>
        <v>253.11500000000001</v>
      </c>
      <c r="N46">
        <f t="shared" si="4"/>
        <v>89.675612588896854</v>
      </c>
      <c r="O46">
        <f t="shared" si="5"/>
        <v>8.9546772946022006</v>
      </c>
      <c r="P46">
        <f t="shared" si="6"/>
        <v>25.275134208604999</v>
      </c>
      <c r="Q46">
        <f t="shared" si="7"/>
        <v>0.40398690396192066</v>
      </c>
      <c r="R46">
        <f t="shared" si="8"/>
        <v>2.9243945281433286</v>
      </c>
      <c r="S46">
        <f t="shared" si="9"/>
        <v>0.37534695642591587</v>
      </c>
      <c r="T46">
        <f t="shared" si="10"/>
        <v>0.23699561653776752</v>
      </c>
      <c r="U46">
        <f t="shared" si="11"/>
        <v>344.38970126328348</v>
      </c>
      <c r="V46">
        <f t="shared" si="12"/>
        <v>28.771024517206936</v>
      </c>
      <c r="W46">
        <f t="shared" si="13"/>
        <v>27.7302</v>
      </c>
      <c r="X46">
        <f t="shared" si="14"/>
        <v>3.7355608148444759</v>
      </c>
      <c r="Y46">
        <f t="shared" si="15"/>
        <v>65.387777730343544</v>
      </c>
      <c r="Z46">
        <f t="shared" si="16"/>
        <v>2.4819689501158</v>
      </c>
      <c r="AA46">
        <f t="shared" si="17"/>
        <v>3.7957689284858951</v>
      </c>
      <c r="AB46">
        <f t="shared" si="18"/>
        <v>1.2535918647286759</v>
      </c>
      <c r="AC46">
        <f t="shared" si="19"/>
        <v>-214.48040591503039</v>
      </c>
      <c r="AD46">
        <f t="shared" si="20"/>
        <v>43.198828437546247</v>
      </c>
      <c r="AE46">
        <f t="shared" si="21"/>
        <v>3.2156726878445396</v>
      </c>
      <c r="AF46">
        <f t="shared" si="22"/>
        <v>176.32379647364385</v>
      </c>
      <c r="AG46">
        <v>0</v>
      </c>
      <c r="AH46">
        <v>0</v>
      </c>
      <c r="AI46">
        <f t="shared" si="23"/>
        <v>1</v>
      </c>
      <c r="AJ46">
        <f t="shared" si="24"/>
        <v>0</v>
      </c>
      <c r="AK46">
        <f t="shared" si="25"/>
        <v>52547.118999235405</v>
      </c>
      <c r="AL46" t="s">
        <v>415</v>
      </c>
      <c r="AM46">
        <v>10214.9</v>
      </c>
      <c r="AN46">
        <v>729.4384</v>
      </c>
      <c r="AO46">
        <v>3170.19</v>
      </c>
      <c r="AP46">
        <f t="shared" si="26"/>
        <v>0.76990704027203416</v>
      </c>
      <c r="AQ46">
        <v>-0.45549566560547827</v>
      </c>
      <c r="AR46" t="s">
        <v>571</v>
      </c>
      <c r="AS46">
        <v>10099.200000000001</v>
      </c>
      <c r="AT46">
        <v>891.12351999999998</v>
      </c>
      <c r="AU46">
        <v>1192.3837009119</v>
      </c>
      <c r="AV46">
        <f t="shared" si="27"/>
        <v>0.2526537226913661</v>
      </c>
      <c r="AW46">
        <v>0.5</v>
      </c>
      <c r="AX46">
        <f t="shared" si="28"/>
        <v>1513.2768006316414</v>
      </c>
      <c r="AY46">
        <f t="shared" si="29"/>
        <v>37.900837096571784</v>
      </c>
      <c r="AZ46">
        <f t="shared" si="30"/>
        <v>191.16750857103222</v>
      </c>
      <c r="BA46">
        <f t="shared" si="31"/>
        <v>2.5346541192045852E-2</v>
      </c>
      <c r="BB46">
        <f t="shared" si="32"/>
        <v>1.6586995424170359</v>
      </c>
      <c r="BC46">
        <f t="shared" si="33"/>
        <v>527.94536556613502</v>
      </c>
      <c r="BD46" t="s">
        <v>572</v>
      </c>
      <c r="BE46">
        <v>618.52</v>
      </c>
      <c r="BF46">
        <f t="shared" si="34"/>
        <v>618.52</v>
      </c>
      <c r="BG46">
        <f t="shared" si="35"/>
        <v>0.4812743586422944</v>
      </c>
      <c r="BH46">
        <f t="shared" si="36"/>
        <v>0.52496817699600362</v>
      </c>
      <c r="BI46">
        <f t="shared" si="37"/>
        <v>0.77510269709174773</v>
      </c>
      <c r="BJ46">
        <f t="shared" si="38"/>
        <v>0.65074681678047919</v>
      </c>
      <c r="BK46">
        <f t="shared" si="39"/>
        <v>0.81032674487977396</v>
      </c>
      <c r="BL46">
        <f t="shared" si="40"/>
        <v>0.36437520674526486</v>
      </c>
      <c r="BM46">
        <f t="shared" si="41"/>
        <v>0.6356247932547352</v>
      </c>
      <c r="BN46">
        <v>9116</v>
      </c>
      <c r="BO46">
        <v>290.00000000000011</v>
      </c>
      <c r="BP46">
        <v>1112.03</v>
      </c>
      <c r="BQ46">
        <v>125</v>
      </c>
      <c r="BR46">
        <v>10099.200000000001</v>
      </c>
      <c r="BS46">
        <v>1108.07</v>
      </c>
      <c r="BT46">
        <v>3.96</v>
      </c>
      <c r="BU46">
        <v>300.00000000000011</v>
      </c>
      <c r="BV46">
        <v>24.2</v>
      </c>
      <c r="BW46">
        <v>1192.3837009119</v>
      </c>
      <c r="BX46">
        <v>2.092317900484165</v>
      </c>
      <c r="BY46">
        <v>-85.153125908561407</v>
      </c>
      <c r="BZ46">
        <v>1.8781071831160261</v>
      </c>
      <c r="CA46">
        <v>0.98656238660919648</v>
      </c>
      <c r="CB46">
        <v>-6.8885103448275836E-3</v>
      </c>
      <c r="CC46">
        <v>289.99999999999989</v>
      </c>
      <c r="CD46">
        <v>1106.72</v>
      </c>
      <c r="CE46">
        <v>715</v>
      </c>
      <c r="CF46">
        <v>10059.299999999999</v>
      </c>
      <c r="CG46">
        <v>1107.73</v>
      </c>
      <c r="CH46">
        <v>-1.01</v>
      </c>
      <c r="CV46">
        <f t="shared" si="42"/>
        <v>1800.11</v>
      </c>
      <c r="CW46">
        <f t="shared" si="43"/>
        <v>1513.2768006316414</v>
      </c>
      <c r="CX46">
        <f t="shared" si="44"/>
        <v>0.84065796014223659</v>
      </c>
      <c r="CY46">
        <f t="shared" si="45"/>
        <v>0.19131592028447345</v>
      </c>
      <c r="CZ46">
        <v>6</v>
      </c>
      <c r="DA46">
        <v>0.5</v>
      </c>
      <c r="DB46" t="s">
        <v>418</v>
      </c>
      <c r="DC46">
        <v>2</v>
      </c>
      <c r="DD46">
        <v>1674581315.5999999</v>
      </c>
      <c r="DE46">
        <v>253.11500000000001</v>
      </c>
      <c r="DF46">
        <v>300.06299999999999</v>
      </c>
      <c r="DG46">
        <v>24.855399999999999</v>
      </c>
      <c r="DH46">
        <v>19.165500000000002</v>
      </c>
      <c r="DI46">
        <v>251.20599999999999</v>
      </c>
      <c r="DJ46">
        <v>24.7196</v>
      </c>
      <c r="DK46">
        <v>500.10899999999998</v>
      </c>
      <c r="DL46">
        <v>99.756299999999996</v>
      </c>
      <c r="DM46">
        <v>0.100027</v>
      </c>
      <c r="DN46">
        <v>28.004200000000001</v>
      </c>
      <c r="DO46">
        <v>27.7302</v>
      </c>
      <c r="DP46">
        <v>999.9</v>
      </c>
      <c r="DQ46">
        <v>0</v>
      </c>
      <c r="DR46">
        <v>0</v>
      </c>
      <c r="DS46">
        <v>9995</v>
      </c>
      <c r="DT46">
        <v>0</v>
      </c>
      <c r="DU46">
        <v>348.53100000000001</v>
      </c>
      <c r="DV46">
        <v>-46.947800000000001</v>
      </c>
      <c r="DW46">
        <v>259.56700000000001</v>
      </c>
      <c r="DX46">
        <v>305.92599999999999</v>
      </c>
      <c r="DY46">
        <v>5.6899899999999999</v>
      </c>
      <c r="DZ46">
        <v>300.06299999999999</v>
      </c>
      <c r="EA46">
        <v>19.165500000000002</v>
      </c>
      <c r="EB46">
        <v>2.4794900000000002</v>
      </c>
      <c r="EC46">
        <v>1.91188</v>
      </c>
      <c r="ED46">
        <v>20.892499999999998</v>
      </c>
      <c r="EE46">
        <v>16.732800000000001</v>
      </c>
      <c r="EF46">
        <v>1800.11</v>
      </c>
      <c r="EG46">
        <v>0.97800500000000001</v>
      </c>
      <c r="EH46">
        <v>2.19951E-2</v>
      </c>
      <c r="EI46">
        <v>0</v>
      </c>
      <c r="EJ46">
        <v>890.57</v>
      </c>
      <c r="EK46">
        <v>4.9990399999999999</v>
      </c>
      <c r="EL46">
        <v>16817.599999999999</v>
      </c>
      <c r="EM46">
        <v>14821.6</v>
      </c>
      <c r="EN46">
        <v>47.811999999999998</v>
      </c>
      <c r="EO46">
        <v>49.311999999999998</v>
      </c>
      <c r="EP46">
        <v>48.75</v>
      </c>
      <c r="EQ46">
        <v>47.686999999999998</v>
      </c>
      <c r="ER46">
        <v>48.686999999999998</v>
      </c>
      <c r="ES46">
        <v>1755.63</v>
      </c>
      <c r="ET46">
        <v>39.479999999999997</v>
      </c>
      <c r="EU46">
        <v>0</v>
      </c>
      <c r="EV46">
        <v>105</v>
      </c>
      <c r="EW46">
        <v>0</v>
      </c>
      <c r="EX46">
        <v>891.12351999999998</v>
      </c>
      <c r="EY46">
        <v>-4.2083076843517437</v>
      </c>
      <c r="EZ46">
        <v>-75.761538243443681</v>
      </c>
      <c r="FA46">
        <v>16825.64</v>
      </c>
      <c r="FB46">
        <v>15</v>
      </c>
      <c r="FC46">
        <v>1674581283.0999999</v>
      </c>
      <c r="FD46" t="s">
        <v>573</v>
      </c>
      <c r="FE46">
        <v>1674581274.0999999</v>
      </c>
      <c r="FF46">
        <v>1674581283.0999999</v>
      </c>
      <c r="FG46">
        <v>37</v>
      </c>
      <c r="FH46">
        <v>-6.4000000000000001E-2</v>
      </c>
      <c r="FI46">
        <v>-3.0000000000000001E-3</v>
      </c>
      <c r="FJ46">
        <v>1.986</v>
      </c>
      <c r="FK46">
        <v>0.107</v>
      </c>
      <c r="FL46">
        <v>300</v>
      </c>
      <c r="FM46">
        <v>19</v>
      </c>
      <c r="FN46">
        <v>0.04</v>
      </c>
      <c r="FO46">
        <v>0.02</v>
      </c>
      <c r="FP46">
        <v>37.857035203405488</v>
      </c>
      <c r="FQ46">
        <v>-0.22150527846509299</v>
      </c>
      <c r="FR46">
        <v>6.1457455752657257E-2</v>
      </c>
      <c r="FS46">
        <v>1</v>
      </c>
      <c r="FT46">
        <v>0.39792895232284542</v>
      </c>
      <c r="FU46">
        <v>4.2322315453398728E-2</v>
      </c>
      <c r="FV46">
        <v>4.8716630669904384E-3</v>
      </c>
      <c r="FW46">
        <v>1</v>
      </c>
      <c r="FX46">
        <v>2</v>
      </c>
      <c r="FY46">
        <v>2</v>
      </c>
      <c r="FZ46" t="s">
        <v>420</v>
      </c>
      <c r="GA46">
        <v>2.9341300000000001</v>
      </c>
      <c r="GB46">
        <v>2.83344</v>
      </c>
      <c r="GC46">
        <v>6.24416E-2</v>
      </c>
      <c r="GD46">
        <v>7.0847999999999994E-2</v>
      </c>
      <c r="GE46">
        <v>0.122488</v>
      </c>
      <c r="GF46">
        <v>9.8740900000000006E-2</v>
      </c>
      <c r="GG46">
        <v>24242.3</v>
      </c>
      <c r="GH46">
        <v>30378.400000000001</v>
      </c>
      <c r="GI46">
        <v>23262.6</v>
      </c>
      <c r="GJ46">
        <v>29951.8</v>
      </c>
      <c r="GK46">
        <v>27761.4</v>
      </c>
      <c r="GL46">
        <v>38376.1</v>
      </c>
      <c r="GM46">
        <v>32824.400000000001</v>
      </c>
      <c r="GN46">
        <v>44426.8</v>
      </c>
      <c r="GO46">
        <v>1.9738500000000001</v>
      </c>
      <c r="GP46">
        <v>1.8460300000000001</v>
      </c>
      <c r="GQ46">
        <v>6.9476700000000002E-2</v>
      </c>
      <c r="GR46">
        <v>0</v>
      </c>
      <c r="GS46">
        <v>26.5944</v>
      </c>
      <c r="GT46">
        <v>999.9</v>
      </c>
      <c r="GU46">
        <v>47.4</v>
      </c>
      <c r="GV46">
        <v>36.1</v>
      </c>
      <c r="GW46">
        <v>28.516500000000001</v>
      </c>
      <c r="GX46">
        <v>61.566099999999999</v>
      </c>
      <c r="GY46">
        <v>37.1554</v>
      </c>
      <c r="GZ46">
        <v>1</v>
      </c>
      <c r="HA46">
        <v>0.29152699999999998</v>
      </c>
      <c r="HB46">
        <v>2.0440399999999999</v>
      </c>
      <c r="HC46">
        <v>20.2623</v>
      </c>
      <c r="HD46">
        <v>5.2068099999999999</v>
      </c>
      <c r="HE46">
        <v>11.872199999999999</v>
      </c>
      <c r="HF46">
        <v>4.9852999999999996</v>
      </c>
      <c r="HG46">
        <v>3.2839999999999998</v>
      </c>
      <c r="HH46">
        <v>9999</v>
      </c>
      <c r="HI46">
        <v>9999</v>
      </c>
      <c r="HJ46">
        <v>9999</v>
      </c>
      <c r="HK46">
        <v>999.9</v>
      </c>
      <c r="HL46">
        <v>1.85463</v>
      </c>
      <c r="HM46">
        <v>1.8606799999999999</v>
      </c>
      <c r="HN46">
        <v>1.85806</v>
      </c>
      <c r="HO46">
        <v>1.85928</v>
      </c>
      <c r="HP46">
        <v>1.85867</v>
      </c>
      <c r="HQ46">
        <v>1.85914</v>
      </c>
      <c r="HR46">
        <v>1.8575600000000001</v>
      </c>
      <c r="HS46">
        <v>1.86084</v>
      </c>
      <c r="HT46">
        <v>5</v>
      </c>
      <c r="HU46">
        <v>0</v>
      </c>
      <c r="HV46">
        <v>0</v>
      </c>
      <c r="HW46">
        <v>0</v>
      </c>
      <c r="HX46" t="s">
        <v>421</v>
      </c>
      <c r="HY46" t="s">
        <v>422</v>
      </c>
      <c r="HZ46" t="s">
        <v>423</v>
      </c>
      <c r="IA46" t="s">
        <v>423</v>
      </c>
      <c r="IB46" t="s">
        <v>423</v>
      </c>
      <c r="IC46" t="s">
        <v>423</v>
      </c>
      <c r="ID46">
        <v>0</v>
      </c>
      <c r="IE46">
        <v>100</v>
      </c>
      <c r="IF46">
        <v>100</v>
      </c>
      <c r="IG46">
        <v>1.909</v>
      </c>
      <c r="IH46">
        <v>0.1358</v>
      </c>
      <c r="II46">
        <v>1.497170400891469</v>
      </c>
      <c r="IJ46">
        <v>1.6187016317407189E-3</v>
      </c>
      <c r="IK46">
        <v>1.4341569744255341E-7</v>
      </c>
      <c r="IL46">
        <v>-2.4096625942085749E-10</v>
      </c>
      <c r="IM46">
        <v>0.1358729749022029</v>
      </c>
      <c r="IN46">
        <v>0</v>
      </c>
      <c r="IO46">
        <v>0</v>
      </c>
      <c r="IP46">
        <v>0</v>
      </c>
      <c r="IQ46">
        <v>4</v>
      </c>
      <c r="IR46">
        <v>2205</v>
      </c>
      <c r="IS46">
        <v>1</v>
      </c>
      <c r="IT46">
        <v>21</v>
      </c>
      <c r="IU46">
        <v>0.7</v>
      </c>
      <c r="IV46">
        <v>0.5</v>
      </c>
      <c r="IW46">
        <v>0.788574</v>
      </c>
      <c r="IX46">
        <v>2.4499499999999999</v>
      </c>
      <c r="IY46">
        <v>1.49414</v>
      </c>
      <c r="IZ46">
        <v>2.3034699999999999</v>
      </c>
      <c r="JA46">
        <v>1.69434</v>
      </c>
      <c r="JB46">
        <v>2.4133300000000002</v>
      </c>
      <c r="JC46">
        <v>40.044699999999999</v>
      </c>
      <c r="JD46">
        <v>23.991199999999999</v>
      </c>
      <c r="JE46">
        <v>18</v>
      </c>
      <c r="JF46">
        <v>508.96300000000002</v>
      </c>
      <c r="JG46">
        <v>449.18200000000002</v>
      </c>
      <c r="JH46">
        <v>24.726099999999999</v>
      </c>
      <c r="JI46">
        <v>30.988600000000002</v>
      </c>
      <c r="JJ46">
        <v>30.000399999999999</v>
      </c>
      <c r="JK46">
        <v>30.924600000000002</v>
      </c>
      <c r="JL46">
        <v>30.8977</v>
      </c>
      <c r="JM46">
        <v>15.852399999999999</v>
      </c>
      <c r="JN46">
        <v>38.705599999999997</v>
      </c>
      <c r="JO46">
        <v>0</v>
      </c>
      <c r="JP46">
        <v>24.722200000000001</v>
      </c>
      <c r="JQ46">
        <v>300</v>
      </c>
      <c r="JR46">
        <v>19.178899999999999</v>
      </c>
      <c r="JS46">
        <v>98.8934</v>
      </c>
      <c r="JT46">
        <v>99.780799999999999</v>
      </c>
    </row>
    <row r="47" spans="1:280" x14ac:dyDescent="0.25">
      <c r="A47">
        <v>31</v>
      </c>
      <c r="B47">
        <v>1674581425.5999999</v>
      </c>
      <c r="C47">
        <v>7373</v>
      </c>
      <c r="D47" t="s">
        <v>574</v>
      </c>
      <c r="E47" t="s">
        <v>575</v>
      </c>
      <c r="F47" t="s">
        <v>412</v>
      </c>
      <c r="G47" t="s">
        <v>564</v>
      </c>
      <c r="H47" t="s">
        <v>565</v>
      </c>
      <c r="I47">
        <v>1674581425.5999999</v>
      </c>
      <c r="J47">
        <f t="shared" si="0"/>
        <v>5.0698779062753573E-3</v>
      </c>
      <c r="K47">
        <f t="shared" si="1"/>
        <v>5.0698779062753569</v>
      </c>
      <c r="L47">
        <f t="shared" si="2"/>
        <v>27.351843887300667</v>
      </c>
      <c r="M47">
        <f t="shared" si="3"/>
        <v>166.18899999999999</v>
      </c>
      <c r="N47">
        <f t="shared" si="4"/>
        <v>53.411594215261907</v>
      </c>
      <c r="O47">
        <f t="shared" si="5"/>
        <v>5.3333513408026443</v>
      </c>
      <c r="P47">
        <f t="shared" si="6"/>
        <v>16.594605328657</v>
      </c>
      <c r="Q47">
        <f t="shared" si="7"/>
        <v>0.42307168433581022</v>
      </c>
      <c r="R47">
        <f t="shared" si="8"/>
        <v>2.9221543641698036</v>
      </c>
      <c r="S47">
        <f t="shared" si="9"/>
        <v>0.39175209530762189</v>
      </c>
      <c r="T47">
        <f t="shared" si="10"/>
        <v>0.24746550777182275</v>
      </c>
      <c r="U47">
        <f t="shared" si="11"/>
        <v>344.31940126354323</v>
      </c>
      <c r="V47">
        <f t="shared" si="12"/>
        <v>28.715596533354038</v>
      </c>
      <c r="W47">
        <f t="shared" si="13"/>
        <v>27.747599999999998</v>
      </c>
      <c r="X47">
        <f t="shared" si="14"/>
        <v>3.7393593165637826</v>
      </c>
      <c r="Y47">
        <f t="shared" si="15"/>
        <v>65.537431368942265</v>
      </c>
      <c r="Z47">
        <f t="shared" si="16"/>
        <v>2.4873884379739</v>
      </c>
      <c r="AA47">
        <f t="shared" si="17"/>
        <v>3.7953706546281523</v>
      </c>
      <c r="AB47">
        <f t="shared" si="18"/>
        <v>1.2519708785898827</v>
      </c>
      <c r="AC47">
        <f t="shared" si="19"/>
        <v>-223.58161566674326</v>
      </c>
      <c r="AD47">
        <f t="shared" si="20"/>
        <v>40.140984613470479</v>
      </c>
      <c r="AE47">
        <f t="shared" si="21"/>
        <v>2.9905733755007042</v>
      </c>
      <c r="AF47">
        <f t="shared" si="22"/>
        <v>163.86934358577116</v>
      </c>
      <c r="AG47">
        <v>0</v>
      </c>
      <c r="AH47">
        <v>0</v>
      </c>
      <c r="AI47">
        <f t="shared" si="23"/>
        <v>1</v>
      </c>
      <c r="AJ47">
        <f t="shared" si="24"/>
        <v>0</v>
      </c>
      <c r="AK47">
        <f t="shared" si="25"/>
        <v>52482.962162112199</v>
      </c>
      <c r="AL47" t="s">
        <v>415</v>
      </c>
      <c r="AM47">
        <v>10214.9</v>
      </c>
      <c r="AN47">
        <v>729.4384</v>
      </c>
      <c r="AO47">
        <v>3170.19</v>
      </c>
      <c r="AP47">
        <f t="shared" si="26"/>
        <v>0.76990704027203416</v>
      </c>
      <c r="AQ47">
        <v>-0.45549566560547827</v>
      </c>
      <c r="AR47" t="s">
        <v>576</v>
      </c>
      <c r="AS47">
        <v>10089.299999999999</v>
      </c>
      <c r="AT47">
        <v>905.71088461538466</v>
      </c>
      <c r="AU47">
        <v>1145.716384042139</v>
      </c>
      <c r="AV47">
        <f t="shared" si="27"/>
        <v>0.20948072557014863</v>
      </c>
      <c r="AW47">
        <v>0.5</v>
      </c>
      <c r="AX47">
        <f t="shared" si="28"/>
        <v>1512.9660006317715</v>
      </c>
      <c r="AY47">
        <f t="shared" si="29"/>
        <v>27.351843887300667</v>
      </c>
      <c r="AZ47">
        <f t="shared" si="30"/>
        <v>158.46860778765472</v>
      </c>
      <c r="BA47">
        <f t="shared" si="31"/>
        <v>1.8379355214389877E-2</v>
      </c>
      <c r="BB47">
        <f t="shared" si="32"/>
        <v>1.7669936854838604</v>
      </c>
      <c r="BC47">
        <f t="shared" si="33"/>
        <v>518.59270733420522</v>
      </c>
      <c r="BD47" t="s">
        <v>577</v>
      </c>
      <c r="BE47">
        <v>610.28</v>
      </c>
      <c r="BF47">
        <f t="shared" si="34"/>
        <v>610.28</v>
      </c>
      <c r="BG47">
        <f t="shared" si="35"/>
        <v>0.46733763390298688</v>
      </c>
      <c r="BH47">
        <f t="shared" si="36"/>
        <v>0.44824279144964835</v>
      </c>
      <c r="BI47">
        <f t="shared" si="37"/>
        <v>0.79083780912526658</v>
      </c>
      <c r="BJ47">
        <f t="shared" si="38"/>
        <v>0.57655102750391685</v>
      </c>
      <c r="BK47">
        <f t="shared" si="39"/>
        <v>0.82944680481121513</v>
      </c>
      <c r="BL47">
        <f t="shared" si="40"/>
        <v>0.30203193470735146</v>
      </c>
      <c r="BM47">
        <f t="shared" si="41"/>
        <v>0.69796806529264854</v>
      </c>
      <c r="BN47">
        <v>9118</v>
      </c>
      <c r="BO47">
        <v>290.00000000000011</v>
      </c>
      <c r="BP47">
        <v>1075.3499999999999</v>
      </c>
      <c r="BQ47">
        <v>185</v>
      </c>
      <c r="BR47">
        <v>10089.299999999999</v>
      </c>
      <c r="BS47">
        <v>1073.3699999999999</v>
      </c>
      <c r="BT47">
        <v>1.98</v>
      </c>
      <c r="BU47">
        <v>300.00000000000011</v>
      </c>
      <c r="BV47">
        <v>24.2</v>
      </c>
      <c r="BW47">
        <v>1145.716384042139</v>
      </c>
      <c r="BX47">
        <v>2.32520192345231</v>
      </c>
      <c r="BY47">
        <v>-72.990902288879127</v>
      </c>
      <c r="BZ47">
        <v>2.0869648964319878</v>
      </c>
      <c r="CA47">
        <v>0.97762197220868319</v>
      </c>
      <c r="CB47">
        <v>-6.8880355951056694E-3</v>
      </c>
      <c r="CC47">
        <v>289.99999999999989</v>
      </c>
      <c r="CD47">
        <v>1071.6099999999999</v>
      </c>
      <c r="CE47">
        <v>725</v>
      </c>
      <c r="CF47">
        <v>10057.9</v>
      </c>
      <c r="CG47">
        <v>1073.1500000000001</v>
      </c>
      <c r="CH47">
        <v>-1.54</v>
      </c>
      <c r="CV47">
        <f t="shared" si="42"/>
        <v>1799.74</v>
      </c>
      <c r="CW47">
        <f t="shared" si="43"/>
        <v>1512.9660006317715</v>
      </c>
      <c r="CX47">
        <f t="shared" si="44"/>
        <v>0.84065809540920999</v>
      </c>
      <c r="CY47">
        <f t="shared" si="45"/>
        <v>0.19131619081842</v>
      </c>
      <c r="CZ47">
        <v>6</v>
      </c>
      <c r="DA47">
        <v>0.5</v>
      </c>
      <c r="DB47" t="s">
        <v>418</v>
      </c>
      <c r="DC47">
        <v>2</v>
      </c>
      <c r="DD47">
        <v>1674581425.5999999</v>
      </c>
      <c r="DE47">
        <v>166.18899999999999</v>
      </c>
      <c r="DF47">
        <v>200.012</v>
      </c>
      <c r="DG47">
        <v>24.910299999999999</v>
      </c>
      <c r="DH47">
        <v>18.979800000000001</v>
      </c>
      <c r="DI47">
        <v>164.50200000000001</v>
      </c>
      <c r="DJ47">
        <v>24.772099999999998</v>
      </c>
      <c r="DK47">
        <v>500.15199999999999</v>
      </c>
      <c r="DL47">
        <v>99.753600000000006</v>
      </c>
      <c r="DM47">
        <v>0.100213</v>
      </c>
      <c r="DN47">
        <v>28.002400000000002</v>
      </c>
      <c r="DO47">
        <v>27.747599999999998</v>
      </c>
      <c r="DP47">
        <v>999.9</v>
      </c>
      <c r="DQ47">
        <v>0</v>
      </c>
      <c r="DR47">
        <v>0</v>
      </c>
      <c r="DS47">
        <v>9982.5</v>
      </c>
      <c r="DT47">
        <v>0</v>
      </c>
      <c r="DU47">
        <v>356.30500000000001</v>
      </c>
      <c r="DV47">
        <v>-33.823399999999999</v>
      </c>
      <c r="DW47">
        <v>170.434</v>
      </c>
      <c r="DX47">
        <v>203.88200000000001</v>
      </c>
      <c r="DY47">
        <v>5.9305500000000002</v>
      </c>
      <c r="DZ47">
        <v>200.012</v>
      </c>
      <c r="EA47">
        <v>18.979800000000001</v>
      </c>
      <c r="EB47">
        <v>2.48489</v>
      </c>
      <c r="EC47">
        <v>1.8933</v>
      </c>
      <c r="ED47">
        <v>20.927900000000001</v>
      </c>
      <c r="EE47">
        <v>16.5791</v>
      </c>
      <c r="EF47">
        <v>1799.74</v>
      </c>
      <c r="EG47">
        <v>0.97800100000000001</v>
      </c>
      <c r="EH47">
        <v>2.1998799999999999E-2</v>
      </c>
      <c r="EI47">
        <v>0</v>
      </c>
      <c r="EJ47">
        <v>905.06</v>
      </c>
      <c r="EK47">
        <v>4.9990399999999999</v>
      </c>
      <c r="EL47">
        <v>17095.5</v>
      </c>
      <c r="EM47">
        <v>14818.5</v>
      </c>
      <c r="EN47">
        <v>47.936999999999998</v>
      </c>
      <c r="EO47">
        <v>49.375</v>
      </c>
      <c r="EP47">
        <v>48.811999999999998</v>
      </c>
      <c r="EQ47">
        <v>47.811999999999998</v>
      </c>
      <c r="ER47">
        <v>48.811999999999998</v>
      </c>
      <c r="ES47">
        <v>1755.26</v>
      </c>
      <c r="ET47">
        <v>39.479999999999997</v>
      </c>
      <c r="EU47">
        <v>0</v>
      </c>
      <c r="EV47">
        <v>108.2000000476837</v>
      </c>
      <c r="EW47">
        <v>0</v>
      </c>
      <c r="EX47">
        <v>905.71088461538466</v>
      </c>
      <c r="EY47">
        <v>-4.2943248014989761</v>
      </c>
      <c r="EZ47">
        <v>-88.181196625696842</v>
      </c>
      <c r="FA47">
        <v>17109.142307692309</v>
      </c>
      <c r="FB47">
        <v>15</v>
      </c>
      <c r="FC47">
        <v>1674581393.0999999</v>
      </c>
      <c r="FD47" t="s">
        <v>578</v>
      </c>
      <c r="FE47">
        <v>1674581390.0999999</v>
      </c>
      <c r="FF47">
        <v>1674581393.0999999</v>
      </c>
      <c r="FG47">
        <v>38</v>
      </c>
      <c r="FH47">
        <v>-0.08</v>
      </c>
      <c r="FI47">
        <v>2E-3</v>
      </c>
      <c r="FJ47">
        <v>1.742</v>
      </c>
      <c r="FK47">
        <v>0.109</v>
      </c>
      <c r="FL47">
        <v>200</v>
      </c>
      <c r="FM47">
        <v>19</v>
      </c>
      <c r="FN47">
        <v>0.06</v>
      </c>
      <c r="FO47">
        <v>0.02</v>
      </c>
      <c r="FP47">
        <v>27.319663977089839</v>
      </c>
      <c r="FQ47">
        <v>9.1280932516262528E-2</v>
      </c>
      <c r="FR47">
        <v>4.221388556385914E-2</v>
      </c>
      <c r="FS47">
        <v>1</v>
      </c>
      <c r="FT47">
        <v>0.42068407418308051</v>
      </c>
      <c r="FU47">
        <v>3.2146645487113323E-2</v>
      </c>
      <c r="FV47">
        <v>4.1517859073261776E-3</v>
      </c>
      <c r="FW47">
        <v>1</v>
      </c>
      <c r="FX47">
        <v>2</v>
      </c>
      <c r="FY47">
        <v>2</v>
      </c>
      <c r="FZ47" t="s">
        <v>420</v>
      </c>
      <c r="GA47">
        <v>2.9341400000000002</v>
      </c>
      <c r="GB47">
        <v>2.83352</v>
      </c>
      <c r="GC47">
        <v>4.3157099999999997E-2</v>
      </c>
      <c r="GD47">
        <v>5.0245600000000001E-2</v>
      </c>
      <c r="GE47">
        <v>0.122652</v>
      </c>
      <c r="GF47">
        <v>9.8052E-2</v>
      </c>
      <c r="GG47">
        <v>24737.7</v>
      </c>
      <c r="GH47">
        <v>31048.3</v>
      </c>
      <c r="GI47">
        <v>23260.1</v>
      </c>
      <c r="GJ47">
        <v>29948.9</v>
      </c>
      <c r="GK47">
        <v>27753.1</v>
      </c>
      <c r="GL47">
        <v>38402.6</v>
      </c>
      <c r="GM47">
        <v>32820.9</v>
      </c>
      <c r="GN47">
        <v>44423.7</v>
      </c>
      <c r="GO47">
        <v>1.97353</v>
      </c>
      <c r="GP47">
        <v>1.8440000000000001</v>
      </c>
      <c r="GQ47">
        <v>6.5267099999999995E-2</v>
      </c>
      <c r="GR47">
        <v>0</v>
      </c>
      <c r="GS47">
        <v>26.680599999999998</v>
      </c>
      <c r="GT47">
        <v>999.9</v>
      </c>
      <c r="GU47">
        <v>47.4</v>
      </c>
      <c r="GV47">
        <v>36.1</v>
      </c>
      <c r="GW47">
        <v>28.517199999999999</v>
      </c>
      <c r="GX47">
        <v>61.696100000000001</v>
      </c>
      <c r="GY47">
        <v>36.622599999999998</v>
      </c>
      <c r="GZ47">
        <v>1</v>
      </c>
      <c r="HA47">
        <v>0.29864600000000002</v>
      </c>
      <c r="HB47">
        <v>2.1456300000000001</v>
      </c>
      <c r="HC47">
        <v>20.258800000000001</v>
      </c>
      <c r="HD47">
        <v>5.2103999999999999</v>
      </c>
      <c r="HE47">
        <v>11.872199999999999</v>
      </c>
      <c r="HF47">
        <v>4.9850000000000003</v>
      </c>
      <c r="HG47">
        <v>3.2839999999999998</v>
      </c>
      <c r="HH47">
        <v>9999</v>
      </c>
      <c r="HI47">
        <v>9999</v>
      </c>
      <c r="HJ47">
        <v>9999</v>
      </c>
      <c r="HK47">
        <v>999.9</v>
      </c>
      <c r="HL47">
        <v>1.8545499999999999</v>
      </c>
      <c r="HM47">
        <v>1.86066</v>
      </c>
      <c r="HN47">
        <v>1.85806</v>
      </c>
      <c r="HO47">
        <v>1.85927</v>
      </c>
      <c r="HP47">
        <v>1.8586400000000001</v>
      </c>
      <c r="HQ47">
        <v>1.8591299999999999</v>
      </c>
      <c r="HR47">
        <v>1.8574600000000001</v>
      </c>
      <c r="HS47">
        <v>1.8608100000000001</v>
      </c>
      <c r="HT47">
        <v>5</v>
      </c>
      <c r="HU47">
        <v>0</v>
      </c>
      <c r="HV47">
        <v>0</v>
      </c>
      <c r="HW47">
        <v>0</v>
      </c>
      <c r="HX47" t="s">
        <v>421</v>
      </c>
      <c r="HY47" t="s">
        <v>422</v>
      </c>
      <c r="HZ47" t="s">
        <v>423</v>
      </c>
      <c r="IA47" t="s">
        <v>423</v>
      </c>
      <c r="IB47" t="s">
        <v>423</v>
      </c>
      <c r="IC47" t="s">
        <v>423</v>
      </c>
      <c r="ID47">
        <v>0</v>
      </c>
      <c r="IE47">
        <v>100</v>
      </c>
      <c r="IF47">
        <v>100</v>
      </c>
      <c r="IG47">
        <v>1.6870000000000001</v>
      </c>
      <c r="IH47">
        <v>0.13819999999999999</v>
      </c>
      <c r="II47">
        <v>1.4174151398124479</v>
      </c>
      <c r="IJ47">
        <v>1.6187016317407189E-3</v>
      </c>
      <c r="IK47">
        <v>1.4341569744255341E-7</v>
      </c>
      <c r="IL47">
        <v>-2.4096625942085749E-10</v>
      </c>
      <c r="IM47">
        <v>0.1381952219714393</v>
      </c>
      <c r="IN47">
        <v>0</v>
      </c>
      <c r="IO47">
        <v>0</v>
      </c>
      <c r="IP47">
        <v>0</v>
      </c>
      <c r="IQ47">
        <v>4</v>
      </c>
      <c r="IR47">
        <v>2205</v>
      </c>
      <c r="IS47">
        <v>1</v>
      </c>
      <c r="IT47">
        <v>21</v>
      </c>
      <c r="IU47">
        <v>0.6</v>
      </c>
      <c r="IV47">
        <v>0.5</v>
      </c>
      <c r="IW47">
        <v>0.57617200000000002</v>
      </c>
      <c r="IX47">
        <v>2.4645999999999999</v>
      </c>
      <c r="IY47">
        <v>1.49414</v>
      </c>
      <c r="IZ47">
        <v>2.3034699999999999</v>
      </c>
      <c r="JA47">
        <v>1.69434</v>
      </c>
      <c r="JB47">
        <v>2.32666</v>
      </c>
      <c r="JC47">
        <v>40.044699999999999</v>
      </c>
      <c r="JD47">
        <v>23.982399999999998</v>
      </c>
      <c r="JE47">
        <v>18</v>
      </c>
      <c r="JF47">
        <v>509.21</v>
      </c>
      <c r="JG47">
        <v>448.197</v>
      </c>
      <c r="JH47">
        <v>24.679600000000001</v>
      </c>
      <c r="JI47">
        <v>31.069099999999999</v>
      </c>
      <c r="JJ47">
        <v>30.000399999999999</v>
      </c>
      <c r="JK47">
        <v>30.9787</v>
      </c>
      <c r="JL47">
        <v>30.9482</v>
      </c>
      <c r="JM47">
        <v>11.6068</v>
      </c>
      <c r="JN47">
        <v>39.707099999999997</v>
      </c>
      <c r="JO47">
        <v>0</v>
      </c>
      <c r="JP47">
        <v>24.675899999999999</v>
      </c>
      <c r="JQ47">
        <v>200</v>
      </c>
      <c r="JR47">
        <v>18.9117</v>
      </c>
      <c r="JS47">
        <v>98.882800000000003</v>
      </c>
      <c r="JT47">
        <v>99.7727</v>
      </c>
    </row>
    <row r="48" spans="1:280" x14ac:dyDescent="0.25">
      <c r="A48">
        <v>32</v>
      </c>
      <c r="B48">
        <v>1674581525.0999999</v>
      </c>
      <c r="C48">
        <v>7472.5</v>
      </c>
      <c r="D48" t="s">
        <v>579</v>
      </c>
      <c r="E48" t="s">
        <v>580</v>
      </c>
      <c r="F48" t="s">
        <v>412</v>
      </c>
      <c r="G48" t="s">
        <v>564</v>
      </c>
      <c r="H48" t="s">
        <v>565</v>
      </c>
      <c r="I48">
        <v>1674581525.0999999</v>
      </c>
      <c r="J48">
        <f t="shared" si="0"/>
        <v>5.3073729858293056E-3</v>
      </c>
      <c r="K48">
        <f t="shared" si="1"/>
        <v>5.3073729858293053</v>
      </c>
      <c r="L48">
        <f t="shared" si="2"/>
        <v>17.36278197721802</v>
      </c>
      <c r="M48">
        <f t="shared" si="3"/>
        <v>98.552400000000006</v>
      </c>
      <c r="N48">
        <f t="shared" si="4"/>
        <v>29.124947573098126</v>
      </c>
      <c r="O48">
        <f t="shared" si="5"/>
        <v>2.9081121516988029</v>
      </c>
      <c r="P48">
        <f t="shared" si="6"/>
        <v>9.8404102290575999</v>
      </c>
      <c r="Q48">
        <f t="shared" si="7"/>
        <v>0.43675709209007446</v>
      </c>
      <c r="R48">
        <f t="shared" si="8"/>
        <v>2.9258228774625681</v>
      </c>
      <c r="S48">
        <f t="shared" si="9"/>
        <v>0.40350225045454169</v>
      </c>
      <c r="T48">
        <f t="shared" si="10"/>
        <v>0.25496539209128277</v>
      </c>
      <c r="U48">
        <f t="shared" si="11"/>
        <v>344.36880126336069</v>
      </c>
      <c r="V48">
        <f t="shared" si="12"/>
        <v>28.654460396759443</v>
      </c>
      <c r="W48">
        <f t="shared" si="13"/>
        <v>27.733899999999998</v>
      </c>
      <c r="X48">
        <f t="shared" si="14"/>
        <v>3.7363682602452797</v>
      </c>
      <c r="Y48">
        <f t="shared" si="15"/>
        <v>64.911305551604414</v>
      </c>
      <c r="Z48">
        <f t="shared" si="16"/>
        <v>2.4637969896523995</v>
      </c>
      <c r="AA48">
        <f t="shared" si="17"/>
        <v>3.7956361664820988</v>
      </c>
      <c r="AB48">
        <f t="shared" si="18"/>
        <v>1.2725712705928802</v>
      </c>
      <c r="AC48">
        <f t="shared" si="19"/>
        <v>-234.05514867507239</v>
      </c>
      <c r="AD48">
        <f t="shared" si="20"/>
        <v>42.541658912944854</v>
      </c>
      <c r="AE48">
        <f t="shared" si="21"/>
        <v>3.1652566506211994</v>
      </c>
      <c r="AF48">
        <f t="shared" si="22"/>
        <v>156.02056815185435</v>
      </c>
      <c r="AG48">
        <v>0</v>
      </c>
      <c r="AH48">
        <v>0</v>
      </c>
      <c r="AI48">
        <f t="shared" si="23"/>
        <v>1</v>
      </c>
      <c r="AJ48">
        <f t="shared" si="24"/>
        <v>0</v>
      </c>
      <c r="AK48">
        <f t="shared" si="25"/>
        <v>52588.170535387275</v>
      </c>
      <c r="AL48" t="s">
        <v>415</v>
      </c>
      <c r="AM48">
        <v>10214.9</v>
      </c>
      <c r="AN48">
        <v>729.4384</v>
      </c>
      <c r="AO48">
        <v>3170.19</v>
      </c>
      <c r="AP48">
        <f t="shared" si="26"/>
        <v>0.76990704027203416</v>
      </c>
      <c r="AQ48">
        <v>-0.45549566560547827</v>
      </c>
      <c r="AR48" t="s">
        <v>581</v>
      </c>
      <c r="AS48">
        <v>10094.6</v>
      </c>
      <c r="AT48">
        <v>930.94507999999985</v>
      </c>
      <c r="AU48">
        <v>1098.125678399329</v>
      </c>
      <c r="AV48">
        <f t="shared" si="27"/>
        <v>0.15224177130892536</v>
      </c>
      <c r="AW48">
        <v>0.5</v>
      </c>
      <c r="AX48">
        <f t="shared" si="28"/>
        <v>1513.1844006316803</v>
      </c>
      <c r="AY48">
        <f t="shared" si="29"/>
        <v>17.36278197721802</v>
      </c>
      <c r="AZ48">
        <f t="shared" si="30"/>
        <v>115.18493673460078</v>
      </c>
      <c r="BA48">
        <f t="shared" si="31"/>
        <v>1.1775351130625746E-2</v>
      </c>
      <c r="BB48">
        <f t="shared" si="32"/>
        <v>1.8869099979712642</v>
      </c>
      <c r="BC48">
        <f t="shared" si="33"/>
        <v>508.61550061862704</v>
      </c>
      <c r="BD48" t="s">
        <v>582</v>
      </c>
      <c r="BE48">
        <v>606.15</v>
      </c>
      <c r="BF48">
        <f t="shared" si="34"/>
        <v>606.15</v>
      </c>
      <c r="BG48">
        <f t="shared" si="35"/>
        <v>0.44801400065286878</v>
      </c>
      <c r="BH48">
        <f t="shared" si="36"/>
        <v>0.33981476267944949</v>
      </c>
      <c r="BI48">
        <f t="shared" si="37"/>
        <v>0.80812480366947126</v>
      </c>
      <c r="BJ48">
        <f t="shared" si="38"/>
        <v>0.45344824243773912</v>
      </c>
      <c r="BK48">
        <f t="shared" si="39"/>
        <v>0.84894518622897597</v>
      </c>
      <c r="BL48">
        <f t="shared" si="40"/>
        <v>0.22125764754903515</v>
      </c>
      <c r="BM48">
        <f t="shared" si="41"/>
        <v>0.7787423524509649</v>
      </c>
      <c r="BN48">
        <v>9120</v>
      </c>
      <c r="BO48">
        <v>290.00000000000011</v>
      </c>
      <c r="BP48">
        <v>1055.78</v>
      </c>
      <c r="BQ48">
        <v>145</v>
      </c>
      <c r="BR48">
        <v>10094.6</v>
      </c>
      <c r="BS48">
        <v>1055.04</v>
      </c>
      <c r="BT48">
        <v>0.74</v>
      </c>
      <c r="BU48">
        <v>300.00000000000011</v>
      </c>
      <c r="BV48">
        <v>24.2</v>
      </c>
      <c r="BW48">
        <v>1098.125678399329</v>
      </c>
      <c r="BX48">
        <v>1.892269027255939</v>
      </c>
      <c r="BY48">
        <v>-43.489103072238748</v>
      </c>
      <c r="BZ48">
        <v>1.6982958264258829</v>
      </c>
      <c r="CA48">
        <v>0.95904899097592278</v>
      </c>
      <c r="CB48">
        <v>-6.8875430478309357E-3</v>
      </c>
      <c r="CC48">
        <v>289.99999999999989</v>
      </c>
      <c r="CD48">
        <v>1054.5999999999999</v>
      </c>
      <c r="CE48">
        <v>635</v>
      </c>
      <c r="CF48">
        <v>10062.200000000001</v>
      </c>
      <c r="CG48">
        <v>1054.9100000000001</v>
      </c>
      <c r="CH48">
        <v>-0.31</v>
      </c>
      <c r="CV48">
        <f t="shared" si="42"/>
        <v>1800</v>
      </c>
      <c r="CW48">
        <f t="shared" si="43"/>
        <v>1513.1844006316803</v>
      </c>
      <c r="CX48">
        <f t="shared" si="44"/>
        <v>0.84065800035093352</v>
      </c>
      <c r="CY48">
        <f t="shared" si="45"/>
        <v>0.19131600070186705</v>
      </c>
      <c r="CZ48">
        <v>6</v>
      </c>
      <c r="DA48">
        <v>0.5</v>
      </c>
      <c r="DB48" t="s">
        <v>418</v>
      </c>
      <c r="DC48">
        <v>2</v>
      </c>
      <c r="DD48">
        <v>1674581525.0999999</v>
      </c>
      <c r="DE48">
        <v>98.552400000000006</v>
      </c>
      <c r="DF48">
        <v>120.01300000000001</v>
      </c>
      <c r="DG48">
        <v>24.6751</v>
      </c>
      <c r="DH48">
        <v>18.464099999999998</v>
      </c>
      <c r="DI48">
        <v>97.019400000000005</v>
      </c>
      <c r="DJ48">
        <v>24.584099999999999</v>
      </c>
      <c r="DK48">
        <v>500.05599999999998</v>
      </c>
      <c r="DL48">
        <v>99.749799999999993</v>
      </c>
      <c r="DM48">
        <v>9.9723999999999993E-2</v>
      </c>
      <c r="DN48">
        <v>28.003599999999999</v>
      </c>
      <c r="DO48">
        <v>27.733899999999998</v>
      </c>
      <c r="DP48">
        <v>999.9</v>
      </c>
      <c r="DQ48">
        <v>0</v>
      </c>
      <c r="DR48">
        <v>0</v>
      </c>
      <c r="DS48">
        <v>10003.799999999999</v>
      </c>
      <c r="DT48">
        <v>0</v>
      </c>
      <c r="DU48">
        <v>361.48</v>
      </c>
      <c r="DV48">
        <v>-21.418399999999998</v>
      </c>
      <c r="DW48">
        <v>101.09399999999999</v>
      </c>
      <c r="DX48">
        <v>122.271</v>
      </c>
      <c r="DY48">
        <v>6.2582100000000001</v>
      </c>
      <c r="DZ48">
        <v>120.01300000000001</v>
      </c>
      <c r="EA48">
        <v>18.464099999999998</v>
      </c>
      <c r="EB48">
        <v>2.4660500000000001</v>
      </c>
      <c r="EC48">
        <v>1.84179</v>
      </c>
      <c r="ED48">
        <v>20.804099999999998</v>
      </c>
      <c r="EE48">
        <v>16.146100000000001</v>
      </c>
      <c r="EF48">
        <v>1800</v>
      </c>
      <c r="EG48">
        <v>0.97800500000000001</v>
      </c>
      <c r="EH48">
        <v>2.19951E-2</v>
      </c>
      <c r="EI48">
        <v>0</v>
      </c>
      <c r="EJ48">
        <v>930.51099999999997</v>
      </c>
      <c r="EK48">
        <v>4.9990399999999999</v>
      </c>
      <c r="EL48">
        <v>17580.7</v>
      </c>
      <c r="EM48">
        <v>14820.7</v>
      </c>
      <c r="EN48">
        <v>48</v>
      </c>
      <c r="EO48">
        <v>49.5</v>
      </c>
      <c r="EP48">
        <v>48.936999999999998</v>
      </c>
      <c r="EQ48">
        <v>47.875</v>
      </c>
      <c r="ER48">
        <v>48.875</v>
      </c>
      <c r="ES48">
        <v>1755.52</v>
      </c>
      <c r="ET48">
        <v>39.479999999999997</v>
      </c>
      <c r="EU48">
        <v>0</v>
      </c>
      <c r="EV48">
        <v>97.799999952316284</v>
      </c>
      <c r="EW48">
        <v>0</v>
      </c>
      <c r="EX48">
        <v>930.94507999999985</v>
      </c>
      <c r="EY48">
        <v>-5.0863846215978263</v>
      </c>
      <c r="EZ48">
        <v>-63.338461611659817</v>
      </c>
      <c r="FA48">
        <v>17587.132000000001</v>
      </c>
      <c r="FB48">
        <v>15</v>
      </c>
      <c r="FC48">
        <v>1674581556.0999999</v>
      </c>
      <c r="FD48" t="s">
        <v>583</v>
      </c>
      <c r="FE48">
        <v>1674581543.0999999</v>
      </c>
      <c r="FF48">
        <v>1674581556.0999999</v>
      </c>
      <c r="FG48">
        <v>39</v>
      </c>
      <c r="FH48">
        <v>-7.8E-2</v>
      </c>
      <c r="FI48">
        <v>-7.0000000000000001E-3</v>
      </c>
      <c r="FJ48">
        <v>1.5329999999999999</v>
      </c>
      <c r="FK48">
        <v>9.0999999999999998E-2</v>
      </c>
      <c r="FL48">
        <v>120</v>
      </c>
      <c r="FM48">
        <v>18</v>
      </c>
      <c r="FN48">
        <v>0.08</v>
      </c>
      <c r="FO48">
        <v>0.01</v>
      </c>
      <c r="FP48">
        <v>17.248851358911441</v>
      </c>
      <c r="FQ48">
        <v>0.41189610144664601</v>
      </c>
      <c r="FR48">
        <v>4.2821805645809667E-2</v>
      </c>
      <c r="FS48">
        <v>1</v>
      </c>
      <c r="FT48">
        <v>0.43800446549249078</v>
      </c>
      <c r="FU48">
        <v>3.3309802500370522E-2</v>
      </c>
      <c r="FV48">
        <v>3.7215634260085988E-3</v>
      </c>
      <c r="FW48">
        <v>1</v>
      </c>
      <c r="FX48">
        <v>2</v>
      </c>
      <c r="FY48">
        <v>2</v>
      </c>
      <c r="FZ48" t="s">
        <v>420</v>
      </c>
      <c r="GA48">
        <v>2.9338099999999998</v>
      </c>
      <c r="GB48">
        <v>2.8332099999999998</v>
      </c>
      <c r="GC48">
        <v>2.6431699999999999E-2</v>
      </c>
      <c r="GD48">
        <v>3.1576300000000002E-2</v>
      </c>
      <c r="GE48">
        <v>0.12198100000000001</v>
      </c>
      <c r="GF48">
        <v>9.6144199999999999E-2</v>
      </c>
      <c r="GG48">
        <v>25165.9</v>
      </c>
      <c r="GH48">
        <v>31652.799999999999</v>
      </c>
      <c r="GI48">
        <v>23256.799999999999</v>
      </c>
      <c r="GJ48">
        <v>29944.3</v>
      </c>
      <c r="GK48">
        <v>27770.9</v>
      </c>
      <c r="GL48">
        <v>38479.599999999999</v>
      </c>
      <c r="GM48">
        <v>32816.699999999997</v>
      </c>
      <c r="GN48">
        <v>44418</v>
      </c>
      <c r="GO48">
        <v>1.97305</v>
      </c>
      <c r="GP48">
        <v>1.84158</v>
      </c>
      <c r="GQ48">
        <v>6.1858400000000001E-2</v>
      </c>
      <c r="GR48">
        <v>0</v>
      </c>
      <c r="GS48">
        <v>26.7227</v>
      </c>
      <c r="GT48">
        <v>999.9</v>
      </c>
      <c r="GU48">
        <v>47.5</v>
      </c>
      <c r="GV48">
        <v>36.1</v>
      </c>
      <c r="GW48">
        <v>28.579699999999999</v>
      </c>
      <c r="GX48">
        <v>61.4161</v>
      </c>
      <c r="GY48">
        <v>36.810899999999997</v>
      </c>
      <c r="GZ48">
        <v>1</v>
      </c>
      <c r="HA48">
        <v>0.30590200000000001</v>
      </c>
      <c r="HB48">
        <v>2.1403699999999999</v>
      </c>
      <c r="HC48">
        <v>20.258700000000001</v>
      </c>
      <c r="HD48">
        <v>5.2065099999999997</v>
      </c>
      <c r="HE48">
        <v>11.872199999999999</v>
      </c>
      <c r="HF48">
        <v>4.9837499999999997</v>
      </c>
      <c r="HG48">
        <v>3.2832499999999998</v>
      </c>
      <c r="HH48">
        <v>9999</v>
      </c>
      <c r="HI48">
        <v>9999</v>
      </c>
      <c r="HJ48">
        <v>9999</v>
      </c>
      <c r="HK48">
        <v>999.9</v>
      </c>
      <c r="HL48">
        <v>1.8546</v>
      </c>
      <c r="HM48">
        <v>1.8606799999999999</v>
      </c>
      <c r="HN48">
        <v>1.85806</v>
      </c>
      <c r="HO48">
        <v>1.85928</v>
      </c>
      <c r="HP48">
        <v>1.85867</v>
      </c>
      <c r="HQ48">
        <v>1.85914</v>
      </c>
      <c r="HR48">
        <v>1.85751</v>
      </c>
      <c r="HS48">
        <v>1.86083</v>
      </c>
      <c r="HT48">
        <v>5</v>
      </c>
      <c r="HU48">
        <v>0</v>
      </c>
      <c r="HV48">
        <v>0</v>
      </c>
      <c r="HW48">
        <v>0</v>
      </c>
      <c r="HX48" t="s">
        <v>421</v>
      </c>
      <c r="HY48" t="s">
        <v>422</v>
      </c>
      <c r="HZ48" t="s">
        <v>423</v>
      </c>
      <c r="IA48" t="s">
        <v>423</v>
      </c>
      <c r="IB48" t="s">
        <v>423</v>
      </c>
      <c r="IC48" t="s">
        <v>423</v>
      </c>
      <c r="ID48">
        <v>0</v>
      </c>
      <c r="IE48">
        <v>100</v>
      </c>
      <c r="IF48">
        <v>100</v>
      </c>
      <c r="IG48">
        <v>1.5329999999999999</v>
      </c>
      <c r="IH48">
        <v>9.0999999999999998E-2</v>
      </c>
      <c r="II48">
        <v>1.4174151398124479</v>
      </c>
      <c r="IJ48">
        <v>1.6187016317407189E-3</v>
      </c>
      <c r="IK48">
        <v>1.4341569744255341E-7</v>
      </c>
      <c r="IL48">
        <v>-2.4096625942085749E-10</v>
      </c>
      <c r="IM48">
        <v>0.1381952219714393</v>
      </c>
      <c r="IN48">
        <v>0</v>
      </c>
      <c r="IO48">
        <v>0</v>
      </c>
      <c r="IP48">
        <v>0</v>
      </c>
      <c r="IQ48">
        <v>4</v>
      </c>
      <c r="IR48">
        <v>2205</v>
      </c>
      <c r="IS48">
        <v>1</v>
      </c>
      <c r="IT48">
        <v>21</v>
      </c>
      <c r="IU48">
        <v>2.2000000000000002</v>
      </c>
      <c r="IV48">
        <v>2.2000000000000002</v>
      </c>
      <c r="IW48">
        <v>0.401611</v>
      </c>
      <c r="IX48">
        <v>2.4706999999999999</v>
      </c>
      <c r="IY48">
        <v>1.49414</v>
      </c>
      <c r="IZ48">
        <v>2.3034699999999999</v>
      </c>
      <c r="JA48">
        <v>1.69434</v>
      </c>
      <c r="JB48">
        <v>2.3852500000000001</v>
      </c>
      <c r="JC48">
        <v>40.07</v>
      </c>
      <c r="JD48">
        <v>23.991199999999999</v>
      </c>
      <c r="JE48">
        <v>18</v>
      </c>
      <c r="JF48">
        <v>509.43200000000002</v>
      </c>
      <c r="JG48">
        <v>447.029</v>
      </c>
      <c r="JH48">
        <v>24.697700000000001</v>
      </c>
      <c r="JI48">
        <v>31.153600000000001</v>
      </c>
      <c r="JJ48">
        <v>30.000399999999999</v>
      </c>
      <c r="JK48">
        <v>31.0413</v>
      </c>
      <c r="JL48">
        <v>31.010100000000001</v>
      </c>
      <c r="JM48">
        <v>8.09788</v>
      </c>
      <c r="JN48">
        <v>42.040100000000002</v>
      </c>
      <c r="JO48">
        <v>0</v>
      </c>
      <c r="JP48">
        <v>24.6965</v>
      </c>
      <c r="JQ48">
        <v>120</v>
      </c>
      <c r="JR48">
        <v>18.4572</v>
      </c>
      <c r="JS48">
        <v>98.869600000000005</v>
      </c>
      <c r="JT48">
        <v>99.758899999999997</v>
      </c>
    </row>
    <row r="49" spans="1:280" x14ac:dyDescent="0.25">
      <c r="A49">
        <v>33</v>
      </c>
      <c r="B49">
        <v>1674581673.0999999</v>
      </c>
      <c r="C49">
        <v>7620.5</v>
      </c>
      <c r="D49" t="s">
        <v>584</v>
      </c>
      <c r="E49" t="s">
        <v>585</v>
      </c>
      <c r="F49" t="s">
        <v>412</v>
      </c>
      <c r="G49" t="s">
        <v>564</v>
      </c>
      <c r="H49" t="s">
        <v>565</v>
      </c>
      <c r="I49">
        <v>1674581673.0999999</v>
      </c>
      <c r="J49">
        <f t="shared" ref="J49:J80" si="46">(K49)/1000</f>
        <v>5.7843069163811449E-3</v>
      </c>
      <c r="K49">
        <f t="shared" ref="K49:K80" si="47">1000*DK49*AI49*(DG49-DH49)/(100*CZ49*(1000-AI49*DG49))</f>
        <v>5.7843069163811451</v>
      </c>
      <c r="L49">
        <f t="shared" ref="L49:L80" si="48">DK49*AI49*(DF49-DE49*(1000-AI49*DH49)/(1000-AI49*DG49))/(100*CZ49)</f>
        <v>10.694907414524289</v>
      </c>
      <c r="M49">
        <f t="shared" ref="M49:M80" si="49">DE49 - IF(AI49&gt;1, L49*CZ49*100/(AK49*DS49), 0)</f>
        <v>56.810400000000001</v>
      </c>
      <c r="N49">
        <f t="shared" ref="N49:N80" si="50">((T49-J49/2)*M49-L49)/(T49+J49/2)</f>
        <v>18.57961670747888</v>
      </c>
      <c r="O49">
        <f t="shared" ref="O49:O80" si="51">N49*(DL49+DM49)/1000</f>
        <v>1.8552104178275</v>
      </c>
      <c r="P49">
        <f t="shared" ref="P49:P80" si="52">(DE49 - IF(AI49&gt;1, L49*CZ49*100/(AK49*DS49), 0))*(DL49+DM49)/1000</f>
        <v>5.6726275670973614</v>
      </c>
      <c r="Q49">
        <f t="shared" ref="Q49:Q80" si="53">2/((1/S49-1/R49)+SIGN(S49)*SQRT((1/S49-1/R49)*(1/S49-1/R49) + 4*DA49/((DA49+1)*(DA49+1))*(2*1/S49*1/R49-1/R49*1/R49)))</f>
        <v>0.49306166074269447</v>
      </c>
      <c r="R49">
        <f t="shared" ref="R49:R80" si="54">IF(LEFT(DB49,1)&lt;&gt;"0",IF(LEFT(DB49,1)="1",3,DC49),$D$5+$E$5*(DS49*DL49/($K$5*1000))+$F$5*(DS49*DL49/($K$5*1000))*MAX(MIN(CZ49,$J$5),$I$5)*MAX(MIN(CZ49,$J$5),$I$5)+$G$5*MAX(MIN(CZ49,$J$5),$I$5)*(DS49*DL49/($K$5*1000))+$H$5*(DS49*DL49/($K$5*1000))*(DS49*DL49/($K$5*1000)))</f>
        <v>2.9297891758745931</v>
      </c>
      <c r="S49">
        <f t="shared" ref="S49:S80" si="55">J49*(1000-(1000*0.61365*EXP(17.502*W49/(240.97+W49))/(DL49+DM49)+DG49)/2)/(1000*0.61365*EXP(17.502*W49/(240.97+W49))/(DL49+DM49)-DG49)</f>
        <v>0.45117246156539387</v>
      </c>
      <c r="T49">
        <f t="shared" ref="T49:T80" si="56">1/((DA49+1)/(Q49/1.6)+1/(R49/1.37)) + DA49/((DA49+1)/(Q49/1.6) + DA49/(R49/1.37))</f>
        <v>0.28544921061538142</v>
      </c>
      <c r="U49">
        <f t="shared" ref="U49:U80" si="57">(CV49*CY49)</f>
        <v>344.35550126340979</v>
      </c>
      <c r="V49">
        <f t="shared" ref="V49:V80" si="58">(DN49+(U49+2*0.95*0.0000000567*(((DN49+$B$7)+273)^4-(DN49+273)^4)-44100*J49)/(1.84*29.3*R49+8*0.95*0.0000000567*(DN49+273)^3))</f>
        <v>28.523525181051685</v>
      </c>
      <c r="W49">
        <f t="shared" ref="W49:W80" si="59">($C$7*DO49+$D$7*DP49+$E$7*V49)</f>
        <v>27.692799999999998</v>
      </c>
      <c r="X49">
        <f t="shared" ref="X49:X80" si="60">0.61365*EXP(17.502*W49/(240.97+W49))</f>
        <v>3.7274076134714025</v>
      </c>
      <c r="Y49">
        <f t="shared" ref="Y49:Y80" si="61">(Z49/AA49*100)</f>
        <v>65.548070560264122</v>
      </c>
      <c r="Z49">
        <f t="shared" ref="Z49:Z80" si="62">DG49*(DL49+DM49)/1000</f>
        <v>2.4870816902009301</v>
      </c>
      <c r="AA49">
        <f t="shared" ref="AA49:AA80" si="63">0.61365*EXP(17.502*DN49/(240.97+DN49))</f>
        <v>3.794286649390139</v>
      </c>
      <c r="AB49">
        <f t="shared" ref="AB49:AB80" si="64">(X49-DG49*(DL49+DM49)/1000)</f>
        <v>1.2403259232704724</v>
      </c>
      <c r="AC49">
        <f t="shared" ref="AC49:AC80" si="65">(-J49*44100)</f>
        <v>-255.08793501240848</v>
      </c>
      <c r="AD49">
        <f t="shared" ref="AD49:AD80" si="66">2*29.3*R49*0.92*(DN49-W49)</f>
        <v>48.127606946959219</v>
      </c>
      <c r="AE49">
        <f t="shared" ref="AE49:AE80" si="67">2*0.95*0.0000000567*(((DN49+$B$7)+273)^4-(W49+273)^4)</f>
        <v>3.5751828660291429</v>
      </c>
      <c r="AF49">
        <f t="shared" ref="AF49:AF80" si="68">U49+AE49+AC49+AD49</f>
        <v>140.97035606398967</v>
      </c>
      <c r="AG49">
        <v>0</v>
      </c>
      <c r="AH49">
        <v>0</v>
      </c>
      <c r="AI49">
        <f t="shared" ref="AI49:AI80" si="69">IF(AG49*$H$13&gt;=AK49,1,(AK49/(AK49-AG49*$H$13)))</f>
        <v>1</v>
      </c>
      <c r="AJ49">
        <f t="shared" ref="AJ49:AJ80" si="70">(AI49-1)*100</f>
        <v>0</v>
      </c>
      <c r="AK49">
        <f t="shared" ref="AK49:AK80" si="71">MAX(0,($B$13+$C$13*DS49)/(1+$D$13*DS49)*DL49/(DN49+273)*$E$13)</f>
        <v>52703.451632664059</v>
      </c>
      <c r="AL49" t="s">
        <v>415</v>
      </c>
      <c r="AM49">
        <v>10214.9</v>
      </c>
      <c r="AN49">
        <v>729.4384</v>
      </c>
      <c r="AO49">
        <v>3170.19</v>
      </c>
      <c r="AP49">
        <f t="shared" ref="AP49:AP80" si="72">1-AN49/AO49</f>
        <v>0.76990704027203416</v>
      </c>
      <c r="AQ49">
        <v>-0.45549566560547827</v>
      </c>
      <c r="AR49" t="s">
        <v>586</v>
      </c>
      <c r="AS49">
        <v>10078</v>
      </c>
      <c r="AT49">
        <v>944.87553846153844</v>
      </c>
      <c r="AU49">
        <v>1063.192851105001</v>
      </c>
      <c r="AV49">
        <f t="shared" ref="AV49:AV80" si="73">1-AT49/AU49</f>
        <v>0.11128490237729927</v>
      </c>
      <c r="AW49">
        <v>0.5</v>
      </c>
      <c r="AX49">
        <f t="shared" ref="AX49:AX80" si="74">CW49</f>
        <v>1513.1256006317049</v>
      </c>
      <c r="AY49">
        <f t="shared" ref="AY49:AY80" si="75">L49</f>
        <v>10.694907414524289</v>
      </c>
      <c r="AZ49">
        <f t="shared" ref="AZ49:AZ80" si="76">AV49*AW49*AX49</f>
        <v>84.194017375445796</v>
      </c>
      <c r="BA49">
        <f t="shared" ref="BA49:BA80" si="77">(AY49-AQ49)/AX49</f>
        <v>7.3691193087174374E-3</v>
      </c>
      <c r="BB49">
        <f t="shared" ref="BB49:BB80" si="78">(AO49-AU49)/AU49</f>
        <v>1.9817638415318051</v>
      </c>
      <c r="BC49">
        <f t="shared" ref="BC49:BC80" si="79">AN49/(AP49+AN49/AU49)</f>
        <v>500.99138469458404</v>
      </c>
      <c r="BD49" t="s">
        <v>587</v>
      </c>
      <c r="BE49">
        <v>608.15</v>
      </c>
      <c r="BF49">
        <f t="shared" ref="BF49:BF80" si="80">IF(BE49&lt;&gt;0, BE49, BC49)</f>
        <v>608.15</v>
      </c>
      <c r="BG49">
        <f t="shared" ref="BG49:BG80" si="81">1-BF49/AU49</f>
        <v>0.42799653010464134</v>
      </c>
      <c r="BH49">
        <f t="shared" ref="BH49:BH80" si="82">(AU49-AT49)/(AU49-BF49)</f>
        <v>0.26001356214287791</v>
      </c>
      <c r="BI49">
        <f t="shared" ref="BI49:BI80" si="83">(AO49-AU49)/(AO49-BF49)</f>
        <v>0.82239041892203057</v>
      </c>
      <c r="BJ49">
        <f t="shared" ref="BJ49:BJ80" si="84">(AU49-AT49)/(AU49-AN49)</f>
        <v>0.35450407403327561</v>
      </c>
      <c r="BK49">
        <f t="shared" ref="BK49:BK80" si="85">(AO49-AU49)/(AO49-AN49)</f>
        <v>0.86325751006165441</v>
      </c>
      <c r="BL49">
        <f t="shared" ref="BL49:BL80" si="86">(BH49*BF49/AT49)</f>
        <v>0.16735246218211611</v>
      </c>
      <c r="BM49">
        <f t="shared" ref="BM49:BM80" si="87">(1-BL49)</f>
        <v>0.83264753781788392</v>
      </c>
      <c r="BN49">
        <v>9122</v>
      </c>
      <c r="BO49">
        <v>290.00000000000011</v>
      </c>
      <c r="BP49">
        <v>1031.5899999999999</v>
      </c>
      <c r="BQ49">
        <v>265</v>
      </c>
      <c r="BR49">
        <v>10078</v>
      </c>
      <c r="BS49">
        <v>1030.3399999999999</v>
      </c>
      <c r="BT49">
        <v>1.25</v>
      </c>
      <c r="BU49">
        <v>300.00000000000011</v>
      </c>
      <c r="BV49">
        <v>24.2</v>
      </c>
      <c r="BW49">
        <v>1063.192851105001</v>
      </c>
      <c r="BX49">
        <v>1.9437961861295361</v>
      </c>
      <c r="BY49">
        <v>-33.110990449779507</v>
      </c>
      <c r="BZ49">
        <v>1.7443977218487781</v>
      </c>
      <c r="CA49">
        <v>0.92788912062471574</v>
      </c>
      <c r="CB49">
        <v>-6.8869724137931056E-3</v>
      </c>
      <c r="CC49">
        <v>289.99999999999989</v>
      </c>
      <c r="CD49">
        <v>1027.8800000000001</v>
      </c>
      <c r="CE49">
        <v>655</v>
      </c>
      <c r="CF49">
        <v>10060.1</v>
      </c>
      <c r="CG49">
        <v>1030.28</v>
      </c>
      <c r="CH49">
        <v>-2.4</v>
      </c>
      <c r="CV49">
        <f t="shared" ref="CV49:CV80" si="88">$B$11*DT49+$C$11*DU49+$F$11*EF49*(1-EI49)</f>
        <v>1799.93</v>
      </c>
      <c r="CW49">
        <f t="shared" ref="CW49:CW80" si="89">CV49*CX49</f>
        <v>1513.1256006317049</v>
      </c>
      <c r="CX49">
        <f t="shared" ref="CX49:CX80" si="90">($B$11*$D$9+$C$11*$D$9+$F$11*((ES49+EK49)/MAX(ES49+EK49+ET49, 0.1)*$I$9+ET49/MAX(ES49+EK49+ET49, 0.1)*$J$9))/($B$11+$C$11+$F$11)</f>
        <v>0.84065802594084482</v>
      </c>
      <c r="CY49">
        <f t="shared" ref="CY49:CY80" si="91">($B$11*$K$9+$C$11*$K$9+$F$11*((ES49+EK49)/MAX(ES49+EK49+ET49, 0.1)*$P$9+ET49/MAX(ES49+EK49+ET49, 0.1)*$Q$9))/($B$11+$C$11+$F$11)</f>
        <v>0.19131605188168971</v>
      </c>
      <c r="CZ49">
        <v>6</v>
      </c>
      <c r="DA49">
        <v>0.5</v>
      </c>
      <c r="DB49" t="s">
        <v>418</v>
      </c>
      <c r="DC49">
        <v>2</v>
      </c>
      <c r="DD49">
        <v>1674581673.0999999</v>
      </c>
      <c r="DE49">
        <v>56.810400000000001</v>
      </c>
      <c r="DF49">
        <v>70.036900000000003</v>
      </c>
      <c r="DG49">
        <v>24.907699999999998</v>
      </c>
      <c r="DH49">
        <v>18.1403</v>
      </c>
      <c r="DI49">
        <v>55.447200000000002</v>
      </c>
      <c r="DJ49">
        <v>24.782299999999999</v>
      </c>
      <c r="DK49">
        <v>500.065</v>
      </c>
      <c r="DL49">
        <v>99.752300000000005</v>
      </c>
      <c r="DM49">
        <v>9.9620899999999998E-2</v>
      </c>
      <c r="DN49">
        <v>27.997499999999999</v>
      </c>
      <c r="DO49">
        <v>27.692799999999998</v>
      </c>
      <c r="DP49">
        <v>999.9</v>
      </c>
      <c r="DQ49">
        <v>0</v>
      </c>
      <c r="DR49">
        <v>0</v>
      </c>
      <c r="DS49">
        <v>10026.200000000001</v>
      </c>
      <c r="DT49">
        <v>0</v>
      </c>
      <c r="DU49">
        <v>366.03300000000002</v>
      </c>
      <c r="DV49">
        <v>-13.226599999999999</v>
      </c>
      <c r="DW49">
        <v>58.261499999999998</v>
      </c>
      <c r="DX49">
        <v>71.3309</v>
      </c>
      <c r="DY49">
        <v>6.7674000000000003</v>
      </c>
      <c r="DZ49">
        <v>70.036900000000003</v>
      </c>
      <c r="EA49">
        <v>18.1403</v>
      </c>
      <c r="EB49">
        <v>2.4845999999999999</v>
      </c>
      <c r="EC49">
        <v>1.8095399999999999</v>
      </c>
      <c r="ED49">
        <v>20.925999999999998</v>
      </c>
      <c r="EE49">
        <v>15.869400000000001</v>
      </c>
      <c r="EF49">
        <v>1799.93</v>
      </c>
      <c r="EG49">
        <v>0.97800500000000001</v>
      </c>
      <c r="EH49">
        <v>2.19951E-2</v>
      </c>
      <c r="EI49">
        <v>0</v>
      </c>
      <c r="EJ49">
        <v>944.39800000000002</v>
      </c>
      <c r="EK49">
        <v>4.9990399999999999</v>
      </c>
      <c r="EL49">
        <v>17876.5</v>
      </c>
      <c r="EM49">
        <v>14820.1</v>
      </c>
      <c r="EN49">
        <v>48.125</v>
      </c>
      <c r="EO49">
        <v>49.625</v>
      </c>
      <c r="EP49">
        <v>49.061999999999998</v>
      </c>
      <c r="EQ49">
        <v>48.061999999999998</v>
      </c>
      <c r="ER49">
        <v>49</v>
      </c>
      <c r="ES49">
        <v>1755.45</v>
      </c>
      <c r="ET49">
        <v>39.479999999999997</v>
      </c>
      <c r="EU49">
        <v>0</v>
      </c>
      <c r="EV49">
        <v>145.80000019073489</v>
      </c>
      <c r="EW49">
        <v>0</v>
      </c>
      <c r="EX49">
        <v>944.87553846153844</v>
      </c>
      <c r="EY49">
        <v>-3.333059836292755</v>
      </c>
      <c r="EZ49">
        <v>-44.888888808868238</v>
      </c>
      <c r="FA49">
        <v>17879.284615384611</v>
      </c>
      <c r="FB49">
        <v>15</v>
      </c>
      <c r="FC49">
        <v>1674581638.0999999</v>
      </c>
      <c r="FD49" t="s">
        <v>588</v>
      </c>
      <c r="FE49">
        <v>1674581631.0999999</v>
      </c>
      <c r="FF49">
        <v>1674581638.0999999</v>
      </c>
      <c r="FG49">
        <v>40</v>
      </c>
      <c r="FH49">
        <v>-6.7000000000000004E-2</v>
      </c>
      <c r="FI49">
        <v>-6.0000000000000001E-3</v>
      </c>
      <c r="FJ49">
        <v>1.385</v>
      </c>
      <c r="FK49">
        <v>8.2000000000000003E-2</v>
      </c>
      <c r="FL49">
        <v>70</v>
      </c>
      <c r="FM49">
        <v>18</v>
      </c>
      <c r="FN49">
        <v>0.1</v>
      </c>
      <c r="FO49">
        <v>0.01</v>
      </c>
      <c r="FP49">
        <v>10.67279960498815</v>
      </c>
      <c r="FQ49">
        <v>-0.21189191015139039</v>
      </c>
      <c r="FR49">
        <v>3.6455044105242307E-2</v>
      </c>
      <c r="FS49">
        <v>1</v>
      </c>
      <c r="FT49">
        <v>0.49078180939032839</v>
      </c>
      <c r="FU49">
        <v>3.7219933441774523E-2</v>
      </c>
      <c r="FV49">
        <v>5.9141119477947512E-3</v>
      </c>
      <c r="FW49">
        <v>1</v>
      </c>
      <c r="FX49">
        <v>2</v>
      </c>
      <c r="FY49">
        <v>2</v>
      </c>
      <c r="FZ49" t="s">
        <v>420</v>
      </c>
      <c r="GA49">
        <v>2.9336799999999998</v>
      </c>
      <c r="GB49">
        <v>2.8332999999999999</v>
      </c>
      <c r="GC49">
        <v>1.53881E-2</v>
      </c>
      <c r="GD49">
        <v>1.8866500000000001E-2</v>
      </c>
      <c r="GE49">
        <v>0.12263499999999999</v>
      </c>
      <c r="GF49">
        <v>9.4923900000000005E-2</v>
      </c>
      <c r="GG49">
        <v>25446</v>
      </c>
      <c r="GH49">
        <v>32060</v>
      </c>
      <c r="GI49">
        <v>23252.7</v>
      </c>
      <c r="GJ49">
        <v>29937.7</v>
      </c>
      <c r="GK49">
        <v>27745.7</v>
      </c>
      <c r="GL49">
        <v>38524.6</v>
      </c>
      <c r="GM49">
        <v>32811.4</v>
      </c>
      <c r="GN49">
        <v>44409.7</v>
      </c>
      <c r="GO49">
        <v>1.9714799999999999</v>
      </c>
      <c r="GP49">
        <v>1.83833</v>
      </c>
      <c r="GQ49">
        <v>5.7309899999999997E-2</v>
      </c>
      <c r="GR49">
        <v>0</v>
      </c>
      <c r="GS49">
        <v>26.756</v>
      </c>
      <c r="GT49">
        <v>999.9</v>
      </c>
      <c r="GU49">
        <v>47.5</v>
      </c>
      <c r="GV49">
        <v>36.1</v>
      </c>
      <c r="GW49">
        <v>28.579699999999999</v>
      </c>
      <c r="GX49">
        <v>61.106099999999998</v>
      </c>
      <c r="GY49">
        <v>37.279600000000002</v>
      </c>
      <c r="GZ49">
        <v>1</v>
      </c>
      <c r="HA49">
        <v>0.317388</v>
      </c>
      <c r="HB49">
        <v>2.1413199999999999</v>
      </c>
      <c r="HC49">
        <v>20.2592</v>
      </c>
      <c r="HD49">
        <v>5.2085999999999997</v>
      </c>
      <c r="HE49">
        <v>11.872199999999999</v>
      </c>
      <c r="HF49">
        <v>4.9836</v>
      </c>
      <c r="HG49">
        <v>3.2837499999999999</v>
      </c>
      <c r="HH49">
        <v>9999</v>
      </c>
      <c r="HI49">
        <v>9999</v>
      </c>
      <c r="HJ49">
        <v>9999</v>
      </c>
      <c r="HK49">
        <v>999.9</v>
      </c>
      <c r="HL49">
        <v>1.8547</v>
      </c>
      <c r="HM49">
        <v>1.86073</v>
      </c>
      <c r="HN49">
        <v>1.85808</v>
      </c>
      <c r="HO49">
        <v>1.85928</v>
      </c>
      <c r="HP49">
        <v>1.85867</v>
      </c>
      <c r="HQ49">
        <v>1.8591500000000001</v>
      </c>
      <c r="HR49">
        <v>1.8575699999999999</v>
      </c>
      <c r="HS49">
        <v>1.86086</v>
      </c>
      <c r="HT49">
        <v>5</v>
      </c>
      <c r="HU49">
        <v>0</v>
      </c>
      <c r="HV49">
        <v>0</v>
      </c>
      <c r="HW49">
        <v>0</v>
      </c>
      <c r="HX49" t="s">
        <v>421</v>
      </c>
      <c r="HY49" t="s">
        <v>422</v>
      </c>
      <c r="HZ49" t="s">
        <v>423</v>
      </c>
      <c r="IA49" t="s">
        <v>423</v>
      </c>
      <c r="IB49" t="s">
        <v>423</v>
      </c>
      <c r="IC49" t="s">
        <v>423</v>
      </c>
      <c r="ID49">
        <v>0</v>
      </c>
      <c r="IE49">
        <v>100</v>
      </c>
      <c r="IF49">
        <v>100</v>
      </c>
      <c r="IG49">
        <v>1.363</v>
      </c>
      <c r="IH49">
        <v>0.12540000000000001</v>
      </c>
      <c r="II49">
        <v>1.273050419860225</v>
      </c>
      <c r="IJ49">
        <v>1.6187016317407189E-3</v>
      </c>
      <c r="IK49">
        <v>1.4341569744255341E-7</v>
      </c>
      <c r="IL49">
        <v>-2.4096625942085749E-10</v>
      </c>
      <c r="IM49">
        <v>0.1254499185587756</v>
      </c>
      <c r="IN49">
        <v>0</v>
      </c>
      <c r="IO49">
        <v>0</v>
      </c>
      <c r="IP49">
        <v>0</v>
      </c>
      <c r="IQ49">
        <v>4</v>
      </c>
      <c r="IR49">
        <v>2205</v>
      </c>
      <c r="IS49">
        <v>1</v>
      </c>
      <c r="IT49">
        <v>21</v>
      </c>
      <c r="IU49">
        <v>0.7</v>
      </c>
      <c r="IV49">
        <v>0.6</v>
      </c>
      <c r="IW49">
        <v>0.29174800000000001</v>
      </c>
      <c r="IX49">
        <v>2.4939</v>
      </c>
      <c r="IY49">
        <v>1.49414</v>
      </c>
      <c r="IZ49">
        <v>2.3034699999999999</v>
      </c>
      <c r="JA49">
        <v>1.69434</v>
      </c>
      <c r="JB49">
        <v>2.3974600000000001</v>
      </c>
      <c r="JC49">
        <v>40.095300000000002</v>
      </c>
      <c r="JD49">
        <v>23.991199999999999</v>
      </c>
      <c r="JE49">
        <v>18</v>
      </c>
      <c r="JF49">
        <v>509.42099999999999</v>
      </c>
      <c r="JG49">
        <v>445.70499999999998</v>
      </c>
      <c r="JH49">
        <v>24.681899999999999</v>
      </c>
      <c r="JI49">
        <v>31.2913</v>
      </c>
      <c r="JJ49">
        <v>30.000299999999999</v>
      </c>
      <c r="JK49">
        <v>31.160699999999999</v>
      </c>
      <c r="JL49">
        <v>31.122</v>
      </c>
      <c r="JM49">
        <v>5.88795</v>
      </c>
      <c r="JN49">
        <v>43.400399999999998</v>
      </c>
      <c r="JO49">
        <v>0</v>
      </c>
      <c r="JP49">
        <v>24.6843</v>
      </c>
      <c r="JQ49">
        <v>70</v>
      </c>
      <c r="JR49">
        <v>18.0534</v>
      </c>
      <c r="JS49">
        <v>98.852999999999994</v>
      </c>
      <c r="JT49">
        <v>99.738900000000001</v>
      </c>
    </row>
    <row r="50" spans="1:280" x14ac:dyDescent="0.25">
      <c r="A50">
        <v>34</v>
      </c>
      <c r="B50">
        <v>1674581796.5999999</v>
      </c>
      <c r="C50">
        <v>7744</v>
      </c>
      <c r="D50" t="s">
        <v>589</v>
      </c>
      <c r="E50" t="s">
        <v>590</v>
      </c>
      <c r="F50" t="s">
        <v>412</v>
      </c>
      <c r="G50" t="s">
        <v>564</v>
      </c>
      <c r="H50" t="s">
        <v>565</v>
      </c>
      <c r="I50">
        <v>1674581796.5999999</v>
      </c>
      <c r="J50">
        <f t="shared" si="46"/>
        <v>6.0379465900471723E-3</v>
      </c>
      <c r="K50">
        <f t="shared" si="47"/>
        <v>6.0379465900471727</v>
      </c>
      <c r="L50">
        <f t="shared" si="48"/>
        <v>4.5441134201355524</v>
      </c>
      <c r="M50">
        <f t="shared" si="49"/>
        <v>24.374400000000001</v>
      </c>
      <c r="N50">
        <f t="shared" si="50"/>
        <v>8.761428860905772</v>
      </c>
      <c r="O50">
        <f t="shared" si="51"/>
        <v>0.87481804064366142</v>
      </c>
      <c r="P50">
        <f t="shared" si="52"/>
        <v>2.4337542641030399</v>
      </c>
      <c r="Q50">
        <f t="shared" si="53"/>
        <v>0.51559348495217794</v>
      </c>
      <c r="R50">
        <f t="shared" si="54"/>
        <v>2.9242627603072662</v>
      </c>
      <c r="S50">
        <f t="shared" si="55"/>
        <v>0.46989978639465491</v>
      </c>
      <c r="T50">
        <f t="shared" si="56"/>
        <v>0.29745456910160695</v>
      </c>
      <c r="U50">
        <f t="shared" si="57"/>
        <v>344.34980126343089</v>
      </c>
      <c r="V50">
        <f t="shared" si="58"/>
        <v>28.471383989556099</v>
      </c>
      <c r="W50">
        <f t="shared" si="59"/>
        <v>27.683800000000002</v>
      </c>
      <c r="X50">
        <f t="shared" si="60"/>
        <v>3.7254479326604133</v>
      </c>
      <c r="Y50">
        <f t="shared" si="61"/>
        <v>65.373295403405663</v>
      </c>
      <c r="Z50">
        <f t="shared" si="62"/>
        <v>2.4823306987839402</v>
      </c>
      <c r="AA50">
        <f t="shared" si="63"/>
        <v>3.7971631741462151</v>
      </c>
      <c r="AB50">
        <f t="shared" si="64"/>
        <v>1.2431172338764731</v>
      </c>
      <c r="AC50">
        <f t="shared" si="65"/>
        <v>-266.27344462108027</v>
      </c>
      <c r="AD50">
        <f t="shared" si="66"/>
        <v>51.505187380134828</v>
      </c>
      <c r="AE50">
        <f t="shared" si="67"/>
        <v>3.8333954116119404</v>
      </c>
      <c r="AF50">
        <f t="shared" si="68"/>
        <v>133.41493943409739</v>
      </c>
      <c r="AG50">
        <v>0</v>
      </c>
      <c r="AH50">
        <v>0</v>
      </c>
      <c r="AI50">
        <f t="shared" si="69"/>
        <v>1</v>
      </c>
      <c r="AJ50">
        <f t="shared" si="70"/>
        <v>0</v>
      </c>
      <c r="AK50">
        <f t="shared" si="71"/>
        <v>52542.068635177005</v>
      </c>
      <c r="AL50" t="s">
        <v>415</v>
      </c>
      <c r="AM50">
        <v>10214.9</v>
      </c>
      <c r="AN50">
        <v>729.4384</v>
      </c>
      <c r="AO50">
        <v>3170.19</v>
      </c>
      <c r="AP50">
        <f t="shared" si="72"/>
        <v>0.76990704027203416</v>
      </c>
      <c r="AQ50">
        <v>-0.45549566560547827</v>
      </c>
      <c r="AR50" t="s">
        <v>591</v>
      </c>
      <c r="AS50">
        <v>10105.1</v>
      </c>
      <c r="AT50">
        <v>953.70703846153856</v>
      </c>
      <c r="AU50">
        <v>1034.3277034988159</v>
      </c>
      <c r="AV50">
        <f t="shared" si="73"/>
        <v>7.7944992447327999E-2</v>
      </c>
      <c r="AW50">
        <v>0.5</v>
      </c>
      <c r="AX50">
        <f t="shared" si="74"/>
        <v>1513.1004006317155</v>
      </c>
      <c r="AY50">
        <f t="shared" si="75"/>
        <v>4.5441134201355524</v>
      </c>
      <c r="AZ50">
        <f t="shared" si="76"/>
        <v>58.969299649644014</v>
      </c>
      <c r="BA50">
        <f t="shared" si="77"/>
        <v>3.3042150300493654E-3</v>
      </c>
      <c r="BB50">
        <f t="shared" si="78"/>
        <v>2.0649763989461096</v>
      </c>
      <c r="BC50">
        <f t="shared" si="79"/>
        <v>494.48873678612841</v>
      </c>
      <c r="BD50" t="s">
        <v>592</v>
      </c>
      <c r="BE50">
        <v>614.78</v>
      </c>
      <c r="BF50">
        <f t="shared" si="80"/>
        <v>614.78</v>
      </c>
      <c r="BG50">
        <f t="shared" si="81"/>
        <v>0.40562357759500567</v>
      </c>
      <c r="BH50">
        <f t="shared" si="82"/>
        <v>0.19216090176383221</v>
      </c>
      <c r="BI50">
        <f t="shared" si="83"/>
        <v>0.83581980836780956</v>
      </c>
      <c r="BJ50">
        <f t="shared" si="84"/>
        <v>0.26442601990984732</v>
      </c>
      <c r="BK50">
        <f t="shared" si="85"/>
        <v>0.87508384568965725</v>
      </c>
      <c r="BL50">
        <f t="shared" si="86"/>
        <v>0.12387103630580265</v>
      </c>
      <c r="BM50">
        <f t="shared" si="87"/>
        <v>0.87612896369419735</v>
      </c>
      <c r="BN50">
        <v>9124</v>
      </c>
      <c r="BO50">
        <v>290.00000000000011</v>
      </c>
      <c r="BP50">
        <v>1009.18</v>
      </c>
      <c r="BQ50">
        <v>75</v>
      </c>
      <c r="BR50">
        <v>10105.1</v>
      </c>
      <c r="BS50">
        <v>1007</v>
      </c>
      <c r="BT50">
        <v>2.1800000000000002</v>
      </c>
      <c r="BU50">
        <v>300.00000000000011</v>
      </c>
      <c r="BV50">
        <v>24.2</v>
      </c>
      <c r="BW50">
        <v>1034.3277034988159</v>
      </c>
      <c r="BX50">
        <v>2.0472704212163331</v>
      </c>
      <c r="BY50">
        <v>-27.61038008924389</v>
      </c>
      <c r="BZ50">
        <v>1.837163816700115</v>
      </c>
      <c r="CA50">
        <v>0.88970517314871755</v>
      </c>
      <c r="CB50">
        <v>-6.8867528364849814E-3</v>
      </c>
      <c r="CC50">
        <v>289.99999999999989</v>
      </c>
      <c r="CD50">
        <v>1002.99</v>
      </c>
      <c r="CE50">
        <v>685</v>
      </c>
      <c r="CF50">
        <v>10057.9</v>
      </c>
      <c r="CG50">
        <v>1006.88</v>
      </c>
      <c r="CH50">
        <v>-3.89</v>
      </c>
      <c r="CV50">
        <f t="shared" si="88"/>
        <v>1799.9</v>
      </c>
      <c r="CW50">
        <f t="shared" si="89"/>
        <v>1513.1004006317155</v>
      </c>
      <c r="CX50">
        <f t="shared" si="90"/>
        <v>0.840658036908559</v>
      </c>
      <c r="CY50">
        <f t="shared" si="91"/>
        <v>0.1913160738171181</v>
      </c>
      <c r="CZ50">
        <v>6</v>
      </c>
      <c r="DA50">
        <v>0.5</v>
      </c>
      <c r="DB50" t="s">
        <v>418</v>
      </c>
      <c r="DC50">
        <v>2</v>
      </c>
      <c r="DD50">
        <v>1674581796.5999999</v>
      </c>
      <c r="DE50">
        <v>24.374400000000001</v>
      </c>
      <c r="DF50">
        <v>30.003299999999999</v>
      </c>
      <c r="DG50">
        <v>24.860900000000001</v>
      </c>
      <c r="DH50">
        <v>17.796299999999999</v>
      </c>
      <c r="DI50">
        <v>23.0899</v>
      </c>
      <c r="DJ50">
        <v>24.737200000000001</v>
      </c>
      <c r="DK50">
        <v>500.05700000000002</v>
      </c>
      <c r="DL50">
        <v>99.748800000000003</v>
      </c>
      <c r="DM50">
        <v>9.9986599999999995E-2</v>
      </c>
      <c r="DN50">
        <v>28.0105</v>
      </c>
      <c r="DO50">
        <v>27.683800000000002</v>
      </c>
      <c r="DP50">
        <v>999.9</v>
      </c>
      <c r="DQ50">
        <v>0</v>
      </c>
      <c r="DR50">
        <v>0</v>
      </c>
      <c r="DS50">
        <v>9995</v>
      </c>
      <c r="DT50">
        <v>0</v>
      </c>
      <c r="DU50">
        <v>383.86</v>
      </c>
      <c r="DV50">
        <v>-5.6289699999999998</v>
      </c>
      <c r="DW50">
        <v>24.995799999999999</v>
      </c>
      <c r="DX50">
        <v>30.547000000000001</v>
      </c>
      <c r="DY50">
        <v>7.0646199999999997</v>
      </c>
      <c r="DZ50">
        <v>30.003299999999999</v>
      </c>
      <c r="EA50">
        <v>17.796299999999999</v>
      </c>
      <c r="EB50">
        <v>2.4798399999999998</v>
      </c>
      <c r="EC50">
        <v>1.7751600000000001</v>
      </c>
      <c r="ED50">
        <v>20.8948</v>
      </c>
      <c r="EE50">
        <v>15.569699999999999</v>
      </c>
      <c r="EF50">
        <v>1799.9</v>
      </c>
      <c r="EG50">
        <v>0.97800500000000001</v>
      </c>
      <c r="EH50">
        <v>2.19951E-2</v>
      </c>
      <c r="EI50">
        <v>0</v>
      </c>
      <c r="EJ50">
        <v>953.29100000000005</v>
      </c>
      <c r="EK50">
        <v>4.9990399999999999</v>
      </c>
      <c r="EL50">
        <v>18091</v>
      </c>
      <c r="EM50">
        <v>14819.9</v>
      </c>
      <c r="EN50">
        <v>48.186999999999998</v>
      </c>
      <c r="EO50">
        <v>49.686999999999998</v>
      </c>
      <c r="EP50">
        <v>49.186999999999998</v>
      </c>
      <c r="EQ50">
        <v>48.186999999999998</v>
      </c>
      <c r="ER50">
        <v>49.125</v>
      </c>
      <c r="ES50">
        <v>1755.42</v>
      </c>
      <c r="ET50">
        <v>39.479999999999997</v>
      </c>
      <c r="EU50">
        <v>0</v>
      </c>
      <c r="EV50">
        <v>121.80000019073491</v>
      </c>
      <c r="EW50">
        <v>0</v>
      </c>
      <c r="EX50">
        <v>953.70703846153856</v>
      </c>
      <c r="EY50">
        <v>-3.7146324882505342</v>
      </c>
      <c r="EZ50">
        <v>-34.205128186716081</v>
      </c>
      <c r="FA50">
        <v>18095.65769230769</v>
      </c>
      <c r="FB50">
        <v>15</v>
      </c>
      <c r="FC50">
        <v>1674581762.0999999</v>
      </c>
      <c r="FD50" t="s">
        <v>593</v>
      </c>
      <c r="FE50">
        <v>1674581755.0999999</v>
      </c>
      <c r="FF50">
        <v>1674581762.0999999</v>
      </c>
      <c r="FG50">
        <v>41</v>
      </c>
      <c r="FH50">
        <v>-2.5999999999999999E-2</v>
      </c>
      <c r="FI50">
        <v>-2E-3</v>
      </c>
      <c r="FJ50">
        <v>1.2929999999999999</v>
      </c>
      <c r="FK50">
        <v>7.2999999999999995E-2</v>
      </c>
      <c r="FL50">
        <v>30</v>
      </c>
      <c r="FM50">
        <v>18</v>
      </c>
      <c r="FN50">
        <v>0.31</v>
      </c>
      <c r="FO50">
        <v>0.02</v>
      </c>
      <c r="FP50">
        <v>4.6192672905394696</v>
      </c>
      <c r="FQ50">
        <v>-0.3903424459463975</v>
      </c>
      <c r="FR50">
        <v>4.3520286203645488E-2</v>
      </c>
      <c r="FS50">
        <v>1</v>
      </c>
      <c r="FT50">
        <v>0.51530900240759281</v>
      </c>
      <c r="FU50">
        <v>2.4672093939469512E-2</v>
      </c>
      <c r="FV50">
        <v>4.1000757762846823E-3</v>
      </c>
      <c r="FW50">
        <v>1</v>
      </c>
      <c r="FX50">
        <v>2</v>
      </c>
      <c r="FY50">
        <v>2</v>
      </c>
      <c r="FZ50" t="s">
        <v>420</v>
      </c>
      <c r="GA50">
        <v>2.9335300000000002</v>
      </c>
      <c r="GB50">
        <v>2.8334000000000001</v>
      </c>
      <c r="GC50">
        <v>6.4757199999999999E-3</v>
      </c>
      <c r="GD50">
        <v>8.1922200000000001E-3</v>
      </c>
      <c r="GE50">
        <v>0.122448</v>
      </c>
      <c r="GF50">
        <v>9.3617800000000001E-2</v>
      </c>
      <c r="GG50">
        <v>25672.7</v>
      </c>
      <c r="GH50">
        <v>32402.799999999999</v>
      </c>
      <c r="GI50">
        <v>23249.9</v>
      </c>
      <c r="GJ50">
        <v>29933</v>
      </c>
      <c r="GK50">
        <v>27749</v>
      </c>
      <c r="GL50">
        <v>38575.599999999999</v>
      </c>
      <c r="GM50">
        <v>32808.1</v>
      </c>
      <c r="GN50">
        <v>44404.1</v>
      </c>
      <c r="GO50">
        <v>1.97088</v>
      </c>
      <c r="GP50">
        <v>1.83595</v>
      </c>
      <c r="GQ50">
        <v>5.55106E-2</v>
      </c>
      <c r="GR50">
        <v>0</v>
      </c>
      <c r="GS50">
        <v>26.776299999999999</v>
      </c>
      <c r="GT50">
        <v>999.9</v>
      </c>
      <c r="GU50">
        <v>47.6</v>
      </c>
      <c r="GV50">
        <v>36.1</v>
      </c>
      <c r="GW50">
        <v>28.639199999999999</v>
      </c>
      <c r="GX50">
        <v>61.496099999999998</v>
      </c>
      <c r="GY50">
        <v>37.019199999999998</v>
      </c>
      <c r="GZ50">
        <v>1</v>
      </c>
      <c r="HA50">
        <v>0.326374</v>
      </c>
      <c r="HB50">
        <v>2.3142200000000002</v>
      </c>
      <c r="HC50">
        <v>20.257400000000001</v>
      </c>
      <c r="HD50">
        <v>5.2099500000000001</v>
      </c>
      <c r="HE50">
        <v>11.872199999999999</v>
      </c>
      <c r="HF50">
        <v>4.9847999999999999</v>
      </c>
      <c r="HG50">
        <v>3.2839999999999998</v>
      </c>
      <c r="HH50">
        <v>9999</v>
      </c>
      <c r="HI50">
        <v>9999</v>
      </c>
      <c r="HJ50">
        <v>9999</v>
      </c>
      <c r="HK50">
        <v>999.9</v>
      </c>
      <c r="HL50">
        <v>1.8545700000000001</v>
      </c>
      <c r="HM50">
        <v>1.8606799999999999</v>
      </c>
      <c r="HN50">
        <v>1.85806</v>
      </c>
      <c r="HO50">
        <v>1.85928</v>
      </c>
      <c r="HP50">
        <v>1.85867</v>
      </c>
      <c r="HQ50">
        <v>1.8591299999999999</v>
      </c>
      <c r="HR50">
        <v>1.8574900000000001</v>
      </c>
      <c r="HS50">
        <v>1.86083</v>
      </c>
      <c r="HT50">
        <v>5</v>
      </c>
      <c r="HU50">
        <v>0</v>
      </c>
      <c r="HV50">
        <v>0</v>
      </c>
      <c r="HW50">
        <v>0</v>
      </c>
      <c r="HX50" t="s">
        <v>421</v>
      </c>
      <c r="HY50" t="s">
        <v>422</v>
      </c>
      <c r="HZ50" t="s">
        <v>423</v>
      </c>
      <c r="IA50" t="s">
        <v>423</v>
      </c>
      <c r="IB50" t="s">
        <v>423</v>
      </c>
      <c r="IC50" t="s">
        <v>423</v>
      </c>
      <c r="ID50">
        <v>0</v>
      </c>
      <c r="IE50">
        <v>100</v>
      </c>
      <c r="IF50">
        <v>100</v>
      </c>
      <c r="IG50">
        <v>1.2849999999999999</v>
      </c>
      <c r="IH50">
        <v>0.1237</v>
      </c>
      <c r="II50">
        <v>1.2470177438604539</v>
      </c>
      <c r="IJ50">
        <v>1.6187016317407189E-3</v>
      </c>
      <c r="IK50">
        <v>1.4341569744255341E-7</v>
      </c>
      <c r="IL50">
        <v>-2.4096625942085749E-10</v>
      </c>
      <c r="IM50">
        <v>0.12364757146974061</v>
      </c>
      <c r="IN50">
        <v>0</v>
      </c>
      <c r="IO50">
        <v>0</v>
      </c>
      <c r="IP50">
        <v>0</v>
      </c>
      <c r="IQ50">
        <v>4</v>
      </c>
      <c r="IR50">
        <v>2205</v>
      </c>
      <c r="IS50">
        <v>1</v>
      </c>
      <c r="IT50">
        <v>21</v>
      </c>
      <c r="IU50">
        <v>0.7</v>
      </c>
      <c r="IV50">
        <v>0.6</v>
      </c>
      <c r="IW50">
        <v>0.20263700000000001</v>
      </c>
      <c r="IX50">
        <v>2.52319</v>
      </c>
      <c r="IY50">
        <v>1.49414</v>
      </c>
      <c r="IZ50">
        <v>2.3034699999999999</v>
      </c>
      <c r="JA50">
        <v>1.69434</v>
      </c>
      <c r="JB50">
        <v>2.3327599999999999</v>
      </c>
      <c r="JC50">
        <v>40.120600000000003</v>
      </c>
      <c r="JD50">
        <v>23.982399999999998</v>
      </c>
      <c r="JE50">
        <v>18</v>
      </c>
      <c r="JF50">
        <v>509.858</v>
      </c>
      <c r="JG50">
        <v>444.85300000000001</v>
      </c>
      <c r="JH50">
        <v>24.617699999999999</v>
      </c>
      <c r="JI50">
        <v>31.395099999999999</v>
      </c>
      <c r="JJ50">
        <v>30.000499999999999</v>
      </c>
      <c r="JK50">
        <v>31.258500000000002</v>
      </c>
      <c r="JL50">
        <v>31.217700000000001</v>
      </c>
      <c r="JM50">
        <v>4.1192299999999999</v>
      </c>
      <c r="JN50">
        <v>44.192399999999999</v>
      </c>
      <c r="JO50">
        <v>0</v>
      </c>
      <c r="JP50">
        <v>24.614799999999999</v>
      </c>
      <c r="JQ50">
        <v>30</v>
      </c>
      <c r="JR50">
        <v>17.814399999999999</v>
      </c>
      <c r="JS50">
        <v>98.842299999999994</v>
      </c>
      <c r="JT50">
        <v>99.725099999999998</v>
      </c>
    </row>
    <row r="51" spans="1:280" x14ac:dyDescent="0.25">
      <c r="A51">
        <v>35</v>
      </c>
      <c r="B51">
        <v>1674581901.0999999</v>
      </c>
      <c r="C51">
        <v>7848.5</v>
      </c>
      <c r="D51" t="s">
        <v>594</v>
      </c>
      <c r="E51" t="s">
        <v>595</v>
      </c>
      <c r="F51" t="s">
        <v>412</v>
      </c>
      <c r="G51" t="s">
        <v>564</v>
      </c>
      <c r="H51" t="s">
        <v>565</v>
      </c>
      <c r="I51">
        <v>1674581901.0999999</v>
      </c>
      <c r="J51">
        <f t="shared" si="46"/>
        <v>6.0937074253473627E-3</v>
      </c>
      <c r="K51">
        <f t="shared" si="47"/>
        <v>6.0937074253473629</v>
      </c>
      <c r="L51">
        <f t="shared" si="48"/>
        <v>1.3070951568707438</v>
      </c>
      <c r="M51">
        <f t="shared" si="49"/>
        <v>8.3962299999999992</v>
      </c>
      <c r="N51">
        <f t="shared" si="50"/>
        <v>3.9217332217073073</v>
      </c>
      <c r="O51">
        <f t="shared" si="51"/>
        <v>0.39156030350129933</v>
      </c>
      <c r="P51">
        <f t="shared" si="52"/>
        <v>0.83831055842076385</v>
      </c>
      <c r="Q51">
        <f t="shared" si="53"/>
        <v>0.52130934061998291</v>
      </c>
      <c r="R51">
        <f t="shared" si="54"/>
        <v>2.9257156716953059</v>
      </c>
      <c r="S51">
        <f t="shared" si="55"/>
        <v>0.47466690703521763</v>
      </c>
      <c r="T51">
        <f t="shared" si="56"/>
        <v>0.30050891876123809</v>
      </c>
      <c r="U51">
        <f t="shared" si="57"/>
        <v>344.34600126344492</v>
      </c>
      <c r="V51">
        <f t="shared" si="58"/>
        <v>28.456039692869457</v>
      </c>
      <c r="W51">
        <f t="shared" si="59"/>
        <v>27.665400000000002</v>
      </c>
      <c r="X51">
        <f t="shared" si="60"/>
        <v>3.7214442718224365</v>
      </c>
      <c r="Y51">
        <f t="shared" si="61"/>
        <v>65.300193962112246</v>
      </c>
      <c r="Z51">
        <f t="shared" si="62"/>
        <v>2.4794681961478</v>
      </c>
      <c r="AA51">
        <f t="shared" si="63"/>
        <v>3.7970303695979974</v>
      </c>
      <c r="AB51">
        <f t="shared" si="64"/>
        <v>1.2419760756746365</v>
      </c>
      <c r="AC51">
        <f t="shared" si="65"/>
        <v>-268.73249745781868</v>
      </c>
      <c r="AD51">
        <f t="shared" si="66"/>
        <v>54.338392644244109</v>
      </c>
      <c r="AE51">
        <f t="shared" si="67"/>
        <v>4.0418722457296781</v>
      </c>
      <c r="AF51">
        <f t="shared" si="68"/>
        <v>133.99376869560001</v>
      </c>
      <c r="AG51">
        <v>0</v>
      </c>
      <c r="AH51">
        <v>0</v>
      </c>
      <c r="AI51">
        <f t="shared" si="69"/>
        <v>1</v>
      </c>
      <c r="AJ51">
        <f t="shared" si="70"/>
        <v>0</v>
      </c>
      <c r="AK51">
        <f t="shared" si="71"/>
        <v>52583.854031610535</v>
      </c>
      <c r="AL51" t="s">
        <v>415</v>
      </c>
      <c r="AM51">
        <v>10214.9</v>
      </c>
      <c r="AN51">
        <v>729.4384</v>
      </c>
      <c r="AO51">
        <v>3170.19</v>
      </c>
      <c r="AP51">
        <f t="shared" si="72"/>
        <v>0.76990704027203416</v>
      </c>
      <c r="AQ51">
        <v>-0.45549566560547827</v>
      </c>
      <c r="AR51" t="s">
        <v>596</v>
      </c>
      <c r="AS51">
        <v>10096.4</v>
      </c>
      <c r="AT51">
        <v>956.15279999999996</v>
      </c>
      <c r="AU51">
        <v>1025.117322578172</v>
      </c>
      <c r="AV51">
        <f t="shared" si="73"/>
        <v>6.7274760711999448E-2</v>
      </c>
      <c r="AW51">
        <v>0.5</v>
      </c>
      <c r="AX51">
        <f t="shared" si="74"/>
        <v>1513.0836006317227</v>
      </c>
      <c r="AY51">
        <f t="shared" si="75"/>
        <v>1.3070951568707438</v>
      </c>
      <c r="AZ51">
        <f t="shared" si="76"/>
        <v>50.896168584874843</v>
      </c>
      <c r="BA51">
        <f t="shared" si="77"/>
        <v>1.1648998255881754E-3</v>
      </c>
      <c r="BB51">
        <f t="shared" si="78"/>
        <v>2.0925143202408933</v>
      </c>
      <c r="BC51">
        <f t="shared" si="79"/>
        <v>492.37380091764658</v>
      </c>
      <c r="BD51" t="s">
        <v>597</v>
      </c>
      <c r="BE51">
        <v>620.95000000000005</v>
      </c>
      <c r="BF51">
        <f t="shared" si="80"/>
        <v>620.95000000000005</v>
      </c>
      <c r="BG51">
        <f t="shared" si="81"/>
        <v>0.39426445507884933</v>
      </c>
      <c r="BH51">
        <f t="shared" si="82"/>
        <v>0.17063359337971531</v>
      </c>
      <c r="BI51">
        <f t="shared" si="83"/>
        <v>0.84145575835222597</v>
      </c>
      <c r="BJ51">
        <f t="shared" si="84"/>
        <v>0.23324125364376994</v>
      </c>
      <c r="BK51">
        <f t="shared" si="85"/>
        <v>0.87885742958104718</v>
      </c>
      <c r="BL51">
        <f t="shared" si="86"/>
        <v>0.11081380487421491</v>
      </c>
      <c r="BM51">
        <f t="shared" si="87"/>
        <v>0.88918619512578512</v>
      </c>
      <c r="BN51">
        <v>9126</v>
      </c>
      <c r="BO51">
        <v>290.00000000000011</v>
      </c>
      <c r="BP51">
        <v>1000.25</v>
      </c>
      <c r="BQ51">
        <v>125</v>
      </c>
      <c r="BR51">
        <v>10096.4</v>
      </c>
      <c r="BS51">
        <v>997.58</v>
      </c>
      <c r="BT51">
        <v>2.67</v>
      </c>
      <c r="BU51">
        <v>300.00000000000011</v>
      </c>
      <c r="BV51">
        <v>24.2</v>
      </c>
      <c r="BW51">
        <v>1025.117322578172</v>
      </c>
      <c r="BX51">
        <v>2.0861842827652448</v>
      </c>
      <c r="BY51">
        <v>-27.805171286699739</v>
      </c>
      <c r="BZ51">
        <v>1.8720097676860541</v>
      </c>
      <c r="CA51">
        <v>0.88737603833068901</v>
      </c>
      <c r="CB51">
        <v>-6.8865679644048881E-3</v>
      </c>
      <c r="CC51">
        <v>289.99999999999989</v>
      </c>
      <c r="CD51">
        <v>993.56</v>
      </c>
      <c r="CE51">
        <v>625</v>
      </c>
      <c r="CF51">
        <v>10061</v>
      </c>
      <c r="CG51">
        <v>997.48</v>
      </c>
      <c r="CH51">
        <v>-3.92</v>
      </c>
      <c r="CV51">
        <f t="shared" si="88"/>
        <v>1799.88</v>
      </c>
      <c r="CW51">
        <f t="shared" si="89"/>
        <v>1513.0836006317227</v>
      </c>
      <c r="CX51">
        <f t="shared" si="90"/>
        <v>0.84065804422057167</v>
      </c>
      <c r="CY51">
        <f t="shared" si="91"/>
        <v>0.19131608844114326</v>
      </c>
      <c r="CZ51">
        <v>6</v>
      </c>
      <c r="DA51">
        <v>0.5</v>
      </c>
      <c r="DB51" t="s">
        <v>418</v>
      </c>
      <c r="DC51">
        <v>2</v>
      </c>
      <c r="DD51">
        <v>1674581901.0999999</v>
      </c>
      <c r="DE51">
        <v>8.3962299999999992</v>
      </c>
      <c r="DF51">
        <v>10.0259</v>
      </c>
      <c r="DG51">
        <v>24.833500000000001</v>
      </c>
      <c r="DH51">
        <v>17.703700000000001</v>
      </c>
      <c r="DI51">
        <v>7.1033799999999996</v>
      </c>
      <c r="DJ51">
        <v>24.712499999999999</v>
      </c>
      <c r="DK51">
        <v>500.07400000000001</v>
      </c>
      <c r="DL51">
        <v>99.743700000000004</v>
      </c>
      <c r="DM51">
        <v>9.9986800000000001E-2</v>
      </c>
      <c r="DN51">
        <v>28.009899999999998</v>
      </c>
      <c r="DO51">
        <v>27.665400000000002</v>
      </c>
      <c r="DP51">
        <v>999.9</v>
      </c>
      <c r="DQ51">
        <v>0</v>
      </c>
      <c r="DR51">
        <v>0</v>
      </c>
      <c r="DS51">
        <v>10003.799999999999</v>
      </c>
      <c r="DT51">
        <v>0</v>
      </c>
      <c r="DU51">
        <v>394.685</v>
      </c>
      <c r="DV51">
        <v>-1.6296600000000001</v>
      </c>
      <c r="DW51">
        <v>8.6100499999999993</v>
      </c>
      <c r="DX51">
        <v>10.2066</v>
      </c>
      <c r="DY51">
        <v>7.1297699999999997</v>
      </c>
      <c r="DZ51">
        <v>10.0259</v>
      </c>
      <c r="EA51">
        <v>17.703700000000001</v>
      </c>
      <c r="EB51">
        <v>2.4769800000000002</v>
      </c>
      <c r="EC51">
        <v>1.76583</v>
      </c>
      <c r="ED51">
        <v>20.876100000000001</v>
      </c>
      <c r="EE51">
        <v>15.4876</v>
      </c>
      <c r="EF51">
        <v>1799.88</v>
      </c>
      <c r="EG51">
        <v>0.97800500000000001</v>
      </c>
      <c r="EH51">
        <v>2.19951E-2</v>
      </c>
      <c r="EI51">
        <v>0</v>
      </c>
      <c r="EJ51">
        <v>955.61300000000006</v>
      </c>
      <c r="EK51">
        <v>4.9990399999999999</v>
      </c>
      <c r="EL51">
        <v>18151.900000000001</v>
      </c>
      <c r="EM51">
        <v>14819.7</v>
      </c>
      <c r="EN51">
        <v>48.311999999999998</v>
      </c>
      <c r="EO51">
        <v>49.811999999999998</v>
      </c>
      <c r="EP51">
        <v>49.25</v>
      </c>
      <c r="EQ51">
        <v>48.25</v>
      </c>
      <c r="ER51">
        <v>49.186999999999998</v>
      </c>
      <c r="ES51">
        <v>1755.4</v>
      </c>
      <c r="ET51">
        <v>39.479999999999997</v>
      </c>
      <c r="EU51">
        <v>0</v>
      </c>
      <c r="EV51">
        <v>102.5999999046326</v>
      </c>
      <c r="EW51">
        <v>0</v>
      </c>
      <c r="EX51">
        <v>956.15279999999996</v>
      </c>
      <c r="EY51">
        <v>-2.196615383095569</v>
      </c>
      <c r="EZ51">
        <v>-42.700000071211939</v>
      </c>
      <c r="FA51">
        <v>18157.86</v>
      </c>
      <c r="FB51">
        <v>15</v>
      </c>
      <c r="FC51">
        <v>1674581867.5999999</v>
      </c>
      <c r="FD51" t="s">
        <v>598</v>
      </c>
      <c r="FE51">
        <v>1674581855.0999999</v>
      </c>
      <c r="FF51">
        <v>1674581867.5999999</v>
      </c>
      <c r="FG51">
        <v>42</v>
      </c>
      <c r="FH51">
        <v>3.4000000000000002E-2</v>
      </c>
      <c r="FI51">
        <v>-3.0000000000000001E-3</v>
      </c>
      <c r="FJ51">
        <v>1.2949999999999999</v>
      </c>
      <c r="FK51">
        <v>6.7000000000000004E-2</v>
      </c>
      <c r="FL51">
        <v>10</v>
      </c>
      <c r="FM51">
        <v>18</v>
      </c>
      <c r="FN51">
        <v>0.5</v>
      </c>
      <c r="FO51">
        <v>0.02</v>
      </c>
      <c r="FP51">
        <v>1.351457582512549</v>
      </c>
      <c r="FQ51">
        <v>-0.467358851398055</v>
      </c>
      <c r="FR51">
        <v>5.6888326195195751E-2</v>
      </c>
      <c r="FS51">
        <v>1</v>
      </c>
      <c r="FT51">
        <v>0.51993676057905447</v>
      </c>
      <c r="FU51">
        <v>3.954866270340588E-2</v>
      </c>
      <c r="FV51">
        <v>6.4966934334262953E-3</v>
      </c>
      <c r="FW51">
        <v>1</v>
      </c>
      <c r="FX51">
        <v>2</v>
      </c>
      <c r="FY51">
        <v>2</v>
      </c>
      <c r="FZ51" t="s">
        <v>420</v>
      </c>
      <c r="GA51">
        <v>2.9334799999999999</v>
      </c>
      <c r="GB51">
        <v>2.8334800000000002</v>
      </c>
      <c r="GC51">
        <v>1.9991399999999999E-3</v>
      </c>
      <c r="GD51">
        <v>2.7491199999999999E-3</v>
      </c>
      <c r="GE51">
        <v>0.122333</v>
      </c>
      <c r="GF51">
        <v>9.3248899999999996E-2</v>
      </c>
      <c r="GG51">
        <v>25785</v>
      </c>
      <c r="GH51">
        <v>32575.9</v>
      </c>
      <c r="GI51">
        <v>23247.4</v>
      </c>
      <c r="GJ51">
        <v>29929.3</v>
      </c>
      <c r="GK51">
        <v>27749.5</v>
      </c>
      <c r="GL51">
        <v>38587.1</v>
      </c>
      <c r="GM51">
        <v>32804.1</v>
      </c>
      <c r="GN51">
        <v>44399.3</v>
      </c>
      <c r="GO51">
        <v>1.9695</v>
      </c>
      <c r="GP51">
        <v>1.8343499999999999</v>
      </c>
      <c r="GQ51">
        <v>5.3755900000000002E-2</v>
      </c>
      <c r="GR51">
        <v>0</v>
      </c>
      <c r="GS51">
        <v>26.7867</v>
      </c>
      <c r="GT51">
        <v>999.9</v>
      </c>
      <c r="GU51">
        <v>47.6</v>
      </c>
      <c r="GV51">
        <v>36.1</v>
      </c>
      <c r="GW51">
        <v>28.640999999999998</v>
      </c>
      <c r="GX51">
        <v>61.556100000000001</v>
      </c>
      <c r="GY51">
        <v>37.363799999999998</v>
      </c>
      <c r="GZ51">
        <v>1</v>
      </c>
      <c r="HA51">
        <v>0.332957</v>
      </c>
      <c r="HB51">
        <v>2.28999</v>
      </c>
      <c r="HC51">
        <v>20.260200000000001</v>
      </c>
      <c r="HD51">
        <v>5.2099500000000001</v>
      </c>
      <c r="HE51">
        <v>11.872199999999999</v>
      </c>
      <c r="HF51">
        <v>4.9842000000000004</v>
      </c>
      <c r="HG51">
        <v>3.2839999999999998</v>
      </c>
      <c r="HH51">
        <v>9999</v>
      </c>
      <c r="HI51">
        <v>9999</v>
      </c>
      <c r="HJ51">
        <v>9999</v>
      </c>
      <c r="HK51">
        <v>999.9</v>
      </c>
      <c r="HL51">
        <v>1.8545700000000001</v>
      </c>
      <c r="HM51">
        <v>1.8606799999999999</v>
      </c>
      <c r="HN51">
        <v>1.85806</v>
      </c>
      <c r="HO51">
        <v>1.85928</v>
      </c>
      <c r="HP51">
        <v>1.85866</v>
      </c>
      <c r="HQ51">
        <v>1.85914</v>
      </c>
      <c r="HR51">
        <v>1.8574600000000001</v>
      </c>
      <c r="HS51">
        <v>1.86083</v>
      </c>
      <c r="HT51">
        <v>5</v>
      </c>
      <c r="HU51">
        <v>0</v>
      </c>
      <c r="HV51">
        <v>0</v>
      </c>
      <c r="HW51">
        <v>0</v>
      </c>
      <c r="HX51" t="s">
        <v>421</v>
      </c>
      <c r="HY51" t="s">
        <v>422</v>
      </c>
      <c r="HZ51" t="s">
        <v>423</v>
      </c>
      <c r="IA51" t="s">
        <v>423</v>
      </c>
      <c r="IB51" t="s">
        <v>423</v>
      </c>
      <c r="IC51" t="s">
        <v>423</v>
      </c>
      <c r="ID51">
        <v>0</v>
      </c>
      <c r="IE51">
        <v>100</v>
      </c>
      <c r="IF51">
        <v>100</v>
      </c>
      <c r="IG51">
        <v>1.2929999999999999</v>
      </c>
      <c r="IH51">
        <v>0.121</v>
      </c>
      <c r="II51">
        <v>1.281348376528054</v>
      </c>
      <c r="IJ51">
        <v>1.6187016317407189E-3</v>
      </c>
      <c r="IK51">
        <v>1.4341569744255341E-7</v>
      </c>
      <c r="IL51">
        <v>-2.4096625942085749E-10</v>
      </c>
      <c r="IM51">
        <v>0.1210273704866812</v>
      </c>
      <c r="IN51">
        <v>0</v>
      </c>
      <c r="IO51">
        <v>0</v>
      </c>
      <c r="IP51">
        <v>0</v>
      </c>
      <c r="IQ51">
        <v>4</v>
      </c>
      <c r="IR51">
        <v>2205</v>
      </c>
      <c r="IS51">
        <v>1</v>
      </c>
      <c r="IT51">
        <v>21</v>
      </c>
      <c r="IU51">
        <v>0.8</v>
      </c>
      <c r="IV51">
        <v>0.6</v>
      </c>
      <c r="IW51">
        <v>0.157471</v>
      </c>
      <c r="IX51">
        <v>2.51953</v>
      </c>
      <c r="IY51">
        <v>1.49414</v>
      </c>
      <c r="IZ51">
        <v>2.3046899999999999</v>
      </c>
      <c r="JA51">
        <v>1.69434</v>
      </c>
      <c r="JB51">
        <v>2.4023400000000001</v>
      </c>
      <c r="JC51">
        <v>40.146000000000001</v>
      </c>
      <c r="JD51">
        <v>23.9999</v>
      </c>
      <c r="JE51">
        <v>18</v>
      </c>
      <c r="JF51">
        <v>509.654</v>
      </c>
      <c r="JG51">
        <v>444.42099999999999</v>
      </c>
      <c r="JH51">
        <v>24.622699999999998</v>
      </c>
      <c r="JI51">
        <v>31.478200000000001</v>
      </c>
      <c r="JJ51">
        <v>30.000399999999999</v>
      </c>
      <c r="JK51">
        <v>31.340399999999999</v>
      </c>
      <c r="JL51">
        <v>31.299700000000001</v>
      </c>
      <c r="JM51">
        <v>3.2316699999999998</v>
      </c>
      <c r="JN51">
        <v>44.516500000000001</v>
      </c>
      <c r="JO51">
        <v>0</v>
      </c>
      <c r="JP51">
        <v>24.6191</v>
      </c>
      <c r="JQ51">
        <v>10</v>
      </c>
      <c r="JR51">
        <v>17.7408</v>
      </c>
      <c r="JS51">
        <v>98.830699999999993</v>
      </c>
      <c r="JT51">
        <v>99.713800000000006</v>
      </c>
    </row>
    <row r="52" spans="1:280" x14ac:dyDescent="0.25">
      <c r="A52">
        <v>36</v>
      </c>
      <c r="B52">
        <v>1674582091</v>
      </c>
      <c r="C52">
        <v>8038.4000000953674</v>
      </c>
      <c r="D52" t="s">
        <v>599</v>
      </c>
      <c r="E52" t="s">
        <v>600</v>
      </c>
      <c r="F52" t="s">
        <v>412</v>
      </c>
      <c r="G52" t="s">
        <v>564</v>
      </c>
      <c r="H52" t="s">
        <v>565</v>
      </c>
      <c r="I52">
        <v>1674582091</v>
      </c>
      <c r="J52">
        <f t="shared" si="46"/>
        <v>5.4325937093057967E-3</v>
      </c>
      <c r="K52">
        <f t="shared" si="47"/>
        <v>5.432593709305797</v>
      </c>
      <c r="L52">
        <f t="shared" si="48"/>
        <v>38.651437853608975</v>
      </c>
      <c r="M52">
        <f t="shared" si="49"/>
        <v>351.31400000000002</v>
      </c>
      <c r="N52">
        <f t="shared" si="50"/>
        <v>197.79512082928468</v>
      </c>
      <c r="O52">
        <f t="shared" si="51"/>
        <v>19.746695063692172</v>
      </c>
      <c r="P52">
        <f t="shared" si="52"/>
        <v>35.073112018741199</v>
      </c>
      <c r="Q52">
        <f t="shared" si="53"/>
        <v>0.4487135780214086</v>
      </c>
      <c r="R52">
        <f t="shared" si="54"/>
        <v>2.9275105158267998</v>
      </c>
      <c r="S52">
        <f t="shared" si="55"/>
        <v>0.41370976735726922</v>
      </c>
      <c r="T52">
        <f t="shared" si="56"/>
        <v>0.26148563256991458</v>
      </c>
      <c r="U52">
        <f t="shared" si="57"/>
        <v>344.37000126400068</v>
      </c>
      <c r="V52">
        <f t="shared" si="58"/>
        <v>28.624552797374555</v>
      </c>
      <c r="W52">
        <f t="shared" si="59"/>
        <v>27.680700000000002</v>
      </c>
      <c r="X52">
        <f t="shared" si="60"/>
        <v>3.7247731396901309</v>
      </c>
      <c r="Y52">
        <f t="shared" si="61"/>
        <v>64.651925684422267</v>
      </c>
      <c r="Z52">
        <f t="shared" si="62"/>
        <v>2.4543810657586795</v>
      </c>
      <c r="AA52">
        <f t="shared" si="63"/>
        <v>3.796300017015668</v>
      </c>
      <c r="AB52">
        <f t="shared" si="64"/>
        <v>1.2703920739314514</v>
      </c>
      <c r="AC52">
        <f t="shared" si="65"/>
        <v>-239.57738258038563</v>
      </c>
      <c r="AD52">
        <f t="shared" si="66"/>
        <v>51.436127904243577</v>
      </c>
      <c r="AE52">
        <f t="shared" si="67"/>
        <v>3.8238749949807849</v>
      </c>
      <c r="AF52">
        <f t="shared" si="68"/>
        <v>160.05262158283938</v>
      </c>
      <c r="AG52">
        <v>0</v>
      </c>
      <c r="AH52">
        <v>0</v>
      </c>
      <c r="AI52">
        <f t="shared" si="69"/>
        <v>1</v>
      </c>
      <c r="AJ52">
        <f t="shared" si="70"/>
        <v>0</v>
      </c>
      <c r="AK52">
        <f t="shared" si="71"/>
        <v>52635.868097032893</v>
      </c>
      <c r="AL52" t="s">
        <v>415</v>
      </c>
      <c r="AM52">
        <v>10214.9</v>
      </c>
      <c r="AN52">
        <v>729.4384</v>
      </c>
      <c r="AO52">
        <v>3170.19</v>
      </c>
      <c r="AP52">
        <f t="shared" si="72"/>
        <v>0.76990704027203416</v>
      </c>
      <c r="AQ52">
        <v>-0.45549566560547827</v>
      </c>
      <c r="AR52" t="s">
        <v>601</v>
      </c>
      <c r="AS52">
        <v>10077.4</v>
      </c>
      <c r="AT52">
        <v>858.99184000000014</v>
      </c>
      <c r="AU52">
        <v>1119.887968803263</v>
      </c>
      <c r="AV52">
        <f t="shared" si="73"/>
        <v>0.23296627526239277</v>
      </c>
      <c r="AW52">
        <v>0.5</v>
      </c>
      <c r="AX52">
        <f t="shared" si="74"/>
        <v>1513.1850006320001</v>
      </c>
      <c r="AY52">
        <f t="shared" si="75"/>
        <v>38.651437853608975</v>
      </c>
      <c r="AZ52">
        <f t="shared" si="76"/>
        <v>176.26053669007925</v>
      </c>
      <c r="BA52">
        <f t="shared" si="77"/>
        <v>2.5844119194203593E-2</v>
      </c>
      <c r="BB52">
        <f t="shared" si="78"/>
        <v>1.8308099455588716</v>
      </c>
      <c r="BC52">
        <f t="shared" si="79"/>
        <v>513.23488106506284</v>
      </c>
      <c r="BD52" t="s">
        <v>602</v>
      </c>
      <c r="BE52">
        <v>617.72</v>
      </c>
      <c r="BF52">
        <f t="shared" si="80"/>
        <v>617.72</v>
      </c>
      <c r="BG52">
        <f t="shared" si="81"/>
        <v>0.44840911126127259</v>
      </c>
      <c r="BH52">
        <f t="shared" si="82"/>
        <v>0.51953956646222399</v>
      </c>
      <c r="BI52">
        <f t="shared" si="83"/>
        <v>0.80326195065827877</v>
      </c>
      <c r="BJ52">
        <f t="shared" si="84"/>
        <v>0.66819417832350425</v>
      </c>
      <c r="BK52">
        <f t="shared" si="85"/>
        <v>0.84002896124158521</v>
      </c>
      <c r="BL52">
        <f t="shared" si="86"/>
        <v>0.37361237447266665</v>
      </c>
      <c r="BM52">
        <f t="shared" si="87"/>
        <v>0.62638762552733329</v>
      </c>
      <c r="BN52">
        <v>9128</v>
      </c>
      <c r="BO52">
        <v>290.00000000000011</v>
      </c>
      <c r="BP52">
        <v>1057.79</v>
      </c>
      <c r="BQ52">
        <v>265</v>
      </c>
      <c r="BR52">
        <v>10077.4</v>
      </c>
      <c r="BS52">
        <v>1058.58</v>
      </c>
      <c r="BT52">
        <v>-0.79</v>
      </c>
      <c r="BU52">
        <v>300.00000000000011</v>
      </c>
      <c r="BV52">
        <v>24.2</v>
      </c>
      <c r="BW52">
        <v>1119.887968803263</v>
      </c>
      <c r="BX52">
        <v>2.367795583553892</v>
      </c>
      <c r="BY52">
        <v>-61.783600493292127</v>
      </c>
      <c r="BZ52">
        <v>2.12475177494583</v>
      </c>
      <c r="CA52">
        <v>0.96794622129340879</v>
      </c>
      <c r="CB52">
        <v>-6.8871045606229246E-3</v>
      </c>
      <c r="CC52">
        <v>289.99999999999989</v>
      </c>
      <c r="CD52">
        <v>1059.3800000000001</v>
      </c>
      <c r="CE52">
        <v>725</v>
      </c>
      <c r="CF52">
        <v>10055.6</v>
      </c>
      <c r="CG52">
        <v>1058.45</v>
      </c>
      <c r="CH52">
        <v>0.93</v>
      </c>
      <c r="CV52">
        <f t="shared" si="88"/>
        <v>1800</v>
      </c>
      <c r="CW52">
        <f t="shared" si="89"/>
        <v>1513.1850006320001</v>
      </c>
      <c r="CX52">
        <f t="shared" si="90"/>
        <v>0.84065833368444454</v>
      </c>
      <c r="CY52">
        <f t="shared" si="91"/>
        <v>0.19131666736888928</v>
      </c>
      <c r="CZ52">
        <v>6</v>
      </c>
      <c r="DA52">
        <v>0.5</v>
      </c>
      <c r="DB52" t="s">
        <v>418</v>
      </c>
      <c r="DC52">
        <v>2</v>
      </c>
      <c r="DD52">
        <v>1674582091</v>
      </c>
      <c r="DE52">
        <v>351.31400000000002</v>
      </c>
      <c r="DF52">
        <v>399.97800000000001</v>
      </c>
      <c r="DG52">
        <v>24.584599999999998</v>
      </c>
      <c r="DH52">
        <v>18.226800000000001</v>
      </c>
      <c r="DI52">
        <v>349.08199999999999</v>
      </c>
      <c r="DJ52">
        <v>24.463000000000001</v>
      </c>
      <c r="DK52">
        <v>500.08199999999999</v>
      </c>
      <c r="DL52">
        <v>99.734200000000001</v>
      </c>
      <c r="DM52">
        <v>9.9885799999999997E-2</v>
      </c>
      <c r="DN52">
        <v>28.006599999999999</v>
      </c>
      <c r="DO52">
        <v>27.680700000000002</v>
      </c>
      <c r="DP52">
        <v>999.9</v>
      </c>
      <c r="DQ52">
        <v>0</v>
      </c>
      <c r="DR52">
        <v>0</v>
      </c>
      <c r="DS52">
        <v>10015</v>
      </c>
      <c r="DT52">
        <v>0</v>
      </c>
      <c r="DU52">
        <v>399.97199999999998</v>
      </c>
      <c r="DV52">
        <v>-48.664299999999997</v>
      </c>
      <c r="DW52">
        <v>360.16899999999998</v>
      </c>
      <c r="DX52">
        <v>407.404</v>
      </c>
      <c r="DY52">
        <v>6.35778</v>
      </c>
      <c r="DZ52">
        <v>399.97800000000001</v>
      </c>
      <c r="EA52">
        <v>18.226800000000001</v>
      </c>
      <c r="EB52">
        <v>2.4519199999999999</v>
      </c>
      <c r="EC52">
        <v>1.8178300000000001</v>
      </c>
      <c r="ED52">
        <v>20.710799999999999</v>
      </c>
      <c r="EE52">
        <v>15.941000000000001</v>
      </c>
      <c r="EF52">
        <v>1800</v>
      </c>
      <c r="EG52">
        <v>0.97799199999999997</v>
      </c>
      <c r="EH52">
        <v>2.2007499999999999E-2</v>
      </c>
      <c r="EI52">
        <v>0</v>
      </c>
      <c r="EJ52">
        <v>857.02599999999995</v>
      </c>
      <c r="EK52">
        <v>4.9990399999999999</v>
      </c>
      <c r="EL52">
        <v>16352.9</v>
      </c>
      <c r="EM52">
        <v>14820.7</v>
      </c>
      <c r="EN52">
        <v>48.436999999999998</v>
      </c>
      <c r="EO52">
        <v>50</v>
      </c>
      <c r="EP52">
        <v>49.436999999999998</v>
      </c>
      <c r="EQ52">
        <v>48.436999999999998</v>
      </c>
      <c r="ER52">
        <v>49.311999999999998</v>
      </c>
      <c r="ES52">
        <v>1755.5</v>
      </c>
      <c r="ET52">
        <v>39.5</v>
      </c>
      <c r="EU52">
        <v>0</v>
      </c>
      <c r="EV52">
        <v>188</v>
      </c>
      <c r="EW52">
        <v>0</v>
      </c>
      <c r="EX52">
        <v>858.99184000000014</v>
      </c>
      <c r="EY52">
        <v>-14.69815383823828</v>
      </c>
      <c r="EZ52">
        <v>-277.07692265007518</v>
      </c>
      <c r="FA52">
        <v>16385.387999999999</v>
      </c>
      <c r="FB52">
        <v>15</v>
      </c>
      <c r="FC52">
        <v>1674581972.5999999</v>
      </c>
      <c r="FD52" t="s">
        <v>603</v>
      </c>
      <c r="FE52">
        <v>1674581969.5999999</v>
      </c>
      <c r="FF52">
        <v>1674581972.5999999</v>
      </c>
      <c r="FG52">
        <v>43</v>
      </c>
      <c r="FH52">
        <v>0.378</v>
      </c>
      <c r="FI52">
        <v>0</v>
      </c>
      <c r="FJ52">
        <v>2.3130000000000002</v>
      </c>
      <c r="FK52">
        <v>6.8000000000000005E-2</v>
      </c>
      <c r="FL52">
        <v>401</v>
      </c>
      <c r="FM52">
        <v>18</v>
      </c>
      <c r="FN52">
        <v>0.06</v>
      </c>
      <c r="FO52">
        <v>0.01</v>
      </c>
      <c r="FP52">
        <v>37.779268574710308</v>
      </c>
      <c r="FQ52">
        <v>4.9884398833683674</v>
      </c>
      <c r="FR52">
        <v>0.49221180394068359</v>
      </c>
      <c r="FS52">
        <v>0</v>
      </c>
      <c r="FT52">
        <v>0.45564691417705527</v>
      </c>
      <c r="FU52">
        <v>-4.3009034347529958E-2</v>
      </c>
      <c r="FV52">
        <v>4.4895880569899467E-3</v>
      </c>
      <c r="FW52">
        <v>1</v>
      </c>
      <c r="FX52">
        <v>1</v>
      </c>
      <c r="FY52">
        <v>2</v>
      </c>
      <c r="FZ52" t="s">
        <v>459</v>
      </c>
      <c r="GA52">
        <v>2.9333399999999998</v>
      </c>
      <c r="GB52">
        <v>2.8334700000000002</v>
      </c>
      <c r="GC52">
        <v>8.1499500000000002E-2</v>
      </c>
      <c r="GD52">
        <v>8.8778899999999994E-2</v>
      </c>
      <c r="GE52">
        <v>0.121421</v>
      </c>
      <c r="GF52">
        <v>9.5156000000000004E-2</v>
      </c>
      <c r="GG52">
        <v>23728.400000000001</v>
      </c>
      <c r="GH52">
        <v>29761.599999999999</v>
      </c>
      <c r="GI52">
        <v>23243.3</v>
      </c>
      <c r="GJ52">
        <v>29923.599999999999</v>
      </c>
      <c r="GK52">
        <v>27776.5</v>
      </c>
      <c r="GL52">
        <v>38500.800000000003</v>
      </c>
      <c r="GM52">
        <v>32799.199999999997</v>
      </c>
      <c r="GN52">
        <v>44392.2</v>
      </c>
      <c r="GO52">
        <v>1.9680800000000001</v>
      </c>
      <c r="GP52">
        <v>1.8333999999999999</v>
      </c>
      <c r="GQ52">
        <v>5.1639999999999998E-2</v>
      </c>
      <c r="GR52">
        <v>0</v>
      </c>
      <c r="GS52">
        <v>26.836600000000001</v>
      </c>
      <c r="GT52">
        <v>999.9</v>
      </c>
      <c r="GU52">
        <v>47.6</v>
      </c>
      <c r="GV52">
        <v>36.200000000000003</v>
      </c>
      <c r="GW52">
        <v>28.8032</v>
      </c>
      <c r="GX52">
        <v>61.066099999999999</v>
      </c>
      <c r="GY52">
        <v>37.339700000000001</v>
      </c>
      <c r="GZ52">
        <v>1</v>
      </c>
      <c r="HA52">
        <v>0.34456799999999999</v>
      </c>
      <c r="HB52">
        <v>2.35555</v>
      </c>
      <c r="HC52">
        <v>20.256799999999998</v>
      </c>
      <c r="HD52">
        <v>5.2112999999999996</v>
      </c>
      <c r="HE52">
        <v>11.872199999999999</v>
      </c>
      <c r="HF52">
        <v>4.9836</v>
      </c>
      <c r="HG52">
        <v>3.2839999999999998</v>
      </c>
      <c r="HH52">
        <v>9999</v>
      </c>
      <c r="HI52">
        <v>9999</v>
      </c>
      <c r="HJ52">
        <v>9999</v>
      </c>
      <c r="HK52">
        <v>999.9</v>
      </c>
      <c r="HL52">
        <v>1.8545700000000001</v>
      </c>
      <c r="HM52">
        <v>1.86067</v>
      </c>
      <c r="HN52">
        <v>1.85806</v>
      </c>
      <c r="HO52">
        <v>1.85928</v>
      </c>
      <c r="HP52">
        <v>1.85866</v>
      </c>
      <c r="HQ52">
        <v>1.8591299999999999</v>
      </c>
      <c r="HR52">
        <v>1.8574600000000001</v>
      </c>
      <c r="HS52">
        <v>1.8608100000000001</v>
      </c>
      <c r="HT52">
        <v>5</v>
      </c>
      <c r="HU52">
        <v>0</v>
      </c>
      <c r="HV52">
        <v>0</v>
      </c>
      <c r="HW52">
        <v>0</v>
      </c>
      <c r="HX52" t="s">
        <v>421</v>
      </c>
      <c r="HY52" t="s">
        <v>422</v>
      </c>
      <c r="HZ52" t="s">
        <v>423</v>
      </c>
      <c r="IA52" t="s">
        <v>423</v>
      </c>
      <c r="IB52" t="s">
        <v>423</v>
      </c>
      <c r="IC52" t="s">
        <v>423</v>
      </c>
      <c r="ID52">
        <v>0</v>
      </c>
      <c r="IE52">
        <v>100</v>
      </c>
      <c r="IF52">
        <v>100</v>
      </c>
      <c r="IG52">
        <v>2.2320000000000002</v>
      </c>
      <c r="IH52">
        <v>0.1216</v>
      </c>
      <c r="II52">
        <v>1.6597548192071929</v>
      </c>
      <c r="IJ52">
        <v>1.6187016317407189E-3</v>
      </c>
      <c r="IK52">
        <v>1.4341569744255341E-7</v>
      </c>
      <c r="IL52">
        <v>-2.4096625942085749E-10</v>
      </c>
      <c r="IM52">
        <v>0.1215316618152671</v>
      </c>
      <c r="IN52">
        <v>0</v>
      </c>
      <c r="IO52">
        <v>0</v>
      </c>
      <c r="IP52">
        <v>0</v>
      </c>
      <c r="IQ52">
        <v>4</v>
      </c>
      <c r="IR52">
        <v>2205</v>
      </c>
      <c r="IS52">
        <v>1</v>
      </c>
      <c r="IT52">
        <v>21</v>
      </c>
      <c r="IU52">
        <v>2</v>
      </c>
      <c r="IV52">
        <v>2</v>
      </c>
      <c r="IW52">
        <v>0.99121099999999995</v>
      </c>
      <c r="IX52">
        <v>2.4572799999999999</v>
      </c>
      <c r="IY52">
        <v>1.49414</v>
      </c>
      <c r="IZ52">
        <v>2.3046899999999999</v>
      </c>
      <c r="JA52">
        <v>1.69434</v>
      </c>
      <c r="JB52">
        <v>2.4182100000000002</v>
      </c>
      <c r="JC52">
        <v>40.222000000000001</v>
      </c>
      <c r="JD52">
        <v>23.9999</v>
      </c>
      <c r="JE52">
        <v>18</v>
      </c>
      <c r="JF52">
        <v>509.91399999999999</v>
      </c>
      <c r="JG52">
        <v>444.96199999999999</v>
      </c>
      <c r="JH52">
        <v>24.567499999999999</v>
      </c>
      <c r="JI52">
        <v>31.622</v>
      </c>
      <c r="JJ52">
        <v>30.000399999999999</v>
      </c>
      <c r="JK52">
        <v>31.481300000000001</v>
      </c>
      <c r="JL52">
        <v>31.445399999999999</v>
      </c>
      <c r="JM52">
        <v>19.9087</v>
      </c>
      <c r="JN52">
        <v>42.7881</v>
      </c>
      <c r="JO52">
        <v>0</v>
      </c>
      <c r="JP52">
        <v>24.564499999999999</v>
      </c>
      <c r="JQ52">
        <v>400</v>
      </c>
      <c r="JR52">
        <v>18.316700000000001</v>
      </c>
      <c r="JS52">
        <v>98.815100000000001</v>
      </c>
      <c r="JT52">
        <v>99.696700000000007</v>
      </c>
    </row>
    <row r="53" spans="1:280" x14ac:dyDescent="0.25">
      <c r="A53">
        <v>37</v>
      </c>
      <c r="B53">
        <v>1674582200</v>
      </c>
      <c r="C53">
        <v>8147.4000000953674</v>
      </c>
      <c r="D53" t="s">
        <v>604</v>
      </c>
      <c r="E53" t="s">
        <v>605</v>
      </c>
      <c r="F53" t="s">
        <v>412</v>
      </c>
      <c r="G53" t="s">
        <v>564</v>
      </c>
      <c r="H53" t="s">
        <v>565</v>
      </c>
      <c r="I53">
        <v>1674582200</v>
      </c>
      <c r="J53">
        <f t="shared" si="46"/>
        <v>4.9591631077870631E-3</v>
      </c>
      <c r="K53">
        <f t="shared" si="47"/>
        <v>4.959163107787063</v>
      </c>
      <c r="L53">
        <f t="shared" si="48"/>
        <v>42.739394145209978</v>
      </c>
      <c r="M53">
        <f t="shared" si="49"/>
        <v>346.61</v>
      </c>
      <c r="N53">
        <f t="shared" si="50"/>
        <v>163.6677186856835</v>
      </c>
      <c r="O53">
        <f t="shared" si="51"/>
        <v>16.339723159372042</v>
      </c>
      <c r="P53">
        <f t="shared" si="52"/>
        <v>34.60371715174</v>
      </c>
      <c r="Q53">
        <f t="shared" si="53"/>
        <v>0.41047374933854669</v>
      </c>
      <c r="R53">
        <f t="shared" si="54"/>
        <v>2.9191853497229259</v>
      </c>
      <c r="S53">
        <f t="shared" si="55"/>
        <v>0.38089407243548795</v>
      </c>
      <c r="T53">
        <f t="shared" si="56"/>
        <v>0.24053854061336771</v>
      </c>
      <c r="U53">
        <f t="shared" si="57"/>
        <v>344.34530126409192</v>
      </c>
      <c r="V53">
        <f t="shared" si="58"/>
        <v>28.744893136738277</v>
      </c>
      <c r="W53">
        <f t="shared" si="59"/>
        <v>27.712399999999999</v>
      </c>
      <c r="X53">
        <f t="shared" si="60"/>
        <v>3.7316784755759067</v>
      </c>
      <c r="Y53">
        <f t="shared" si="61"/>
        <v>65.139754251884796</v>
      </c>
      <c r="Z53">
        <f t="shared" si="62"/>
        <v>2.4722374684621999</v>
      </c>
      <c r="AA53">
        <f t="shared" si="63"/>
        <v>3.7952821542778028</v>
      </c>
      <c r="AB53">
        <f t="shared" si="64"/>
        <v>1.2594410071137068</v>
      </c>
      <c r="AC53">
        <f t="shared" si="65"/>
        <v>-218.69909305340948</v>
      </c>
      <c r="AD53">
        <f t="shared" si="66"/>
        <v>45.576993318306407</v>
      </c>
      <c r="AE53">
        <f t="shared" si="67"/>
        <v>3.3984159804745553</v>
      </c>
      <c r="AF53">
        <f t="shared" si="68"/>
        <v>174.62161750946342</v>
      </c>
      <c r="AG53">
        <v>0</v>
      </c>
      <c r="AH53">
        <v>0</v>
      </c>
      <c r="AI53">
        <f t="shared" si="69"/>
        <v>1</v>
      </c>
      <c r="AJ53">
        <f t="shared" si="70"/>
        <v>0</v>
      </c>
      <c r="AK53">
        <f t="shared" si="71"/>
        <v>52397.30830830519</v>
      </c>
      <c r="AL53" t="s">
        <v>415</v>
      </c>
      <c r="AM53">
        <v>10214.9</v>
      </c>
      <c r="AN53">
        <v>729.4384</v>
      </c>
      <c r="AO53">
        <v>3170.19</v>
      </c>
      <c r="AP53">
        <f t="shared" si="72"/>
        <v>0.76990704027203416</v>
      </c>
      <c r="AQ53">
        <v>-0.45549566560547827</v>
      </c>
      <c r="AR53" t="s">
        <v>606</v>
      </c>
      <c r="AS53">
        <v>10082.9</v>
      </c>
      <c r="AT53">
        <v>847.41788461538442</v>
      </c>
      <c r="AU53">
        <v>1140.825887577992</v>
      </c>
      <c r="AV53">
        <f t="shared" si="73"/>
        <v>0.25718911725041738</v>
      </c>
      <c r="AW53">
        <v>0.5</v>
      </c>
      <c r="AX53">
        <f t="shared" si="74"/>
        <v>1513.0758006320461</v>
      </c>
      <c r="AY53">
        <f t="shared" si="75"/>
        <v>42.739394145209978</v>
      </c>
      <c r="AZ53">
        <f t="shared" si="76"/>
        <v>194.57331474876224</v>
      </c>
      <c r="BA53">
        <f t="shared" si="77"/>
        <v>2.8547736863395717E-2</v>
      </c>
      <c r="BB53">
        <f t="shared" si="78"/>
        <v>1.7788552438360332</v>
      </c>
      <c r="BC53">
        <f t="shared" si="79"/>
        <v>517.58839823784081</v>
      </c>
      <c r="BD53" t="s">
        <v>607</v>
      </c>
      <c r="BE53">
        <v>622.47</v>
      </c>
      <c r="BF53">
        <f t="shared" si="80"/>
        <v>622.47</v>
      </c>
      <c r="BG53">
        <f t="shared" si="81"/>
        <v>0.45436897358498529</v>
      </c>
      <c r="BH53">
        <f t="shared" si="82"/>
        <v>0.56603582595261126</v>
      </c>
      <c r="BI53">
        <f t="shared" si="83"/>
        <v>0.79654126529681746</v>
      </c>
      <c r="BJ53">
        <f t="shared" si="84"/>
        <v>0.71321567092383298</v>
      </c>
      <c r="BK53">
        <f t="shared" si="85"/>
        <v>0.83145048944022326</v>
      </c>
      <c r="BL53">
        <f t="shared" si="86"/>
        <v>0.41578107681859677</v>
      </c>
      <c r="BM53">
        <f t="shared" si="87"/>
        <v>0.58421892318140323</v>
      </c>
      <c r="BN53">
        <v>9130</v>
      </c>
      <c r="BO53">
        <v>290.00000000000011</v>
      </c>
      <c r="BP53">
        <v>1068.29</v>
      </c>
      <c r="BQ53">
        <v>215</v>
      </c>
      <c r="BR53">
        <v>10082.9</v>
      </c>
      <c r="BS53">
        <v>1066.56</v>
      </c>
      <c r="BT53">
        <v>1.73</v>
      </c>
      <c r="BU53">
        <v>300.00000000000011</v>
      </c>
      <c r="BV53">
        <v>24.2</v>
      </c>
      <c r="BW53">
        <v>1140.825887577992</v>
      </c>
      <c r="BX53">
        <v>1.8614907537981249</v>
      </c>
      <c r="BY53">
        <v>-74.879333995707569</v>
      </c>
      <c r="BZ53">
        <v>1.6703073652471849</v>
      </c>
      <c r="CA53">
        <v>0.98625901505894376</v>
      </c>
      <c r="CB53">
        <v>-6.8869537263626258E-3</v>
      </c>
      <c r="CC53">
        <v>289.99999999999989</v>
      </c>
      <c r="CD53">
        <v>1065.99</v>
      </c>
      <c r="CE53">
        <v>715</v>
      </c>
      <c r="CF53">
        <v>10055.5</v>
      </c>
      <c r="CG53">
        <v>1066.3599999999999</v>
      </c>
      <c r="CH53">
        <v>-0.37</v>
      </c>
      <c r="CV53">
        <f t="shared" si="88"/>
        <v>1799.87</v>
      </c>
      <c r="CW53">
        <f t="shared" si="89"/>
        <v>1513.0758006320461</v>
      </c>
      <c r="CX53">
        <f t="shared" si="90"/>
        <v>0.84065838123422587</v>
      </c>
      <c r="CY53">
        <f t="shared" si="91"/>
        <v>0.19131676246845158</v>
      </c>
      <c r="CZ53">
        <v>6</v>
      </c>
      <c r="DA53">
        <v>0.5</v>
      </c>
      <c r="DB53" t="s">
        <v>418</v>
      </c>
      <c r="DC53">
        <v>2</v>
      </c>
      <c r="DD53">
        <v>1674582200</v>
      </c>
      <c r="DE53">
        <v>346.61</v>
      </c>
      <c r="DF53">
        <v>399.95600000000002</v>
      </c>
      <c r="DG53">
        <v>24.763300000000001</v>
      </c>
      <c r="DH53">
        <v>18.960100000000001</v>
      </c>
      <c r="DI53">
        <v>344.51900000000001</v>
      </c>
      <c r="DJ53">
        <v>24.635999999999999</v>
      </c>
      <c r="DK53">
        <v>500.03699999999998</v>
      </c>
      <c r="DL53">
        <v>99.734499999999997</v>
      </c>
      <c r="DM53">
        <v>0.100234</v>
      </c>
      <c r="DN53">
        <v>28.001999999999999</v>
      </c>
      <c r="DO53">
        <v>27.712399999999999</v>
      </c>
      <c r="DP53">
        <v>999.9</v>
      </c>
      <c r="DQ53">
        <v>0</v>
      </c>
      <c r="DR53">
        <v>0</v>
      </c>
      <c r="DS53">
        <v>9967.5</v>
      </c>
      <c r="DT53">
        <v>0</v>
      </c>
      <c r="DU53">
        <v>370.452</v>
      </c>
      <c r="DV53">
        <v>-53.3459</v>
      </c>
      <c r="DW53">
        <v>355.41199999999998</v>
      </c>
      <c r="DX53">
        <v>407.68599999999998</v>
      </c>
      <c r="DY53">
        <v>5.8032199999999996</v>
      </c>
      <c r="DZ53">
        <v>399.95600000000002</v>
      </c>
      <c r="EA53">
        <v>18.960100000000001</v>
      </c>
      <c r="EB53">
        <v>2.4697499999999999</v>
      </c>
      <c r="EC53">
        <v>1.89097</v>
      </c>
      <c r="ED53">
        <v>20.828499999999998</v>
      </c>
      <c r="EE53">
        <v>16.559799999999999</v>
      </c>
      <c r="EF53">
        <v>1799.87</v>
      </c>
      <c r="EG53">
        <v>0.97799199999999997</v>
      </c>
      <c r="EH53">
        <v>2.2007499999999999E-2</v>
      </c>
      <c r="EI53">
        <v>0</v>
      </c>
      <c r="EJ53">
        <v>847.56299999999999</v>
      </c>
      <c r="EK53">
        <v>4.9990399999999999</v>
      </c>
      <c r="EL53">
        <v>16125.2</v>
      </c>
      <c r="EM53">
        <v>14819.6</v>
      </c>
      <c r="EN53">
        <v>48.5</v>
      </c>
      <c r="EO53">
        <v>50.125</v>
      </c>
      <c r="EP53">
        <v>49.5</v>
      </c>
      <c r="EQ53">
        <v>48.5</v>
      </c>
      <c r="ER53">
        <v>49.375</v>
      </c>
      <c r="ES53">
        <v>1755.37</v>
      </c>
      <c r="ET53">
        <v>39.5</v>
      </c>
      <c r="EU53">
        <v>0</v>
      </c>
      <c r="EV53">
        <v>107</v>
      </c>
      <c r="EW53">
        <v>0</v>
      </c>
      <c r="EX53">
        <v>847.41788461538442</v>
      </c>
      <c r="EY53">
        <v>1.8914529957987549</v>
      </c>
      <c r="EZ53">
        <v>-13.75042722499591</v>
      </c>
      <c r="FA53">
        <v>16127.530769230771</v>
      </c>
      <c r="FB53">
        <v>15</v>
      </c>
      <c r="FC53">
        <v>1674582167.5</v>
      </c>
      <c r="FD53" t="s">
        <v>608</v>
      </c>
      <c r="FE53">
        <v>1674582150.5</v>
      </c>
      <c r="FF53">
        <v>1674582167.5</v>
      </c>
      <c r="FG53">
        <v>44</v>
      </c>
      <c r="FH53">
        <v>-0.13400000000000001</v>
      </c>
      <c r="FI53">
        <v>6.0000000000000001E-3</v>
      </c>
      <c r="FJ53">
        <v>2.1779999999999999</v>
      </c>
      <c r="FK53">
        <v>8.6999999999999994E-2</v>
      </c>
      <c r="FL53">
        <v>400</v>
      </c>
      <c r="FM53">
        <v>18</v>
      </c>
      <c r="FN53">
        <v>0.03</v>
      </c>
      <c r="FO53">
        <v>0.01</v>
      </c>
      <c r="FP53">
        <v>42.652357184145259</v>
      </c>
      <c r="FQ53">
        <v>1.5700962464809429E-2</v>
      </c>
      <c r="FR53">
        <v>4.5449778322307052E-2</v>
      </c>
      <c r="FS53">
        <v>1</v>
      </c>
      <c r="FT53">
        <v>0.41244941245360472</v>
      </c>
      <c r="FU53">
        <v>2.5807774512711299E-2</v>
      </c>
      <c r="FV53">
        <v>5.6548993400607744E-3</v>
      </c>
      <c r="FW53">
        <v>1</v>
      </c>
      <c r="FX53">
        <v>2</v>
      </c>
      <c r="FY53">
        <v>2</v>
      </c>
      <c r="FZ53" t="s">
        <v>420</v>
      </c>
      <c r="GA53">
        <v>2.9331100000000001</v>
      </c>
      <c r="GB53">
        <v>2.8334100000000002</v>
      </c>
      <c r="GC53">
        <v>8.0640799999999999E-2</v>
      </c>
      <c r="GD53">
        <v>8.8762499999999994E-2</v>
      </c>
      <c r="GE53">
        <v>0.12199400000000001</v>
      </c>
      <c r="GF53">
        <v>9.78295E-2</v>
      </c>
      <c r="GG53">
        <v>23747.599999999999</v>
      </c>
      <c r="GH53">
        <v>29757</v>
      </c>
      <c r="GI53">
        <v>23240.6</v>
      </c>
      <c r="GJ53">
        <v>29918.799999999999</v>
      </c>
      <c r="GK53">
        <v>27755.1</v>
      </c>
      <c r="GL53">
        <v>38380.400000000001</v>
      </c>
      <c r="GM53">
        <v>32795.300000000003</v>
      </c>
      <c r="GN53">
        <v>44386.400000000001</v>
      </c>
      <c r="GO53">
        <v>1.9651799999999999</v>
      </c>
      <c r="GP53">
        <v>1.833</v>
      </c>
      <c r="GQ53">
        <v>5.2861900000000003E-2</v>
      </c>
      <c r="GR53">
        <v>0</v>
      </c>
      <c r="GS53">
        <v>26.848299999999998</v>
      </c>
      <c r="GT53">
        <v>999.9</v>
      </c>
      <c r="GU53">
        <v>47.7</v>
      </c>
      <c r="GV53">
        <v>36.200000000000003</v>
      </c>
      <c r="GW53">
        <v>28.861000000000001</v>
      </c>
      <c r="GX53">
        <v>61.746099999999998</v>
      </c>
      <c r="GY53">
        <v>37.1554</v>
      </c>
      <c r="GZ53">
        <v>1</v>
      </c>
      <c r="HA53">
        <v>0.35184399999999999</v>
      </c>
      <c r="HB53">
        <v>2.4975100000000001</v>
      </c>
      <c r="HC53">
        <v>20.257000000000001</v>
      </c>
      <c r="HD53">
        <v>5.2108499999999998</v>
      </c>
      <c r="HE53">
        <v>11.872199999999999</v>
      </c>
      <c r="HF53">
        <v>4.9852999999999996</v>
      </c>
      <c r="HG53">
        <v>3.2839999999999998</v>
      </c>
      <c r="HH53">
        <v>9999</v>
      </c>
      <c r="HI53">
        <v>9999</v>
      </c>
      <c r="HJ53">
        <v>9999</v>
      </c>
      <c r="HK53">
        <v>999.9</v>
      </c>
      <c r="HL53">
        <v>1.85467</v>
      </c>
      <c r="HM53">
        <v>1.86069</v>
      </c>
      <c r="HN53">
        <v>1.8580700000000001</v>
      </c>
      <c r="HO53">
        <v>1.85928</v>
      </c>
      <c r="HP53">
        <v>1.85867</v>
      </c>
      <c r="HQ53">
        <v>1.8591599999999999</v>
      </c>
      <c r="HR53">
        <v>1.85755</v>
      </c>
      <c r="HS53">
        <v>1.86086</v>
      </c>
      <c r="HT53">
        <v>5</v>
      </c>
      <c r="HU53">
        <v>0</v>
      </c>
      <c r="HV53">
        <v>0</v>
      </c>
      <c r="HW53">
        <v>0</v>
      </c>
      <c r="HX53" t="s">
        <v>421</v>
      </c>
      <c r="HY53" t="s">
        <v>422</v>
      </c>
      <c r="HZ53" t="s">
        <v>423</v>
      </c>
      <c r="IA53" t="s">
        <v>423</v>
      </c>
      <c r="IB53" t="s">
        <v>423</v>
      </c>
      <c r="IC53" t="s">
        <v>423</v>
      </c>
      <c r="ID53">
        <v>0</v>
      </c>
      <c r="IE53">
        <v>100</v>
      </c>
      <c r="IF53">
        <v>100</v>
      </c>
      <c r="IG53">
        <v>2.0910000000000002</v>
      </c>
      <c r="IH53">
        <v>0.1273</v>
      </c>
      <c r="II53">
        <v>1.526153235014077</v>
      </c>
      <c r="IJ53">
        <v>1.6187016317407189E-3</v>
      </c>
      <c r="IK53">
        <v>1.4341569744255341E-7</v>
      </c>
      <c r="IL53">
        <v>-2.4096625942085749E-10</v>
      </c>
      <c r="IM53">
        <v>0.12730011503266811</v>
      </c>
      <c r="IN53">
        <v>0</v>
      </c>
      <c r="IO53">
        <v>0</v>
      </c>
      <c r="IP53">
        <v>0</v>
      </c>
      <c r="IQ53">
        <v>4</v>
      </c>
      <c r="IR53">
        <v>2205</v>
      </c>
      <c r="IS53">
        <v>1</v>
      </c>
      <c r="IT53">
        <v>21</v>
      </c>
      <c r="IU53">
        <v>0.8</v>
      </c>
      <c r="IV53">
        <v>0.5</v>
      </c>
      <c r="IW53">
        <v>0.99121099999999995</v>
      </c>
      <c r="IX53">
        <v>2.4731399999999999</v>
      </c>
      <c r="IY53">
        <v>1.49414</v>
      </c>
      <c r="IZ53">
        <v>2.3034699999999999</v>
      </c>
      <c r="JA53">
        <v>1.69434</v>
      </c>
      <c r="JB53">
        <v>2.31812</v>
      </c>
      <c r="JC53">
        <v>40.272799999999997</v>
      </c>
      <c r="JD53">
        <v>23.982399999999998</v>
      </c>
      <c r="JE53">
        <v>18</v>
      </c>
      <c r="JF53">
        <v>508.77</v>
      </c>
      <c r="JG53">
        <v>445.38600000000002</v>
      </c>
      <c r="JH53">
        <v>24.442399999999999</v>
      </c>
      <c r="JI53">
        <v>31.706800000000001</v>
      </c>
      <c r="JJ53">
        <v>30.000299999999999</v>
      </c>
      <c r="JK53">
        <v>31.569800000000001</v>
      </c>
      <c r="JL53">
        <v>31.530799999999999</v>
      </c>
      <c r="JM53">
        <v>19.918099999999999</v>
      </c>
      <c r="JN53">
        <v>40.682699999999997</v>
      </c>
      <c r="JO53">
        <v>0</v>
      </c>
      <c r="JP53">
        <v>24.440899999999999</v>
      </c>
      <c r="JQ53">
        <v>400</v>
      </c>
      <c r="JR53">
        <v>18.900500000000001</v>
      </c>
      <c r="JS53">
        <v>98.803299999999993</v>
      </c>
      <c r="JT53">
        <v>99.682299999999998</v>
      </c>
    </row>
    <row r="54" spans="1:280" x14ac:dyDescent="0.25">
      <c r="A54">
        <v>38</v>
      </c>
      <c r="B54">
        <v>1674582309</v>
      </c>
      <c r="C54">
        <v>8256.4000000953674</v>
      </c>
      <c r="D54" t="s">
        <v>609</v>
      </c>
      <c r="E54" t="s">
        <v>610</v>
      </c>
      <c r="F54" t="s">
        <v>412</v>
      </c>
      <c r="G54" t="s">
        <v>564</v>
      </c>
      <c r="H54" t="s">
        <v>565</v>
      </c>
      <c r="I54">
        <v>1674582309</v>
      </c>
      <c r="J54">
        <f t="shared" si="46"/>
        <v>4.8490673422587572E-3</v>
      </c>
      <c r="K54">
        <f t="shared" si="47"/>
        <v>4.8490673422587571</v>
      </c>
      <c r="L54">
        <f t="shared" si="48"/>
        <v>46.097281255364187</v>
      </c>
      <c r="M54">
        <f t="shared" si="49"/>
        <v>442.233</v>
      </c>
      <c r="N54">
        <f t="shared" si="50"/>
        <v>239.95550005802878</v>
      </c>
      <c r="O54">
        <f t="shared" si="51"/>
        <v>23.955087509605594</v>
      </c>
      <c r="P54">
        <f t="shared" si="52"/>
        <v>44.148728460375004</v>
      </c>
      <c r="Q54">
        <f t="shared" si="53"/>
        <v>0.40231715244830385</v>
      </c>
      <c r="R54">
        <f t="shared" si="54"/>
        <v>2.9228592230537145</v>
      </c>
      <c r="S54">
        <f t="shared" si="55"/>
        <v>0.37389074621668933</v>
      </c>
      <c r="T54">
        <f t="shared" si="56"/>
        <v>0.23606812550832829</v>
      </c>
      <c r="U54">
        <f t="shared" si="57"/>
        <v>344.37570126397964</v>
      </c>
      <c r="V54">
        <f t="shared" si="58"/>
        <v>28.771477758231754</v>
      </c>
      <c r="W54">
        <f t="shared" si="59"/>
        <v>27.7133</v>
      </c>
      <c r="X54">
        <f t="shared" si="60"/>
        <v>3.7318746890868568</v>
      </c>
      <c r="Y54">
        <f t="shared" si="61"/>
        <v>65.281249676932603</v>
      </c>
      <c r="Z54">
        <f t="shared" si="62"/>
        <v>2.4774054188624999</v>
      </c>
      <c r="AA54">
        <f t="shared" si="63"/>
        <v>3.7949724172297841</v>
      </c>
      <c r="AB54">
        <f t="shared" si="64"/>
        <v>1.2544692702243569</v>
      </c>
      <c r="AC54">
        <f t="shared" si="65"/>
        <v>-213.84386979361119</v>
      </c>
      <c r="AD54">
        <f t="shared" si="66"/>
        <v>45.271925662278747</v>
      </c>
      <c r="AE54">
        <f t="shared" si="67"/>
        <v>3.3714173814122179</v>
      </c>
      <c r="AF54">
        <f t="shared" si="68"/>
        <v>179.17517451405945</v>
      </c>
      <c r="AG54">
        <v>0</v>
      </c>
      <c r="AH54">
        <v>0</v>
      </c>
      <c r="AI54">
        <f t="shared" si="69"/>
        <v>1</v>
      </c>
      <c r="AJ54">
        <f t="shared" si="70"/>
        <v>0</v>
      </c>
      <c r="AK54">
        <f t="shared" si="71"/>
        <v>52503.06376154894</v>
      </c>
      <c r="AL54" t="s">
        <v>415</v>
      </c>
      <c r="AM54">
        <v>10214.9</v>
      </c>
      <c r="AN54">
        <v>729.4384</v>
      </c>
      <c r="AO54">
        <v>3170.19</v>
      </c>
      <c r="AP54">
        <f t="shared" si="72"/>
        <v>0.76990704027203416</v>
      </c>
      <c r="AQ54">
        <v>-0.45549566560547827</v>
      </c>
      <c r="AR54" t="s">
        <v>611</v>
      </c>
      <c r="AS54">
        <v>10094</v>
      </c>
      <c r="AT54">
        <v>851.33256000000006</v>
      </c>
      <c r="AU54">
        <v>1177.129710716755</v>
      </c>
      <c r="AV54">
        <f t="shared" si="73"/>
        <v>0.27677251517029233</v>
      </c>
      <c r="AW54">
        <v>0.5</v>
      </c>
      <c r="AX54">
        <f t="shared" si="74"/>
        <v>1513.2102006319897</v>
      </c>
      <c r="AY54">
        <f t="shared" si="75"/>
        <v>46.097281255364187</v>
      </c>
      <c r="AZ54">
        <f t="shared" si="76"/>
        <v>209.40749660512924</v>
      </c>
      <c r="BA54">
        <f t="shared" si="77"/>
        <v>3.0764250004082033E-2</v>
      </c>
      <c r="BB54">
        <f t="shared" si="78"/>
        <v>1.6931526501609322</v>
      </c>
      <c r="BC54">
        <f t="shared" si="79"/>
        <v>524.93349449438517</v>
      </c>
      <c r="BD54" t="s">
        <v>612</v>
      </c>
      <c r="BE54">
        <v>624.13</v>
      </c>
      <c r="BF54">
        <f t="shared" si="80"/>
        <v>624.13</v>
      </c>
      <c r="BG54">
        <f t="shared" si="81"/>
        <v>0.46978655426175009</v>
      </c>
      <c r="BH54">
        <f t="shared" si="82"/>
        <v>0.58914524619638975</v>
      </c>
      <c r="BI54">
        <f t="shared" si="83"/>
        <v>0.78280177579603194</v>
      </c>
      <c r="BJ54">
        <f t="shared" si="84"/>
        <v>0.7277272149757672</v>
      </c>
      <c r="BK54">
        <f t="shared" si="85"/>
        <v>0.81657645508999976</v>
      </c>
      <c r="BL54">
        <f t="shared" si="86"/>
        <v>0.43191490586070469</v>
      </c>
      <c r="BM54">
        <f t="shared" si="87"/>
        <v>0.56808509413929531</v>
      </c>
      <c r="BN54">
        <v>9132</v>
      </c>
      <c r="BO54">
        <v>290.00000000000011</v>
      </c>
      <c r="BP54">
        <v>1093.67</v>
      </c>
      <c r="BQ54">
        <v>135</v>
      </c>
      <c r="BR54">
        <v>10094</v>
      </c>
      <c r="BS54">
        <v>1090.8900000000001</v>
      </c>
      <c r="BT54">
        <v>2.78</v>
      </c>
      <c r="BU54">
        <v>300.00000000000011</v>
      </c>
      <c r="BV54">
        <v>24.2</v>
      </c>
      <c r="BW54">
        <v>1177.129710716755</v>
      </c>
      <c r="BX54">
        <v>2.5045158847175442</v>
      </c>
      <c r="BY54">
        <v>-87.052018924178441</v>
      </c>
      <c r="BZ54">
        <v>2.2471550178757931</v>
      </c>
      <c r="CA54">
        <v>0.98168369034241998</v>
      </c>
      <c r="CB54">
        <v>-6.8866576195773096E-3</v>
      </c>
      <c r="CC54">
        <v>289.99999999999989</v>
      </c>
      <c r="CD54">
        <v>1090.52</v>
      </c>
      <c r="CE54">
        <v>675</v>
      </c>
      <c r="CF54">
        <v>10057</v>
      </c>
      <c r="CG54">
        <v>1090.57</v>
      </c>
      <c r="CH54">
        <v>-0.05</v>
      </c>
      <c r="CV54">
        <f t="shared" si="88"/>
        <v>1800.03</v>
      </c>
      <c r="CW54">
        <f t="shared" si="89"/>
        <v>1513.2102006319897</v>
      </c>
      <c r="CX54">
        <f t="shared" si="90"/>
        <v>0.84065832271239349</v>
      </c>
      <c r="CY54">
        <f t="shared" si="91"/>
        <v>0.19131664542478716</v>
      </c>
      <c r="CZ54">
        <v>6</v>
      </c>
      <c r="DA54">
        <v>0.5</v>
      </c>
      <c r="DB54" t="s">
        <v>418</v>
      </c>
      <c r="DC54">
        <v>2</v>
      </c>
      <c r="DD54">
        <v>1674582309</v>
      </c>
      <c r="DE54">
        <v>442.233</v>
      </c>
      <c r="DF54">
        <v>500.11099999999999</v>
      </c>
      <c r="DG54">
        <v>24.815899999999999</v>
      </c>
      <c r="DH54">
        <v>19.142600000000002</v>
      </c>
      <c r="DI54">
        <v>439.79399999999998</v>
      </c>
      <c r="DJ54">
        <v>24.689800000000002</v>
      </c>
      <c r="DK54">
        <v>500.10399999999998</v>
      </c>
      <c r="DL54">
        <v>99.731300000000005</v>
      </c>
      <c r="DM54">
        <v>0.100075</v>
      </c>
      <c r="DN54">
        <v>28.000599999999999</v>
      </c>
      <c r="DO54">
        <v>27.7133</v>
      </c>
      <c r="DP54">
        <v>999.9</v>
      </c>
      <c r="DQ54">
        <v>0</v>
      </c>
      <c r="DR54">
        <v>0</v>
      </c>
      <c r="DS54">
        <v>9988.75</v>
      </c>
      <c r="DT54">
        <v>0</v>
      </c>
      <c r="DU54">
        <v>381.96100000000001</v>
      </c>
      <c r="DV54">
        <v>-57.878500000000003</v>
      </c>
      <c r="DW54">
        <v>453.48599999999999</v>
      </c>
      <c r="DX54">
        <v>509.87099999999998</v>
      </c>
      <c r="DY54">
        <v>5.6732899999999997</v>
      </c>
      <c r="DZ54">
        <v>500.11099999999999</v>
      </c>
      <c r="EA54">
        <v>19.142600000000002</v>
      </c>
      <c r="EB54">
        <v>2.47492</v>
      </c>
      <c r="EC54">
        <v>1.9091100000000001</v>
      </c>
      <c r="ED54">
        <v>20.862500000000001</v>
      </c>
      <c r="EE54">
        <v>16.71</v>
      </c>
      <c r="EF54">
        <v>1800.03</v>
      </c>
      <c r="EG54">
        <v>0.97799599999999998</v>
      </c>
      <c r="EH54">
        <v>2.20038E-2</v>
      </c>
      <c r="EI54">
        <v>0</v>
      </c>
      <c r="EJ54">
        <v>852.03899999999999</v>
      </c>
      <c r="EK54">
        <v>4.9990399999999999</v>
      </c>
      <c r="EL54">
        <v>16239.2</v>
      </c>
      <c r="EM54">
        <v>14820.9</v>
      </c>
      <c r="EN54">
        <v>48.625</v>
      </c>
      <c r="EO54">
        <v>50.186999999999998</v>
      </c>
      <c r="EP54">
        <v>49.625</v>
      </c>
      <c r="EQ54">
        <v>48.561999999999998</v>
      </c>
      <c r="ER54">
        <v>49.5</v>
      </c>
      <c r="ES54">
        <v>1755.53</v>
      </c>
      <c r="ET54">
        <v>39.5</v>
      </c>
      <c r="EU54">
        <v>0</v>
      </c>
      <c r="EV54">
        <v>107</v>
      </c>
      <c r="EW54">
        <v>0</v>
      </c>
      <c r="EX54">
        <v>851.33256000000006</v>
      </c>
      <c r="EY54">
        <v>2.5140000026947922</v>
      </c>
      <c r="EZ54">
        <v>66.67692319699411</v>
      </c>
      <c r="FA54">
        <v>16230.308000000001</v>
      </c>
      <c r="FB54">
        <v>15</v>
      </c>
      <c r="FC54">
        <v>1674582277</v>
      </c>
      <c r="FD54" t="s">
        <v>613</v>
      </c>
      <c r="FE54">
        <v>1674582270.5</v>
      </c>
      <c r="FF54">
        <v>1674582277</v>
      </c>
      <c r="FG54">
        <v>45</v>
      </c>
      <c r="FH54">
        <v>0.19400000000000001</v>
      </c>
      <c r="FI54">
        <v>-1E-3</v>
      </c>
      <c r="FJ54">
        <v>2.5310000000000001</v>
      </c>
      <c r="FK54">
        <v>9.5000000000000001E-2</v>
      </c>
      <c r="FL54">
        <v>500</v>
      </c>
      <c r="FM54">
        <v>19</v>
      </c>
      <c r="FN54">
        <v>0.02</v>
      </c>
      <c r="FO54">
        <v>0.02</v>
      </c>
      <c r="FP54">
        <v>46.072163382916557</v>
      </c>
      <c r="FQ54">
        <v>-0.1754365805494485</v>
      </c>
      <c r="FR54">
        <v>9.2227859854880578E-2</v>
      </c>
      <c r="FS54">
        <v>1</v>
      </c>
      <c r="FT54">
        <v>0.40154332852874169</v>
      </c>
      <c r="FU54">
        <v>4.4218443664346567E-2</v>
      </c>
      <c r="FV54">
        <v>7.3444995339070089E-3</v>
      </c>
      <c r="FW54">
        <v>1</v>
      </c>
      <c r="FX54">
        <v>2</v>
      </c>
      <c r="FY54">
        <v>2</v>
      </c>
      <c r="FZ54" t="s">
        <v>420</v>
      </c>
      <c r="GA54">
        <v>2.9331999999999998</v>
      </c>
      <c r="GB54">
        <v>2.8334299999999999</v>
      </c>
      <c r="GC54">
        <v>9.7300499999999998E-2</v>
      </c>
      <c r="GD54">
        <v>0.104923</v>
      </c>
      <c r="GE54">
        <v>0.122154</v>
      </c>
      <c r="GF54">
        <v>9.8471699999999995E-2</v>
      </c>
      <c r="GG54">
        <v>23314.9</v>
      </c>
      <c r="GH54">
        <v>29224.5</v>
      </c>
      <c r="GI54">
        <v>23238.3</v>
      </c>
      <c r="GJ54">
        <v>29914.1</v>
      </c>
      <c r="GK54">
        <v>27748.1</v>
      </c>
      <c r="GL54">
        <v>38347.699999999997</v>
      </c>
      <c r="GM54">
        <v>32792.400000000001</v>
      </c>
      <c r="GN54">
        <v>44380.2</v>
      </c>
      <c r="GO54">
        <v>1.9648699999999999</v>
      </c>
      <c r="GP54">
        <v>1.83205</v>
      </c>
      <c r="GQ54">
        <v>5.2459499999999999E-2</v>
      </c>
      <c r="GR54">
        <v>0</v>
      </c>
      <c r="GS54">
        <v>26.855799999999999</v>
      </c>
      <c r="GT54">
        <v>999.9</v>
      </c>
      <c r="GU54">
        <v>47.7</v>
      </c>
      <c r="GV54">
        <v>36.200000000000003</v>
      </c>
      <c r="GW54">
        <v>28.863600000000002</v>
      </c>
      <c r="GX54">
        <v>61.436100000000003</v>
      </c>
      <c r="GY54">
        <v>36.9191</v>
      </c>
      <c r="GZ54">
        <v>1</v>
      </c>
      <c r="HA54">
        <v>0.35822399999999999</v>
      </c>
      <c r="HB54">
        <v>2.4902600000000001</v>
      </c>
      <c r="HC54">
        <v>20.257400000000001</v>
      </c>
      <c r="HD54">
        <v>5.2103999999999999</v>
      </c>
      <c r="HE54">
        <v>11.872199999999999</v>
      </c>
      <c r="HF54">
        <v>4.9844499999999998</v>
      </c>
      <c r="HG54">
        <v>3.2839999999999998</v>
      </c>
      <c r="HH54">
        <v>9999</v>
      </c>
      <c r="HI54">
        <v>9999</v>
      </c>
      <c r="HJ54">
        <v>9999</v>
      </c>
      <c r="HK54">
        <v>999.9</v>
      </c>
      <c r="HL54">
        <v>1.8547</v>
      </c>
      <c r="HM54">
        <v>1.8607499999999999</v>
      </c>
      <c r="HN54">
        <v>1.8581099999999999</v>
      </c>
      <c r="HO54">
        <v>1.8592900000000001</v>
      </c>
      <c r="HP54">
        <v>1.8586800000000001</v>
      </c>
      <c r="HQ54">
        <v>1.8592500000000001</v>
      </c>
      <c r="HR54">
        <v>1.8575900000000001</v>
      </c>
      <c r="HS54">
        <v>1.8609100000000001</v>
      </c>
      <c r="HT54">
        <v>5</v>
      </c>
      <c r="HU54">
        <v>0</v>
      </c>
      <c r="HV54">
        <v>0</v>
      </c>
      <c r="HW54">
        <v>0</v>
      </c>
      <c r="HX54" t="s">
        <v>421</v>
      </c>
      <c r="HY54" t="s">
        <v>422</v>
      </c>
      <c r="HZ54" t="s">
        <v>423</v>
      </c>
      <c r="IA54" t="s">
        <v>423</v>
      </c>
      <c r="IB54" t="s">
        <v>423</v>
      </c>
      <c r="IC54" t="s">
        <v>423</v>
      </c>
      <c r="ID54">
        <v>0</v>
      </c>
      <c r="IE54">
        <v>100</v>
      </c>
      <c r="IF54">
        <v>100</v>
      </c>
      <c r="IG54">
        <v>2.4390000000000001</v>
      </c>
      <c r="IH54">
        <v>0.12609999999999999</v>
      </c>
      <c r="II54">
        <v>1.7196069509588481</v>
      </c>
      <c r="IJ54">
        <v>1.6187016317407189E-3</v>
      </c>
      <c r="IK54">
        <v>1.4341569744255341E-7</v>
      </c>
      <c r="IL54">
        <v>-2.4096625942085749E-10</v>
      </c>
      <c r="IM54">
        <v>0.12609376750160611</v>
      </c>
      <c r="IN54">
        <v>0</v>
      </c>
      <c r="IO54">
        <v>0</v>
      </c>
      <c r="IP54">
        <v>0</v>
      </c>
      <c r="IQ54">
        <v>4</v>
      </c>
      <c r="IR54">
        <v>2205</v>
      </c>
      <c r="IS54">
        <v>1</v>
      </c>
      <c r="IT54">
        <v>21</v>
      </c>
      <c r="IU54">
        <v>0.6</v>
      </c>
      <c r="IV54">
        <v>0.5</v>
      </c>
      <c r="IW54">
        <v>1.18774</v>
      </c>
      <c r="IX54">
        <v>2.4597199999999999</v>
      </c>
      <c r="IY54">
        <v>1.49414</v>
      </c>
      <c r="IZ54">
        <v>2.3046899999999999</v>
      </c>
      <c r="JA54">
        <v>1.69434</v>
      </c>
      <c r="JB54">
        <v>2.4267599999999998</v>
      </c>
      <c r="JC54">
        <v>40.323700000000002</v>
      </c>
      <c r="JD54">
        <v>23.991199999999999</v>
      </c>
      <c r="JE54">
        <v>18</v>
      </c>
      <c r="JF54">
        <v>509.24599999999998</v>
      </c>
      <c r="JG54">
        <v>445.38200000000001</v>
      </c>
      <c r="JH54">
        <v>24.458600000000001</v>
      </c>
      <c r="JI54">
        <v>31.785699999999999</v>
      </c>
      <c r="JJ54">
        <v>30.000299999999999</v>
      </c>
      <c r="JK54">
        <v>31.649799999999999</v>
      </c>
      <c r="JL54">
        <v>31.610499999999998</v>
      </c>
      <c r="JM54">
        <v>23.846599999999999</v>
      </c>
      <c r="JN54">
        <v>40.052799999999998</v>
      </c>
      <c r="JO54">
        <v>0</v>
      </c>
      <c r="JP54">
        <v>24.454599999999999</v>
      </c>
      <c r="JQ54">
        <v>500</v>
      </c>
      <c r="JR54">
        <v>19.119199999999999</v>
      </c>
      <c r="JS54">
        <v>98.793999999999997</v>
      </c>
      <c r="JT54">
        <v>99.667699999999996</v>
      </c>
    </row>
    <row r="55" spans="1:280" x14ac:dyDescent="0.25">
      <c r="A55">
        <v>39</v>
      </c>
      <c r="B55">
        <v>1674582418.5</v>
      </c>
      <c r="C55">
        <v>8365.9000000953674</v>
      </c>
      <c r="D55" t="s">
        <v>614</v>
      </c>
      <c r="E55" t="s">
        <v>615</v>
      </c>
      <c r="F55" t="s">
        <v>412</v>
      </c>
      <c r="G55" t="s">
        <v>564</v>
      </c>
      <c r="H55" t="s">
        <v>565</v>
      </c>
      <c r="I55">
        <v>1674582418.5</v>
      </c>
      <c r="J55">
        <f t="shared" si="46"/>
        <v>4.5898398400605221E-3</v>
      </c>
      <c r="K55">
        <f t="shared" si="47"/>
        <v>4.589839840060522</v>
      </c>
      <c r="L55">
        <f t="shared" si="48"/>
        <v>47.491280478859863</v>
      </c>
      <c r="M55">
        <f t="shared" si="49"/>
        <v>540.07799999999997</v>
      </c>
      <c r="N55">
        <f t="shared" si="50"/>
        <v>316.04996381647078</v>
      </c>
      <c r="O55">
        <f t="shared" si="51"/>
        <v>31.551065552611441</v>
      </c>
      <c r="P55">
        <f t="shared" si="52"/>
        <v>53.915640982064389</v>
      </c>
      <c r="Q55">
        <f t="shared" si="53"/>
        <v>0.37462465517039778</v>
      </c>
      <c r="R55">
        <f t="shared" si="54"/>
        <v>2.9261125895353981</v>
      </c>
      <c r="S55">
        <f t="shared" si="55"/>
        <v>0.34987329098866532</v>
      </c>
      <c r="T55">
        <f t="shared" si="56"/>
        <v>0.22075819812392433</v>
      </c>
      <c r="U55">
        <f t="shared" si="57"/>
        <v>344.35858809699636</v>
      </c>
      <c r="V55">
        <f t="shared" si="58"/>
        <v>28.847017268754129</v>
      </c>
      <c r="W55">
        <f t="shared" si="59"/>
        <v>27.763000000000002</v>
      </c>
      <c r="X55">
        <f t="shared" si="60"/>
        <v>3.7427240199229885</v>
      </c>
      <c r="Y55">
        <f t="shared" si="61"/>
        <v>65.154196048198799</v>
      </c>
      <c r="Z55">
        <f t="shared" si="62"/>
        <v>2.4738813481397797</v>
      </c>
      <c r="AA55">
        <f t="shared" si="63"/>
        <v>3.7969639688435239</v>
      </c>
      <c r="AB55">
        <f t="shared" si="64"/>
        <v>1.2688426717832089</v>
      </c>
      <c r="AC55">
        <f t="shared" si="65"/>
        <v>-202.41193694666902</v>
      </c>
      <c r="AD55">
        <f t="shared" si="66"/>
        <v>38.901786703205758</v>
      </c>
      <c r="AE55">
        <f t="shared" si="67"/>
        <v>2.8946565208087742</v>
      </c>
      <c r="AF55">
        <f t="shared" si="68"/>
        <v>183.74309437434187</v>
      </c>
      <c r="AG55">
        <v>0</v>
      </c>
      <c r="AH55">
        <v>0</v>
      </c>
      <c r="AI55">
        <f t="shared" si="69"/>
        <v>1</v>
      </c>
      <c r="AJ55">
        <f t="shared" si="70"/>
        <v>0</v>
      </c>
      <c r="AK55">
        <f t="shared" si="71"/>
        <v>52595.015893806907</v>
      </c>
      <c r="AL55" t="s">
        <v>415</v>
      </c>
      <c r="AM55">
        <v>10214.9</v>
      </c>
      <c r="AN55">
        <v>729.4384</v>
      </c>
      <c r="AO55">
        <v>3170.19</v>
      </c>
      <c r="AP55">
        <f t="shared" si="72"/>
        <v>0.76990704027203416</v>
      </c>
      <c r="AQ55">
        <v>-0.45549566560547827</v>
      </c>
      <c r="AR55" t="s">
        <v>616</v>
      </c>
      <c r="AS55">
        <v>10091.9</v>
      </c>
      <c r="AT55">
        <v>854.63679999999988</v>
      </c>
      <c r="AU55">
        <v>1197.099254208099</v>
      </c>
      <c r="AV55">
        <f t="shared" si="73"/>
        <v>0.28607690883129289</v>
      </c>
      <c r="AW55">
        <v>0.5</v>
      </c>
      <c r="AX55">
        <f t="shared" si="74"/>
        <v>1513.1345940484982</v>
      </c>
      <c r="AY55">
        <f t="shared" si="75"/>
        <v>47.491280478859863</v>
      </c>
      <c r="AZ55">
        <f t="shared" si="76"/>
        <v>216.43643365554379</v>
      </c>
      <c r="BA55">
        <f t="shared" si="77"/>
        <v>3.1687053044091973E-2</v>
      </c>
      <c r="BB55">
        <f t="shared" si="78"/>
        <v>1.6482265266275964</v>
      </c>
      <c r="BC55">
        <f t="shared" si="79"/>
        <v>528.8677724847588</v>
      </c>
      <c r="BD55" t="s">
        <v>617</v>
      </c>
      <c r="BE55">
        <v>626.07000000000005</v>
      </c>
      <c r="BF55">
        <f t="shared" si="80"/>
        <v>626.07000000000005</v>
      </c>
      <c r="BG55">
        <f t="shared" si="81"/>
        <v>0.47701078436127187</v>
      </c>
      <c r="BH55">
        <f t="shared" si="82"/>
        <v>0.5997283881419081</v>
      </c>
      <c r="BI55">
        <f t="shared" si="83"/>
        <v>0.77554940246210913</v>
      </c>
      <c r="BJ55">
        <f t="shared" si="84"/>
        <v>0.7322880483293791</v>
      </c>
      <c r="BK55">
        <f t="shared" si="85"/>
        <v>0.80839473619187674</v>
      </c>
      <c r="BL55">
        <f t="shared" si="86"/>
        <v>0.43933510932831876</v>
      </c>
      <c r="BM55">
        <f t="shared" si="87"/>
        <v>0.56066489067168124</v>
      </c>
      <c r="BN55">
        <v>9134</v>
      </c>
      <c r="BO55">
        <v>290.00000000000011</v>
      </c>
      <c r="BP55">
        <v>1107.43</v>
      </c>
      <c r="BQ55">
        <v>145</v>
      </c>
      <c r="BR55">
        <v>10091.9</v>
      </c>
      <c r="BS55">
        <v>1104.73</v>
      </c>
      <c r="BT55">
        <v>2.7</v>
      </c>
      <c r="BU55">
        <v>300.00000000000011</v>
      </c>
      <c r="BV55">
        <v>24.2</v>
      </c>
      <c r="BW55">
        <v>1197.099254208099</v>
      </c>
      <c r="BX55">
        <v>2.517740178430707</v>
      </c>
      <c r="BY55">
        <v>-93.21463047019158</v>
      </c>
      <c r="BZ55">
        <v>2.2588860391481229</v>
      </c>
      <c r="CA55">
        <v>0.9838230917868237</v>
      </c>
      <c r="CB55">
        <v>-6.8862934371524027E-3</v>
      </c>
      <c r="CC55">
        <v>289.99999999999989</v>
      </c>
      <c r="CD55">
        <v>1103.08</v>
      </c>
      <c r="CE55">
        <v>685</v>
      </c>
      <c r="CF55">
        <v>10055.799999999999</v>
      </c>
      <c r="CG55">
        <v>1104.4000000000001</v>
      </c>
      <c r="CH55">
        <v>-1.32</v>
      </c>
      <c r="CV55">
        <f t="shared" si="88"/>
        <v>1799.94</v>
      </c>
      <c r="CW55">
        <f t="shared" si="89"/>
        <v>1513.1345940484982</v>
      </c>
      <c r="CX55">
        <f t="shared" si="90"/>
        <v>0.84065835197200922</v>
      </c>
      <c r="CY55">
        <f t="shared" si="91"/>
        <v>0.19131670394401834</v>
      </c>
      <c r="CZ55">
        <v>6</v>
      </c>
      <c r="DA55">
        <v>0.5</v>
      </c>
      <c r="DB55" t="s">
        <v>418</v>
      </c>
      <c r="DC55">
        <v>2</v>
      </c>
      <c r="DD55">
        <v>1674582418.5</v>
      </c>
      <c r="DE55">
        <v>540.07799999999997</v>
      </c>
      <c r="DF55">
        <v>600.02300000000002</v>
      </c>
      <c r="DG55">
        <v>24.781099999999999</v>
      </c>
      <c r="DH55">
        <v>19.4115</v>
      </c>
      <c r="DI55">
        <v>537.31700000000001</v>
      </c>
      <c r="DJ55">
        <v>24.654900000000001</v>
      </c>
      <c r="DK55">
        <v>500.16</v>
      </c>
      <c r="DL55">
        <v>99.729399999999998</v>
      </c>
      <c r="DM55">
        <v>9.9959800000000001E-2</v>
      </c>
      <c r="DN55">
        <v>28.009599999999999</v>
      </c>
      <c r="DO55">
        <v>27.763000000000002</v>
      </c>
      <c r="DP55">
        <v>999.9</v>
      </c>
      <c r="DQ55">
        <v>0</v>
      </c>
      <c r="DR55">
        <v>0</v>
      </c>
      <c r="DS55">
        <v>10007.5</v>
      </c>
      <c r="DT55">
        <v>0</v>
      </c>
      <c r="DU55">
        <v>387.15699999999998</v>
      </c>
      <c r="DV55">
        <v>-59.944299999999998</v>
      </c>
      <c r="DW55">
        <v>553.80200000000002</v>
      </c>
      <c r="DX55">
        <v>611.90099999999995</v>
      </c>
      <c r="DY55">
        <v>5.3695399999999998</v>
      </c>
      <c r="DZ55">
        <v>600.02300000000002</v>
      </c>
      <c r="EA55">
        <v>19.4115</v>
      </c>
      <c r="EB55">
        <v>2.4714</v>
      </c>
      <c r="EC55">
        <v>1.9359</v>
      </c>
      <c r="ED55">
        <v>20.839400000000001</v>
      </c>
      <c r="EE55">
        <v>16.929600000000001</v>
      </c>
      <c r="EF55">
        <v>1799.94</v>
      </c>
      <c r="EG55">
        <v>0.97799599999999998</v>
      </c>
      <c r="EH55">
        <v>2.20038E-2</v>
      </c>
      <c r="EI55">
        <v>0</v>
      </c>
      <c r="EJ55">
        <v>855.72500000000002</v>
      </c>
      <c r="EK55">
        <v>4.9990399999999999</v>
      </c>
      <c r="EL55">
        <v>16318.9</v>
      </c>
      <c r="EM55">
        <v>14820.2</v>
      </c>
      <c r="EN55">
        <v>48.686999999999998</v>
      </c>
      <c r="EO55">
        <v>50.25</v>
      </c>
      <c r="EP55">
        <v>49.686999999999998</v>
      </c>
      <c r="EQ55">
        <v>48.686999999999998</v>
      </c>
      <c r="ER55">
        <v>49.561999999999998</v>
      </c>
      <c r="ES55">
        <v>1755.45</v>
      </c>
      <c r="ET55">
        <v>39.5</v>
      </c>
      <c r="EU55">
        <v>0</v>
      </c>
      <c r="EV55">
        <v>107.5999999046326</v>
      </c>
      <c r="EW55">
        <v>0</v>
      </c>
      <c r="EX55">
        <v>854.63679999999988</v>
      </c>
      <c r="EY55">
        <v>1.801769209494082</v>
      </c>
      <c r="EZ55">
        <v>36.138461480801439</v>
      </c>
      <c r="FA55">
        <v>16314.172</v>
      </c>
      <c r="FB55">
        <v>15</v>
      </c>
      <c r="FC55">
        <v>1674582385.5</v>
      </c>
      <c r="FD55" t="s">
        <v>618</v>
      </c>
      <c r="FE55">
        <v>1674582378.5</v>
      </c>
      <c r="FF55">
        <v>1674582385.5</v>
      </c>
      <c r="FG55">
        <v>46</v>
      </c>
      <c r="FH55">
        <v>0.16800000000000001</v>
      </c>
      <c r="FI55">
        <v>0</v>
      </c>
      <c r="FJ55">
        <v>2.8540000000000001</v>
      </c>
      <c r="FK55">
        <v>9.8000000000000004E-2</v>
      </c>
      <c r="FL55">
        <v>600</v>
      </c>
      <c r="FM55">
        <v>19</v>
      </c>
      <c r="FN55">
        <v>0.05</v>
      </c>
      <c r="FO55">
        <v>0.02</v>
      </c>
      <c r="FP55">
        <v>47.498317393658581</v>
      </c>
      <c r="FQ55">
        <v>-0.18197584325134619</v>
      </c>
      <c r="FR55">
        <v>5.3105736800606318E-2</v>
      </c>
      <c r="FS55">
        <v>1</v>
      </c>
      <c r="FT55">
        <v>0.37789679932332138</v>
      </c>
      <c r="FU55">
        <v>1.107539252133433E-2</v>
      </c>
      <c r="FV55">
        <v>3.0206893648915922E-3</v>
      </c>
      <c r="FW55">
        <v>1</v>
      </c>
      <c r="FX55">
        <v>2</v>
      </c>
      <c r="FY55">
        <v>2</v>
      </c>
      <c r="FZ55" t="s">
        <v>420</v>
      </c>
      <c r="GA55">
        <v>2.9332500000000001</v>
      </c>
      <c r="GB55">
        <v>2.8334800000000002</v>
      </c>
      <c r="GC55">
        <v>0.11269800000000001</v>
      </c>
      <c r="GD55">
        <v>0.119563</v>
      </c>
      <c r="GE55">
        <v>0.12201099999999999</v>
      </c>
      <c r="GF55">
        <v>9.9426100000000003E-2</v>
      </c>
      <c r="GG55">
        <v>22915.4</v>
      </c>
      <c r="GH55">
        <v>28743</v>
      </c>
      <c r="GI55">
        <v>23236.5</v>
      </c>
      <c r="GJ55">
        <v>29910.7</v>
      </c>
      <c r="GK55">
        <v>27751.7</v>
      </c>
      <c r="GL55">
        <v>38303.599999999999</v>
      </c>
      <c r="GM55">
        <v>32790.699999999997</v>
      </c>
      <c r="GN55">
        <v>44376.5</v>
      </c>
      <c r="GO55">
        <v>1.9637</v>
      </c>
      <c r="GP55">
        <v>1.8314999999999999</v>
      </c>
      <c r="GQ55">
        <v>5.4944300000000001E-2</v>
      </c>
      <c r="GR55">
        <v>0</v>
      </c>
      <c r="GS55">
        <v>26.864899999999999</v>
      </c>
      <c r="GT55">
        <v>999.9</v>
      </c>
      <c r="GU55">
        <v>47.8</v>
      </c>
      <c r="GV55">
        <v>36.299999999999997</v>
      </c>
      <c r="GW55">
        <v>29.085699999999999</v>
      </c>
      <c r="GX55">
        <v>61.366199999999999</v>
      </c>
      <c r="GY55">
        <v>36.766800000000003</v>
      </c>
      <c r="GZ55">
        <v>1</v>
      </c>
      <c r="HA55">
        <v>0.363626</v>
      </c>
      <c r="HB55">
        <v>2.5542600000000002</v>
      </c>
      <c r="HC55">
        <v>20.253</v>
      </c>
      <c r="HD55">
        <v>5.2103999999999999</v>
      </c>
      <c r="HE55">
        <v>11.872199999999999</v>
      </c>
      <c r="HF55">
        <v>4.9849500000000004</v>
      </c>
      <c r="HG55">
        <v>3.2839999999999998</v>
      </c>
      <c r="HH55">
        <v>9999</v>
      </c>
      <c r="HI55">
        <v>9999</v>
      </c>
      <c r="HJ55">
        <v>9999</v>
      </c>
      <c r="HK55">
        <v>999.9</v>
      </c>
      <c r="HL55">
        <v>1.8547</v>
      </c>
      <c r="HM55">
        <v>1.86077</v>
      </c>
      <c r="HN55">
        <v>1.8580700000000001</v>
      </c>
      <c r="HO55">
        <v>1.85928</v>
      </c>
      <c r="HP55">
        <v>1.85867</v>
      </c>
      <c r="HQ55">
        <v>1.8592500000000001</v>
      </c>
      <c r="HR55">
        <v>1.8575900000000001</v>
      </c>
      <c r="HS55">
        <v>1.86086</v>
      </c>
      <c r="HT55">
        <v>5</v>
      </c>
      <c r="HU55">
        <v>0</v>
      </c>
      <c r="HV55">
        <v>0</v>
      </c>
      <c r="HW55">
        <v>0</v>
      </c>
      <c r="HX55" t="s">
        <v>421</v>
      </c>
      <c r="HY55" t="s">
        <v>422</v>
      </c>
      <c r="HZ55" t="s">
        <v>423</v>
      </c>
      <c r="IA55" t="s">
        <v>423</v>
      </c>
      <c r="IB55" t="s">
        <v>423</v>
      </c>
      <c r="IC55" t="s">
        <v>423</v>
      </c>
      <c r="ID55">
        <v>0</v>
      </c>
      <c r="IE55">
        <v>100</v>
      </c>
      <c r="IF55">
        <v>100</v>
      </c>
      <c r="IG55">
        <v>2.7610000000000001</v>
      </c>
      <c r="IH55">
        <v>0.12620000000000001</v>
      </c>
      <c r="II55">
        <v>1.887506146186303</v>
      </c>
      <c r="IJ55">
        <v>1.6187016317407189E-3</v>
      </c>
      <c r="IK55">
        <v>1.4341569744255341E-7</v>
      </c>
      <c r="IL55">
        <v>-2.4096625942085749E-10</v>
      </c>
      <c r="IM55">
        <v>0.12615594329704299</v>
      </c>
      <c r="IN55">
        <v>0</v>
      </c>
      <c r="IO55">
        <v>0</v>
      </c>
      <c r="IP55">
        <v>0</v>
      </c>
      <c r="IQ55">
        <v>4</v>
      </c>
      <c r="IR55">
        <v>2205</v>
      </c>
      <c r="IS55">
        <v>1</v>
      </c>
      <c r="IT55">
        <v>21</v>
      </c>
      <c r="IU55">
        <v>0.7</v>
      </c>
      <c r="IV55">
        <v>0.6</v>
      </c>
      <c r="IW55">
        <v>1.3793899999999999</v>
      </c>
      <c r="IX55">
        <v>2.4536099999999998</v>
      </c>
      <c r="IY55">
        <v>1.49414</v>
      </c>
      <c r="IZ55">
        <v>2.3034699999999999</v>
      </c>
      <c r="JA55">
        <v>1.69434</v>
      </c>
      <c r="JB55">
        <v>2.4206500000000002</v>
      </c>
      <c r="JC55">
        <v>40.374499999999998</v>
      </c>
      <c r="JD55">
        <v>23.991199999999999</v>
      </c>
      <c r="JE55">
        <v>18</v>
      </c>
      <c r="JF55">
        <v>509.08100000000002</v>
      </c>
      <c r="JG55">
        <v>445.596</v>
      </c>
      <c r="JH55">
        <v>24.411799999999999</v>
      </c>
      <c r="JI55">
        <v>31.853100000000001</v>
      </c>
      <c r="JJ55">
        <v>30.000399999999999</v>
      </c>
      <c r="JK55">
        <v>31.721599999999999</v>
      </c>
      <c r="JL55">
        <v>31.683199999999999</v>
      </c>
      <c r="JM55">
        <v>27.6815</v>
      </c>
      <c r="JN55">
        <v>39.301600000000001</v>
      </c>
      <c r="JO55">
        <v>0</v>
      </c>
      <c r="JP55">
        <v>24.407499999999999</v>
      </c>
      <c r="JQ55">
        <v>600</v>
      </c>
      <c r="JR55">
        <v>19.414899999999999</v>
      </c>
      <c r="JS55">
        <v>98.787899999999993</v>
      </c>
      <c r="JT55">
        <v>99.658199999999994</v>
      </c>
    </row>
    <row r="56" spans="1:280" x14ac:dyDescent="0.25">
      <c r="A56">
        <v>40</v>
      </c>
      <c r="B56">
        <v>1674582527</v>
      </c>
      <c r="C56">
        <v>8474.4000000953674</v>
      </c>
      <c r="D56" t="s">
        <v>619</v>
      </c>
      <c r="E56" t="s">
        <v>620</v>
      </c>
      <c r="F56" t="s">
        <v>412</v>
      </c>
      <c r="G56" t="s">
        <v>564</v>
      </c>
      <c r="H56" t="s">
        <v>565</v>
      </c>
      <c r="I56">
        <v>1674582527</v>
      </c>
      <c r="J56">
        <f t="shared" si="46"/>
        <v>4.1564190550581314E-3</v>
      </c>
      <c r="K56">
        <f t="shared" si="47"/>
        <v>4.156419055058131</v>
      </c>
      <c r="L56">
        <f t="shared" si="48"/>
        <v>47.98924981849428</v>
      </c>
      <c r="M56">
        <f t="shared" si="49"/>
        <v>738.81899999999996</v>
      </c>
      <c r="N56">
        <f t="shared" si="50"/>
        <v>483.56613400198631</v>
      </c>
      <c r="O56">
        <f t="shared" si="51"/>
        <v>48.273625134266389</v>
      </c>
      <c r="P56">
        <f t="shared" si="52"/>
        <v>73.755105951913194</v>
      </c>
      <c r="Q56">
        <f t="shared" si="53"/>
        <v>0.33382813679809459</v>
      </c>
      <c r="R56">
        <f t="shared" si="54"/>
        <v>2.9302469857050495</v>
      </c>
      <c r="S56">
        <f t="shared" si="55"/>
        <v>0.31404736215367751</v>
      </c>
      <c r="T56">
        <f t="shared" si="56"/>
        <v>0.19795907894205714</v>
      </c>
      <c r="U56">
        <f t="shared" si="57"/>
        <v>344.34660126376491</v>
      </c>
      <c r="V56">
        <f t="shared" si="58"/>
        <v>28.944370666176379</v>
      </c>
      <c r="W56">
        <f t="shared" si="59"/>
        <v>27.7834</v>
      </c>
      <c r="X56">
        <f t="shared" si="60"/>
        <v>3.7471852268250809</v>
      </c>
      <c r="Y56">
        <f t="shared" si="61"/>
        <v>65.028467443482711</v>
      </c>
      <c r="Z56">
        <f t="shared" si="62"/>
        <v>2.4670787898129602</v>
      </c>
      <c r="AA56">
        <f t="shared" si="63"/>
        <v>3.7938442759044544</v>
      </c>
      <c r="AB56">
        <f t="shared" si="64"/>
        <v>1.2801064370121207</v>
      </c>
      <c r="AC56">
        <f t="shared" si="65"/>
        <v>-183.29808032806361</v>
      </c>
      <c r="AD56">
        <f t="shared" si="66"/>
        <v>33.506598352135349</v>
      </c>
      <c r="AE56">
        <f t="shared" si="67"/>
        <v>2.4897644124079852</v>
      </c>
      <c r="AF56">
        <f t="shared" si="68"/>
        <v>197.04488370024461</v>
      </c>
      <c r="AG56">
        <v>0</v>
      </c>
      <c r="AH56">
        <v>0</v>
      </c>
      <c r="AI56">
        <f t="shared" si="69"/>
        <v>1</v>
      </c>
      <c r="AJ56">
        <f t="shared" si="70"/>
        <v>0</v>
      </c>
      <c r="AK56">
        <f t="shared" si="71"/>
        <v>52716.464412823167</v>
      </c>
      <c r="AL56" t="s">
        <v>415</v>
      </c>
      <c r="AM56">
        <v>10214.9</v>
      </c>
      <c r="AN56">
        <v>729.4384</v>
      </c>
      <c r="AO56">
        <v>3170.19</v>
      </c>
      <c r="AP56">
        <f t="shared" si="72"/>
        <v>0.76990704027203416</v>
      </c>
      <c r="AQ56">
        <v>-0.45549566560547827</v>
      </c>
      <c r="AR56" t="s">
        <v>621</v>
      </c>
      <c r="AS56">
        <v>10091.700000000001</v>
      </c>
      <c r="AT56">
        <v>856.62923076923096</v>
      </c>
      <c r="AU56">
        <v>1209.7827921073649</v>
      </c>
      <c r="AV56">
        <f t="shared" si="73"/>
        <v>0.2919148492126945</v>
      </c>
      <c r="AW56">
        <v>0.5</v>
      </c>
      <c r="AX56">
        <f t="shared" si="74"/>
        <v>1513.0839006318827</v>
      </c>
      <c r="AY56">
        <f t="shared" si="75"/>
        <v>47.98924981849428</v>
      </c>
      <c r="AZ56">
        <f t="shared" si="76"/>
        <v>220.84582934955583</v>
      </c>
      <c r="BA56">
        <f t="shared" si="77"/>
        <v>3.2017223541846308E-2</v>
      </c>
      <c r="BB56">
        <f t="shared" si="78"/>
        <v>1.6204621364118843</v>
      </c>
      <c r="BC56">
        <f t="shared" si="79"/>
        <v>531.32878200303344</v>
      </c>
      <c r="BD56" t="s">
        <v>622</v>
      </c>
      <c r="BE56">
        <v>627.27</v>
      </c>
      <c r="BF56">
        <f t="shared" si="80"/>
        <v>627.27</v>
      </c>
      <c r="BG56">
        <f t="shared" si="81"/>
        <v>0.48150196540047041</v>
      </c>
      <c r="BH56">
        <f t="shared" si="82"/>
        <v>0.60625889443650705</v>
      </c>
      <c r="BI56">
        <f t="shared" si="83"/>
        <v>0.77092759815198086</v>
      </c>
      <c r="BJ56">
        <f t="shared" si="84"/>
        <v>0.7352090856911645</v>
      </c>
      <c r="BK56">
        <f t="shared" si="85"/>
        <v>0.80319816563579638</v>
      </c>
      <c r="BL56">
        <f t="shared" si="86"/>
        <v>0.44393537256684423</v>
      </c>
      <c r="BM56">
        <f t="shared" si="87"/>
        <v>0.55606462743315577</v>
      </c>
      <c r="BN56">
        <v>9136</v>
      </c>
      <c r="BO56">
        <v>290.00000000000011</v>
      </c>
      <c r="BP56">
        <v>1117.77</v>
      </c>
      <c r="BQ56">
        <v>145</v>
      </c>
      <c r="BR56">
        <v>10091.700000000001</v>
      </c>
      <c r="BS56">
        <v>1114.1400000000001</v>
      </c>
      <c r="BT56">
        <v>3.63</v>
      </c>
      <c r="BU56">
        <v>300.00000000000011</v>
      </c>
      <c r="BV56">
        <v>24.2</v>
      </c>
      <c r="BW56">
        <v>1209.7827921073649</v>
      </c>
      <c r="BX56">
        <v>2.504102292504589</v>
      </c>
      <c r="BY56">
        <v>-96.520278710203854</v>
      </c>
      <c r="BZ56">
        <v>2.246591475763108</v>
      </c>
      <c r="CA56">
        <v>0.98505724825892882</v>
      </c>
      <c r="CB56">
        <v>-6.8861893214682991E-3</v>
      </c>
      <c r="CC56">
        <v>289.99999999999989</v>
      </c>
      <c r="CD56">
        <v>1111.3599999999999</v>
      </c>
      <c r="CE56">
        <v>755</v>
      </c>
      <c r="CF56">
        <v>10052</v>
      </c>
      <c r="CG56">
        <v>1113.76</v>
      </c>
      <c r="CH56">
        <v>-2.4</v>
      </c>
      <c r="CV56">
        <f t="shared" si="88"/>
        <v>1799.88</v>
      </c>
      <c r="CW56">
        <f t="shared" si="89"/>
        <v>1513.0839006318827</v>
      </c>
      <c r="CX56">
        <f t="shared" si="90"/>
        <v>0.84065821089843906</v>
      </c>
      <c r="CY56">
        <f t="shared" si="91"/>
        <v>0.19131642179687808</v>
      </c>
      <c r="CZ56">
        <v>6</v>
      </c>
      <c r="DA56">
        <v>0.5</v>
      </c>
      <c r="DB56" t="s">
        <v>418</v>
      </c>
      <c r="DC56">
        <v>2</v>
      </c>
      <c r="DD56">
        <v>1674582527</v>
      </c>
      <c r="DE56">
        <v>738.81899999999996</v>
      </c>
      <c r="DF56">
        <v>800.07799999999997</v>
      </c>
      <c r="DG56">
        <v>24.713200000000001</v>
      </c>
      <c r="DH56">
        <v>19.849799999999998</v>
      </c>
      <c r="DI56">
        <v>735.16899999999998</v>
      </c>
      <c r="DJ56">
        <v>24.5883</v>
      </c>
      <c r="DK56">
        <v>500.10700000000003</v>
      </c>
      <c r="DL56">
        <v>99.7286</v>
      </c>
      <c r="DM56">
        <v>9.9782800000000005E-2</v>
      </c>
      <c r="DN56">
        <v>27.9955</v>
      </c>
      <c r="DO56">
        <v>27.7834</v>
      </c>
      <c r="DP56">
        <v>999.9</v>
      </c>
      <c r="DQ56">
        <v>0</v>
      </c>
      <c r="DR56">
        <v>0</v>
      </c>
      <c r="DS56">
        <v>10031.200000000001</v>
      </c>
      <c r="DT56">
        <v>0</v>
      </c>
      <c r="DU56">
        <v>390.17099999999999</v>
      </c>
      <c r="DV56">
        <v>-61.259900000000002</v>
      </c>
      <c r="DW56">
        <v>757.54</v>
      </c>
      <c r="DX56">
        <v>816.28099999999995</v>
      </c>
      <c r="DY56">
        <v>4.8634000000000004</v>
      </c>
      <c r="DZ56">
        <v>800.07799999999997</v>
      </c>
      <c r="EA56">
        <v>19.849799999999998</v>
      </c>
      <c r="EB56">
        <v>2.46461</v>
      </c>
      <c r="EC56">
        <v>1.97959</v>
      </c>
      <c r="ED56">
        <v>20.794699999999999</v>
      </c>
      <c r="EE56">
        <v>17.282</v>
      </c>
      <c r="EF56">
        <v>1799.88</v>
      </c>
      <c r="EG56">
        <v>0.97799599999999998</v>
      </c>
      <c r="EH56">
        <v>2.20038E-2</v>
      </c>
      <c r="EI56">
        <v>0</v>
      </c>
      <c r="EJ56">
        <v>856.32899999999995</v>
      </c>
      <c r="EK56">
        <v>4.9990399999999999</v>
      </c>
      <c r="EL56">
        <v>16372.4</v>
      </c>
      <c r="EM56">
        <v>14819.7</v>
      </c>
      <c r="EN56">
        <v>48.75</v>
      </c>
      <c r="EO56">
        <v>50.311999999999998</v>
      </c>
      <c r="EP56">
        <v>49.686999999999998</v>
      </c>
      <c r="EQ56">
        <v>48.686999999999998</v>
      </c>
      <c r="ER56">
        <v>49.561999999999998</v>
      </c>
      <c r="ES56">
        <v>1755.39</v>
      </c>
      <c r="ET56">
        <v>39.49</v>
      </c>
      <c r="EU56">
        <v>0</v>
      </c>
      <c r="EV56">
        <v>106.4000000953674</v>
      </c>
      <c r="EW56">
        <v>0</v>
      </c>
      <c r="EX56">
        <v>856.62923076923096</v>
      </c>
      <c r="EY56">
        <v>0.20458118608801981</v>
      </c>
      <c r="EZ56">
        <v>6.6461539129097051</v>
      </c>
      <c r="FA56">
        <v>16371.846153846151</v>
      </c>
      <c r="FB56">
        <v>15</v>
      </c>
      <c r="FC56">
        <v>1674582495</v>
      </c>
      <c r="FD56" t="s">
        <v>623</v>
      </c>
      <c r="FE56">
        <v>1674582495</v>
      </c>
      <c r="FF56">
        <v>1674582488</v>
      </c>
      <c r="FG56">
        <v>47</v>
      </c>
      <c r="FH56">
        <v>0.59099999999999997</v>
      </c>
      <c r="FI56">
        <v>-1E-3</v>
      </c>
      <c r="FJ56">
        <v>3.7370000000000001</v>
      </c>
      <c r="FK56">
        <v>0.10100000000000001</v>
      </c>
      <c r="FL56">
        <v>800</v>
      </c>
      <c r="FM56">
        <v>19</v>
      </c>
      <c r="FN56">
        <v>7.0000000000000007E-2</v>
      </c>
      <c r="FO56">
        <v>0.02</v>
      </c>
      <c r="FP56">
        <v>48.036816718124243</v>
      </c>
      <c r="FQ56">
        <v>-0.52113774891739983</v>
      </c>
      <c r="FR56">
        <v>0.1435190238015103</v>
      </c>
      <c r="FS56">
        <v>1</v>
      </c>
      <c r="FT56">
        <v>0.33393326129384021</v>
      </c>
      <c r="FU56">
        <v>1.453299273832331E-2</v>
      </c>
      <c r="FV56">
        <v>3.2101303269140178E-3</v>
      </c>
      <c r="FW56">
        <v>1</v>
      </c>
      <c r="FX56">
        <v>2</v>
      </c>
      <c r="FY56">
        <v>2</v>
      </c>
      <c r="FZ56" t="s">
        <v>420</v>
      </c>
      <c r="GA56">
        <v>2.9330599999999998</v>
      </c>
      <c r="GB56">
        <v>2.83351</v>
      </c>
      <c r="GC56">
        <v>0.14016899999999999</v>
      </c>
      <c r="GD56">
        <v>0.145592</v>
      </c>
      <c r="GE56">
        <v>0.121763</v>
      </c>
      <c r="GF56">
        <v>0.100984</v>
      </c>
      <c r="GG56">
        <v>22205.1</v>
      </c>
      <c r="GH56">
        <v>27890.3</v>
      </c>
      <c r="GI56">
        <v>23235.8</v>
      </c>
      <c r="GJ56">
        <v>29908</v>
      </c>
      <c r="GK56">
        <v>27759.8</v>
      </c>
      <c r="GL56">
        <v>38233.800000000003</v>
      </c>
      <c r="GM56">
        <v>32790</v>
      </c>
      <c r="GN56">
        <v>44372.5</v>
      </c>
      <c r="GO56">
        <v>1.96238</v>
      </c>
      <c r="GP56">
        <v>1.8314999999999999</v>
      </c>
      <c r="GQ56">
        <v>5.7723400000000001E-2</v>
      </c>
      <c r="GR56">
        <v>0</v>
      </c>
      <c r="GS56">
        <v>26.8399</v>
      </c>
      <c r="GT56">
        <v>999.9</v>
      </c>
      <c r="GU56">
        <v>47.8</v>
      </c>
      <c r="GV56">
        <v>36.299999999999997</v>
      </c>
      <c r="GW56">
        <v>29.085799999999999</v>
      </c>
      <c r="GX56">
        <v>61.356200000000001</v>
      </c>
      <c r="GY56">
        <v>36.899000000000001</v>
      </c>
      <c r="GZ56">
        <v>1</v>
      </c>
      <c r="HA56">
        <v>0.36782300000000001</v>
      </c>
      <c r="HB56">
        <v>2.4222999999999999</v>
      </c>
      <c r="HC56">
        <v>20.254200000000001</v>
      </c>
      <c r="HD56">
        <v>5.2111499999999999</v>
      </c>
      <c r="HE56">
        <v>11.872199999999999</v>
      </c>
      <c r="HF56">
        <v>4.9851999999999999</v>
      </c>
      <c r="HG56">
        <v>3.2839999999999998</v>
      </c>
      <c r="HH56">
        <v>9999</v>
      </c>
      <c r="HI56">
        <v>9999</v>
      </c>
      <c r="HJ56">
        <v>9999</v>
      </c>
      <c r="HK56">
        <v>999.9</v>
      </c>
      <c r="HL56">
        <v>1.85466</v>
      </c>
      <c r="HM56">
        <v>1.86069</v>
      </c>
      <c r="HN56">
        <v>1.85806</v>
      </c>
      <c r="HO56">
        <v>1.85928</v>
      </c>
      <c r="HP56">
        <v>1.85867</v>
      </c>
      <c r="HQ56">
        <v>1.8591599999999999</v>
      </c>
      <c r="HR56">
        <v>1.8575299999999999</v>
      </c>
      <c r="HS56">
        <v>1.8608199999999999</v>
      </c>
      <c r="HT56">
        <v>5</v>
      </c>
      <c r="HU56">
        <v>0</v>
      </c>
      <c r="HV56">
        <v>0</v>
      </c>
      <c r="HW56">
        <v>0</v>
      </c>
      <c r="HX56" t="s">
        <v>421</v>
      </c>
      <c r="HY56" t="s">
        <v>422</v>
      </c>
      <c r="HZ56" t="s">
        <v>423</v>
      </c>
      <c r="IA56" t="s">
        <v>423</v>
      </c>
      <c r="IB56" t="s">
        <v>423</v>
      </c>
      <c r="IC56" t="s">
        <v>423</v>
      </c>
      <c r="ID56">
        <v>0</v>
      </c>
      <c r="IE56">
        <v>100</v>
      </c>
      <c r="IF56">
        <v>100</v>
      </c>
      <c r="IG56">
        <v>3.65</v>
      </c>
      <c r="IH56">
        <v>0.1249</v>
      </c>
      <c r="II56">
        <v>2.4779605016965531</v>
      </c>
      <c r="IJ56">
        <v>1.6187016317407189E-3</v>
      </c>
      <c r="IK56">
        <v>1.4341569744255341E-7</v>
      </c>
      <c r="IL56">
        <v>-2.4096625942085749E-10</v>
      </c>
      <c r="IM56">
        <v>0.1248438452362428</v>
      </c>
      <c r="IN56">
        <v>0</v>
      </c>
      <c r="IO56">
        <v>0</v>
      </c>
      <c r="IP56">
        <v>0</v>
      </c>
      <c r="IQ56">
        <v>4</v>
      </c>
      <c r="IR56">
        <v>2205</v>
      </c>
      <c r="IS56">
        <v>1</v>
      </c>
      <c r="IT56">
        <v>21</v>
      </c>
      <c r="IU56">
        <v>0.5</v>
      </c>
      <c r="IV56">
        <v>0.7</v>
      </c>
      <c r="IW56">
        <v>1.7492700000000001</v>
      </c>
      <c r="IX56">
        <v>2.4450699999999999</v>
      </c>
      <c r="IY56">
        <v>1.49414</v>
      </c>
      <c r="IZ56">
        <v>2.3046899999999999</v>
      </c>
      <c r="JA56">
        <v>1.69434</v>
      </c>
      <c r="JB56">
        <v>2.4230999999999998</v>
      </c>
      <c r="JC56">
        <v>40.4</v>
      </c>
      <c r="JD56">
        <v>23.991199999999999</v>
      </c>
      <c r="JE56">
        <v>18</v>
      </c>
      <c r="JF56">
        <v>508.74</v>
      </c>
      <c r="JG56">
        <v>446.12400000000002</v>
      </c>
      <c r="JH56">
        <v>24.450600000000001</v>
      </c>
      <c r="JI56">
        <v>31.9087</v>
      </c>
      <c r="JJ56">
        <v>30.0002</v>
      </c>
      <c r="JK56">
        <v>31.784099999999999</v>
      </c>
      <c r="JL56">
        <v>31.747699999999998</v>
      </c>
      <c r="JM56">
        <v>35.065899999999999</v>
      </c>
      <c r="JN56">
        <v>37.997300000000003</v>
      </c>
      <c r="JO56">
        <v>0</v>
      </c>
      <c r="JP56">
        <v>24.452400000000001</v>
      </c>
      <c r="JQ56">
        <v>800</v>
      </c>
      <c r="JR56">
        <v>19.82</v>
      </c>
      <c r="JS56">
        <v>98.785499999999999</v>
      </c>
      <c r="JT56">
        <v>99.649199999999993</v>
      </c>
    </row>
    <row r="57" spans="1:280" x14ac:dyDescent="0.25">
      <c r="A57">
        <v>41</v>
      </c>
      <c r="B57">
        <v>1674582643</v>
      </c>
      <c r="C57">
        <v>8590.4000000953674</v>
      </c>
      <c r="D57" t="s">
        <v>624</v>
      </c>
      <c r="E57" t="s">
        <v>625</v>
      </c>
      <c r="F57" t="s">
        <v>412</v>
      </c>
      <c r="G57" t="s">
        <v>564</v>
      </c>
      <c r="H57" t="s">
        <v>565</v>
      </c>
      <c r="I57">
        <v>1674582643</v>
      </c>
      <c r="J57">
        <f t="shared" si="46"/>
        <v>3.7390046372174747E-3</v>
      </c>
      <c r="K57">
        <f t="shared" si="47"/>
        <v>3.7390046372174748</v>
      </c>
      <c r="L57">
        <f t="shared" si="48"/>
        <v>48.269988197159137</v>
      </c>
      <c r="M57">
        <f t="shared" si="49"/>
        <v>1137.07</v>
      </c>
      <c r="N57">
        <f t="shared" si="50"/>
        <v>842.18141603551362</v>
      </c>
      <c r="O57">
        <f t="shared" si="51"/>
        <v>84.067223872851784</v>
      </c>
      <c r="P57">
        <f t="shared" si="52"/>
        <v>113.503238647898</v>
      </c>
      <c r="Q57">
        <f t="shared" si="53"/>
        <v>0.2954847102428978</v>
      </c>
      <c r="R57">
        <f t="shared" si="54"/>
        <v>2.9237742823029609</v>
      </c>
      <c r="S57">
        <f t="shared" si="55"/>
        <v>0.2798403393518894</v>
      </c>
      <c r="T57">
        <f t="shared" si="56"/>
        <v>0.17623674205986217</v>
      </c>
      <c r="U57">
        <f t="shared" si="57"/>
        <v>344.39980126356841</v>
      </c>
      <c r="V57">
        <f t="shared" si="58"/>
        <v>29.067710687395913</v>
      </c>
      <c r="W57">
        <f t="shared" si="59"/>
        <v>27.8294</v>
      </c>
      <c r="X57">
        <f t="shared" si="60"/>
        <v>3.7572618418955956</v>
      </c>
      <c r="Y57">
        <f t="shared" si="61"/>
        <v>64.929479325643229</v>
      </c>
      <c r="Z57">
        <f t="shared" si="62"/>
        <v>2.4651046368134204</v>
      </c>
      <c r="AA57">
        <f t="shared" si="63"/>
        <v>3.7965877170369557</v>
      </c>
      <c r="AB57">
        <f t="shared" si="64"/>
        <v>1.2921572050821752</v>
      </c>
      <c r="AC57">
        <f t="shared" si="65"/>
        <v>-164.89010450129064</v>
      </c>
      <c r="AD57">
        <f t="shared" si="66"/>
        <v>28.136333660691776</v>
      </c>
      <c r="AE57">
        <f t="shared" si="67"/>
        <v>2.0959563033497615</v>
      </c>
      <c r="AF57">
        <f t="shared" si="68"/>
        <v>209.74198672631928</v>
      </c>
      <c r="AG57">
        <v>0</v>
      </c>
      <c r="AH57">
        <v>0</v>
      </c>
      <c r="AI57">
        <f t="shared" si="69"/>
        <v>1</v>
      </c>
      <c r="AJ57">
        <f t="shared" si="70"/>
        <v>0</v>
      </c>
      <c r="AK57">
        <f t="shared" si="71"/>
        <v>52527.878869034947</v>
      </c>
      <c r="AL57" t="s">
        <v>415</v>
      </c>
      <c r="AM57">
        <v>10214.9</v>
      </c>
      <c r="AN57">
        <v>729.4384</v>
      </c>
      <c r="AO57">
        <v>3170.19</v>
      </c>
      <c r="AP57">
        <f t="shared" si="72"/>
        <v>0.76990704027203416</v>
      </c>
      <c r="AQ57">
        <v>-0.45549566560547827</v>
      </c>
      <c r="AR57" t="s">
        <v>626</v>
      </c>
      <c r="AS57">
        <v>10089.9</v>
      </c>
      <c r="AT57">
        <v>856.91088000000002</v>
      </c>
      <c r="AU57">
        <v>1219.675543525073</v>
      </c>
      <c r="AV57">
        <f t="shared" si="73"/>
        <v>0.29742718500087362</v>
      </c>
      <c r="AW57">
        <v>0.5</v>
      </c>
      <c r="AX57">
        <f t="shared" si="74"/>
        <v>1513.3191006317841</v>
      </c>
      <c r="AY57">
        <f t="shared" si="75"/>
        <v>48.269988197159137</v>
      </c>
      <c r="AZ57">
        <f t="shared" si="76"/>
        <v>225.05112005448265</v>
      </c>
      <c r="BA57">
        <f t="shared" si="77"/>
        <v>3.219775911268323E-2</v>
      </c>
      <c r="BB57">
        <f t="shared" si="78"/>
        <v>1.5992076473367691</v>
      </c>
      <c r="BC57">
        <f t="shared" si="79"/>
        <v>533.22829340790099</v>
      </c>
      <c r="BD57" t="s">
        <v>627</v>
      </c>
      <c r="BE57">
        <v>628.49</v>
      </c>
      <c r="BF57">
        <f t="shared" si="80"/>
        <v>628.49</v>
      </c>
      <c r="BG57">
        <f t="shared" si="81"/>
        <v>0.48470722124709054</v>
      </c>
      <c r="BH57">
        <f t="shared" si="82"/>
        <v>0.61362235172736024</v>
      </c>
      <c r="BI57">
        <f t="shared" si="83"/>
        <v>0.76740545952509231</v>
      </c>
      <c r="BJ57">
        <f t="shared" si="84"/>
        <v>0.73997792357510239</v>
      </c>
      <c r="BK57">
        <f t="shared" si="85"/>
        <v>0.79914500782256048</v>
      </c>
      <c r="BL57">
        <f t="shared" si="86"/>
        <v>0.45005323288359766</v>
      </c>
      <c r="BM57">
        <f t="shared" si="87"/>
        <v>0.54994676711640234</v>
      </c>
      <c r="BN57">
        <v>9138</v>
      </c>
      <c r="BO57">
        <v>290.00000000000011</v>
      </c>
      <c r="BP57">
        <v>1121.47</v>
      </c>
      <c r="BQ57">
        <v>155</v>
      </c>
      <c r="BR57">
        <v>10089.9</v>
      </c>
      <c r="BS57">
        <v>1118.47</v>
      </c>
      <c r="BT57">
        <v>3</v>
      </c>
      <c r="BU57">
        <v>300.00000000000011</v>
      </c>
      <c r="BV57">
        <v>24.2</v>
      </c>
      <c r="BW57">
        <v>1219.675543525073</v>
      </c>
      <c r="BX57">
        <v>1.721728670518117</v>
      </c>
      <c r="BY57">
        <v>-102.1129849750793</v>
      </c>
      <c r="BZ57">
        <v>1.5446378050799281</v>
      </c>
      <c r="CA57">
        <v>0.99363386574830603</v>
      </c>
      <c r="CB57">
        <v>-6.8862353726362718E-3</v>
      </c>
      <c r="CC57">
        <v>289.99999999999989</v>
      </c>
      <c r="CD57">
        <v>1115.1500000000001</v>
      </c>
      <c r="CE57">
        <v>785</v>
      </c>
      <c r="CF57">
        <v>10050.4</v>
      </c>
      <c r="CG57">
        <v>1118.07</v>
      </c>
      <c r="CH57">
        <v>-2.92</v>
      </c>
      <c r="CV57">
        <f t="shared" si="88"/>
        <v>1800.16</v>
      </c>
      <c r="CW57">
        <f t="shared" si="89"/>
        <v>1513.3191006317841</v>
      </c>
      <c r="CX57">
        <f t="shared" si="90"/>
        <v>0.8406581085191227</v>
      </c>
      <c r="CY57">
        <f t="shared" si="91"/>
        <v>0.1913162170382457</v>
      </c>
      <c r="CZ57">
        <v>6</v>
      </c>
      <c r="DA57">
        <v>0.5</v>
      </c>
      <c r="DB57" t="s">
        <v>418</v>
      </c>
      <c r="DC57">
        <v>2</v>
      </c>
      <c r="DD57">
        <v>1674582643</v>
      </c>
      <c r="DE57">
        <v>1137.07</v>
      </c>
      <c r="DF57">
        <v>1200.0899999999999</v>
      </c>
      <c r="DG57">
        <v>24.6953</v>
      </c>
      <c r="DH57">
        <v>20.319700000000001</v>
      </c>
      <c r="DI57">
        <v>1132.92</v>
      </c>
      <c r="DJ57">
        <v>24.562799999999999</v>
      </c>
      <c r="DK57">
        <v>500.04599999999999</v>
      </c>
      <c r="DL57">
        <v>99.721000000000004</v>
      </c>
      <c r="DM57">
        <v>9.9801399999999998E-2</v>
      </c>
      <c r="DN57">
        <v>28.007899999999999</v>
      </c>
      <c r="DO57">
        <v>27.8294</v>
      </c>
      <c r="DP57">
        <v>999.9</v>
      </c>
      <c r="DQ57">
        <v>0</v>
      </c>
      <c r="DR57">
        <v>0</v>
      </c>
      <c r="DS57">
        <v>9995</v>
      </c>
      <c r="DT57">
        <v>0</v>
      </c>
      <c r="DU57">
        <v>398.303</v>
      </c>
      <c r="DV57">
        <v>-63.026000000000003</v>
      </c>
      <c r="DW57">
        <v>1165.8599999999999</v>
      </c>
      <c r="DX57">
        <v>1224.99</v>
      </c>
      <c r="DY57">
        <v>4.3756199999999996</v>
      </c>
      <c r="DZ57">
        <v>1200.0899999999999</v>
      </c>
      <c r="EA57">
        <v>20.319700000000001</v>
      </c>
      <c r="EB57">
        <v>2.4626399999999999</v>
      </c>
      <c r="EC57">
        <v>2.0263</v>
      </c>
      <c r="ED57">
        <v>20.781700000000001</v>
      </c>
      <c r="EE57">
        <v>17.651399999999999</v>
      </c>
      <c r="EF57">
        <v>1800.16</v>
      </c>
      <c r="EG57">
        <v>0.97799999999999998</v>
      </c>
      <c r="EH57">
        <v>2.2000100000000002E-2</v>
      </c>
      <c r="EI57">
        <v>0</v>
      </c>
      <c r="EJ57">
        <v>856.53499999999997</v>
      </c>
      <c r="EK57">
        <v>4.9990399999999999</v>
      </c>
      <c r="EL57">
        <v>16405.7</v>
      </c>
      <c r="EM57">
        <v>14822</v>
      </c>
      <c r="EN57">
        <v>48.75</v>
      </c>
      <c r="EO57">
        <v>50.311999999999998</v>
      </c>
      <c r="EP57">
        <v>49.75</v>
      </c>
      <c r="EQ57">
        <v>48.686999999999998</v>
      </c>
      <c r="ER57">
        <v>49.625</v>
      </c>
      <c r="ES57">
        <v>1755.67</v>
      </c>
      <c r="ET57">
        <v>39.49</v>
      </c>
      <c r="EU57">
        <v>0</v>
      </c>
      <c r="EV57">
        <v>114.2000000476837</v>
      </c>
      <c r="EW57">
        <v>0</v>
      </c>
      <c r="EX57">
        <v>856.91088000000002</v>
      </c>
      <c r="EY57">
        <v>-1.723384615188716</v>
      </c>
      <c r="EZ57">
        <v>-29.700000218535379</v>
      </c>
      <c r="FA57">
        <v>16406.871999999999</v>
      </c>
      <c r="FB57">
        <v>15</v>
      </c>
      <c r="FC57">
        <v>1674582609</v>
      </c>
      <c r="FD57" t="s">
        <v>628</v>
      </c>
      <c r="FE57">
        <v>1674582495</v>
      </c>
      <c r="FF57">
        <v>1674582599.5</v>
      </c>
      <c r="FG57">
        <v>48</v>
      </c>
      <c r="FH57">
        <v>0.59099999999999997</v>
      </c>
      <c r="FI57">
        <v>8.0000000000000002E-3</v>
      </c>
      <c r="FJ57">
        <v>3.7370000000000001</v>
      </c>
      <c r="FK57">
        <v>0.11600000000000001</v>
      </c>
      <c r="FL57">
        <v>800</v>
      </c>
      <c r="FM57">
        <v>20</v>
      </c>
      <c r="FN57">
        <v>7.0000000000000007E-2</v>
      </c>
      <c r="FO57">
        <v>0.02</v>
      </c>
      <c r="FP57">
        <v>48.227046811651199</v>
      </c>
      <c r="FQ57">
        <v>-0.34056944569464381</v>
      </c>
      <c r="FR57">
        <v>8.4508248822698334E-2</v>
      </c>
      <c r="FS57">
        <v>1</v>
      </c>
      <c r="FT57">
        <v>0.29724313499596672</v>
      </c>
      <c r="FU57">
        <v>1.136346391708236E-2</v>
      </c>
      <c r="FV57">
        <v>2.0475838590211601E-3</v>
      </c>
      <c r="FW57">
        <v>1</v>
      </c>
      <c r="FX57">
        <v>2</v>
      </c>
      <c r="FY57">
        <v>2</v>
      </c>
      <c r="FZ57" t="s">
        <v>420</v>
      </c>
      <c r="GA57">
        <v>2.9328599999999998</v>
      </c>
      <c r="GB57">
        <v>2.8332099999999998</v>
      </c>
      <c r="GC57">
        <v>0.18545400000000001</v>
      </c>
      <c r="GD57">
        <v>0.18886</v>
      </c>
      <c r="GE57">
        <v>0.12164999999999999</v>
      </c>
      <c r="GF57">
        <v>0.102633</v>
      </c>
      <c r="GG57">
        <v>21033.9</v>
      </c>
      <c r="GH57">
        <v>26474.5</v>
      </c>
      <c r="GI57">
        <v>23234.799999999999</v>
      </c>
      <c r="GJ57">
        <v>29905.4</v>
      </c>
      <c r="GK57">
        <v>27762.400000000001</v>
      </c>
      <c r="GL57">
        <v>38161.1</v>
      </c>
      <c r="GM57">
        <v>32787.699999999997</v>
      </c>
      <c r="GN57">
        <v>44369.5</v>
      </c>
      <c r="GO57">
        <v>1.9614</v>
      </c>
      <c r="GP57">
        <v>1.8328</v>
      </c>
      <c r="GQ57">
        <v>6.1541800000000001E-2</v>
      </c>
      <c r="GR57">
        <v>0</v>
      </c>
      <c r="GS57">
        <v>26.823599999999999</v>
      </c>
      <c r="GT57">
        <v>999.9</v>
      </c>
      <c r="GU57">
        <v>47.8</v>
      </c>
      <c r="GV57">
        <v>36.299999999999997</v>
      </c>
      <c r="GW57">
        <v>29.0852</v>
      </c>
      <c r="GX57">
        <v>61.486199999999997</v>
      </c>
      <c r="GY57">
        <v>37.251600000000003</v>
      </c>
      <c r="GZ57">
        <v>1</v>
      </c>
      <c r="HA57">
        <v>0.37069400000000002</v>
      </c>
      <c r="HB57">
        <v>2.52528</v>
      </c>
      <c r="HC57">
        <v>20.252800000000001</v>
      </c>
      <c r="HD57">
        <v>5.2102500000000003</v>
      </c>
      <c r="HE57">
        <v>11.872199999999999</v>
      </c>
      <c r="HF57">
        <v>4.9848499999999998</v>
      </c>
      <c r="HG57">
        <v>3.2839999999999998</v>
      </c>
      <c r="HH57">
        <v>9999</v>
      </c>
      <c r="HI57">
        <v>9999</v>
      </c>
      <c r="HJ57">
        <v>9999</v>
      </c>
      <c r="HK57">
        <v>999.9</v>
      </c>
      <c r="HL57">
        <v>1.8546499999999999</v>
      </c>
      <c r="HM57">
        <v>1.8607199999999999</v>
      </c>
      <c r="HN57">
        <v>1.85806</v>
      </c>
      <c r="HO57">
        <v>1.85928</v>
      </c>
      <c r="HP57">
        <v>1.85867</v>
      </c>
      <c r="HQ57">
        <v>1.85917</v>
      </c>
      <c r="HR57">
        <v>1.85751</v>
      </c>
      <c r="HS57">
        <v>1.8608499999999999</v>
      </c>
      <c r="HT57">
        <v>5</v>
      </c>
      <c r="HU57">
        <v>0</v>
      </c>
      <c r="HV57">
        <v>0</v>
      </c>
      <c r="HW57">
        <v>0</v>
      </c>
      <c r="HX57" t="s">
        <v>421</v>
      </c>
      <c r="HY57" t="s">
        <v>422</v>
      </c>
      <c r="HZ57" t="s">
        <v>423</v>
      </c>
      <c r="IA57" t="s">
        <v>423</v>
      </c>
      <c r="IB57" t="s">
        <v>423</v>
      </c>
      <c r="IC57" t="s">
        <v>423</v>
      </c>
      <c r="ID57">
        <v>0</v>
      </c>
      <c r="IE57">
        <v>100</v>
      </c>
      <c r="IF57">
        <v>100</v>
      </c>
      <c r="IG57">
        <v>4.1500000000000004</v>
      </c>
      <c r="IH57">
        <v>0.13250000000000001</v>
      </c>
      <c r="II57">
        <v>2.4779605016965531</v>
      </c>
      <c r="IJ57">
        <v>1.6187016317407189E-3</v>
      </c>
      <c r="IK57">
        <v>1.4341569744255341E-7</v>
      </c>
      <c r="IL57">
        <v>-2.4096625942085749E-10</v>
      </c>
      <c r="IM57">
        <v>0.13256318355305119</v>
      </c>
      <c r="IN57">
        <v>0</v>
      </c>
      <c r="IO57">
        <v>0</v>
      </c>
      <c r="IP57">
        <v>0</v>
      </c>
      <c r="IQ57">
        <v>4</v>
      </c>
      <c r="IR57">
        <v>2205</v>
      </c>
      <c r="IS57">
        <v>1</v>
      </c>
      <c r="IT57">
        <v>21</v>
      </c>
      <c r="IU57">
        <v>2.5</v>
      </c>
      <c r="IV57">
        <v>0.7</v>
      </c>
      <c r="IW57">
        <v>2.4450699999999999</v>
      </c>
      <c r="IX57">
        <v>2.4328599999999998</v>
      </c>
      <c r="IY57">
        <v>1.49414</v>
      </c>
      <c r="IZ57">
        <v>2.3046899999999999</v>
      </c>
      <c r="JA57">
        <v>1.69434</v>
      </c>
      <c r="JB57">
        <v>2.3645</v>
      </c>
      <c r="JC57">
        <v>40.4255</v>
      </c>
      <c r="JD57">
        <v>23.991199999999999</v>
      </c>
      <c r="JE57">
        <v>18</v>
      </c>
      <c r="JF57">
        <v>508.52199999999999</v>
      </c>
      <c r="JG57">
        <v>447.44499999999999</v>
      </c>
      <c r="JH57">
        <v>24.392299999999999</v>
      </c>
      <c r="JI57">
        <v>31.9452</v>
      </c>
      <c r="JJ57">
        <v>30.000399999999999</v>
      </c>
      <c r="JK57">
        <v>31.834</v>
      </c>
      <c r="JL57">
        <v>31.798400000000001</v>
      </c>
      <c r="JM57">
        <v>49.0017</v>
      </c>
      <c r="JN57">
        <v>36.596800000000002</v>
      </c>
      <c r="JO57">
        <v>0</v>
      </c>
      <c r="JP57">
        <v>24.3841</v>
      </c>
      <c r="JQ57">
        <v>1200</v>
      </c>
      <c r="JR57">
        <v>20.304600000000001</v>
      </c>
      <c r="JS57">
        <v>98.779600000000002</v>
      </c>
      <c r="JT57">
        <v>99.6417</v>
      </c>
    </row>
    <row r="58" spans="1:280" x14ac:dyDescent="0.25">
      <c r="A58">
        <v>42</v>
      </c>
      <c r="B58">
        <v>1674582752.5</v>
      </c>
      <c r="C58">
        <v>8699.9000000953674</v>
      </c>
      <c r="D58" t="s">
        <v>629</v>
      </c>
      <c r="E58" t="s">
        <v>630</v>
      </c>
      <c r="F58" t="s">
        <v>412</v>
      </c>
      <c r="G58" t="s">
        <v>564</v>
      </c>
      <c r="H58" t="s">
        <v>565</v>
      </c>
      <c r="I58">
        <v>1674582752.5</v>
      </c>
      <c r="J58">
        <f t="shared" si="46"/>
        <v>3.4415457453433806E-3</v>
      </c>
      <c r="K58">
        <f t="shared" si="47"/>
        <v>3.4415457453433804</v>
      </c>
      <c r="L58">
        <f t="shared" si="48"/>
        <v>47.52683548760114</v>
      </c>
      <c r="M58">
        <f t="shared" si="49"/>
        <v>1436.92</v>
      </c>
      <c r="N58">
        <f t="shared" si="50"/>
        <v>1115.8874475201039</v>
      </c>
      <c r="O58">
        <f t="shared" si="51"/>
        <v>111.38776538832239</v>
      </c>
      <c r="P58">
        <f t="shared" si="52"/>
        <v>143.433200362176</v>
      </c>
      <c r="Q58">
        <f t="shared" si="53"/>
        <v>0.27009537637032482</v>
      </c>
      <c r="R58">
        <f t="shared" si="54"/>
        <v>2.9238706805762624</v>
      </c>
      <c r="S58">
        <f t="shared" si="55"/>
        <v>0.25696019050640218</v>
      </c>
      <c r="T58">
        <f t="shared" si="56"/>
        <v>0.16172701768522163</v>
      </c>
      <c r="U58">
        <f t="shared" si="57"/>
        <v>344.39030126360342</v>
      </c>
      <c r="V58">
        <f t="shared" si="58"/>
        <v>29.14726521534179</v>
      </c>
      <c r="W58">
        <f t="shared" si="59"/>
        <v>27.8642</v>
      </c>
      <c r="X58">
        <f t="shared" si="60"/>
        <v>3.7649007213894428</v>
      </c>
      <c r="Y58">
        <f t="shared" si="61"/>
        <v>65.043067138776664</v>
      </c>
      <c r="Z58">
        <f t="shared" si="62"/>
        <v>2.4697338056683198</v>
      </c>
      <c r="AA58">
        <f t="shared" si="63"/>
        <v>3.7970746373304727</v>
      </c>
      <c r="AB58">
        <f t="shared" si="64"/>
        <v>1.295166915721123</v>
      </c>
      <c r="AC58">
        <f t="shared" si="65"/>
        <v>-151.77216736964309</v>
      </c>
      <c r="AD58">
        <f t="shared" si="66"/>
        <v>22.998467383546252</v>
      </c>
      <c r="AE58">
        <f t="shared" si="67"/>
        <v>1.7134813416888464</v>
      </c>
      <c r="AF58">
        <f t="shared" si="68"/>
        <v>217.33008261919545</v>
      </c>
      <c r="AG58">
        <v>0</v>
      </c>
      <c r="AH58">
        <v>0</v>
      </c>
      <c r="AI58">
        <f t="shared" si="69"/>
        <v>1</v>
      </c>
      <c r="AJ58">
        <f t="shared" si="70"/>
        <v>0</v>
      </c>
      <c r="AK58">
        <f t="shared" si="71"/>
        <v>52530.251735078418</v>
      </c>
      <c r="AL58" t="s">
        <v>415</v>
      </c>
      <c r="AM58">
        <v>10214.9</v>
      </c>
      <c r="AN58">
        <v>729.4384</v>
      </c>
      <c r="AO58">
        <v>3170.19</v>
      </c>
      <c r="AP58">
        <f t="shared" si="72"/>
        <v>0.76990704027203416</v>
      </c>
      <c r="AQ58">
        <v>-0.45549566560547827</v>
      </c>
      <c r="AR58" t="s">
        <v>631</v>
      </c>
      <c r="AS58">
        <v>10092.799999999999</v>
      </c>
      <c r="AT58">
        <v>856.14571999999998</v>
      </c>
      <c r="AU58">
        <v>1220.111071866419</v>
      </c>
      <c r="AV58">
        <f t="shared" si="73"/>
        <v>0.2983050971823874</v>
      </c>
      <c r="AW58">
        <v>0.5</v>
      </c>
      <c r="AX58">
        <f t="shared" si="74"/>
        <v>1513.2771006318017</v>
      </c>
      <c r="AY58">
        <f t="shared" si="75"/>
        <v>47.52683548760114</v>
      </c>
      <c r="AZ58">
        <f t="shared" si="76"/>
        <v>225.70913628392552</v>
      </c>
      <c r="BA58">
        <f t="shared" si="77"/>
        <v>3.1707564419744226E-2</v>
      </c>
      <c r="BB58">
        <f t="shared" si="78"/>
        <v>1.5982798395153657</v>
      </c>
      <c r="BC58">
        <f t="shared" si="79"/>
        <v>533.3115209153957</v>
      </c>
      <c r="BD58" t="s">
        <v>632</v>
      </c>
      <c r="BE58">
        <v>627.08000000000004</v>
      </c>
      <c r="BF58">
        <f t="shared" si="80"/>
        <v>627.08000000000004</v>
      </c>
      <c r="BG58">
        <f t="shared" si="81"/>
        <v>0.48604679159189335</v>
      </c>
      <c r="BH58">
        <f t="shared" si="82"/>
        <v>0.61373740623898154</v>
      </c>
      <c r="BI58">
        <f t="shared" si="83"/>
        <v>0.76680872165717606</v>
      </c>
      <c r="BJ58">
        <f t="shared" si="84"/>
        <v>0.74176813328928404</v>
      </c>
      <c r="BK58">
        <f t="shared" si="85"/>
        <v>0.79896656756614681</v>
      </c>
      <c r="BL58">
        <f t="shared" si="86"/>
        <v>0.44952914406246236</v>
      </c>
      <c r="BM58">
        <f t="shared" si="87"/>
        <v>0.55047085593753764</v>
      </c>
      <c r="BN58">
        <v>9140</v>
      </c>
      <c r="BO58">
        <v>290.00000000000011</v>
      </c>
      <c r="BP58">
        <v>1121.6600000000001</v>
      </c>
      <c r="BQ58">
        <v>135</v>
      </c>
      <c r="BR58">
        <v>10092.799999999999</v>
      </c>
      <c r="BS58">
        <v>1118.28</v>
      </c>
      <c r="BT58">
        <v>3.38</v>
      </c>
      <c r="BU58">
        <v>300.00000000000011</v>
      </c>
      <c r="BV58">
        <v>24.2</v>
      </c>
      <c r="BW58">
        <v>1220.111071866419</v>
      </c>
      <c r="BX58">
        <v>1.796769111419525</v>
      </c>
      <c r="BY58">
        <v>-102.7773904510674</v>
      </c>
      <c r="BZ58">
        <v>1.6119142041254879</v>
      </c>
      <c r="CA58">
        <v>0.99315984638214527</v>
      </c>
      <c r="CB58">
        <v>-6.8860685205784254E-3</v>
      </c>
      <c r="CC58">
        <v>289.99999999999989</v>
      </c>
      <c r="CD58">
        <v>1115.8800000000001</v>
      </c>
      <c r="CE58">
        <v>675</v>
      </c>
      <c r="CF58">
        <v>10055.6</v>
      </c>
      <c r="CG58">
        <v>1117.9000000000001</v>
      </c>
      <c r="CH58">
        <v>-2.02</v>
      </c>
      <c r="CV58">
        <f t="shared" si="88"/>
        <v>1800.11</v>
      </c>
      <c r="CW58">
        <f t="shared" si="89"/>
        <v>1513.2771006318017</v>
      </c>
      <c r="CX58">
        <f t="shared" si="90"/>
        <v>0.84065812679880769</v>
      </c>
      <c r="CY58">
        <f t="shared" si="91"/>
        <v>0.19131625359761539</v>
      </c>
      <c r="CZ58">
        <v>6</v>
      </c>
      <c r="DA58">
        <v>0.5</v>
      </c>
      <c r="DB58" t="s">
        <v>418</v>
      </c>
      <c r="DC58">
        <v>2</v>
      </c>
      <c r="DD58">
        <v>1674582752.5</v>
      </c>
      <c r="DE58">
        <v>1436.92</v>
      </c>
      <c r="DF58">
        <v>1499.89</v>
      </c>
      <c r="DG58">
        <v>24.741900000000001</v>
      </c>
      <c r="DH58">
        <v>20.713999999999999</v>
      </c>
      <c r="DI58">
        <v>1432.38</v>
      </c>
      <c r="DJ58">
        <v>24.610900000000001</v>
      </c>
      <c r="DK58">
        <v>499.97199999999998</v>
      </c>
      <c r="DL58">
        <v>99.720299999999995</v>
      </c>
      <c r="DM58">
        <v>9.9592799999999995E-2</v>
      </c>
      <c r="DN58">
        <v>28.010100000000001</v>
      </c>
      <c r="DO58">
        <v>27.8642</v>
      </c>
      <c r="DP58">
        <v>999.9</v>
      </c>
      <c r="DQ58">
        <v>0</v>
      </c>
      <c r="DR58">
        <v>0</v>
      </c>
      <c r="DS58">
        <v>9995.6200000000008</v>
      </c>
      <c r="DT58">
        <v>0</v>
      </c>
      <c r="DU58">
        <v>402.85399999999998</v>
      </c>
      <c r="DV58">
        <v>-62.969099999999997</v>
      </c>
      <c r="DW58">
        <v>1473.37</v>
      </c>
      <c r="DX58">
        <v>1531.61</v>
      </c>
      <c r="DY58">
        <v>4.0278999999999998</v>
      </c>
      <c r="DZ58">
        <v>1499.89</v>
      </c>
      <c r="EA58">
        <v>20.713999999999999</v>
      </c>
      <c r="EB58">
        <v>2.4672700000000001</v>
      </c>
      <c r="EC58">
        <v>2.0656099999999999</v>
      </c>
      <c r="ED58">
        <v>20.812200000000001</v>
      </c>
      <c r="EE58">
        <v>17.956399999999999</v>
      </c>
      <c r="EF58">
        <v>1800.11</v>
      </c>
      <c r="EG58">
        <v>0.97799999999999998</v>
      </c>
      <c r="EH58">
        <v>2.2000100000000002E-2</v>
      </c>
      <c r="EI58">
        <v>0</v>
      </c>
      <c r="EJ58">
        <v>856.04300000000001</v>
      </c>
      <c r="EK58">
        <v>4.9990399999999999</v>
      </c>
      <c r="EL58">
        <v>16403.099999999999</v>
      </c>
      <c r="EM58">
        <v>14821.6</v>
      </c>
      <c r="EN58">
        <v>48.75</v>
      </c>
      <c r="EO58">
        <v>50.311999999999998</v>
      </c>
      <c r="EP58">
        <v>49.75</v>
      </c>
      <c r="EQ58">
        <v>48.686999999999998</v>
      </c>
      <c r="ER58">
        <v>49.625</v>
      </c>
      <c r="ES58">
        <v>1755.62</v>
      </c>
      <c r="ET58">
        <v>39.49</v>
      </c>
      <c r="EU58">
        <v>0</v>
      </c>
      <c r="EV58">
        <v>107.4000000953674</v>
      </c>
      <c r="EW58">
        <v>0</v>
      </c>
      <c r="EX58">
        <v>856.14571999999998</v>
      </c>
      <c r="EY58">
        <v>-0.26261538196980322</v>
      </c>
      <c r="EZ58">
        <v>-8.5307691740747149</v>
      </c>
      <c r="FA58">
        <v>16404.008000000002</v>
      </c>
      <c r="FB58">
        <v>15</v>
      </c>
      <c r="FC58">
        <v>1674582717</v>
      </c>
      <c r="FD58" t="s">
        <v>633</v>
      </c>
      <c r="FE58">
        <v>1674582716.5</v>
      </c>
      <c r="FF58">
        <v>1674582717</v>
      </c>
      <c r="FG58">
        <v>49</v>
      </c>
      <c r="FH58">
        <v>0.156</v>
      </c>
      <c r="FI58">
        <v>-2E-3</v>
      </c>
      <c r="FJ58">
        <v>4.5709999999999997</v>
      </c>
      <c r="FK58">
        <v>0.124</v>
      </c>
      <c r="FL58">
        <v>1500</v>
      </c>
      <c r="FM58">
        <v>21</v>
      </c>
      <c r="FN58">
        <v>0.13</v>
      </c>
      <c r="FO58">
        <v>0.01</v>
      </c>
      <c r="FP58">
        <v>47.609909862397167</v>
      </c>
      <c r="FQ58">
        <v>-0.31056013547531208</v>
      </c>
      <c r="FR58">
        <v>7.537890590729511E-2</v>
      </c>
      <c r="FS58">
        <v>1</v>
      </c>
      <c r="FT58">
        <v>0.27412531730382961</v>
      </c>
      <c r="FU58">
        <v>-1.079705046720829E-2</v>
      </c>
      <c r="FV58">
        <v>1.731549904680341E-3</v>
      </c>
      <c r="FW58">
        <v>1</v>
      </c>
      <c r="FX58">
        <v>2</v>
      </c>
      <c r="FY58">
        <v>2</v>
      </c>
      <c r="FZ58" t="s">
        <v>420</v>
      </c>
      <c r="GA58">
        <v>2.9326300000000001</v>
      </c>
      <c r="GB58">
        <v>2.8330099999999998</v>
      </c>
      <c r="GC58">
        <v>0.213925</v>
      </c>
      <c r="GD58">
        <v>0.216222</v>
      </c>
      <c r="GE58">
        <v>0.121808</v>
      </c>
      <c r="GF58">
        <v>0.104016</v>
      </c>
      <c r="GG58">
        <v>20298.599999999999</v>
      </c>
      <c r="GH58">
        <v>25579</v>
      </c>
      <c r="GI58">
        <v>23235.8</v>
      </c>
      <c r="GJ58">
        <v>29903.9</v>
      </c>
      <c r="GK58">
        <v>27759.3</v>
      </c>
      <c r="GL58">
        <v>38100.6</v>
      </c>
      <c r="GM58">
        <v>32789.300000000003</v>
      </c>
      <c r="GN58">
        <v>44367.6</v>
      </c>
      <c r="GO58">
        <v>1.9613</v>
      </c>
      <c r="GP58">
        <v>1.83372</v>
      </c>
      <c r="GQ58">
        <v>6.4410300000000004E-2</v>
      </c>
      <c r="GR58">
        <v>0</v>
      </c>
      <c r="GS58">
        <v>26.811399999999999</v>
      </c>
      <c r="GT58">
        <v>999.9</v>
      </c>
      <c r="GU58">
        <v>47.8</v>
      </c>
      <c r="GV58">
        <v>36.4</v>
      </c>
      <c r="GW58">
        <v>29.246700000000001</v>
      </c>
      <c r="GX58">
        <v>61.476199999999999</v>
      </c>
      <c r="GY58">
        <v>37.311700000000002</v>
      </c>
      <c r="GZ58">
        <v>1</v>
      </c>
      <c r="HA58">
        <v>0.37255300000000002</v>
      </c>
      <c r="HB58">
        <v>2.4911599999999998</v>
      </c>
      <c r="HC58">
        <v>20.252600000000001</v>
      </c>
      <c r="HD58">
        <v>5.2088999999999999</v>
      </c>
      <c r="HE58">
        <v>11.872199999999999</v>
      </c>
      <c r="HF58">
        <v>4.9832000000000001</v>
      </c>
      <c r="HG58">
        <v>3.2833999999999999</v>
      </c>
      <c r="HH58">
        <v>9999</v>
      </c>
      <c r="HI58">
        <v>9999</v>
      </c>
      <c r="HJ58">
        <v>9999</v>
      </c>
      <c r="HK58">
        <v>999.9</v>
      </c>
      <c r="HL58">
        <v>1.8547100000000001</v>
      </c>
      <c r="HM58">
        <v>1.8607899999999999</v>
      </c>
      <c r="HN58">
        <v>1.8581000000000001</v>
      </c>
      <c r="HO58">
        <v>1.85928</v>
      </c>
      <c r="HP58">
        <v>1.85867</v>
      </c>
      <c r="HQ58">
        <v>1.8592299999999999</v>
      </c>
      <c r="HR58">
        <v>1.8575900000000001</v>
      </c>
      <c r="HS58">
        <v>1.8609100000000001</v>
      </c>
      <c r="HT58">
        <v>5</v>
      </c>
      <c r="HU58">
        <v>0</v>
      </c>
      <c r="HV58">
        <v>0</v>
      </c>
      <c r="HW58">
        <v>0</v>
      </c>
      <c r="HX58" t="s">
        <v>421</v>
      </c>
      <c r="HY58" t="s">
        <v>422</v>
      </c>
      <c r="HZ58" t="s">
        <v>423</v>
      </c>
      <c r="IA58" t="s">
        <v>423</v>
      </c>
      <c r="IB58" t="s">
        <v>423</v>
      </c>
      <c r="IC58" t="s">
        <v>423</v>
      </c>
      <c r="ID58">
        <v>0</v>
      </c>
      <c r="IE58">
        <v>100</v>
      </c>
      <c r="IF58">
        <v>100</v>
      </c>
      <c r="IG58">
        <v>4.54</v>
      </c>
      <c r="IH58">
        <v>0.13100000000000001</v>
      </c>
      <c r="II58">
        <v>2.6354242149694578</v>
      </c>
      <c r="IJ58">
        <v>1.6187016317407189E-3</v>
      </c>
      <c r="IK58">
        <v>1.4341569744255341E-7</v>
      </c>
      <c r="IL58">
        <v>-2.4096625942085749E-10</v>
      </c>
      <c r="IM58">
        <v>0.13096943823621551</v>
      </c>
      <c r="IN58">
        <v>0</v>
      </c>
      <c r="IO58">
        <v>0</v>
      </c>
      <c r="IP58">
        <v>0</v>
      </c>
      <c r="IQ58">
        <v>4</v>
      </c>
      <c r="IR58">
        <v>2205</v>
      </c>
      <c r="IS58">
        <v>1</v>
      </c>
      <c r="IT58">
        <v>21</v>
      </c>
      <c r="IU58">
        <v>0.6</v>
      </c>
      <c r="IV58">
        <v>0.6</v>
      </c>
      <c r="IW58">
        <v>2.9382299999999999</v>
      </c>
      <c r="IX58">
        <v>2.4267599999999998</v>
      </c>
      <c r="IY58">
        <v>1.49414</v>
      </c>
      <c r="IZ58">
        <v>2.3046899999999999</v>
      </c>
      <c r="JA58">
        <v>1.69434</v>
      </c>
      <c r="JB58">
        <v>2.3584000000000001</v>
      </c>
      <c r="JC58">
        <v>40.451000000000001</v>
      </c>
      <c r="JD58">
        <v>23.982399999999998</v>
      </c>
      <c r="JE58">
        <v>18</v>
      </c>
      <c r="JF58">
        <v>508.73700000000002</v>
      </c>
      <c r="JG58">
        <v>448.39</v>
      </c>
      <c r="JH58">
        <v>24.407900000000001</v>
      </c>
      <c r="JI58">
        <v>31.970500000000001</v>
      </c>
      <c r="JJ58">
        <v>30.000299999999999</v>
      </c>
      <c r="JK58">
        <v>31.867599999999999</v>
      </c>
      <c r="JL58">
        <v>31.834800000000001</v>
      </c>
      <c r="JM58">
        <v>58.8613</v>
      </c>
      <c r="JN58">
        <v>35.433999999999997</v>
      </c>
      <c r="JO58">
        <v>0</v>
      </c>
      <c r="JP58">
        <v>24.401399999999999</v>
      </c>
      <c r="JQ58">
        <v>1500</v>
      </c>
      <c r="JR58">
        <v>20.712399999999999</v>
      </c>
      <c r="JS58">
        <v>98.784199999999998</v>
      </c>
      <c r="JT58">
        <v>99.637200000000007</v>
      </c>
    </row>
    <row r="59" spans="1:280" x14ac:dyDescent="0.25">
      <c r="A59">
        <v>43</v>
      </c>
      <c r="B59">
        <v>1674584225.5999999</v>
      </c>
      <c r="C59">
        <v>10173</v>
      </c>
      <c r="D59" t="s">
        <v>634</v>
      </c>
      <c r="E59" t="s">
        <v>635</v>
      </c>
      <c r="F59" t="s">
        <v>412</v>
      </c>
      <c r="G59" t="s">
        <v>31</v>
      </c>
      <c r="H59" t="s">
        <v>636</v>
      </c>
      <c r="I59">
        <v>1674584225.5999999</v>
      </c>
      <c r="J59">
        <f t="shared" si="46"/>
        <v>5.1999504517406172E-3</v>
      </c>
      <c r="K59">
        <f t="shared" si="47"/>
        <v>5.1999504517406168</v>
      </c>
      <c r="L59">
        <f t="shared" si="48"/>
        <v>51.354771832467058</v>
      </c>
      <c r="M59">
        <f t="shared" si="49"/>
        <v>336.25400000000002</v>
      </c>
      <c r="N59">
        <f t="shared" si="50"/>
        <v>132.45381826180554</v>
      </c>
      <c r="O59">
        <f t="shared" si="51"/>
        <v>13.217895910500829</v>
      </c>
      <c r="P59">
        <f t="shared" si="52"/>
        <v>33.555622856447201</v>
      </c>
      <c r="Q59">
        <f t="shared" si="53"/>
        <v>0.44223972159647273</v>
      </c>
      <c r="R59">
        <f t="shared" si="54"/>
        <v>2.9278659555638566</v>
      </c>
      <c r="S59">
        <f t="shared" si="55"/>
        <v>0.40820142069116488</v>
      </c>
      <c r="T59">
        <f t="shared" si="56"/>
        <v>0.25796542524999433</v>
      </c>
      <c r="U59">
        <f t="shared" si="57"/>
        <v>344.41940126381809</v>
      </c>
      <c r="V59">
        <f t="shared" si="58"/>
        <v>28.672173318125839</v>
      </c>
      <c r="W59">
        <f t="shared" si="59"/>
        <v>27.620100000000001</v>
      </c>
      <c r="X59">
        <f t="shared" si="60"/>
        <v>3.7116034291990432</v>
      </c>
      <c r="Y59">
        <f t="shared" si="61"/>
        <v>65.371753207500021</v>
      </c>
      <c r="Z59">
        <f t="shared" si="62"/>
        <v>2.47981335923396</v>
      </c>
      <c r="AA59">
        <f t="shared" si="63"/>
        <v>3.7934019474170291</v>
      </c>
      <c r="AB59">
        <f t="shared" si="64"/>
        <v>1.2317900699650832</v>
      </c>
      <c r="AC59">
        <f t="shared" si="65"/>
        <v>-229.31781492176123</v>
      </c>
      <c r="AD59">
        <f t="shared" si="66"/>
        <v>58.940110648600339</v>
      </c>
      <c r="AE59">
        <f t="shared" si="67"/>
        <v>4.3795963080919327</v>
      </c>
      <c r="AF59">
        <f t="shared" si="68"/>
        <v>178.42129329874916</v>
      </c>
      <c r="AG59">
        <v>0</v>
      </c>
      <c r="AH59">
        <v>0</v>
      </c>
      <c r="AI59">
        <f t="shared" si="69"/>
        <v>1</v>
      </c>
      <c r="AJ59">
        <f t="shared" si="70"/>
        <v>0</v>
      </c>
      <c r="AK59">
        <f t="shared" si="71"/>
        <v>52647.483173042929</v>
      </c>
      <c r="AL59" t="s">
        <v>415</v>
      </c>
      <c r="AM59">
        <v>10214.9</v>
      </c>
      <c r="AN59">
        <v>729.4384</v>
      </c>
      <c r="AO59">
        <v>3170.19</v>
      </c>
      <c r="AP59">
        <f t="shared" si="72"/>
        <v>0.76990704027203416</v>
      </c>
      <c r="AQ59">
        <v>-0.45549566560547827</v>
      </c>
      <c r="AR59" t="s">
        <v>637</v>
      </c>
      <c r="AS59">
        <v>10087.9</v>
      </c>
      <c r="AT59">
        <v>785.35476923076931</v>
      </c>
      <c r="AU59">
        <v>1170.1899551755439</v>
      </c>
      <c r="AV59">
        <f t="shared" si="73"/>
        <v>0.32886556942547351</v>
      </c>
      <c r="AW59">
        <v>0.5</v>
      </c>
      <c r="AX59">
        <f t="shared" si="74"/>
        <v>1513.4034006319091</v>
      </c>
      <c r="AY59">
        <f t="shared" si="75"/>
        <v>51.354771832467058</v>
      </c>
      <c r="AZ59">
        <f t="shared" si="76"/>
        <v>248.8531355596304</v>
      </c>
      <c r="BA59">
        <f t="shared" si="77"/>
        <v>3.4234274534099489E-2</v>
      </c>
      <c r="BB59">
        <f t="shared" si="78"/>
        <v>1.7091242630983188</v>
      </c>
      <c r="BC59">
        <f t="shared" si="79"/>
        <v>523.54889230220408</v>
      </c>
      <c r="BD59" t="s">
        <v>638</v>
      </c>
      <c r="BE59">
        <v>578.92999999999995</v>
      </c>
      <c r="BF59">
        <f t="shared" si="80"/>
        <v>578.92999999999995</v>
      </c>
      <c r="BG59">
        <f t="shared" si="81"/>
        <v>0.50526835627028366</v>
      </c>
      <c r="BH59">
        <f t="shared" si="82"/>
        <v>0.65087307634510405</v>
      </c>
      <c r="BI59">
        <f t="shared" si="83"/>
        <v>0.77182530692576434</v>
      </c>
      <c r="BJ59">
        <f t="shared" si="84"/>
        <v>0.87313403985948779</v>
      </c>
      <c r="BK59">
        <f t="shared" si="85"/>
        <v>0.81941974137165619</v>
      </c>
      <c r="BL59">
        <f t="shared" si="86"/>
        <v>0.47979583858330005</v>
      </c>
      <c r="BM59">
        <f t="shared" si="87"/>
        <v>0.5202041614166999</v>
      </c>
      <c r="BN59">
        <v>9142</v>
      </c>
      <c r="BO59">
        <v>290.00000000000011</v>
      </c>
      <c r="BP59">
        <v>1065.6500000000001</v>
      </c>
      <c r="BQ59">
        <v>185</v>
      </c>
      <c r="BR59">
        <v>10087.9</v>
      </c>
      <c r="BS59">
        <v>1063.4100000000001</v>
      </c>
      <c r="BT59">
        <v>2.2400000000000002</v>
      </c>
      <c r="BU59">
        <v>300.00000000000011</v>
      </c>
      <c r="BV59">
        <v>24.2</v>
      </c>
      <c r="BW59">
        <v>1170.1899551755439</v>
      </c>
      <c r="BX59">
        <v>2.1523678317498769</v>
      </c>
      <c r="BY59">
        <v>-107.7155192074252</v>
      </c>
      <c r="BZ59">
        <v>1.931436225974076</v>
      </c>
      <c r="CA59">
        <v>0.99107784046707503</v>
      </c>
      <c r="CB59">
        <v>-6.8879677419354836E-3</v>
      </c>
      <c r="CC59">
        <v>289.99999999999989</v>
      </c>
      <c r="CD59">
        <v>1059.3800000000001</v>
      </c>
      <c r="CE59">
        <v>755</v>
      </c>
      <c r="CF59">
        <v>10054</v>
      </c>
      <c r="CG59">
        <v>1063.05</v>
      </c>
      <c r="CH59">
        <v>-3.67</v>
      </c>
      <c r="CV59">
        <f t="shared" si="88"/>
        <v>1800.26</v>
      </c>
      <c r="CW59">
        <f t="shared" si="89"/>
        <v>1513.4034006319091</v>
      </c>
      <c r="CX59">
        <f t="shared" si="90"/>
        <v>0.84065823860548428</v>
      </c>
      <c r="CY59">
        <f t="shared" si="91"/>
        <v>0.19131647721096848</v>
      </c>
      <c r="CZ59">
        <v>6</v>
      </c>
      <c r="DA59">
        <v>0.5</v>
      </c>
      <c r="DB59" t="s">
        <v>418</v>
      </c>
      <c r="DC59">
        <v>2</v>
      </c>
      <c r="DD59">
        <v>1674584225.5999999</v>
      </c>
      <c r="DE59">
        <v>336.25400000000002</v>
      </c>
      <c r="DF59">
        <v>399.97500000000002</v>
      </c>
      <c r="DG59">
        <v>24.849699999999999</v>
      </c>
      <c r="DH59">
        <v>18.7651</v>
      </c>
      <c r="DI59">
        <v>334.29300000000001</v>
      </c>
      <c r="DJ59">
        <v>24.7361</v>
      </c>
      <c r="DK59">
        <v>500.02300000000002</v>
      </c>
      <c r="DL59">
        <v>99.692700000000002</v>
      </c>
      <c r="DM59">
        <v>9.9786799999999995E-2</v>
      </c>
      <c r="DN59">
        <v>27.993500000000001</v>
      </c>
      <c r="DO59">
        <v>27.620100000000001</v>
      </c>
      <c r="DP59">
        <v>999.9</v>
      </c>
      <c r="DQ59">
        <v>0</v>
      </c>
      <c r="DR59">
        <v>0</v>
      </c>
      <c r="DS59">
        <v>10021.200000000001</v>
      </c>
      <c r="DT59">
        <v>0</v>
      </c>
      <c r="DU59">
        <v>441.572</v>
      </c>
      <c r="DV59">
        <v>-63.721800000000002</v>
      </c>
      <c r="DW59">
        <v>344.822</v>
      </c>
      <c r="DX59">
        <v>407.625</v>
      </c>
      <c r="DY59">
        <v>6.0846600000000004</v>
      </c>
      <c r="DZ59">
        <v>399.97500000000002</v>
      </c>
      <c r="EA59">
        <v>18.7651</v>
      </c>
      <c r="EB59">
        <v>2.4773399999999999</v>
      </c>
      <c r="EC59">
        <v>1.8707400000000001</v>
      </c>
      <c r="ED59">
        <v>20.878399999999999</v>
      </c>
      <c r="EE59">
        <v>16.390799999999999</v>
      </c>
      <c r="EF59">
        <v>1800.26</v>
      </c>
      <c r="EG59">
        <v>0.97799599999999998</v>
      </c>
      <c r="EH59">
        <v>2.20038E-2</v>
      </c>
      <c r="EI59">
        <v>0</v>
      </c>
      <c r="EJ59">
        <v>785.28899999999999</v>
      </c>
      <c r="EK59">
        <v>4.9990399999999999</v>
      </c>
      <c r="EL59">
        <v>14949.3</v>
      </c>
      <c r="EM59">
        <v>14822.8</v>
      </c>
      <c r="EN59">
        <v>48.75</v>
      </c>
      <c r="EO59">
        <v>50.375</v>
      </c>
      <c r="EP59">
        <v>49.75</v>
      </c>
      <c r="EQ59">
        <v>48.686999999999998</v>
      </c>
      <c r="ER59">
        <v>49.625</v>
      </c>
      <c r="ES59">
        <v>1755.76</v>
      </c>
      <c r="ET59">
        <v>39.5</v>
      </c>
      <c r="EU59">
        <v>0</v>
      </c>
      <c r="EV59">
        <v>1471.400000095367</v>
      </c>
      <c r="EW59">
        <v>0</v>
      </c>
      <c r="EX59">
        <v>785.35476923076931</v>
      </c>
      <c r="EY59">
        <v>-0.71391453051038845</v>
      </c>
      <c r="EZ59">
        <v>48.485470124936292</v>
      </c>
      <c r="FA59">
        <v>14940.76923076923</v>
      </c>
      <c r="FB59">
        <v>15</v>
      </c>
      <c r="FC59">
        <v>1674584192.0999999</v>
      </c>
      <c r="FD59" t="s">
        <v>639</v>
      </c>
      <c r="FE59">
        <v>1674584185.0999999</v>
      </c>
      <c r="FF59">
        <v>1674584192.0999999</v>
      </c>
      <c r="FG59">
        <v>52</v>
      </c>
      <c r="FH59">
        <v>0.14099999999999999</v>
      </c>
      <c r="FI59">
        <v>-1.7000000000000001E-2</v>
      </c>
      <c r="FJ59">
        <v>2.0640000000000001</v>
      </c>
      <c r="FK59">
        <v>7.9000000000000001E-2</v>
      </c>
      <c r="FL59">
        <v>400</v>
      </c>
      <c r="FM59">
        <v>19</v>
      </c>
      <c r="FN59">
        <v>0.02</v>
      </c>
      <c r="FO59">
        <v>0.01</v>
      </c>
      <c r="FP59">
        <v>51.455112582932017</v>
      </c>
      <c r="FQ59">
        <v>-0.64094786370827717</v>
      </c>
      <c r="FR59">
        <v>7.192729925751401E-2</v>
      </c>
      <c r="FS59">
        <v>1</v>
      </c>
      <c r="FT59">
        <v>0.44442447678329039</v>
      </c>
      <c r="FU59">
        <v>4.3761274749537997E-2</v>
      </c>
      <c r="FV59">
        <v>7.7349209159394529E-3</v>
      </c>
      <c r="FW59">
        <v>1</v>
      </c>
      <c r="FX59">
        <v>2</v>
      </c>
      <c r="FY59">
        <v>2</v>
      </c>
      <c r="FZ59" t="s">
        <v>420</v>
      </c>
      <c r="GA59">
        <v>2.9325600000000001</v>
      </c>
      <c r="GB59">
        <v>2.8334299999999999</v>
      </c>
      <c r="GC59">
        <v>7.8594300000000006E-2</v>
      </c>
      <c r="GD59">
        <v>8.8602899999999998E-2</v>
      </c>
      <c r="GE59">
        <v>0.122137</v>
      </c>
      <c r="GF59">
        <v>9.6951899999999994E-2</v>
      </c>
      <c r="GG59">
        <v>23796.7</v>
      </c>
      <c r="GH59">
        <v>29736.1</v>
      </c>
      <c r="GI59">
        <v>23238.1</v>
      </c>
      <c r="GJ59">
        <v>29894.5</v>
      </c>
      <c r="GK59">
        <v>27751.5</v>
      </c>
      <c r="GL59">
        <v>38391.800000000003</v>
      </c>
      <c r="GM59">
        <v>32794.9</v>
      </c>
      <c r="GN59">
        <v>44356.5</v>
      </c>
      <c r="GO59">
        <v>1.9603299999999999</v>
      </c>
      <c r="GP59">
        <v>1.8209200000000001</v>
      </c>
      <c r="GQ59">
        <v>5.5134299999999997E-2</v>
      </c>
      <c r="GR59">
        <v>0</v>
      </c>
      <c r="GS59">
        <v>26.718699999999998</v>
      </c>
      <c r="GT59">
        <v>999.9</v>
      </c>
      <c r="GU59">
        <v>47.9</v>
      </c>
      <c r="GV59">
        <v>36.700000000000003</v>
      </c>
      <c r="GW59">
        <v>29.802600000000002</v>
      </c>
      <c r="GX59">
        <v>61.380899999999997</v>
      </c>
      <c r="GY59">
        <v>37.475999999999999</v>
      </c>
      <c r="GZ59">
        <v>1</v>
      </c>
      <c r="HA59">
        <v>0.385602</v>
      </c>
      <c r="HB59">
        <v>2.31453</v>
      </c>
      <c r="HC59">
        <v>20.255099999999999</v>
      </c>
      <c r="HD59">
        <v>5.2093499999999997</v>
      </c>
      <c r="HE59">
        <v>11.872199999999999</v>
      </c>
      <c r="HF59">
        <v>4.9835500000000001</v>
      </c>
      <c r="HG59">
        <v>3.2839999999999998</v>
      </c>
      <c r="HH59">
        <v>9999</v>
      </c>
      <c r="HI59">
        <v>9999</v>
      </c>
      <c r="HJ59">
        <v>9999</v>
      </c>
      <c r="HK59">
        <v>999.9</v>
      </c>
      <c r="HL59">
        <v>1.8546899999999999</v>
      </c>
      <c r="HM59">
        <v>1.86069</v>
      </c>
      <c r="HN59">
        <v>1.85806</v>
      </c>
      <c r="HO59">
        <v>1.85928</v>
      </c>
      <c r="HP59">
        <v>1.85867</v>
      </c>
      <c r="HQ59">
        <v>1.8591500000000001</v>
      </c>
      <c r="HR59">
        <v>1.85754</v>
      </c>
      <c r="HS59">
        <v>1.86083</v>
      </c>
      <c r="HT59">
        <v>5</v>
      </c>
      <c r="HU59">
        <v>0</v>
      </c>
      <c r="HV59">
        <v>0</v>
      </c>
      <c r="HW59">
        <v>0</v>
      </c>
      <c r="HX59" t="s">
        <v>421</v>
      </c>
      <c r="HY59" t="s">
        <v>422</v>
      </c>
      <c r="HZ59" t="s">
        <v>423</v>
      </c>
      <c r="IA59" t="s">
        <v>423</v>
      </c>
      <c r="IB59" t="s">
        <v>423</v>
      </c>
      <c r="IC59" t="s">
        <v>423</v>
      </c>
      <c r="ID59">
        <v>0</v>
      </c>
      <c r="IE59">
        <v>100</v>
      </c>
      <c r="IF59">
        <v>100</v>
      </c>
      <c r="IG59">
        <v>1.9610000000000001</v>
      </c>
      <c r="IH59">
        <v>0.11360000000000001</v>
      </c>
      <c r="II59">
        <v>1.412655728069713</v>
      </c>
      <c r="IJ59">
        <v>1.6187016317407189E-3</v>
      </c>
      <c r="IK59">
        <v>1.4341569744255341E-7</v>
      </c>
      <c r="IL59">
        <v>-2.4096625942085749E-10</v>
      </c>
      <c r="IM59">
        <v>0.1136101602888764</v>
      </c>
      <c r="IN59">
        <v>0</v>
      </c>
      <c r="IO59">
        <v>0</v>
      </c>
      <c r="IP59">
        <v>0</v>
      </c>
      <c r="IQ59">
        <v>4</v>
      </c>
      <c r="IR59">
        <v>2205</v>
      </c>
      <c r="IS59">
        <v>1</v>
      </c>
      <c r="IT59">
        <v>21</v>
      </c>
      <c r="IU59">
        <v>0.7</v>
      </c>
      <c r="IV59">
        <v>0.6</v>
      </c>
      <c r="IW59">
        <v>0.98999000000000004</v>
      </c>
      <c r="IX59">
        <v>2.4511699999999998</v>
      </c>
      <c r="IY59">
        <v>1.49414</v>
      </c>
      <c r="IZ59">
        <v>2.3046899999999999</v>
      </c>
      <c r="JA59">
        <v>1.69434</v>
      </c>
      <c r="JB59">
        <v>2.2936999999999999</v>
      </c>
      <c r="JC59">
        <v>40.6554</v>
      </c>
      <c r="JD59">
        <v>23.982399999999998</v>
      </c>
      <c r="JE59">
        <v>18</v>
      </c>
      <c r="JF59">
        <v>510.161</v>
      </c>
      <c r="JG59">
        <v>441.58800000000002</v>
      </c>
      <c r="JH59">
        <v>24.562200000000001</v>
      </c>
      <c r="JI59">
        <v>32.1571</v>
      </c>
      <c r="JJ59">
        <v>30.0001</v>
      </c>
      <c r="JK59">
        <v>32.114899999999999</v>
      </c>
      <c r="JL59">
        <v>32.091299999999997</v>
      </c>
      <c r="JM59">
        <v>19.885400000000001</v>
      </c>
      <c r="JN59">
        <v>43.3339</v>
      </c>
      <c r="JO59">
        <v>0</v>
      </c>
      <c r="JP59">
        <v>24.562899999999999</v>
      </c>
      <c r="JQ59">
        <v>400</v>
      </c>
      <c r="JR59">
        <v>18.7087</v>
      </c>
      <c r="JS59">
        <v>98.798100000000005</v>
      </c>
      <c r="JT59">
        <v>99.6096</v>
      </c>
    </row>
    <row r="60" spans="1:280" x14ac:dyDescent="0.25">
      <c r="A60">
        <v>44</v>
      </c>
      <c r="B60">
        <v>1674584350.5999999</v>
      </c>
      <c r="C60">
        <v>10298</v>
      </c>
      <c r="D60" t="s">
        <v>640</v>
      </c>
      <c r="E60" t="s">
        <v>641</v>
      </c>
      <c r="F60" t="s">
        <v>412</v>
      </c>
      <c r="G60" t="s">
        <v>31</v>
      </c>
      <c r="H60" t="s">
        <v>636</v>
      </c>
      <c r="I60">
        <v>1674584350.5999999</v>
      </c>
      <c r="J60">
        <f t="shared" si="46"/>
        <v>5.3725045096487452E-3</v>
      </c>
      <c r="K60">
        <f t="shared" si="47"/>
        <v>5.3725045096487456</v>
      </c>
      <c r="L60">
        <f t="shared" si="48"/>
        <v>43.234991674047095</v>
      </c>
      <c r="M60">
        <f t="shared" si="49"/>
        <v>246.535</v>
      </c>
      <c r="N60">
        <f t="shared" si="50"/>
        <v>81.446421949668562</v>
      </c>
      <c r="O60">
        <f t="shared" si="51"/>
        <v>8.1272866140207576</v>
      </c>
      <c r="P60">
        <f t="shared" si="52"/>
        <v>24.600965363779999</v>
      </c>
      <c r="Q60">
        <f t="shared" si="53"/>
        <v>0.45937785000153958</v>
      </c>
      <c r="R60">
        <f t="shared" si="54"/>
        <v>2.9201017917840422</v>
      </c>
      <c r="S60">
        <f t="shared" si="55"/>
        <v>0.42267819250071692</v>
      </c>
      <c r="T60">
        <f t="shared" si="56"/>
        <v>0.26722643703945409</v>
      </c>
      <c r="U60">
        <f t="shared" si="57"/>
        <v>344.36810126400769</v>
      </c>
      <c r="V60">
        <f t="shared" si="58"/>
        <v>28.635666446515405</v>
      </c>
      <c r="W60">
        <f t="shared" si="59"/>
        <v>27.623699999999999</v>
      </c>
      <c r="X60">
        <f t="shared" si="60"/>
        <v>3.7123846514488688</v>
      </c>
      <c r="Y60">
        <f t="shared" si="61"/>
        <v>65.439388882294239</v>
      </c>
      <c r="Z60">
        <f t="shared" si="62"/>
        <v>2.4834067580868</v>
      </c>
      <c r="AA60">
        <f t="shared" si="63"/>
        <v>3.7949724172297841</v>
      </c>
      <c r="AB60">
        <f t="shared" si="64"/>
        <v>1.2289778933620688</v>
      </c>
      <c r="AC60">
        <f t="shared" si="65"/>
        <v>-236.92744887550967</v>
      </c>
      <c r="AD60">
        <f t="shared" si="66"/>
        <v>59.334812127315303</v>
      </c>
      <c r="AE60">
        <f t="shared" si="67"/>
        <v>4.4208835994030542</v>
      </c>
      <c r="AF60">
        <f t="shared" si="68"/>
        <v>171.19634811521638</v>
      </c>
      <c r="AG60">
        <v>0</v>
      </c>
      <c r="AH60">
        <v>0</v>
      </c>
      <c r="AI60">
        <f t="shared" si="69"/>
        <v>1</v>
      </c>
      <c r="AJ60">
        <f t="shared" si="70"/>
        <v>0</v>
      </c>
      <c r="AK60">
        <f t="shared" si="71"/>
        <v>52422.868767539418</v>
      </c>
      <c r="AL60" t="s">
        <v>415</v>
      </c>
      <c r="AM60">
        <v>10214.9</v>
      </c>
      <c r="AN60">
        <v>729.4384</v>
      </c>
      <c r="AO60">
        <v>3170.19</v>
      </c>
      <c r="AP60">
        <f t="shared" si="72"/>
        <v>0.76990704027203416</v>
      </c>
      <c r="AQ60">
        <v>-0.45549566560547827</v>
      </c>
      <c r="AR60" t="s">
        <v>642</v>
      </c>
      <c r="AS60">
        <v>10092</v>
      </c>
      <c r="AT60">
        <v>775.64240000000007</v>
      </c>
      <c r="AU60">
        <v>1096.809915680175</v>
      </c>
      <c r="AV60">
        <f t="shared" si="73"/>
        <v>0.29281966828409489</v>
      </c>
      <c r="AW60">
        <v>0.5</v>
      </c>
      <c r="AX60">
        <f t="shared" si="74"/>
        <v>1513.1766006320036</v>
      </c>
      <c r="AY60">
        <f t="shared" si="75"/>
        <v>43.234991674047095</v>
      </c>
      <c r="AZ60">
        <f t="shared" si="76"/>
        <v>221.5439351261588</v>
      </c>
      <c r="BA60">
        <f t="shared" si="77"/>
        <v>2.8873356435332471E-2</v>
      </c>
      <c r="BB60">
        <f t="shared" si="78"/>
        <v>1.8903732129683022</v>
      </c>
      <c r="BC60">
        <f t="shared" si="79"/>
        <v>508.3330567794527</v>
      </c>
      <c r="BD60" t="s">
        <v>643</v>
      </c>
      <c r="BE60">
        <v>571.01</v>
      </c>
      <c r="BF60">
        <f t="shared" si="80"/>
        <v>571.01</v>
      </c>
      <c r="BG60">
        <f t="shared" si="81"/>
        <v>0.47939019164875596</v>
      </c>
      <c r="BH60">
        <f t="shared" si="82"/>
        <v>0.61081697828861858</v>
      </c>
      <c r="BI60">
        <f t="shared" si="83"/>
        <v>0.79770546261506503</v>
      </c>
      <c r="BJ60">
        <f t="shared" si="84"/>
        <v>0.87423085887740903</v>
      </c>
      <c r="BK60">
        <f t="shared" si="85"/>
        <v>0.84948426719041181</v>
      </c>
      <c r="BL60">
        <f t="shared" si="86"/>
        <v>0.44966933573072343</v>
      </c>
      <c r="BM60">
        <f t="shared" si="87"/>
        <v>0.55033066426927657</v>
      </c>
      <c r="BN60">
        <v>9144</v>
      </c>
      <c r="BO60">
        <v>290.00000000000011</v>
      </c>
      <c r="BP60">
        <v>1007.54</v>
      </c>
      <c r="BQ60">
        <v>155</v>
      </c>
      <c r="BR60">
        <v>10092</v>
      </c>
      <c r="BS60">
        <v>1005.6</v>
      </c>
      <c r="BT60">
        <v>1.94</v>
      </c>
      <c r="BU60">
        <v>300.00000000000011</v>
      </c>
      <c r="BV60">
        <v>24.2</v>
      </c>
      <c r="BW60">
        <v>1096.809915680175</v>
      </c>
      <c r="BX60">
        <v>2.3348443952296898</v>
      </c>
      <c r="BY60">
        <v>-92.044246845703569</v>
      </c>
      <c r="BZ60">
        <v>2.0951265856797279</v>
      </c>
      <c r="CA60">
        <v>0.98570019508936035</v>
      </c>
      <c r="CB60">
        <v>-6.8876015572858834E-3</v>
      </c>
      <c r="CC60">
        <v>289.99999999999989</v>
      </c>
      <c r="CD60">
        <v>1003.2</v>
      </c>
      <c r="CE60">
        <v>655</v>
      </c>
      <c r="CF60">
        <v>10059.1</v>
      </c>
      <c r="CG60">
        <v>1005.31</v>
      </c>
      <c r="CH60">
        <v>-2.11</v>
      </c>
      <c r="CV60">
        <f t="shared" si="88"/>
        <v>1799.99</v>
      </c>
      <c r="CW60">
        <f t="shared" si="89"/>
        <v>1513.1766006320036</v>
      </c>
      <c r="CX60">
        <f t="shared" si="90"/>
        <v>0.84065833734187612</v>
      </c>
      <c r="CY60">
        <f t="shared" si="91"/>
        <v>0.19131667468375252</v>
      </c>
      <c r="CZ60">
        <v>6</v>
      </c>
      <c r="DA60">
        <v>0.5</v>
      </c>
      <c r="DB60" t="s">
        <v>418</v>
      </c>
      <c r="DC60">
        <v>2</v>
      </c>
      <c r="DD60">
        <v>1674584350.5999999</v>
      </c>
      <c r="DE60">
        <v>246.535</v>
      </c>
      <c r="DF60">
        <v>299.99400000000003</v>
      </c>
      <c r="DG60">
        <v>24.8871</v>
      </c>
      <c r="DH60">
        <v>18.602</v>
      </c>
      <c r="DI60">
        <v>244.73599999999999</v>
      </c>
      <c r="DJ60">
        <v>24.774999999999999</v>
      </c>
      <c r="DK60">
        <v>500.11599999999999</v>
      </c>
      <c r="DL60">
        <v>99.686700000000002</v>
      </c>
      <c r="DM60">
        <v>0.10020800000000001</v>
      </c>
      <c r="DN60">
        <v>28.000599999999999</v>
      </c>
      <c r="DO60">
        <v>27.623699999999999</v>
      </c>
      <c r="DP60">
        <v>999.9</v>
      </c>
      <c r="DQ60">
        <v>0</v>
      </c>
      <c r="DR60">
        <v>0</v>
      </c>
      <c r="DS60">
        <v>9977.5</v>
      </c>
      <c r="DT60">
        <v>0</v>
      </c>
      <c r="DU60">
        <v>449.13099999999997</v>
      </c>
      <c r="DV60">
        <v>-53.459699999999998</v>
      </c>
      <c r="DW60">
        <v>252.827</v>
      </c>
      <c r="DX60">
        <v>305.68099999999998</v>
      </c>
      <c r="DY60">
        <v>6.2850999999999999</v>
      </c>
      <c r="DZ60">
        <v>299.99400000000003</v>
      </c>
      <c r="EA60">
        <v>18.602</v>
      </c>
      <c r="EB60">
        <v>2.4809199999999998</v>
      </c>
      <c r="EC60">
        <v>1.8543799999999999</v>
      </c>
      <c r="ED60">
        <v>20.901800000000001</v>
      </c>
      <c r="EE60">
        <v>16.252800000000001</v>
      </c>
      <c r="EF60">
        <v>1799.99</v>
      </c>
      <c r="EG60">
        <v>0.97799199999999997</v>
      </c>
      <c r="EH60">
        <v>2.2007499999999999E-2</v>
      </c>
      <c r="EI60">
        <v>0</v>
      </c>
      <c r="EJ60">
        <v>775.29300000000001</v>
      </c>
      <c r="EK60">
        <v>4.9990399999999999</v>
      </c>
      <c r="EL60">
        <v>14754.9</v>
      </c>
      <c r="EM60">
        <v>14820.6</v>
      </c>
      <c r="EN60">
        <v>48.75</v>
      </c>
      <c r="EO60">
        <v>50.311999999999998</v>
      </c>
      <c r="EP60">
        <v>49.75</v>
      </c>
      <c r="EQ60">
        <v>48.625</v>
      </c>
      <c r="ER60">
        <v>49.625</v>
      </c>
      <c r="ES60">
        <v>1755.49</v>
      </c>
      <c r="ET60">
        <v>39.5</v>
      </c>
      <c r="EU60">
        <v>0</v>
      </c>
      <c r="EV60">
        <v>123</v>
      </c>
      <c r="EW60">
        <v>0</v>
      </c>
      <c r="EX60">
        <v>775.64240000000007</v>
      </c>
      <c r="EY60">
        <v>-2.9400000009797118</v>
      </c>
      <c r="EZ60">
        <v>-60.86923084706396</v>
      </c>
      <c r="FA60">
        <v>14761.732</v>
      </c>
      <c r="FB60">
        <v>15</v>
      </c>
      <c r="FC60">
        <v>1674584317.0999999</v>
      </c>
      <c r="FD60" t="s">
        <v>644</v>
      </c>
      <c r="FE60">
        <v>1674584305.0999999</v>
      </c>
      <c r="FF60">
        <v>1674584317.0999999</v>
      </c>
      <c r="FG60">
        <v>53</v>
      </c>
      <c r="FH60">
        <v>-1.4999999999999999E-2</v>
      </c>
      <c r="FI60">
        <v>-2E-3</v>
      </c>
      <c r="FJ60">
        <v>1.887</v>
      </c>
      <c r="FK60">
        <v>7.5999999999999998E-2</v>
      </c>
      <c r="FL60">
        <v>300</v>
      </c>
      <c r="FM60">
        <v>19</v>
      </c>
      <c r="FN60">
        <v>0.05</v>
      </c>
      <c r="FO60">
        <v>0.02</v>
      </c>
      <c r="FP60">
        <v>43.245282770094867</v>
      </c>
      <c r="FQ60">
        <v>-0.28241363421226201</v>
      </c>
      <c r="FR60">
        <v>4.5797264700440897E-2</v>
      </c>
      <c r="FS60">
        <v>1</v>
      </c>
      <c r="FT60">
        <v>0.46042822538608258</v>
      </c>
      <c r="FU60">
        <v>4.2843734969223522E-2</v>
      </c>
      <c r="FV60">
        <v>6.9543288110151804E-3</v>
      </c>
      <c r="FW60">
        <v>1</v>
      </c>
      <c r="FX60">
        <v>2</v>
      </c>
      <c r="FY60">
        <v>2</v>
      </c>
      <c r="FZ60" t="s">
        <v>420</v>
      </c>
      <c r="GA60">
        <v>2.9328599999999998</v>
      </c>
      <c r="GB60">
        <v>2.8334700000000002</v>
      </c>
      <c r="GC60">
        <v>6.08485E-2</v>
      </c>
      <c r="GD60">
        <v>7.0567000000000005E-2</v>
      </c>
      <c r="GE60">
        <v>0.122276</v>
      </c>
      <c r="GF60">
        <v>9.6359399999999998E-2</v>
      </c>
      <c r="GG60">
        <v>24257.9</v>
      </c>
      <c r="GH60">
        <v>30326.6</v>
      </c>
      <c r="GI60">
        <v>23241.1</v>
      </c>
      <c r="GJ60">
        <v>29896.6</v>
      </c>
      <c r="GK60">
        <v>27750.400000000001</v>
      </c>
      <c r="GL60">
        <v>38419.1</v>
      </c>
      <c r="GM60">
        <v>32799.4</v>
      </c>
      <c r="GN60">
        <v>44359</v>
      </c>
      <c r="GO60">
        <v>1.9612499999999999</v>
      </c>
      <c r="GP60">
        <v>1.82108</v>
      </c>
      <c r="GQ60">
        <v>5.7369499999999997E-2</v>
      </c>
      <c r="GR60">
        <v>0</v>
      </c>
      <c r="GS60">
        <v>26.6858</v>
      </c>
      <c r="GT60">
        <v>999.9</v>
      </c>
      <c r="GU60">
        <v>47.9</v>
      </c>
      <c r="GV60">
        <v>36.700000000000003</v>
      </c>
      <c r="GW60">
        <v>29.8017</v>
      </c>
      <c r="GX60">
        <v>61.810899999999997</v>
      </c>
      <c r="GY60">
        <v>36.826900000000002</v>
      </c>
      <c r="GZ60">
        <v>1</v>
      </c>
      <c r="HA60">
        <v>0.38112299999999999</v>
      </c>
      <c r="HB60">
        <v>2.3378199999999998</v>
      </c>
      <c r="HC60">
        <v>20.2578</v>
      </c>
      <c r="HD60">
        <v>5.2098000000000004</v>
      </c>
      <c r="HE60">
        <v>11.872199999999999</v>
      </c>
      <c r="HF60">
        <v>4.9847999999999999</v>
      </c>
      <c r="HG60">
        <v>3.2839999999999998</v>
      </c>
      <c r="HH60">
        <v>9999</v>
      </c>
      <c r="HI60">
        <v>9999</v>
      </c>
      <c r="HJ60">
        <v>9999</v>
      </c>
      <c r="HK60">
        <v>999.9</v>
      </c>
      <c r="HL60">
        <v>1.8545799999999999</v>
      </c>
      <c r="HM60">
        <v>1.86066</v>
      </c>
      <c r="HN60">
        <v>1.85806</v>
      </c>
      <c r="HO60">
        <v>1.85928</v>
      </c>
      <c r="HP60">
        <v>1.85867</v>
      </c>
      <c r="HQ60">
        <v>1.8591299999999999</v>
      </c>
      <c r="HR60">
        <v>1.8574900000000001</v>
      </c>
      <c r="HS60">
        <v>1.8608100000000001</v>
      </c>
      <c r="HT60">
        <v>5</v>
      </c>
      <c r="HU60">
        <v>0</v>
      </c>
      <c r="HV60">
        <v>0</v>
      </c>
      <c r="HW60">
        <v>0</v>
      </c>
      <c r="HX60" t="s">
        <v>421</v>
      </c>
      <c r="HY60" t="s">
        <v>422</v>
      </c>
      <c r="HZ60" t="s">
        <v>423</v>
      </c>
      <c r="IA60" t="s">
        <v>423</v>
      </c>
      <c r="IB60" t="s">
        <v>423</v>
      </c>
      <c r="IC60" t="s">
        <v>423</v>
      </c>
      <c r="ID60">
        <v>0</v>
      </c>
      <c r="IE60">
        <v>100</v>
      </c>
      <c r="IF60">
        <v>100</v>
      </c>
      <c r="IG60">
        <v>1.7989999999999999</v>
      </c>
      <c r="IH60">
        <v>0.11210000000000001</v>
      </c>
      <c r="II60">
        <v>1.3976804290116061</v>
      </c>
      <c r="IJ60">
        <v>1.6187016317407189E-3</v>
      </c>
      <c r="IK60">
        <v>1.4341569744255341E-7</v>
      </c>
      <c r="IL60">
        <v>-2.4096625942085749E-10</v>
      </c>
      <c r="IM60">
        <v>0.1120933263282624</v>
      </c>
      <c r="IN60">
        <v>0</v>
      </c>
      <c r="IO60">
        <v>0</v>
      </c>
      <c r="IP60">
        <v>0</v>
      </c>
      <c r="IQ60">
        <v>4</v>
      </c>
      <c r="IR60">
        <v>2205</v>
      </c>
      <c r="IS60">
        <v>1</v>
      </c>
      <c r="IT60">
        <v>21</v>
      </c>
      <c r="IU60">
        <v>0.8</v>
      </c>
      <c r="IV60">
        <v>0.6</v>
      </c>
      <c r="IW60">
        <v>0.78613299999999997</v>
      </c>
      <c r="IX60">
        <v>2.4487299999999999</v>
      </c>
      <c r="IY60">
        <v>1.49414</v>
      </c>
      <c r="IZ60">
        <v>2.3046899999999999</v>
      </c>
      <c r="JA60">
        <v>1.69434</v>
      </c>
      <c r="JB60">
        <v>2.4279799999999998</v>
      </c>
      <c r="JC60">
        <v>40.6554</v>
      </c>
      <c r="JD60">
        <v>23.9999</v>
      </c>
      <c r="JE60">
        <v>18</v>
      </c>
      <c r="JF60">
        <v>510.39400000000001</v>
      </c>
      <c r="JG60">
        <v>441.34500000000003</v>
      </c>
      <c r="JH60">
        <v>24.562200000000001</v>
      </c>
      <c r="JI60">
        <v>32.103200000000001</v>
      </c>
      <c r="JJ60">
        <v>29.9999</v>
      </c>
      <c r="JK60">
        <v>32.070399999999999</v>
      </c>
      <c r="JL60">
        <v>32.048200000000001</v>
      </c>
      <c r="JM60">
        <v>15.811</v>
      </c>
      <c r="JN60">
        <v>43.966299999999997</v>
      </c>
      <c r="JO60">
        <v>0</v>
      </c>
      <c r="JP60">
        <v>24.5596</v>
      </c>
      <c r="JQ60">
        <v>300</v>
      </c>
      <c r="JR60">
        <v>18.53</v>
      </c>
      <c r="JS60">
        <v>98.811499999999995</v>
      </c>
      <c r="JT60">
        <v>99.615799999999993</v>
      </c>
    </row>
    <row r="61" spans="1:280" x14ac:dyDescent="0.25">
      <c r="A61">
        <v>45</v>
      </c>
      <c r="B61">
        <v>1674584464.5999999</v>
      </c>
      <c r="C61">
        <v>10412</v>
      </c>
      <c r="D61" t="s">
        <v>645</v>
      </c>
      <c r="E61" t="s">
        <v>646</v>
      </c>
      <c r="F61" t="s">
        <v>412</v>
      </c>
      <c r="G61" t="s">
        <v>31</v>
      </c>
      <c r="H61" t="s">
        <v>636</v>
      </c>
      <c r="I61">
        <v>1674584464.5999999</v>
      </c>
      <c r="J61">
        <f t="shared" si="46"/>
        <v>5.6194370402276742E-3</v>
      </c>
      <c r="K61">
        <f t="shared" si="47"/>
        <v>5.6194370402276741</v>
      </c>
      <c r="L61">
        <f t="shared" si="48"/>
        <v>30.890899824046507</v>
      </c>
      <c r="M61">
        <f t="shared" si="49"/>
        <v>161.86600000000001</v>
      </c>
      <c r="N61">
        <f t="shared" si="50"/>
        <v>49.629236468963086</v>
      </c>
      <c r="O61">
        <f t="shared" si="51"/>
        <v>4.9521424049715081</v>
      </c>
      <c r="P61">
        <f t="shared" si="52"/>
        <v>16.151436926183798</v>
      </c>
      <c r="Q61">
        <f t="shared" si="53"/>
        <v>0.4839775741027475</v>
      </c>
      <c r="R61">
        <f t="shared" si="54"/>
        <v>2.9233237921493798</v>
      </c>
      <c r="S61">
        <f t="shared" si="55"/>
        <v>0.4434685461104661</v>
      </c>
      <c r="T61">
        <f t="shared" si="56"/>
        <v>0.28052432123243287</v>
      </c>
      <c r="U61">
        <f t="shared" si="57"/>
        <v>344.31558810156884</v>
      </c>
      <c r="V61">
        <f t="shared" si="58"/>
        <v>28.571602917932672</v>
      </c>
      <c r="W61">
        <f t="shared" si="59"/>
        <v>27.622900000000001</v>
      </c>
      <c r="X61">
        <f t="shared" si="60"/>
        <v>3.7122110341053522</v>
      </c>
      <c r="Y61">
        <f t="shared" si="61"/>
        <v>65.531739052419596</v>
      </c>
      <c r="Z61">
        <f t="shared" si="62"/>
        <v>2.4870854001775</v>
      </c>
      <c r="AA61">
        <f t="shared" si="63"/>
        <v>3.7952379047777924</v>
      </c>
      <c r="AB61">
        <f t="shared" si="64"/>
        <v>1.2251256339278522</v>
      </c>
      <c r="AC61">
        <f t="shared" si="65"/>
        <v>-247.81717347404043</v>
      </c>
      <c r="AD61">
        <f t="shared" si="66"/>
        <v>59.715485811784902</v>
      </c>
      <c r="AE61">
        <f t="shared" si="67"/>
        <v>4.4443516686417359</v>
      </c>
      <c r="AF61">
        <f t="shared" si="68"/>
        <v>160.65825210795504</v>
      </c>
      <c r="AG61">
        <v>0</v>
      </c>
      <c r="AH61">
        <v>0</v>
      </c>
      <c r="AI61">
        <f t="shared" si="69"/>
        <v>1</v>
      </c>
      <c r="AJ61">
        <f t="shared" si="70"/>
        <v>0</v>
      </c>
      <c r="AK61">
        <f t="shared" si="71"/>
        <v>52515.173021565482</v>
      </c>
      <c r="AL61" t="s">
        <v>415</v>
      </c>
      <c r="AM61">
        <v>10214.9</v>
      </c>
      <c r="AN61">
        <v>729.4384</v>
      </c>
      <c r="AO61">
        <v>3170.19</v>
      </c>
      <c r="AP61">
        <f t="shared" si="72"/>
        <v>0.76990704027203416</v>
      </c>
      <c r="AQ61">
        <v>-0.45549566560547827</v>
      </c>
      <c r="AR61" t="s">
        <v>647</v>
      </c>
      <c r="AS61">
        <v>10087.299999999999</v>
      </c>
      <c r="AT61">
        <v>783.7360000000001</v>
      </c>
      <c r="AU61">
        <v>1021.358879419346</v>
      </c>
      <c r="AV61">
        <f t="shared" si="73"/>
        <v>0.23265365799182858</v>
      </c>
      <c r="AW61">
        <v>0.5</v>
      </c>
      <c r="AX61">
        <f t="shared" si="74"/>
        <v>1512.9491940507844</v>
      </c>
      <c r="AY61">
        <f t="shared" si="75"/>
        <v>30.890899824046507</v>
      </c>
      <c r="AZ61">
        <f t="shared" si="76"/>
        <v>175.99658217585193</v>
      </c>
      <c r="BA61">
        <f t="shared" si="77"/>
        <v>2.0718736367957506E-2</v>
      </c>
      <c r="BB61">
        <f t="shared" si="78"/>
        <v>2.1038942960013123</v>
      </c>
      <c r="BC61">
        <f t="shared" si="79"/>
        <v>491.50508256887321</v>
      </c>
      <c r="BD61" t="s">
        <v>648</v>
      </c>
      <c r="BE61">
        <v>562.38</v>
      </c>
      <c r="BF61">
        <f t="shared" si="80"/>
        <v>562.38</v>
      </c>
      <c r="BG61">
        <f t="shared" si="81"/>
        <v>0.44938061309094468</v>
      </c>
      <c r="BH61">
        <f t="shared" si="82"/>
        <v>0.51772072762904142</v>
      </c>
      <c r="BI61">
        <f t="shared" si="83"/>
        <v>0.8239983436602567</v>
      </c>
      <c r="BJ61">
        <f t="shared" si="84"/>
        <v>0.81399866118333819</v>
      </c>
      <c r="BK61">
        <f t="shared" si="85"/>
        <v>0.88039730080711776</v>
      </c>
      <c r="BL61">
        <f t="shared" si="86"/>
        <v>0.37149726796270716</v>
      </c>
      <c r="BM61">
        <f t="shared" si="87"/>
        <v>0.6285027320372929</v>
      </c>
      <c r="BN61">
        <v>9146</v>
      </c>
      <c r="BO61">
        <v>290.00000000000011</v>
      </c>
      <c r="BP61">
        <v>953.57</v>
      </c>
      <c r="BQ61">
        <v>185</v>
      </c>
      <c r="BR61">
        <v>10087.299999999999</v>
      </c>
      <c r="BS61">
        <v>953.08</v>
      </c>
      <c r="BT61">
        <v>0.49</v>
      </c>
      <c r="BU61">
        <v>300.00000000000011</v>
      </c>
      <c r="BV61">
        <v>24.2</v>
      </c>
      <c r="BW61">
        <v>1021.358879419346</v>
      </c>
      <c r="BX61">
        <v>2.301726007897706</v>
      </c>
      <c r="BY61">
        <v>-68.877278114357765</v>
      </c>
      <c r="BZ61">
        <v>2.0653718559553509</v>
      </c>
      <c r="CA61">
        <v>0.97544139080768388</v>
      </c>
      <c r="CB61">
        <v>-6.8872878754171396E-3</v>
      </c>
      <c r="CC61">
        <v>289.99999999999989</v>
      </c>
      <c r="CD61">
        <v>951.89</v>
      </c>
      <c r="CE61">
        <v>655</v>
      </c>
      <c r="CF61">
        <v>10058.9</v>
      </c>
      <c r="CG61">
        <v>952.88</v>
      </c>
      <c r="CH61">
        <v>-0.99</v>
      </c>
      <c r="CV61">
        <f t="shared" si="88"/>
        <v>1799.72</v>
      </c>
      <c r="CW61">
        <f t="shared" si="89"/>
        <v>1512.9491940507844</v>
      </c>
      <c r="CX61">
        <f t="shared" si="90"/>
        <v>0.84065809906584599</v>
      </c>
      <c r="CY61">
        <f t="shared" si="91"/>
        <v>0.19131619813169207</v>
      </c>
      <c r="CZ61">
        <v>6</v>
      </c>
      <c r="DA61">
        <v>0.5</v>
      </c>
      <c r="DB61" t="s">
        <v>418</v>
      </c>
      <c r="DC61">
        <v>2</v>
      </c>
      <c r="DD61">
        <v>1674584464.5999999</v>
      </c>
      <c r="DE61">
        <v>161.86600000000001</v>
      </c>
      <c r="DF61">
        <v>200.024</v>
      </c>
      <c r="DG61">
        <v>24.925000000000001</v>
      </c>
      <c r="DH61">
        <v>18.350200000000001</v>
      </c>
      <c r="DI61">
        <v>160.33699999999999</v>
      </c>
      <c r="DJ61">
        <v>24.8109</v>
      </c>
      <c r="DK61">
        <v>500.03399999999999</v>
      </c>
      <c r="DL61">
        <v>99.682900000000004</v>
      </c>
      <c r="DM61">
        <v>9.9864300000000003E-2</v>
      </c>
      <c r="DN61">
        <v>28.001799999999999</v>
      </c>
      <c r="DO61">
        <v>27.622900000000001</v>
      </c>
      <c r="DP61">
        <v>999.9</v>
      </c>
      <c r="DQ61">
        <v>0</v>
      </c>
      <c r="DR61">
        <v>0</v>
      </c>
      <c r="DS61">
        <v>9996.25</v>
      </c>
      <c r="DT61">
        <v>0</v>
      </c>
      <c r="DU61">
        <v>474.50900000000001</v>
      </c>
      <c r="DV61">
        <v>-38.157299999999999</v>
      </c>
      <c r="DW61">
        <v>166.00399999999999</v>
      </c>
      <c r="DX61">
        <v>203.76300000000001</v>
      </c>
      <c r="DY61">
        <v>6.5747799999999996</v>
      </c>
      <c r="DZ61">
        <v>200.024</v>
      </c>
      <c r="EA61">
        <v>18.350200000000001</v>
      </c>
      <c r="EB61">
        <v>2.4845999999999999</v>
      </c>
      <c r="EC61">
        <v>1.8291999999999999</v>
      </c>
      <c r="ED61">
        <v>20.925999999999998</v>
      </c>
      <c r="EE61">
        <v>16.038599999999999</v>
      </c>
      <c r="EF61">
        <v>1799.72</v>
      </c>
      <c r="EG61">
        <v>0.97800500000000001</v>
      </c>
      <c r="EH61">
        <v>2.19951E-2</v>
      </c>
      <c r="EI61">
        <v>0</v>
      </c>
      <c r="EJ61">
        <v>783.09400000000005</v>
      </c>
      <c r="EK61">
        <v>4.9990399999999999</v>
      </c>
      <c r="EL61">
        <v>14920.2</v>
      </c>
      <c r="EM61">
        <v>14818.4</v>
      </c>
      <c r="EN61">
        <v>48.686999999999998</v>
      </c>
      <c r="EO61">
        <v>50.25</v>
      </c>
      <c r="EP61">
        <v>49.686999999999998</v>
      </c>
      <c r="EQ61">
        <v>48.625</v>
      </c>
      <c r="ER61">
        <v>49.561999999999998</v>
      </c>
      <c r="ES61">
        <v>1755.25</v>
      </c>
      <c r="ET61">
        <v>39.479999999999997</v>
      </c>
      <c r="EU61">
        <v>0</v>
      </c>
      <c r="EV61">
        <v>111.80000019073491</v>
      </c>
      <c r="EW61">
        <v>0</v>
      </c>
      <c r="EX61">
        <v>783.7360000000001</v>
      </c>
      <c r="EY61">
        <v>-4.9503589777376238</v>
      </c>
      <c r="EZ61">
        <v>-108.27692309876321</v>
      </c>
      <c r="FA61">
        <v>14935.15769230769</v>
      </c>
      <c r="FB61">
        <v>15</v>
      </c>
      <c r="FC61">
        <v>1674584429.5999999</v>
      </c>
      <c r="FD61" t="s">
        <v>649</v>
      </c>
      <c r="FE61">
        <v>1674584421.0999999</v>
      </c>
      <c r="FF61">
        <v>1674584429.5999999</v>
      </c>
      <c r="FG61">
        <v>54</v>
      </c>
      <c r="FH61">
        <v>-0.13100000000000001</v>
      </c>
      <c r="FI61">
        <v>2E-3</v>
      </c>
      <c r="FJ61">
        <v>1.5920000000000001</v>
      </c>
      <c r="FK61">
        <v>7.3999999999999996E-2</v>
      </c>
      <c r="FL61">
        <v>200</v>
      </c>
      <c r="FM61">
        <v>18</v>
      </c>
      <c r="FN61">
        <v>0.04</v>
      </c>
      <c r="FO61">
        <v>0.01</v>
      </c>
      <c r="FP61">
        <v>30.837369966065829</v>
      </c>
      <c r="FQ61">
        <v>5.4297843837095593E-2</v>
      </c>
      <c r="FR61">
        <v>3.6913783445522867E-2</v>
      </c>
      <c r="FS61">
        <v>1</v>
      </c>
      <c r="FT61">
        <v>0.48926464254348312</v>
      </c>
      <c r="FU61">
        <v>2.0859639576952631E-2</v>
      </c>
      <c r="FV61">
        <v>5.8703167594413757E-3</v>
      </c>
      <c r="FW61">
        <v>1</v>
      </c>
      <c r="FX61">
        <v>2</v>
      </c>
      <c r="FY61">
        <v>2</v>
      </c>
      <c r="FZ61" t="s">
        <v>420</v>
      </c>
      <c r="GA61">
        <v>2.9327000000000001</v>
      </c>
      <c r="GB61">
        <v>2.8332899999999999</v>
      </c>
      <c r="GC61">
        <v>4.20098E-2</v>
      </c>
      <c r="GD61">
        <v>5.0058800000000001E-2</v>
      </c>
      <c r="GE61">
        <v>0.122406</v>
      </c>
      <c r="GF61">
        <v>9.5438999999999996E-2</v>
      </c>
      <c r="GG61">
        <v>24746.1</v>
      </c>
      <c r="GH61">
        <v>30997.5</v>
      </c>
      <c r="GI61">
        <v>23243</v>
      </c>
      <c r="GJ61">
        <v>29898.6</v>
      </c>
      <c r="GK61">
        <v>27747.8</v>
      </c>
      <c r="GL61">
        <v>38460.400000000001</v>
      </c>
      <c r="GM61">
        <v>32801.800000000003</v>
      </c>
      <c r="GN61">
        <v>44361.5</v>
      </c>
      <c r="GO61">
        <v>1.9620500000000001</v>
      </c>
      <c r="GP61">
        <v>1.8208</v>
      </c>
      <c r="GQ61">
        <v>5.5842099999999999E-2</v>
      </c>
      <c r="GR61">
        <v>0</v>
      </c>
      <c r="GS61">
        <v>26.71</v>
      </c>
      <c r="GT61">
        <v>999.9</v>
      </c>
      <c r="GU61">
        <v>47.9</v>
      </c>
      <c r="GV61">
        <v>36.700000000000003</v>
      </c>
      <c r="GW61">
        <v>29.803799999999999</v>
      </c>
      <c r="GX61">
        <v>61.450899999999997</v>
      </c>
      <c r="GY61">
        <v>37.5</v>
      </c>
      <c r="GZ61">
        <v>1</v>
      </c>
      <c r="HA61">
        <v>0.37801600000000002</v>
      </c>
      <c r="HB61">
        <v>2.2628499999999998</v>
      </c>
      <c r="HC61">
        <v>20.255500000000001</v>
      </c>
      <c r="HD61">
        <v>5.2071100000000001</v>
      </c>
      <c r="HE61">
        <v>11.872199999999999</v>
      </c>
      <c r="HF61">
        <v>4.9843500000000001</v>
      </c>
      <c r="HG61">
        <v>3.2837800000000001</v>
      </c>
      <c r="HH61">
        <v>9999</v>
      </c>
      <c r="HI61">
        <v>9999</v>
      </c>
      <c r="HJ61">
        <v>9999</v>
      </c>
      <c r="HK61">
        <v>999.9</v>
      </c>
      <c r="HL61">
        <v>1.8546100000000001</v>
      </c>
      <c r="HM61">
        <v>1.86066</v>
      </c>
      <c r="HN61">
        <v>1.85806</v>
      </c>
      <c r="HO61">
        <v>1.85928</v>
      </c>
      <c r="HP61">
        <v>1.8586499999999999</v>
      </c>
      <c r="HQ61">
        <v>1.85914</v>
      </c>
      <c r="HR61">
        <v>1.85747</v>
      </c>
      <c r="HS61">
        <v>1.8608100000000001</v>
      </c>
      <c r="HT61">
        <v>5</v>
      </c>
      <c r="HU61">
        <v>0</v>
      </c>
      <c r="HV61">
        <v>0</v>
      </c>
      <c r="HW61">
        <v>0</v>
      </c>
      <c r="HX61" t="s">
        <v>421</v>
      </c>
      <c r="HY61" t="s">
        <v>422</v>
      </c>
      <c r="HZ61" t="s">
        <v>423</v>
      </c>
      <c r="IA61" t="s">
        <v>423</v>
      </c>
      <c r="IB61" t="s">
        <v>423</v>
      </c>
      <c r="IC61" t="s">
        <v>423</v>
      </c>
      <c r="ID61">
        <v>0</v>
      </c>
      <c r="IE61">
        <v>100</v>
      </c>
      <c r="IF61">
        <v>100</v>
      </c>
      <c r="IG61">
        <v>1.5289999999999999</v>
      </c>
      <c r="IH61">
        <v>0.11409999999999999</v>
      </c>
      <c r="II61">
        <v>1.2669741700913459</v>
      </c>
      <c r="IJ61">
        <v>1.6187016317407189E-3</v>
      </c>
      <c r="IK61">
        <v>1.4341569744255341E-7</v>
      </c>
      <c r="IL61">
        <v>-2.4096625942085749E-10</v>
      </c>
      <c r="IM61">
        <v>0.1141118774547181</v>
      </c>
      <c r="IN61">
        <v>0</v>
      </c>
      <c r="IO61">
        <v>0</v>
      </c>
      <c r="IP61">
        <v>0</v>
      </c>
      <c r="IQ61">
        <v>4</v>
      </c>
      <c r="IR61">
        <v>2205</v>
      </c>
      <c r="IS61">
        <v>1</v>
      </c>
      <c r="IT61">
        <v>21</v>
      </c>
      <c r="IU61">
        <v>0.7</v>
      </c>
      <c r="IV61">
        <v>0.6</v>
      </c>
      <c r="IW61">
        <v>0.57495099999999999</v>
      </c>
      <c r="IX61">
        <v>2.4572799999999999</v>
      </c>
      <c r="IY61">
        <v>1.49414</v>
      </c>
      <c r="IZ61">
        <v>2.3046899999999999</v>
      </c>
      <c r="JA61">
        <v>1.69434</v>
      </c>
      <c r="JB61">
        <v>2.4108900000000002</v>
      </c>
      <c r="JC61">
        <v>40.6554</v>
      </c>
      <c r="JD61">
        <v>23.9999</v>
      </c>
      <c r="JE61">
        <v>18</v>
      </c>
      <c r="JF61">
        <v>510.58699999999999</v>
      </c>
      <c r="JG61">
        <v>440.84100000000001</v>
      </c>
      <c r="JH61">
        <v>24.529199999999999</v>
      </c>
      <c r="JI61">
        <v>32.062899999999999</v>
      </c>
      <c r="JJ61">
        <v>29.9999</v>
      </c>
      <c r="JK61">
        <v>32.030799999999999</v>
      </c>
      <c r="JL61">
        <v>32.0092</v>
      </c>
      <c r="JM61">
        <v>11.567600000000001</v>
      </c>
      <c r="JN61">
        <v>44.869500000000002</v>
      </c>
      <c r="JO61">
        <v>0</v>
      </c>
      <c r="JP61">
        <v>24.5578</v>
      </c>
      <c r="JQ61">
        <v>200</v>
      </c>
      <c r="JR61">
        <v>18.245999999999999</v>
      </c>
      <c r="JS61">
        <v>98.819000000000003</v>
      </c>
      <c r="JT61">
        <v>99.621799999999993</v>
      </c>
    </row>
    <row r="62" spans="1:280" x14ac:dyDescent="0.25">
      <c r="A62">
        <v>46</v>
      </c>
      <c r="B62">
        <v>1674584584.5999999</v>
      </c>
      <c r="C62">
        <v>10532</v>
      </c>
      <c r="D62" t="s">
        <v>650</v>
      </c>
      <c r="E62" t="s">
        <v>651</v>
      </c>
      <c r="F62" t="s">
        <v>412</v>
      </c>
      <c r="G62" t="s">
        <v>31</v>
      </c>
      <c r="H62" t="s">
        <v>636</v>
      </c>
      <c r="I62">
        <v>1674584584.5999999</v>
      </c>
      <c r="J62">
        <f t="shared" si="46"/>
        <v>5.9646094366120582E-3</v>
      </c>
      <c r="K62">
        <f t="shared" si="47"/>
        <v>5.9646094366120579</v>
      </c>
      <c r="L62">
        <f t="shared" si="48"/>
        <v>19.560487158316686</v>
      </c>
      <c r="M62">
        <f t="shared" si="49"/>
        <v>95.836299999999994</v>
      </c>
      <c r="N62">
        <f t="shared" si="50"/>
        <v>29.506428213217578</v>
      </c>
      <c r="O62">
        <f t="shared" si="51"/>
        <v>2.9441532660198275</v>
      </c>
      <c r="P62">
        <f t="shared" si="52"/>
        <v>9.5625520516869003</v>
      </c>
      <c r="Q62">
        <f t="shared" si="53"/>
        <v>0.52136270353082237</v>
      </c>
      <c r="R62">
        <f t="shared" si="54"/>
        <v>2.92513895246497</v>
      </c>
      <c r="S62">
        <f t="shared" si="55"/>
        <v>0.47470286031347614</v>
      </c>
      <c r="T62">
        <f t="shared" si="56"/>
        <v>0.30053272878547355</v>
      </c>
      <c r="U62">
        <f t="shared" si="57"/>
        <v>344.39720126422236</v>
      </c>
      <c r="V62">
        <f t="shared" si="58"/>
        <v>28.468228613119479</v>
      </c>
      <c r="W62">
        <f t="shared" si="59"/>
        <v>27.581499999999998</v>
      </c>
      <c r="X62">
        <f t="shared" si="60"/>
        <v>3.7032360018697759</v>
      </c>
      <c r="Y62">
        <f t="shared" si="61"/>
        <v>65.618897709641971</v>
      </c>
      <c r="Z62">
        <f t="shared" si="62"/>
        <v>2.4884050131507003</v>
      </c>
      <c r="AA62">
        <f t="shared" si="63"/>
        <v>3.7922078852370853</v>
      </c>
      <c r="AB62">
        <f t="shared" si="64"/>
        <v>1.2148309887190756</v>
      </c>
      <c r="AC62">
        <f t="shared" si="65"/>
        <v>-263.03927615459179</v>
      </c>
      <c r="AD62">
        <f t="shared" si="66"/>
        <v>64.120857084071659</v>
      </c>
      <c r="AE62">
        <f t="shared" si="67"/>
        <v>4.7679520676290243</v>
      </c>
      <c r="AF62">
        <f t="shared" si="68"/>
        <v>150.24673426133126</v>
      </c>
      <c r="AG62">
        <v>0</v>
      </c>
      <c r="AH62">
        <v>0</v>
      </c>
      <c r="AI62">
        <f t="shared" si="69"/>
        <v>1</v>
      </c>
      <c r="AJ62">
        <f t="shared" si="70"/>
        <v>0</v>
      </c>
      <c r="AK62">
        <f t="shared" si="71"/>
        <v>52569.695906616078</v>
      </c>
      <c r="AL62" t="s">
        <v>415</v>
      </c>
      <c r="AM62">
        <v>10214.9</v>
      </c>
      <c r="AN62">
        <v>729.4384</v>
      </c>
      <c r="AO62">
        <v>3170.19</v>
      </c>
      <c r="AP62">
        <f t="shared" si="72"/>
        <v>0.76990704027203416</v>
      </c>
      <c r="AQ62">
        <v>-0.45549566560547827</v>
      </c>
      <c r="AR62" t="s">
        <v>652</v>
      </c>
      <c r="AS62">
        <v>10083.200000000001</v>
      </c>
      <c r="AT62">
        <v>807.40431999999998</v>
      </c>
      <c r="AU62">
        <v>964.79040695847891</v>
      </c>
      <c r="AV62">
        <f t="shared" si="73"/>
        <v>0.16312982158958411</v>
      </c>
      <c r="AW62">
        <v>0.5</v>
      </c>
      <c r="AX62">
        <f t="shared" si="74"/>
        <v>1513.3029006321112</v>
      </c>
      <c r="AY62">
        <f t="shared" si="75"/>
        <v>19.560487158316686</v>
      </c>
      <c r="AZ62">
        <f t="shared" si="76"/>
        <v>123.43241609555822</v>
      </c>
      <c r="BA62">
        <f t="shared" si="77"/>
        <v>1.3226686353116371E-2</v>
      </c>
      <c r="BB62">
        <f t="shared" si="78"/>
        <v>2.2858846617205573</v>
      </c>
      <c r="BC62">
        <f t="shared" si="79"/>
        <v>478.01747586618114</v>
      </c>
      <c r="BD62" t="s">
        <v>653</v>
      </c>
      <c r="BE62">
        <v>557.71</v>
      </c>
      <c r="BF62">
        <f t="shared" si="80"/>
        <v>557.71</v>
      </c>
      <c r="BG62">
        <f t="shared" si="81"/>
        <v>0.4219366237707608</v>
      </c>
      <c r="BH62">
        <f t="shared" si="82"/>
        <v>0.38662162135091876</v>
      </c>
      <c r="BI62">
        <f t="shared" si="83"/>
        <v>0.84417855564119959</v>
      </c>
      <c r="BJ62">
        <f t="shared" si="84"/>
        <v>0.66872634311652657</v>
      </c>
      <c r="BK62">
        <f t="shared" si="85"/>
        <v>0.90357396182451388</v>
      </c>
      <c r="BL62">
        <f t="shared" si="86"/>
        <v>0.26705671384520324</v>
      </c>
      <c r="BM62">
        <f t="shared" si="87"/>
        <v>0.73294328615479676</v>
      </c>
      <c r="BN62">
        <v>9148</v>
      </c>
      <c r="BO62">
        <v>290.00000000000011</v>
      </c>
      <c r="BP62">
        <v>927.15</v>
      </c>
      <c r="BQ62">
        <v>215</v>
      </c>
      <c r="BR62">
        <v>10083.200000000001</v>
      </c>
      <c r="BS62">
        <v>927.32</v>
      </c>
      <c r="BT62">
        <v>-0.17</v>
      </c>
      <c r="BU62">
        <v>300.00000000000011</v>
      </c>
      <c r="BV62">
        <v>24.2</v>
      </c>
      <c r="BW62">
        <v>964.79040695847891</v>
      </c>
      <c r="BX62">
        <v>2.0856066554021431</v>
      </c>
      <c r="BY62">
        <v>-37.782107431619607</v>
      </c>
      <c r="BZ62">
        <v>1.8714533290169311</v>
      </c>
      <c r="CA62">
        <v>0.93571809977331877</v>
      </c>
      <c r="CB62">
        <v>-6.8871292547274731E-3</v>
      </c>
      <c r="CC62">
        <v>289.99999999999989</v>
      </c>
      <c r="CD62">
        <v>927.41</v>
      </c>
      <c r="CE62">
        <v>745</v>
      </c>
      <c r="CF62">
        <v>10054.1</v>
      </c>
      <c r="CG62">
        <v>927.21</v>
      </c>
      <c r="CH62">
        <v>0.2</v>
      </c>
      <c r="CV62">
        <f t="shared" si="88"/>
        <v>1800.14</v>
      </c>
      <c r="CW62">
        <f t="shared" si="89"/>
        <v>1513.3029006321112</v>
      </c>
      <c r="CX62">
        <f t="shared" si="90"/>
        <v>0.8406584491384621</v>
      </c>
      <c r="CY62">
        <f t="shared" si="91"/>
        <v>0.19131689827692422</v>
      </c>
      <c r="CZ62">
        <v>6</v>
      </c>
      <c r="DA62">
        <v>0.5</v>
      </c>
      <c r="DB62" t="s">
        <v>418</v>
      </c>
      <c r="DC62">
        <v>2</v>
      </c>
      <c r="DD62">
        <v>1674584584.5999999</v>
      </c>
      <c r="DE62">
        <v>95.836299999999994</v>
      </c>
      <c r="DF62">
        <v>119.99299999999999</v>
      </c>
      <c r="DG62">
        <v>24.9389</v>
      </c>
      <c r="DH62">
        <v>17.9604</v>
      </c>
      <c r="DI62">
        <v>94.520099999999999</v>
      </c>
      <c r="DJ62">
        <v>24.826599999999999</v>
      </c>
      <c r="DK62">
        <v>500.03800000000001</v>
      </c>
      <c r="DL62">
        <v>99.68</v>
      </c>
      <c r="DM62">
        <v>0.100063</v>
      </c>
      <c r="DN62">
        <v>27.988099999999999</v>
      </c>
      <c r="DO62">
        <v>27.581499999999998</v>
      </c>
      <c r="DP62">
        <v>999.9</v>
      </c>
      <c r="DQ62">
        <v>0</v>
      </c>
      <c r="DR62">
        <v>0</v>
      </c>
      <c r="DS62">
        <v>10006.9</v>
      </c>
      <c r="DT62">
        <v>0</v>
      </c>
      <c r="DU62">
        <v>458.637</v>
      </c>
      <c r="DV62">
        <v>-24.156500000000001</v>
      </c>
      <c r="DW62">
        <v>98.287499999999994</v>
      </c>
      <c r="DX62">
        <v>122.187</v>
      </c>
      <c r="DY62">
        <v>6.9784899999999999</v>
      </c>
      <c r="DZ62">
        <v>119.99299999999999</v>
      </c>
      <c r="EA62">
        <v>17.9604</v>
      </c>
      <c r="EB62">
        <v>2.4859100000000001</v>
      </c>
      <c r="EC62">
        <v>1.7903</v>
      </c>
      <c r="ED62">
        <v>20.9346</v>
      </c>
      <c r="EE62">
        <v>15.702299999999999</v>
      </c>
      <c r="EF62">
        <v>1800.14</v>
      </c>
      <c r="EG62">
        <v>0.97799199999999997</v>
      </c>
      <c r="EH62">
        <v>2.2007499999999999E-2</v>
      </c>
      <c r="EI62">
        <v>0</v>
      </c>
      <c r="EJ62">
        <v>807.22</v>
      </c>
      <c r="EK62">
        <v>4.9990399999999999</v>
      </c>
      <c r="EL62">
        <v>15314.6</v>
      </c>
      <c r="EM62">
        <v>14821.8</v>
      </c>
      <c r="EN62">
        <v>48.686999999999998</v>
      </c>
      <c r="EO62">
        <v>50.25</v>
      </c>
      <c r="EP62">
        <v>49.686999999999998</v>
      </c>
      <c r="EQ62">
        <v>48.561999999999998</v>
      </c>
      <c r="ER62">
        <v>49.561999999999998</v>
      </c>
      <c r="ES62">
        <v>1755.63</v>
      </c>
      <c r="ET62">
        <v>39.51</v>
      </c>
      <c r="EU62">
        <v>0</v>
      </c>
      <c r="EV62">
        <v>118.2000000476837</v>
      </c>
      <c r="EW62">
        <v>0</v>
      </c>
      <c r="EX62">
        <v>807.40431999999998</v>
      </c>
      <c r="EY62">
        <v>-2.431769248379795</v>
      </c>
      <c r="EZ62">
        <v>-48.984615407812008</v>
      </c>
      <c r="FA62">
        <v>15327.328</v>
      </c>
      <c r="FB62">
        <v>15</v>
      </c>
      <c r="FC62">
        <v>1674584552.0999999</v>
      </c>
      <c r="FD62" t="s">
        <v>654</v>
      </c>
      <c r="FE62">
        <v>1674584542.0999999</v>
      </c>
      <c r="FF62">
        <v>1674584552.0999999</v>
      </c>
      <c r="FG62">
        <v>55</v>
      </c>
      <c r="FH62">
        <v>-0.105</v>
      </c>
      <c r="FI62">
        <v>-2E-3</v>
      </c>
      <c r="FJ62">
        <v>1.3560000000000001</v>
      </c>
      <c r="FK62">
        <v>6.3E-2</v>
      </c>
      <c r="FL62">
        <v>120</v>
      </c>
      <c r="FM62">
        <v>18</v>
      </c>
      <c r="FN62">
        <v>0.08</v>
      </c>
      <c r="FO62">
        <v>0.01</v>
      </c>
      <c r="FP62">
        <v>19.551476833714499</v>
      </c>
      <c r="FQ62">
        <v>-0.22119649300306041</v>
      </c>
      <c r="FR62">
        <v>3.5055090475978129E-2</v>
      </c>
      <c r="FS62">
        <v>1</v>
      </c>
      <c r="FT62">
        <v>0.52237719253711912</v>
      </c>
      <c r="FU62">
        <v>4.8308787923986858E-2</v>
      </c>
      <c r="FV62">
        <v>9.2889275174140966E-3</v>
      </c>
      <c r="FW62">
        <v>1</v>
      </c>
      <c r="FX62">
        <v>2</v>
      </c>
      <c r="FY62">
        <v>2</v>
      </c>
      <c r="FZ62" t="s">
        <v>420</v>
      </c>
      <c r="GA62">
        <v>2.93276</v>
      </c>
      <c r="GB62">
        <v>2.83358</v>
      </c>
      <c r="GC62">
        <v>2.5689500000000001E-2</v>
      </c>
      <c r="GD62">
        <v>3.1456699999999997E-2</v>
      </c>
      <c r="GE62">
        <v>0.12246799999999999</v>
      </c>
      <c r="GF62">
        <v>9.40024E-2</v>
      </c>
      <c r="GG62">
        <v>25171</v>
      </c>
      <c r="GH62">
        <v>31607</v>
      </c>
      <c r="GI62">
        <v>23246.400000000001</v>
      </c>
      <c r="GJ62">
        <v>29901.4</v>
      </c>
      <c r="GK62">
        <v>27749.7</v>
      </c>
      <c r="GL62">
        <v>38524.6</v>
      </c>
      <c r="GM62">
        <v>32806.9</v>
      </c>
      <c r="GN62">
        <v>44364.800000000003</v>
      </c>
      <c r="GO62">
        <v>1.96295</v>
      </c>
      <c r="GP62">
        <v>1.8203</v>
      </c>
      <c r="GQ62">
        <v>5.4091199999999999E-2</v>
      </c>
      <c r="GR62">
        <v>0</v>
      </c>
      <c r="GS62">
        <v>26.697099999999999</v>
      </c>
      <c r="GT62">
        <v>999.9</v>
      </c>
      <c r="GU62">
        <v>47.8</v>
      </c>
      <c r="GV62">
        <v>36.700000000000003</v>
      </c>
      <c r="GW62">
        <v>29.741299999999999</v>
      </c>
      <c r="GX62">
        <v>61.510899999999999</v>
      </c>
      <c r="GY62">
        <v>37.4679</v>
      </c>
      <c r="GZ62">
        <v>1</v>
      </c>
      <c r="HA62">
        <v>0.37378600000000001</v>
      </c>
      <c r="HB62">
        <v>2.21529</v>
      </c>
      <c r="HC62">
        <v>20.256900000000002</v>
      </c>
      <c r="HD62">
        <v>5.2096499999999999</v>
      </c>
      <c r="HE62">
        <v>11.872199999999999</v>
      </c>
      <c r="HF62">
        <v>4.9848499999999998</v>
      </c>
      <c r="HG62">
        <v>3.2839999999999998</v>
      </c>
      <c r="HH62">
        <v>9999</v>
      </c>
      <c r="HI62">
        <v>9999</v>
      </c>
      <c r="HJ62">
        <v>9999</v>
      </c>
      <c r="HK62">
        <v>999.9</v>
      </c>
      <c r="HL62">
        <v>1.8546400000000001</v>
      </c>
      <c r="HM62">
        <v>1.8606799999999999</v>
      </c>
      <c r="HN62">
        <v>1.85806</v>
      </c>
      <c r="HO62">
        <v>1.8592599999999999</v>
      </c>
      <c r="HP62">
        <v>1.85867</v>
      </c>
      <c r="HQ62">
        <v>1.85914</v>
      </c>
      <c r="HR62">
        <v>1.8575200000000001</v>
      </c>
      <c r="HS62">
        <v>1.8608100000000001</v>
      </c>
      <c r="HT62">
        <v>5</v>
      </c>
      <c r="HU62">
        <v>0</v>
      </c>
      <c r="HV62">
        <v>0</v>
      </c>
      <c r="HW62">
        <v>0</v>
      </c>
      <c r="HX62" t="s">
        <v>421</v>
      </c>
      <c r="HY62" t="s">
        <v>422</v>
      </c>
      <c r="HZ62" t="s">
        <v>423</v>
      </c>
      <c r="IA62" t="s">
        <v>423</v>
      </c>
      <c r="IB62" t="s">
        <v>423</v>
      </c>
      <c r="IC62" t="s">
        <v>423</v>
      </c>
      <c r="ID62">
        <v>0</v>
      </c>
      <c r="IE62">
        <v>100</v>
      </c>
      <c r="IF62">
        <v>100</v>
      </c>
      <c r="IG62">
        <v>1.3160000000000001</v>
      </c>
      <c r="IH62">
        <v>0.1123</v>
      </c>
      <c r="II62">
        <v>1.1621541464783709</v>
      </c>
      <c r="IJ62">
        <v>1.6187016317407189E-3</v>
      </c>
      <c r="IK62">
        <v>1.4341569744255341E-7</v>
      </c>
      <c r="IL62">
        <v>-2.4096625942085749E-10</v>
      </c>
      <c r="IM62">
        <v>0.1123260801760297</v>
      </c>
      <c r="IN62">
        <v>0</v>
      </c>
      <c r="IO62">
        <v>0</v>
      </c>
      <c r="IP62">
        <v>0</v>
      </c>
      <c r="IQ62">
        <v>4</v>
      </c>
      <c r="IR62">
        <v>2205</v>
      </c>
      <c r="IS62">
        <v>1</v>
      </c>
      <c r="IT62">
        <v>21</v>
      </c>
      <c r="IU62">
        <v>0.7</v>
      </c>
      <c r="IV62">
        <v>0.5</v>
      </c>
      <c r="IW62">
        <v>0.39917000000000002</v>
      </c>
      <c r="IX62">
        <v>2.47559</v>
      </c>
      <c r="IY62">
        <v>1.49414</v>
      </c>
      <c r="IZ62">
        <v>2.3046899999999999</v>
      </c>
      <c r="JA62">
        <v>1.69434</v>
      </c>
      <c r="JB62">
        <v>2.3889200000000002</v>
      </c>
      <c r="JC62">
        <v>40.629800000000003</v>
      </c>
      <c r="JD62">
        <v>23.9999</v>
      </c>
      <c r="JE62">
        <v>18</v>
      </c>
      <c r="JF62">
        <v>510.84500000000003</v>
      </c>
      <c r="JG62">
        <v>440.16800000000001</v>
      </c>
      <c r="JH62">
        <v>24.596299999999999</v>
      </c>
      <c r="JI62">
        <v>32.0212</v>
      </c>
      <c r="JJ62">
        <v>29.9999</v>
      </c>
      <c r="JK62">
        <v>31.991199999999999</v>
      </c>
      <c r="JL62">
        <v>31.968399999999999</v>
      </c>
      <c r="JM62">
        <v>8.0696300000000001</v>
      </c>
      <c r="JN62">
        <v>46.2194</v>
      </c>
      <c r="JO62">
        <v>0</v>
      </c>
      <c r="JP62">
        <v>24.604600000000001</v>
      </c>
      <c r="JQ62">
        <v>120</v>
      </c>
      <c r="JR62">
        <v>17.816400000000002</v>
      </c>
      <c r="JS62">
        <v>98.8339</v>
      </c>
      <c r="JT62">
        <v>99.63</v>
      </c>
    </row>
    <row r="63" spans="1:280" x14ac:dyDescent="0.25">
      <c r="A63">
        <v>47</v>
      </c>
      <c r="B63">
        <v>1674584698.5999999</v>
      </c>
      <c r="C63">
        <v>10646</v>
      </c>
      <c r="D63" t="s">
        <v>655</v>
      </c>
      <c r="E63" t="s">
        <v>656</v>
      </c>
      <c r="F63" t="s">
        <v>412</v>
      </c>
      <c r="G63" t="s">
        <v>31</v>
      </c>
      <c r="H63" t="s">
        <v>636</v>
      </c>
      <c r="I63">
        <v>1674584698.5999999</v>
      </c>
      <c r="J63">
        <f t="shared" si="46"/>
        <v>6.3871880428407529E-3</v>
      </c>
      <c r="K63">
        <f t="shared" si="47"/>
        <v>6.3871880428407533</v>
      </c>
      <c r="L63">
        <f t="shared" si="48"/>
        <v>11.858924127218577</v>
      </c>
      <c r="M63">
        <f t="shared" si="49"/>
        <v>55.341900000000003</v>
      </c>
      <c r="N63">
        <f t="shared" si="50"/>
        <v>18.021211251837205</v>
      </c>
      <c r="O63">
        <f t="shared" si="51"/>
        <v>1.7979993137462005</v>
      </c>
      <c r="P63">
        <f t="shared" si="52"/>
        <v>5.5215322006320005</v>
      </c>
      <c r="Q63">
        <f t="shared" si="53"/>
        <v>0.56588345243412708</v>
      </c>
      <c r="R63">
        <f t="shared" si="54"/>
        <v>2.9224642437618606</v>
      </c>
      <c r="S63">
        <f t="shared" si="55"/>
        <v>0.51131532437514959</v>
      </c>
      <c r="T63">
        <f t="shared" si="56"/>
        <v>0.32403518065567749</v>
      </c>
      <c r="U63">
        <f t="shared" si="57"/>
        <v>344.34980126343089</v>
      </c>
      <c r="V63">
        <f t="shared" si="58"/>
        <v>28.367783979561885</v>
      </c>
      <c r="W63">
        <f t="shared" si="59"/>
        <v>27.556899999999999</v>
      </c>
      <c r="X63">
        <f t="shared" si="60"/>
        <v>3.6979119852672695</v>
      </c>
      <c r="Y63">
        <f t="shared" si="61"/>
        <v>65.631222753204113</v>
      </c>
      <c r="Z63">
        <f t="shared" si="62"/>
        <v>2.4902512402879999</v>
      </c>
      <c r="AA63">
        <f t="shared" si="63"/>
        <v>3.794308769245696</v>
      </c>
      <c r="AB63">
        <f t="shared" si="64"/>
        <v>1.2076607449792696</v>
      </c>
      <c r="AC63">
        <f t="shared" si="65"/>
        <v>-281.67499268927719</v>
      </c>
      <c r="AD63">
        <f t="shared" si="66"/>
        <v>69.434881740880087</v>
      </c>
      <c r="AE63">
        <f t="shared" si="67"/>
        <v>5.1674333953674374</v>
      </c>
      <c r="AF63">
        <f t="shared" si="68"/>
        <v>137.27712371040121</v>
      </c>
      <c r="AG63">
        <v>0</v>
      </c>
      <c r="AH63">
        <v>0</v>
      </c>
      <c r="AI63">
        <f t="shared" si="69"/>
        <v>1</v>
      </c>
      <c r="AJ63">
        <f t="shared" si="70"/>
        <v>0</v>
      </c>
      <c r="AK63">
        <f t="shared" si="71"/>
        <v>52490.950997933214</v>
      </c>
      <c r="AL63" t="s">
        <v>415</v>
      </c>
      <c r="AM63">
        <v>10214.9</v>
      </c>
      <c r="AN63">
        <v>729.4384</v>
      </c>
      <c r="AO63">
        <v>3170.19</v>
      </c>
      <c r="AP63">
        <f t="shared" si="72"/>
        <v>0.76990704027203416</v>
      </c>
      <c r="AQ63">
        <v>-0.45549566560547827</v>
      </c>
      <c r="AR63" t="s">
        <v>657</v>
      </c>
      <c r="AS63">
        <v>10078.5</v>
      </c>
      <c r="AT63">
        <v>825.62988000000007</v>
      </c>
      <c r="AU63">
        <v>942.82205931369913</v>
      </c>
      <c r="AV63">
        <f t="shared" si="73"/>
        <v>0.12429936079243398</v>
      </c>
      <c r="AW63">
        <v>0.5</v>
      </c>
      <c r="AX63">
        <f t="shared" si="74"/>
        <v>1513.1004006317155</v>
      </c>
      <c r="AY63">
        <f t="shared" si="75"/>
        <v>11.858924127218577</v>
      </c>
      <c r="AZ63">
        <f t="shared" si="76"/>
        <v>94.038706306649004</v>
      </c>
      <c r="BA63">
        <f t="shared" si="77"/>
        <v>8.1385344869929419E-3</v>
      </c>
      <c r="BB63">
        <f t="shared" si="78"/>
        <v>2.3624478433477161</v>
      </c>
      <c r="BC63">
        <f t="shared" si="79"/>
        <v>472.56194272514739</v>
      </c>
      <c r="BD63" t="s">
        <v>658</v>
      </c>
      <c r="BE63">
        <v>568.87</v>
      </c>
      <c r="BF63">
        <f t="shared" si="80"/>
        <v>568.87</v>
      </c>
      <c r="BG63">
        <f t="shared" si="81"/>
        <v>0.39663057903620436</v>
      </c>
      <c r="BH63">
        <f t="shared" si="82"/>
        <v>0.31338824428130624</v>
      </c>
      <c r="BI63">
        <f t="shared" si="83"/>
        <v>0.85624526805095147</v>
      </c>
      <c r="BJ63">
        <f t="shared" si="84"/>
        <v>0.54920878051590982</v>
      </c>
      <c r="BK63">
        <f t="shared" si="85"/>
        <v>0.91257461049551336</v>
      </c>
      <c r="BL63">
        <f t="shared" si="86"/>
        <v>0.21592868044493094</v>
      </c>
      <c r="BM63">
        <f t="shared" si="87"/>
        <v>0.78407131955506904</v>
      </c>
      <c r="BN63">
        <v>9150</v>
      </c>
      <c r="BO63">
        <v>290.00000000000011</v>
      </c>
      <c r="BP63">
        <v>912.06</v>
      </c>
      <c r="BQ63">
        <v>255</v>
      </c>
      <c r="BR63">
        <v>10078.5</v>
      </c>
      <c r="BS63">
        <v>911.69</v>
      </c>
      <c r="BT63">
        <v>0.37</v>
      </c>
      <c r="BU63">
        <v>300.00000000000011</v>
      </c>
      <c r="BV63">
        <v>24.2</v>
      </c>
      <c r="BW63">
        <v>942.82205931369913</v>
      </c>
      <c r="BX63">
        <v>1.9253371438558129</v>
      </c>
      <c r="BY63">
        <v>-31.376053345133428</v>
      </c>
      <c r="BZ63">
        <v>1.727697587021628</v>
      </c>
      <c r="CA63">
        <v>0.92174573908848934</v>
      </c>
      <c r="CB63">
        <v>-6.8871971078976807E-3</v>
      </c>
      <c r="CC63">
        <v>289.99999999999989</v>
      </c>
      <c r="CD63">
        <v>909.46</v>
      </c>
      <c r="CE63">
        <v>745</v>
      </c>
      <c r="CF63">
        <v>10054.4</v>
      </c>
      <c r="CG63">
        <v>911.62</v>
      </c>
      <c r="CH63">
        <v>-2.16</v>
      </c>
      <c r="CV63">
        <f t="shared" si="88"/>
        <v>1799.9</v>
      </c>
      <c r="CW63">
        <f t="shared" si="89"/>
        <v>1513.1004006317155</v>
      </c>
      <c r="CX63">
        <f t="shared" si="90"/>
        <v>0.840658036908559</v>
      </c>
      <c r="CY63">
        <f t="shared" si="91"/>
        <v>0.1913160738171181</v>
      </c>
      <c r="CZ63">
        <v>6</v>
      </c>
      <c r="DA63">
        <v>0.5</v>
      </c>
      <c r="DB63" t="s">
        <v>418</v>
      </c>
      <c r="DC63">
        <v>2</v>
      </c>
      <c r="DD63">
        <v>1674584698.5999999</v>
      </c>
      <c r="DE63">
        <v>55.341900000000003</v>
      </c>
      <c r="DF63">
        <v>69.994</v>
      </c>
      <c r="DG63">
        <v>24.959599999999998</v>
      </c>
      <c r="DH63">
        <v>17.4877</v>
      </c>
      <c r="DI63">
        <v>54.107100000000003</v>
      </c>
      <c r="DJ63">
        <v>24.846599999999999</v>
      </c>
      <c r="DK63">
        <v>500.09500000000003</v>
      </c>
      <c r="DL63">
        <v>99.671400000000006</v>
      </c>
      <c r="DM63">
        <v>9.9879999999999997E-2</v>
      </c>
      <c r="DN63">
        <v>27.997599999999998</v>
      </c>
      <c r="DO63">
        <v>27.556899999999999</v>
      </c>
      <c r="DP63">
        <v>999.9</v>
      </c>
      <c r="DQ63">
        <v>0</v>
      </c>
      <c r="DR63">
        <v>0</v>
      </c>
      <c r="DS63">
        <v>9992.5</v>
      </c>
      <c r="DT63">
        <v>0</v>
      </c>
      <c r="DU63">
        <v>439.11099999999999</v>
      </c>
      <c r="DV63">
        <v>-14.652100000000001</v>
      </c>
      <c r="DW63">
        <v>56.758600000000001</v>
      </c>
      <c r="DX63">
        <v>71.239900000000006</v>
      </c>
      <c r="DY63">
        <v>7.4718600000000004</v>
      </c>
      <c r="DZ63">
        <v>69.994</v>
      </c>
      <c r="EA63">
        <v>17.4877</v>
      </c>
      <c r="EB63">
        <v>2.4877600000000002</v>
      </c>
      <c r="EC63">
        <v>1.7430300000000001</v>
      </c>
      <c r="ED63">
        <v>20.9466</v>
      </c>
      <c r="EE63">
        <v>15.285</v>
      </c>
      <c r="EF63">
        <v>1799.9</v>
      </c>
      <c r="EG63">
        <v>0.97800500000000001</v>
      </c>
      <c r="EH63">
        <v>2.19951E-2</v>
      </c>
      <c r="EI63">
        <v>0</v>
      </c>
      <c r="EJ63">
        <v>825.44899999999996</v>
      </c>
      <c r="EK63">
        <v>4.9990399999999999</v>
      </c>
      <c r="EL63">
        <v>15607.4</v>
      </c>
      <c r="EM63">
        <v>14819.9</v>
      </c>
      <c r="EN63">
        <v>48.625</v>
      </c>
      <c r="EO63">
        <v>50.186999999999998</v>
      </c>
      <c r="EP63">
        <v>49.625</v>
      </c>
      <c r="EQ63">
        <v>48.5</v>
      </c>
      <c r="ER63">
        <v>49.5</v>
      </c>
      <c r="ES63">
        <v>1755.42</v>
      </c>
      <c r="ET63">
        <v>39.479999999999997</v>
      </c>
      <c r="EU63">
        <v>0</v>
      </c>
      <c r="EV63">
        <v>112.2000000476837</v>
      </c>
      <c r="EW63">
        <v>0</v>
      </c>
      <c r="EX63">
        <v>825.62988000000007</v>
      </c>
      <c r="EY63">
        <v>-1.9793077070807681</v>
      </c>
      <c r="EZ63">
        <v>-78.315384825973737</v>
      </c>
      <c r="FA63">
        <v>15617.3</v>
      </c>
      <c r="FB63">
        <v>15</v>
      </c>
      <c r="FC63">
        <v>1674584663.5999999</v>
      </c>
      <c r="FD63" t="s">
        <v>659</v>
      </c>
      <c r="FE63">
        <v>1674584648.0999999</v>
      </c>
      <c r="FF63">
        <v>1674584663.5999999</v>
      </c>
      <c r="FG63">
        <v>56</v>
      </c>
      <c r="FH63">
        <v>-1.4999999999999999E-2</v>
      </c>
      <c r="FI63">
        <v>1E-3</v>
      </c>
      <c r="FJ63">
        <v>1.2589999999999999</v>
      </c>
      <c r="FK63">
        <v>5.8000000000000003E-2</v>
      </c>
      <c r="FL63">
        <v>70</v>
      </c>
      <c r="FM63">
        <v>18</v>
      </c>
      <c r="FN63">
        <v>0.1</v>
      </c>
      <c r="FO63">
        <v>0.02</v>
      </c>
      <c r="FP63">
        <v>11.872613793728631</v>
      </c>
      <c r="FQ63">
        <v>-0.1749394230301905</v>
      </c>
      <c r="FR63">
        <v>3.7743131290459482E-2</v>
      </c>
      <c r="FS63">
        <v>1</v>
      </c>
      <c r="FT63">
        <v>0.56665227958993913</v>
      </c>
      <c r="FU63">
        <v>2.980698017985783E-2</v>
      </c>
      <c r="FV63">
        <v>3.8178898018611271E-3</v>
      </c>
      <c r="FW63">
        <v>1</v>
      </c>
      <c r="FX63">
        <v>2</v>
      </c>
      <c r="FY63">
        <v>2</v>
      </c>
      <c r="FZ63" t="s">
        <v>420</v>
      </c>
      <c r="GA63">
        <v>2.9329700000000001</v>
      </c>
      <c r="GB63">
        <v>2.8332700000000002</v>
      </c>
      <c r="GC63">
        <v>1.4974400000000001E-2</v>
      </c>
      <c r="GD63">
        <v>1.8792099999999999E-2</v>
      </c>
      <c r="GE63">
        <v>0.12253799999999999</v>
      </c>
      <c r="GF63">
        <v>9.2237E-2</v>
      </c>
      <c r="GG63">
        <v>25449</v>
      </c>
      <c r="GH63">
        <v>32022.400000000001</v>
      </c>
      <c r="GI63">
        <v>23247.7</v>
      </c>
      <c r="GJ63">
        <v>29903.599999999999</v>
      </c>
      <c r="GK63">
        <v>27748.799999999999</v>
      </c>
      <c r="GL63">
        <v>38603.300000000003</v>
      </c>
      <c r="GM63">
        <v>32808.800000000003</v>
      </c>
      <c r="GN63">
        <v>44368.3</v>
      </c>
      <c r="GO63">
        <v>1.9638500000000001</v>
      </c>
      <c r="GP63">
        <v>1.8202700000000001</v>
      </c>
      <c r="GQ63">
        <v>5.4687300000000001E-2</v>
      </c>
      <c r="GR63">
        <v>0</v>
      </c>
      <c r="GS63">
        <v>26.662800000000001</v>
      </c>
      <c r="GT63">
        <v>999.9</v>
      </c>
      <c r="GU63">
        <v>47.8</v>
      </c>
      <c r="GV63">
        <v>36.700000000000003</v>
      </c>
      <c r="GW63">
        <v>29.7453</v>
      </c>
      <c r="GX63">
        <v>61.420900000000003</v>
      </c>
      <c r="GY63">
        <v>37.171500000000002</v>
      </c>
      <c r="GZ63">
        <v>1</v>
      </c>
      <c r="HA63">
        <v>0.370091</v>
      </c>
      <c r="HB63">
        <v>2.2069399999999999</v>
      </c>
      <c r="HC63">
        <v>20.256399999999999</v>
      </c>
      <c r="HD63">
        <v>5.2093499999999997</v>
      </c>
      <c r="HE63">
        <v>11.872199999999999</v>
      </c>
      <c r="HF63">
        <v>4.9846500000000002</v>
      </c>
      <c r="HG63">
        <v>3.2837800000000001</v>
      </c>
      <c r="HH63">
        <v>9999</v>
      </c>
      <c r="HI63">
        <v>9999</v>
      </c>
      <c r="HJ63">
        <v>9999</v>
      </c>
      <c r="HK63">
        <v>999.9</v>
      </c>
      <c r="HL63">
        <v>1.8546</v>
      </c>
      <c r="HM63">
        <v>1.86066</v>
      </c>
      <c r="HN63">
        <v>1.85806</v>
      </c>
      <c r="HO63">
        <v>1.85924</v>
      </c>
      <c r="HP63">
        <v>1.85867</v>
      </c>
      <c r="HQ63">
        <v>1.8591299999999999</v>
      </c>
      <c r="HR63">
        <v>1.85745</v>
      </c>
      <c r="HS63">
        <v>1.8608100000000001</v>
      </c>
      <c r="HT63">
        <v>5</v>
      </c>
      <c r="HU63">
        <v>0</v>
      </c>
      <c r="HV63">
        <v>0</v>
      </c>
      <c r="HW63">
        <v>0</v>
      </c>
      <c r="HX63" t="s">
        <v>421</v>
      </c>
      <c r="HY63" t="s">
        <v>422</v>
      </c>
      <c r="HZ63" t="s">
        <v>423</v>
      </c>
      <c r="IA63" t="s">
        <v>423</v>
      </c>
      <c r="IB63" t="s">
        <v>423</v>
      </c>
      <c r="IC63" t="s">
        <v>423</v>
      </c>
      <c r="ID63">
        <v>0</v>
      </c>
      <c r="IE63">
        <v>100</v>
      </c>
      <c r="IF63">
        <v>100</v>
      </c>
      <c r="IG63">
        <v>1.2350000000000001</v>
      </c>
      <c r="IH63">
        <v>0.113</v>
      </c>
      <c r="II63">
        <v>1.1468179581485709</v>
      </c>
      <c r="IJ63">
        <v>1.6187016317407189E-3</v>
      </c>
      <c r="IK63">
        <v>1.4341569744255341E-7</v>
      </c>
      <c r="IL63">
        <v>-2.4096625942085749E-10</v>
      </c>
      <c r="IM63">
        <v>0.11295804293676209</v>
      </c>
      <c r="IN63">
        <v>0</v>
      </c>
      <c r="IO63">
        <v>0</v>
      </c>
      <c r="IP63">
        <v>0</v>
      </c>
      <c r="IQ63">
        <v>4</v>
      </c>
      <c r="IR63">
        <v>2205</v>
      </c>
      <c r="IS63">
        <v>1</v>
      </c>
      <c r="IT63">
        <v>21</v>
      </c>
      <c r="IU63">
        <v>0.8</v>
      </c>
      <c r="IV63">
        <v>0.6</v>
      </c>
      <c r="IW63">
        <v>0.28930699999999998</v>
      </c>
      <c r="IX63">
        <v>2.49878</v>
      </c>
      <c r="IY63">
        <v>1.49414</v>
      </c>
      <c r="IZ63">
        <v>2.3046899999999999</v>
      </c>
      <c r="JA63">
        <v>1.69434</v>
      </c>
      <c r="JB63">
        <v>2.34253</v>
      </c>
      <c r="JC63">
        <v>40.629800000000003</v>
      </c>
      <c r="JD63">
        <v>23.991199999999999</v>
      </c>
      <c r="JE63">
        <v>18</v>
      </c>
      <c r="JF63">
        <v>511.08100000000002</v>
      </c>
      <c r="JG63">
        <v>439.81099999999998</v>
      </c>
      <c r="JH63">
        <v>24.645800000000001</v>
      </c>
      <c r="JI63">
        <v>31.976099999999999</v>
      </c>
      <c r="JJ63">
        <v>29.9998</v>
      </c>
      <c r="JK63">
        <v>31.949000000000002</v>
      </c>
      <c r="JL63">
        <v>31.926200000000001</v>
      </c>
      <c r="JM63">
        <v>5.8629300000000004</v>
      </c>
      <c r="JN63">
        <v>47.269199999999998</v>
      </c>
      <c r="JO63">
        <v>0</v>
      </c>
      <c r="JP63">
        <v>24.646100000000001</v>
      </c>
      <c r="JQ63">
        <v>70</v>
      </c>
      <c r="JR63">
        <v>17.4101</v>
      </c>
      <c r="JS63">
        <v>98.839699999999993</v>
      </c>
      <c r="JT63">
        <v>99.637699999999995</v>
      </c>
    </row>
    <row r="64" spans="1:280" x14ac:dyDescent="0.25">
      <c r="A64">
        <v>48</v>
      </c>
      <c r="B64">
        <v>1674584806.5999999</v>
      </c>
      <c r="C64">
        <v>10754</v>
      </c>
      <c r="D64" t="s">
        <v>660</v>
      </c>
      <c r="E64" t="s">
        <v>661</v>
      </c>
      <c r="F64" t="s">
        <v>412</v>
      </c>
      <c r="G64" t="s">
        <v>31</v>
      </c>
      <c r="H64" t="s">
        <v>636</v>
      </c>
      <c r="I64">
        <v>1674584806.5999999</v>
      </c>
      <c r="J64">
        <f t="shared" si="46"/>
        <v>6.6724487600154517E-3</v>
      </c>
      <c r="K64">
        <f t="shared" si="47"/>
        <v>6.6724487600154516</v>
      </c>
      <c r="L64">
        <f t="shared" si="48"/>
        <v>5.1237821659162233</v>
      </c>
      <c r="M64">
        <f t="shared" si="49"/>
        <v>23.690799999999999</v>
      </c>
      <c r="N64">
        <f t="shared" si="50"/>
        <v>8.293600241236275</v>
      </c>
      <c r="O64">
        <f t="shared" si="51"/>
        <v>0.82748262671781958</v>
      </c>
      <c r="P64">
        <f t="shared" si="52"/>
        <v>2.3637171846763998</v>
      </c>
      <c r="Q64">
        <f t="shared" si="53"/>
        <v>0.59592663023999093</v>
      </c>
      <c r="R64">
        <f t="shared" si="54"/>
        <v>2.9192099097119413</v>
      </c>
      <c r="S64">
        <f t="shared" si="55"/>
        <v>0.53568000156084516</v>
      </c>
      <c r="T64">
        <f t="shared" si="56"/>
        <v>0.33970393212596273</v>
      </c>
      <c r="U64">
        <f t="shared" si="57"/>
        <v>344.37070126335368</v>
      </c>
      <c r="V64">
        <f t="shared" si="58"/>
        <v>28.289812526394147</v>
      </c>
      <c r="W64">
        <f t="shared" si="59"/>
        <v>27.528600000000001</v>
      </c>
      <c r="X64">
        <f t="shared" si="60"/>
        <v>3.6917954649926048</v>
      </c>
      <c r="Y64">
        <f t="shared" si="61"/>
        <v>65.57428894319952</v>
      </c>
      <c r="Z64">
        <f t="shared" si="62"/>
        <v>2.4874963537762</v>
      </c>
      <c r="AA64">
        <f t="shared" si="63"/>
        <v>3.7934019474170291</v>
      </c>
      <c r="AB64">
        <f t="shared" si="64"/>
        <v>1.2042991112164048</v>
      </c>
      <c r="AC64">
        <f t="shared" si="65"/>
        <v>-294.25499031668141</v>
      </c>
      <c r="AD64">
        <f t="shared" si="66"/>
        <v>73.166168718896216</v>
      </c>
      <c r="AE64">
        <f t="shared" si="67"/>
        <v>5.4503103668763595</v>
      </c>
      <c r="AF64">
        <f t="shared" si="68"/>
        <v>128.73219003244483</v>
      </c>
      <c r="AG64">
        <v>0</v>
      </c>
      <c r="AH64">
        <v>0</v>
      </c>
      <c r="AI64">
        <f t="shared" si="69"/>
        <v>1</v>
      </c>
      <c r="AJ64">
        <f t="shared" si="70"/>
        <v>0</v>
      </c>
      <c r="AK64">
        <f t="shared" si="71"/>
        <v>52398.203784607249</v>
      </c>
      <c r="AL64" t="s">
        <v>415</v>
      </c>
      <c r="AM64">
        <v>10214.9</v>
      </c>
      <c r="AN64">
        <v>729.4384</v>
      </c>
      <c r="AO64">
        <v>3170.19</v>
      </c>
      <c r="AP64">
        <f t="shared" si="72"/>
        <v>0.76990704027203416</v>
      </c>
      <c r="AQ64">
        <v>-0.45549566560547827</v>
      </c>
      <c r="AR64" t="s">
        <v>662</v>
      </c>
      <c r="AS64">
        <v>10094</v>
      </c>
      <c r="AT64">
        <v>839.89407999999992</v>
      </c>
      <c r="AU64">
        <v>919.87315824772031</v>
      </c>
      <c r="AV64">
        <f t="shared" si="73"/>
        <v>8.6945768044883187E-2</v>
      </c>
      <c r="AW64">
        <v>0.5</v>
      </c>
      <c r="AX64">
        <f t="shared" si="74"/>
        <v>1513.1928006316766</v>
      </c>
      <c r="AY64">
        <f t="shared" si="75"/>
        <v>5.1237821659162233</v>
      </c>
      <c r="AZ64">
        <f t="shared" si="76"/>
        <v>65.782855125454461</v>
      </c>
      <c r="BA64">
        <f t="shared" si="77"/>
        <v>3.6870898600579204E-3</v>
      </c>
      <c r="BB64">
        <f t="shared" si="78"/>
        <v>2.4463338467652878</v>
      </c>
      <c r="BC64">
        <f t="shared" si="79"/>
        <v>466.72581513118325</v>
      </c>
      <c r="BD64" t="s">
        <v>663</v>
      </c>
      <c r="BE64">
        <v>583.25</v>
      </c>
      <c r="BF64">
        <f t="shared" si="80"/>
        <v>583.25</v>
      </c>
      <c r="BG64">
        <f t="shared" si="81"/>
        <v>0.36594519062710629</v>
      </c>
      <c r="BH64">
        <f t="shared" si="82"/>
        <v>0.23759232330909316</v>
      </c>
      <c r="BI64">
        <f t="shared" si="83"/>
        <v>0.86987593131355179</v>
      </c>
      <c r="BJ64">
        <f t="shared" si="84"/>
        <v>0.41998151484343232</v>
      </c>
      <c r="BK64">
        <f t="shared" si="85"/>
        <v>0.92197700157290885</v>
      </c>
      <c r="BL64">
        <f t="shared" si="86"/>
        <v>0.16499190299094452</v>
      </c>
      <c r="BM64">
        <f t="shared" si="87"/>
        <v>0.83500809700905543</v>
      </c>
      <c r="BN64">
        <v>9152</v>
      </c>
      <c r="BO64">
        <v>290.00000000000011</v>
      </c>
      <c r="BP64">
        <v>895.46</v>
      </c>
      <c r="BQ64">
        <v>145</v>
      </c>
      <c r="BR64">
        <v>10094</v>
      </c>
      <c r="BS64">
        <v>893.72</v>
      </c>
      <c r="BT64">
        <v>1.74</v>
      </c>
      <c r="BU64">
        <v>300.00000000000011</v>
      </c>
      <c r="BV64">
        <v>24.2</v>
      </c>
      <c r="BW64">
        <v>919.87315824772031</v>
      </c>
      <c r="BX64">
        <v>1.5433941876974979</v>
      </c>
      <c r="BY64">
        <v>-26.397533333121149</v>
      </c>
      <c r="BZ64">
        <v>1.385010390215748</v>
      </c>
      <c r="CA64">
        <v>0.92843680087825198</v>
      </c>
      <c r="CB64">
        <v>-6.887368631813124E-3</v>
      </c>
      <c r="CC64">
        <v>289.99999999999989</v>
      </c>
      <c r="CD64">
        <v>889.63</v>
      </c>
      <c r="CE64">
        <v>705</v>
      </c>
      <c r="CF64">
        <v>10056.799999999999</v>
      </c>
      <c r="CG64">
        <v>893.62</v>
      </c>
      <c r="CH64">
        <v>-3.99</v>
      </c>
      <c r="CV64">
        <f t="shared" si="88"/>
        <v>1800.01</v>
      </c>
      <c r="CW64">
        <f t="shared" si="89"/>
        <v>1513.1928006316766</v>
      </c>
      <c r="CX64">
        <f t="shared" si="90"/>
        <v>0.84065799669539432</v>
      </c>
      <c r="CY64">
        <f t="shared" si="91"/>
        <v>0.19131599339078875</v>
      </c>
      <c r="CZ64">
        <v>6</v>
      </c>
      <c r="DA64">
        <v>0.5</v>
      </c>
      <c r="DB64" t="s">
        <v>418</v>
      </c>
      <c r="DC64">
        <v>2</v>
      </c>
      <c r="DD64">
        <v>1674584806.5999999</v>
      </c>
      <c r="DE64">
        <v>23.690799999999999</v>
      </c>
      <c r="DF64">
        <v>30.027799999999999</v>
      </c>
      <c r="DG64">
        <v>24.9314</v>
      </c>
      <c r="DH64">
        <v>17.125599999999999</v>
      </c>
      <c r="DI64">
        <v>22.5185</v>
      </c>
      <c r="DJ64">
        <v>24.820799999999998</v>
      </c>
      <c r="DK64">
        <v>500.09699999999998</v>
      </c>
      <c r="DL64">
        <v>99.673400000000001</v>
      </c>
      <c r="DM64">
        <v>0.100233</v>
      </c>
      <c r="DN64">
        <v>27.993500000000001</v>
      </c>
      <c r="DO64">
        <v>27.528600000000001</v>
      </c>
      <c r="DP64">
        <v>999.9</v>
      </c>
      <c r="DQ64">
        <v>0</v>
      </c>
      <c r="DR64">
        <v>0</v>
      </c>
      <c r="DS64">
        <v>9973.75</v>
      </c>
      <c r="DT64">
        <v>0</v>
      </c>
      <c r="DU64">
        <v>435.83</v>
      </c>
      <c r="DV64">
        <v>-6.3370100000000003</v>
      </c>
      <c r="DW64">
        <v>24.296600000000002</v>
      </c>
      <c r="DX64">
        <v>30.550999999999998</v>
      </c>
      <c r="DY64">
        <v>7.8058500000000004</v>
      </c>
      <c r="DZ64">
        <v>30.027799999999999</v>
      </c>
      <c r="EA64">
        <v>17.125599999999999</v>
      </c>
      <c r="EB64">
        <v>2.4849999999999999</v>
      </c>
      <c r="EC64">
        <v>1.7069700000000001</v>
      </c>
      <c r="ED64">
        <v>20.928599999999999</v>
      </c>
      <c r="EE64">
        <v>14.959899999999999</v>
      </c>
      <c r="EF64">
        <v>1800.01</v>
      </c>
      <c r="EG64">
        <v>0.97800500000000001</v>
      </c>
      <c r="EH64">
        <v>2.19951E-2</v>
      </c>
      <c r="EI64">
        <v>0</v>
      </c>
      <c r="EJ64">
        <v>839.49199999999996</v>
      </c>
      <c r="EK64">
        <v>4.9990399999999999</v>
      </c>
      <c r="EL64">
        <v>15848.6</v>
      </c>
      <c r="EM64">
        <v>14820.8</v>
      </c>
      <c r="EN64">
        <v>48.561999999999998</v>
      </c>
      <c r="EO64">
        <v>50.125</v>
      </c>
      <c r="EP64">
        <v>49.625</v>
      </c>
      <c r="EQ64">
        <v>48.5</v>
      </c>
      <c r="ER64">
        <v>49.5</v>
      </c>
      <c r="ES64">
        <v>1755.53</v>
      </c>
      <c r="ET64">
        <v>39.479999999999997</v>
      </c>
      <c r="EU64">
        <v>0</v>
      </c>
      <c r="EV64">
        <v>106.2000000476837</v>
      </c>
      <c r="EW64">
        <v>0</v>
      </c>
      <c r="EX64">
        <v>839.89407999999992</v>
      </c>
      <c r="EY64">
        <v>-2.2924615557999668</v>
      </c>
      <c r="EZ64">
        <v>-28.653846143604799</v>
      </c>
      <c r="FA64">
        <v>15851.32</v>
      </c>
      <c r="FB64">
        <v>15</v>
      </c>
      <c r="FC64">
        <v>1674584773.5999999</v>
      </c>
      <c r="FD64" t="s">
        <v>664</v>
      </c>
      <c r="FE64">
        <v>1674584761.5999999</v>
      </c>
      <c r="FF64">
        <v>1674584773.5999999</v>
      </c>
      <c r="FG64">
        <v>57</v>
      </c>
      <c r="FH64">
        <v>-1.0999999999999999E-2</v>
      </c>
      <c r="FI64">
        <v>-2E-3</v>
      </c>
      <c r="FJ64">
        <v>1.1819999999999999</v>
      </c>
      <c r="FK64">
        <v>4.8000000000000001E-2</v>
      </c>
      <c r="FL64">
        <v>30</v>
      </c>
      <c r="FM64">
        <v>17</v>
      </c>
      <c r="FN64">
        <v>0.28000000000000003</v>
      </c>
      <c r="FO64">
        <v>0.01</v>
      </c>
      <c r="FP64">
        <v>5.1711068449094366</v>
      </c>
      <c r="FQ64">
        <v>-0.41069894818045533</v>
      </c>
      <c r="FR64">
        <v>4.6859752030682163E-2</v>
      </c>
      <c r="FS64">
        <v>1</v>
      </c>
      <c r="FT64">
        <v>0.59061813611979208</v>
      </c>
      <c r="FU64">
        <v>3.4519628316423717E-2</v>
      </c>
      <c r="FV64">
        <v>5.9425016748686508E-3</v>
      </c>
      <c r="FW64">
        <v>1</v>
      </c>
      <c r="FX64">
        <v>2</v>
      </c>
      <c r="FY64">
        <v>2</v>
      </c>
      <c r="FZ64" t="s">
        <v>420</v>
      </c>
      <c r="GA64">
        <v>2.9330400000000001</v>
      </c>
      <c r="GB64">
        <v>2.8334600000000001</v>
      </c>
      <c r="GC64">
        <v>6.2986500000000003E-3</v>
      </c>
      <c r="GD64">
        <v>8.1752999999999999E-3</v>
      </c>
      <c r="GE64">
        <v>0.122465</v>
      </c>
      <c r="GF64">
        <v>9.0882599999999994E-2</v>
      </c>
      <c r="GG64">
        <v>25676.1</v>
      </c>
      <c r="GH64">
        <v>32370.7</v>
      </c>
      <c r="GI64">
        <v>23250.5</v>
      </c>
      <c r="GJ64">
        <v>29905.5</v>
      </c>
      <c r="GK64">
        <v>27754.400000000001</v>
      </c>
      <c r="GL64">
        <v>38663</v>
      </c>
      <c r="GM64">
        <v>32813.1</v>
      </c>
      <c r="GN64">
        <v>44370.2</v>
      </c>
      <c r="GO64">
        <v>1.96478</v>
      </c>
      <c r="GP64">
        <v>1.82043</v>
      </c>
      <c r="GQ64">
        <v>5.6922399999999998E-2</v>
      </c>
      <c r="GR64">
        <v>0</v>
      </c>
      <c r="GS64">
        <v>26.597799999999999</v>
      </c>
      <c r="GT64">
        <v>999.9</v>
      </c>
      <c r="GU64">
        <v>47.7</v>
      </c>
      <c r="GV64">
        <v>36.700000000000003</v>
      </c>
      <c r="GW64">
        <v>29.683499999999999</v>
      </c>
      <c r="GX64">
        <v>61.450899999999997</v>
      </c>
      <c r="GY64">
        <v>36.9071</v>
      </c>
      <c r="GZ64">
        <v>1</v>
      </c>
      <c r="HA64">
        <v>0.365755</v>
      </c>
      <c r="HB64">
        <v>2.11666</v>
      </c>
      <c r="HC64">
        <v>20.2575</v>
      </c>
      <c r="HD64">
        <v>5.2100999999999997</v>
      </c>
      <c r="HE64">
        <v>11.872199999999999</v>
      </c>
      <c r="HF64">
        <v>4.9855999999999998</v>
      </c>
      <c r="HG64">
        <v>3.2839999999999998</v>
      </c>
      <c r="HH64">
        <v>9999</v>
      </c>
      <c r="HI64">
        <v>9999</v>
      </c>
      <c r="HJ64">
        <v>9999</v>
      </c>
      <c r="HK64">
        <v>999.9</v>
      </c>
      <c r="HL64">
        <v>1.85459</v>
      </c>
      <c r="HM64">
        <v>1.86069</v>
      </c>
      <c r="HN64">
        <v>1.85806</v>
      </c>
      <c r="HO64">
        <v>1.85927</v>
      </c>
      <c r="HP64">
        <v>1.85867</v>
      </c>
      <c r="HQ64">
        <v>1.8591299999999999</v>
      </c>
      <c r="HR64">
        <v>1.85751</v>
      </c>
      <c r="HS64">
        <v>1.86083</v>
      </c>
      <c r="HT64">
        <v>5</v>
      </c>
      <c r="HU64">
        <v>0</v>
      </c>
      <c r="HV64">
        <v>0</v>
      </c>
      <c r="HW64">
        <v>0</v>
      </c>
      <c r="HX64" t="s">
        <v>421</v>
      </c>
      <c r="HY64" t="s">
        <v>422</v>
      </c>
      <c r="HZ64" t="s">
        <v>423</v>
      </c>
      <c r="IA64" t="s">
        <v>423</v>
      </c>
      <c r="IB64" t="s">
        <v>423</v>
      </c>
      <c r="IC64" t="s">
        <v>423</v>
      </c>
      <c r="ID64">
        <v>0</v>
      </c>
      <c r="IE64">
        <v>100</v>
      </c>
      <c r="IF64">
        <v>100</v>
      </c>
      <c r="IG64">
        <v>1.1719999999999999</v>
      </c>
      <c r="IH64">
        <v>0.1106</v>
      </c>
      <c r="II64">
        <v>1.135843966362629</v>
      </c>
      <c r="IJ64">
        <v>1.6187016317407189E-3</v>
      </c>
      <c r="IK64">
        <v>1.4341569744255341E-7</v>
      </c>
      <c r="IL64">
        <v>-2.4096625942085749E-10</v>
      </c>
      <c r="IM64">
        <v>0.1106426696328074</v>
      </c>
      <c r="IN64">
        <v>0</v>
      </c>
      <c r="IO64">
        <v>0</v>
      </c>
      <c r="IP64">
        <v>0</v>
      </c>
      <c r="IQ64">
        <v>4</v>
      </c>
      <c r="IR64">
        <v>2205</v>
      </c>
      <c r="IS64">
        <v>1</v>
      </c>
      <c r="IT64">
        <v>21</v>
      </c>
      <c r="IU64">
        <v>0.8</v>
      </c>
      <c r="IV64">
        <v>0.6</v>
      </c>
      <c r="IW64">
        <v>0.20141600000000001</v>
      </c>
      <c r="IX64">
        <v>2.5109900000000001</v>
      </c>
      <c r="IY64">
        <v>1.49414</v>
      </c>
      <c r="IZ64">
        <v>2.3046899999999999</v>
      </c>
      <c r="JA64">
        <v>1.69434</v>
      </c>
      <c r="JB64">
        <v>2.4267599999999998</v>
      </c>
      <c r="JC64">
        <v>40.604199999999999</v>
      </c>
      <c r="JD64">
        <v>23.9999</v>
      </c>
      <c r="JE64">
        <v>18</v>
      </c>
      <c r="JF64">
        <v>511.274</v>
      </c>
      <c r="JG64">
        <v>439.517</v>
      </c>
      <c r="JH64">
        <v>24.6874</v>
      </c>
      <c r="JI64">
        <v>31.921299999999999</v>
      </c>
      <c r="JJ64">
        <v>29.9998</v>
      </c>
      <c r="JK64">
        <v>31.899799999999999</v>
      </c>
      <c r="JL64">
        <v>31.876899999999999</v>
      </c>
      <c r="JM64">
        <v>4.0980699999999999</v>
      </c>
      <c r="JN64">
        <v>48.427</v>
      </c>
      <c r="JO64">
        <v>0</v>
      </c>
      <c r="JP64">
        <v>24.691800000000001</v>
      </c>
      <c r="JQ64">
        <v>30</v>
      </c>
      <c r="JR64">
        <v>17.095700000000001</v>
      </c>
      <c r="JS64">
        <v>98.852199999999996</v>
      </c>
      <c r="JT64">
        <v>99.642700000000005</v>
      </c>
    </row>
    <row r="65" spans="1:280" x14ac:dyDescent="0.25">
      <c r="A65">
        <v>49</v>
      </c>
      <c r="B65">
        <v>1674584916.0999999</v>
      </c>
      <c r="C65">
        <v>10863.5</v>
      </c>
      <c r="D65" t="s">
        <v>665</v>
      </c>
      <c r="E65" t="s">
        <v>666</v>
      </c>
      <c r="F65" t="s">
        <v>412</v>
      </c>
      <c r="G65" t="s">
        <v>31</v>
      </c>
      <c r="H65" t="s">
        <v>636</v>
      </c>
      <c r="I65">
        <v>1674584916.0999999</v>
      </c>
      <c r="J65">
        <f t="shared" si="46"/>
        <v>6.8059514969143458E-3</v>
      </c>
      <c r="K65">
        <f t="shared" si="47"/>
        <v>6.8059514969143455</v>
      </c>
      <c r="L65">
        <f t="shared" si="48"/>
        <v>1.5339863217786374</v>
      </c>
      <c r="M65">
        <f t="shared" si="49"/>
        <v>8.1202799999999993</v>
      </c>
      <c r="N65">
        <f t="shared" si="50"/>
        <v>3.5691055498140898</v>
      </c>
      <c r="O65">
        <f t="shared" si="51"/>
        <v>0.35610318975644883</v>
      </c>
      <c r="P65">
        <f t="shared" si="52"/>
        <v>0.81019111633336782</v>
      </c>
      <c r="Q65">
        <f t="shared" si="53"/>
        <v>0.60748659592199883</v>
      </c>
      <c r="R65">
        <f t="shared" si="54"/>
        <v>2.9273252298642243</v>
      </c>
      <c r="S65">
        <f t="shared" si="55"/>
        <v>0.54516503919815729</v>
      </c>
      <c r="T65">
        <f t="shared" si="56"/>
        <v>0.3457931649389388</v>
      </c>
      <c r="U65">
        <f t="shared" si="57"/>
        <v>344.33270126349402</v>
      </c>
      <c r="V65">
        <f t="shared" si="58"/>
        <v>28.261602294329062</v>
      </c>
      <c r="W65">
        <f t="shared" si="59"/>
        <v>27.527699999999999</v>
      </c>
      <c r="X65">
        <f t="shared" si="60"/>
        <v>3.6916010916200408</v>
      </c>
      <c r="Y65">
        <f t="shared" si="61"/>
        <v>65.468170715208956</v>
      </c>
      <c r="Z65">
        <f t="shared" si="62"/>
        <v>2.4845569561421401</v>
      </c>
      <c r="AA65">
        <f t="shared" si="63"/>
        <v>3.7950609112787546</v>
      </c>
      <c r="AB65">
        <f t="shared" si="64"/>
        <v>1.2070441354779007</v>
      </c>
      <c r="AC65">
        <f t="shared" si="65"/>
        <v>-300.14246101392263</v>
      </c>
      <c r="AD65">
        <f t="shared" si="66"/>
        <v>74.695239423162178</v>
      </c>
      <c r="AE65">
        <f t="shared" si="67"/>
        <v>5.5489715340313772</v>
      </c>
      <c r="AF65">
        <f t="shared" si="68"/>
        <v>124.43445120676492</v>
      </c>
      <c r="AG65">
        <v>0</v>
      </c>
      <c r="AH65">
        <v>0</v>
      </c>
      <c r="AI65">
        <f t="shared" si="69"/>
        <v>1</v>
      </c>
      <c r="AJ65">
        <f t="shared" si="70"/>
        <v>0</v>
      </c>
      <c r="AK65">
        <f t="shared" si="71"/>
        <v>52630.201114874733</v>
      </c>
      <c r="AL65" t="s">
        <v>415</v>
      </c>
      <c r="AM65">
        <v>10214.9</v>
      </c>
      <c r="AN65">
        <v>729.4384</v>
      </c>
      <c r="AO65">
        <v>3170.19</v>
      </c>
      <c r="AP65">
        <f t="shared" si="72"/>
        <v>0.76990704027203416</v>
      </c>
      <c r="AQ65">
        <v>-0.45549566560547827</v>
      </c>
      <c r="AR65" t="s">
        <v>667</v>
      </c>
      <c r="AS65">
        <v>10097.6</v>
      </c>
      <c r="AT65">
        <v>845.96126923076929</v>
      </c>
      <c r="AU65">
        <v>912.05165209523523</v>
      </c>
      <c r="AV65">
        <f t="shared" si="73"/>
        <v>7.2463421027348596E-2</v>
      </c>
      <c r="AW65">
        <v>0.5</v>
      </c>
      <c r="AX65">
        <f t="shared" si="74"/>
        <v>1513.024800631747</v>
      </c>
      <c r="AY65">
        <f t="shared" si="75"/>
        <v>1.5339863217786374</v>
      </c>
      <c r="AZ65">
        <f t="shared" si="76"/>
        <v>54.819476576499227</v>
      </c>
      <c r="BA65">
        <f t="shared" si="77"/>
        <v>1.314903752108643E-3</v>
      </c>
      <c r="BB65">
        <f t="shared" si="78"/>
        <v>2.4758886656443151</v>
      </c>
      <c r="BC65">
        <f t="shared" si="79"/>
        <v>464.70381550166894</v>
      </c>
      <c r="BD65" t="s">
        <v>668</v>
      </c>
      <c r="BE65">
        <v>592.28</v>
      </c>
      <c r="BF65">
        <f t="shared" si="80"/>
        <v>592.28</v>
      </c>
      <c r="BG65">
        <f t="shared" si="81"/>
        <v>0.35060695450814783</v>
      </c>
      <c r="BH65">
        <f t="shared" si="82"/>
        <v>0.20667993060492654</v>
      </c>
      <c r="BI65">
        <f t="shared" si="83"/>
        <v>0.87595701475410892</v>
      </c>
      <c r="BJ65">
        <f t="shared" si="84"/>
        <v>0.36191449473775827</v>
      </c>
      <c r="BK65">
        <f t="shared" si="85"/>
        <v>0.92518154977539091</v>
      </c>
      <c r="BL65">
        <f t="shared" si="86"/>
        <v>0.14470212024008522</v>
      </c>
      <c r="BM65">
        <f t="shared" si="87"/>
        <v>0.85529787975991478</v>
      </c>
      <c r="BN65">
        <v>9154</v>
      </c>
      <c r="BO65">
        <v>290.00000000000011</v>
      </c>
      <c r="BP65">
        <v>888.45</v>
      </c>
      <c r="BQ65">
        <v>125</v>
      </c>
      <c r="BR65">
        <v>10097.6</v>
      </c>
      <c r="BS65">
        <v>886.15</v>
      </c>
      <c r="BT65">
        <v>2.2999999999999998</v>
      </c>
      <c r="BU65">
        <v>300.00000000000011</v>
      </c>
      <c r="BV65">
        <v>24.2</v>
      </c>
      <c r="BW65">
        <v>912.05165209523523</v>
      </c>
      <c r="BX65">
        <v>1.7373042685138469</v>
      </c>
      <c r="BY65">
        <v>-26.154840717148758</v>
      </c>
      <c r="BZ65">
        <v>1.5590955632151611</v>
      </c>
      <c r="CA65">
        <v>0.90950881864769184</v>
      </c>
      <c r="CB65">
        <v>-6.8877114571746501E-3</v>
      </c>
      <c r="CC65">
        <v>289.99999999999989</v>
      </c>
      <c r="CD65">
        <v>882.64</v>
      </c>
      <c r="CE65">
        <v>615</v>
      </c>
      <c r="CF65">
        <v>10062.6</v>
      </c>
      <c r="CG65">
        <v>886.06</v>
      </c>
      <c r="CH65">
        <v>-3.42</v>
      </c>
      <c r="CV65">
        <f t="shared" si="88"/>
        <v>1799.81</v>
      </c>
      <c r="CW65">
        <f t="shared" si="89"/>
        <v>1513.024800631747</v>
      </c>
      <c r="CX65">
        <f t="shared" si="90"/>
        <v>0.84065806981389535</v>
      </c>
      <c r="CY65">
        <f t="shared" si="91"/>
        <v>0.19131613962779073</v>
      </c>
      <c r="CZ65">
        <v>6</v>
      </c>
      <c r="DA65">
        <v>0.5</v>
      </c>
      <c r="DB65" t="s">
        <v>418</v>
      </c>
      <c r="DC65">
        <v>2</v>
      </c>
      <c r="DD65">
        <v>1674584916.0999999</v>
      </c>
      <c r="DE65">
        <v>8.1202799999999993</v>
      </c>
      <c r="DF65">
        <v>10.027200000000001</v>
      </c>
      <c r="DG65">
        <v>24.901900000000001</v>
      </c>
      <c r="DH65">
        <v>16.9389</v>
      </c>
      <c r="DI65">
        <v>6.9368999999999996</v>
      </c>
      <c r="DJ65">
        <v>24.790500000000002</v>
      </c>
      <c r="DK65">
        <v>500.048</v>
      </c>
      <c r="DL65">
        <v>99.673900000000003</v>
      </c>
      <c r="DM65">
        <v>9.9890599999999996E-2</v>
      </c>
      <c r="DN65">
        <v>28.001000000000001</v>
      </c>
      <c r="DO65">
        <v>27.527699999999999</v>
      </c>
      <c r="DP65">
        <v>999.9</v>
      </c>
      <c r="DQ65">
        <v>0</v>
      </c>
      <c r="DR65">
        <v>0</v>
      </c>
      <c r="DS65">
        <v>10020</v>
      </c>
      <c r="DT65">
        <v>0</v>
      </c>
      <c r="DU65">
        <v>439.36500000000001</v>
      </c>
      <c r="DV65">
        <v>-1.9069199999999999</v>
      </c>
      <c r="DW65">
        <v>8.3276500000000002</v>
      </c>
      <c r="DX65">
        <v>10.199999999999999</v>
      </c>
      <c r="DY65">
        <v>7.9630200000000002</v>
      </c>
      <c r="DZ65">
        <v>10.027200000000001</v>
      </c>
      <c r="EA65">
        <v>16.9389</v>
      </c>
      <c r="EB65">
        <v>2.4820700000000002</v>
      </c>
      <c r="EC65">
        <v>1.6883600000000001</v>
      </c>
      <c r="ED65">
        <v>20.909400000000002</v>
      </c>
      <c r="EE65">
        <v>14.789899999999999</v>
      </c>
      <c r="EF65">
        <v>1799.81</v>
      </c>
      <c r="EG65">
        <v>0.97800100000000001</v>
      </c>
      <c r="EH65">
        <v>2.19986E-2</v>
      </c>
      <c r="EI65">
        <v>0</v>
      </c>
      <c r="EJ65">
        <v>845.58500000000004</v>
      </c>
      <c r="EK65">
        <v>4.9990399999999999</v>
      </c>
      <c r="EL65">
        <v>15966.2</v>
      </c>
      <c r="EM65">
        <v>14819.1</v>
      </c>
      <c r="EN65">
        <v>48.561999999999998</v>
      </c>
      <c r="EO65">
        <v>50.125</v>
      </c>
      <c r="EP65">
        <v>49.561999999999998</v>
      </c>
      <c r="EQ65">
        <v>48.436999999999998</v>
      </c>
      <c r="ER65">
        <v>49.436999999999998</v>
      </c>
      <c r="ES65">
        <v>1755.33</v>
      </c>
      <c r="ET65">
        <v>39.479999999999997</v>
      </c>
      <c r="EU65">
        <v>0</v>
      </c>
      <c r="EV65">
        <v>107.3999998569489</v>
      </c>
      <c r="EW65">
        <v>0</v>
      </c>
      <c r="EX65">
        <v>845.96126923076929</v>
      </c>
      <c r="EY65">
        <v>-0.95791452412463174</v>
      </c>
      <c r="EZ65">
        <v>-13.661538427597129</v>
      </c>
      <c r="FA65">
        <v>15969.076923076929</v>
      </c>
      <c r="FB65">
        <v>15</v>
      </c>
      <c r="FC65">
        <v>1674584882.0999999</v>
      </c>
      <c r="FD65" t="s">
        <v>669</v>
      </c>
      <c r="FE65">
        <v>1674584870.5999999</v>
      </c>
      <c r="FF65">
        <v>1674584882.0999999</v>
      </c>
      <c r="FG65">
        <v>58</v>
      </c>
      <c r="FH65">
        <v>3.5999999999999997E-2</v>
      </c>
      <c r="FI65">
        <v>1E-3</v>
      </c>
      <c r="FJ65">
        <v>1.1859999999999999</v>
      </c>
      <c r="FK65">
        <v>4.1000000000000002E-2</v>
      </c>
      <c r="FL65">
        <v>10</v>
      </c>
      <c r="FM65">
        <v>17</v>
      </c>
      <c r="FN65">
        <v>0.36</v>
      </c>
      <c r="FO65">
        <v>0.01</v>
      </c>
      <c r="FP65">
        <v>1.571092460869747</v>
      </c>
      <c r="FQ65">
        <v>-0.45323122797996801</v>
      </c>
      <c r="FR65">
        <v>5.6180455777053398E-2</v>
      </c>
      <c r="FS65">
        <v>1</v>
      </c>
      <c r="FT65">
        <v>0.60431562018885054</v>
      </c>
      <c r="FU65">
        <v>4.872080732794129E-2</v>
      </c>
      <c r="FV65">
        <v>6.5643240151057334E-3</v>
      </c>
      <c r="FW65">
        <v>1</v>
      </c>
      <c r="FX65">
        <v>2</v>
      </c>
      <c r="FY65">
        <v>2</v>
      </c>
      <c r="FZ65" t="s">
        <v>420</v>
      </c>
      <c r="GA65">
        <v>2.9329900000000002</v>
      </c>
      <c r="GB65">
        <v>2.83352</v>
      </c>
      <c r="GC65">
        <v>1.9478E-3</v>
      </c>
      <c r="GD65">
        <v>2.7429099999999999E-3</v>
      </c>
      <c r="GE65">
        <v>0.122377</v>
      </c>
      <c r="GF65">
        <v>9.0185199999999993E-2</v>
      </c>
      <c r="GG65">
        <v>25790.5</v>
      </c>
      <c r="GH65">
        <v>32550.9</v>
      </c>
      <c r="GI65">
        <v>23252.3</v>
      </c>
      <c r="GJ65">
        <v>29908.1</v>
      </c>
      <c r="GK65">
        <v>27759.3</v>
      </c>
      <c r="GL65">
        <v>38696</v>
      </c>
      <c r="GM65">
        <v>32815.9</v>
      </c>
      <c r="GN65">
        <v>44373.599999999999</v>
      </c>
      <c r="GO65">
        <v>1.9654</v>
      </c>
      <c r="GP65">
        <v>1.821</v>
      </c>
      <c r="GQ65">
        <v>5.6594600000000002E-2</v>
      </c>
      <c r="GR65">
        <v>0</v>
      </c>
      <c r="GS65">
        <v>26.6023</v>
      </c>
      <c r="GT65">
        <v>999.9</v>
      </c>
      <c r="GU65">
        <v>47.6</v>
      </c>
      <c r="GV65">
        <v>36.700000000000003</v>
      </c>
      <c r="GW65">
        <v>29.619</v>
      </c>
      <c r="GX65">
        <v>61.2209</v>
      </c>
      <c r="GY65">
        <v>37.127400000000002</v>
      </c>
      <c r="GZ65">
        <v>1</v>
      </c>
      <c r="HA65">
        <v>0.360983</v>
      </c>
      <c r="HB65">
        <v>2.18804</v>
      </c>
      <c r="HC65">
        <v>20.257200000000001</v>
      </c>
      <c r="HD65">
        <v>5.2102500000000003</v>
      </c>
      <c r="HE65">
        <v>11.872199999999999</v>
      </c>
      <c r="HF65">
        <v>4.9851000000000001</v>
      </c>
      <c r="HG65">
        <v>3.2839999999999998</v>
      </c>
      <c r="HH65">
        <v>9999</v>
      </c>
      <c r="HI65">
        <v>9999</v>
      </c>
      <c r="HJ65">
        <v>9999</v>
      </c>
      <c r="HK65">
        <v>999.9</v>
      </c>
      <c r="HL65">
        <v>1.85463</v>
      </c>
      <c r="HM65">
        <v>1.8606799999999999</v>
      </c>
      <c r="HN65">
        <v>1.85806</v>
      </c>
      <c r="HO65">
        <v>1.8592599999999999</v>
      </c>
      <c r="HP65">
        <v>1.85866</v>
      </c>
      <c r="HQ65">
        <v>1.85914</v>
      </c>
      <c r="HR65">
        <v>1.8574999999999999</v>
      </c>
      <c r="HS65">
        <v>1.8608199999999999</v>
      </c>
      <c r="HT65">
        <v>5</v>
      </c>
      <c r="HU65">
        <v>0</v>
      </c>
      <c r="HV65">
        <v>0</v>
      </c>
      <c r="HW65">
        <v>0</v>
      </c>
      <c r="HX65" t="s">
        <v>421</v>
      </c>
      <c r="HY65" t="s">
        <v>422</v>
      </c>
      <c r="HZ65" t="s">
        <v>423</v>
      </c>
      <c r="IA65" t="s">
        <v>423</v>
      </c>
      <c r="IB65" t="s">
        <v>423</v>
      </c>
      <c r="IC65" t="s">
        <v>423</v>
      </c>
      <c r="ID65">
        <v>0</v>
      </c>
      <c r="IE65">
        <v>100</v>
      </c>
      <c r="IF65">
        <v>100</v>
      </c>
      <c r="IG65">
        <v>1.1830000000000001</v>
      </c>
      <c r="IH65">
        <v>0.1114</v>
      </c>
      <c r="II65">
        <v>1.172140788133764</v>
      </c>
      <c r="IJ65">
        <v>1.6187016317407189E-3</v>
      </c>
      <c r="IK65">
        <v>1.4341569744255341E-7</v>
      </c>
      <c r="IL65">
        <v>-2.4096625942085749E-10</v>
      </c>
      <c r="IM65">
        <v>0.1113837147242645</v>
      </c>
      <c r="IN65">
        <v>0</v>
      </c>
      <c r="IO65">
        <v>0</v>
      </c>
      <c r="IP65">
        <v>0</v>
      </c>
      <c r="IQ65">
        <v>4</v>
      </c>
      <c r="IR65">
        <v>2205</v>
      </c>
      <c r="IS65">
        <v>1</v>
      </c>
      <c r="IT65">
        <v>21</v>
      </c>
      <c r="IU65">
        <v>0.8</v>
      </c>
      <c r="IV65">
        <v>0.6</v>
      </c>
      <c r="IW65">
        <v>0.157471</v>
      </c>
      <c r="IX65">
        <v>2.5317400000000001</v>
      </c>
      <c r="IY65">
        <v>1.49414</v>
      </c>
      <c r="IZ65">
        <v>2.3046899999999999</v>
      </c>
      <c r="JA65">
        <v>1.69434</v>
      </c>
      <c r="JB65">
        <v>2.4194300000000002</v>
      </c>
      <c r="JC65">
        <v>40.604199999999999</v>
      </c>
      <c r="JD65">
        <v>23.9999</v>
      </c>
      <c r="JE65">
        <v>18</v>
      </c>
      <c r="JF65">
        <v>511.233</v>
      </c>
      <c r="JG65">
        <v>439.48700000000002</v>
      </c>
      <c r="JH65">
        <v>24.672699999999999</v>
      </c>
      <c r="JI65">
        <v>31.863499999999998</v>
      </c>
      <c r="JJ65">
        <v>29.9999</v>
      </c>
      <c r="JK65">
        <v>31.8461</v>
      </c>
      <c r="JL65">
        <v>31.824000000000002</v>
      </c>
      <c r="JM65">
        <v>3.2130700000000001</v>
      </c>
      <c r="JN65">
        <v>48.820900000000002</v>
      </c>
      <c r="JO65">
        <v>0</v>
      </c>
      <c r="JP65">
        <v>24.672499999999999</v>
      </c>
      <c r="JQ65">
        <v>10</v>
      </c>
      <c r="JR65">
        <v>16.9452</v>
      </c>
      <c r="JS65">
        <v>98.860299999999995</v>
      </c>
      <c r="JT65">
        <v>99.650800000000004</v>
      </c>
    </row>
    <row r="66" spans="1:280" x14ac:dyDescent="0.25">
      <c r="A66">
        <v>50</v>
      </c>
      <c r="B66">
        <v>1674585105.5999999</v>
      </c>
      <c r="C66">
        <v>11053</v>
      </c>
      <c r="D66" t="s">
        <v>670</v>
      </c>
      <c r="E66" t="s">
        <v>671</v>
      </c>
      <c r="F66" t="s">
        <v>412</v>
      </c>
      <c r="G66" t="s">
        <v>31</v>
      </c>
      <c r="H66" t="s">
        <v>636</v>
      </c>
      <c r="I66">
        <v>1674585105.5999999</v>
      </c>
      <c r="J66">
        <f t="shared" si="46"/>
        <v>5.7932628251410713E-3</v>
      </c>
      <c r="K66">
        <f t="shared" si="47"/>
        <v>5.7932628251410714</v>
      </c>
      <c r="L66">
        <f t="shared" si="48"/>
        <v>44.671698174798664</v>
      </c>
      <c r="M66">
        <f t="shared" si="49"/>
        <v>344.04700000000003</v>
      </c>
      <c r="N66">
        <f t="shared" si="50"/>
        <v>182.41089027734239</v>
      </c>
      <c r="O66">
        <f t="shared" si="51"/>
        <v>18.198030937084273</v>
      </c>
      <c r="P66">
        <f t="shared" si="52"/>
        <v>34.323487705650003</v>
      </c>
      <c r="Q66">
        <f t="shared" si="53"/>
        <v>0.49385108846092463</v>
      </c>
      <c r="R66">
        <f t="shared" si="54"/>
        <v>2.9205750757153917</v>
      </c>
      <c r="S66">
        <f t="shared" si="55"/>
        <v>0.45171330774715007</v>
      </c>
      <c r="T66">
        <f t="shared" si="56"/>
        <v>0.28580651140662738</v>
      </c>
      <c r="U66">
        <f t="shared" si="57"/>
        <v>344.34468809954694</v>
      </c>
      <c r="V66">
        <f t="shared" si="58"/>
        <v>28.520972011303414</v>
      </c>
      <c r="W66">
        <f t="shared" si="59"/>
        <v>27.505600000000001</v>
      </c>
      <c r="X66">
        <f t="shared" si="60"/>
        <v>3.6868309467958702</v>
      </c>
      <c r="Y66">
        <f t="shared" si="61"/>
        <v>64.489683173483797</v>
      </c>
      <c r="Z66">
        <f t="shared" si="62"/>
        <v>2.4466809445650002</v>
      </c>
      <c r="AA66">
        <f t="shared" si="63"/>
        <v>3.7939106290585736</v>
      </c>
      <c r="AB66">
        <f t="shared" si="64"/>
        <v>1.24015000223087</v>
      </c>
      <c r="AC66">
        <f t="shared" si="65"/>
        <v>-255.48289058872123</v>
      </c>
      <c r="AD66">
        <f t="shared" si="66"/>
        <v>77.183972114860495</v>
      </c>
      <c r="AE66">
        <f t="shared" si="67"/>
        <v>5.746325025332113</v>
      </c>
      <c r="AF66">
        <f t="shared" si="68"/>
        <v>171.79209465101832</v>
      </c>
      <c r="AG66">
        <v>0</v>
      </c>
      <c r="AH66">
        <v>0</v>
      </c>
      <c r="AI66">
        <f t="shared" si="69"/>
        <v>1</v>
      </c>
      <c r="AJ66">
        <f t="shared" si="70"/>
        <v>0</v>
      </c>
      <c r="AK66">
        <f t="shared" si="71"/>
        <v>52436.813203196907</v>
      </c>
      <c r="AL66" t="s">
        <v>415</v>
      </c>
      <c r="AM66">
        <v>10214.9</v>
      </c>
      <c r="AN66">
        <v>729.4384</v>
      </c>
      <c r="AO66">
        <v>3170.19</v>
      </c>
      <c r="AP66">
        <f t="shared" si="72"/>
        <v>0.76990704027203416</v>
      </c>
      <c r="AQ66">
        <v>-0.45549566560547827</v>
      </c>
      <c r="AR66" t="s">
        <v>672</v>
      </c>
      <c r="AS66">
        <v>10078</v>
      </c>
      <c r="AT66">
        <v>760.27960000000007</v>
      </c>
      <c r="AU66">
        <v>1045.5740202358199</v>
      </c>
      <c r="AV66">
        <f t="shared" si="73"/>
        <v>0.27285913260495342</v>
      </c>
      <c r="AW66">
        <v>0.5</v>
      </c>
      <c r="AX66">
        <f t="shared" si="74"/>
        <v>1513.0754940497734</v>
      </c>
      <c r="AY66">
        <f t="shared" si="75"/>
        <v>44.671698174798664</v>
      </c>
      <c r="AZ66">
        <f t="shared" si="76"/>
        <v>206.42823343611627</v>
      </c>
      <c r="BA66">
        <f t="shared" si="77"/>
        <v>2.9824813115980356E-2</v>
      </c>
      <c r="BB66">
        <f t="shared" si="78"/>
        <v>2.0320091534839322</v>
      </c>
      <c r="BC66">
        <f t="shared" si="79"/>
        <v>497.04466818613179</v>
      </c>
      <c r="BD66" t="s">
        <v>673</v>
      </c>
      <c r="BE66">
        <v>570.5</v>
      </c>
      <c r="BF66">
        <f t="shared" si="80"/>
        <v>570.5</v>
      </c>
      <c r="BG66">
        <f t="shared" si="81"/>
        <v>0.45436670292235382</v>
      </c>
      <c r="BH66">
        <f t="shared" si="82"/>
        <v>0.60052625082340605</v>
      </c>
      <c r="BI66">
        <f t="shared" si="83"/>
        <v>0.81725743444956145</v>
      </c>
      <c r="BJ66">
        <f t="shared" si="84"/>
        <v>0.90244313507919727</v>
      </c>
      <c r="BK66">
        <f t="shared" si="85"/>
        <v>0.870476118816917</v>
      </c>
      <c r="BL66">
        <f t="shared" si="86"/>
        <v>0.45062398898346495</v>
      </c>
      <c r="BM66">
        <f t="shared" si="87"/>
        <v>0.5493760110165351</v>
      </c>
      <c r="BN66">
        <v>9156</v>
      </c>
      <c r="BO66">
        <v>290.00000000000011</v>
      </c>
      <c r="BP66">
        <v>976.12</v>
      </c>
      <c r="BQ66">
        <v>285</v>
      </c>
      <c r="BR66">
        <v>10078</v>
      </c>
      <c r="BS66">
        <v>977.22</v>
      </c>
      <c r="BT66">
        <v>-1.1000000000000001</v>
      </c>
      <c r="BU66">
        <v>300.00000000000011</v>
      </c>
      <c r="BV66">
        <v>24.2</v>
      </c>
      <c r="BW66">
        <v>1045.5740202358199</v>
      </c>
      <c r="BX66">
        <v>1.4013045412470939</v>
      </c>
      <c r="BY66">
        <v>-68.888975711650602</v>
      </c>
      <c r="BZ66">
        <v>1.257805378569061</v>
      </c>
      <c r="CA66">
        <v>0.99075194497443819</v>
      </c>
      <c r="CB66">
        <v>-6.889387541713015E-3</v>
      </c>
      <c r="CC66">
        <v>289.99999999999989</v>
      </c>
      <c r="CD66">
        <v>976.69</v>
      </c>
      <c r="CE66">
        <v>665</v>
      </c>
      <c r="CF66">
        <v>10061.5</v>
      </c>
      <c r="CG66">
        <v>977.11</v>
      </c>
      <c r="CH66">
        <v>-0.42</v>
      </c>
      <c r="CV66">
        <f t="shared" si="88"/>
        <v>1799.87</v>
      </c>
      <c r="CW66">
        <f t="shared" si="89"/>
        <v>1513.0754940497734</v>
      </c>
      <c r="CX66">
        <f t="shared" si="90"/>
        <v>0.84065821089843906</v>
      </c>
      <c r="CY66">
        <f t="shared" si="91"/>
        <v>0.19131642179687808</v>
      </c>
      <c r="CZ66">
        <v>6</v>
      </c>
      <c r="DA66">
        <v>0.5</v>
      </c>
      <c r="DB66" t="s">
        <v>418</v>
      </c>
      <c r="DC66">
        <v>2</v>
      </c>
      <c r="DD66">
        <v>1674585105.5999999</v>
      </c>
      <c r="DE66">
        <v>344.04700000000003</v>
      </c>
      <c r="DF66">
        <v>400.024</v>
      </c>
      <c r="DG66">
        <v>24.524699999999999</v>
      </c>
      <c r="DH66">
        <v>17.745799999999999</v>
      </c>
      <c r="DI66">
        <v>342.01299999999998</v>
      </c>
      <c r="DJ66">
        <v>24.408200000000001</v>
      </c>
      <c r="DK66">
        <v>500.18599999999998</v>
      </c>
      <c r="DL66">
        <v>99.663700000000006</v>
      </c>
      <c r="DM66">
        <v>0.10025000000000001</v>
      </c>
      <c r="DN66">
        <v>27.995799999999999</v>
      </c>
      <c r="DO66">
        <v>27.505600000000001</v>
      </c>
      <c r="DP66">
        <v>999.9</v>
      </c>
      <c r="DQ66">
        <v>0</v>
      </c>
      <c r="DR66">
        <v>0</v>
      </c>
      <c r="DS66">
        <v>9982.5</v>
      </c>
      <c r="DT66">
        <v>0</v>
      </c>
      <c r="DU66">
        <v>402.733</v>
      </c>
      <c r="DV66">
        <v>-55.976500000000001</v>
      </c>
      <c r="DW66">
        <v>352.697</v>
      </c>
      <c r="DX66">
        <v>407.25099999999998</v>
      </c>
      <c r="DY66">
        <v>6.7789400000000004</v>
      </c>
      <c r="DZ66">
        <v>400.024</v>
      </c>
      <c r="EA66">
        <v>17.745799999999999</v>
      </c>
      <c r="EB66">
        <v>2.4442300000000001</v>
      </c>
      <c r="EC66">
        <v>1.76861</v>
      </c>
      <c r="ED66">
        <v>20.659800000000001</v>
      </c>
      <c r="EE66">
        <v>15.5121</v>
      </c>
      <c r="EF66">
        <v>1799.87</v>
      </c>
      <c r="EG66">
        <v>0.97800100000000001</v>
      </c>
      <c r="EH66">
        <v>2.1998799999999999E-2</v>
      </c>
      <c r="EI66">
        <v>0</v>
      </c>
      <c r="EJ66">
        <v>759.54200000000003</v>
      </c>
      <c r="EK66">
        <v>4.9990399999999999</v>
      </c>
      <c r="EL66">
        <v>14332.7</v>
      </c>
      <c r="EM66">
        <v>14819.6</v>
      </c>
      <c r="EN66">
        <v>48.5</v>
      </c>
      <c r="EO66">
        <v>50.061999999999998</v>
      </c>
      <c r="EP66">
        <v>49.5</v>
      </c>
      <c r="EQ66">
        <v>48.375</v>
      </c>
      <c r="ER66">
        <v>49.375</v>
      </c>
      <c r="ES66">
        <v>1755.39</v>
      </c>
      <c r="ET66">
        <v>39.49</v>
      </c>
      <c r="EU66">
        <v>0</v>
      </c>
      <c r="EV66">
        <v>187.39999985694891</v>
      </c>
      <c r="EW66">
        <v>0</v>
      </c>
      <c r="EX66">
        <v>760.27960000000007</v>
      </c>
      <c r="EY66">
        <v>-7.9165384783382517</v>
      </c>
      <c r="EZ66">
        <v>-185.03846187662569</v>
      </c>
      <c r="FA66">
        <v>14355.424000000001</v>
      </c>
      <c r="FB66">
        <v>15</v>
      </c>
      <c r="FC66">
        <v>1674585014.5999999</v>
      </c>
      <c r="FD66" t="s">
        <v>674</v>
      </c>
      <c r="FE66">
        <v>1674585006.5999999</v>
      </c>
      <c r="FF66">
        <v>1674585014.5999999</v>
      </c>
      <c r="FG66">
        <v>59</v>
      </c>
      <c r="FH66">
        <v>0.30199999999999999</v>
      </c>
      <c r="FI66">
        <v>5.0000000000000001E-3</v>
      </c>
      <c r="FJ66">
        <v>2.1259999999999999</v>
      </c>
      <c r="FK66">
        <v>4.5999999999999999E-2</v>
      </c>
      <c r="FL66">
        <v>400</v>
      </c>
      <c r="FM66">
        <v>17</v>
      </c>
      <c r="FN66">
        <v>0.04</v>
      </c>
      <c r="FO66">
        <v>0.02</v>
      </c>
      <c r="FP66">
        <v>43.743236758311212</v>
      </c>
      <c r="FQ66">
        <v>5.2182843294882</v>
      </c>
      <c r="FR66">
        <v>0.50357987400298387</v>
      </c>
      <c r="FS66">
        <v>0</v>
      </c>
      <c r="FT66">
        <v>0.5045598255436945</v>
      </c>
      <c r="FU66">
        <v>-7.7502853827715962E-2</v>
      </c>
      <c r="FV66">
        <v>7.5835186549311102E-3</v>
      </c>
      <c r="FW66">
        <v>0</v>
      </c>
      <c r="FX66">
        <v>0</v>
      </c>
      <c r="FY66">
        <v>2</v>
      </c>
      <c r="FZ66" t="s">
        <v>675</v>
      </c>
      <c r="GA66">
        <v>2.9334199999999999</v>
      </c>
      <c r="GB66">
        <v>2.8335499999999998</v>
      </c>
      <c r="GC66">
        <v>8.0080399999999996E-2</v>
      </c>
      <c r="GD66">
        <v>8.8655300000000006E-2</v>
      </c>
      <c r="GE66">
        <v>0.12107</v>
      </c>
      <c r="GF66">
        <v>9.3236799999999995E-2</v>
      </c>
      <c r="GG66">
        <v>23777.8</v>
      </c>
      <c r="GH66">
        <v>29754</v>
      </c>
      <c r="GI66">
        <v>23256.2</v>
      </c>
      <c r="GJ66">
        <v>29912.7</v>
      </c>
      <c r="GK66">
        <v>27806.5</v>
      </c>
      <c r="GL66">
        <v>38571.699999999997</v>
      </c>
      <c r="GM66">
        <v>32820.9</v>
      </c>
      <c r="GN66">
        <v>44379</v>
      </c>
      <c r="GO66">
        <v>1.96645</v>
      </c>
      <c r="GP66">
        <v>1.8250200000000001</v>
      </c>
      <c r="GQ66">
        <v>5.5652100000000003E-2</v>
      </c>
      <c r="GR66">
        <v>0</v>
      </c>
      <c r="GS66">
        <v>26.595600000000001</v>
      </c>
      <c r="GT66">
        <v>999.9</v>
      </c>
      <c r="GU66">
        <v>47.5</v>
      </c>
      <c r="GV66">
        <v>36.700000000000003</v>
      </c>
      <c r="GW66">
        <v>29.561399999999999</v>
      </c>
      <c r="GX66">
        <v>61.371000000000002</v>
      </c>
      <c r="GY66">
        <v>36.6907</v>
      </c>
      <c r="GZ66">
        <v>1</v>
      </c>
      <c r="HA66">
        <v>0.35426800000000003</v>
      </c>
      <c r="HB66">
        <v>2.1404700000000001</v>
      </c>
      <c r="HC66">
        <v>20.2605</v>
      </c>
      <c r="HD66">
        <v>5.2100999999999997</v>
      </c>
      <c r="HE66">
        <v>11.872199999999999</v>
      </c>
      <c r="HF66">
        <v>4.9851000000000001</v>
      </c>
      <c r="HG66">
        <v>3.2839999999999998</v>
      </c>
      <c r="HH66">
        <v>9999</v>
      </c>
      <c r="HI66">
        <v>9999</v>
      </c>
      <c r="HJ66">
        <v>9999</v>
      </c>
      <c r="HK66">
        <v>999.9</v>
      </c>
      <c r="HL66">
        <v>1.8546800000000001</v>
      </c>
      <c r="HM66">
        <v>1.8607</v>
      </c>
      <c r="HN66">
        <v>1.85808</v>
      </c>
      <c r="HO66">
        <v>1.85928</v>
      </c>
      <c r="HP66">
        <v>1.85867</v>
      </c>
      <c r="HQ66">
        <v>1.8591899999999999</v>
      </c>
      <c r="HR66">
        <v>1.8575600000000001</v>
      </c>
      <c r="HS66">
        <v>1.8609</v>
      </c>
      <c r="HT66">
        <v>5</v>
      </c>
      <c r="HU66">
        <v>0</v>
      </c>
      <c r="HV66">
        <v>0</v>
      </c>
      <c r="HW66">
        <v>0</v>
      </c>
      <c r="HX66" t="s">
        <v>421</v>
      </c>
      <c r="HY66" t="s">
        <v>422</v>
      </c>
      <c r="HZ66" t="s">
        <v>423</v>
      </c>
      <c r="IA66" t="s">
        <v>423</v>
      </c>
      <c r="IB66" t="s">
        <v>423</v>
      </c>
      <c r="IC66" t="s">
        <v>423</v>
      </c>
      <c r="ID66">
        <v>0</v>
      </c>
      <c r="IE66">
        <v>100</v>
      </c>
      <c r="IF66">
        <v>100</v>
      </c>
      <c r="IG66">
        <v>2.0339999999999998</v>
      </c>
      <c r="IH66">
        <v>0.11650000000000001</v>
      </c>
      <c r="II66">
        <v>1.473909098994594</v>
      </c>
      <c r="IJ66">
        <v>1.6187016317407189E-3</v>
      </c>
      <c r="IK66">
        <v>1.4341569744255341E-7</v>
      </c>
      <c r="IL66">
        <v>-2.4096625942085749E-10</v>
      </c>
      <c r="IM66">
        <v>0.116593996117704</v>
      </c>
      <c r="IN66">
        <v>0</v>
      </c>
      <c r="IO66">
        <v>0</v>
      </c>
      <c r="IP66">
        <v>0</v>
      </c>
      <c r="IQ66">
        <v>4</v>
      </c>
      <c r="IR66">
        <v>2205</v>
      </c>
      <c r="IS66">
        <v>1</v>
      </c>
      <c r="IT66">
        <v>21</v>
      </c>
      <c r="IU66">
        <v>1.6</v>
      </c>
      <c r="IV66">
        <v>1.5</v>
      </c>
      <c r="IW66">
        <v>0.98999000000000004</v>
      </c>
      <c r="IX66">
        <v>2.4633799999999999</v>
      </c>
      <c r="IY66">
        <v>1.49414</v>
      </c>
      <c r="IZ66">
        <v>2.3046899999999999</v>
      </c>
      <c r="JA66">
        <v>1.69434</v>
      </c>
      <c r="JB66">
        <v>2.3901400000000002</v>
      </c>
      <c r="JC66">
        <v>40.553100000000001</v>
      </c>
      <c r="JD66">
        <v>23.9999</v>
      </c>
      <c r="JE66">
        <v>18</v>
      </c>
      <c r="JF66">
        <v>511.18299999999999</v>
      </c>
      <c r="JG66">
        <v>441.59899999999999</v>
      </c>
      <c r="JH66">
        <v>24.679600000000001</v>
      </c>
      <c r="JI66">
        <v>31.782599999999999</v>
      </c>
      <c r="JJ66">
        <v>29.9999</v>
      </c>
      <c r="JK66">
        <v>31.758400000000002</v>
      </c>
      <c r="JL66">
        <v>31.7425</v>
      </c>
      <c r="JM66">
        <v>19.884699999999999</v>
      </c>
      <c r="JN66">
        <v>45.017600000000002</v>
      </c>
      <c r="JO66">
        <v>0</v>
      </c>
      <c r="JP66">
        <v>24.677399999999999</v>
      </c>
      <c r="JQ66">
        <v>400</v>
      </c>
      <c r="JR66">
        <v>17.9038</v>
      </c>
      <c r="JS66">
        <v>98.875900000000001</v>
      </c>
      <c r="JT66">
        <v>99.664199999999994</v>
      </c>
    </row>
    <row r="67" spans="1:280" x14ac:dyDescent="0.25">
      <c r="A67">
        <v>51</v>
      </c>
      <c r="B67">
        <v>1674585262.0999999</v>
      </c>
      <c r="C67">
        <v>11209.5</v>
      </c>
      <c r="D67" t="s">
        <v>676</v>
      </c>
      <c r="E67" t="s">
        <v>677</v>
      </c>
      <c r="F67" t="s">
        <v>412</v>
      </c>
      <c r="G67" t="s">
        <v>31</v>
      </c>
      <c r="H67" t="s">
        <v>636</v>
      </c>
      <c r="I67">
        <v>1674585262.0999999</v>
      </c>
      <c r="J67">
        <f t="shared" si="46"/>
        <v>5.1328644944793542E-3</v>
      </c>
      <c r="K67">
        <f t="shared" si="47"/>
        <v>5.132864494479354</v>
      </c>
      <c r="L67">
        <f t="shared" si="48"/>
        <v>48.89006768848116</v>
      </c>
      <c r="M67">
        <f t="shared" si="49"/>
        <v>339.29599999999999</v>
      </c>
      <c r="N67">
        <f t="shared" si="50"/>
        <v>142.147987038705</v>
      </c>
      <c r="O67">
        <f t="shared" si="51"/>
        <v>14.18055233975914</v>
      </c>
      <c r="P67">
        <f t="shared" si="52"/>
        <v>33.847856638031999</v>
      </c>
      <c r="Q67">
        <f t="shared" si="53"/>
        <v>0.43548232713385526</v>
      </c>
      <c r="R67">
        <f t="shared" si="54"/>
        <v>2.9230158215340105</v>
      </c>
      <c r="S67">
        <f t="shared" si="55"/>
        <v>0.40238428041133101</v>
      </c>
      <c r="T67">
        <f t="shared" si="56"/>
        <v>0.25425395016229674</v>
      </c>
      <c r="U67">
        <f t="shared" si="57"/>
        <v>344.37320126366666</v>
      </c>
      <c r="V67">
        <f t="shared" si="58"/>
        <v>28.701314286835839</v>
      </c>
      <c r="W67">
        <f t="shared" si="59"/>
        <v>27.569600000000001</v>
      </c>
      <c r="X67">
        <f t="shared" si="60"/>
        <v>3.7006597282938518</v>
      </c>
      <c r="Y67">
        <f t="shared" si="61"/>
        <v>65.004806742540751</v>
      </c>
      <c r="Z67">
        <f t="shared" si="62"/>
        <v>2.4674610241689003</v>
      </c>
      <c r="AA67">
        <f t="shared" si="63"/>
        <v>3.7958131833874567</v>
      </c>
      <c r="AB67">
        <f t="shared" si="64"/>
        <v>1.2331987041249515</v>
      </c>
      <c r="AC67">
        <f t="shared" si="65"/>
        <v>-226.35932420653953</v>
      </c>
      <c r="AD67">
        <f t="shared" si="66"/>
        <v>68.51823147639135</v>
      </c>
      <c r="AE67">
        <f t="shared" si="67"/>
        <v>5.0987486093772256</v>
      </c>
      <c r="AF67">
        <f t="shared" si="68"/>
        <v>191.63085714289574</v>
      </c>
      <c r="AG67">
        <v>0</v>
      </c>
      <c r="AH67">
        <v>0</v>
      </c>
      <c r="AI67">
        <f t="shared" si="69"/>
        <v>1</v>
      </c>
      <c r="AJ67">
        <f t="shared" si="70"/>
        <v>0</v>
      </c>
      <c r="AK67">
        <f t="shared" si="71"/>
        <v>52505.355051753031</v>
      </c>
      <c r="AL67" t="s">
        <v>415</v>
      </c>
      <c r="AM67">
        <v>10214.9</v>
      </c>
      <c r="AN67">
        <v>729.4384</v>
      </c>
      <c r="AO67">
        <v>3170.19</v>
      </c>
      <c r="AP67">
        <f t="shared" si="72"/>
        <v>0.76990704027203416</v>
      </c>
      <c r="AQ67">
        <v>-0.45549566560547827</v>
      </c>
      <c r="AR67" t="s">
        <v>678</v>
      </c>
      <c r="AS67">
        <v>10087.299999999999</v>
      </c>
      <c r="AT67">
        <v>759.91888461538474</v>
      </c>
      <c r="AU67">
        <v>1088.489213224527</v>
      </c>
      <c r="AV67">
        <f t="shared" si="73"/>
        <v>0.30185905805698299</v>
      </c>
      <c r="AW67">
        <v>0.5</v>
      </c>
      <c r="AX67">
        <f t="shared" si="74"/>
        <v>1513.2015006318331</v>
      </c>
      <c r="AY67">
        <f t="shared" si="75"/>
        <v>48.89006768848116</v>
      </c>
      <c r="AZ67">
        <f t="shared" si="76"/>
        <v>228.38678981556916</v>
      </c>
      <c r="BA67">
        <f t="shared" si="77"/>
        <v>3.2610041249286716E-2</v>
      </c>
      <c r="BB67">
        <f t="shared" si="78"/>
        <v>1.9124679982897286</v>
      </c>
      <c r="BC67">
        <f t="shared" si="79"/>
        <v>506.53846663422814</v>
      </c>
      <c r="BD67" t="s">
        <v>679</v>
      </c>
      <c r="BE67">
        <v>576.08000000000004</v>
      </c>
      <c r="BF67">
        <f t="shared" si="80"/>
        <v>576.08000000000004</v>
      </c>
      <c r="BG67">
        <f t="shared" si="81"/>
        <v>0.47075267903351314</v>
      </c>
      <c r="BH67">
        <f t="shared" si="82"/>
        <v>0.64122642631948468</v>
      </c>
      <c r="BI67">
        <f t="shared" si="83"/>
        <v>0.80247205661112009</v>
      </c>
      <c r="BJ67">
        <f t="shared" si="84"/>
        <v>0.91510815881003382</v>
      </c>
      <c r="BK67">
        <f t="shared" si="85"/>
        <v>0.85289334104112546</v>
      </c>
      <c r="BL67">
        <f t="shared" si="86"/>
        <v>0.4861015131385909</v>
      </c>
      <c r="BM67">
        <f t="shared" si="87"/>
        <v>0.51389848686140915</v>
      </c>
      <c r="BN67">
        <v>9158</v>
      </c>
      <c r="BO67">
        <v>290.00000000000011</v>
      </c>
      <c r="BP67">
        <v>1000.6</v>
      </c>
      <c r="BQ67">
        <v>215</v>
      </c>
      <c r="BR67">
        <v>10087.299999999999</v>
      </c>
      <c r="BS67">
        <v>999.89</v>
      </c>
      <c r="BT67">
        <v>0.71</v>
      </c>
      <c r="BU67">
        <v>300.00000000000011</v>
      </c>
      <c r="BV67">
        <v>24.2</v>
      </c>
      <c r="BW67">
        <v>1088.489213224527</v>
      </c>
      <c r="BX67">
        <v>2.1501644404558058</v>
      </c>
      <c r="BY67">
        <v>-89.373374060067604</v>
      </c>
      <c r="BZ67">
        <v>1.9301850394483939</v>
      </c>
      <c r="CA67">
        <v>0.98710846915985617</v>
      </c>
      <c r="CB67">
        <v>-6.8901646273637441E-3</v>
      </c>
      <c r="CC67">
        <v>289.99999999999989</v>
      </c>
      <c r="CD67">
        <v>997.92</v>
      </c>
      <c r="CE67">
        <v>655</v>
      </c>
      <c r="CF67">
        <v>10063.1</v>
      </c>
      <c r="CG67">
        <v>999.68</v>
      </c>
      <c r="CH67">
        <v>-1.76</v>
      </c>
      <c r="CV67">
        <f t="shared" si="88"/>
        <v>1800.02</v>
      </c>
      <c r="CW67">
        <f t="shared" si="89"/>
        <v>1513.2015006318331</v>
      </c>
      <c r="CX67">
        <f t="shared" si="90"/>
        <v>0.84065815970479951</v>
      </c>
      <c r="CY67">
        <f t="shared" si="91"/>
        <v>0.19131631940959914</v>
      </c>
      <c r="CZ67">
        <v>6</v>
      </c>
      <c r="DA67">
        <v>0.5</v>
      </c>
      <c r="DB67" t="s">
        <v>418</v>
      </c>
      <c r="DC67">
        <v>2</v>
      </c>
      <c r="DD67">
        <v>1674585262.0999999</v>
      </c>
      <c r="DE67">
        <v>339.29599999999999</v>
      </c>
      <c r="DF67">
        <v>400.048</v>
      </c>
      <c r="DG67">
        <v>24.734200000000001</v>
      </c>
      <c r="DH67">
        <v>18.727699999999999</v>
      </c>
      <c r="DI67">
        <v>337.33800000000002</v>
      </c>
      <c r="DJ67">
        <v>24.611699999999999</v>
      </c>
      <c r="DK67">
        <v>500.04899999999998</v>
      </c>
      <c r="DL67">
        <v>99.659099999999995</v>
      </c>
      <c r="DM67">
        <v>9.9979499999999999E-2</v>
      </c>
      <c r="DN67">
        <v>28.0044</v>
      </c>
      <c r="DO67">
        <v>27.569600000000001</v>
      </c>
      <c r="DP67">
        <v>999.9</v>
      </c>
      <c r="DQ67">
        <v>0</v>
      </c>
      <c r="DR67">
        <v>0</v>
      </c>
      <c r="DS67">
        <v>9996.8799999999992</v>
      </c>
      <c r="DT67">
        <v>0</v>
      </c>
      <c r="DU67">
        <v>383.42700000000002</v>
      </c>
      <c r="DV67">
        <v>-60.752099999999999</v>
      </c>
      <c r="DW67">
        <v>347.90100000000001</v>
      </c>
      <c r="DX67">
        <v>407.68299999999999</v>
      </c>
      <c r="DY67">
        <v>6.0065299999999997</v>
      </c>
      <c r="DZ67">
        <v>400.048</v>
      </c>
      <c r="EA67">
        <v>18.727699999999999</v>
      </c>
      <c r="EB67">
        <v>2.4649899999999998</v>
      </c>
      <c r="EC67">
        <v>1.8663799999999999</v>
      </c>
      <c r="ED67">
        <v>20.7971</v>
      </c>
      <c r="EE67">
        <v>16.354099999999999</v>
      </c>
      <c r="EF67">
        <v>1800.02</v>
      </c>
      <c r="EG67">
        <v>0.97800100000000001</v>
      </c>
      <c r="EH67">
        <v>2.1998799999999999E-2</v>
      </c>
      <c r="EI67">
        <v>0</v>
      </c>
      <c r="EJ67">
        <v>760.13300000000004</v>
      </c>
      <c r="EK67">
        <v>4.9990399999999999</v>
      </c>
      <c r="EL67">
        <v>14311.5</v>
      </c>
      <c r="EM67">
        <v>14820.8</v>
      </c>
      <c r="EN67">
        <v>48.436999999999998</v>
      </c>
      <c r="EO67">
        <v>50</v>
      </c>
      <c r="EP67">
        <v>49.436999999999998</v>
      </c>
      <c r="EQ67">
        <v>48.311999999999998</v>
      </c>
      <c r="ER67">
        <v>49.375</v>
      </c>
      <c r="ES67">
        <v>1755.53</v>
      </c>
      <c r="ET67">
        <v>39.49</v>
      </c>
      <c r="EU67">
        <v>0</v>
      </c>
      <c r="EV67">
        <v>154.39999985694891</v>
      </c>
      <c r="EW67">
        <v>0</v>
      </c>
      <c r="EX67">
        <v>759.91888461538474</v>
      </c>
      <c r="EY67">
        <v>3.4879658145340229</v>
      </c>
      <c r="EZ67">
        <v>86.991453071500985</v>
      </c>
      <c r="FA67">
        <v>14299.565384615389</v>
      </c>
      <c r="FB67">
        <v>15</v>
      </c>
      <c r="FC67">
        <v>1674585227.0999999</v>
      </c>
      <c r="FD67" t="s">
        <v>680</v>
      </c>
      <c r="FE67">
        <v>1674585227.0999999</v>
      </c>
      <c r="FF67">
        <v>1674585219.0999999</v>
      </c>
      <c r="FG67">
        <v>60</v>
      </c>
      <c r="FH67">
        <v>-6.9000000000000006E-2</v>
      </c>
      <c r="FI67">
        <v>6.0000000000000001E-3</v>
      </c>
      <c r="FJ67">
        <v>2.0569999999999999</v>
      </c>
      <c r="FK67">
        <v>8.2000000000000003E-2</v>
      </c>
      <c r="FL67">
        <v>400</v>
      </c>
      <c r="FM67">
        <v>18</v>
      </c>
      <c r="FN67">
        <v>0.03</v>
      </c>
      <c r="FO67">
        <v>0.02</v>
      </c>
      <c r="FP67">
        <v>48.841319133908513</v>
      </c>
      <c r="FQ67">
        <v>0.27558481831999132</v>
      </c>
      <c r="FR67">
        <v>3.5043266306519168E-2</v>
      </c>
      <c r="FS67">
        <v>1</v>
      </c>
      <c r="FT67">
        <v>0.43355600685111562</v>
      </c>
      <c r="FU67">
        <v>4.8721819742448567E-2</v>
      </c>
      <c r="FV67">
        <v>5.2552670012314812E-3</v>
      </c>
      <c r="FW67">
        <v>1</v>
      </c>
      <c r="FX67">
        <v>2</v>
      </c>
      <c r="FY67">
        <v>2</v>
      </c>
      <c r="FZ67" t="s">
        <v>420</v>
      </c>
      <c r="GA67">
        <v>2.9331399999999999</v>
      </c>
      <c r="GB67">
        <v>2.8334100000000002</v>
      </c>
      <c r="GC67">
        <v>7.9222200000000007E-2</v>
      </c>
      <c r="GD67">
        <v>8.8678599999999996E-2</v>
      </c>
      <c r="GE67">
        <v>0.121785</v>
      </c>
      <c r="GF67">
        <v>9.6876500000000004E-2</v>
      </c>
      <c r="GG67">
        <v>23802.5</v>
      </c>
      <c r="GH67">
        <v>29756.1</v>
      </c>
      <c r="GI67">
        <v>23258.5</v>
      </c>
      <c r="GJ67">
        <v>29915.200000000001</v>
      </c>
      <c r="GK67">
        <v>27786.9</v>
      </c>
      <c r="GL67">
        <v>38417.9</v>
      </c>
      <c r="GM67">
        <v>32824.9</v>
      </c>
      <c r="GN67">
        <v>44382.3</v>
      </c>
      <c r="GO67">
        <v>1.96563</v>
      </c>
      <c r="GP67">
        <v>1.82765</v>
      </c>
      <c r="GQ67">
        <v>6.2480599999999997E-2</v>
      </c>
      <c r="GR67">
        <v>0</v>
      </c>
      <c r="GS67">
        <v>26.547899999999998</v>
      </c>
      <c r="GT67">
        <v>999.9</v>
      </c>
      <c r="GU67">
        <v>47.4</v>
      </c>
      <c r="GV67">
        <v>36.700000000000003</v>
      </c>
      <c r="GW67">
        <v>29.5</v>
      </c>
      <c r="GX67">
        <v>61.480899999999998</v>
      </c>
      <c r="GY67">
        <v>37.051299999999998</v>
      </c>
      <c r="GZ67">
        <v>1</v>
      </c>
      <c r="HA67">
        <v>0.34849799999999997</v>
      </c>
      <c r="HB67">
        <v>2.1515399999999998</v>
      </c>
      <c r="HC67">
        <v>20.2606</v>
      </c>
      <c r="HD67">
        <v>5.2108499999999998</v>
      </c>
      <c r="HE67">
        <v>11.872199999999999</v>
      </c>
      <c r="HF67">
        <v>4.9834500000000004</v>
      </c>
      <c r="HG67">
        <v>3.2839999999999998</v>
      </c>
      <c r="HH67">
        <v>9999</v>
      </c>
      <c r="HI67">
        <v>9999</v>
      </c>
      <c r="HJ67">
        <v>9999</v>
      </c>
      <c r="HK67">
        <v>999.9</v>
      </c>
      <c r="HL67">
        <v>1.85466</v>
      </c>
      <c r="HM67">
        <v>1.8607100000000001</v>
      </c>
      <c r="HN67">
        <v>1.85808</v>
      </c>
      <c r="HO67">
        <v>1.85928</v>
      </c>
      <c r="HP67">
        <v>1.85867</v>
      </c>
      <c r="HQ67">
        <v>1.8591800000000001</v>
      </c>
      <c r="HR67">
        <v>1.8575299999999999</v>
      </c>
      <c r="HS67">
        <v>1.86087</v>
      </c>
      <c r="HT67">
        <v>5</v>
      </c>
      <c r="HU67">
        <v>0</v>
      </c>
      <c r="HV67">
        <v>0</v>
      </c>
      <c r="HW67">
        <v>0</v>
      </c>
      <c r="HX67" t="s">
        <v>421</v>
      </c>
      <c r="HY67" t="s">
        <v>422</v>
      </c>
      <c r="HZ67" t="s">
        <v>423</v>
      </c>
      <c r="IA67" t="s">
        <v>423</v>
      </c>
      <c r="IB67" t="s">
        <v>423</v>
      </c>
      <c r="IC67" t="s">
        <v>423</v>
      </c>
      <c r="ID67">
        <v>0</v>
      </c>
      <c r="IE67">
        <v>100</v>
      </c>
      <c r="IF67">
        <v>100</v>
      </c>
      <c r="IG67">
        <v>1.958</v>
      </c>
      <c r="IH67">
        <v>0.1225</v>
      </c>
      <c r="II67">
        <v>1.404918572771493</v>
      </c>
      <c r="IJ67">
        <v>1.6187016317407189E-3</v>
      </c>
      <c r="IK67">
        <v>1.4341569744255341E-7</v>
      </c>
      <c r="IL67">
        <v>-2.4096625942085749E-10</v>
      </c>
      <c r="IM67">
        <v>0.12249163852593251</v>
      </c>
      <c r="IN67">
        <v>0</v>
      </c>
      <c r="IO67">
        <v>0</v>
      </c>
      <c r="IP67">
        <v>0</v>
      </c>
      <c r="IQ67">
        <v>4</v>
      </c>
      <c r="IR67">
        <v>2205</v>
      </c>
      <c r="IS67">
        <v>1</v>
      </c>
      <c r="IT67">
        <v>21</v>
      </c>
      <c r="IU67">
        <v>0.6</v>
      </c>
      <c r="IV67">
        <v>0.7</v>
      </c>
      <c r="IW67">
        <v>0.99121099999999995</v>
      </c>
      <c r="IX67">
        <v>2.47681</v>
      </c>
      <c r="IY67">
        <v>1.49414</v>
      </c>
      <c r="IZ67">
        <v>2.3046899999999999</v>
      </c>
      <c r="JA67">
        <v>1.69434</v>
      </c>
      <c r="JB67">
        <v>2.33887</v>
      </c>
      <c r="JC67">
        <v>40.527500000000003</v>
      </c>
      <c r="JD67">
        <v>23.991199999999999</v>
      </c>
      <c r="JE67">
        <v>18</v>
      </c>
      <c r="JF67">
        <v>510.12799999999999</v>
      </c>
      <c r="JG67">
        <v>442.87200000000001</v>
      </c>
      <c r="JH67">
        <v>24.6981</v>
      </c>
      <c r="JI67">
        <v>31.718800000000002</v>
      </c>
      <c r="JJ67">
        <v>30.0002</v>
      </c>
      <c r="JK67">
        <v>31.6967</v>
      </c>
      <c r="JL67">
        <v>31.675999999999998</v>
      </c>
      <c r="JM67">
        <v>19.900400000000001</v>
      </c>
      <c r="JN67">
        <v>42.170900000000003</v>
      </c>
      <c r="JO67">
        <v>0</v>
      </c>
      <c r="JP67">
        <v>24.6889</v>
      </c>
      <c r="JQ67">
        <v>400</v>
      </c>
      <c r="JR67">
        <v>18.831099999999999</v>
      </c>
      <c r="JS67">
        <v>98.887100000000004</v>
      </c>
      <c r="JT67">
        <v>99.671999999999997</v>
      </c>
    </row>
    <row r="68" spans="1:280" x14ac:dyDescent="0.25">
      <c r="A68">
        <v>52</v>
      </c>
      <c r="B68">
        <v>1674585367.5999999</v>
      </c>
      <c r="C68">
        <v>11315</v>
      </c>
      <c r="D68" t="s">
        <v>681</v>
      </c>
      <c r="E68" t="s">
        <v>682</v>
      </c>
      <c r="F68" t="s">
        <v>412</v>
      </c>
      <c r="G68" t="s">
        <v>31</v>
      </c>
      <c r="H68" t="s">
        <v>636</v>
      </c>
      <c r="I68">
        <v>1674585367.5999999</v>
      </c>
      <c r="J68">
        <f t="shared" si="46"/>
        <v>5.1090465398494992E-3</v>
      </c>
      <c r="K68">
        <f t="shared" si="47"/>
        <v>5.1090465398494995</v>
      </c>
      <c r="L68">
        <f t="shared" si="48"/>
        <v>53.553883752750998</v>
      </c>
      <c r="M68">
        <f t="shared" si="49"/>
        <v>433.20400000000001</v>
      </c>
      <c r="N68">
        <f t="shared" si="50"/>
        <v>216.84902766974398</v>
      </c>
      <c r="O68">
        <f t="shared" si="51"/>
        <v>21.63207164319909</v>
      </c>
      <c r="P68">
        <f t="shared" si="52"/>
        <v>43.2148581195964</v>
      </c>
      <c r="Q68">
        <f t="shared" si="53"/>
        <v>0.43716768635331638</v>
      </c>
      <c r="R68">
        <f t="shared" si="54"/>
        <v>2.9282262648619817</v>
      </c>
      <c r="S68">
        <f t="shared" si="55"/>
        <v>0.40387795743388494</v>
      </c>
      <c r="T68">
        <f t="shared" si="56"/>
        <v>0.25520309861118429</v>
      </c>
      <c r="U68">
        <f t="shared" si="57"/>
        <v>344.3865012636175</v>
      </c>
      <c r="V68">
        <f t="shared" si="58"/>
        <v>28.69423700222664</v>
      </c>
      <c r="W68">
        <f t="shared" si="59"/>
        <v>27.564299999999999</v>
      </c>
      <c r="X68">
        <f t="shared" si="60"/>
        <v>3.6995128158370685</v>
      </c>
      <c r="Y68">
        <f t="shared" si="61"/>
        <v>65.293609741735764</v>
      </c>
      <c r="Z68">
        <f t="shared" si="62"/>
        <v>2.4766613512826101</v>
      </c>
      <c r="AA68">
        <f t="shared" si="63"/>
        <v>3.793114458028692</v>
      </c>
      <c r="AB68">
        <f t="shared" si="64"/>
        <v>1.2228514645544584</v>
      </c>
      <c r="AC68">
        <f t="shared" si="65"/>
        <v>-225.30895240736291</v>
      </c>
      <c r="AD68">
        <f t="shared" si="66"/>
        <v>67.551090066011412</v>
      </c>
      <c r="AE68">
        <f t="shared" si="67"/>
        <v>5.0173967241118742</v>
      </c>
      <c r="AF68">
        <f t="shared" si="68"/>
        <v>191.64603564637787</v>
      </c>
      <c r="AG68">
        <v>0</v>
      </c>
      <c r="AH68">
        <v>0</v>
      </c>
      <c r="AI68">
        <f t="shared" si="69"/>
        <v>1</v>
      </c>
      <c r="AJ68">
        <f t="shared" si="70"/>
        <v>0</v>
      </c>
      <c r="AK68">
        <f t="shared" si="71"/>
        <v>52657.287012837587</v>
      </c>
      <c r="AL68" t="s">
        <v>415</v>
      </c>
      <c r="AM68">
        <v>10214.9</v>
      </c>
      <c r="AN68">
        <v>729.4384</v>
      </c>
      <c r="AO68">
        <v>3170.19</v>
      </c>
      <c r="AP68">
        <f t="shared" si="72"/>
        <v>0.76990704027203416</v>
      </c>
      <c r="AQ68">
        <v>-0.45549566560547827</v>
      </c>
      <c r="AR68" t="s">
        <v>683</v>
      </c>
      <c r="AS68">
        <v>10079.700000000001</v>
      </c>
      <c r="AT68">
        <v>771.61684615384615</v>
      </c>
      <c r="AU68">
        <v>1143.922559728863</v>
      </c>
      <c r="AV68">
        <f t="shared" si="73"/>
        <v>0.32546408881319921</v>
      </c>
      <c r="AW68">
        <v>0.5</v>
      </c>
      <c r="AX68">
        <f t="shared" si="74"/>
        <v>1513.2603006318088</v>
      </c>
      <c r="AY68">
        <f t="shared" si="75"/>
        <v>53.553883752750998</v>
      </c>
      <c r="AZ68">
        <f t="shared" si="76"/>
        <v>246.25594244115979</v>
      </c>
      <c r="BA68">
        <f t="shared" si="77"/>
        <v>3.5690739653849869E-2</v>
      </c>
      <c r="BB68">
        <f t="shared" si="78"/>
        <v>1.7713327034580129</v>
      </c>
      <c r="BC68">
        <f t="shared" si="79"/>
        <v>518.22487422553274</v>
      </c>
      <c r="BD68" t="s">
        <v>684</v>
      </c>
      <c r="BE68">
        <v>582.16999999999996</v>
      </c>
      <c r="BF68">
        <f t="shared" si="80"/>
        <v>582.16999999999996</v>
      </c>
      <c r="BG68">
        <f t="shared" si="81"/>
        <v>0.49107568947850089</v>
      </c>
      <c r="BH68">
        <f t="shared" si="82"/>
        <v>0.66275748481629504</v>
      </c>
      <c r="BI68">
        <f t="shared" si="83"/>
        <v>0.7829411829395202</v>
      </c>
      <c r="BJ68">
        <f t="shared" si="84"/>
        <v>0.89823870185669485</v>
      </c>
      <c r="BK68">
        <f t="shared" si="85"/>
        <v>0.83018175232216873</v>
      </c>
      <c r="BL68">
        <f t="shared" si="86"/>
        <v>0.50003771542667119</v>
      </c>
      <c r="BM68">
        <f t="shared" si="87"/>
        <v>0.49996228457332881</v>
      </c>
      <c r="BN68">
        <v>9160</v>
      </c>
      <c r="BO68">
        <v>290.00000000000011</v>
      </c>
      <c r="BP68">
        <v>1044.6600000000001</v>
      </c>
      <c r="BQ68">
        <v>285</v>
      </c>
      <c r="BR68">
        <v>10079.700000000001</v>
      </c>
      <c r="BS68">
        <v>1044.6199999999999</v>
      </c>
      <c r="BT68">
        <v>0.04</v>
      </c>
      <c r="BU68">
        <v>300.00000000000011</v>
      </c>
      <c r="BV68">
        <v>24.2</v>
      </c>
      <c r="BW68">
        <v>1143.922559728863</v>
      </c>
      <c r="BX68">
        <v>2.2729688496167961</v>
      </c>
      <c r="BY68">
        <v>-100.0927238975565</v>
      </c>
      <c r="BZ68">
        <v>2.0405489184468841</v>
      </c>
      <c r="CA68">
        <v>0.9884967048709683</v>
      </c>
      <c r="CB68">
        <v>-6.8905201334816474E-3</v>
      </c>
      <c r="CC68">
        <v>289.99999999999989</v>
      </c>
      <c r="CD68">
        <v>1041.33</v>
      </c>
      <c r="CE68">
        <v>705</v>
      </c>
      <c r="CF68">
        <v>10061</v>
      </c>
      <c r="CG68">
        <v>1044.44</v>
      </c>
      <c r="CH68">
        <v>-3.11</v>
      </c>
      <c r="CV68">
        <f t="shared" si="88"/>
        <v>1800.09</v>
      </c>
      <c r="CW68">
        <f t="shared" si="89"/>
        <v>1513.2603006318088</v>
      </c>
      <c r="CX68">
        <f t="shared" si="90"/>
        <v>0.84065813411096602</v>
      </c>
      <c r="CY68">
        <f t="shared" si="91"/>
        <v>0.19131626822193196</v>
      </c>
      <c r="CZ68">
        <v>6</v>
      </c>
      <c r="DA68">
        <v>0.5</v>
      </c>
      <c r="DB68" t="s">
        <v>418</v>
      </c>
      <c r="DC68">
        <v>2</v>
      </c>
      <c r="DD68">
        <v>1674585367.5999999</v>
      </c>
      <c r="DE68">
        <v>433.20400000000001</v>
      </c>
      <c r="DF68">
        <v>500.11399999999998</v>
      </c>
      <c r="DG68">
        <v>24.827100000000002</v>
      </c>
      <c r="DH68">
        <v>18.849399999999999</v>
      </c>
      <c r="DI68">
        <v>430.79300000000001</v>
      </c>
      <c r="DJ68">
        <v>24.703299999999999</v>
      </c>
      <c r="DK68">
        <v>500.07900000000001</v>
      </c>
      <c r="DL68">
        <v>99.656499999999994</v>
      </c>
      <c r="DM68">
        <v>9.9869100000000002E-2</v>
      </c>
      <c r="DN68">
        <v>27.9922</v>
      </c>
      <c r="DO68">
        <v>27.564299999999999</v>
      </c>
      <c r="DP68">
        <v>999.9</v>
      </c>
      <c r="DQ68">
        <v>0</v>
      </c>
      <c r="DR68">
        <v>0</v>
      </c>
      <c r="DS68">
        <v>10026.9</v>
      </c>
      <c r="DT68">
        <v>0</v>
      </c>
      <c r="DU68">
        <v>374.214</v>
      </c>
      <c r="DV68">
        <v>-66.9101</v>
      </c>
      <c r="DW68">
        <v>444.233</v>
      </c>
      <c r="DX68">
        <v>509.72199999999998</v>
      </c>
      <c r="DY68">
        <v>5.9776400000000001</v>
      </c>
      <c r="DZ68">
        <v>500.11399999999998</v>
      </c>
      <c r="EA68">
        <v>18.849399999999999</v>
      </c>
      <c r="EB68">
        <v>2.47418</v>
      </c>
      <c r="EC68">
        <v>1.8784700000000001</v>
      </c>
      <c r="ED68">
        <v>20.857600000000001</v>
      </c>
      <c r="EE68">
        <v>16.455500000000001</v>
      </c>
      <c r="EF68">
        <v>1800.09</v>
      </c>
      <c r="EG68">
        <v>0.97800100000000001</v>
      </c>
      <c r="EH68">
        <v>2.1998799999999999E-2</v>
      </c>
      <c r="EI68">
        <v>0</v>
      </c>
      <c r="EJ68">
        <v>771.74699999999996</v>
      </c>
      <c r="EK68">
        <v>4.9990399999999999</v>
      </c>
      <c r="EL68">
        <v>14533</v>
      </c>
      <c r="EM68">
        <v>14821.4</v>
      </c>
      <c r="EN68">
        <v>48.436999999999998</v>
      </c>
      <c r="EO68">
        <v>49.936999999999998</v>
      </c>
      <c r="EP68">
        <v>49.436999999999998</v>
      </c>
      <c r="EQ68">
        <v>48.25</v>
      </c>
      <c r="ER68">
        <v>49.311999999999998</v>
      </c>
      <c r="ES68">
        <v>1755.6</v>
      </c>
      <c r="ET68">
        <v>39.49</v>
      </c>
      <c r="EU68">
        <v>0</v>
      </c>
      <c r="EV68">
        <v>103.4000000953674</v>
      </c>
      <c r="EW68">
        <v>0</v>
      </c>
      <c r="EX68">
        <v>771.61684615384615</v>
      </c>
      <c r="EY68">
        <v>2.636854691122394</v>
      </c>
      <c r="EZ68">
        <v>41.258119590619927</v>
      </c>
      <c r="FA68">
        <v>14527.23846153846</v>
      </c>
      <c r="FB68">
        <v>15</v>
      </c>
      <c r="FC68">
        <v>1674585335.5999999</v>
      </c>
      <c r="FD68" t="s">
        <v>685</v>
      </c>
      <c r="FE68">
        <v>1674585329.5999999</v>
      </c>
      <c r="FF68">
        <v>1674585335.5999999</v>
      </c>
      <c r="FG68">
        <v>61</v>
      </c>
      <c r="FH68">
        <v>0.30099999999999999</v>
      </c>
      <c r="FI68">
        <v>1E-3</v>
      </c>
      <c r="FJ68">
        <v>2.5169999999999999</v>
      </c>
      <c r="FK68">
        <v>8.8999999999999996E-2</v>
      </c>
      <c r="FL68">
        <v>500</v>
      </c>
      <c r="FM68">
        <v>19</v>
      </c>
      <c r="FN68">
        <v>0.03</v>
      </c>
      <c r="FO68">
        <v>0.02</v>
      </c>
      <c r="FP68">
        <v>53.546661980000479</v>
      </c>
      <c r="FQ68">
        <v>-0.4259572899021713</v>
      </c>
      <c r="FR68">
        <v>7.4121726059984461E-2</v>
      </c>
      <c r="FS68">
        <v>1</v>
      </c>
      <c r="FT68">
        <v>0.42893760370566592</v>
      </c>
      <c r="FU68">
        <v>4.0821835733595151E-2</v>
      </c>
      <c r="FV68">
        <v>6.2331087618483494E-3</v>
      </c>
      <c r="FW68">
        <v>1</v>
      </c>
      <c r="FX68">
        <v>2</v>
      </c>
      <c r="FY68">
        <v>2</v>
      </c>
      <c r="FZ68" t="s">
        <v>420</v>
      </c>
      <c r="GA68">
        <v>2.9332699999999998</v>
      </c>
      <c r="GB68">
        <v>2.8335599999999999</v>
      </c>
      <c r="GC68">
        <v>9.5730200000000001E-2</v>
      </c>
      <c r="GD68">
        <v>0.10484</v>
      </c>
      <c r="GE68">
        <v>0.122111</v>
      </c>
      <c r="GF68">
        <v>9.7329799999999994E-2</v>
      </c>
      <c r="GG68">
        <v>23378</v>
      </c>
      <c r="GH68">
        <v>29230.6</v>
      </c>
      <c r="GI68">
        <v>23260.3</v>
      </c>
      <c r="GJ68">
        <v>29917.1</v>
      </c>
      <c r="GK68">
        <v>27779.200000000001</v>
      </c>
      <c r="GL68">
        <v>38400.800000000003</v>
      </c>
      <c r="GM68">
        <v>32828</v>
      </c>
      <c r="GN68">
        <v>44384.6</v>
      </c>
      <c r="GO68">
        <v>1.96607</v>
      </c>
      <c r="GP68">
        <v>1.8290299999999999</v>
      </c>
      <c r="GQ68">
        <v>6.2014899999999998E-2</v>
      </c>
      <c r="GR68">
        <v>0</v>
      </c>
      <c r="GS68">
        <v>26.5502</v>
      </c>
      <c r="GT68">
        <v>999.9</v>
      </c>
      <c r="GU68">
        <v>47.4</v>
      </c>
      <c r="GV68">
        <v>36.700000000000003</v>
      </c>
      <c r="GW68">
        <v>29.497699999999998</v>
      </c>
      <c r="GX68">
        <v>61.270899999999997</v>
      </c>
      <c r="GY68">
        <v>36.875</v>
      </c>
      <c r="GZ68">
        <v>1</v>
      </c>
      <c r="HA68">
        <v>0.34443099999999999</v>
      </c>
      <c r="HB68">
        <v>2.0383399999999998</v>
      </c>
      <c r="HC68">
        <v>20.258700000000001</v>
      </c>
      <c r="HD68">
        <v>5.2108499999999998</v>
      </c>
      <c r="HE68">
        <v>11.872199999999999</v>
      </c>
      <c r="HF68">
        <v>4.9853500000000004</v>
      </c>
      <c r="HG68">
        <v>3.2839999999999998</v>
      </c>
      <c r="HH68">
        <v>9999</v>
      </c>
      <c r="HI68">
        <v>9999</v>
      </c>
      <c r="HJ68">
        <v>9999</v>
      </c>
      <c r="HK68">
        <v>999.9</v>
      </c>
      <c r="HL68">
        <v>1.85466</v>
      </c>
      <c r="HM68">
        <v>1.86073</v>
      </c>
      <c r="HN68">
        <v>1.8580700000000001</v>
      </c>
      <c r="HO68">
        <v>1.85928</v>
      </c>
      <c r="HP68">
        <v>1.85867</v>
      </c>
      <c r="HQ68">
        <v>1.8591599999999999</v>
      </c>
      <c r="HR68">
        <v>1.8575999999999999</v>
      </c>
      <c r="HS68">
        <v>1.8609</v>
      </c>
      <c r="HT68">
        <v>5</v>
      </c>
      <c r="HU68">
        <v>0</v>
      </c>
      <c r="HV68">
        <v>0</v>
      </c>
      <c r="HW68">
        <v>0</v>
      </c>
      <c r="HX68" t="s">
        <v>421</v>
      </c>
      <c r="HY68" t="s">
        <v>422</v>
      </c>
      <c r="HZ68" t="s">
        <v>423</v>
      </c>
      <c r="IA68" t="s">
        <v>423</v>
      </c>
      <c r="IB68" t="s">
        <v>423</v>
      </c>
      <c r="IC68" t="s">
        <v>423</v>
      </c>
      <c r="ID68">
        <v>0</v>
      </c>
      <c r="IE68">
        <v>100</v>
      </c>
      <c r="IF68">
        <v>100</v>
      </c>
      <c r="IG68">
        <v>2.411</v>
      </c>
      <c r="IH68">
        <v>0.12379999999999999</v>
      </c>
      <c r="II68">
        <v>1.7058664401038011</v>
      </c>
      <c r="IJ68">
        <v>1.6187016317407189E-3</v>
      </c>
      <c r="IK68">
        <v>1.4341569744255341E-7</v>
      </c>
      <c r="IL68">
        <v>-2.4096625942085749E-10</v>
      </c>
      <c r="IM68">
        <v>0.12378023206069989</v>
      </c>
      <c r="IN68">
        <v>0</v>
      </c>
      <c r="IO68">
        <v>0</v>
      </c>
      <c r="IP68">
        <v>0</v>
      </c>
      <c r="IQ68">
        <v>4</v>
      </c>
      <c r="IR68">
        <v>2205</v>
      </c>
      <c r="IS68">
        <v>1</v>
      </c>
      <c r="IT68">
        <v>21</v>
      </c>
      <c r="IU68">
        <v>0.6</v>
      </c>
      <c r="IV68">
        <v>0.5</v>
      </c>
      <c r="IW68">
        <v>1.18652</v>
      </c>
      <c r="IX68">
        <v>2.4621599999999999</v>
      </c>
      <c r="IY68">
        <v>1.49414</v>
      </c>
      <c r="IZ68">
        <v>2.3046899999999999</v>
      </c>
      <c r="JA68">
        <v>1.69434</v>
      </c>
      <c r="JB68">
        <v>2.4230999999999998</v>
      </c>
      <c r="JC68">
        <v>40.502000000000002</v>
      </c>
      <c r="JD68">
        <v>23.9999</v>
      </c>
      <c r="JE68">
        <v>18</v>
      </c>
      <c r="JF68">
        <v>510.01</v>
      </c>
      <c r="JG68">
        <v>443.42200000000003</v>
      </c>
      <c r="JH68">
        <v>24.712</v>
      </c>
      <c r="JI68">
        <v>31.6663</v>
      </c>
      <c r="JJ68">
        <v>29.9998</v>
      </c>
      <c r="JK68">
        <v>31.6477</v>
      </c>
      <c r="JL68">
        <v>31.626999999999999</v>
      </c>
      <c r="JM68">
        <v>23.829599999999999</v>
      </c>
      <c r="JN68">
        <v>41.807499999999997</v>
      </c>
      <c r="JO68">
        <v>0</v>
      </c>
      <c r="JP68">
        <v>24.724900000000002</v>
      </c>
      <c r="JQ68">
        <v>500</v>
      </c>
      <c r="JR68">
        <v>18.910599999999999</v>
      </c>
      <c r="JS68">
        <v>98.895700000000005</v>
      </c>
      <c r="JT68">
        <v>99.677599999999998</v>
      </c>
    </row>
    <row r="69" spans="1:280" x14ac:dyDescent="0.25">
      <c r="A69">
        <v>53</v>
      </c>
      <c r="B69">
        <v>1674585474.5999999</v>
      </c>
      <c r="C69">
        <v>11422</v>
      </c>
      <c r="D69" t="s">
        <v>686</v>
      </c>
      <c r="E69" t="s">
        <v>687</v>
      </c>
      <c r="F69" t="s">
        <v>412</v>
      </c>
      <c r="G69" t="s">
        <v>31</v>
      </c>
      <c r="H69" t="s">
        <v>636</v>
      </c>
      <c r="I69">
        <v>1674585474.5999999</v>
      </c>
      <c r="J69">
        <f t="shared" si="46"/>
        <v>4.7912491681011034E-3</v>
      </c>
      <c r="K69">
        <f t="shared" si="47"/>
        <v>4.7912491681011034</v>
      </c>
      <c r="L69">
        <f t="shared" si="48"/>
        <v>55.314250316395515</v>
      </c>
      <c r="M69">
        <f t="shared" si="49"/>
        <v>530.58799999999997</v>
      </c>
      <c r="N69">
        <f t="shared" si="50"/>
        <v>290.46229674875855</v>
      </c>
      <c r="O69">
        <f t="shared" si="51"/>
        <v>28.974084475332024</v>
      </c>
      <c r="P69">
        <f t="shared" si="52"/>
        <v>52.927012234207197</v>
      </c>
      <c r="Q69">
        <f t="shared" si="53"/>
        <v>0.40679870807664886</v>
      </c>
      <c r="R69">
        <f t="shared" si="54"/>
        <v>2.9249740185545896</v>
      </c>
      <c r="S69">
        <f t="shared" si="55"/>
        <v>0.37777935792132145</v>
      </c>
      <c r="T69">
        <f t="shared" si="56"/>
        <v>0.23854663543492485</v>
      </c>
      <c r="U69">
        <f t="shared" si="57"/>
        <v>344.39220126359641</v>
      </c>
      <c r="V69">
        <f t="shared" si="58"/>
        <v>28.783206043623288</v>
      </c>
      <c r="W69">
        <f t="shared" si="59"/>
        <v>27.575399999999998</v>
      </c>
      <c r="X69">
        <f t="shared" si="60"/>
        <v>3.7019151955990539</v>
      </c>
      <c r="Y69">
        <f t="shared" si="61"/>
        <v>65.254584222311138</v>
      </c>
      <c r="Z69">
        <f t="shared" si="62"/>
        <v>2.47597484577516</v>
      </c>
      <c r="AA69">
        <f t="shared" si="63"/>
        <v>3.7943308892137599</v>
      </c>
      <c r="AB69">
        <f t="shared" si="64"/>
        <v>1.2259403498238939</v>
      </c>
      <c r="AC69">
        <f t="shared" si="65"/>
        <v>-211.29408831325867</v>
      </c>
      <c r="AD69">
        <f t="shared" si="66"/>
        <v>66.592993459455428</v>
      </c>
      <c r="AE69">
        <f t="shared" si="67"/>
        <v>4.9521430771801507</v>
      </c>
      <c r="AF69">
        <f t="shared" si="68"/>
        <v>204.64324948697333</v>
      </c>
      <c r="AG69">
        <v>0</v>
      </c>
      <c r="AH69">
        <v>0</v>
      </c>
      <c r="AI69">
        <f t="shared" si="69"/>
        <v>1</v>
      </c>
      <c r="AJ69">
        <f t="shared" si="70"/>
        <v>0</v>
      </c>
      <c r="AK69">
        <f t="shared" si="71"/>
        <v>52562.663188844112</v>
      </c>
      <c r="AL69" t="s">
        <v>415</v>
      </c>
      <c r="AM69">
        <v>10214.9</v>
      </c>
      <c r="AN69">
        <v>729.4384</v>
      </c>
      <c r="AO69">
        <v>3170.19</v>
      </c>
      <c r="AP69">
        <f t="shared" si="72"/>
        <v>0.76990704027203416</v>
      </c>
      <c r="AQ69">
        <v>-0.45549566560547827</v>
      </c>
      <c r="AR69" t="s">
        <v>688</v>
      </c>
      <c r="AS69">
        <v>10088.299999999999</v>
      </c>
      <c r="AT69">
        <v>777.93871999999988</v>
      </c>
      <c r="AU69">
        <v>1169.1323473145289</v>
      </c>
      <c r="AV69">
        <f t="shared" si="73"/>
        <v>0.33460166268865299</v>
      </c>
      <c r="AW69">
        <v>0.5</v>
      </c>
      <c r="AX69">
        <f t="shared" si="74"/>
        <v>1513.2855006317982</v>
      </c>
      <c r="AY69">
        <f t="shared" si="75"/>
        <v>55.314250316395515</v>
      </c>
      <c r="AZ69">
        <f t="shared" si="76"/>
        <v>253.17392231701515</v>
      </c>
      <c r="BA69">
        <f t="shared" si="77"/>
        <v>3.6853419899098398E-2</v>
      </c>
      <c r="BB69">
        <f t="shared" si="78"/>
        <v>1.711574961792697</v>
      </c>
      <c r="BC69">
        <f t="shared" si="79"/>
        <v>523.3370838030786</v>
      </c>
      <c r="BD69" t="s">
        <v>689</v>
      </c>
      <c r="BE69">
        <v>583.95000000000005</v>
      </c>
      <c r="BF69">
        <f t="shared" si="80"/>
        <v>583.95000000000005</v>
      </c>
      <c r="BG69">
        <f t="shared" si="81"/>
        <v>0.50052703499195772</v>
      </c>
      <c r="BH69">
        <f t="shared" si="82"/>
        <v>0.66849868098339427</v>
      </c>
      <c r="BI69">
        <f t="shared" si="83"/>
        <v>0.77373238859714155</v>
      </c>
      <c r="BJ69">
        <f t="shared" si="84"/>
        <v>0.88969527486966782</v>
      </c>
      <c r="BK69">
        <f t="shared" si="85"/>
        <v>0.81985305374191753</v>
      </c>
      <c r="BL69">
        <f t="shared" si="86"/>
        <v>0.50180019932707953</v>
      </c>
      <c r="BM69">
        <f t="shared" si="87"/>
        <v>0.49819980067292047</v>
      </c>
      <c r="BN69">
        <v>9162</v>
      </c>
      <c r="BO69">
        <v>290.00000000000011</v>
      </c>
      <c r="BP69">
        <v>1065.8</v>
      </c>
      <c r="BQ69">
        <v>215</v>
      </c>
      <c r="BR69">
        <v>10088.299999999999</v>
      </c>
      <c r="BS69">
        <v>1064.76</v>
      </c>
      <c r="BT69">
        <v>1.04</v>
      </c>
      <c r="BU69">
        <v>300.00000000000011</v>
      </c>
      <c r="BV69">
        <v>24.2</v>
      </c>
      <c r="BW69">
        <v>1169.1323473145289</v>
      </c>
      <c r="BX69">
        <v>2.322347928004171</v>
      </c>
      <c r="BY69">
        <v>-105.29654675767151</v>
      </c>
      <c r="BZ69">
        <v>2.084963281868851</v>
      </c>
      <c r="CA69">
        <v>0.98914112447708902</v>
      </c>
      <c r="CB69">
        <v>-6.8908433815350299E-3</v>
      </c>
      <c r="CC69">
        <v>289.99999999999989</v>
      </c>
      <c r="CD69">
        <v>1061.72</v>
      </c>
      <c r="CE69">
        <v>635</v>
      </c>
      <c r="CF69">
        <v>10065.4</v>
      </c>
      <c r="CG69">
        <v>1064.52</v>
      </c>
      <c r="CH69">
        <v>-2.8</v>
      </c>
      <c r="CV69">
        <f t="shared" si="88"/>
        <v>1800.12</v>
      </c>
      <c r="CW69">
        <f t="shared" si="89"/>
        <v>1513.2855006317982</v>
      </c>
      <c r="CX69">
        <f t="shared" si="90"/>
        <v>0.84065812314278954</v>
      </c>
      <c r="CY69">
        <f t="shared" si="91"/>
        <v>0.19131624628557897</v>
      </c>
      <c r="CZ69">
        <v>6</v>
      </c>
      <c r="DA69">
        <v>0.5</v>
      </c>
      <c r="DB69" t="s">
        <v>418</v>
      </c>
      <c r="DC69">
        <v>2</v>
      </c>
      <c r="DD69">
        <v>1674585474.5999999</v>
      </c>
      <c r="DE69">
        <v>530.58799999999997</v>
      </c>
      <c r="DF69">
        <v>600.00099999999998</v>
      </c>
      <c r="DG69">
        <v>24.821400000000001</v>
      </c>
      <c r="DH69">
        <v>19.215800000000002</v>
      </c>
      <c r="DI69">
        <v>527.79700000000003</v>
      </c>
      <c r="DJ69">
        <v>24.693999999999999</v>
      </c>
      <c r="DK69">
        <v>500.10599999999999</v>
      </c>
      <c r="DL69">
        <v>99.651700000000005</v>
      </c>
      <c r="DM69">
        <v>9.9919400000000005E-2</v>
      </c>
      <c r="DN69">
        <v>27.997699999999998</v>
      </c>
      <c r="DO69">
        <v>27.575399999999998</v>
      </c>
      <c r="DP69">
        <v>999.9</v>
      </c>
      <c r="DQ69">
        <v>0</v>
      </c>
      <c r="DR69">
        <v>0</v>
      </c>
      <c r="DS69">
        <v>10008.799999999999</v>
      </c>
      <c r="DT69">
        <v>0</v>
      </c>
      <c r="DU69">
        <v>358.63900000000001</v>
      </c>
      <c r="DV69">
        <v>-69.412800000000004</v>
      </c>
      <c r="DW69">
        <v>544.09400000000005</v>
      </c>
      <c r="DX69">
        <v>611.75699999999995</v>
      </c>
      <c r="DY69">
        <v>5.60555</v>
      </c>
      <c r="DZ69">
        <v>600.00099999999998</v>
      </c>
      <c r="EA69">
        <v>19.215800000000002</v>
      </c>
      <c r="EB69">
        <v>2.47349</v>
      </c>
      <c r="EC69">
        <v>1.91489</v>
      </c>
      <c r="ED69">
        <v>20.853100000000001</v>
      </c>
      <c r="EE69">
        <v>16.7576</v>
      </c>
      <c r="EF69">
        <v>1800.12</v>
      </c>
      <c r="EG69">
        <v>0.97800100000000001</v>
      </c>
      <c r="EH69">
        <v>2.1998899999999998E-2</v>
      </c>
      <c r="EI69">
        <v>0</v>
      </c>
      <c r="EJ69">
        <v>777.779</v>
      </c>
      <c r="EK69">
        <v>4.9990399999999999</v>
      </c>
      <c r="EL69">
        <v>14620.2</v>
      </c>
      <c r="EM69">
        <v>14821.7</v>
      </c>
      <c r="EN69">
        <v>48.375</v>
      </c>
      <c r="EO69">
        <v>49.875</v>
      </c>
      <c r="EP69">
        <v>49.375</v>
      </c>
      <c r="EQ69">
        <v>48.186999999999998</v>
      </c>
      <c r="ER69">
        <v>49.25</v>
      </c>
      <c r="ES69">
        <v>1755.63</v>
      </c>
      <c r="ET69">
        <v>39.49</v>
      </c>
      <c r="EU69">
        <v>0</v>
      </c>
      <c r="EV69">
        <v>105.2000000476837</v>
      </c>
      <c r="EW69">
        <v>0</v>
      </c>
      <c r="EX69">
        <v>777.93871999999988</v>
      </c>
      <c r="EY69">
        <v>1.834076934447491</v>
      </c>
      <c r="EZ69">
        <v>23.092307665693991</v>
      </c>
      <c r="FA69">
        <v>14616</v>
      </c>
      <c r="FB69">
        <v>15</v>
      </c>
      <c r="FC69">
        <v>1674585441.5999999</v>
      </c>
      <c r="FD69" t="s">
        <v>690</v>
      </c>
      <c r="FE69">
        <v>1674585432.5999999</v>
      </c>
      <c r="FF69">
        <v>1674585441.5999999</v>
      </c>
      <c r="FG69">
        <v>62</v>
      </c>
      <c r="FH69">
        <v>0.22700000000000001</v>
      </c>
      <c r="FI69">
        <v>4.0000000000000001E-3</v>
      </c>
      <c r="FJ69">
        <v>2.899</v>
      </c>
      <c r="FK69">
        <v>9.6000000000000002E-2</v>
      </c>
      <c r="FL69">
        <v>600</v>
      </c>
      <c r="FM69">
        <v>19</v>
      </c>
      <c r="FN69">
        <v>0.04</v>
      </c>
      <c r="FO69">
        <v>0.02</v>
      </c>
      <c r="FP69">
        <v>55.336592994349857</v>
      </c>
      <c r="FQ69">
        <v>-0.16202407079087081</v>
      </c>
      <c r="FR69">
        <v>5.8562241403196928E-2</v>
      </c>
      <c r="FS69">
        <v>1</v>
      </c>
      <c r="FT69">
        <v>0.40987020048095413</v>
      </c>
      <c r="FU69">
        <v>1.132126953382862E-2</v>
      </c>
      <c r="FV69">
        <v>2.9014582138002952E-3</v>
      </c>
      <c r="FW69">
        <v>1</v>
      </c>
      <c r="FX69">
        <v>2</v>
      </c>
      <c r="FY69">
        <v>2</v>
      </c>
      <c r="FZ69" t="s">
        <v>420</v>
      </c>
      <c r="GA69">
        <v>2.9334099999999999</v>
      </c>
      <c r="GB69">
        <v>2.83345</v>
      </c>
      <c r="GC69">
        <v>0.111207</v>
      </c>
      <c r="GD69">
        <v>0.11949799999999999</v>
      </c>
      <c r="GE69">
        <v>0.122089</v>
      </c>
      <c r="GF69">
        <v>9.8669400000000004E-2</v>
      </c>
      <c r="GG69">
        <v>22980.5</v>
      </c>
      <c r="GH69">
        <v>28754.1</v>
      </c>
      <c r="GI69">
        <v>23262.799999999999</v>
      </c>
      <c r="GJ69">
        <v>29919</v>
      </c>
      <c r="GK69">
        <v>27783.200000000001</v>
      </c>
      <c r="GL69">
        <v>38345.4</v>
      </c>
      <c r="GM69">
        <v>32831.800000000003</v>
      </c>
      <c r="GN69">
        <v>44386.9</v>
      </c>
      <c r="GO69">
        <v>1.96658</v>
      </c>
      <c r="GP69">
        <v>1.8311500000000001</v>
      </c>
      <c r="GQ69">
        <v>6.6191E-2</v>
      </c>
      <c r="GR69">
        <v>0</v>
      </c>
      <c r="GS69">
        <v>26.492999999999999</v>
      </c>
      <c r="GT69">
        <v>999.9</v>
      </c>
      <c r="GU69">
        <v>47.3</v>
      </c>
      <c r="GV69">
        <v>36.700000000000003</v>
      </c>
      <c r="GW69">
        <v>29.4374</v>
      </c>
      <c r="GX69">
        <v>61.490900000000003</v>
      </c>
      <c r="GY69">
        <v>36.762799999999999</v>
      </c>
      <c r="GZ69">
        <v>1</v>
      </c>
      <c r="HA69">
        <v>0.33958100000000002</v>
      </c>
      <c r="HB69">
        <v>1.9638199999999999</v>
      </c>
      <c r="HC69">
        <v>20.259799999999998</v>
      </c>
      <c r="HD69">
        <v>5.2069599999999996</v>
      </c>
      <c r="HE69">
        <v>11.872199999999999</v>
      </c>
      <c r="HF69">
        <v>4.9834500000000004</v>
      </c>
      <c r="HG69">
        <v>3.2839999999999998</v>
      </c>
      <c r="HH69">
        <v>9999</v>
      </c>
      <c r="HI69">
        <v>9999</v>
      </c>
      <c r="HJ69">
        <v>9999</v>
      </c>
      <c r="HK69">
        <v>999.9</v>
      </c>
      <c r="HL69">
        <v>1.8547100000000001</v>
      </c>
      <c r="HM69">
        <v>1.8608</v>
      </c>
      <c r="HN69">
        <v>1.8581300000000001</v>
      </c>
      <c r="HO69">
        <v>1.8593</v>
      </c>
      <c r="HP69">
        <v>1.85869</v>
      </c>
      <c r="HQ69">
        <v>1.85928</v>
      </c>
      <c r="HR69">
        <v>1.8575900000000001</v>
      </c>
      <c r="HS69">
        <v>1.8609599999999999</v>
      </c>
      <c r="HT69">
        <v>5</v>
      </c>
      <c r="HU69">
        <v>0</v>
      </c>
      <c r="HV69">
        <v>0</v>
      </c>
      <c r="HW69">
        <v>0</v>
      </c>
      <c r="HX69" t="s">
        <v>421</v>
      </c>
      <c r="HY69" t="s">
        <v>422</v>
      </c>
      <c r="HZ69" t="s">
        <v>423</v>
      </c>
      <c r="IA69" t="s">
        <v>423</v>
      </c>
      <c r="IB69" t="s">
        <v>423</v>
      </c>
      <c r="IC69" t="s">
        <v>423</v>
      </c>
      <c r="ID69">
        <v>0</v>
      </c>
      <c r="IE69">
        <v>100</v>
      </c>
      <c r="IF69">
        <v>100</v>
      </c>
      <c r="IG69">
        <v>2.7909999999999999</v>
      </c>
      <c r="IH69">
        <v>0.12740000000000001</v>
      </c>
      <c r="II69">
        <v>1.9326450152642229</v>
      </c>
      <c r="IJ69">
        <v>1.6187016317407189E-3</v>
      </c>
      <c r="IK69">
        <v>1.4341569744255341E-7</v>
      </c>
      <c r="IL69">
        <v>-2.4096625942085749E-10</v>
      </c>
      <c r="IM69">
        <v>0.1273866525712542</v>
      </c>
      <c r="IN69">
        <v>0</v>
      </c>
      <c r="IO69">
        <v>0</v>
      </c>
      <c r="IP69">
        <v>0</v>
      </c>
      <c r="IQ69">
        <v>4</v>
      </c>
      <c r="IR69">
        <v>2205</v>
      </c>
      <c r="IS69">
        <v>1</v>
      </c>
      <c r="IT69">
        <v>21</v>
      </c>
      <c r="IU69">
        <v>0.7</v>
      </c>
      <c r="IV69">
        <v>0.6</v>
      </c>
      <c r="IW69">
        <v>1.3781699999999999</v>
      </c>
      <c r="IX69">
        <v>2.4609399999999999</v>
      </c>
      <c r="IY69">
        <v>1.49414</v>
      </c>
      <c r="IZ69">
        <v>2.3034699999999999</v>
      </c>
      <c r="JA69">
        <v>1.69434</v>
      </c>
      <c r="JB69">
        <v>2.34741</v>
      </c>
      <c r="JC69">
        <v>40.451000000000001</v>
      </c>
      <c r="JD69">
        <v>23.991199999999999</v>
      </c>
      <c r="JE69">
        <v>18</v>
      </c>
      <c r="JF69">
        <v>509.85199999999998</v>
      </c>
      <c r="JG69">
        <v>444.42700000000002</v>
      </c>
      <c r="JH69">
        <v>24.752500000000001</v>
      </c>
      <c r="JI69">
        <v>31.604399999999998</v>
      </c>
      <c r="JJ69">
        <v>29.9999</v>
      </c>
      <c r="JK69">
        <v>31.5901</v>
      </c>
      <c r="JL69">
        <v>31.5701</v>
      </c>
      <c r="JM69">
        <v>27.669899999999998</v>
      </c>
      <c r="JN69">
        <v>40.597900000000003</v>
      </c>
      <c r="JO69">
        <v>0</v>
      </c>
      <c r="JP69">
        <v>24.754300000000001</v>
      </c>
      <c r="JQ69">
        <v>600</v>
      </c>
      <c r="JR69">
        <v>19.1525</v>
      </c>
      <c r="JS69">
        <v>98.906700000000001</v>
      </c>
      <c r="JT69">
        <v>99.683199999999999</v>
      </c>
    </row>
    <row r="70" spans="1:280" x14ac:dyDescent="0.25">
      <c r="A70">
        <v>54</v>
      </c>
      <c r="B70">
        <v>1674585591.5</v>
      </c>
      <c r="C70">
        <v>11538.900000095369</v>
      </c>
      <c r="D70" t="s">
        <v>691</v>
      </c>
      <c r="E70" t="s">
        <v>692</v>
      </c>
      <c r="F70" t="s">
        <v>412</v>
      </c>
      <c r="G70" t="s">
        <v>31</v>
      </c>
      <c r="H70" t="s">
        <v>636</v>
      </c>
      <c r="I70">
        <v>1674585591.5</v>
      </c>
      <c r="J70">
        <f t="shared" si="46"/>
        <v>4.3915800017923371E-3</v>
      </c>
      <c r="K70">
        <f t="shared" si="47"/>
        <v>4.3915800017923372</v>
      </c>
      <c r="L70">
        <f t="shared" si="48"/>
        <v>56.200555490793739</v>
      </c>
      <c r="M70">
        <f t="shared" si="49"/>
        <v>728.755</v>
      </c>
      <c r="N70">
        <f t="shared" si="50"/>
        <v>454.92538872159577</v>
      </c>
      <c r="O70">
        <f t="shared" si="51"/>
        <v>45.379177652275445</v>
      </c>
      <c r="P70">
        <f t="shared" si="52"/>
        <v>72.693904165068005</v>
      </c>
      <c r="Q70">
        <f t="shared" si="53"/>
        <v>0.3638038302982447</v>
      </c>
      <c r="R70">
        <f t="shared" si="54"/>
        <v>2.9251718441351171</v>
      </c>
      <c r="S70">
        <f t="shared" si="55"/>
        <v>0.34040679780542932</v>
      </c>
      <c r="T70">
        <f t="shared" si="56"/>
        <v>0.21473086412419995</v>
      </c>
      <c r="U70">
        <f t="shared" si="57"/>
        <v>344.34660126376491</v>
      </c>
      <c r="V70">
        <f t="shared" si="58"/>
        <v>28.896894815015401</v>
      </c>
      <c r="W70">
        <f t="shared" si="59"/>
        <v>27.632999999999999</v>
      </c>
      <c r="X70">
        <f t="shared" si="60"/>
        <v>3.7144034730958682</v>
      </c>
      <c r="Y70">
        <f t="shared" si="61"/>
        <v>64.990596172879918</v>
      </c>
      <c r="Z70">
        <f t="shared" si="62"/>
        <v>2.4673962248841605</v>
      </c>
      <c r="AA70">
        <f t="shared" si="63"/>
        <v>3.7965434542571344</v>
      </c>
      <c r="AB70">
        <f t="shared" si="64"/>
        <v>1.2470072482117076</v>
      </c>
      <c r="AC70">
        <f t="shared" si="65"/>
        <v>-193.66867807904205</v>
      </c>
      <c r="AD70">
        <f t="shared" si="66"/>
        <v>59.090888613541466</v>
      </c>
      <c r="AE70">
        <f t="shared" si="67"/>
        <v>4.3954379078587404</v>
      </c>
      <c r="AF70">
        <f t="shared" si="68"/>
        <v>214.16424970612309</v>
      </c>
      <c r="AG70">
        <v>0</v>
      </c>
      <c r="AH70">
        <v>0</v>
      </c>
      <c r="AI70">
        <f t="shared" si="69"/>
        <v>1</v>
      </c>
      <c r="AJ70">
        <f t="shared" si="70"/>
        <v>0</v>
      </c>
      <c r="AK70">
        <f t="shared" si="71"/>
        <v>52566.590464678324</v>
      </c>
      <c r="AL70" t="s">
        <v>415</v>
      </c>
      <c r="AM70">
        <v>10214.9</v>
      </c>
      <c r="AN70">
        <v>729.4384</v>
      </c>
      <c r="AO70">
        <v>3170.19</v>
      </c>
      <c r="AP70">
        <f t="shared" si="72"/>
        <v>0.76990704027203416</v>
      </c>
      <c r="AQ70">
        <v>-0.45549566560547827</v>
      </c>
      <c r="AR70" t="s">
        <v>693</v>
      </c>
      <c r="AS70">
        <v>10098.9</v>
      </c>
      <c r="AT70">
        <v>780.78603846153851</v>
      </c>
      <c r="AU70">
        <v>1186.365001793333</v>
      </c>
      <c r="AV70">
        <f t="shared" si="73"/>
        <v>0.34186693194650319</v>
      </c>
      <c r="AW70">
        <v>0.5</v>
      </c>
      <c r="AX70">
        <f t="shared" si="74"/>
        <v>1513.0839006318827</v>
      </c>
      <c r="AY70">
        <f t="shared" si="75"/>
        <v>56.200555490793739</v>
      </c>
      <c r="AZ70">
        <f t="shared" si="76"/>
        <v>258.6366754433347</v>
      </c>
      <c r="BA70">
        <f t="shared" si="77"/>
        <v>3.7444090927633913E-2</v>
      </c>
      <c r="BB70">
        <f t="shared" si="78"/>
        <v>1.6721877290782159</v>
      </c>
      <c r="BC70">
        <f t="shared" si="79"/>
        <v>526.76212840328094</v>
      </c>
      <c r="BD70" t="s">
        <v>694</v>
      </c>
      <c r="BE70">
        <v>584.63</v>
      </c>
      <c r="BF70">
        <f t="shared" si="80"/>
        <v>584.63</v>
      </c>
      <c r="BG70">
        <f t="shared" si="81"/>
        <v>0.5072089962901285</v>
      </c>
      <c r="BH70">
        <f t="shared" si="82"/>
        <v>0.67401590753913188</v>
      </c>
      <c r="BI70">
        <f t="shared" si="83"/>
        <v>0.767270919339202</v>
      </c>
      <c r="BJ70">
        <f t="shared" si="84"/>
        <v>0.887623880378138</v>
      </c>
      <c r="BK70">
        <f t="shared" si="85"/>
        <v>0.81279266526207217</v>
      </c>
      <c r="BL70">
        <f t="shared" si="86"/>
        <v>0.50468361447783949</v>
      </c>
      <c r="BM70">
        <f t="shared" si="87"/>
        <v>0.49531638552216051</v>
      </c>
      <c r="BN70">
        <v>9164</v>
      </c>
      <c r="BO70">
        <v>290.00000000000011</v>
      </c>
      <c r="BP70">
        <v>1078.8800000000001</v>
      </c>
      <c r="BQ70">
        <v>145</v>
      </c>
      <c r="BR70">
        <v>10098.9</v>
      </c>
      <c r="BS70">
        <v>1077.75</v>
      </c>
      <c r="BT70">
        <v>1.1299999999999999</v>
      </c>
      <c r="BU70">
        <v>300.00000000000011</v>
      </c>
      <c r="BV70">
        <v>24.2</v>
      </c>
      <c r="BW70">
        <v>1186.365001793333</v>
      </c>
      <c r="BX70">
        <v>2.291005961696456</v>
      </c>
      <c r="BY70">
        <v>-109.6912611194445</v>
      </c>
      <c r="BZ70">
        <v>2.0569327377245812</v>
      </c>
      <c r="CA70">
        <v>0.99025012475487362</v>
      </c>
      <c r="CB70">
        <v>-6.891195328142378E-3</v>
      </c>
      <c r="CC70">
        <v>289.99999999999989</v>
      </c>
      <c r="CD70">
        <v>1074.45</v>
      </c>
      <c r="CE70">
        <v>665</v>
      </c>
      <c r="CF70">
        <v>10064.200000000001</v>
      </c>
      <c r="CG70">
        <v>1077.3699999999999</v>
      </c>
      <c r="CH70">
        <v>-2.92</v>
      </c>
      <c r="CV70">
        <f t="shared" si="88"/>
        <v>1799.88</v>
      </c>
      <c r="CW70">
        <f t="shared" si="89"/>
        <v>1513.0839006318827</v>
      </c>
      <c r="CX70">
        <f t="shared" si="90"/>
        <v>0.84065821089843906</v>
      </c>
      <c r="CY70">
        <f t="shared" si="91"/>
        <v>0.19131642179687808</v>
      </c>
      <c r="CZ70">
        <v>6</v>
      </c>
      <c r="DA70">
        <v>0.5</v>
      </c>
      <c r="DB70" t="s">
        <v>418</v>
      </c>
      <c r="DC70">
        <v>2</v>
      </c>
      <c r="DD70">
        <v>1674585591.5</v>
      </c>
      <c r="DE70">
        <v>728.755</v>
      </c>
      <c r="DF70">
        <v>800.03</v>
      </c>
      <c r="DG70">
        <v>24.735600000000002</v>
      </c>
      <c r="DH70">
        <v>19.596499999999999</v>
      </c>
      <c r="DI70">
        <v>725.26599999999996</v>
      </c>
      <c r="DJ70">
        <v>24.602599999999999</v>
      </c>
      <c r="DK70">
        <v>500.04300000000001</v>
      </c>
      <c r="DL70">
        <v>99.650999999999996</v>
      </c>
      <c r="DM70">
        <v>9.9813600000000002E-2</v>
      </c>
      <c r="DN70">
        <v>28.0077</v>
      </c>
      <c r="DO70">
        <v>27.632999999999999</v>
      </c>
      <c r="DP70">
        <v>999.9</v>
      </c>
      <c r="DQ70">
        <v>0</v>
      </c>
      <c r="DR70">
        <v>0</v>
      </c>
      <c r="DS70">
        <v>10010</v>
      </c>
      <c r="DT70">
        <v>0</v>
      </c>
      <c r="DU70">
        <v>356.93</v>
      </c>
      <c r="DV70">
        <v>-71.274500000000003</v>
      </c>
      <c r="DW70">
        <v>747.23900000000003</v>
      </c>
      <c r="DX70">
        <v>816.02099999999996</v>
      </c>
      <c r="DY70">
        <v>5.1391099999999996</v>
      </c>
      <c r="DZ70">
        <v>800.03</v>
      </c>
      <c r="EA70">
        <v>19.596499999999999</v>
      </c>
      <c r="EB70">
        <v>2.4649299999999998</v>
      </c>
      <c r="EC70">
        <v>1.9528099999999999</v>
      </c>
      <c r="ED70">
        <v>20.796800000000001</v>
      </c>
      <c r="EE70">
        <v>17.066800000000001</v>
      </c>
      <c r="EF70">
        <v>1799.88</v>
      </c>
      <c r="EG70">
        <v>0.97799800000000003</v>
      </c>
      <c r="EH70">
        <v>2.2002500000000001E-2</v>
      </c>
      <c r="EI70">
        <v>0</v>
      </c>
      <c r="EJ70">
        <v>780.86</v>
      </c>
      <c r="EK70">
        <v>4.9990399999999999</v>
      </c>
      <c r="EL70">
        <v>14658.7</v>
      </c>
      <c r="EM70">
        <v>14819.7</v>
      </c>
      <c r="EN70">
        <v>48.311999999999998</v>
      </c>
      <c r="EO70">
        <v>49.75</v>
      </c>
      <c r="EP70">
        <v>49.25</v>
      </c>
      <c r="EQ70">
        <v>48.061999999999998</v>
      </c>
      <c r="ER70">
        <v>49.186999999999998</v>
      </c>
      <c r="ES70">
        <v>1755.39</v>
      </c>
      <c r="ET70">
        <v>39.49</v>
      </c>
      <c r="EU70">
        <v>0</v>
      </c>
      <c r="EV70">
        <v>115.2000000476837</v>
      </c>
      <c r="EW70">
        <v>0</v>
      </c>
      <c r="EX70">
        <v>780.78603846153851</v>
      </c>
      <c r="EY70">
        <v>-0.1228375893590338</v>
      </c>
      <c r="EZ70">
        <v>-11.05299157831826</v>
      </c>
      <c r="FA70">
        <v>14659.90384615384</v>
      </c>
      <c r="FB70">
        <v>15</v>
      </c>
      <c r="FC70">
        <v>1674585559.0999999</v>
      </c>
      <c r="FD70" t="s">
        <v>695</v>
      </c>
      <c r="FE70">
        <v>1674585559.0999999</v>
      </c>
      <c r="FF70">
        <v>1674585552.5999999</v>
      </c>
      <c r="FG70">
        <v>63</v>
      </c>
      <c r="FH70">
        <v>0.39900000000000002</v>
      </c>
      <c r="FI70">
        <v>6.0000000000000001E-3</v>
      </c>
      <c r="FJ70">
        <v>3.5910000000000002</v>
      </c>
      <c r="FK70">
        <v>0.105</v>
      </c>
      <c r="FL70">
        <v>800</v>
      </c>
      <c r="FM70">
        <v>19</v>
      </c>
      <c r="FN70">
        <v>7.0000000000000007E-2</v>
      </c>
      <c r="FO70">
        <v>0.02</v>
      </c>
      <c r="FP70">
        <v>56.13306266635059</v>
      </c>
      <c r="FQ70">
        <v>-0.55259952499171672</v>
      </c>
      <c r="FR70">
        <v>0.1236312078938526</v>
      </c>
      <c r="FS70">
        <v>1</v>
      </c>
      <c r="FT70">
        <v>0.36574011145037749</v>
      </c>
      <c r="FU70">
        <v>3.8491610887912482E-2</v>
      </c>
      <c r="FV70">
        <v>6.3461999125235232E-3</v>
      </c>
      <c r="FW70">
        <v>1</v>
      </c>
      <c r="FX70">
        <v>2</v>
      </c>
      <c r="FY70">
        <v>2</v>
      </c>
      <c r="FZ70" t="s">
        <v>420</v>
      </c>
      <c r="GA70">
        <v>2.9333399999999998</v>
      </c>
      <c r="GB70">
        <v>2.8333599999999999</v>
      </c>
      <c r="GC70">
        <v>0.13886899999999999</v>
      </c>
      <c r="GD70">
        <v>0.14555000000000001</v>
      </c>
      <c r="GE70">
        <v>0.121794</v>
      </c>
      <c r="GF70">
        <v>0.10005799999999999</v>
      </c>
      <c r="GG70">
        <v>22269.5</v>
      </c>
      <c r="GH70">
        <v>27905.8</v>
      </c>
      <c r="GI70">
        <v>23267</v>
      </c>
      <c r="GJ70">
        <v>29921.4</v>
      </c>
      <c r="GK70">
        <v>27797.3</v>
      </c>
      <c r="GL70">
        <v>38289.199999999997</v>
      </c>
      <c r="GM70">
        <v>32837</v>
      </c>
      <c r="GN70">
        <v>44390.3</v>
      </c>
      <c r="GO70">
        <v>1.96732</v>
      </c>
      <c r="GP70">
        <v>1.83368</v>
      </c>
      <c r="GQ70">
        <v>7.2620799999999999E-2</v>
      </c>
      <c r="GR70">
        <v>0</v>
      </c>
      <c r="GS70">
        <v>26.445399999999999</v>
      </c>
      <c r="GT70">
        <v>999.9</v>
      </c>
      <c r="GU70">
        <v>47.2</v>
      </c>
      <c r="GV70">
        <v>36.6</v>
      </c>
      <c r="GW70">
        <v>29.2178</v>
      </c>
      <c r="GX70">
        <v>61.2209</v>
      </c>
      <c r="GY70">
        <v>37.167499999999997</v>
      </c>
      <c r="GZ70">
        <v>1</v>
      </c>
      <c r="HA70">
        <v>0.33288099999999998</v>
      </c>
      <c r="HB70">
        <v>1.9657</v>
      </c>
      <c r="HC70">
        <v>20.260000000000002</v>
      </c>
      <c r="HD70">
        <v>5.2108499999999998</v>
      </c>
      <c r="HE70">
        <v>11.872199999999999</v>
      </c>
      <c r="HF70">
        <v>4.9851999999999999</v>
      </c>
      <c r="HG70">
        <v>3.2839999999999998</v>
      </c>
      <c r="HH70">
        <v>9999</v>
      </c>
      <c r="HI70">
        <v>9999</v>
      </c>
      <c r="HJ70">
        <v>9999</v>
      </c>
      <c r="HK70">
        <v>999.9</v>
      </c>
      <c r="HL70">
        <v>1.8547100000000001</v>
      </c>
      <c r="HM70">
        <v>1.8607400000000001</v>
      </c>
      <c r="HN70">
        <v>1.8580700000000001</v>
      </c>
      <c r="HO70">
        <v>1.85928</v>
      </c>
      <c r="HP70">
        <v>1.85867</v>
      </c>
      <c r="HQ70">
        <v>1.8592</v>
      </c>
      <c r="HR70">
        <v>1.85755</v>
      </c>
      <c r="HS70">
        <v>1.8609</v>
      </c>
      <c r="HT70">
        <v>5</v>
      </c>
      <c r="HU70">
        <v>0</v>
      </c>
      <c r="HV70">
        <v>0</v>
      </c>
      <c r="HW70">
        <v>0</v>
      </c>
      <c r="HX70" t="s">
        <v>421</v>
      </c>
      <c r="HY70" t="s">
        <v>422</v>
      </c>
      <c r="HZ70" t="s">
        <v>423</v>
      </c>
      <c r="IA70" t="s">
        <v>423</v>
      </c>
      <c r="IB70" t="s">
        <v>423</v>
      </c>
      <c r="IC70" t="s">
        <v>423</v>
      </c>
      <c r="ID70">
        <v>0</v>
      </c>
      <c r="IE70">
        <v>100</v>
      </c>
      <c r="IF70">
        <v>100</v>
      </c>
      <c r="IG70">
        <v>3.4889999999999999</v>
      </c>
      <c r="IH70">
        <v>0.13300000000000001</v>
      </c>
      <c r="II70">
        <v>2.3317136095653921</v>
      </c>
      <c r="IJ70">
        <v>1.6187016317407189E-3</v>
      </c>
      <c r="IK70">
        <v>1.4341569744255341E-7</v>
      </c>
      <c r="IL70">
        <v>-2.4096625942085749E-10</v>
      </c>
      <c r="IM70">
        <v>0.13301702106320831</v>
      </c>
      <c r="IN70">
        <v>0</v>
      </c>
      <c r="IO70">
        <v>0</v>
      </c>
      <c r="IP70">
        <v>0</v>
      </c>
      <c r="IQ70">
        <v>4</v>
      </c>
      <c r="IR70">
        <v>2205</v>
      </c>
      <c r="IS70">
        <v>1</v>
      </c>
      <c r="IT70">
        <v>21</v>
      </c>
      <c r="IU70">
        <v>0.5</v>
      </c>
      <c r="IV70">
        <v>0.6</v>
      </c>
      <c r="IW70">
        <v>1.7492700000000001</v>
      </c>
      <c r="IX70">
        <v>2.4523899999999998</v>
      </c>
      <c r="IY70">
        <v>1.49414</v>
      </c>
      <c r="IZ70">
        <v>2.3046899999999999</v>
      </c>
      <c r="JA70">
        <v>1.69434</v>
      </c>
      <c r="JB70">
        <v>2.3999000000000001</v>
      </c>
      <c r="JC70">
        <v>40.4</v>
      </c>
      <c r="JD70">
        <v>23.9999</v>
      </c>
      <c r="JE70">
        <v>18</v>
      </c>
      <c r="JF70">
        <v>509.71899999999999</v>
      </c>
      <c r="JG70">
        <v>445.58199999999999</v>
      </c>
      <c r="JH70">
        <v>24.7651</v>
      </c>
      <c r="JI70">
        <v>31.523499999999999</v>
      </c>
      <c r="JJ70">
        <v>29.9999</v>
      </c>
      <c r="JK70">
        <v>31.516100000000002</v>
      </c>
      <c r="JL70">
        <v>31.497399999999999</v>
      </c>
      <c r="JM70">
        <v>35.063899999999997</v>
      </c>
      <c r="JN70">
        <v>38.695099999999996</v>
      </c>
      <c r="JO70">
        <v>0</v>
      </c>
      <c r="JP70">
        <v>24.7624</v>
      </c>
      <c r="JQ70">
        <v>800</v>
      </c>
      <c r="JR70">
        <v>19.634399999999999</v>
      </c>
      <c r="JS70">
        <v>98.923299999999998</v>
      </c>
      <c r="JT70">
        <v>99.691100000000006</v>
      </c>
    </row>
    <row r="71" spans="1:280" x14ac:dyDescent="0.25">
      <c r="A71">
        <v>55</v>
      </c>
      <c r="B71">
        <v>1674585702</v>
      </c>
      <c r="C71">
        <v>11649.400000095369</v>
      </c>
      <c r="D71" t="s">
        <v>696</v>
      </c>
      <c r="E71" t="s">
        <v>697</v>
      </c>
      <c r="F71" t="s">
        <v>412</v>
      </c>
      <c r="G71" t="s">
        <v>31</v>
      </c>
      <c r="H71" t="s">
        <v>636</v>
      </c>
      <c r="I71">
        <v>1674585702</v>
      </c>
      <c r="J71">
        <f t="shared" si="46"/>
        <v>3.9588600167481313E-3</v>
      </c>
      <c r="K71">
        <f t="shared" si="47"/>
        <v>3.9588600167481314</v>
      </c>
      <c r="L71">
        <f t="shared" si="48"/>
        <v>56.131239625919505</v>
      </c>
      <c r="M71">
        <f t="shared" si="49"/>
        <v>1127.32</v>
      </c>
      <c r="N71">
        <f t="shared" si="50"/>
        <v>815.02463271643489</v>
      </c>
      <c r="O71">
        <f t="shared" si="51"/>
        <v>81.299071510977669</v>
      </c>
      <c r="P71">
        <f t="shared" si="52"/>
        <v>112.45067402477198</v>
      </c>
      <c r="Q71">
        <f t="shared" si="53"/>
        <v>0.32337692790403838</v>
      </c>
      <c r="R71">
        <f t="shared" si="54"/>
        <v>2.9242873636319375</v>
      </c>
      <c r="S71">
        <f t="shared" si="55"/>
        <v>0.30474273543877134</v>
      </c>
      <c r="T71">
        <f t="shared" si="56"/>
        <v>0.19204887795874456</v>
      </c>
      <c r="U71">
        <f t="shared" si="57"/>
        <v>344.35610126372984</v>
      </c>
      <c r="V71">
        <f t="shared" si="58"/>
        <v>28.997455588993532</v>
      </c>
      <c r="W71">
        <f t="shared" si="59"/>
        <v>27.668700000000001</v>
      </c>
      <c r="X71">
        <f t="shared" si="60"/>
        <v>3.7221620432665983</v>
      </c>
      <c r="Y71">
        <f t="shared" si="61"/>
        <v>65.014478984685383</v>
      </c>
      <c r="Z71">
        <f t="shared" si="62"/>
        <v>2.4665193303969901</v>
      </c>
      <c r="AA71">
        <f t="shared" si="63"/>
        <v>3.7938000410308539</v>
      </c>
      <c r="AB71">
        <f t="shared" si="64"/>
        <v>1.2556427128696082</v>
      </c>
      <c r="AC71">
        <f t="shared" si="65"/>
        <v>-174.5857267385926</v>
      </c>
      <c r="AD71">
        <f t="shared" si="66"/>
        <v>51.489855301697496</v>
      </c>
      <c r="AE71">
        <f t="shared" si="67"/>
        <v>3.8316431247384988</v>
      </c>
      <c r="AF71">
        <f t="shared" si="68"/>
        <v>225.09187295157324</v>
      </c>
      <c r="AG71">
        <v>0</v>
      </c>
      <c r="AH71">
        <v>0</v>
      </c>
      <c r="AI71">
        <f t="shared" si="69"/>
        <v>1</v>
      </c>
      <c r="AJ71">
        <f t="shared" si="70"/>
        <v>0</v>
      </c>
      <c r="AK71">
        <f t="shared" si="71"/>
        <v>52543.311996533368</v>
      </c>
      <c r="AL71" t="s">
        <v>415</v>
      </c>
      <c r="AM71">
        <v>10214.9</v>
      </c>
      <c r="AN71">
        <v>729.4384</v>
      </c>
      <c r="AO71">
        <v>3170.19</v>
      </c>
      <c r="AP71">
        <f t="shared" si="72"/>
        <v>0.76990704027203416</v>
      </c>
      <c r="AQ71">
        <v>-0.45549566560547827</v>
      </c>
      <c r="AR71" t="s">
        <v>698</v>
      </c>
      <c r="AS71">
        <v>10097.6</v>
      </c>
      <c r="AT71">
        <v>781.07864000000006</v>
      </c>
      <c r="AU71">
        <v>1197.2994600775151</v>
      </c>
      <c r="AV71">
        <f t="shared" si="73"/>
        <v>0.34763301409203695</v>
      </c>
      <c r="AW71">
        <v>0.5</v>
      </c>
      <c r="AX71">
        <f t="shared" si="74"/>
        <v>1513.1259006318649</v>
      </c>
      <c r="AY71">
        <f t="shared" si="75"/>
        <v>56.131239625919505</v>
      </c>
      <c r="AZ71">
        <f t="shared" si="76"/>
        <v>263.00625876869157</v>
      </c>
      <c r="BA71">
        <f t="shared" si="77"/>
        <v>3.7397241873855291E-2</v>
      </c>
      <c r="BB71">
        <f t="shared" si="78"/>
        <v>1.6477837046671322</v>
      </c>
      <c r="BC71">
        <f t="shared" si="79"/>
        <v>528.90684489025432</v>
      </c>
      <c r="BD71" t="s">
        <v>699</v>
      </c>
      <c r="BE71">
        <v>587.83000000000004</v>
      </c>
      <c r="BF71">
        <f t="shared" si="80"/>
        <v>587.83000000000004</v>
      </c>
      <c r="BG71">
        <f t="shared" si="81"/>
        <v>0.50903677851659346</v>
      </c>
      <c r="BH71">
        <f t="shared" si="82"/>
        <v>0.68292317719181239</v>
      </c>
      <c r="BI71">
        <f t="shared" si="83"/>
        <v>0.76398741458297248</v>
      </c>
      <c r="BJ71">
        <f t="shared" si="84"/>
        <v>0.88962483864024866</v>
      </c>
      <c r="BK71">
        <f t="shared" si="85"/>
        <v>0.80831270987284609</v>
      </c>
      <c r="BL71">
        <f t="shared" si="86"/>
        <v>0.51395942827045316</v>
      </c>
      <c r="BM71">
        <f t="shared" si="87"/>
        <v>0.48604057172954684</v>
      </c>
      <c r="BN71">
        <v>9166</v>
      </c>
      <c r="BO71">
        <v>290.00000000000011</v>
      </c>
      <c r="BP71">
        <v>1085.3399999999999</v>
      </c>
      <c r="BQ71">
        <v>155</v>
      </c>
      <c r="BR71">
        <v>10097.6</v>
      </c>
      <c r="BS71">
        <v>1083.02</v>
      </c>
      <c r="BT71">
        <v>2.3199999999999998</v>
      </c>
      <c r="BU71">
        <v>300.00000000000011</v>
      </c>
      <c r="BV71">
        <v>24.2</v>
      </c>
      <c r="BW71">
        <v>1197.2994600775151</v>
      </c>
      <c r="BX71">
        <v>1.9294712293711851</v>
      </c>
      <c r="BY71">
        <v>-115.39079910684509</v>
      </c>
      <c r="BZ71">
        <v>1.7323873980188209</v>
      </c>
      <c r="CA71">
        <v>0.99372847101168171</v>
      </c>
      <c r="CB71">
        <v>-6.8913895439377086E-3</v>
      </c>
      <c r="CC71">
        <v>289.99999999999989</v>
      </c>
      <c r="CD71">
        <v>1078.1600000000001</v>
      </c>
      <c r="CE71">
        <v>655</v>
      </c>
      <c r="CF71">
        <v>10065.1</v>
      </c>
      <c r="CG71">
        <v>1082.6500000000001</v>
      </c>
      <c r="CH71">
        <v>-4.49</v>
      </c>
      <c r="CV71">
        <f t="shared" si="88"/>
        <v>1799.93</v>
      </c>
      <c r="CW71">
        <f t="shared" si="89"/>
        <v>1513.1259006318649</v>
      </c>
      <c r="CX71">
        <f t="shared" si="90"/>
        <v>0.84065819261408214</v>
      </c>
      <c r="CY71">
        <f t="shared" si="91"/>
        <v>0.19131638522816433</v>
      </c>
      <c r="CZ71">
        <v>6</v>
      </c>
      <c r="DA71">
        <v>0.5</v>
      </c>
      <c r="DB71" t="s">
        <v>418</v>
      </c>
      <c r="DC71">
        <v>2</v>
      </c>
      <c r="DD71">
        <v>1674585702</v>
      </c>
      <c r="DE71">
        <v>1127.32</v>
      </c>
      <c r="DF71">
        <v>1200.01</v>
      </c>
      <c r="DG71">
        <v>24.726900000000001</v>
      </c>
      <c r="DH71">
        <v>20.095199999999998</v>
      </c>
      <c r="DI71">
        <v>1123.1300000000001</v>
      </c>
      <c r="DJ71">
        <v>24.587800000000001</v>
      </c>
      <c r="DK71">
        <v>500.15800000000002</v>
      </c>
      <c r="DL71">
        <v>99.650499999999994</v>
      </c>
      <c r="DM71">
        <v>9.9947099999999997E-2</v>
      </c>
      <c r="DN71">
        <v>27.9953</v>
      </c>
      <c r="DO71">
        <v>27.668700000000001</v>
      </c>
      <c r="DP71">
        <v>999.9</v>
      </c>
      <c r="DQ71">
        <v>0</v>
      </c>
      <c r="DR71">
        <v>0</v>
      </c>
      <c r="DS71">
        <v>10005</v>
      </c>
      <c r="DT71">
        <v>0</v>
      </c>
      <c r="DU71">
        <v>372.62</v>
      </c>
      <c r="DV71">
        <v>-72.683999999999997</v>
      </c>
      <c r="DW71">
        <v>1155.9000000000001</v>
      </c>
      <c r="DX71">
        <v>1224.6099999999999</v>
      </c>
      <c r="DY71">
        <v>4.6316899999999999</v>
      </c>
      <c r="DZ71">
        <v>1200.01</v>
      </c>
      <c r="EA71">
        <v>20.095199999999998</v>
      </c>
      <c r="EB71">
        <v>2.4640499999999999</v>
      </c>
      <c r="EC71">
        <v>2.0024999999999999</v>
      </c>
      <c r="ED71">
        <v>20.791</v>
      </c>
      <c r="EE71">
        <v>17.464099999999998</v>
      </c>
      <c r="EF71">
        <v>1799.93</v>
      </c>
      <c r="EG71">
        <v>0.97799800000000003</v>
      </c>
      <c r="EH71">
        <v>2.2002500000000001E-2</v>
      </c>
      <c r="EI71">
        <v>0</v>
      </c>
      <c r="EJ71">
        <v>781.43499999999995</v>
      </c>
      <c r="EK71">
        <v>4.9990399999999999</v>
      </c>
      <c r="EL71">
        <v>14679.9</v>
      </c>
      <c r="EM71">
        <v>14820.1</v>
      </c>
      <c r="EN71">
        <v>48.25</v>
      </c>
      <c r="EO71">
        <v>49.686999999999998</v>
      </c>
      <c r="EP71">
        <v>49.25</v>
      </c>
      <c r="EQ71">
        <v>48.061999999999998</v>
      </c>
      <c r="ER71">
        <v>49.186999999999998</v>
      </c>
      <c r="ES71">
        <v>1755.44</v>
      </c>
      <c r="ET71">
        <v>39.49</v>
      </c>
      <c r="EU71">
        <v>0</v>
      </c>
      <c r="EV71">
        <v>108.6000001430511</v>
      </c>
      <c r="EW71">
        <v>0</v>
      </c>
      <c r="EX71">
        <v>781.07864000000006</v>
      </c>
      <c r="EY71">
        <v>0.4261538332257136</v>
      </c>
      <c r="EZ71">
        <v>17.823076997049618</v>
      </c>
      <c r="FA71">
        <v>14678.951999999999</v>
      </c>
      <c r="FB71">
        <v>15</v>
      </c>
      <c r="FC71">
        <v>1674585669</v>
      </c>
      <c r="FD71" t="s">
        <v>700</v>
      </c>
      <c r="FE71">
        <v>1674585669</v>
      </c>
      <c r="FF71">
        <v>1674585664</v>
      </c>
      <c r="FG71">
        <v>64</v>
      </c>
      <c r="FH71">
        <v>0.20599999999999999</v>
      </c>
      <c r="FI71">
        <v>6.0000000000000001E-3</v>
      </c>
      <c r="FJ71">
        <v>4.2670000000000003</v>
      </c>
      <c r="FK71">
        <v>0.12</v>
      </c>
      <c r="FL71">
        <v>1200</v>
      </c>
      <c r="FM71">
        <v>20</v>
      </c>
      <c r="FN71">
        <v>0.05</v>
      </c>
      <c r="FO71">
        <v>0.02</v>
      </c>
      <c r="FP71">
        <v>56.153406211123652</v>
      </c>
      <c r="FQ71">
        <v>-0.31397993789222223</v>
      </c>
      <c r="FR71">
        <v>0.12098053200867161</v>
      </c>
      <c r="FS71">
        <v>1</v>
      </c>
      <c r="FT71">
        <v>0.32653125194957128</v>
      </c>
      <c r="FU71">
        <v>1.0391679122528101E-3</v>
      </c>
      <c r="FV71">
        <v>2.5582019427671022E-3</v>
      </c>
      <c r="FW71">
        <v>1</v>
      </c>
      <c r="FX71">
        <v>2</v>
      </c>
      <c r="FY71">
        <v>2</v>
      </c>
      <c r="FZ71" t="s">
        <v>420</v>
      </c>
      <c r="GA71">
        <v>2.9337200000000001</v>
      </c>
      <c r="GB71">
        <v>2.83345</v>
      </c>
      <c r="GC71">
        <v>0.184478</v>
      </c>
      <c r="GD71">
        <v>0.188861</v>
      </c>
      <c r="GE71">
        <v>0.121764</v>
      </c>
      <c r="GF71">
        <v>0.101857</v>
      </c>
      <c r="GG71">
        <v>21092.5</v>
      </c>
      <c r="GH71">
        <v>26492.6</v>
      </c>
      <c r="GI71">
        <v>23270.1</v>
      </c>
      <c r="GJ71">
        <v>29923.599999999999</v>
      </c>
      <c r="GK71">
        <v>27802.5</v>
      </c>
      <c r="GL71">
        <v>38214.5</v>
      </c>
      <c r="GM71">
        <v>32841.1</v>
      </c>
      <c r="GN71">
        <v>44392.5</v>
      </c>
      <c r="GO71">
        <v>1.96777</v>
      </c>
      <c r="GP71">
        <v>1.83755</v>
      </c>
      <c r="GQ71">
        <v>7.6081599999999999E-2</v>
      </c>
      <c r="GR71">
        <v>0</v>
      </c>
      <c r="GS71">
        <v>26.424499999999998</v>
      </c>
      <c r="GT71">
        <v>999.9</v>
      </c>
      <c r="GU71">
        <v>47.1</v>
      </c>
      <c r="GV71">
        <v>36.6</v>
      </c>
      <c r="GW71">
        <v>29.154699999999998</v>
      </c>
      <c r="GX71">
        <v>61.491</v>
      </c>
      <c r="GY71">
        <v>36.454300000000003</v>
      </c>
      <c r="GZ71">
        <v>1</v>
      </c>
      <c r="HA71">
        <v>0.32554100000000002</v>
      </c>
      <c r="HB71">
        <v>1.89889</v>
      </c>
      <c r="HC71">
        <v>20.261199999999999</v>
      </c>
      <c r="HD71">
        <v>5.2103999999999999</v>
      </c>
      <c r="HE71">
        <v>11.872199999999999</v>
      </c>
      <c r="HF71">
        <v>4.9850000000000003</v>
      </c>
      <c r="HG71">
        <v>3.2839999999999998</v>
      </c>
      <c r="HH71">
        <v>9999</v>
      </c>
      <c r="HI71">
        <v>9999</v>
      </c>
      <c r="HJ71">
        <v>9999</v>
      </c>
      <c r="HK71">
        <v>999.9</v>
      </c>
      <c r="HL71">
        <v>1.8546400000000001</v>
      </c>
      <c r="HM71">
        <v>1.8607499999999999</v>
      </c>
      <c r="HN71">
        <v>1.85806</v>
      </c>
      <c r="HO71">
        <v>1.85928</v>
      </c>
      <c r="HP71">
        <v>1.85867</v>
      </c>
      <c r="HQ71">
        <v>1.8592200000000001</v>
      </c>
      <c r="HR71">
        <v>1.85754</v>
      </c>
      <c r="HS71">
        <v>1.86086</v>
      </c>
      <c r="HT71">
        <v>5</v>
      </c>
      <c r="HU71">
        <v>0</v>
      </c>
      <c r="HV71">
        <v>0</v>
      </c>
      <c r="HW71">
        <v>0</v>
      </c>
      <c r="HX71" t="s">
        <v>421</v>
      </c>
      <c r="HY71" t="s">
        <v>422</v>
      </c>
      <c r="HZ71" t="s">
        <v>423</v>
      </c>
      <c r="IA71" t="s">
        <v>423</v>
      </c>
      <c r="IB71" t="s">
        <v>423</v>
      </c>
      <c r="IC71" t="s">
        <v>423</v>
      </c>
      <c r="ID71">
        <v>0</v>
      </c>
      <c r="IE71">
        <v>100</v>
      </c>
      <c r="IF71">
        <v>100</v>
      </c>
      <c r="IG71">
        <v>4.1900000000000004</v>
      </c>
      <c r="IH71">
        <v>0.1391</v>
      </c>
      <c r="II71">
        <v>2.5380268285565242</v>
      </c>
      <c r="IJ71">
        <v>1.6187016317407189E-3</v>
      </c>
      <c r="IK71">
        <v>1.4341569744255341E-7</v>
      </c>
      <c r="IL71">
        <v>-2.4096625942085749E-10</v>
      </c>
      <c r="IM71">
        <v>0.13909491496196649</v>
      </c>
      <c r="IN71">
        <v>0</v>
      </c>
      <c r="IO71">
        <v>0</v>
      </c>
      <c r="IP71">
        <v>0</v>
      </c>
      <c r="IQ71">
        <v>4</v>
      </c>
      <c r="IR71">
        <v>2205</v>
      </c>
      <c r="IS71">
        <v>1</v>
      </c>
      <c r="IT71">
        <v>21</v>
      </c>
      <c r="IU71">
        <v>0.6</v>
      </c>
      <c r="IV71">
        <v>0.6</v>
      </c>
      <c r="IW71">
        <v>2.4462899999999999</v>
      </c>
      <c r="IX71">
        <v>2.4328599999999998</v>
      </c>
      <c r="IY71">
        <v>1.49414</v>
      </c>
      <c r="IZ71">
        <v>2.3046899999999999</v>
      </c>
      <c r="JA71">
        <v>1.69434</v>
      </c>
      <c r="JB71">
        <v>2.3999000000000001</v>
      </c>
      <c r="JC71">
        <v>40.3491</v>
      </c>
      <c r="JD71">
        <v>23.9999</v>
      </c>
      <c r="JE71">
        <v>18</v>
      </c>
      <c r="JF71">
        <v>509.37700000000001</v>
      </c>
      <c r="JG71">
        <v>447.65699999999998</v>
      </c>
      <c r="JH71">
        <v>24.744199999999999</v>
      </c>
      <c r="JI71">
        <v>31.443899999999999</v>
      </c>
      <c r="JJ71">
        <v>29.9998</v>
      </c>
      <c r="JK71">
        <v>31.4406</v>
      </c>
      <c r="JL71">
        <v>31.422599999999999</v>
      </c>
      <c r="JM71">
        <v>49.015599999999999</v>
      </c>
      <c r="JN71">
        <v>36.713799999999999</v>
      </c>
      <c r="JO71">
        <v>0</v>
      </c>
      <c r="JP71">
        <v>24.746400000000001</v>
      </c>
      <c r="JQ71">
        <v>1200</v>
      </c>
      <c r="JR71">
        <v>20.090699999999998</v>
      </c>
      <c r="JS71">
        <v>98.936199999999999</v>
      </c>
      <c r="JT71">
        <v>99.696899999999999</v>
      </c>
    </row>
    <row r="72" spans="1:280" x14ac:dyDescent="0.25">
      <c r="A72">
        <v>56</v>
      </c>
      <c r="B72">
        <v>1674585829.5</v>
      </c>
      <c r="C72">
        <v>11776.900000095369</v>
      </c>
      <c r="D72" t="s">
        <v>701</v>
      </c>
      <c r="E72" t="s">
        <v>702</v>
      </c>
      <c r="F72" t="s">
        <v>412</v>
      </c>
      <c r="G72" t="s">
        <v>31</v>
      </c>
      <c r="H72" t="s">
        <v>636</v>
      </c>
      <c r="I72">
        <v>1674585829.5</v>
      </c>
      <c r="J72">
        <f t="shared" si="46"/>
        <v>3.6469141469600646E-3</v>
      </c>
      <c r="K72">
        <f t="shared" si="47"/>
        <v>3.6469141469600648</v>
      </c>
      <c r="L72">
        <f t="shared" si="48"/>
        <v>55.573722059156331</v>
      </c>
      <c r="M72">
        <f t="shared" si="49"/>
        <v>1427.08</v>
      </c>
      <c r="N72">
        <f t="shared" si="50"/>
        <v>1084.4125350005561</v>
      </c>
      <c r="O72">
        <f t="shared" si="51"/>
        <v>108.16804779884136</v>
      </c>
      <c r="P72">
        <f t="shared" si="52"/>
        <v>142.34846303458801</v>
      </c>
      <c r="Q72">
        <f t="shared" si="53"/>
        <v>0.2942694929671586</v>
      </c>
      <c r="R72">
        <f t="shared" si="54"/>
        <v>2.9235811989512968</v>
      </c>
      <c r="S72">
        <f t="shared" si="55"/>
        <v>0.27874894032167247</v>
      </c>
      <c r="T72">
        <f t="shared" si="56"/>
        <v>0.1755443017830508</v>
      </c>
      <c r="U72">
        <f t="shared" si="57"/>
        <v>344.35800126372283</v>
      </c>
      <c r="V72">
        <f t="shared" si="58"/>
        <v>29.092106989070942</v>
      </c>
      <c r="W72">
        <f t="shared" si="59"/>
        <v>27.7258</v>
      </c>
      <c r="X72">
        <f t="shared" si="60"/>
        <v>3.7346008076978192</v>
      </c>
      <c r="Y72">
        <f t="shared" si="61"/>
        <v>65.060647857303834</v>
      </c>
      <c r="Z72">
        <f t="shared" si="62"/>
        <v>2.4701709598865098</v>
      </c>
      <c r="AA72">
        <f t="shared" si="63"/>
        <v>3.7967205080777622</v>
      </c>
      <c r="AB72">
        <f t="shared" si="64"/>
        <v>1.2644298478113094</v>
      </c>
      <c r="AC72">
        <f t="shared" si="65"/>
        <v>-160.82891388093884</v>
      </c>
      <c r="AD72">
        <f t="shared" si="66"/>
        <v>44.558074183315988</v>
      </c>
      <c r="AE72">
        <f t="shared" si="67"/>
        <v>3.3177745539726047</v>
      </c>
      <c r="AF72">
        <f t="shared" si="68"/>
        <v>231.40493612007256</v>
      </c>
      <c r="AG72">
        <v>0</v>
      </c>
      <c r="AH72">
        <v>0</v>
      </c>
      <c r="AI72">
        <f t="shared" si="69"/>
        <v>1</v>
      </c>
      <c r="AJ72">
        <f t="shared" si="70"/>
        <v>0</v>
      </c>
      <c r="AK72">
        <f t="shared" si="71"/>
        <v>52520.656971811011</v>
      </c>
      <c r="AL72" t="s">
        <v>415</v>
      </c>
      <c r="AM72">
        <v>10214.9</v>
      </c>
      <c r="AN72">
        <v>729.4384</v>
      </c>
      <c r="AO72">
        <v>3170.19</v>
      </c>
      <c r="AP72">
        <f t="shared" si="72"/>
        <v>0.76990704027203416</v>
      </c>
      <c r="AQ72">
        <v>-0.45549566560547827</v>
      </c>
      <c r="AR72" t="s">
        <v>703</v>
      </c>
      <c r="AS72">
        <v>10099.4</v>
      </c>
      <c r="AT72">
        <v>780.90776923076919</v>
      </c>
      <c r="AU72">
        <v>1198.011898572393</v>
      </c>
      <c r="AV72">
        <f t="shared" si="73"/>
        <v>0.34816359490140669</v>
      </c>
      <c r="AW72">
        <v>0.5</v>
      </c>
      <c r="AX72">
        <f t="shared" si="74"/>
        <v>1513.1343006318612</v>
      </c>
      <c r="AY72">
        <f t="shared" si="75"/>
        <v>55.573722059156331</v>
      </c>
      <c r="AZ72">
        <f t="shared" si="76"/>
        <v>263.40913883830734</v>
      </c>
      <c r="BA72">
        <f t="shared" si="77"/>
        <v>3.7028582130062666E-2</v>
      </c>
      <c r="BB72">
        <f t="shared" si="78"/>
        <v>1.6462091100912661</v>
      </c>
      <c r="BC72">
        <f t="shared" si="79"/>
        <v>529.04582605250232</v>
      </c>
      <c r="BD72" t="s">
        <v>704</v>
      </c>
      <c r="BE72">
        <v>587.6</v>
      </c>
      <c r="BF72">
        <f t="shared" si="80"/>
        <v>587.6</v>
      </c>
      <c r="BG72">
        <f t="shared" si="81"/>
        <v>0.50952073122127439</v>
      </c>
      <c r="BH72">
        <f t="shared" si="82"/>
        <v>0.68331585658328464</v>
      </c>
      <c r="BI72">
        <f t="shared" si="83"/>
        <v>0.76364351346036619</v>
      </c>
      <c r="BJ72">
        <f t="shared" si="84"/>
        <v>0.89015731920908592</v>
      </c>
      <c r="BK72">
        <f t="shared" si="85"/>
        <v>0.80802081679578008</v>
      </c>
      <c r="BL72">
        <f t="shared" si="86"/>
        <v>0.51416622186234695</v>
      </c>
      <c r="BM72">
        <f t="shared" si="87"/>
        <v>0.48583377813765305</v>
      </c>
      <c r="BN72">
        <v>9168</v>
      </c>
      <c r="BO72">
        <v>290.00000000000011</v>
      </c>
      <c r="BP72">
        <v>1085.93</v>
      </c>
      <c r="BQ72">
        <v>145</v>
      </c>
      <c r="BR72">
        <v>10099.4</v>
      </c>
      <c r="BS72">
        <v>1083.93</v>
      </c>
      <c r="BT72">
        <v>2</v>
      </c>
      <c r="BU72">
        <v>300.00000000000011</v>
      </c>
      <c r="BV72">
        <v>24.2</v>
      </c>
      <c r="BW72">
        <v>1198.011898572393</v>
      </c>
      <c r="BX72">
        <v>2.129499624561825</v>
      </c>
      <c r="BY72">
        <v>-115.2202960668488</v>
      </c>
      <c r="BZ72">
        <v>1.9120201011317901</v>
      </c>
      <c r="CA72">
        <v>0.9923484545417941</v>
      </c>
      <c r="CB72">
        <v>-6.8915150166852174E-3</v>
      </c>
      <c r="CC72">
        <v>289.99999999999989</v>
      </c>
      <c r="CD72">
        <v>1079.1199999999999</v>
      </c>
      <c r="CE72">
        <v>625</v>
      </c>
      <c r="CF72">
        <v>10067.1</v>
      </c>
      <c r="CG72">
        <v>1083.56</v>
      </c>
      <c r="CH72">
        <v>-4.4400000000000004</v>
      </c>
      <c r="CV72">
        <f t="shared" si="88"/>
        <v>1799.94</v>
      </c>
      <c r="CW72">
        <f t="shared" si="89"/>
        <v>1513.1343006318612</v>
      </c>
      <c r="CX72">
        <f t="shared" si="90"/>
        <v>0.84065818895733257</v>
      </c>
      <c r="CY72">
        <f t="shared" si="91"/>
        <v>0.19131637791466538</v>
      </c>
      <c r="CZ72">
        <v>6</v>
      </c>
      <c r="DA72">
        <v>0.5</v>
      </c>
      <c r="DB72" t="s">
        <v>418</v>
      </c>
      <c r="DC72">
        <v>2</v>
      </c>
      <c r="DD72">
        <v>1674585829.5</v>
      </c>
      <c r="DE72">
        <v>1427.08</v>
      </c>
      <c r="DF72">
        <v>1500.01</v>
      </c>
      <c r="DG72">
        <v>24.764099999999999</v>
      </c>
      <c r="DH72">
        <v>20.496400000000001</v>
      </c>
      <c r="DI72">
        <v>1422.64</v>
      </c>
      <c r="DJ72">
        <v>24.6248</v>
      </c>
      <c r="DK72">
        <v>500.02600000000001</v>
      </c>
      <c r="DL72">
        <v>99.648200000000003</v>
      </c>
      <c r="DM72">
        <v>9.9861099999999994E-2</v>
      </c>
      <c r="DN72">
        <v>28.008500000000002</v>
      </c>
      <c r="DO72">
        <v>27.7258</v>
      </c>
      <c r="DP72">
        <v>999.9</v>
      </c>
      <c r="DQ72">
        <v>0</v>
      </c>
      <c r="DR72">
        <v>0</v>
      </c>
      <c r="DS72">
        <v>10001.200000000001</v>
      </c>
      <c r="DT72">
        <v>0</v>
      </c>
      <c r="DU72">
        <v>381.298</v>
      </c>
      <c r="DV72">
        <v>-72.934200000000004</v>
      </c>
      <c r="DW72">
        <v>1463.31</v>
      </c>
      <c r="DX72">
        <v>1531.4</v>
      </c>
      <c r="DY72">
        <v>4.26769</v>
      </c>
      <c r="DZ72">
        <v>1500.01</v>
      </c>
      <c r="EA72">
        <v>20.496400000000001</v>
      </c>
      <c r="EB72">
        <v>2.4676999999999998</v>
      </c>
      <c r="EC72">
        <v>2.04243</v>
      </c>
      <c r="ED72">
        <v>20.815000000000001</v>
      </c>
      <c r="EE72">
        <v>17.777200000000001</v>
      </c>
      <c r="EF72">
        <v>1799.94</v>
      </c>
      <c r="EG72">
        <v>0.97799800000000003</v>
      </c>
      <c r="EH72">
        <v>2.2002500000000001E-2</v>
      </c>
      <c r="EI72">
        <v>0</v>
      </c>
      <c r="EJ72">
        <v>781.14599999999996</v>
      </c>
      <c r="EK72">
        <v>4.9990399999999999</v>
      </c>
      <c r="EL72">
        <v>14686.5</v>
      </c>
      <c r="EM72">
        <v>14820.2</v>
      </c>
      <c r="EN72">
        <v>48.186999999999998</v>
      </c>
      <c r="EO72">
        <v>49.686999999999998</v>
      </c>
      <c r="EP72">
        <v>49.186999999999998</v>
      </c>
      <c r="EQ72">
        <v>48</v>
      </c>
      <c r="ER72">
        <v>49.125</v>
      </c>
      <c r="ES72">
        <v>1755.45</v>
      </c>
      <c r="ET72">
        <v>39.49</v>
      </c>
      <c r="EU72">
        <v>0</v>
      </c>
      <c r="EV72">
        <v>125.5999999046326</v>
      </c>
      <c r="EW72">
        <v>0</v>
      </c>
      <c r="EX72">
        <v>780.90776923076919</v>
      </c>
      <c r="EY72">
        <v>1.3044786603037939</v>
      </c>
      <c r="EZ72">
        <v>2.611965877261119</v>
      </c>
      <c r="FA72">
        <v>14686.26923076923</v>
      </c>
      <c r="FB72">
        <v>15</v>
      </c>
      <c r="FC72">
        <v>1674585796</v>
      </c>
      <c r="FD72" t="s">
        <v>705</v>
      </c>
      <c r="FE72">
        <v>1674585669</v>
      </c>
      <c r="FF72">
        <v>1674585784.5</v>
      </c>
      <c r="FG72">
        <v>65</v>
      </c>
      <c r="FH72">
        <v>0.20599999999999999</v>
      </c>
      <c r="FI72">
        <v>0</v>
      </c>
      <c r="FJ72">
        <v>4.2670000000000003</v>
      </c>
      <c r="FK72">
        <v>0.127</v>
      </c>
      <c r="FL72">
        <v>1200</v>
      </c>
      <c r="FM72">
        <v>20</v>
      </c>
      <c r="FN72">
        <v>0.05</v>
      </c>
      <c r="FO72">
        <v>0.03</v>
      </c>
      <c r="FP72">
        <v>55.598478703740987</v>
      </c>
      <c r="FQ72">
        <v>-0.31406249438837908</v>
      </c>
      <c r="FR72">
        <v>0.1093387638185519</v>
      </c>
      <c r="FS72">
        <v>1</v>
      </c>
      <c r="FT72">
        <v>0.2918378354471346</v>
      </c>
      <c r="FU72">
        <v>2.7414559958081241E-2</v>
      </c>
      <c r="FV72">
        <v>3.0186410835808079E-3</v>
      </c>
      <c r="FW72">
        <v>1</v>
      </c>
      <c r="FX72">
        <v>2</v>
      </c>
      <c r="FY72">
        <v>2</v>
      </c>
      <c r="FZ72" t="s">
        <v>420</v>
      </c>
      <c r="GA72">
        <v>2.9334899999999999</v>
      </c>
      <c r="GB72">
        <v>2.8333300000000001</v>
      </c>
      <c r="GC72">
        <v>0.21312200000000001</v>
      </c>
      <c r="GD72">
        <v>0.216284</v>
      </c>
      <c r="GE72">
        <v>0.12191399999999999</v>
      </c>
      <c r="GF72">
        <v>0.103296</v>
      </c>
      <c r="GG72">
        <v>20354.5</v>
      </c>
      <c r="GH72">
        <v>25598.9</v>
      </c>
      <c r="GI72">
        <v>23273.9</v>
      </c>
      <c r="GJ72">
        <v>29926.400000000001</v>
      </c>
      <c r="GK72">
        <v>27802.9</v>
      </c>
      <c r="GL72">
        <v>38155.5</v>
      </c>
      <c r="GM72">
        <v>32847.1</v>
      </c>
      <c r="GN72">
        <v>44395.3</v>
      </c>
      <c r="GO72">
        <v>1.9685999999999999</v>
      </c>
      <c r="GP72">
        <v>1.84145</v>
      </c>
      <c r="GQ72">
        <v>7.8938900000000006E-2</v>
      </c>
      <c r="GR72">
        <v>0</v>
      </c>
      <c r="GS72">
        <v>26.434999999999999</v>
      </c>
      <c r="GT72">
        <v>999.9</v>
      </c>
      <c r="GU72">
        <v>47</v>
      </c>
      <c r="GV72">
        <v>36.6</v>
      </c>
      <c r="GW72">
        <v>29.096599999999999</v>
      </c>
      <c r="GX72">
        <v>61.180999999999997</v>
      </c>
      <c r="GY72">
        <v>37.303699999999999</v>
      </c>
      <c r="GZ72">
        <v>1</v>
      </c>
      <c r="HA72">
        <v>0.31817299999999998</v>
      </c>
      <c r="HB72">
        <v>1.97115</v>
      </c>
      <c r="HC72">
        <v>20.260200000000001</v>
      </c>
      <c r="HD72">
        <v>5.2088999999999999</v>
      </c>
      <c r="HE72">
        <v>11.872199999999999</v>
      </c>
      <c r="HF72">
        <v>4.9800000000000004</v>
      </c>
      <c r="HG72">
        <v>3.2839999999999998</v>
      </c>
      <c r="HH72">
        <v>9999</v>
      </c>
      <c r="HI72">
        <v>9999</v>
      </c>
      <c r="HJ72">
        <v>9999</v>
      </c>
      <c r="HK72">
        <v>999.9</v>
      </c>
      <c r="HL72">
        <v>1.8547100000000001</v>
      </c>
      <c r="HM72">
        <v>1.8608</v>
      </c>
      <c r="HN72">
        <v>1.85815</v>
      </c>
      <c r="HO72">
        <v>1.8593</v>
      </c>
      <c r="HP72">
        <v>1.85867</v>
      </c>
      <c r="HQ72">
        <v>1.8592599999999999</v>
      </c>
      <c r="HR72">
        <v>1.8575999999999999</v>
      </c>
      <c r="HS72">
        <v>1.8609599999999999</v>
      </c>
      <c r="HT72">
        <v>5</v>
      </c>
      <c r="HU72">
        <v>0</v>
      </c>
      <c r="HV72">
        <v>0</v>
      </c>
      <c r="HW72">
        <v>0</v>
      </c>
      <c r="HX72" t="s">
        <v>421</v>
      </c>
      <c r="HY72" t="s">
        <v>422</v>
      </c>
      <c r="HZ72" t="s">
        <v>423</v>
      </c>
      <c r="IA72" t="s">
        <v>423</v>
      </c>
      <c r="IB72" t="s">
        <v>423</v>
      </c>
      <c r="IC72" t="s">
        <v>423</v>
      </c>
      <c r="ID72">
        <v>0</v>
      </c>
      <c r="IE72">
        <v>100</v>
      </c>
      <c r="IF72">
        <v>100</v>
      </c>
      <c r="IG72">
        <v>4.4400000000000004</v>
      </c>
      <c r="IH72">
        <v>0.13930000000000001</v>
      </c>
      <c r="II72">
        <v>2.5380268285565242</v>
      </c>
      <c r="IJ72">
        <v>1.6187016317407189E-3</v>
      </c>
      <c r="IK72">
        <v>1.4341569744255341E-7</v>
      </c>
      <c r="IL72">
        <v>-2.4096625942085749E-10</v>
      </c>
      <c r="IM72">
        <v>0.13931084075952291</v>
      </c>
      <c r="IN72">
        <v>0</v>
      </c>
      <c r="IO72">
        <v>0</v>
      </c>
      <c r="IP72">
        <v>0</v>
      </c>
      <c r="IQ72">
        <v>4</v>
      </c>
      <c r="IR72">
        <v>2205</v>
      </c>
      <c r="IS72">
        <v>1</v>
      </c>
      <c r="IT72">
        <v>21</v>
      </c>
      <c r="IU72">
        <v>2.7</v>
      </c>
      <c r="IV72">
        <v>0.8</v>
      </c>
      <c r="IW72">
        <v>2.9394499999999999</v>
      </c>
      <c r="IX72">
        <v>2.4389599999999998</v>
      </c>
      <c r="IY72">
        <v>1.49414</v>
      </c>
      <c r="IZ72">
        <v>2.3046899999999999</v>
      </c>
      <c r="JA72">
        <v>1.69434</v>
      </c>
      <c r="JB72">
        <v>2.3925800000000002</v>
      </c>
      <c r="JC72">
        <v>40.247399999999999</v>
      </c>
      <c r="JD72">
        <v>23.9999</v>
      </c>
      <c r="JE72">
        <v>18</v>
      </c>
      <c r="JF72">
        <v>509.137</v>
      </c>
      <c r="JG72">
        <v>449.61900000000003</v>
      </c>
      <c r="JH72">
        <v>24.719000000000001</v>
      </c>
      <c r="JI72">
        <v>31.348099999999999</v>
      </c>
      <c r="JJ72">
        <v>29.9998</v>
      </c>
      <c r="JK72">
        <v>31.348199999999999</v>
      </c>
      <c r="JL72">
        <v>31.331600000000002</v>
      </c>
      <c r="JM72">
        <v>58.887099999999997</v>
      </c>
      <c r="JN72">
        <v>35.296300000000002</v>
      </c>
      <c r="JO72">
        <v>0</v>
      </c>
      <c r="JP72">
        <v>24.7133</v>
      </c>
      <c r="JQ72">
        <v>1500</v>
      </c>
      <c r="JR72">
        <v>20.557600000000001</v>
      </c>
      <c r="JS72">
        <v>98.953400000000002</v>
      </c>
      <c r="JT72">
        <v>99.704400000000007</v>
      </c>
    </row>
    <row r="73" spans="1:280" x14ac:dyDescent="0.25">
      <c r="A73">
        <v>57</v>
      </c>
      <c r="B73">
        <v>1674589441.5</v>
      </c>
      <c r="C73">
        <v>15388.900000095369</v>
      </c>
      <c r="D73" t="s">
        <v>706</v>
      </c>
      <c r="E73" t="s">
        <v>707</v>
      </c>
      <c r="F73" t="s">
        <v>412</v>
      </c>
      <c r="G73" t="s">
        <v>708</v>
      </c>
      <c r="H73" t="s">
        <v>414</v>
      </c>
      <c r="I73">
        <v>1674589441.5</v>
      </c>
      <c r="J73">
        <f t="shared" si="46"/>
        <v>5.4787783234422193E-3</v>
      </c>
      <c r="K73">
        <f t="shared" si="47"/>
        <v>5.4787783234422189</v>
      </c>
      <c r="L73">
        <f t="shared" si="48"/>
        <v>49.516318173567214</v>
      </c>
      <c r="M73">
        <f t="shared" si="49"/>
        <v>338.404</v>
      </c>
      <c r="N73">
        <f t="shared" si="50"/>
        <v>153.37102057058186</v>
      </c>
      <c r="O73">
        <f t="shared" si="51"/>
        <v>15.276152198764009</v>
      </c>
      <c r="P73">
        <f t="shared" si="52"/>
        <v>33.705917776634401</v>
      </c>
      <c r="Q73">
        <f t="shared" si="53"/>
        <v>0.47352922308342976</v>
      </c>
      <c r="R73">
        <f t="shared" si="54"/>
        <v>2.9221226225186632</v>
      </c>
      <c r="S73">
        <f t="shared" si="55"/>
        <v>0.43466065098420348</v>
      </c>
      <c r="T73">
        <f t="shared" si="56"/>
        <v>0.2748887333045707</v>
      </c>
      <c r="U73">
        <f t="shared" si="57"/>
        <v>344.341501264106</v>
      </c>
      <c r="V73">
        <f t="shared" si="58"/>
        <v>28.605117139822415</v>
      </c>
      <c r="W73">
        <f t="shared" si="59"/>
        <v>27.550699999999999</v>
      </c>
      <c r="X73">
        <f t="shared" si="60"/>
        <v>3.6965712142794329</v>
      </c>
      <c r="Y73">
        <f t="shared" si="61"/>
        <v>65.359303377688505</v>
      </c>
      <c r="Z73">
        <f t="shared" si="62"/>
        <v>2.48003498332098</v>
      </c>
      <c r="AA73">
        <f t="shared" si="63"/>
        <v>3.7944636113847894</v>
      </c>
      <c r="AB73">
        <f t="shared" si="64"/>
        <v>1.2165362309584529</v>
      </c>
      <c r="AC73">
        <f t="shared" si="65"/>
        <v>-241.61412406380188</v>
      </c>
      <c r="AD73">
        <f t="shared" si="66"/>
        <v>70.513773731771451</v>
      </c>
      <c r="AE73">
        <f t="shared" si="67"/>
        <v>5.2481955660857356</v>
      </c>
      <c r="AF73">
        <f t="shared" si="68"/>
        <v>178.4893464981613</v>
      </c>
      <c r="AG73">
        <v>0</v>
      </c>
      <c r="AH73">
        <v>0</v>
      </c>
      <c r="AI73">
        <f t="shared" si="69"/>
        <v>1</v>
      </c>
      <c r="AJ73">
        <f t="shared" si="70"/>
        <v>0</v>
      </c>
      <c r="AK73">
        <f t="shared" si="71"/>
        <v>52477.376753467222</v>
      </c>
      <c r="AL73" t="s">
        <v>415</v>
      </c>
      <c r="AM73">
        <v>10214.9</v>
      </c>
      <c r="AN73">
        <v>729.4384</v>
      </c>
      <c r="AO73">
        <v>3170.19</v>
      </c>
      <c r="AP73">
        <f t="shared" si="72"/>
        <v>0.76990704027203416</v>
      </c>
      <c r="AQ73">
        <v>-0.45549566560547827</v>
      </c>
      <c r="AR73" t="s">
        <v>709</v>
      </c>
      <c r="AS73">
        <v>10122.799999999999</v>
      </c>
      <c r="AT73">
        <v>793.0700384615385</v>
      </c>
      <c r="AU73">
        <v>1155.9484829215039</v>
      </c>
      <c r="AV73">
        <f t="shared" si="73"/>
        <v>0.31392267892669323</v>
      </c>
      <c r="AW73">
        <v>0.5</v>
      </c>
      <c r="AX73">
        <f t="shared" si="74"/>
        <v>1513.0590006320529</v>
      </c>
      <c r="AY73">
        <f t="shared" si="75"/>
        <v>49.516318173567214</v>
      </c>
      <c r="AZ73">
        <f t="shared" si="76"/>
        <v>237.49176742627964</v>
      </c>
      <c r="BA73">
        <f t="shared" si="77"/>
        <v>3.3027009401680879E-2</v>
      </c>
      <c r="BB73">
        <f t="shared" si="78"/>
        <v>1.7425011121497147</v>
      </c>
      <c r="BC73">
        <f t="shared" si="79"/>
        <v>520.67885705203309</v>
      </c>
      <c r="BD73" t="s">
        <v>710</v>
      </c>
      <c r="BE73">
        <v>590.46</v>
      </c>
      <c r="BF73">
        <f t="shared" si="80"/>
        <v>590.46</v>
      </c>
      <c r="BG73">
        <f t="shared" si="81"/>
        <v>0.48919868945396938</v>
      </c>
      <c r="BH73">
        <f t="shared" si="82"/>
        <v>0.64170793114160907</v>
      </c>
      <c r="BI73">
        <f t="shared" si="83"/>
        <v>0.78079547746411293</v>
      </c>
      <c r="BJ73">
        <f t="shared" si="84"/>
        <v>0.85080859513173701</v>
      </c>
      <c r="BK73">
        <f t="shared" si="85"/>
        <v>0.8252546129964623</v>
      </c>
      <c r="BL73">
        <f t="shared" si="86"/>
        <v>0.47776721682349893</v>
      </c>
      <c r="BM73">
        <f t="shared" si="87"/>
        <v>0.52223278317650101</v>
      </c>
      <c r="BN73">
        <v>9170</v>
      </c>
      <c r="BO73">
        <v>290.00000000000011</v>
      </c>
      <c r="BP73">
        <v>1064.3399999999999</v>
      </c>
      <c r="BQ73">
        <v>155</v>
      </c>
      <c r="BR73">
        <v>10122.799999999999</v>
      </c>
      <c r="BS73">
        <v>1063.3</v>
      </c>
      <c r="BT73">
        <v>1.04</v>
      </c>
      <c r="BU73">
        <v>300.00000000000011</v>
      </c>
      <c r="BV73">
        <v>24.2</v>
      </c>
      <c r="BW73">
        <v>1155.9484829215039</v>
      </c>
      <c r="BX73">
        <v>1.9228734979680491</v>
      </c>
      <c r="BY73">
        <v>-93.784449505231933</v>
      </c>
      <c r="BZ73">
        <v>1.7307905034029649</v>
      </c>
      <c r="CA73">
        <v>0.99055366419032009</v>
      </c>
      <c r="CB73">
        <v>-6.9085072302558391E-3</v>
      </c>
      <c r="CC73">
        <v>289.99999999999989</v>
      </c>
      <c r="CD73">
        <v>1060.4000000000001</v>
      </c>
      <c r="CE73">
        <v>715</v>
      </c>
      <c r="CF73">
        <v>10087</v>
      </c>
      <c r="CG73">
        <v>1062.97</v>
      </c>
      <c r="CH73">
        <v>-2.57</v>
      </c>
      <c r="CV73">
        <f t="shared" si="88"/>
        <v>1799.85</v>
      </c>
      <c r="CW73">
        <f t="shared" si="89"/>
        <v>1513.0590006320529</v>
      </c>
      <c r="CX73">
        <f t="shared" si="90"/>
        <v>0.84065838855018638</v>
      </c>
      <c r="CY73">
        <f t="shared" si="91"/>
        <v>0.19131677710037281</v>
      </c>
      <c r="CZ73">
        <v>6</v>
      </c>
      <c r="DA73">
        <v>0.5</v>
      </c>
      <c r="DB73" t="s">
        <v>418</v>
      </c>
      <c r="DC73">
        <v>2</v>
      </c>
      <c r="DD73">
        <v>1674589441.5</v>
      </c>
      <c r="DE73">
        <v>338.404</v>
      </c>
      <c r="DF73">
        <v>400.02600000000001</v>
      </c>
      <c r="DG73">
        <v>24.8993</v>
      </c>
      <c r="DH73">
        <v>18.4908</v>
      </c>
      <c r="DI73">
        <v>336.70400000000001</v>
      </c>
      <c r="DJ73">
        <v>24.7773</v>
      </c>
      <c r="DK73">
        <v>500.18200000000002</v>
      </c>
      <c r="DL73">
        <v>99.502600000000001</v>
      </c>
      <c r="DM73">
        <v>9.9998600000000007E-2</v>
      </c>
      <c r="DN73">
        <v>27.9983</v>
      </c>
      <c r="DO73">
        <v>27.550699999999999</v>
      </c>
      <c r="DP73">
        <v>999.9</v>
      </c>
      <c r="DQ73">
        <v>0</v>
      </c>
      <c r="DR73">
        <v>0</v>
      </c>
      <c r="DS73">
        <v>10007.5</v>
      </c>
      <c r="DT73">
        <v>0</v>
      </c>
      <c r="DU73">
        <v>329.19900000000001</v>
      </c>
      <c r="DV73">
        <v>-61.622100000000003</v>
      </c>
      <c r="DW73">
        <v>347.04500000000002</v>
      </c>
      <c r="DX73">
        <v>407.56200000000001</v>
      </c>
      <c r="DY73">
        <v>6.4085000000000001</v>
      </c>
      <c r="DZ73">
        <v>400.02600000000001</v>
      </c>
      <c r="EA73">
        <v>18.4908</v>
      </c>
      <c r="EB73">
        <v>2.4775499999999999</v>
      </c>
      <c r="EC73">
        <v>1.83989</v>
      </c>
      <c r="ED73">
        <v>20.879799999999999</v>
      </c>
      <c r="EE73">
        <v>16.129799999999999</v>
      </c>
      <c r="EF73">
        <v>1799.85</v>
      </c>
      <c r="EG73">
        <v>0.97799000000000003</v>
      </c>
      <c r="EH73">
        <v>2.2009600000000001E-2</v>
      </c>
      <c r="EI73">
        <v>0</v>
      </c>
      <c r="EJ73">
        <v>793.24599999999998</v>
      </c>
      <c r="EK73">
        <v>4.9990399999999999</v>
      </c>
      <c r="EL73">
        <v>14810.7</v>
      </c>
      <c r="EM73">
        <v>14819.4</v>
      </c>
      <c r="EN73">
        <v>47.875</v>
      </c>
      <c r="EO73">
        <v>49.311999999999998</v>
      </c>
      <c r="EP73">
        <v>48.811999999999998</v>
      </c>
      <c r="EQ73">
        <v>47.686999999999998</v>
      </c>
      <c r="ER73">
        <v>48.811999999999998</v>
      </c>
      <c r="ES73">
        <v>1755.35</v>
      </c>
      <c r="ET73">
        <v>39.5</v>
      </c>
      <c r="EU73">
        <v>0</v>
      </c>
      <c r="EV73">
        <v>3610.3999998569489</v>
      </c>
      <c r="EW73">
        <v>0</v>
      </c>
      <c r="EX73">
        <v>793.0700384615385</v>
      </c>
      <c r="EY73">
        <v>0.78943590138586861</v>
      </c>
      <c r="EZ73">
        <v>-20.584615400613469</v>
      </c>
      <c r="FA73">
        <v>14815.08076923077</v>
      </c>
      <c r="FB73">
        <v>15</v>
      </c>
      <c r="FC73">
        <v>1674589408</v>
      </c>
      <c r="FD73" t="s">
        <v>711</v>
      </c>
      <c r="FE73">
        <v>1674589408</v>
      </c>
      <c r="FF73">
        <v>1674589407.5</v>
      </c>
      <c r="FG73">
        <v>67</v>
      </c>
      <c r="FH73">
        <v>0.13</v>
      </c>
      <c r="FI73">
        <v>-0.02</v>
      </c>
      <c r="FJ73">
        <v>1.7989999999999999</v>
      </c>
      <c r="FK73">
        <v>7.9000000000000001E-2</v>
      </c>
      <c r="FL73">
        <v>400</v>
      </c>
      <c r="FM73">
        <v>18</v>
      </c>
      <c r="FN73">
        <v>0.03</v>
      </c>
      <c r="FO73">
        <v>0.01</v>
      </c>
      <c r="FP73">
        <v>49.562037473299831</v>
      </c>
      <c r="FQ73">
        <v>-0.63835072712453</v>
      </c>
      <c r="FR73">
        <v>7.5379228915939733E-2</v>
      </c>
      <c r="FS73">
        <v>1</v>
      </c>
      <c r="FT73">
        <v>0.47511186241040931</v>
      </c>
      <c r="FU73">
        <v>4.1132358771686958E-2</v>
      </c>
      <c r="FV73">
        <v>7.1172356035060294E-3</v>
      </c>
      <c r="FW73">
        <v>1</v>
      </c>
      <c r="FX73">
        <v>2</v>
      </c>
      <c r="FY73">
        <v>2</v>
      </c>
      <c r="FZ73" t="s">
        <v>420</v>
      </c>
      <c r="GA73">
        <v>2.9338899999999999</v>
      </c>
      <c r="GB73">
        <v>2.83352</v>
      </c>
      <c r="GC73">
        <v>7.9060199999999997E-2</v>
      </c>
      <c r="GD73">
        <v>8.8619600000000007E-2</v>
      </c>
      <c r="GE73">
        <v>0.12227</v>
      </c>
      <c r="GF73">
        <v>9.5942700000000006E-2</v>
      </c>
      <c r="GG73">
        <v>23838.7</v>
      </c>
      <c r="GH73">
        <v>29755.1</v>
      </c>
      <c r="GI73">
        <v>23288.799999999999</v>
      </c>
      <c r="GJ73">
        <v>29910.799999999999</v>
      </c>
      <c r="GK73">
        <v>27809.1</v>
      </c>
      <c r="GL73">
        <v>38451.5</v>
      </c>
      <c r="GM73">
        <v>32870.9</v>
      </c>
      <c r="GN73">
        <v>44374.2</v>
      </c>
      <c r="GO73">
        <v>1.9461999999999999</v>
      </c>
      <c r="GP73">
        <v>1.8422499999999999</v>
      </c>
      <c r="GQ73">
        <v>6.1303400000000001E-2</v>
      </c>
      <c r="GR73">
        <v>0</v>
      </c>
      <c r="GS73">
        <v>26.548300000000001</v>
      </c>
      <c r="GT73">
        <v>999.9</v>
      </c>
      <c r="GU73">
        <v>47.3</v>
      </c>
      <c r="GV73">
        <v>35.6</v>
      </c>
      <c r="GW73">
        <v>27.757400000000001</v>
      </c>
      <c r="GX73">
        <v>61.328600000000002</v>
      </c>
      <c r="GY73">
        <v>36.2941</v>
      </c>
      <c r="GZ73">
        <v>1</v>
      </c>
      <c r="HA73">
        <v>0.32096000000000002</v>
      </c>
      <c r="HB73">
        <v>2.06474</v>
      </c>
      <c r="HC73">
        <v>20.261299999999999</v>
      </c>
      <c r="HD73">
        <v>5.2103999999999999</v>
      </c>
      <c r="HE73">
        <v>11.872199999999999</v>
      </c>
      <c r="HF73">
        <v>4.9842500000000003</v>
      </c>
      <c r="HG73">
        <v>3.2839999999999998</v>
      </c>
      <c r="HH73">
        <v>9999</v>
      </c>
      <c r="HI73">
        <v>9999</v>
      </c>
      <c r="HJ73">
        <v>9999</v>
      </c>
      <c r="HK73">
        <v>999.9</v>
      </c>
      <c r="HL73">
        <v>1.8546499999999999</v>
      </c>
      <c r="HM73">
        <v>1.8607100000000001</v>
      </c>
      <c r="HN73">
        <v>1.8581099999999999</v>
      </c>
      <c r="HO73">
        <v>1.8593</v>
      </c>
      <c r="HP73">
        <v>1.85867</v>
      </c>
      <c r="HQ73">
        <v>1.8592</v>
      </c>
      <c r="HR73">
        <v>1.8575900000000001</v>
      </c>
      <c r="HS73">
        <v>1.86087</v>
      </c>
      <c r="HT73">
        <v>5</v>
      </c>
      <c r="HU73">
        <v>0</v>
      </c>
      <c r="HV73">
        <v>0</v>
      </c>
      <c r="HW73">
        <v>0</v>
      </c>
      <c r="HX73" t="s">
        <v>421</v>
      </c>
      <c r="HY73" t="s">
        <v>422</v>
      </c>
      <c r="HZ73" t="s">
        <v>423</v>
      </c>
      <c r="IA73" t="s">
        <v>423</v>
      </c>
      <c r="IB73" t="s">
        <v>423</v>
      </c>
      <c r="IC73" t="s">
        <v>423</v>
      </c>
      <c r="ID73">
        <v>0</v>
      </c>
      <c r="IE73">
        <v>100</v>
      </c>
      <c r="IF73">
        <v>100</v>
      </c>
      <c r="IG73">
        <v>1.7</v>
      </c>
      <c r="IH73">
        <v>0.122</v>
      </c>
      <c r="II73">
        <v>1.147031641026786</v>
      </c>
      <c r="IJ73">
        <v>1.6187016317407189E-3</v>
      </c>
      <c r="IK73">
        <v>1.4341569744255341E-7</v>
      </c>
      <c r="IL73">
        <v>-2.4096625942085749E-10</v>
      </c>
      <c r="IM73">
        <v>0.12202939421720781</v>
      </c>
      <c r="IN73">
        <v>0</v>
      </c>
      <c r="IO73">
        <v>0</v>
      </c>
      <c r="IP73">
        <v>0</v>
      </c>
      <c r="IQ73">
        <v>4</v>
      </c>
      <c r="IR73">
        <v>2205</v>
      </c>
      <c r="IS73">
        <v>1</v>
      </c>
      <c r="IT73">
        <v>21</v>
      </c>
      <c r="IU73">
        <v>0.6</v>
      </c>
      <c r="IV73">
        <v>0.6</v>
      </c>
      <c r="IW73">
        <v>0.98999000000000004</v>
      </c>
      <c r="IX73">
        <v>2.4584999999999999</v>
      </c>
      <c r="IY73">
        <v>1.49414</v>
      </c>
      <c r="IZ73">
        <v>2.3046899999999999</v>
      </c>
      <c r="JA73">
        <v>1.69434</v>
      </c>
      <c r="JB73">
        <v>2.32544</v>
      </c>
      <c r="JC73">
        <v>39.416600000000003</v>
      </c>
      <c r="JD73">
        <v>23.9999</v>
      </c>
      <c r="JE73">
        <v>18</v>
      </c>
      <c r="JF73">
        <v>494.59100000000001</v>
      </c>
      <c r="JG73">
        <v>449.98200000000003</v>
      </c>
      <c r="JH73">
        <v>24.788799999999998</v>
      </c>
      <c r="JI73">
        <v>31.358899999999998</v>
      </c>
      <c r="JJ73">
        <v>30.0001</v>
      </c>
      <c r="JK73">
        <v>31.329699999999999</v>
      </c>
      <c r="JL73">
        <v>31.3081</v>
      </c>
      <c r="JM73">
        <v>19.893599999999999</v>
      </c>
      <c r="JN73">
        <v>39.172899999999998</v>
      </c>
      <c r="JO73">
        <v>0</v>
      </c>
      <c r="JP73">
        <v>24.786799999999999</v>
      </c>
      <c r="JQ73">
        <v>400</v>
      </c>
      <c r="JR73">
        <v>18.416699999999999</v>
      </c>
      <c r="JS73">
        <v>99.021600000000007</v>
      </c>
      <c r="JT73">
        <v>99.655100000000004</v>
      </c>
    </row>
    <row r="74" spans="1:280" x14ac:dyDescent="0.25">
      <c r="A74">
        <v>58</v>
      </c>
      <c r="B74">
        <v>1674589555</v>
      </c>
      <c r="C74">
        <v>15502.400000095369</v>
      </c>
      <c r="D74" t="s">
        <v>712</v>
      </c>
      <c r="E74" t="s">
        <v>713</v>
      </c>
      <c r="F74" t="s">
        <v>412</v>
      </c>
      <c r="G74" t="s">
        <v>708</v>
      </c>
      <c r="H74" t="s">
        <v>414</v>
      </c>
      <c r="I74">
        <v>1674589555</v>
      </c>
      <c r="J74">
        <f t="shared" si="46"/>
        <v>5.5400983996329442E-3</v>
      </c>
      <c r="K74">
        <f t="shared" si="47"/>
        <v>5.540098399632944</v>
      </c>
      <c r="L74">
        <f t="shared" si="48"/>
        <v>43.386134494361073</v>
      </c>
      <c r="M74">
        <f t="shared" si="49"/>
        <v>246.315</v>
      </c>
      <c r="N74">
        <f t="shared" si="50"/>
        <v>86.841904818215781</v>
      </c>
      <c r="O74">
        <f t="shared" si="51"/>
        <v>8.6492710479475061</v>
      </c>
      <c r="P74">
        <f t="shared" si="52"/>
        <v>24.532455876397496</v>
      </c>
      <c r="Q74">
        <f t="shared" si="53"/>
        <v>0.4789788120425188</v>
      </c>
      <c r="R74">
        <f t="shared" si="54"/>
        <v>2.9251049682420884</v>
      </c>
      <c r="S74">
        <f t="shared" si="55"/>
        <v>0.43928754536977249</v>
      </c>
      <c r="T74">
        <f t="shared" si="56"/>
        <v>0.2778462126257602</v>
      </c>
      <c r="U74">
        <f t="shared" si="57"/>
        <v>344.37950126396555</v>
      </c>
      <c r="V74">
        <f t="shared" si="58"/>
        <v>28.601101774593506</v>
      </c>
      <c r="W74">
        <f t="shared" si="59"/>
        <v>27.580100000000002</v>
      </c>
      <c r="X74">
        <f t="shared" si="60"/>
        <v>3.7029328296496726</v>
      </c>
      <c r="Y74">
        <f t="shared" si="61"/>
        <v>65.466224492188616</v>
      </c>
      <c r="Z74">
        <f t="shared" si="62"/>
        <v>2.4858738585331497</v>
      </c>
      <c r="AA74">
        <f t="shared" si="63"/>
        <v>3.7971853086315712</v>
      </c>
      <c r="AB74">
        <f t="shared" si="64"/>
        <v>1.2170589711165229</v>
      </c>
      <c r="AC74">
        <f t="shared" si="65"/>
        <v>-244.31833942381283</v>
      </c>
      <c r="AD74">
        <f t="shared" si="66"/>
        <v>67.889100520106723</v>
      </c>
      <c r="AE74">
        <f t="shared" si="67"/>
        <v>5.0487443943549568</v>
      </c>
      <c r="AF74">
        <f t="shared" si="68"/>
        <v>172.99900675461441</v>
      </c>
      <c r="AG74">
        <v>0</v>
      </c>
      <c r="AH74">
        <v>0</v>
      </c>
      <c r="AI74">
        <f t="shared" si="69"/>
        <v>1</v>
      </c>
      <c r="AJ74">
        <f t="shared" si="70"/>
        <v>0</v>
      </c>
      <c r="AK74">
        <f t="shared" si="71"/>
        <v>52560.828443108017</v>
      </c>
      <c r="AL74" t="s">
        <v>415</v>
      </c>
      <c r="AM74">
        <v>10214.9</v>
      </c>
      <c r="AN74">
        <v>729.4384</v>
      </c>
      <c r="AO74">
        <v>3170.19</v>
      </c>
      <c r="AP74">
        <f t="shared" si="72"/>
        <v>0.76990704027203416</v>
      </c>
      <c r="AQ74">
        <v>-0.45549566560547827</v>
      </c>
      <c r="AR74" t="s">
        <v>714</v>
      </c>
      <c r="AS74">
        <v>10113.6</v>
      </c>
      <c r="AT74">
        <v>790.39779999999996</v>
      </c>
      <c r="AU74">
        <v>1105.942655018423</v>
      </c>
      <c r="AV74">
        <f t="shared" si="73"/>
        <v>0.28531755564954375</v>
      </c>
      <c r="AW74">
        <v>0.5</v>
      </c>
      <c r="AX74">
        <f t="shared" si="74"/>
        <v>1513.2270006319827</v>
      </c>
      <c r="AY74">
        <f t="shared" si="75"/>
        <v>43.386134494361073</v>
      </c>
      <c r="AZ74">
        <f t="shared" si="76"/>
        <v>215.87511448160396</v>
      </c>
      <c r="BA74">
        <f t="shared" si="77"/>
        <v>2.8972275898894596E-2</v>
      </c>
      <c r="BB74">
        <f t="shared" si="78"/>
        <v>1.8665048640765107</v>
      </c>
      <c r="BC74">
        <f t="shared" si="79"/>
        <v>510.28604277112083</v>
      </c>
      <c r="BD74" t="s">
        <v>715</v>
      </c>
      <c r="BE74">
        <v>585.04</v>
      </c>
      <c r="BF74">
        <f t="shared" si="80"/>
        <v>585.04</v>
      </c>
      <c r="BG74">
        <f t="shared" si="81"/>
        <v>0.47100331346723012</v>
      </c>
      <c r="BH74">
        <f t="shared" si="82"/>
        <v>0.60576549568030713</v>
      </c>
      <c r="BI74">
        <f t="shared" si="83"/>
        <v>0.79850196119435124</v>
      </c>
      <c r="BJ74">
        <f t="shared" si="84"/>
        <v>0.83809107284320838</v>
      </c>
      <c r="BK74">
        <f t="shared" si="85"/>
        <v>0.84574249382099231</v>
      </c>
      <c r="BL74">
        <f t="shared" si="86"/>
        <v>0.44837807695417026</v>
      </c>
      <c r="BM74">
        <f t="shared" si="87"/>
        <v>0.55162192304582969</v>
      </c>
      <c r="BN74">
        <v>9172</v>
      </c>
      <c r="BO74">
        <v>290.00000000000011</v>
      </c>
      <c r="BP74">
        <v>1026.6099999999999</v>
      </c>
      <c r="BQ74">
        <v>215</v>
      </c>
      <c r="BR74">
        <v>10113.6</v>
      </c>
      <c r="BS74">
        <v>1024.28</v>
      </c>
      <c r="BT74">
        <v>2.33</v>
      </c>
      <c r="BU74">
        <v>300.00000000000011</v>
      </c>
      <c r="BV74">
        <v>24.2</v>
      </c>
      <c r="BW74">
        <v>1105.942655018423</v>
      </c>
      <c r="BX74">
        <v>2.0343845259142852</v>
      </c>
      <c r="BY74">
        <v>-82.594590326410142</v>
      </c>
      <c r="BZ74">
        <v>1.831028390263544</v>
      </c>
      <c r="CA74">
        <v>0.98642594922951943</v>
      </c>
      <c r="CB74">
        <v>-6.907957285873189E-3</v>
      </c>
      <c r="CC74">
        <v>289.99999999999989</v>
      </c>
      <c r="CD74">
        <v>1022.43</v>
      </c>
      <c r="CE74">
        <v>685</v>
      </c>
      <c r="CF74">
        <v>10087.799999999999</v>
      </c>
      <c r="CG74">
        <v>1024.07</v>
      </c>
      <c r="CH74">
        <v>-1.64</v>
      </c>
      <c r="CV74">
        <f t="shared" si="88"/>
        <v>1800.05</v>
      </c>
      <c r="CW74">
        <f t="shared" si="89"/>
        <v>1513.2270006319827</v>
      </c>
      <c r="CX74">
        <f t="shared" si="90"/>
        <v>0.84065831539789604</v>
      </c>
      <c r="CY74">
        <f t="shared" si="91"/>
        <v>0.19131663079579209</v>
      </c>
      <c r="CZ74">
        <v>6</v>
      </c>
      <c r="DA74">
        <v>0.5</v>
      </c>
      <c r="DB74" t="s">
        <v>418</v>
      </c>
      <c r="DC74">
        <v>2</v>
      </c>
      <c r="DD74">
        <v>1674589555</v>
      </c>
      <c r="DE74">
        <v>246.315</v>
      </c>
      <c r="DF74">
        <v>300.01600000000002</v>
      </c>
      <c r="DG74">
        <v>24.959099999999999</v>
      </c>
      <c r="DH74">
        <v>18.476900000000001</v>
      </c>
      <c r="DI74">
        <v>244.80099999999999</v>
      </c>
      <c r="DJ74">
        <v>24.8355</v>
      </c>
      <c r="DK74">
        <v>499.99900000000002</v>
      </c>
      <c r="DL74">
        <v>99.498099999999994</v>
      </c>
      <c r="DM74">
        <v>9.9796499999999996E-2</v>
      </c>
      <c r="DN74">
        <v>28.0106</v>
      </c>
      <c r="DO74">
        <v>27.580100000000002</v>
      </c>
      <c r="DP74">
        <v>999.9</v>
      </c>
      <c r="DQ74">
        <v>0</v>
      </c>
      <c r="DR74">
        <v>0</v>
      </c>
      <c r="DS74">
        <v>10025</v>
      </c>
      <c r="DT74">
        <v>0</v>
      </c>
      <c r="DU74">
        <v>324.642</v>
      </c>
      <c r="DV74">
        <v>-53.700699999999998</v>
      </c>
      <c r="DW74">
        <v>252.62</v>
      </c>
      <c r="DX74">
        <v>305.66300000000001</v>
      </c>
      <c r="DY74">
        <v>6.48224</v>
      </c>
      <c r="DZ74">
        <v>300.01600000000002</v>
      </c>
      <c r="EA74">
        <v>18.476900000000001</v>
      </c>
      <c r="EB74">
        <v>2.48339</v>
      </c>
      <c r="EC74">
        <v>1.8384100000000001</v>
      </c>
      <c r="ED74">
        <v>20.917999999999999</v>
      </c>
      <c r="EE74">
        <v>16.1173</v>
      </c>
      <c r="EF74">
        <v>1800.05</v>
      </c>
      <c r="EG74">
        <v>0.97799400000000003</v>
      </c>
      <c r="EH74">
        <v>2.2006000000000001E-2</v>
      </c>
      <c r="EI74">
        <v>0</v>
      </c>
      <c r="EJ74">
        <v>789.98199999999997</v>
      </c>
      <c r="EK74">
        <v>4.9990399999999999</v>
      </c>
      <c r="EL74">
        <v>14764.4</v>
      </c>
      <c r="EM74">
        <v>14821.1</v>
      </c>
      <c r="EN74">
        <v>47.936999999999998</v>
      </c>
      <c r="EO74">
        <v>49.375</v>
      </c>
      <c r="EP74">
        <v>48.875</v>
      </c>
      <c r="EQ74">
        <v>47.811999999999998</v>
      </c>
      <c r="ER74">
        <v>48.811999999999998</v>
      </c>
      <c r="ES74">
        <v>1755.55</v>
      </c>
      <c r="ET74">
        <v>39.5</v>
      </c>
      <c r="EU74">
        <v>0</v>
      </c>
      <c r="EV74">
        <v>111.6000001430511</v>
      </c>
      <c r="EW74">
        <v>0</v>
      </c>
      <c r="EX74">
        <v>790.39779999999996</v>
      </c>
      <c r="EY74">
        <v>-2.3220000066441808</v>
      </c>
      <c r="EZ74">
        <v>-41.361538567970122</v>
      </c>
      <c r="FA74">
        <v>14765.58</v>
      </c>
      <c r="FB74">
        <v>15</v>
      </c>
      <c r="FC74">
        <v>1674589522</v>
      </c>
      <c r="FD74" t="s">
        <v>716</v>
      </c>
      <c r="FE74">
        <v>1674589509</v>
      </c>
      <c r="FF74">
        <v>1674589522</v>
      </c>
      <c r="FG74">
        <v>68</v>
      </c>
      <c r="FH74">
        <v>-3.4000000000000002E-2</v>
      </c>
      <c r="FI74">
        <v>2E-3</v>
      </c>
      <c r="FJ74">
        <v>1.6020000000000001</v>
      </c>
      <c r="FK74">
        <v>8.4000000000000005E-2</v>
      </c>
      <c r="FL74">
        <v>300</v>
      </c>
      <c r="FM74">
        <v>18</v>
      </c>
      <c r="FN74">
        <v>0.05</v>
      </c>
      <c r="FO74">
        <v>0.02</v>
      </c>
      <c r="FP74">
        <v>43.359836041002097</v>
      </c>
      <c r="FQ74">
        <v>-0.24453373641423029</v>
      </c>
      <c r="FR74">
        <v>5.7620060262463552E-2</v>
      </c>
      <c r="FS74">
        <v>1</v>
      </c>
      <c r="FT74">
        <v>0.48394899162011562</v>
      </c>
      <c r="FU74">
        <v>1.101612068050439E-2</v>
      </c>
      <c r="FV74">
        <v>4.4098202962754209E-3</v>
      </c>
      <c r="FW74">
        <v>1</v>
      </c>
      <c r="FX74">
        <v>2</v>
      </c>
      <c r="FY74">
        <v>2</v>
      </c>
      <c r="FZ74" t="s">
        <v>420</v>
      </c>
      <c r="GA74">
        <v>2.9333999999999998</v>
      </c>
      <c r="GB74">
        <v>2.8334700000000002</v>
      </c>
      <c r="GC74">
        <v>6.0875800000000001E-2</v>
      </c>
      <c r="GD74">
        <v>7.0580900000000002E-2</v>
      </c>
      <c r="GE74">
        <v>0.122464</v>
      </c>
      <c r="GF74">
        <v>9.5887799999999995E-2</v>
      </c>
      <c r="GG74">
        <v>24308.9</v>
      </c>
      <c r="GH74">
        <v>30342.2</v>
      </c>
      <c r="GI74">
        <v>23288.6</v>
      </c>
      <c r="GJ74">
        <v>29909.3</v>
      </c>
      <c r="GK74">
        <v>27802.2</v>
      </c>
      <c r="GL74">
        <v>38451.199999999997</v>
      </c>
      <c r="GM74">
        <v>32870.400000000001</v>
      </c>
      <c r="GN74">
        <v>44371.7</v>
      </c>
      <c r="GO74">
        <v>1.9462999999999999</v>
      </c>
      <c r="GP74">
        <v>1.84165</v>
      </c>
      <c r="GQ74">
        <v>5.66691E-2</v>
      </c>
      <c r="GR74">
        <v>0</v>
      </c>
      <c r="GS74">
        <v>26.653600000000001</v>
      </c>
      <c r="GT74">
        <v>999.9</v>
      </c>
      <c r="GU74">
        <v>47.3</v>
      </c>
      <c r="GV74">
        <v>35.5</v>
      </c>
      <c r="GW74">
        <v>27.606400000000001</v>
      </c>
      <c r="GX74">
        <v>61.058599999999998</v>
      </c>
      <c r="GY74">
        <v>36.991199999999999</v>
      </c>
      <c r="GZ74">
        <v>1</v>
      </c>
      <c r="HA74">
        <v>0.323712</v>
      </c>
      <c r="HB74">
        <v>2.2476600000000002</v>
      </c>
      <c r="HC74">
        <v>20.258500000000002</v>
      </c>
      <c r="HD74">
        <v>5.2102500000000003</v>
      </c>
      <c r="HE74">
        <v>11.872199999999999</v>
      </c>
      <c r="HF74">
        <v>4.9854000000000003</v>
      </c>
      <c r="HG74">
        <v>3.2839999999999998</v>
      </c>
      <c r="HH74">
        <v>9999</v>
      </c>
      <c r="HI74">
        <v>9999</v>
      </c>
      <c r="HJ74">
        <v>9999</v>
      </c>
      <c r="HK74">
        <v>999.9</v>
      </c>
      <c r="HL74">
        <v>1.8547</v>
      </c>
      <c r="HM74">
        <v>1.8608</v>
      </c>
      <c r="HN74">
        <v>1.8581700000000001</v>
      </c>
      <c r="HO74">
        <v>1.8593299999999999</v>
      </c>
      <c r="HP74">
        <v>1.85869</v>
      </c>
      <c r="HQ74">
        <v>1.85928</v>
      </c>
      <c r="HR74">
        <v>1.8575999999999999</v>
      </c>
      <c r="HS74">
        <v>1.86094</v>
      </c>
      <c r="HT74">
        <v>5</v>
      </c>
      <c r="HU74">
        <v>0</v>
      </c>
      <c r="HV74">
        <v>0</v>
      </c>
      <c r="HW74">
        <v>0</v>
      </c>
      <c r="HX74" t="s">
        <v>421</v>
      </c>
      <c r="HY74" t="s">
        <v>422</v>
      </c>
      <c r="HZ74" t="s">
        <v>423</v>
      </c>
      <c r="IA74" t="s">
        <v>423</v>
      </c>
      <c r="IB74" t="s">
        <v>423</v>
      </c>
      <c r="IC74" t="s">
        <v>423</v>
      </c>
      <c r="ID74">
        <v>0</v>
      </c>
      <c r="IE74">
        <v>100</v>
      </c>
      <c r="IF74">
        <v>100</v>
      </c>
      <c r="IG74">
        <v>1.514</v>
      </c>
      <c r="IH74">
        <v>0.1236</v>
      </c>
      <c r="II74">
        <v>1.1126971721930159</v>
      </c>
      <c r="IJ74">
        <v>1.6187016317407189E-3</v>
      </c>
      <c r="IK74">
        <v>1.4341569744255341E-7</v>
      </c>
      <c r="IL74">
        <v>-2.4096625942085749E-10</v>
      </c>
      <c r="IM74">
        <v>0.1236346382052857</v>
      </c>
      <c r="IN74">
        <v>0</v>
      </c>
      <c r="IO74">
        <v>0</v>
      </c>
      <c r="IP74">
        <v>0</v>
      </c>
      <c r="IQ74">
        <v>4</v>
      </c>
      <c r="IR74">
        <v>2205</v>
      </c>
      <c r="IS74">
        <v>1</v>
      </c>
      <c r="IT74">
        <v>21</v>
      </c>
      <c r="IU74">
        <v>0.8</v>
      </c>
      <c r="IV74">
        <v>0.6</v>
      </c>
      <c r="IW74">
        <v>0.787354</v>
      </c>
      <c r="IX74">
        <v>2.4511699999999998</v>
      </c>
      <c r="IY74">
        <v>1.49414</v>
      </c>
      <c r="IZ74">
        <v>2.3059099999999999</v>
      </c>
      <c r="JA74">
        <v>1.69434</v>
      </c>
      <c r="JB74">
        <v>2.4267599999999998</v>
      </c>
      <c r="JC74">
        <v>39.3917</v>
      </c>
      <c r="JD74">
        <v>24.008700000000001</v>
      </c>
      <c r="JE74">
        <v>18</v>
      </c>
      <c r="JF74">
        <v>494.654</v>
      </c>
      <c r="JG74">
        <v>449.54</v>
      </c>
      <c r="JH74">
        <v>24.717500000000001</v>
      </c>
      <c r="JI74">
        <v>31.3781</v>
      </c>
      <c r="JJ74">
        <v>30.000299999999999</v>
      </c>
      <c r="JK74">
        <v>31.329699999999999</v>
      </c>
      <c r="JL74">
        <v>31.305399999999999</v>
      </c>
      <c r="JM74">
        <v>15.8225</v>
      </c>
      <c r="JN74">
        <v>39.683599999999998</v>
      </c>
      <c r="JO74">
        <v>0</v>
      </c>
      <c r="JP74">
        <v>24.710599999999999</v>
      </c>
      <c r="JQ74">
        <v>300</v>
      </c>
      <c r="JR74">
        <v>18.367699999999999</v>
      </c>
      <c r="JS74">
        <v>99.020399999999995</v>
      </c>
      <c r="JT74">
        <v>99.649699999999996</v>
      </c>
    </row>
    <row r="75" spans="1:280" x14ac:dyDescent="0.25">
      <c r="A75">
        <v>59</v>
      </c>
      <c r="B75">
        <v>1674589669</v>
      </c>
      <c r="C75">
        <v>15616.400000095369</v>
      </c>
      <c r="D75" t="s">
        <v>717</v>
      </c>
      <c r="E75" t="s">
        <v>718</v>
      </c>
      <c r="F75" t="s">
        <v>412</v>
      </c>
      <c r="G75" t="s">
        <v>708</v>
      </c>
      <c r="H75" t="s">
        <v>414</v>
      </c>
      <c r="I75">
        <v>1674589669</v>
      </c>
      <c r="J75">
        <f t="shared" si="46"/>
        <v>5.774741545618735E-3</v>
      </c>
      <c r="K75">
        <f t="shared" si="47"/>
        <v>5.7747415456187348</v>
      </c>
      <c r="L75">
        <f t="shared" si="48"/>
        <v>31.377363340679608</v>
      </c>
      <c r="M75">
        <f t="shared" si="49"/>
        <v>161.26900000000001</v>
      </c>
      <c r="N75">
        <f t="shared" si="50"/>
        <v>51.102206703354291</v>
      </c>
      <c r="O75">
        <f t="shared" si="51"/>
        <v>5.089420447156991</v>
      </c>
      <c r="P75">
        <f t="shared" si="52"/>
        <v>16.0612583886458</v>
      </c>
      <c r="Q75">
        <f t="shared" si="53"/>
        <v>0.50238483905412024</v>
      </c>
      <c r="R75">
        <f t="shared" si="54"/>
        <v>2.9215177037242599</v>
      </c>
      <c r="S75">
        <f t="shared" si="55"/>
        <v>0.45885963238475264</v>
      </c>
      <c r="T75">
        <f t="shared" si="56"/>
        <v>0.29038294388546171</v>
      </c>
      <c r="U75">
        <f t="shared" si="57"/>
        <v>344.36240126402879</v>
      </c>
      <c r="V75">
        <f t="shared" si="58"/>
        <v>28.53534122053194</v>
      </c>
      <c r="W75">
        <f t="shared" si="59"/>
        <v>27.573799999999999</v>
      </c>
      <c r="X75">
        <f t="shared" si="60"/>
        <v>3.7015688226722196</v>
      </c>
      <c r="Y75">
        <f t="shared" si="61"/>
        <v>65.519299627577325</v>
      </c>
      <c r="Z75">
        <f t="shared" si="62"/>
        <v>2.4871351948585998</v>
      </c>
      <c r="AA75">
        <f t="shared" si="63"/>
        <v>3.7960344646476574</v>
      </c>
      <c r="AB75">
        <f t="shared" si="64"/>
        <v>1.2144336278136199</v>
      </c>
      <c r="AC75">
        <f t="shared" si="65"/>
        <v>-254.6661021617862</v>
      </c>
      <c r="AD75">
        <f t="shared" si="66"/>
        <v>67.979098630477964</v>
      </c>
      <c r="AE75">
        <f t="shared" si="67"/>
        <v>5.0613545304385594</v>
      </c>
      <c r="AF75">
        <f t="shared" si="68"/>
        <v>162.73675226315913</v>
      </c>
      <c r="AG75">
        <v>0</v>
      </c>
      <c r="AH75">
        <v>0</v>
      </c>
      <c r="AI75">
        <f t="shared" si="69"/>
        <v>1</v>
      </c>
      <c r="AJ75">
        <f t="shared" si="70"/>
        <v>0</v>
      </c>
      <c r="AK75">
        <f t="shared" si="71"/>
        <v>52458.55849726568</v>
      </c>
      <c r="AL75" t="s">
        <v>415</v>
      </c>
      <c r="AM75">
        <v>10214.9</v>
      </c>
      <c r="AN75">
        <v>729.4384</v>
      </c>
      <c r="AO75">
        <v>3170.19</v>
      </c>
      <c r="AP75">
        <f t="shared" si="72"/>
        <v>0.76990704027203416</v>
      </c>
      <c r="AQ75">
        <v>-0.45549566560547827</v>
      </c>
      <c r="AR75" t="s">
        <v>719</v>
      </c>
      <c r="AS75">
        <v>10115.4</v>
      </c>
      <c r="AT75">
        <v>796.87284615384601</v>
      </c>
      <c r="AU75">
        <v>1031.6894173202429</v>
      </c>
      <c r="AV75">
        <f t="shared" si="73"/>
        <v>0.22760393508379695</v>
      </c>
      <c r="AW75">
        <v>0.5</v>
      </c>
      <c r="AX75">
        <f t="shared" si="74"/>
        <v>1513.1514006320144</v>
      </c>
      <c r="AY75">
        <f t="shared" si="75"/>
        <v>31.377363340679608</v>
      </c>
      <c r="AZ75">
        <f t="shared" si="76"/>
        <v>172.19960658070272</v>
      </c>
      <c r="BA75">
        <f t="shared" si="77"/>
        <v>2.1037457978751572E-2</v>
      </c>
      <c r="BB75">
        <f t="shared" si="78"/>
        <v>2.0728143051369043</v>
      </c>
      <c r="BC75">
        <f t="shared" si="79"/>
        <v>493.88493144638403</v>
      </c>
      <c r="BD75" t="s">
        <v>720</v>
      </c>
      <c r="BE75">
        <v>575.82000000000005</v>
      </c>
      <c r="BF75">
        <f t="shared" si="80"/>
        <v>575.82000000000005</v>
      </c>
      <c r="BG75">
        <f t="shared" si="81"/>
        <v>0.44186691233524411</v>
      </c>
      <c r="BH75">
        <f t="shared" si="82"/>
        <v>0.51509612675210681</v>
      </c>
      <c r="BI75">
        <f t="shared" si="83"/>
        <v>0.8242851184217197</v>
      </c>
      <c r="BJ75">
        <f t="shared" si="84"/>
        <v>0.77689257507974763</v>
      </c>
      <c r="BK75">
        <f t="shared" si="85"/>
        <v>0.87616477755448641</v>
      </c>
      <c r="BL75">
        <f t="shared" si="86"/>
        <v>0.37220825522913525</v>
      </c>
      <c r="BM75">
        <f t="shared" si="87"/>
        <v>0.62779174477086475</v>
      </c>
      <c r="BN75">
        <v>9174</v>
      </c>
      <c r="BO75">
        <v>290.00000000000011</v>
      </c>
      <c r="BP75">
        <v>968.76</v>
      </c>
      <c r="BQ75">
        <v>195</v>
      </c>
      <c r="BR75">
        <v>10115.4</v>
      </c>
      <c r="BS75">
        <v>967.39</v>
      </c>
      <c r="BT75">
        <v>1.37</v>
      </c>
      <c r="BU75">
        <v>300.00000000000011</v>
      </c>
      <c r="BV75">
        <v>24.2</v>
      </c>
      <c r="BW75">
        <v>1031.6894173202429</v>
      </c>
      <c r="BX75">
        <v>1.899738269582161</v>
      </c>
      <c r="BY75">
        <v>-65.040478202288881</v>
      </c>
      <c r="BZ75">
        <v>1.7096734281629979</v>
      </c>
      <c r="CA75">
        <v>0.98102006186246815</v>
      </c>
      <c r="CB75">
        <v>-6.9073928809788663E-3</v>
      </c>
      <c r="CC75">
        <v>289.99999999999989</v>
      </c>
      <c r="CD75">
        <v>965.91</v>
      </c>
      <c r="CE75">
        <v>715</v>
      </c>
      <c r="CF75">
        <v>10085.200000000001</v>
      </c>
      <c r="CG75">
        <v>967.2</v>
      </c>
      <c r="CH75">
        <v>-1.29</v>
      </c>
      <c r="CV75">
        <f t="shared" si="88"/>
        <v>1799.96</v>
      </c>
      <c r="CW75">
        <f t="shared" si="89"/>
        <v>1513.1514006320144</v>
      </c>
      <c r="CX75">
        <f t="shared" si="90"/>
        <v>0.84065834831441499</v>
      </c>
      <c r="CY75">
        <f t="shared" si="91"/>
        <v>0.19131669662882997</v>
      </c>
      <c r="CZ75">
        <v>6</v>
      </c>
      <c r="DA75">
        <v>0.5</v>
      </c>
      <c r="DB75" t="s">
        <v>418</v>
      </c>
      <c r="DC75">
        <v>2</v>
      </c>
      <c r="DD75">
        <v>1674589669</v>
      </c>
      <c r="DE75">
        <v>161.26900000000001</v>
      </c>
      <c r="DF75">
        <v>200.03</v>
      </c>
      <c r="DG75">
        <v>24.972999999999999</v>
      </c>
      <c r="DH75">
        <v>18.218</v>
      </c>
      <c r="DI75">
        <v>159.88800000000001</v>
      </c>
      <c r="DJ75">
        <v>24.85</v>
      </c>
      <c r="DK75">
        <v>500.12099999999998</v>
      </c>
      <c r="DL75">
        <v>99.493099999999998</v>
      </c>
      <c r="DM75">
        <v>9.9868200000000004E-2</v>
      </c>
      <c r="DN75">
        <v>28.005400000000002</v>
      </c>
      <c r="DO75">
        <v>27.573799999999999</v>
      </c>
      <c r="DP75">
        <v>999.9</v>
      </c>
      <c r="DQ75">
        <v>0</v>
      </c>
      <c r="DR75">
        <v>0</v>
      </c>
      <c r="DS75">
        <v>10005</v>
      </c>
      <c r="DT75">
        <v>0</v>
      </c>
      <c r="DU75">
        <v>333.423</v>
      </c>
      <c r="DV75">
        <v>-38.761400000000002</v>
      </c>
      <c r="DW75">
        <v>165.4</v>
      </c>
      <c r="DX75">
        <v>203.74199999999999</v>
      </c>
      <c r="DY75">
        <v>6.7549299999999999</v>
      </c>
      <c r="DZ75">
        <v>200.03</v>
      </c>
      <c r="EA75">
        <v>18.218</v>
      </c>
      <c r="EB75">
        <v>2.4846400000000002</v>
      </c>
      <c r="EC75">
        <v>1.81257</v>
      </c>
      <c r="ED75">
        <v>20.926200000000001</v>
      </c>
      <c r="EE75">
        <v>15.8956</v>
      </c>
      <c r="EF75">
        <v>1799.96</v>
      </c>
      <c r="EG75">
        <v>0.97799400000000003</v>
      </c>
      <c r="EH75">
        <v>2.2005899999999998E-2</v>
      </c>
      <c r="EI75">
        <v>0</v>
      </c>
      <c r="EJ75">
        <v>795.97299999999996</v>
      </c>
      <c r="EK75">
        <v>4.9990399999999999</v>
      </c>
      <c r="EL75">
        <v>14876.9</v>
      </c>
      <c r="EM75">
        <v>14820.3</v>
      </c>
      <c r="EN75">
        <v>48</v>
      </c>
      <c r="EO75">
        <v>49.436999999999998</v>
      </c>
      <c r="EP75">
        <v>48.936999999999998</v>
      </c>
      <c r="EQ75">
        <v>47.875</v>
      </c>
      <c r="ER75">
        <v>48.936999999999998</v>
      </c>
      <c r="ES75">
        <v>1755.46</v>
      </c>
      <c r="ET75">
        <v>39.5</v>
      </c>
      <c r="EU75">
        <v>0</v>
      </c>
      <c r="EV75">
        <v>111.7999999523163</v>
      </c>
      <c r="EW75">
        <v>0</v>
      </c>
      <c r="EX75">
        <v>796.87284615384601</v>
      </c>
      <c r="EY75">
        <v>-6.4067692192139889</v>
      </c>
      <c r="EZ75">
        <v>-123.08717935217329</v>
      </c>
      <c r="FA75">
        <v>14887.696153846149</v>
      </c>
      <c r="FB75">
        <v>15</v>
      </c>
      <c r="FC75">
        <v>1674589636.5</v>
      </c>
      <c r="FD75" t="s">
        <v>721</v>
      </c>
      <c r="FE75">
        <v>1674589623.5</v>
      </c>
      <c r="FF75">
        <v>1674589636.5</v>
      </c>
      <c r="FG75">
        <v>69</v>
      </c>
      <c r="FH75">
        <v>6.0000000000000001E-3</v>
      </c>
      <c r="FI75">
        <v>-1E-3</v>
      </c>
      <c r="FJ75">
        <v>1.444</v>
      </c>
      <c r="FK75">
        <v>7.9000000000000001E-2</v>
      </c>
      <c r="FL75">
        <v>200</v>
      </c>
      <c r="FM75">
        <v>18</v>
      </c>
      <c r="FN75">
        <v>7.0000000000000007E-2</v>
      </c>
      <c r="FO75">
        <v>0.01</v>
      </c>
      <c r="FP75">
        <v>31.329050548033901</v>
      </c>
      <c r="FQ75">
        <v>-0.60242848719596753</v>
      </c>
      <c r="FR75">
        <v>7.014417560649383E-2</v>
      </c>
      <c r="FS75">
        <v>1</v>
      </c>
      <c r="FT75">
        <v>0.50072269164321326</v>
      </c>
      <c r="FU75">
        <v>1.8610230212189931E-2</v>
      </c>
      <c r="FV75">
        <v>5.2076421111643522E-3</v>
      </c>
      <c r="FW75">
        <v>1</v>
      </c>
      <c r="FX75">
        <v>2</v>
      </c>
      <c r="FY75">
        <v>2</v>
      </c>
      <c r="FZ75" t="s">
        <v>420</v>
      </c>
      <c r="GA75">
        <v>2.9336600000000002</v>
      </c>
      <c r="GB75">
        <v>2.8333699999999999</v>
      </c>
      <c r="GC75">
        <v>4.1909799999999997E-2</v>
      </c>
      <c r="GD75">
        <v>5.0065900000000003E-2</v>
      </c>
      <c r="GE75">
        <v>0.1225</v>
      </c>
      <c r="GF75">
        <v>9.4924599999999998E-2</v>
      </c>
      <c r="GG75">
        <v>24797.1</v>
      </c>
      <c r="GH75">
        <v>31007.8</v>
      </c>
      <c r="GI75">
        <v>23286.6</v>
      </c>
      <c r="GJ75">
        <v>29905.9</v>
      </c>
      <c r="GK75">
        <v>27798.5</v>
      </c>
      <c r="GL75">
        <v>38488.6</v>
      </c>
      <c r="GM75">
        <v>32867.599999999999</v>
      </c>
      <c r="GN75">
        <v>44367.6</v>
      </c>
      <c r="GO75">
        <v>1.9464999999999999</v>
      </c>
      <c r="GP75">
        <v>1.84032</v>
      </c>
      <c r="GQ75">
        <v>5.2865599999999999E-2</v>
      </c>
      <c r="GR75">
        <v>0</v>
      </c>
      <c r="GS75">
        <v>26.709499999999998</v>
      </c>
      <c r="GT75">
        <v>999.9</v>
      </c>
      <c r="GU75">
        <v>47.4</v>
      </c>
      <c r="GV75">
        <v>35.5</v>
      </c>
      <c r="GW75">
        <v>27.6631</v>
      </c>
      <c r="GX75">
        <v>61.2087</v>
      </c>
      <c r="GY75">
        <v>36.342100000000002</v>
      </c>
      <c r="GZ75">
        <v>1</v>
      </c>
      <c r="HA75">
        <v>0.32797500000000002</v>
      </c>
      <c r="HB75">
        <v>2.2627799999999998</v>
      </c>
      <c r="HC75">
        <v>20.258700000000001</v>
      </c>
      <c r="HD75">
        <v>5.2103999999999999</v>
      </c>
      <c r="HE75">
        <v>11.872199999999999</v>
      </c>
      <c r="HF75">
        <v>4.9843999999999999</v>
      </c>
      <c r="HG75">
        <v>3.2839999999999998</v>
      </c>
      <c r="HH75">
        <v>9999</v>
      </c>
      <c r="HI75">
        <v>9999</v>
      </c>
      <c r="HJ75">
        <v>9999</v>
      </c>
      <c r="HK75">
        <v>999.9</v>
      </c>
      <c r="HL75">
        <v>1.85466</v>
      </c>
      <c r="HM75">
        <v>1.86077</v>
      </c>
      <c r="HN75">
        <v>1.8581099999999999</v>
      </c>
      <c r="HO75">
        <v>1.8593</v>
      </c>
      <c r="HP75">
        <v>1.85867</v>
      </c>
      <c r="HQ75">
        <v>1.85921</v>
      </c>
      <c r="HR75">
        <v>1.85758</v>
      </c>
      <c r="HS75">
        <v>1.86093</v>
      </c>
      <c r="HT75">
        <v>5</v>
      </c>
      <c r="HU75">
        <v>0</v>
      </c>
      <c r="HV75">
        <v>0</v>
      </c>
      <c r="HW75">
        <v>0</v>
      </c>
      <c r="HX75" t="s">
        <v>421</v>
      </c>
      <c r="HY75" t="s">
        <v>422</v>
      </c>
      <c r="HZ75" t="s">
        <v>423</v>
      </c>
      <c r="IA75" t="s">
        <v>423</v>
      </c>
      <c r="IB75" t="s">
        <v>423</v>
      </c>
      <c r="IC75" t="s">
        <v>423</v>
      </c>
      <c r="ID75">
        <v>0</v>
      </c>
      <c r="IE75">
        <v>100</v>
      </c>
      <c r="IF75">
        <v>100</v>
      </c>
      <c r="IG75">
        <v>1.381</v>
      </c>
      <c r="IH75">
        <v>0.123</v>
      </c>
      <c r="II75">
        <v>1.1192533868826899</v>
      </c>
      <c r="IJ75">
        <v>1.6187016317407189E-3</v>
      </c>
      <c r="IK75">
        <v>1.4341569744255341E-7</v>
      </c>
      <c r="IL75">
        <v>-2.4096625942085749E-10</v>
      </c>
      <c r="IM75">
        <v>0.1229923069971362</v>
      </c>
      <c r="IN75">
        <v>0</v>
      </c>
      <c r="IO75">
        <v>0</v>
      </c>
      <c r="IP75">
        <v>0</v>
      </c>
      <c r="IQ75">
        <v>4</v>
      </c>
      <c r="IR75">
        <v>2205</v>
      </c>
      <c r="IS75">
        <v>1</v>
      </c>
      <c r="IT75">
        <v>21</v>
      </c>
      <c r="IU75">
        <v>0.8</v>
      </c>
      <c r="IV75">
        <v>0.5</v>
      </c>
      <c r="IW75">
        <v>0.57495099999999999</v>
      </c>
      <c r="IX75">
        <v>2.4694799999999999</v>
      </c>
      <c r="IY75">
        <v>1.49414</v>
      </c>
      <c r="IZ75">
        <v>2.3059099999999999</v>
      </c>
      <c r="JA75">
        <v>1.69434</v>
      </c>
      <c r="JB75">
        <v>2.2912599999999999</v>
      </c>
      <c r="JC75">
        <v>39.3917</v>
      </c>
      <c r="JD75">
        <v>23.991199999999999</v>
      </c>
      <c r="JE75">
        <v>18</v>
      </c>
      <c r="JF75">
        <v>495.012</v>
      </c>
      <c r="JG75">
        <v>448.79899999999998</v>
      </c>
      <c r="JH75">
        <v>24.711400000000001</v>
      </c>
      <c r="JI75">
        <v>31.429099999999998</v>
      </c>
      <c r="JJ75">
        <v>30.000299999999999</v>
      </c>
      <c r="JK75">
        <v>31.358000000000001</v>
      </c>
      <c r="JL75">
        <v>31.327300000000001</v>
      </c>
      <c r="JM75">
        <v>11.579000000000001</v>
      </c>
      <c r="JN75">
        <v>40.442100000000003</v>
      </c>
      <c r="JO75">
        <v>0</v>
      </c>
      <c r="JP75">
        <v>24.705500000000001</v>
      </c>
      <c r="JQ75">
        <v>200</v>
      </c>
      <c r="JR75">
        <v>18.115300000000001</v>
      </c>
      <c r="JS75">
        <v>99.012</v>
      </c>
      <c r="JT75">
        <v>99.639799999999994</v>
      </c>
    </row>
    <row r="76" spans="1:280" x14ac:dyDescent="0.25">
      <c r="A76">
        <v>60</v>
      </c>
      <c r="B76">
        <v>1674589805.5</v>
      </c>
      <c r="C76">
        <v>15752.900000095369</v>
      </c>
      <c r="D76" t="s">
        <v>722</v>
      </c>
      <c r="E76" t="s">
        <v>723</v>
      </c>
      <c r="F76" t="s">
        <v>412</v>
      </c>
      <c r="G76" t="s">
        <v>708</v>
      </c>
      <c r="H76" t="s">
        <v>414</v>
      </c>
      <c r="I76">
        <v>1674589805.5</v>
      </c>
      <c r="J76">
        <f t="shared" si="46"/>
        <v>6.0133455419692861E-3</v>
      </c>
      <c r="K76">
        <f t="shared" si="47"/>
        <v>6.0133455419692865</v>
      </c>
      <c r="L76">
        <f t="shared" si="48"/>
        <v>19.830419168825038</v>
      </c>
      <c r="M76">
        <f t="shared" si="49"/>
        <v>95.547799999999995</v>
      </c>
      <c r="N76">
        <f t="shared" si="50"/>
        <v>28.978838018681497</v>
      </c>
      <c r="O76">
        <f t="shared" si="51"/>
        <v>2.8860817643813093</v>
      </c>
      <c r="P76">
        <f t="shared" si="52"/>
        <v>9.5158668207808006</v>
      </c>
      <c r="Q76">
        <f t="shared" si="53"/>
        <v>0.52713103097033531</v>
      </c>
      <c r="R76">
        <f t="shared" si="54"/>
        <v>2.9151528314471085</v>
      </c>
      <c r="S76">
        <f t="shared" si="55"/>
        <v>0.479336066239898</v>
      </c>
      <c r="T76">
        <f t="shared" si="56"/>
        <v>0.3035172762088168</v>
      </c>
      <c r="U76">
        <f t="shared" si="57"/>
        <v>344.36430126402178</v>
      </c>
      <c r="V76">
        <f t="shared" si="58"/>
        <v>28.467636476513938</v>
      </c>
      <c r="W76">
        <f t="shared" si="59"/>
        <v>27.559200000000001</v>
      </c>
      <c r="X76">
        <f t="shared" si="60"/>
        <v>3.6984094759586577</v>
      </c>
      <c r="Y76">
        <f t="shared" si="61"/>
        <v>65.561825432590112</v>
      </c>
      <c r="Z76">
        <f t="shared" si="62"/>
        <v>2.4878066267327998</v>
      </c>
      <c r="AA76">
        <f t="shared" si="63"/>
        <v>3.7945963376061469</v>
      </c>
      <c r="AB76">
        <f t="shared" si="64"/>
        <v>1.2106028492258578</v>
      </c>
      <c r="AC76">
        <f t="shared" si="65"/>
        <v>-265.18853840084552</v>
      </c>
      <c r="AD76">
        <f t="shared" si="66"/>
        <v>69.104008041714735</v>
      </c>
      <c r="AE76">
        <f t="shared" si="67"/>
        <v>5.1558004336889365</v>
      </c>
      <c r="AF76">
        <f t="shared" si="68"/>
        <v>153.4355713385799</v>
      </c>
      <c r="AG76">
        <v>0</v>
      </c>
      <c r="AH76">
        <v>0</v>
      </c>
      <c r="AI76">
        <f t="shared" si="69"/>
        <v>1</v>
      </c>
      <c r="AJ76">
        <f t="shared" si="70"/>
        <v>0</v>
      </c>
      <c r="AK76">
        <f t="shared" si="71"/>
        <v>52276.999841751618</v>
      </c>
      <c r="AL76" t="s">
        <v>415</v>
      </c>
      <c r="AM76">
        <v>10214.9</v>
      </c>
      <c r="AN76">
        <v>729.4384</v>
      </c>
      <c r="AO76">
        <v>3170.19</v>
      </c>
      <c r="AP76">
        <f t="shared" si="72"/>
        <v>0.76990704027203416</v>
      </c>
      <c r="AQ76">
        <v>-0.45549566560547827</v>
      </c>
      <c r="AR76" t="s">
        <v>724</v>
      </c>
      <c r="AS76">
        <v>10103.799999999999</v>
      </c>
      <c r="AT76">
        <v>817.89296153846146</v>
      </c>
      <c r="AU76">
        <v>972.75894095125932</v>
      </c>
      <c r="AV76">
        <f t="shared" si="73"/>
        <v>0.15920283319252215</v>
      </c>
      <c r="AW76">
        <v>0.5</v>
      </c>
      <c r="AX76">
        <f t="shared" si="74"/>
        <v>1513.1598006320107</v>
      </c>
      <c r="AY76">
        <f t="shared" si="75"/>
        <v>19.830419168825038</v>
      </c>
      <c r="AZ76">
        <f t="shared" si="76"/>
        <v>120.44966366682404</v>
      </c>
      <c r="BA76">
        <f t="shared" si="77"/>
        <v>1.3406326830753483E-2</v>
      </c>
      <c r="BB76">
        <f t="shared" si="78"/>
        <v>2.2589677324372639</v>
      </c>
      <c r="BC76">
        <f t="shared" si="79"/>
        <v>479.96549857887589</v>
      </c>
      <c r="BD76" t="s">
        <v>725</v>
      </c>
      <c r="BE76">
        <v>575.67999999999995</v>
      </c>
      <c r="BF76">
        <f t="shared" si="80"/>
        <v>575.67999999999995</v>
      </c>
      <c r="BG76">
        <f t="shared" si="81"/>
        <v>0.40819870600516561</v>
      </c>
      <c r="BH76">
        <f t="shared" si="82"/>
        <v>0.39001307659830625</v>
      </c>
      <c r="BI76">
        <f t="shared" si="83"/>
        <v>0.84695416824322922</v>
      </c>
      <c r="BJ76">
        <f t="shared" si="84"/>
        <v>0.63646899192049633</v>
      </c>
      <c r="BK76">
        <f t="shared" si="85"/>
        <v>0.9003091748659473</v>
      </c>
      <c r="BL76">
        <f t="shared" si="86"/>
        <v>0.27451358367699402</v>
      </c>
      <c r="BM76">
        <f t="shared" si="87"/>
        <v>0.72548641632300592</v>
      </c>
      <c r="BN76">
        <v>9176</v>
      </c>
      <c r="BO76">
        <v>290.00000000000011</v>
      </c>
      <c r="BP76">
        <v>932.25</v>
      </c>
      <c r="BQ76">
        <v>285</v>
      </c>
      <c r="BR76">
        <v>10103.799999999999</v>
      </c>
      <c r="BS76">
        <v>932.09</v>
      </c>
      <c r="BT76">
        <v>0.16</v>
      </c>
      <c r="BU76">
        <v>300.00000000000011</v>
      </c>
      <c r="BV76">
        <v>24.2</v>
      </c>
      <c r="BW76">
        <v>972.75894095125932</v>
      </c>
      <c r="BX76">
        <v>1.5952896253179121</v>
      </c>
      <c r="BY76">
        <v>-41.095127650162667</v>
      </c>
      <c r="BZ76">
        <v>1.435595834154249</v>
      </c>
      <c r="CA76">
        <v>0.96695924868135241</v>
      </c>
      <c r="CB76">
        <v>-6.9069695216907702E-3</v>
      </c>
      <c r="CC76">
        <v>289.99999999999989</v>
      </c>
      <c r="CD76">
        <v>931.49</v>
      </c>
      <c r="CE76">
        <v>725</v>
      </c>
      <c r="CF76">
        <v>10084</v>
      </c>
      <c r="CG76">
        <v>932.01</v>
      </c>
      <c r="CH76">
        <v>-0.52</v>
      </c>
      <c r="CV76">
        <f t="shared" si="88"/>
        <v>1799.97</v>
      </c>
      <c r="CW76">
        <f t="shared" si="89"/>
        <v>1513.1598006320107</v>
      </c>
      <c r="CX76">
        <f t="shared" si="90"/>
        <v>0.8406583446568614</v>
      </c>
      <c r="CY76">
        <f t="shared" si="91"/>
        <v>0.19131668931372287</v>
      </c>
      <c r="CZ76">
        <v>6</v>
      </c>
      <c r="DA76">
        <v>0.5</v>
      </c>
      <c r="DB76" t="s">
        <v>418</v>
      </c>
      <c r="DC76">
        <v>2</v>
      </c>
      <c r="DD76">
        <v>1674589805.5</v>
      </c>
      <c r="DE76">
        <v>95.547799999999995</v>
      </c>
      <c r="DF76">
        <v>120.02800000000001</v>
      </c>
      <c r="DG76">
        <v>24.979800000000001</v>
      </c>
      <c r="DH76">
        <v>17.945699999999999</v>
      </c>
      <c r="DI76">
        <v>94.363200000000006</v>
      </c>
      <c r="DJ76">
        <v>24.860800000000001</v>
      </c>
      <c r="DK76">
        <v>500.11799999999999</v>
      </c>
      <c r="DL76">
        <v>99.492500000000007</v>
      </c>
      <c r="DM76">
        <v>0.10023600000000001</v>
      </c>
      <c r="DN76">
        <v>27.998899999999999</v>
      </c>
      <c r="DO76">
        <v>27.559200000000001</v>
      </c>
      <c r="DP76">
        <v>999.9</v>
      </c>
      <c r="DQ76">
        <v>0</v>
      </c>
      <c r="DR76">
        <v>0</v>
      </c>
      <c r="DS76">
        <v>9968.75</v>
      </c>
      <c r="DT76">
        <v>0</v>
      </c>
      <c r="DU76">
        <v>355.58800000000002</v>
      </c>
      <c r="DV76">
        <v>-24.479700000000001</v>
      </c>
      <c r="DW76">
        <v>97.995800000000003</v>
      </c>
      <c r="DX76">
        <v>122.221</v>
      </c>
      <c r="DY76">
        <v>7.0342000000000002</v>
      </c>
      <c r="DZ76">
        <v>120.02800000000001</v>
      </c>
      <c r="EA76">
        <v>17.945699999999999</v>
      </c>
      <c r="EB76">
        <v>2.4853100000000001</v>
      </c>
      <c r="EC76">
        <v>1.78546</v>
      </c>
      <c r="ED76">
        <v>20.930599999999998</v>
      </c>
      <c r="EE76">
        <v>15.66</v>
      </c>
      <c r="EF76">
        <v>1799.97</v>
      </c>
      <c r="EG76">
        <v>0.97799400000000003</v>
      </c>
      <c r="EH76">
        <v>2.2005899999999998E-2</v>
      </c>
      <c r="EI76">
        <v>0</v>
      </c>
      <c r="EJ76">
        <v>817.81500000000005</v>
      </c>
      <c r="EK76">
        <v>4.9990399999999999</v>
      </c>
      <c r="EL76">
        <v>15302.8</v>
      </c>
      <c r="EM76">
        <v>14820.4</v>
      </c>
      <c r="EN76">
        <v>48.125</v>
      </c>
      <c r="EO76">
        <v>49.561999999999998</v>
      </c>
      <c r="EP76">
        <v>49.061999999999998</v>
      </c>
      <c r="EQ76">
        <v>48</v>
      </c>
      <c r="ER76">
        <v>49</v>
      </c>
      <c r="ES76">
        <v>1755.47</v>
      </c>
      <c r="ET76">
        <v>39.5</v>
      </c>
      <c r="EU76">
        <v>0</v>
      </c>
      <c r="EV76">
        <v>134.39999985694891</v>
      </c>
      <c r="EW76">
        <v>0</v>
      </c>
      <c r="EX76">
        <v>817.89296153846146</v>
      </c>
      <c r="EY76">
        <v>-0.78690598375591692</v>
      </c>
      <c r="EZ76">
        <v>-2.3452991186671648</v>
      </c>
      <c r="FA76">
        <v>15302.95384615385</v>
      </c>
      <c r="FB76">
        <v>15</v>
      </c>
      <c r="FC76">
        <v>1674589772.5</v>
      </c>
      <c r="FD76" t="s">
        <v>726</v>
      </c>
      <c r="FE76">
        <v>1674589758.5</v>
      </c>
      <c r="FF76">
        <v>1674589772.5</v>
      </c>
      <c r="FG76">
        <v>70</v>
      </c>
      <c r="FH76">
        <v>-8.7999999999999995E-2</v>
      </c>
      <c r="FI76">
        <v>-4.0000000000000001E-3</v>
      </c>
      <c r="FJ76">
        <v>1.2250000000000001</v>
      </c>
      <c r="FK76">
        <v>7.0999999999999994E-2</v>
      </c>
      <c r="FL76">
        <v>120</v>
      </c>
      <c r="FM76">
        <v>18</v>
      </c>
      <c r="FN76">
        <v>0.09</v>
      </c>
      <c r="FO76">
        <v>0.02</v>
      </c>
      <c r="FP76">
        <v>19.795236054641919</v>
      </c>
      <c r="FQ76">
        <v>-0.53096877839390677</v>
      </c>
      <c r="FR76">
        <v>6.6643960691461099E-2</v>
      </c>
      <c r="FS76">
        <v>1</v>
      </c>
      <c r="FT76">
        <v>0.52663338934011761</v>
      </c>
      <c r="FU76">
        <v>2.142735946381227E-2</v>
      </c>
      <c r="FV76">
        <v>6.0148385378758816E-3</v>
      </c>
      <c r="FW76">
        <v>1</v>
      </c>
      <c r="FX76">
        <v>2</v>
      </c>
      <c r="FY76">
        <v>2</v>
      </c>
      <c r="FZ76" t="s">
        <v>420</v>
      </c>
      <c r="GA76">
        <v>2.9335599999999999</v>
      </c>
      <c r="GB76">
        <v>2.8334199999999998</v>
      </c>
      <c r="GC76">
        <v>2.5648600000000001E-2</v>
      </c>
      <c r="GD76">
        <v>3.1464899999999997E-2</v>
      </c>
      <c r="GE76">
        <v>0.122521</v>
      </c>
      <c r="GF76">
        <v>9.3903600000000004E-2</v>
      </c>
      <c r="GG76">
        <v>25215.3</v>
      </c>
      <c r="GH76">
        <v>31610.5</v>
      </c>
      <c r="GI76">
        <v>23284.799999999999</v>
      </c>
      <c r="GJ76">
        <v>29902.6</v>
      </c>
      <c r="GK76">
        <v>27795.8</v>
      </c>
      <c r="GL76">
        <v>38528.1</v>
      </c>
      <c r="GM76">
        <v>32865.300000000003</v>
      </c>
      <c r="GN76">
        <v>44363</v>
      </c>
      <c r="GO76">
        <v>1.9457800000000001</v>
      </c>
      <c r="GP76">
        <v>1.8382700000000001</v>
      </c>
      <c r="GQ76">
        <v>4.9188700000000002E-2</v>
      </c>
      <c r="GR76">
        <v>0</v>
      </c>
      <c r="GS76">
        <v>26.754999999999999</v>
      </c>
      <c r="GT76">
        <v>999.9</v>
      </c>
      <c r="GU76">
        <v>47.5</v>
      </c>
      <c r="GV76">
        <v>35.5</v>
      </c>
      <c r="GW76">
        <v>27.72</v>
      </c>
      <c r="GX76">
        <v>61.558700000000002</v>
      </c>
      <c r="GY76">
        <v>36.246000000000002</v>
      </c>
      <c r="GZ76">
        <v>1</v>
      </c>
      <c r="HA76">
        <v>0.33431899999999998</v>
      </c>
      <c r="HB76">
        <v>2.2991199999999998</v>
      </c>
      <c r="HC76">
        <v>20.258199999999999</v>
      </c>
      <c r="HD76">
        <v>5.2108499999999998</v>
      </c>
      <c r="HE76">
        <v>11.872199999999999</v>
      </c>
      <c r="HF76">
        <v>4.9847999999999999</v>
      </c>
      <c r="HG76">
        <v>3.2839999999999998</v>
      </c>
      <c r="HH76">
        <v>9999</v>
      </c>
      <c r="HI76">
        <v>9999</v>
      </c>
      <c r="HJ76">
        <v>9999</v>
      </c>
      <c r="HK76">
        <v>999.9</v>
      </c>
      <c r="HL76">
        <v>1.8547</v>
      </c>
      <c r="HM76">
        <v>1.8607800000000001</v>
      </c>
      <c r="HN76">
        <v>1.8581000000000001</v>
      </c>
      <c r="HO76">
        <v>1.85934</v>
      </c>
      <c r="HP76">
        <v>1.85867</v>
      </c>
      <c r="HQ76">
        <v>1.8592200000000001</v>
      </c>
      <c r="HR76">
        <v>1.8575999999999999</v>
      </c>
      <c r="HS76">
        <v>1.8609500000000001</v>
      </c>
      <c r="HT76">
        <v>5</v>
      </c>
      <c r="HU76">
        <v>0</v>
      </c>
      <c r="HV76">
        <v>0</v>
      </c>
      <c r="HW76">
        <v>0</v>
      </c>
      <c r="HX76" t="s">
        <v>421</v>
      </c>
      <c r="HY76" t="s">
        <v>422</v>
      </c>
      <c r="HZ76" t="s">
        <v>423</v>
      </c>
      <c r="IA76" t="s">
        <v>423</v>
      </c>
      <c r="IB76" t="s">
        <v>423</v>
      </c>
      <c r="IC76" t="s">
        <v>423</v>
      </c>
      <c r="ID76">
        <v>0</v>
      </c>
      <c r="IE76">
        <v>100</v>
      </c>
      <c r="IF76">
        <v>100</v>
      </c>
      <c r="IG76">
        <v>1.1850000000000001</v>
      </c>
      <c r="IH76">
        <v>0.11899999999999999</v>
      </c>
      <c r="II76">
        <v>1.030813265024759</v>
      </c>
      <c r="IJ76">
        <v>1.6187016317407189E-3</v>
      </c>
      <c r="IK76">
        <v>1.4341569744255341E-7</v>
      </c>
      <c r="IL76">
        <v>-2.4096625942085749E-10</v>
      </c>
      <c r="IM76">
        <v>0.1190165779113468</v>
      </c>
      <c r="IN76">
        <v>0</v>
      </c>
      <c r="IO76">
        <v>0</v>
      </c>
      <c r="IP76">
        <v>0</v>
      </c>
      <c r="IQ76">
        <v>4</v>
      </c>
      <c r="IR76">
        <v>2205</v>
      </c>
      <c r="IS76">
        <v>1</v>
      </c>
      <c r="IT76">
        <v>21</v>
      </c>
      <c r="IU76">
        <v>0.8</v>
      </c>
      <c r="IV76">
        <v>0.6</v>
      </c>
      <c r="IW76">
        <v>0.400391</v>
      </c>
      <c r="IX76">
        <v>2.4853499999999999</v>
      </c>
      <c r="IY76">
        <v>1.49414</v>
      </c>
      <c r="IZ76">
        <v>2.3046899999999999</v>
      </c>
      <c r="JA76">
        <v>1.69434</v>
      </c>
      <c r="JB76">
        <v>2.3120099999999999</v>
      </c>
      <c r="JC76">
        <v>39.416600000000003</v>
      </c>
      <c r="JD76">
        <v>23.9999</v>
      </c>
      <c r="JE76">
        <v>18</v>
      </c>
      <c r="JF76">
        <v>494.99200000000002</v>
      </c>
      <c r="JG76">
        <v>447.79</v>
      </c>
      <c r="JH76">
        <v>24.651700000000002</v>
      </c>
      <c r="JI76">
        <v>31.5045</v>
      </c>
      <c r="JJ76">
        <v>30.000399999999999</v>
      </c>
      <c r="JK76">
        <v>31.411999999999999</v>
      </c>
      <c r="JL76">
        <v>31.377800000000001</v>
      </c>
      <c r="JM76">
        <v>8.0799000000000003</v>
      </c>
      <c r="JN76">
        <v>41.5961</v>
      </c>
      <c r="JO76">
        <v>0</v>
      </c>
      <c r="JP76">
        <v>24.6525</v>
      </c>
      <c r="JQ76">
        <v>120</v>
      </c>
      <c r="JR76">
        <v>17.831700000000001</v>
      </c>
      <c r="JS76">
        <v>99.004599999999996</v>
      </c>
      <c r="JT76">
        <v>99.629199999999997</v>
      </c>
    </row>
    <row r="77" spans="1:280" x14ac:dyDescent="0.25">
      <c r="A77">
        <v>61</v>
      </c>
      <c r="B77">
        <v>1674589924</v>
      </c>
      <c r="C77">
        <v>15871.400000095369</v>
      </c>
      <c r="D77" t="s">
        <v>727</v>
      </c>
      <c r="E77" t="s">
        <v>728</v>
      </c>
      <c r="F77" t="s">
        <v>412</v>
      </c>
      <c r="G77" t="s">
        <v>708</v>
      </c>
      <c r="H77" t="s">
        <v>414</v>
      </c>
      <c r="I77">
        <v>1674589924</v>
      </c>
      <c r="J77">
        <f t="shared" si="46"/>
        <v>6.2830146241996477E-3</v>
      </c>
      <c r="K77">
        <f t="shared" si="47"/>
        <v>6.2830146241996481</v>
      </c>
      <c r="L77">
        <f t="shared" si="48"/>
        <v>12.012333879150626</v>
      </c>
      <c r="M77">
        <f t="shared" si="49"/>
        <v>55.195</v>
      </c>
      <c r="N77">
        <f t="shared" si="50"/>
        <v>16.729509563377185</v>
      </c>
      <c r="O77">
        <f t="shared" si="51"/>
        <v>1.6661093732132468</v>
      </c>
      <c r="P77">
        <f t="shared" si="52"/>
        <v>5.4969278391650001</v>
      </c>
      <c r="Q77">
        <f t="shared" si="53"/>
        <v>0.55479073367109055</v>
      </c>
      <c r="R77">
        <f t="shared" si="54"/>
        <v>2.9179750852464728</v>
      </c>
      <c r="S77">
        <f t="shared" si="55"/>
        <v>0.50216212351651246</v>
      </c>
      <c r="T77">
        <f t="shared" si="56"/>
        <v>0.3181627248982416</v>
      </c>
      <c r="U77">
        <f t="shared" si="57"/>
        <v>344.37000126400068</v>
      </c>
      <c r="V77">
        <f t="shared" si="58"/>
        <v>28.402704663005668</v>
      </c>
      <c r="W77">
        <f t="shared" si="59"/>
        <v>27.544899999999998</v>
      </c>
      <c r="X77">
        <f t="shared" si="60"/>
        <v>3.6953173287217167</v>
      </c>
      <c r="Y77">
        <f t="shared" si="61"/>
        <v>65.542748074192616</v>
      </c>
      <c r="Z77">
        <f t="shared" si="62"/>
        <v>2.4879237815258004</v>
      </c>
      <c r="AA77">
        <f t="shared" si="63"/>
        <v>3.7958795665838396</v>
      </c>
      <c r="AB77">
        <f t="shared" si="64"/>
        <v>1.2073935471959163</v>
      </c>
      <c r="AC77">
        <f t="shared" si="65"/>
        <v>-277.08094492720448</v>
      </c>
      <c r="AD77">
        <f t="shared" si="66"/>
        <v>72.332918711512647</v>
      </c>
      <c r="AE77">
        <f t="shared" si="67"/>
        <v>5.3912591953401092</v>
      </c>
      <c r="AF77">
        <f t="shared" si="68"/>
        <v>145.01323424364898</v>
      </c>
      <c r="AG77">
        <v>0</v>
      </c>
      <c r="AH77">
        <v>0</v>
      </c>
      <c r="AI77">
        <f t="shared" si="69"/>
        <v>1</v>
      </c>
      <c r="AJ77">
        <f t="shared" si="70"/>
        <v>0</v>
      </c>
      <c r="AK77">
        <f t="shared" si="71"/>
        <v>52356.927189575232</v>
      </c>
      <c r="AL77" t="s">
        <v>415</v>
      </c>
      <c r="AM77">
        <v>10214.9</v>
      </c>
      <c r="AN77">
        <v>729.4384</v>
      </c>
      <c r="AO77">
        <v>3170.19</v>
      </c>
      <c r="AP77">
        <f t="shared" si="72"/>
        <v>0.76990704027203416</v>
      </c>
      <c r="AQ77">
        <v>-0.45549566560547827</v>
      </c>
      <c r="AR77" t="s">
        <v>729</v>
      </c>
      <c r="AS77">
        <v>10118.9</v>
      </c>
      <c r="AT77">
        <v>836.95226923076928</v>
      </c>
      <c r="AU77">
        <v>945.06033479121675</v>
      </c>
      <c r="AV77">
        <f t="shared" si="73"/>
        <v>0.11439276581672508</v>
      </c>
      <c r="AW77">
        <v>0.5</v>
      </c>
      <c r="AX77">
        <f t="shared" si="74"/>
        <v>1513.1850006320001</v>
      </c>
      <c r="AY77">
        <f t="shared" si="75"/>
        <v>12.012333879150626</v>
      </c>
      <c r="AZ77">
        <f t="shared" si="76"/>
        <v>86.54870870733869</v>
      </c>
      <c r="BA77">
        <f t="shared" si="77"/>
        <v>8.2394614931741751E-3</v>
      </c>
      <c r="BB77">
        <f t="shared" si="78"/>
        <v>2.3544842411573224</v>
      </c>
      <c r="BC77">
        <f t="shared" si="79"/>
        <v>473.12358217376362</v>
      </c>
      <c r="BD77" t="s">
        <v>730</v>
      </c>
      <c r="BE77">
        <v>580.4</v>
      </c>
      <c r="BF77">
        <f t="shared" si="80"/>
        <v>580.4</v>
      </c>
      <c r="BG77">
        <f t="shared" si="81"/>
        <v>0.3858593164549412</v>
      </c>
      <c r="BH77">
        <f t="shared" si="82"/>
        <v>0.29646236578580404</v>
      </c>
      <c r="BI77">
        <f t="shared" si="83"/>
        <v>0.85919308716489873</v>
      </c>
      <c r="BJ77">
        <f t="shared" si="84"/>
        <v>0.50137786614857516</v>
      </c>
      <c r="BK77">
        <f t="shared" si="85"/>
        <v>0.9116575669596132</v>
      </c>
      <c r="BL77">
        <f t="shared" si="86"/>
        <v>0.20558729981128401</v>
      </c>
      <c r="BM77">
        <f t="shared" si="87"/>
        <v>0.79441270018871601</v>
      </c>
      <c r="BN77">
        <v>9178</v>
      </c>
      <c r="BO77">
        <v>290.00000000000011</v>
      </c>
      <c r="BP77">
        <v>918.88</v>
      </c>
      <c r="BQ77">
        <v>165</v>
      </c>
      <c r="BR77">
        <v>10118.9</v>
      </c>
      <c r="BS77">
        <v>920.51</v>
      </c>
      <c r="BT77">
        <v>-1.63</v>
      </c>
      <c r="BU77">
        <v>300.00000000000011</v>
      </c>
      <c r="BV77">
        <v>24.2</v>
      </c>
      <c r="BW77">
        <v>945.06033479121675</v>
      </c>
      <c r="BX77">
        <v>1.9024431952912151</v>
      </c>
      <c r="BY77">
        <v>-24.837974365663591</v>
      </c>
      <c r="BZ77">
        <v>1.7119712731544829</v>
      </c>
      <c r="CA77">
        <v>0.88259655133635317</v>
      </c>
      <c r="CB77">
        <v>-6.9066647385984531E-3</v>
      </c>
      <c r="CC77">
        <v>289.99999999999989</v>
      </c>
      <c r="CD77">
        <v>920.47</v>
      </c>
      <c r="CE77">
        <v>665</v>
      </c>
      <c r="CF77">
        <v>10087</v>
      </c>
      <c r="CG77">
        <v>920.44</v>
      </c>
      <c r="CH77">
        <v>0.03</v>
      </c>
      <c r="CV77">
        <f t="shared" si="88"/>
        <v>1800</v>
      </c>
      <c r="CW77">
        <f t="shared" si="89"/>
        <v>1513.1850006320001</v>
      </c>
      <c r="CX77">
        <f t="shared" si="90"/>
        <v>0.84065833368444454</v>
      </c>
      <c r="CY77">
        <f t="shared" si="91"/>
        <v>0.19131666736888928</v>
      </c>
      <c r="CZ77">
        <v>6</v>
      </c>
      <c r="DA77">
        <v>0.5</v>
      </c>
      <c r="DB77" t="s">
        <v>418</v>
      </c>
      <c r="DC77">
        <v>2</v>
      </c>
      <c r="DD77">
        <v>1674589924</v>
      </c>
      <c r="DE77">
        <v>55.195</v>
      </c>
      <c r="DF77">
        <v>70.024199999999993</v>
      </c>
      <c r="DG77">
        <v>24.981400000000001</v>
      </c>
      <c r="DH77">
        <v>17.631</v>
      </c>
      <c r="DI77">
        <v>54.151800000000001</v>
      </c>
      <c r="DJ77">
        <v>24.864799999999999</v>
      </c>
      <c r="DK77">
        <v>500.05900000000003</v>
      </c>
      <c r="DL77">
        <v>99.490899999999996</v>
      </c>
      <c r="DM77">
        <v>0.100147</v>
      </c>
      <c r="DN77">
        <v>28.0047</v>
      </c>
      <c r="DO77">
        <v>27.544899999999998</v>
      </c>
      <c r="DP77">
        <v>999.9</v>
      </c>
      <c r="DQ77">
        <v>0</v>
      </c>
      <c r="DR77">
        <v>0</v>
      </c>
      <c r="DS77">
        <v>9985</v>
      </c>
      <c r="DT77">
        <v>0</v>
      </c>
      <c r="DU77">
        <v>349.56400000000002</v>
      </c>
      <c r="DV77">
        <v>-14.8292</v>
      </c>
      <c r="DW77">
        <v>56.609200000000001</v>
      </c>
      <c r="DX77">
        <v>71.281000000000006</v>
      </c>
      <c r="DY77">
        <v>7.3503400000000001</v>
      </c>
      <c r="DZ77">
        <v>70.024199999999993</v>
      </c>
      <c r="EA77">
        <v>17.631</v>
      </c>
      <c r="EB77">
        <v>2.48542</v>
      </c>
      <c r="EC77">
        <v>1.75413</v>
      </c>
      <c r="ED77">
        <v>20.9313</v>
      </c>
      <c r="EE77">
        <v>15.383900000000001</v>
      </c>
      <c r="EF77">
        <v>1800</v>
      </c>
      <c r="EG77">
        <v>0.97799400000000003</v>
      </c>
      <c r="EH77">
        <v>2.2005899999999998E-2</v>
      </c>
      <c r="EI77">
        <v>0</v>
      </c>
      <c r="EJ77">
        <v>837.05799999999999</v>
      </c>
      <c r="EK77">
        <v>4.9990399999999999</v>
      </c>
      <c r="EL77">
        <v>15643.7</v>
      </c>
      <c r="EM77">
        <v>14820.7</v>
      </c>
      <c r="EN77">
        <v>48.125</v>
      </c>
      <c r="EO77">
        <v>49.625</v>
      </c>
      <c r="EP77">
        <v>49.125</v>
      </c>
      <c r="EQ77">
        <v>48</v>
      </c>
      <c r="ER77">
        <v>49.061999999999998</v>
      </c>
      <c r="ES77">
        <v>1755.5</v>
      </c>
      <c r="ET77">
        <v>39.5</v>
      </c>
      <c r="EU77">
        <v>0</v>
      </c>
      <c r="EV77">
        <v>116.5999999046326</v>
      </c>
      <c r="EW77">
        <v>0</v>
      </c>
      <c r="EX77">
        <v>836.95226923076928</v>
      </c>
      <c r="EY77">
        <v>-1.785606836869347</v>
      </c>
      <c r="EZ77">
        <v>-27.863247902566119</v>
      </c>
      <c r="FA77">
        <v>15643.43076923077</v>
      </c>
      <c r="FB77">
        <v>15</v>
      </c>
      <c r="FC77">
        <v>1674589890</v>
      </c>
      <c r="FD77" t="s">
        <v>731</v>
      </c>
      <c r="FE77">
        <v>1674589876</v>
      </c>
      <c r="FF77">
        <v>1674589890</v>
      </c>
      <c r="FG77">
        <v>71</v>
      </c>
      <c r="FH77">
        <v>-7.5999999999999998E-2</v>
      </c>
      <c r="FI77">
        <v>-2E-3</v>
      </c>
      <c r="FJ77">
        <v>1.0669999999999999</v>
      </c>
      <c r="FK77">
        <v>6.0999999999999999E-2</v>
      </c>
      <c r="FL77">
        <v>70</v>
      </c>
      <c r="FM77">
        <v>18</v>
      </c>
      <c r="FN77">
        <v>0.13</v>
      </c>
      <c r="FO77">
        <v>0.01</v>
      </c>
      <c r="FP77">
        <v>12.028191061496679</v>
      </c>
      <c r="FQ77">
        <v>-0.38535676228034321</v>
      </c>
      <c r="FR77">
        <v>4.4527462800547257E-2</v>
      </c>
      <c r="FS77">
        <v>1</v>
      </c>
      <c r="FT77">
        <v>0.55033968713406356</v>
      </c>
      <c r="FU77">
        <v>4.531660728062524E-2</v>
      </c>
      <c r="FV77">
        <v>5.3316841688196394E-3</v>
      </c>
      <c r="FW77">
        <v>1</v>
      </c>
      <c r="FX77">
        <v>2</v>
      </c>
      <c r="FY77">
        <v>2</v>
      </c>
      <c r="FZ77" t="s">
        <v>420</v>
      </c>
      <c r="GA77">
        <v>2.9333399999999998</v>
      </c>
      <c r="GB77">
        <v>2.8334700000000002</v>
      </c>
      <c r="GC77">
        <v>1.49835E-2</v>
      </c>
      <c r="GD77">
        <v>1.8796899999999998E-2</v>
      </c>
      <c r="GE77">
        <v>0.122518</v>
      </c>
      <c r="GF77">
        <v>9.27177E-2</v>
      </c>
      <c r="GG77">
        <v>25489.200000000001</v>
      </c>
      <c r="GH77">
        <v>32021.1</v>
      </c>
      <c r="GI77">
        <v>23283.4</v>
      </c>
      <c r="GJ77">
        <v>29900.6</v>
      </c>
      <c r="GK77">
        <v>27794.2</v>
      </c>
      <c r="GL77">
        <v>38577.1</v>
      </c>
      <c r="GM77">
        <v>32863.300000000003</v>
      </c>
      <c r="GN77">
        <v>44361.2</v>
      </c>
      <c r="GO77">
        <v>1.9454</v>
      </c>
      <c r="GP77">
        <v>1.8367</v>
      </c>
      <c r="GQ77">
        <v>4.7840199999999999E-2</v>
      </c>
      <c r="GR77">
        <v>0</v>
      </c>
      <c r="GS77">
        <v>26.762799999999999</v>
      </c>
      <c r="GT77">
        <v>999.9</v>
      </c>
      <c r="GU77">
        <v>47.5</v>
      </c>
      <c r="GV77">
        <v>35.5</v>
      </c>
      <c r="GW77">
        <v>27.722300000000001</v>
      </c>
      <c r="GX77">
        <v>61.148699999999998</v>
      </c>
      <c r="GY77">
        <v>36.902999999999999</v>
      </c>
      <c r="GZ77">
        <v>1</v>
      </c>
      <c r="HA77">
        <v>0.33949400000000002</v>
      </c>
      <c r="HB77">
        <v>2.3306</v>
      </c>
      <c r="HC77">
        <v>20.257999999999999</v>
      </c>
      <c r="HD77">
        <v>5.2096499999999999</v>
      </c>
      <c r="HE77">
        <v>11.872199999999999</v>
      </c>
      <c r="HF77">
        <v>4.9847000000000001</v>
      </c>
      <c r="HG77">
        <v>3.2839999999999998</v>
      </c>
      <c r="HH77">
        <v>9999</v>
      </c>
      <c r="HI77">
        <v>9999</v>
      </c>
      <c r="HJ77">
        <v>9999</v>
      </c>
      <c r="HK77">
        <v>999.9</v>
      </c>
      <c r="HL77">
        <v>1.8546899999999999</v>
      </c>
      <c r="HM77">
        <v>1.86077</v>
      </c>
      <c r="HN77">
        <v>1.8581000000000001</v>
      </c>
      <c r="HO77">
        <v>1.8593</v>
      </c>
      <c r="HP77">
        <v>1.85867</v>
      </c>
      <c r="HQ77">
        <v>1.8592500000000001</v>
      </c>
      <c r="HR77">
        <v>1.8575999999999999</v>
      </c>
      <c r="HS77">
        <v>1.8609100000000001</v>
      </c>
      <c r="HT77">
        <v>5</v>
      </c>
      <c r="HU77">
        <v>0</v>
      </c>
      <c r="HV77">
        <v>0</v>
      </c>
      <c r="HW77">
        <v>0</v>
      </c>
      <c r="HX77" t="s">
        <v>421</v>
      </c>
      <c r="HY77" t="s">
        <v>422</v>
      </c>
      <c r="HZ77" t="s">
        <v>423</v>
      </c>
      <c r="IA77" t="s">
        <v>423</v>
      </c>
      <c r="IB77" t="s">
        <v>423</v>
      </c>
      <c r="IC77" t="s">
        <v>423</v>
      </c>
      <c r="ID77">
        <v>0</v>
      </c>
      <c r="IE77">
        <v>100</v>
      </c>
      <c r="IF77">
        <v>100</v>
      </c>
      <c r="IG77">
        <v>1.0429999999999999</v>
      </c>
      <c r="IH77">
        <v>0.1166</v>
      </c>
      <c r="II77">
        <v>0.95516766959134247</v>
      </c>
      <c r="IJ77">
        <v>1.6187016317407189E-3</v>
      </c>
      <c r="IK77">
        <v>1.4341569744255341E-7</v>
      </c>
      <c r="IL77">
        <v>-2.4096625942085749E-10</v>
      </c>
      <c r="IM77">
        <v>0.11653838362561381</v>
      </c>
      <c r="IN77">
        <v>0</v>
      </c>
      <c r="IO77">
        <v>0</v>
      </c>
      <c r="IP77">
        <v>0</v>
      </c>
      <c r="IQ77">
        <v>4</v>
      </c>
      <c r="IR77">
        <v>2205</v>
      </c>
      <c r="IS77">
        <v>1</v>
      </c>
      <c r="IT77">
        <v>21</v>
      </c>
      <c r="IU77">
        <v>0.8</v>
      </c>
      <c r="IV77">
        <v>0.6</v>
      </c>
      <c r="IW77">
        <v>0.28930699999999998</v>
      </c>
      <c r="IX77">
        <v>2.4865699999999999</v>
      </c>
      <c r="IY77">
        <v>1.49414</v>
      </c>
      <c r="IZ77">
        <v>2.3059099999999999</v>
      </c>
      <c r="JA77">
        <v>1.69434</v>
      </c>
      <c r="JB77">
        <v>2.4084500000000002</v>
      </c>
      <c r="JC77">
        <v>39.441600000000001</v>
      </c>
      <c r="JD77">
        <v>23.9999</v>
      </c>
      <c r="JE77">
        <v>18</v>
      </c>
      <c r="JF77">
        <v>495.202</v>
      </c>
      <c r="JG77">
        <v>447.11799999999999</v>
      </c>
      <c r="JH77">
        <v>24.659500000000001</v>
      </c>
      <c r="JI77">
        <v>31.5684</v>
      </c>
      <c r="JJ77">
        <v>30.000299999999999</v>
      </c>
      <c r="JK77">
        <v>31.467099999999999</v>
      </c>
      <c r="JL77">
        <v>31.428999999999998</v>
      </c>
      <c r="JM77">
        <v>5.8728499999999997</v>
      </c>
      <c r="JN77">
        <v>43.194099999999999</v>
      </c>
      <c r="JO77">
        <v>0</v>
      </c>
      <c r="JP77">
        <v>24.6556</v>
      </c>
      <c r="JQ77">
        <v>70</v>
      </c>
      <c r="JR77">
        <v>17.525400000000001</v>
      </c>
      <c r="JS77">
        <v>98.998599999999996</v>
      </c>
      <c r="JT77">
        <v>99.624099999999999</v>
      </c>
    </row>
    <row r="78" spans="1:280" x14ac:dyDescent="0.25">
      <c r="A78">
        <v>62</v>
      </c>
      <c r="B78">
        <v>1674590065</v>
      </c>
      <c r="C78">
        <v>16012.400000095369</v>
      </c>
      <c r="D78" t="s">
        <v>732</v>
      </c>
      <c r="E78" t="s">
        <v>733</v>
      </c>
      <c r="F78" t="s">
        <v>412</v>
      </c>
      <c r="G78" t="s">
        <v>708</v>
      </c>
      <c r="H78" t="s">
        <v>414</v>
      </c>
      <c r="I78">
        <v>1674590065</v>
      </c>
      <c r="J78">
        <f t="shared" si="46"/>
        <v>6.5954332861353276E-3</v>
      </c>
      <c r="K78">
        <f t="shared" si="47"/>
        <v>6.5954332861353278</v>
      </c>
      <c r="L78">
        <f t="shared" si="48"/>
        <v>5.1417866224628623</v>
      </c>
      <c r="M78">
        <f t="shared" si="49"/>
        <v>23.6492</v>
      </c>
      <c r="N78">
        <f t="shared" si="50"/>
        <v>8.0223087692268145</v>
      </c>
      <c r="O78">
        <f t="shared" si="51"/>
        <v>0.7988971118503857</v>
      </c>
      <c r="P78">
        <f t="shared" si="52"/>
        <v>2.35509229587944</v>
      </c>
      <c r="Q78">
        <f t="shared" si="53"/>
        <v>0.58827451597206737</v>
      </c>
      <c r="R78">
        <f t="shared" si="54"/>
        <v>2.9191769616351664</v>
      </c>
      <c r="S78">
        <f t="shared" si="55"/>
        <v>0.52948303485251202</v>
      </c>
      <c r="T78">
        <f t="shared" si="56"/>
        <v>0.33571810327258755</v>
      </c>
      <c r="U78">
        <f t="shared" si="57"/>
        <v>344.37380126398665</v>
      </c>
      <c r="V78">
        <f t="shared" si="58"/>
        <v>28.316913985036919</v>
      </c>
      <c r="W78">
        <f t="shared" si="59"/>
        <v>27.508800000000001</v>
      </c>
      <c r="X78">
        <f t="shared" si="60"/>
        <v>3.6875213132784839</v>
      </c>
      <c r="Y78">
        <f t="shared" si="61"/>
        <v>65.495141796102757</v>
      </c>
      <c r="Z78">
        <f t="shared" si="62"/>
        <v>2.4855080761461599</v>
      </c>
      <c r="AA78">
        <f t="shared" si="63"/>
        <v>3.7949502939988413</v>
      </c>
      <c r="AB78">
        <f t="shared" si="64"/>
        <v>1.202013237132324</v>
      </c>
      <c r="AC78">
        <f t="shared" si="65"/>
        <v>-290.85860791856794</v>
      </c>
      <c r="AD78">
        <f t="shared" si="66"/>
        <v>77.383091230485135</v>
      </c>
      <c r="AE78">
        <f t="shared" si="67"/>
        <v>5.7641357716837005</v>
      </c>
      <c r="AF78">
        <f t="shared" si="68"/>
        <v>136.66242034758756</v>
      </c>
      <c r="AG78">
        <v>0</v>
      </c>
      <c r="AH78">
        <v>0</v>
      </c>
      <c r="AI78">
        <f t="shared" si="69"/>
        <v>1</v>
      </c>
      <c r="AJ78">
        <f t="shared" si="70"/>
        <v>0</v>
      </c>
      <c r="AK78">
        <f t="shared" si="71"/>
        <v>52392.017195128901</v>
      </c>
      <c r="AL78" t="s">
        <v>415</v>
      </c>
      <c r="AM78">
        <v>10214.9</v>
      </c>
      <c r="AN78">
        <v>729.4384</v>
      </c>
      <c r="AO78">
        <v>3170.19</v>
      </c>
      <c r="AP78">
        <f t="shared" si="72"/>
        <v>0.76990704027203416</v>
      </c>
      <c r="AQ78">
        <v>-0.45549566560547827</v>
      </c>
      <c r="AR78" t="s">
        <v>734</v>
      </c>
      <c r="AS78">
        <v>10110.5</v>
      </c>
      <c r="AT78">
        <v>850.11373076923076</v>
      </c>
      <c r="AU78">
        <v>932.34467282703667</v>
      </c>
      <c r="AV78">
        <f t="shared" si="73"/>
        <v>8.8198007083010288E-2</v>
      </c>
      <c r="AW78">
        <v>0.5</v>
      </c>
      <c r="AX78">
        <f t="shared" si="74"/>
        <v>1513.2018006319931</v>
      </c>
      <c r="AY78">
        <f t="shared" si="75"/>
        <v>5.1417866224628623</v>
      </c>
      <c r="AZ78">
        <f t="shared" si="76"/>
        <v>66.730691565082225</v>
      </c>
      <c r="BA78">
        <f t="shared" si="77"/>
        <v>3.6989661826536415E-3</v>
      </c>
      <c r="BB78">
        <f t="shared" si="78"/>
        <v>2.4002339396517534</v>
      </c>
      <c r="BC78">
        <f t="shared" si="79"/>
        <v>469.91511973931665</v>
      </c>
      <c r="BD78" t="s">
        <v>735</v>
      </c>
      <c r="BE78">
        <v>593.1</v>
      </c>
      <c r="BF78">
        <f t="shared" si="80"/>
        <v>593.1</v>
      </c>
      <c r="BG78">
        <f t="shared" si="81"/>
        <v>0.36386186644729335</v>
      </c>
      <c r="BH78">
        <f t="shared" si="82"/>
        <v>0.24239420289948438</v>
      </c>
      <c r="BI78">
        <f t="shared" si="83"/>
        <v>0.86836134057132774</v>
      </c>
      <c r="BJ78">
        <f t="shared" si="84"/>
        <v>0.40526564759238376</v>
      </c>
      <c r="BK78">
        <f t="shared" si="85"/>
        <v>0.91686729906188036</v>
      </c>
      <c r="BL78">
        <f t="shared" si="86"/>
        <v>0.16911149242301785</v>
      </c>
      <c r="BM78">
        <f t="shared" si="87"/>
        <v>0.83088850757698218</v>
      </c>
      <c r="BN78">
        <v>9180</v>
      </c>
      <c r="BO78">
        <v>290.00000000000011</v>
      </c>
      <c r="BP78">
        <v>907.19</v>
      </c>
      <c r="BQ78">
        <v>225</v>
      </c>
      <c r="BR78">
        <v>10110.5</v>
      </c>
      <c r="BS78">
        <v>908.41</v>
      </c>
      <c r="BT78">
        <v>-1.22</v>
      </c>
      <c r="BU78">
        <v>300.00000000000011</v>
      </c>
      <c r="BV78">
        <v>24.2</v>
      </c>
      <c r="BW78">
        <v>932.34467282703667</v>
      </c>
      <c r="BX78">
        <v>1.870579791468892</v>
      </c>
      <c r="BY78">
        <v>-24.19675416181644</v>
      </c>
      <c r="BZ78">
        <v>1.6832766755674979</v>
      </c>
      <c r="CA78">
        <v>0.88066555229248256</v>
      </c>
      <c r="CB78">
        <v>-6.906485650723021E-3</v>
      </c>
      <c r="CC78">
        <v>289.99999999999989</v>
      </c>
      <c r="CD78">
        <v>906.66</v>
      </c>
      <c r="CE78">
        <v>655</v>
      </c>
      <c r="CF78">
        <v>10087.5</v>
      </c>
      <c r="CG78">
        <v>908.36</v>
      </c>
      <c r="CH78">
        <v>-1.7</v>
      </c>
      <c r="CV78">
        <f t="shared" si="88"/>
        <v>1800.02</v>
      </c>
      <c r="CW78">
        <f t="shared" si="89"/>
        <v>1513.2018006319931</v>
      </c>
      <c r="CX78">
        <f t="shared" si="90"/>
        <v>0.84065832636970317</v>
      </c>
      <c r="CY78">
        <f t="shared" si="91"/>
        <v>0.1913166527394066</v>
      </c>
      <c r="CZ78">
        <v>6</v>
      </c>
      <c r="DA78">
        <v>0.5</v>
      </c>
      <c r="DB78" t="s">
        <v>418</v>
      </c>
      <c r="DC78">
        <v>2</v>
      </c>
      <c r="DD78">
        <v>1674590065</v>
      </c>
      <c r="DE78">
        <v>23.6492</v>
      </c>
      <c r="DF78">
        <v>30.004799999999999</v>
      </c>
      <c r="DG78">
        <v>24.9588</v>
      </c>
      <c r="DH78">
        <v>17.2439</v>
      </c>
      <c r="DI78">
        <v>22.599399999999999</v>
      </c>
      <c r="DJ78">
        <v>24.846599999999999</v>
      </c>
      <c r="DK78">
        <v>500.13499999999999</v>
      </c>
      <c r="DL78">
        <v>99.484499999999997</v>
      </c>
      <c r="DM78">
        <v>9.9938200000000005E-2</v>
      </c>
      <c r="DN78">
        <v>28.000499999999999</v>
      </c>
      <c r="DO78">
        <v>27.508800000000001</v>
      </c>
      <c r="DP78">
        <v>999.9</v>
      </c>
      <c r="DQ78">
        <v>0</v>
      </c>
      <c r="DR78">
        <v>0</v>
      </c>
      <c r="DS78">
        <v>9992.5</v>
      </c>
      <c r="DT78">
        <v>0</v>
      </c>
      <c r="DU78">
        <v>354.30200000000002</v>
      </c>
      <c r="DV78">
        <v>-6.3556100000000004</v>
      </c>
      <c r="DW78">
        <v>24.2546</v>
      </c>
      <c r="DX78">
        <v>30.531300000000002</v>
      </c>
      <c r="DY78">
        <v>7.7148399999999997</v>
      </c>
      <c r="DZ78">
        <v>30.004799999999999</v>
      </c>
      <c r="EA78">
        <v>17.2439</v>
      </c>
      <c r="EB78">
        <v>2.4830100000000002</v>
      </c>
      <c r="EC78">
        <v>1.7155</v>
      </c>
      <c r="ED78">
        <v>20.915600000000001</v>
      </c>
      <c r="EE78">
        <v>15.0374</v>
      </c>
      <c r="EF78">
        <v>1800.02</v>
      </c>
      <c r="EG78">
        <v>0.97799400000000003</v>
      </c>
      <c r="EH78">
        <v>2.2005899999999998E-2</v>
      </c>
      <c r="EI78">
        <v>0</v>
      </c>
      <c r="EJ78">
        <v>849.923</v>
      </c>
      <c r="EK78">
        <v>4.9990399999999999</v>
      </c>
      <c r="EL78">
        <v>15897.6</v>
      </c>
      <c r="EM78">
        <v>14820.8</v>
      </c>
      <c r="EN78">
        <v>48.186999999999998</v>
      </c>
      <c r="EO78">
        <v>49.625</v>
      </c>
      <c r="EP78">
        <v>49.125</v>
      </c>
      <c r="EQ78">
        <v>48.061999999999998</v>
      </c>
      <c r="ER78">
        <v>49.125</v>
      </c>
      <c r="ES78">
        <v>1755.52</v>
      </c>
      <c r="ET78">
        <v>39.5</v>
      </c>
      <c r="EU78">
        <v>0</v>
      </c>
      <c r="EV78">
        <v>138.79999995231631</v>
      </c>
      <c r="EW78">
        <v>0</v>
      </c>
      <c r="EX78">
        <v>850.11373076923076</v>
      </c>
      <c r="EY78">
        <v>-0.79292307949721164</v>
      </c>
      <c r="EZ78">
        <v>-14.44444444550855</v>
      </c>
      <c r="FA78">
        <v>15898.70384615385</v>
      </c>
      <c r="FB78">
        <v>15</v>
      </c>
      <c r="FC78">
        <v>1674590030.5</v>
      </c>
      <c r="FD78" t="s">
        <v>736</v>
      </c>
      <c r="FE78">
        <v>1674590013.5</v>
      </c>
      <c r="FF78">
        <v>1674590030.5</v>
      </c>
      <c r="FG78">
        <v>72</v>
      </c>
      <c r="FH78">
        <v>5.8000000000000003E-2</v>
      </c>
      <c r="FI78">
        <v>-4.0000000000000001E-3</v>
      </c>
      <c r="FJ78">
        <v>1.06</v>
      </c>
      <c r="FK78">
        <v>0.05</v>
      </c>
      <c r="FL78">
        <v>30</v>
      </c>
      <c r="FM78">
        <v>17</v>
      </c>
      <c r="FN78">
        <v>0.23</v>
      </c>
      <c r="FO78">
        <v>0.01</v>
      </c>
      <c r="FP78">
        <v>5.2148789135407654</v>
      </c>
      <c r="FQ78">
        <v>-0.36308715695125732</v>
      </c>
      <c r="FR78">
        <v>4.4805149021245508E-2</v>
      </c>
      <c r="FS78">
        <v>1</v>
      </c>
      <c r="FT78">
        <v>0.58501723851107168</v>
      </c>
      <c r="FU78">
        <v>3.0823293279065411E-2</v>
      </c>
      <c r="FV78">
        <v>5.3493332711275297E-3</v>
      </c>
      <c r="FW78">
        <v>1</v>
      </c>
      <c r="FX78">
        <v>2</v>
      </c>
      <c r="FY78">
        <v>2</v>
      </c>
      <c r="FZ78" t="s">
        <v>420</v>
      </c>
      <c r="GA78">
        <v>2.9334600000000002</v>
      </c>
      <c r="GB78">
        <v>2.8333300000000001</v>
      </c>
      <c r="GC78">
        <v>6.31724E-3</v>
      </c>
      <c r="GD78">
        <v>8.1644300000000003E-3</v>
      </c>
      <c r="GE78">
        <v>0.12243</v>
      </c>
      <c r="GF78">
        <v>9.1244000000000006E-2</v>
      </c>
      <c r="GG78">
        <v>25710.9</v>
      </c>
      <c r="GH78">
        <v>32364.799999999999</v>
      </c>
      <c r="GI78">
        <v>23281.599999999999</v>
      </c>
      <c r="GJ78">
        <v>29898.3</v>
      </c>
      <c r="GK78">
        <v>27795.3</v>
      </c>
      <c r="GL78">
        <v>38637.9</v>
      </c>
      <c r="GM78">
        <v>32861.199999999997</v>
      </c>
      <c r="GN78">
        <v>44358.5</v>
      </c>
      <c r="GO78">
        <v>1.9452</v>
      </c>
      <c r="GP78">
        <v>1.8348500000000001</v>
      </c>
      <c r="GQ78">
        <v>4.59105E-2</v>
      </c>
      <c r="GR78">
        <v>0</v>
      </c>
      <c r="GS78">
        <v>26.758199999999999</v>
      </c>
      <c r="GT78">
        <v>999.9</v>
      </c>
      <c r="GU78">
        <v>47.6</v>
      </c>
      <c r="GV78">
        <v>35.5</v>
      </c>
      <c r="GW78">
        <v>27.7849</v>
      </c>
      <c r="GX78">
        <v>61.2087</v>
      </c>
      <c r="GY78">
        <v>36.350200000000001</v>
      </c>
      <c r="GZ78">
        <v>1</v>
      </c>
      <c r="HA78">
        <v>0.34423799999999999</v>
      </c>
      <c r="HB78">
        <v>2.2923300000000002</v>
      </c>
      <c r="HC78">
        <v>20.257100000000001</v>
      </c>
      <c r="HD78">
        <v>5.2095000000000002</v>
      </c>
      <c r="HE78">
        <v>11.872199999999999</v>
      </c>
      <c r="HF78">
        <v>4.9836</v>
      </c>
      <c r="HG78">
        <v>3.2839999999999998</v>
      </c>
      <c r="HH78">
        <v>9999</v>
      </c>
      <c r="HI78">
        <v>9999</v>
      </c>
      <c r="HJ78">
        <v>9999</v>
      </c>
      <c r="HK78">
        <v>999.9</v>
      </c>
      <c r="HL78">
        <v>1.8547</v>
      </c>
      <c r="HM78">
        <v>1.8608100000000001</v>
      </c>
      <c r="HN78">
        <v>1.8582000000000001</v>
      </c>
      <c r="HO78">
        <v>1.8594200000000001</v>
      </c>
      <c r="HP78">
        <v>1.8587100000000001</v>
      </c>
      <c r="HQ78">
        <v>1.85928</v>
      </c>
      <c r="HR78">
        <v>1.85762</v>
      </c>
      <c r="HS78">
        <v>1.8609599999999999</v>
      </c>
      <c r="HT78">
        <v>5</v>
      </c>
      <c r="HU78">
        <v>0</v>
      </c>
      <c r="HV78">
        <v>0</v>
      </c>
      <c r="HW78">
        <v>0</v>
      </c>
      <c r="HX78" t="s">
        <v>421</v>
      </c>
      <c r="HY78" t="s">
        <v>422</v>
      </c>
      <c r="HZ78" t="s">
        <v>423</v>
      </c>
      <c r="IA78" t="s">
        <v>423</v>
      </c>
      <c r="IB78" t="s">
        <v>423</v>
      </c>
      <c r="IC78" t="s">
        <v>423</v>
      </c>
      <c r="ID78">
        <v>0</v>
      </c>
      <c r="IE78">
        <v>100</v>
      </c>
      <c r="IF78">
        <v>100</v>
      </c>
      <c r="IG78">
        <v>1.05</v>
      </c>
      <c r="IH78">
        <v>0.11219999999999999</v>
      </c>
      <c r="II78">
        <v>1.013190928798344</v>
      </c>
      <c r="IJ78">
        <v>1.6187016317407189E-3</v>
      </c>
      <c r="IK78">
        <v>1.4341569744255341E-7</v>
      </c>
      <c r="IL78">
        <v>-2.4096625942085749E-10</v>
      </c>
      <c r="IM78">
        <v>0.1121988293203505</v>
      </c>
      <c r="IN78">
        <v>0</v>
      </c>
      <c r="IO78">
        <v>0</v>
      </c>
      <c r="IP78">
        <v>0</v>
      </c>
      <c r="IQ78">
        <v>4</v>
      </c>
      <c r="IR78">
        <v>2205</v>
      </c>
      <c r="IS78">
        <v>1</v>
      </c>
      <c r="IT78">
        <v>21</v>
      </c>
      <c r="IU78">
        <v>0.9</v>
      </c>
      <c r="IV78">
        <v>0.6</v>
      </c>
      <c r="IW78">
        <v>0.20263700000000001</v>
      </c>
      <c r="IX78">
        <v>2.5268600000000001</v>
      </c>
      <c r="IY78">
        <v>1.49414</v>
      </c>
      <c r="IZ78">
        <v>2.3059099999999999</v>
      </c>
      <c r="JA78">
        <v>1.69434</v>
      </c>
      <c r="JB78">
        <v>2.2973599999999998</v>
      </c>
      <c r="JC78">
        <v>39.4666</v>
      </c>
      <c r="JD78">
        <v>23.991199999999999</v>
      </c>
      <c r="JE78">
        <v>18</v>
      </c>
      <c r="JF78">
        <v>495.565</v>
      </c>
      <c r="JG78">
        <v>446.327</v>
      </c>
      <c r="JH78">
        <v>24.675699999999999</v>
      </c>
      <c r="JI78">
        <v>31.631499999999999</v>
      </c>
      <c r="JJ78">
        <v>30.0002</v>
      </c>
      <c r="JK78">
        <v>31.5274</v>
      </c>
      <c r="JL78">
        <v>31.489100000000001</v>
      </c>
      <c r="JM78">
        <v>4.1090099999999996</v>
      </c>
      <c r="JN78">
        <v>44.342300000000002</v>
      </c>
      <c r="JO78">
        <v>0</v>
      </c>
      <c r="JP78">
        <v>24.677</v>
      </c>
      <c r="JQ78">
        <v>30</v>
      </c>
      <c r="JR78">
        <v>17.185199999999998</v>
      </c>
      <c r="JS78">
        <v>98.991699999999994</v>
      </c>
      <c r="JT78">
        <v>99.617400000000004</v>
      </c>
    </row>
    <row r="79" spans="1:280" x14ac:dyDescent="0.25">
      <c r="A79">
        <v>63</v>
      </c>
      <c r="B79">
        <v>1674590176</v>
      </c>
      <c r="C79">
        <v>16123.400000095369</v>
      </c>
      <c r="D79" t="s">
        <v>737</v>
      </c>
      <c r="E79" t="s">
        <v>738</v>
      </c>
      <c r="F79" t="s">
        <v>412</v>
      </c>
      <c r="G79" t="s">
        <v>708</v>
      </c>
      <c r="H79" t="s">
        <v>414</v>
      </c>
      <c r="I79">
        <v>1674590176</v>
      </c>
      <c r="J79">
        <f t="shared" si="46"/>
        <v>6.7255454905068559E-3</v>
      </c>
      <c r="K79">
        <f t="shared" si="47"/>
        <v>6.7255454905068559</v>
      </c>
      <c r="L79">
        <f t="shared" si="48"/>
        <v>1.5721073870102895</v>
      </c>
      <c r="M79">
        <f t="shared" si="49"/>
        <v>8.0729600000000001</v>
      </c>
      <c r="N79">
        <f t="shared" si="50"/>
        <v>3.3822521950193885</v>
      </c>
      <c r="O79">
        <f t="shared" si="51"/>
        <v>0.33680290872083529</v>
      </c>
      <c r="P79">
        <f t="shared" si="52"/>
        <v>0.80390114432947202</v>
      </c>
      <c r="Q79">
        <f t="shared" si="53"/>
        <v>0.60291566686969433</v>
      </c>
      <c r="R79">
        <f t="shared" si="54"/>
        <v>2.9220519682269597</v>
      </c>
      <c r="S79">
        <f t="shared" si="55"/>
        <v>0.54137899168326831</v>
      </c>
      <c r="T79">
        <f t="shared" si="56"/>
        <v>0.34336580519055643</v>
      </c>
      <c r="U79">
        <f t="shared" si="57"/>
        <v>344.31870126419034</v>
      </c>
      <c r="V79">
        <f t="shared" si="58"/>
        <v>28.28400334329439</v>
      </c>
      <c r="W79">
        <f t="shared" si="59"/>
        <v>27.495799999999999</v>
      </c>
      <c r="X79">
        <f t="shared" si="60"/>
        <v>3.6847174010441548</v>
      </c>
      <c r="Y79">
        <f t="shared" si="61"/>
        <v>65.5012514555428</v>
      </c>
      <c r="Z79">
        <f t="shared" si="62"/>
        <v>2.4859717994195396</v>
      </c>
      <c r="AA79">
        <f t="shared" si="63"/>
        <v>3.7953042791965981</v>
      </c>
      <c r="AB79">
        <f t="shared" si="64"/>
        <v>1.1987456016246152</v>
      </c>
      <c r="AC79">
        <f t="shared" si="65"/>
        <v>-296.59655613135237</v>
      </c>
      <c r="AD79">
        <f t="shared" si="66"/>
        <v>79.759294949505474</v>
      </c>
      <c r="AE79">
        <f t="shared" si="67"/>
        <v>5.9349524742223441</v>
      </c>
      <c r="AF79">
        <f t="shared" si="68"/>
        <v>133.41639255656582</v>
      </c>
      <c r="AG79">
        <v>0</v>
      </c>
      <c r="AH79">
        <v>0</v>
      </c>
      <c r="AI79">
        <f t="shared" si="69"/>
        <v>1</v>
      </c>
      <c r="AJ79">
        <f t="shared" si="70"/>
        <v>0</v>
      </c>
      <c r="AK79">
        <f t="shared" si="71"/>
        <v>52474.188635472507</v>
      </c>
      <c r="AL79" t="s">
        <v>415</v>
      </c>
      <c r="AM79">
        <v>10214.9</v>
      </c>
      <c r="AN79">
        <v>729.4384</v>
      </c>
      <c r="AO79">
        <v>3170.19</v>
      </c>
      <c r="AP79">
        <f t="shared" si="72"/>
        <v>0.76990704027203416</v>
      </c>
      <c r="AQ79">
        <v>-0.45549566560547827</v>
      </c>
      <c r="AR79" t="s">
        <v>739</v>
      </c>
      <c r="AS79">
        <v>10109.1</v>
      </c>
      <c r="AT79">
        <v>853.85104000000001</v>
      </c>
      <c r="AU79">
        <v>913.92112040867039</v>
      </c>
      <c r="AV79">
        <f t="shared" si="73"/>
        <v>6.57278610453923E-2</v>
      </c>
      <c r="AW79">
        <v>0.5</v>
      </c>
      <c r="AX79">
        <f t="shared" si="74"/>
        <v>1512.958200632095</v>
      </c>
      <c r="AY79">
        <f t="shared" si="75"/>
        <v>1.5721073870102895</v>
      </c>
      <c r="AZ79">
        <f t="shared" si="76"/>
        <v>49.721753189316551</v>
      </c>
      <c r="BA79">
        <f t="shared" si="77"/>
        <v>1.3401580108218856E-3</v>
      </c>
      <c r="BB79">
        <f t="shared" si="78"/>
        <v>2.4687785731250118</v>
      </c>
      <c r="BC79">
        <f t="shared" si="79"/>
        <v>465.18865200500949</v>
      </c>
      <c r="BD79" t="s">
        <v>740</v>
      </c>
      <c r="BE79">
        <v>600.16999999999996</v>
      </c>
      <c r="BF79">
        <f t="shared" si="80"/>
        <v>600.16999999999996</v>
      </c>
      <c r="BG79">
        <f t="shared" si="81"/>
        <v>0.34330218812360191</v>
      </c>
      <c r="BH79">
        <f t="shared" si="82"/>
        <v>0.19145773991317469</v>
      </c>
      <c r="BI79">
        <f t="shared" si="83"/>
        <v>0.87791880202929529</v>
      </c>
      <c r="BJ79">
        <f t="shared" si="84"/>
        <v>0.3256135874167605</v>
      </c>
      <c r="BK79">
        <f t="shared" si="85"/>
        <v>0.92441561017160845</v>
      </c>
      <c r="BL79">
        <f t="shared" si="86"/>
        <v>0.1345752202441424</v>
      </c>
      <c r="BM79">
        <f t="shared" si="87"/>
        <v>0.86542477975585763</v>
      </c>
      <c r="BN79">
        <v>9182</v>
      </c>
      <c r="BO79">
        <v>290.00000000000011</v>
      </c>
      <c r="BP79">
        <v>897.28</v>
      </c>
      <c r="BQ79">
        <v>235</v>
      </c>
      <c r="BR79">
        <v>10109.1</v>
      </c>
      <c r="BS79">
        <v>896.09</v>
      </c>
      <c r="BT79">
        <v>1.19</v>
      </c>
      <c r="BU79">
        <v>300.00000000000011</v>
      </c>
      <c r="BV79">
        <v>24.2</v>
      </c>
      <c r="BW79">
        <v>913.92112040867039</v>
      </c>
      <c r="BX79">
        <v>1.3022547979683201</v>
      </c>
      <c r="BY79">
        <v>-18.030310344019721</v>
      </c>
      <c r="BZ79">
        <v>1.171844903257208</v>
      </c>
      <c r="CA79">
        <v>0.89423465407741987</v>
      </c>
      <c r="CB79">
        <v>-6.9065074527252584E-3</v>
      </c>
      <c r="CC79">
        <v>289.99999999999989</v>
      </c>
      <c r="CD79">
        <v>894.53</v>
      </c>
      <c r="CE79">
        <v>625</v>
      </c>
      <c r="CF79">
        <v>10089.200000000001</v>
      </c>
      <c r="CG79">
        <v>896.05</v>
      </c>
      <c r="CH79">
        <v>-1.52</v>
      </c>
      <c r="CV79">
        <f t="shared" si="88"/>
        <v>1799.73</v>
      </c>
      <c r="CW79">
        <f t="shared" si="89"/>
        <v>1512.958200632095</v>
      </c>
      <c r="CX79">
        <f t="shared" si="90"/>
        <v>0.84065843244936467</v>
      </c>
      <c r="CY79">
        <f t="shared" si="91"/>
        <v>0.19131686489872943</v>
      </c>
      <c r="CZ79">
        <v>6</v>
      </c>
      <c r="DA79">
        <v>0.5</v>
      </c>
      <c r="DB79" t="s">
        <v>418</v>
      </c>
      <c r="DC79">
        <v>2</v>
      </c>
      <c r="DD79">
        <v>1674590176</v>
      </c>
      <c r="DE79">
        <v>8.0729600000000001</v>
      </c>
      <c r="DF79">
        <v>10.0246</v>
      </c>
      <c r="DG79">
        <v>24.964700000000001</v>
      </c>
      <c r="DH79">
        <v>17.095700000000001</v>
      </c>
      <c r="DI79">
        <v>7.0868099999999998</v>
      </c>
      <c r="DJ79">
        <v>24.853300000000001</v>
      </c>
      <c r="DK79">
        <v>500.01100000000002</v>
      </c>
      <c r="DL79">
        <v>99.479699999999994</v>
      </c>
      <c r="DM79">
        <v>9.9778199999999997E-2</v>
      </c>
      <c r="DN79">
        <v>28.002099999999999</v>
      </c>
      <c r="DO79">
        <v>27.495799999999999</v>
      </c>
      <c r="DP79">
        <v>999.9</v>
      </c>
      <c r="DQ79">
        <v>0</v>
      </c>
      <c r="DR79">
        <v>0</v>
      </c>
      <c r="DS79">
        <v>10009.4</v>
      </c>
      <c r="DT79">
        <v>0</v>
      </c>
      <c r="DU79">
        <v>363.69600000000003</v>
      </c>
      <c r="DV79">
        <v>-1.9516899999999999</v>
      </c>
      <c r="DW79">
        <v>8.2796500000000002</v>
      </c>
      <c r="DX79">
        <v>10.199</v>
      </c>
      <c r="DY79">
        <v>7.8690499999999997</v>
      </c>
      <c r="DZ79">
        <v>10.0246</v>
      </c>
      <c r="EA79">
        <v>17.095700000000001</v>
      </c>
      <c r="EB79">
        <v>2.4834900000000002</v>
      </c>
      <c r="EC79">
        <v>1.70068</v>
      </c>
      <c r="ED79">
        <v>20.918700000000001</v>
      </c>
      <c r="EE79">
        <v>14.9026</v>
      </c>
      <c r="EF79">
        <v>1799.73</v>
      </c>
      <c r="EG79">
        <v>0.97799000000000003</v>
      </c>
      <c r="EH79">
        <v>2.2009600000000001E-2</v>
      </c>
      <c r="EI79">
        <v>0</v>
      </c>
      <c r="EJ79">
        <v>853.62400000000002</v>
      </c>
      <c r="EK79">
        <v>4.9990399999999999</v>
      </c>
      <c r="EL79">
        <v>15964.9</v>
      </c>
      <c r="EM79">
        <v>14818.4</v>
      </c>
      <c r="EN79">
        <v>48.25</v>
      </c>
      <c r="EO79">
        <v>49.686999999999998</v>
      </c>
      <c r="EP79">
        <v>49.186999999999998</v>
      </c>
      <c r="EQ79">
        <v>48.125</v>
      </c>
      <c r="ER79">
        <v>49.125</v>
      </c>
      <c r="ES79">
        <v>1755.23</v>
      </c>
      <c r="ET79">
        <v>39.5</v>
      </c>
      <c r="EU79">
        <v>0</v>
      </c>
      <c r="EV79">
        <v>109.2000000476837</v>
      </c>
      <c r="EW79">
        <v>0</v>
      </c>
      <c r="EX79">
        <v>853.85104000000001</v>
      </c>
      <c r="EY79">
        <v>-2.2985384776504132</v>
      </c>
      <c r="EZ79">
        <v>-9.715384616898902</v>
      </c>
      <c r="FA79">
        <v>15968.668</v>
      </c>
      <c r="FB79">
        <v>15</v>
      </c>
      <c r="FC79">
        <v>1674590140.5</v>
      </c>
      <c r="FD79" t="s">
        <v>741</v>
      </c>
      <c r="FE79">
        <v>1674590125.5</v>
      </c>
      <c r="FF79">
        <v>1674590140.5</v>
      </c>
      <c r="FG79">
        <v>73</v>
      </c>
      <c r="FH79">
        <v>-3.9E-2</v>
      </c>
      <c r="FI79">
        <v>-1E-3</v>
      </c>
      <c r="FJ79">
        <v>0.98899999999999999</v>
      </c>
      <c r="FK79">
        <v>4.9000000000000002E-2</v>
      </c>
      <c r="FL79">
        <v>10</v>
      </c>
      <c r="FM79">
        <v>17</v>
      </c>
      <c r="FN79">
        <v>0.39</v>
      </c>
      <c r="FO79">
        <v>0.01</v>
      </c>
      <c r="FP79">
        <v>1.587434157639966</v>
      </c>
      <c r="FQ79">
        <v>-0.52406132895729107</v>
      </c>
      <c r="FR79">
        <v>5.7925660341338357E-2</v>
      </c>
      <c r="FS79">
        <v>1</v>
      </c>
      <c r="FT79">
        <v>0.60674522674176257</v>
      </c>
      <c r="FU79">
        <v>-6.5194686779953843E-3</v>
      </c>
      <c r="FV79">
        <v>4.4733407039392074E-3</v>
      </c>
      <c r="FW79">
        <v>1</v>
      </c>
      <c r="FX79">
        <v>2</v>
      </c>
      <c r="FY79">
        <v>2</v>
      </c>
      <c r="FZ79" t="s">
        <v>420</v>
      </c>
      <c r="GA79">
        <v>2.93309</v>
      </c>
      <c r="GB79">
        <v>2.83331</v>
      </c>
      <c r="GC79">
        <v>1.9878999999999999E-3</v>
      </c>
      <c r="GD79">
        <v>2.73968E-3</v>
      </c>
      <c r="GE79">
        <v>0.122436</v>
      </c>
      <c r="GF79">
        <v>9.0670299999999995E-2</v>
      </c>
      <c r="GG79">
        <v>25821.7</v>
      </c>
      <c r="GH79">
        <v>32538.9</v>
      </c>
      <c r="GI79">
        <v>23280.7</v>
      </c>
      <c r="GJ79">
        <v>29896.1</v>
      </c>
      <c r="GK79">
        <v>27794.1</v>
      </c>
      <c r="GL79">
        <v>38659.599999999999</v>
      </c>
      <c r="GM79">
        <v>32860</v>
      </c>
      <c r="GN79">
        <v>44355.4</v>
      </c>
      <c r="GO79">
        <v>1.94495</v>
      </c>
      <c r="GP79">
        <v>1.8337699999999999</v>
      </c>
      <c r="GQ79">
        <v>4.6871599999999999E-2</v>
      </c>
      <c r="GR79">
        <v>0</v>
      </c>
      <c r="GS79">
        <v>26.729399999999998</v>
      </c>
      <c r="GT79">
        <v>999.9</v>
      </c>
      <c r="GU79">
        <v>47.6</v>
      </c>
      <c r="GV79">
        <v>35.5</v>
      </c>
      <c r="GW79">
        <v>27.781099999999999</v>
      </c>
      <c r="GX79">
        <v>61.448700000000002</v>
      </c>
      <c r="GY79">
        <v>37.027200000000001</v>
      </c>
      <c r="GZ79">
        <v>1</v>
      </c>
      <c r="HA79">
        <v>0.34727599999999997</v>
      </c>
      <c r="HB79">
        <v>2.1869000000000001</v>
      </c>
      <c r="HC79">
        <v>20.258099999999999</v>
      </c>
      <c r="HD79">
        <v>5.2090500000000004</v>
      </c>
      <c r="HE79">
        <v>11.872199999999999</v>
      </c>
      <c r="HF79">
        <v>4.9846000000000004</v>
      </c>
      <c r="HG79">
        <v>3.2837800000000001</v>
      </c>
      <c r="HH79">
        <v>9999</v>
      </c>
      <c r="HI79">
        <v>9999</v>
      </c>
      <c r="HJ79">
        <v>9999</v>
      </c>
      <c r="HK79">
        <v>999.9</v>
      </c>
      <c r="HL79">
        <v>1.8547</v>
      </c>
      <c r="HM79">
        <v>1.8607100000000001</v>
      </c>
      <c r="HN79">
        <v>1.85808</v>
      </c>
      <c r="HO79">
        <v>1.8592900000000001</v>
      </c>
      <c r="HP79">
        <v>1.85867</v>
      </c>
      <c r="HQ79">
        <v>1.8592</v>
      </c>
      <c r="HR79">
        <v>1.8575999999999999</v>
      </c>
      <c r="HS79">
        <v>1.8609199999999999</v>
      </c>
      <c r="HT79">
        <v>5</v>
      </c>
      <c r="HU79">
        <v>0</v>
      </c>
      <c r="HV79">
        <v>0</v>
      </c>
      <c r="HW79">
        <v>0</v>
      </c>
      <c r="HX79" t="s">
        <v>421</v>
      </c>
      <c r="HY79" t="s">
        <v>422</v>
      </c>
      <c r="HZ79" t="s">
        <v>423</v>
      </c>
      <c r="IA79" t="s">
        <v>423</v>
      </c>
      <c r="IB79" t="s">
        <v>423</v>
      </c>
      <c r="IC79" t="s">
        <v>423</v>
      </c>
      <c r="ID79">
        <v>0</v>
      </c>
      <c r="IE79">
        <v>100</v>
      </c>
      <c r="IF79">
        <v>100</v>
      </c>
      <c r="IG79">
        <v>0.98599999999999999</v>
      </c>
      <c r="IH79">
        <v>0.1114</v>
      </c>
      <c r="II79">
        <v>0.97466577304714286</v>
      </c>
      <c r="IJ79">
        <v>1.6187016317407189E-3</v>
      </c>
      <c r="IK79">
        <v>1.4341569744255341E-7</v>
      </c>
      <c r="IL79">
        <v>-2.4096625942085749E-10</v>
      </c>
      <c r="IM79">
        <v>0.1114216016823638</v>
      </c>
      <c r="IN79">
        <v>0</v>
      </c>
      <c r="IO79">
        <v>0</v>
      </c>
      <c r="IP79">
        <v>0</v>
      </c>
      <c r="IQ79">
        <v>4</v>
      </c>
      <c r="IR79">
        <v>2205</v>
      </c>
      <c r="IS79">
        <v>1</v>
      </c>
      <c r="IT79">
        <v>21</v>
      </c>
      <c r="IU79">
        <v>0.8</v>
      </c>
      <c r="IV79">
        <v>0.6</v>
      </c>
      <c r="IW79">
        <v>0.157471</v>
      </c>
      <c r="IX79">
        <v>2.52197</v>
      </c>
      <c r="IY79">
        <v>1.49414</v>
      </c>
      <c r="IZ79">
        <v>2.3046899999999999</v>
      </c>
      <c r="JA79">
        <v>1.69434</v>
      </c>
      <c r="JB79">
        <v>2.4230999999999998</v>
      </c>
      <c r="JC79">
        <v>39.491599999999998</v>
      </c>
      <c r="JD79">
        <v>23.9999</v>
      </c>
      <c r="JE79">
        <v>18</v>
      </c>
      <c r="JF79">
        <v>495.74799999999999</v>
      </c>
      <c r="JG79">
        <v>445.928</v>
      </c>
      <c r="JH79">
        <v>24.709199999999999</v>
      </c>
      <c r="JI79">
        <v>31.671099999999999</v>
      </c>
      <c r="JJ79">
        <v>30.0001</v>
      </c>
      <c r="JK79">
        <v>31.569400000000002</v>
      </c>
      <c r="JL79">
        <v>31.531199999999998</v>
      </c>
      <c r="JM79">
        <v>3.2195299999999998</v>
      </c>
      <c r="JN79">
        <v>44.965200000000003</v>
      </c>
      <c r="JO79">
        <v>0</v>
      </c>
      <c r="JP79">
        <v>24.719000000000001</v>
      </c>
      <c r="JQ79">
        <v>10</v>
      </c>
      <c r="JR79">
        <v>17.0303</v>
      </c>
      <c r="JS79">
        <v>98.988200000000006</v>
      </c>
      <c r="JT79">
        <v>99.610200000000006</v>
      </c>
    </row>
    <row r="80" spans="1:280" x14ac:dyDescent="0.25">
      <c r="A80">
        <v>64</v>
      </c>
      <c r="B80">
        <v>1674590365.5</v>
      </c>
      <c r="C80">
        <v>16312.900000095369</v>
      </c>
      <c r="D80" t="s">
        <v>742</v>
      </c>
      <c r="E80" t="s">
        <v>743</v>
      </c>
      <c r="F80" t="s">
        <v>412</v>
      </c>
      <c r="G80" t="s">
        <v>708</v>
      </c>
      <c r="H80" t="s">
        <v>414</v>
      </c>
      <c r="I80">
        <v>1674590365.5</v>
      </c>
      <c r="J80">
        <f t="shared" si="46"/>
        <v>6.4866566869982139E-3</v>
      </c>
      <c r="K80">
        <f t="shared" si="47"/>
        <v>6.4866566869982138</v>
      </c>
      <c r="L80">
        <f t="shared" si="48"/>
        <v>42.500453089422273</v>
      </c>
      <c r="M80">
        <f t="shared" si="49"/>
        <v>346.31299999999999</v>
      </c>
      <c r="N80">
        <f t="shared" si="50"/>
        <v>211.37296898607207</v>
      </c>
      <c r="O80">
        <f t="shared" si="51"/>
        <v>21.046094324068001</v>
      </c>
      <c r="P80">
        <f t="shared" si="52"/>
        <v>34.481873905699004</v>
      </c>
      <c r="Q80">
        <f t="shared" si="53"/>
        <v>0.57428891671296034</v>
      </c>
      <c r="R80">
        <f t="shared" si="54"/>
        <v>2.9140673055237327</v>
      </c>
      <c r="S80">
        <f t="shared" si="55"/>
        <v>0.51802881337265483</v>
      </c>
      <c r="T80">
        <f t="shared" si="56"/>
        <v>0.32836224704019201</v>
      </c>
      <c r="U80">
        <f t="shared" si="57"/>
        <v>344.36810126400769</v>
      </c>
      <c r="V80">
        <f t="shared" si="58"/>
        <v>28.336308007813788</v>
      </c>
      <c r="W80">
        <f t="shared" si="59"/>
        <v>27.440100000000001</v>
      </c>
      <c r="X80">
        <f t="shared" si="60"/>
        <v>3.6727247690581941</v>
      </c>
      <c r="Y80">
        <f t="shared" si="61"/>
        <v>64.974130620147392</v>
      </c>
      <c r="Z80">
        <f t="shared" si="62"/>
        <v>2.4643707285114997</v>
      </c>
      <c r="AA80">
        <f t="shared" si="63"/>
        <v>3.7928491000806703</v>
      </c>
      <c r="AB80">
        <f t="shared" si="64"/>
        <v>1.2083540405466944</v>
      </c>
      <c r="AC80">
        <f t="shared" si="65"/>
        <v>-286.06155989662125</v>
      </c>
      <c r="AD80">
        <f t="shared" si="66"/>
        <v>86.54815099338515</v>
      </c>
      <c r="AE80">
        <f t="shared" si="67"/>
        <v>6.4556123844513724</v>
      </c>
      <c r="AF80">
        <f t="shared" si="68"/>
        <v>151.31030474522299</v>
      </c>
      <c r="AG80">
        <v>0</v>
      </c>
      <c r="AH80">
        <v>0</v>
      </c>
      <c r="AI80">
        <f t="shared" si="69"/>
        <v>1</v>
      </c>
      <c r="AJ80">
        <f t="shared" si="70"/>
        <v>0</v>
      </c>
      <c r="AK80">
        <f t="shared" si="71"/>
        <v>52246.730195538148</v>
      </c>
      <c r="AL80" t="s">
        <v>415</v>
      </c>
      <c r="AM80">
        <v>10214.9</v>
      </c>
      <c r="AN80">
        <v>729.4384</v>
      </c>
      <c r="AO80">
        <v>3170.19</v>
      </c>
      <c r="AP80">
        <f t="shared" si="72"/>
        <v>0.76990704027203416</v>
      </c>
      <c r="AQ80">
        <v>-0.45549566560547827</v>
      </c>
      <c r="AR80" t="s">
        <v>744</v>
      </c>
      <c r="AS80">
        <v>10104.6</v>
      </c>
      <c r="AT80">
        <v>771.41191999999978</v>
      </c>
      <c r="AU80">
        <v>1034.881605853318</v>
      </c>
      <c r="AV80">
        <f t="shared" si="73"/>
        <v>0.25458920553146047</v>
      </c>
      <c r="AW80">
        <v>0.5</v>
      </c>
      <c r="AX80">
        <f t="shared" si="74"/>
        <v>1513.1766006320036</v>
      </c>
      <c r="AY80">
        <f t="shared" si="75"/>
        <v>42.500453089422273</v>
      </c>
      <c r="AZ80">
        <f t="shared" si="76"/>
        <v>192.61921429184892</v>
      </c>
      <c r="BA80">
        <f t="shared" si="77"/>
        <v>2.8387928241215516E-2</v>
      </c>
      <c r="BB80">
        <f t="shared" si="78"/>
        <v>2.0633359237127422</v>
      </c>
      <c r="BC80">
        <f t="shared" si="79"/>
        <v>494.61530024548085</v>
      </c>
      <c r="BD80" t="s">
        <v>745</v>
      </c>
      <c r="BE80">
        <v>581.13</v>
      </c>
      <c r="BF80">
        <f t="shared" si="80"/>
        <v>581.13</v>
      </c>
      <c r="BG80">
        <f t="shared" si="81"/>
        <v>0.43845750401484263</v>
      </c>
      <c r="BH80">
        <f t="shared" si="82"/>
        <v>0.58064739045461078</v>
      </c>
      <c r="BI80">
        <f t="shared" si="83"/>
        <v>0.82474272289814921</v>
      </c>
      <c r="BJ80">
        <f t="shared" si="84"/>
        <v>0.86258158899708315</v>
      </c>
      <c r="BK80">
        <f t="shared" si="85"/>
        <v>0.87485690643270786</v>
      </c>
      <c r="BL80">
        <f t="shared" si="86"/>
        <v>0.43742079849490534</v>
      </c>
      <c r="BM80">
        <f t="shared" si="87"/>
        <v>0.56257920150509466</v>
      </c>
      <c r="BN80">
        <v>9184</v>
      </c>
      <c r="BO80">
        <v>290.00000000000011</v>
      </c>
      <c r="BP80">
        <v>977.31</v>
      </c>
      <c r="BQ80">
        <v>285</v>
      </c>
      <c r="BR80">
        <v>10104.6</v>
      </c>
      <c r="BS80">
        <v>978.31</v>
      </c>
      <c r="BT80">
        <v>-1</v>
      </c>
      <c r="BU80">
        <v>300.00000000000011</v>
      </c>
      <c r="BV80">
        <v>24.2</v>
      </c>
      <c r="BW80">
        <v>1034.881605853318</v>
      </c>
      <c r="BX80">
        <v>2.378914517498353</v>
      </c>
      <c r="BY80">
        <v>-57.162330176754303</v>
      </c>
      <c r="BZ80">
        <v>2.1409230879266681</v>
      </c>
      <c r="CA80">
        <v>0.96220721276849608</v>
      </c>
      <c r="CB80">
        <v>-6.9076367074527318E-3</v>
      </c>
      <c r="CC80">
        <v>289.99999999999989</v>
      </c>
      <c r="CD80">
        <v>978.66</v>
      </c>
      <c r="CE80">
        <v>635</v>
      </c>
      <c r="CF80">
        <v>10089.700000000001</v>
      </c>
      <c r="CG80">
        <v>978.23</v>
      </c>
      <c r="CH80">
        <v>0.43</v>
      </c>
      <c r="CV80">
        <f t="shared" si="88"/>
        <v>1799.99</v>
      </c>
      <c r="CW80">
        <f t="shared" si="89"/>
        <v>1513.1766006320036</v>
      </c>
      <c r="CX80">
        <f t="shared" si="90"/>
        <v>0.84065833734187612</v>
      </c>
      <c r="CY80">
        <f t="shared" si="91"/>
        <v>0.19131667468375252</v>
      </c>
      <c r="CZ80">
        <v>6</v>
      </c>
      <c r="DA80">
        <v>0.5</v>
      </c>
      <c r="DB80" t="s">
        <v>418</v>
      </c>
      <c r="DC80">
        <v>2</v>
      </c>
      <c r="DD80">
        <v>1674590365.5</v>
      </c>
      <c r="DE80">
        <v>346.31299999999999</v>
      </c>
      <c r="DF80">
        <v>399.99700000000001</v>
      </c>
      <c r="DG80">
        <v>24.750499999999999</v>
      </c>
      <c r="DH80">
        <v>17.160900000000002</v>
      </c>
      <c r="DI80">
        <v>344.52499999999998</v>
      </c>
      <c r="DJ80">
        <v>24.6355</v>
      </c>
      <c r="DK80">
        <v>500.11399999999998</v>
      </c>
      <c r="DL80">
        <v>99.468199999999996</v>
      </c>
      <c r="DM80">
        <v>0.100323</v>
      </c>
      <c r="DN80">
        <v>27.991</v>
      </c>
      <c r="DO80">
        <v>27.440100000000001</v>
      </c>
      <c r="DP80">
        <v>999.9</v>
      </c>
      <c r="DQ80">
        <v>0</v>
      </c>
      <c r="DR80">
        <v>0</v>
      </c>
      <c r="DS80">
        <v>9965</v>
      </c>
      <c r="DT80">
        <v>0</v>
      </c>
      <c r="DU80">
        <v>364.31299999999999</v>
      </c>
      <c r="DV80">
        <v>-53.683500000000002</v>
      </c>
      <c r="DW80">
        <v>355.10199999999998</v>
      </c>
      <c r="DX80">
        <v>406.98099999999999</v>
      </c>
      <c r="DY80">
        <v>7.58962</v>
      </c>
      <c r="DZ80">
        <v>399.99700000000001</v>
      </c>
      <c r="EA80">
        <v>17.160900000000002</v>
      </c>
      <c r="EB80">
        <v>2.4618899999999999</v>
      </c>
      <c r="EC80">
        <v>1.70696</v>
      </c>
      <c r="ED80">
        <v>20.776700000000002</v>
      </c>
      <c r="EE80">
        <v>14.959899999999999</v>
      </c>
      <c r="EF80">
        <v>1799.99</v>
      </c>
      <c r="EG80">
        <v>0.97799400000000003</v>
      </c>
      <c r="EH80">
        <v>2.2005899999999998E-2</v>
      </c>
      <c r="EI80">
        <v>0</v>
      </c>
      <c r="EJ80">
        <v>770.13400000000001</v>
      </c>
      <c r="EK80">
        <v>4.9990399999999999</v>
      </c>
      <c r="EL80">
        <v>14453.9</v>
      </c>
      <c r="EM80">
        <v>14820.5</v>
      </c>
      <c r="EN80">
        <v>48.25</v>
      </c>
      <c r="EO80">
        <v>49.686999999999998</v>
      </c>
      <c r="EP80">
        <v>49.186999999999998</v>
      </c>
      <c r="EQ80">
        <v>48.125</v>
      </c>
      <c r="ER80">
        <v>49.186999999999998</v>
      </c>
      <c r="ES80">
        <v>1755.49</v>
      </c>
      <c r="ET80">
        <v>39.5</v>
      </c>
      <c r="EU80">
        <v>0</v>
      </c>
      <c r="EV80">
        <v>187.79999995231631</v>
      </c>
      <c r="EW80">
        <v>0</v>
      </c>
      <c r="EX80">
        <v>771.41191999999978</v>
      </c>
      <c r="EY80">
        <v>-9.0407692128773327</v>
      </c>
      <c r="EZ80">
        <v>-169.62307663877769</v>
      </c>
      <c r="FA80">
        <v>14473.98</v>
      </c>
      <c r="FB80">
        <v>15</v>
      </c>
      <c r="FC80">
        <v>1674590281.5</v>
      </c>
      <c r="FD80" t="s">
        <v>746</v>
      </c>
      <c r="FE80">
        <v>1674590267.5</v>
      </c>
      <c r="FF80">
        <v>1674590281.5</v>
      </c>
      <c r="FG80">
        <v>74</v>
      </c>
      <c r="FH80">
        <v>0.249</v>
      </c>
      <c r="FI80">
        <v>4.0000000000000001E-3</v>
      </c>
      <c r="FJ80">
        <v>1.8759999999999999</v>
      </c>
      <c r="FK80">
        <v>4.7E-2</v>
      </c>
      <c r="FL80">
        <v>400</v>
      </c>
      <c r="FM80">
        <v>17</v>
      </c>
      <c r="FN80">
        <v>0.08</v>
      </c>
      <c r="FO80">
        <v>0.01</v>
      </c>
      <c r="FP80">
        <v>41.52008927098192</v>
      </c>
      <c r="FQ80">
        <v>5.1799450532664952</v>
      </c>
      <c r="FR80">
        <v>0.51158502120211136</v>
      </c>
      <c r="FS80">
        <v>0</v>
      </c>
      <c r="FT80">
        <v>0.57702489883210184</v>
      </c>
      <c r="FU80">
        <v>-1.6376078304057979E-2</v>
      </c>
      <c r="FV80">
        <v>1.646445084935602E-3</v>
      </c>
      <c r="FW80">
        <v>1</v>
      </c>
      <c r="FX80">
        <v>1</v>
      </c>
      <c r="FY80">
        <v>2</v>
      </c>
      <c r="FZ80" t="s">
        <v>459</v>
      </c>
      <c r="GA80">
        <v>2.9333100000000001</v>
      </c>
      <c r="GB80">
        <v>2.8334800000000002</v>
      </c>
      <c r="GC80">
        <v>8.0422800000000003E-2</v>
      </c>
      <c r="GD80">
        <v>8.8511800000000002E-2</v>
      </c>
      <c r="GE80">
        <v>0.12166</v>
      </c>
      <c r="GF80">
        <v>9.0895100000000006E-2</v>
      </c>
      <c r="GG80">
        <v>23793</v>
      </c>
      <c r="GH80">
        <v>29741.7</v>
      </c>
      <c r="GI80">
        <v>23279.5</v>
      </c>
      <c r="GJ80">
        <v>29895.4</v>
      </c>
      <c r="GK80">
        <v>27819.9</v>
      </c>
      <c r="GL80">
        <v>38651.9</v>
      </c>
      <c r="GM80">
        <v>32859.300000000003</v>
      </c>
      <c r="GN80">
        <v>44355.199999999997</v>
      </c>
      <c r="GO80">
        <v>1.94445</v>
      </c>
      <c r="GP80">
        <v>1.83433</v>
      </c>
      <c r="GQ80">
        <v>4.5556600000000003E-2</v>
      </c>
      <c r="GR80">
        <v>0</v>
      </c>
      <c r="GS80">
        <v>26.6951</v>
      </c>
      <c r="GT80">
        <v>999.9</v>
      </c>
      <c r="GU80">
        <v>47.7</v>
      </c>
      <c r="GV80">
        <v>35.5</v>
      </c>
      <c r="GW80">
        <v>27.848600000000001</v>
      </c>
      <c r="GX80">
        <v>61.268700000000003</v>
      </c>
      <c r="GY80">
        <v>36.850999999999999</v>
      </c>
      <c r="GZ80">
        <v>1</v>
      </c>
      <c r="HA80">
        <v>0.350213</v>
      </c>
      <c r="HB80">
        <v>2.1335099999999998</v>
      </c>
      <c r="HC80">
        <v>20.259</v>
      </c>
      <c r="HD80">
        <v>5.2102500000000003</v>
      </c>
      <c r="HE80">
        <v>11.872199999999999</v>
      </c>
      <c r="HF80">
        <v>4.9842000000000004</v>
      </c>
      <c r="HG80">
        <v>3.2839999999999998</v>
      </c>
      <c r="HH80">
        <v>9999</v>
      </c>
      <c r="HI80">
        <v>9999</v>
      </c>
      <c r="HJ80">
        <v>9999</v>
      </c>
      <c r="HK80">
        <v>999.9</v>
      </c>
      <c r="HL80">
        <v>1.85459</v>
      </c>
      <c r="HM80">
        <v>1.8606799999999999</v>
      </c>
      <c r="HN80">
        <v>1.85806</v>
      </c>
      <c r="HO80">
        <v>1.85928</v>
      </c>
      <c r="HP80">
        <v>1.85867</v>
      </c>
      <c r="HQ80">
        <v>1.85924</v>
      </c>
      <c r="HR80">
        <v>1.8575900000000001</v>
      </c>
      <c r="HS80">
        <v>1.86086</v>
      </c>
      <c r="HT80">
        <v>5</v>
      </c>
      <c r="HU80">
        <v>0</v>
      </c>
      <c r="HV80">
        <v>0</v>
      </c>
      <c r="HW80">
        <v>0</v>
      </c>
      <c r="HX80" t="s">
        <v>421</v>
      </c>
      <c r="HY80" t="s">
        <v>422</v>
      </c>
      <c r="HZ80" t="s">
        <v>423</v>
      </c>
      <c r="IA80" t="s">
        <v>423</v>
      </c>
      <c r="IB80" t="s">
        <v>423</v>
      </c>
      <c r="IC80" t="s">
        <v>423</v>
      </c>
      <c r="ID80">
        <v>0</v>
      </c>
      <c r="IE80">
        <v>100</v>
      </c>
      <c r="IF80">
        <v>100</v>
      </c>
      <c r="IG80">
        <v>1.788</v>
      </c>
      <c r="IH80">
        <v>0.115</v>
      </c>
      <c r="II80">
        <v>1.223921756194174</v>
      </c>
      <c r="IJ80">
        <v>1.6187016317407189E-3</v>
      </c>
      <c r="IK80">
        <v>1.4341569744255341E-7</v>
      </c>
      <c r="IL80">
        <v>-2.4096625942085749E-10</v>
      </c>
      <c r="IM80">
        <v>0.11499607111347</v>
      </c>
      <c r="IN80">
        <v>0</v>
      </c>
      <c r="IO80">
        <v>0</v>
      </c>
      <c r="IP80">
        <v>0</v>
      </c>
      <c r="IQ80">
        <v>4</v>
      </c>
      <c r="IR80">
        <v>2205</v>
      </c>
      <c r="IS80">
        <v>1</v>
      </c>
      <c r="IT80">
        <v>21</v>
      </c>
      <c r="IU80">
        <v>1.6</v>
      </c>
      <c r="IV80">
        <v>1.4</v>
      </c>
      <c r="IW80">
        <v>0.98877000000000004</v>
      </c>
      <c r="IX80">
        <v>2.4597199999999999</v>
      </c>
      <c r="IY80">
        <v>1.49414</v>
      </c>
      <c r="IZ80">
        <v>2.3046899999999999</v>
      </c>
      <c r="JA80">
        <v>1.69434</v>
      </c>
      <c r="JB80">
        <v>2.4060100000000002</v>
      </c>
      <c r="JC80">
        <v>39.516599999999997</v>
      </c>
      <c r="JD80">
        <v>24.008700000000001</v>
      </c>
      <c r="JE80">
        <v>18</v>
      </c>
      <c r="JF80">
        <v>495.82299999999998</v>
      </c>
      <c r="JG80">
        <v>446.75799999999998</v>
      </c>
      <c r="JH80">
        <v>24.729700000000001</v>
      </c>
      <c r="JI80">
        <v>31.712800000000001</v>
      </c>
      <c r="JJ80">
        <v>30.0001</v>
      </c>
      <c r="JK80">
        <v>31.617799999999999</v>
      </c>
      <c r="JL80">
        <v>31.585699999999999</v>
      </c>
      <c r="JM80">
        <v>19.8613</v>
      </c>
      <c r="JN80">
        <v>44.622700000000002</v>
      </c>
      <c r="JO80">
        <v>0</v>
      </c>
      <c r="JP80">
        <v>24.7361</v>
      </c>
      <c r="JQ80">
        <v>400</v>
      </c>
      <c r="JR80">
        <v>17.134699999999999</v>
      </c>
      <c r="JS80">
        <v>98.984700000000004</v>
      </c>
      <c r="JT80">
        <v>99.609099999999998</v>
      </c>
    </row>
    <row r="81" spans="1:280" x14ac:dyDescent="0.25">
      <c r="A81">
        <v>65</v>
      </c>
      <c r="B81">
        <v>1674590555</v>
      </c>
      <c r="C81">
        <v>16502.400000095371</v>
      </c>
      <c r="D81" t="s">
        <v>747</v>
      </c>
      <c r="E81" t="s">
        <v>748</v>
      </c>
      <c r="F81" t="s">
        <v>412</v>
      </c>
      <c r="G81" t="s">
        <v>708</v>
      </c>
      <c r="H81" t="s">
        <v>414</v>
      </c>
      <c r="I81">
        <v>1674590555</v>
      </c>
      <c r="J81">
        <f t="shared" ref="J81:J112" si="92">(K81)/1000</f>
        <v>6.1764167419289893E-3</v>
      </c>
      <c r="K81">
        <f t="shared" ref="K81:K112" si="93">1000*DK81*AI81*(DG81-DH81)/(100*CZ81*(1000-AI81*DG81))</f>
        <v>6.176416741928989</v>
      </c>
      <c r="L81">
        <f t="shared" ref="L81:L112" si="94">DK81*AI81*(DF81-DE81*(1000-AI81*DH81)/(1000-AI81*DG81))/(100*CZ81)</f>
        <v>49.655815179489068</v>
      </c>
      <c r="M81">
        <f t="shared" ref="M81:M112" si="95">DE81 - IF(AI81&gt;1, L81*CZ81*100/(AK81*DS81), 0)</f>
        <v>337.85300000000001</v>
      </c>
      <c r="N81">
        <f t="shared" ref="N81:N112" si="96">((T81-J81/2)*M81-L81)/(T81+J81/2)</f>
        <v>173.19877450959555</v>
      </c>
      <c r="O81">
        <f t="shared" ref="O81:O112" si="97">N81*(DL81+DM81)/1000</f>
        <v>17.244169824518689</v>
      </c>
      <c r="P81">
        <f t="shared" ref="P81:P112" si="98">(DE81 - IF(AI81&gt;1, L81*CZ81*100/(AK81*DS81), 0))*(DL81+DM81)/1000</f>
        <v>33.637619689972702</v>
      </c>
      <c r="Q81">
        <f t="shared" ref="Q81:Q112" si="99">2/((1/S81-1/R81)+SIGN(S81)*SQRT((1/S81-1/R81)*(1/S81-1/R81) + 4*DA81/((DA81+1)*(DA81+1))*(2*1/S81*1/R81-1/R81*1/R81)))</f>
        <v>0.54143522465378546</v>
      </c>
      <c r="R81">
        <f t="shared" ref="R81:R112" si="100">IF(LEFT(DB81,1)&lt;&gt;"0",IF(LEFT(DB81,1)="1",3,DC81),$D$5+$E$5*(DS81*DL81/($K$5*1000))+$F$5*(DS81*DL81/($K$5*1000))*MAX(MIN(CZ81,$J$5),$I$5)*MAX(MIN(CZ81,$J$5),$I$5)+$G$5*MAX(MIN(CZ81,$J$5),$I$5)*(DS81*DL81/($K$5*1000))+$H$5*(DS81*DL81/($K$5*1000))*(DS81*DL81/($K$5*1000)))</f>
        <v>2.9231768068016759</v>
      </c>
      <c r="S81">
        <f t="shared" ref="S81:S112" si="101">J81*(1000-(1000*0.61365*EXP(17.502*W81/(240.97+W81))/(DL81+DM81)+DG81)/2)/(1000*0.61365*EXP(17.502*W81/(240.97+W81))/(DL81+DM81)-DG81)</f>
        <v>0.49126784556047448</v>
      </c>
      <c r="T81">
        <f t="shared" ref="T81:T112" si="102">1/((DA81+1)/(Q81/1.6)+1/(R81/1.37)) + DA81/((DA81+1)/(Q81/1.6) + DA81/(R81/1.37))</f>
        <v>0.31116146211815032</v>
      </c>
      <c r="U81">
        <f t="shared" ref="U81:U112" si="103">(CV81*CY81)</f>
        <v>344.36240126402879</v>
      </c>
      <c r="V81">
        <f t="shared" ref="V81:V112" si="104">(DN81+(U81+2*0.95*0.0000000567*(((DN81+$B$7)+273)^4-(DN81+273)^4)-44100*J81)/(1.84*29.3*R81+8*0.95*0.0000000567*(DN81+273)^3))</f>
        <v>28.423362042230053</v>
      </c>
      <c r="W81">
        <f t="shared" ref="W81:W112" si="105">($C$7*DO81+$D$7*DP81+$E$7*V81)</f>
        <v>27.4589</v>
      </c>
      <c r="X81">
        <f t="shared" ref="X81:X112" si="106">0.61365*EXP(17.502*W81/(240.97+W81))</f>
        <v>3.6767687374451206</v>
      </c>
      <c r="Y81">
        <f t="shared" ref="Y81:Y112" si="107">(Z81/AA81*100)</f>
        <v>64.926801945660529</v>
      </c>
      <c r="Z81">
        <f t="shared" ref="Z81:Z112" si="108">DG81*(DL81+DM81)/1000</f>
        <v>2.46362387386396</v>
      </c>
      <c r="AA81">
        <f t="shared" ref="AA81:AA112" si="109">0.61365*EXP(17.502*DN81/(240.97+DN81))</f>
        <v>3.7944636113847894</v>
      </c>
      <c r="AB81">
        <f t="shared" ref="AB81:AB112" si="110">(X81-DG81*(DL81+DM81)/1000)</f>
        <v>1.2131448635811606</v>
      </c>
      <c r="AC81">
        <f t="shared" ref="AC81:AC112" si="111">(-J81*44100)</f>
        <v>-272.37997831906841</v>
      </c>
      <c r="AD81">
        <f t="shared" ref="AD81:AD112" si="112">2*29.3*R81*0.92*(DN81-W81)</f>
        <v>85.006369739672763</v>
      </c>
      <c r="AE81">
        <f t="shared" ref="AE81:AE112" si="113">2*0.95*0.0000000567*(((DN81+$B$7)+273)^4-(W81+273)^4)</f>
        <v>6.321674639903831</v>
      </c>
      <c r="AF81">
        <f t="shared" ref="AF81:AF112" si="114">U81+AE81+AC81+AD81</f>
        <v>163.310467324537</v>
      </c>
      <c r="AG81">
        <v>0</v>
      </c>
      <c r="AH81">
        <v>0</v>
      </c>
      <c r="AI81">
        <f t="shared" ref="AI81:AI112" si="115">IF(AG81*$H$13&gt;=AK81,1,(AK81/(AK81-AG81*$H$13)))</f>
        <v>1</v>
      </c>
      <c r="AJ81">
        <f t="shared" ref="AJ81:AJ112" si="116">(AI81-1)*100</f>
        <v>0</v>
      </c>
      <c r="AK81">
        <f t="shared" ref="AK81:AK112" si="117">MAX(0,($B$13+$C$13*DS81)/(1+$D$13*DS81)*DL81/(DN81+273)*$E$13)</f>
        <v>52506.802571198321</v>
      </c>
      <c r="AL81" t="s">
        <v>415</v>
      </c>
      <c r="AM81">
        <v>10214.9</v>
      </c>
      <c r="AN81">
        <v>729.4384</v>
      </c>
      <c r="AO81">
        <v>3170.19</v>
      </c>
      <c r="AP81">
        <f t="shared" ref="AP81:AP112" si="118">1-AN81/AO81</f>
        <v>0.76990704027203416</v>
      </c>
      <c r="AQ81">
        <v>-0.45549566560547827</v>
      </c>
      <c r="AR81" t="s">
        <v>749</v>
      </c>
      <c r="AS81">
        <v>10110.4</v>
      </c>
      <c r="AT81">
        <v>766.88703846153851</v>
      </c>
      <c r="AU81">
        <v>1096.381803789794</v>
      </c>
      <c r="AV81">
        <f t="shared" ref="AV81:AV112" si="119">1-AT81/AU81</f>
        <v>0.3005292172756896</v>
      </c>
      <c r="AW81">
        <v>0.5</v>
      </c>
      <c r="AX81">
        <f t="shared" ref="AX81:AX112" si="120">CW81</f>
        <v>1513.1514006320144</v>
      </c>
      <c r="AY81">
        <f t="shared" ref="AY81:AY112" si="121">L81</f>
        <v>49.655815179489068</v>
      </c>
      <c r="AZ81">
        <f t="shared" ref="AZ81:AZ112" si="122">AV81*AW81*AX81</f>
        <v>227.37310302577635</v>
      </c>
      <c r="BA81">
        <f t="shared" ref="BA81:BA112" si="123">(AY81-AQ81)/AX81</f>
        <v>3.311718234154494E-2</v>
      </c>
      <c r="BB81">
        <f t="shared" ref="BB81:BB112" si="124">(AO81-AU81)/AU81</f>
        <v>1.8915018372630807</v>
      </c>
      <c r="BC81">
        <f t="shared" ref="BC81:BC112" si="125">AN81/(AP81+AN81/AU81)</f>
        <v>508.24107914834019</v>
      </c>
      <c r="BD81" t="s">
        <v>750</v>
      </c>
      <c r="BE81">
        <v>587.96</v>
      </c>
      <c r="BF81">
        <f t="shared" ref="BF81:BF112" si="126">IF(BE81&lt;&gt;0, BE81, BC81)</f>
        <v>587.96</v>
      </c>
      <c r="BG81">
        <f t="shared" ref="BG81:BG112" si="127">1-BF81/AU81</f>
        <v>0.46372696266242686</v>
      </c>
      <c r="BH81">
        <f t="shared" ref="BH81:BH112" si="128">(AU81-AT81)/(AU81-BF81)</f>
        <v>0.64807363270455742</v>
      </c>
      <c r="BI81">
        <f t="shared" ref="BI81:BI112" si="129">(AO81-AU81)/(AO81-BF81)</f>
        <v>0.80310746765787944</v>
      </c>
      <c r="BJ81">
        <f t="shared" ref="BJ81:BJ112" si="130">(AU81-AT81)/(AU81-AN81)</f>
        <v>0.89794437486879797</v>
      </c>
      <c r="BK81">
        <f t="shared" ref="BK81:BK112" si="131">(AO81-AU81)/(AO81-AN81)</f>
        <v>0.84965966885372768</v>
      </c>
      <c r="BL81">
        <f t="shared" ref="BL81:BL112" si="132">(BH81*BF81/AT81)</f>
        <v>0.49686766625940554</v>
      </c>
      <c r="BM81">
        <f t="shared" ref="BM81:BM112" si="133">(1-BL81)</f>
        <v>0.50313233374059441</v>
      </c>
      <c r="BN81">
        <v>9186</v>
      </c>
      <c r="BO81">
        <v>290.00000000000011</v>
      </c>
      <c r="BP81">
        <v>1012.75</v>
      </c>
      <c r="BQ81">
        <v>235</v>
      </c>
      <c r="BR81">
        <v>10110.4</v>
      </c>
      <c r="BS81">
        <v>1011.98</v>
      </c>
      <c r="BT81">
        <v>0.77</v>
      </c>
      <c r="BU81">
        <v>300.00000000000011</v>
      </c>
      <c r="BV81">
        <v>24.2</v>
      </c>
      <c r="BW81">
        <v>1096.381803789794</v>
      </c>
      <c r="BX81">
        <v>1.9455238278935341</v>
      </c>
      <c r="BY81">
        <v>-85.335965053830691</v>
      </c>
      <c r="BZ81">
        <v>1.7509015320983039</v>
      </c>
      <c r="CA81">
        <v>0.98834994406892385</v>
      </c>
      <c r="CB81">
        <v>-6.9077882091212557E-3</v>
      </c>
      <c r="CC81">
        <v>289.99999999999989</v>
      </c>
      <c r="CD81">
        <v>1009.1</v>
      </c>
      <c r="CE81">
        <v>635</v>
      </c>
      <c r="CF81">
        <v>10089.799999999999</v>
      </c>
      <c r="CG81">
        <v>1011.81</v>
      </c>
      <c r="CH81">
        <v>-2.71</v>
      </c>
      <c r="CV81">
        <f t="shared" ref="CV81:CV112" si="134">$B$11*DT81+$C$11*DU81+$F$11*EF81*(1-EI81)</f>
        <v>1799.96</v>
      </c>
      <c r="CW81">
        <f t="shared" ref="CW81:CW112" si="135">CV81*CX81</f>
        <v>1513.1514006320144</v>
      </c>
      <c r="CX81">
        <f t="shared" ref="CX81:CX112" si="136">($B$11*$D$9+$C$11*$D$9+$F$11*((ES81+EK81)/MAX(ES81+EK81+ET81, 0.1)*$I$9+ET81/MAX(ES81+EK81+ET81, 0.1)*$J$9))/($B$11+$C$11+$F$11)</f>
        <v>0.84065834831441499</v>
      </c>
      <c r="CY81">
        <f t="shared" ref="CY81:CY112" si="137">($B$11*$K$9+$C$11*$K$9+$F$11*((ES81+EK81)/MAX(ES81+EK81+ET81, 0.1)*$P$9+ET81/MAX(ES81+EK81+ET81, 0.1)*$Q$9))/($B$11+$C$11+$F$11)</f>
        <v>0.19131669662882997</v>
      </c>
      <c r="CZ81">
        <v>6</v>
      </c>
      <c r="DA81">
        <v>0.5</v>
      </c>
      <c r="DB81" t="s">
        <v>418</v>
      </c>
      <c r="DC81">
        <v>2</v>
      </c>
      <c r="DD81">
        <v>1674590555</v>
      </c>
      <c r="DE81">
        <v>337.85300000000001</v>
      </c>
      <c r="DF81">
        <v>399.93200000000002</v>
      </c>
      <c r="DG81">
        <v>24.744399999999999</v>
      </c>
      <c r="DH81">
        <v>17.517499999999998</v>
      </c>
      <c r="DI81">
        <v>336.12400000000002</v>
      </c>
      <c r="DJ81">
        <v>24.632999999999999</v>
      </c>
      <c r="DK81">
        <v>500.09699999999998</v>
      </c>
      <c r="DL81">
        <v>99.463099999999997</v>
      </c>
      <c r="DM81">
        <v>9.9785899999999997E-2</v>
      </c>
      <c r="DN81">
        <v>27.9983</v>
      </c>
      <c r="DO81">
        <v>27.4589</v>
      </c>
      <c r="DP81">
        <v>999.9</v>
      </c>
      <c r="DQ81">
        <v>0</v>
      </c>
      <c r="DR81">
        <v>0</v>
      </c>
      <c r="DS81">
        <v>10017.5</v>
      </c>
      <c r="DT81">
        <v>0</v>
      </c>
      <c r="DU81">
        <v>356.983</v>
      </c>
      <c r="DV81">
        <v>-62.079599999999999</v>
      </c>
      <c r="DW81">
        <v>346.42500000000001</v>
      </c>
      <c r="DX81">
        <v>407.06299999999999</v>
      </c>
      <c r="DY81">
        <v>7.2268800000000004</v>
      </c>
      <c r="DZ81">
        <v>399.93200000000002</v>
      </c>
      <c r="EA81">
        <v>17.517499999999998</v>
      </c>
      <c r="EB81">
        <v>2.4611499999999999</v>
      </c>
      <c r="EC81">
        <v>1.74234</v>
      </c>
      <c r="ED81">
        <v>20.771899999999999</v>
      </c>
      <c r="EE81">
        <v>15.2789</v>
      </c>
      <c r="EF81">
        <v>1799.96</v>
      </c>
      <c r="EG81">
        <v>0.97799400000000003</v>
      </c>
      <c r="EH81">
        <v>2.20057E-2</v>
      </c>
      <c r="EI81">
        <v>0</v>
      </c>
      <c r="EJ81">
        <v>767.49599999999998</v>
      </c>
      <c r="EK81">
        <v>4.9990399999999999</v>
      </c>
      <c r="EL81">
        <v>14401.8</v>
      </c>
      <c r="EM81">
        <v>14820.4</v>
      </c>
      <c r="EN81">
        <v>48.25</v>
      </c>
      <c r="EO81">
        <v>49.811999999999998</v>
      </c>
      <c r="EP81">
        <v>49.25</v>
      </c>
      <c r="EQ81">
        <v>48.186999999999998</v>
      </c>
      <c r="ER81">
        <v>49.186999999999998</v>
      </c>
      <c r="ES81">
        <v>1755.46</v>
      </c>
      <c r="ET81">
        <v>39.5</v>
      </c>
      <c r="EU81">
        <v>0</v>
      </c>
      <c r="EV81">
        <v>187.79999995231631</v>
      </c>
      <c r="EW81">
        <v>0</v>
      </c>
      <c r="EX81">
        <v>766.88703846153851</v>
      </c>
      <c r="EY81">
        <v>3.1880683755620911</v>
      </c>
      <c r="EZ81">
        <v>64.379487184335034</v>
      </c>
      <c r="FA81">
        <v>14394.15</v>
      </c>
      <c r="FB81">
        <v>15</v>
      </c>
      <c r="FC81">
        <v>1674590432.5</v>
      </c>
      <c r="FD81" t="s">
        <v>751</v>
      </c>
      <c r="FE81">
        <v>1674590428.5</v>
      </c>
      <c r="FF81">
        <v>1674590432.5</v>
      </c>
      <c r="FG81">
        <v>75</v>
      </c>
      <c r="FH81">
        <v>-4.5999999999999999E-2</v>
      </c>
      <c r="FI81">
        <v>-4.0000000000000001E-3</v>
      </c>
      <c r="FJ81">
        <v>1.829</v>
      </c>
      <c r="FK81">
        <v>0.05</v>
      </c>
      <c r="FL81">
        <v>400</v>
      </c>
      <c r="FM81">
        <v>17</v>
      </c>
      <c r="FN81">
        <v>0.06</v>
      </c>
      <c r="FO81">
        <v>0.02</v>
      </c>
      <c r="FP81">
        <v>49.626634228217661</v>
      </c>
      <c r="FQ81">
        <v>0.7793755287169466</v>
      </c>
      <c r="FR81">
        <v>8.4005900799913921E-2</v>
      </c>
      <c r="FS81">
        <v>0</v>
      </c>
      <c r="FT81">
        <v>0.5425589175545017</v>
      </c>
      <c r="FU81">
        <v>-6.2722158072828589E-3</v>
      </c>
      <c r="FV81">
        <v>7.1363665788615443E-4</v>
      </c>
      <c r="FW81">
        <v>1</v>
      </c>
      <c r="FX81">
        <v>1</v>
      </c>
      <c r="FY81">
        <v>2</v>
      </c>
      <c r="FZ81" t="s">
        <v>459</v>
      </c>
      <c r="GA81">
        <v>2.9332600000000002</v>
      </c>
      <c r="GB81">
        <v>2.8333900000000001</v>
      </c>
      <c r="GC81">
        <v>7.8856999999999997E-2</v>
      </c>
      <c r="GD81">
        <v>8.8493500000000003E-2</v>
      </c>
      <c r="GE81">
        <v>0.12164</v>
      </c>
      <c r="GF81">
        <v>9.2227699999999996E-2</v>
      </c>
      <c r="GG81">
        <v>23834.799999999999</v>
      </c>
      <c r="GH81">
        <v>29740.9</v>
      </c>
      <c r="GI81">
        <v>23280.799999999999</v>
      </c>
      <c r="GJ81">
        <v>29894</v>
      </c>
      <c r="GK81">
        <v>27821.4</v>
      </c>
      <c r="GL81">
        <v>38592.6</v>
      </c>
      <c r="GM81">
        <v>32860.199999999997</v>
      </c>
      <c r="GN81">
        <v>44353</v>
      </c>
      <c r="GO81">
        <v>1.94438</v>
      </c>
      <c r="GP81">
        <v>1.8345499999999999</v>
      </c>
      <c r="GQ81">
        <v>5.0038100000000002E-2</v>
      </c>
      <c r="GR81">
        <v>0</v>
      </c>
      <c r="GS81">
        <v>26.640699999999999</v>
      </c>
      <c r="GT81">
        <v>999.9</v>
      </c>
      <c r="GU81">
        <v>47.7</v>
      </c>
      <c r="GV81">
        <v>35.5</v>
      </c>
      <c r="GW81">
        <v>27.8477</v>
      </c>
      <c r="GX81">
        <v>61.348700000000001</v>
      </c>
      <c r="GY81">
        <v>36.486400000000003</v>
      </c>
      <c r="GZ81">
        <v>1</v>
      </c>
      <c r="HA81">
        <v>0.35065499999999999</v>
      </c>
      <c r="HB81">
        <v>2.0813700000000002</v>
      </c>
      <c r="HC81">
        <v>20.259699999999999</v>
      </c>
      <c r="HD81">
        <v>5.2102500000000003</v>
      </c>
      <c r="HE81">
        <v>11.872199999999999</v>
      </c>
      <c r="HF81">
        <v>4.9852499999999997</v>
      </c>
      <c r="HG81">
        <v>3.2839999999999998</v>
      </c>
      <c r="HH81">
        <v>9999</v>
      </c>
      <c r="HI81">
        <v>9999</v>
      </c>
      <c r="HJ81">
        <v>9999</v>
      </c>
      <c r="HK81">
        <v>999.9</v>
      </c>
      <c r="HL81">
        <v>1.8547</v>
      </c>
      <c r="HM81">
        <v>1.8607199999999999</v>
      </c>
      <c r="HN81">
        <v>1.85808</v>
      </c>
      <c r="HO81">
        <v>1.8592900000000001</v>
      </c>
      <c r="HP81">
        <v>1.85867</v>
      </c>
      <c r="HQ81">
        <v>1.85924</v>
      </c>
      <c r="HR81">
        <v>1.85758</v>
      </c>
      <c r="HS81">
        <v>1.8609199999999999</v>
      </c>
      <c r="HT81">
        <v>5</v>
      </c>
      <c r="HU81">
        <v>0</v>
      </c>
      <c r="HV81">
        <v>0</v>
      </c>
      <c r="HW81">
        <v>0</v>
      </c>
      <c r="HX81" t="s">
        <v>421</v>
      </c>
      <c r="HY81" t="s">
        <v>422</v>
      </c>
      <c r="HZ81" t="s">
        <v>423</v>
      </c>
      <c r="IA81" t="s">
        <v>423</v>
      </c>
      <c r="IB81" t="s">
        <v>423</v>
      </c>
      <c r="IC81" t="s">
        <v>423</v>
      </c>
      <c r="ID81">
        <v>0</v>
      </c>
      <c r="IE81">
        <v>100</v>
      </c>
      <c r="IF81">
        <v>100</v>
      </c>
      <c r="IG81">
        <v>1.7290000000000001</v>
      </c>
      <c r="IH81">
        <v>0.1114</v>
      </c>
      <c r="II81">
        <v>1.177386103641429</v>
      </c>
      <c r="IJ81">
        <v>1.6187016317407189E-3</v>
      </c>
      <c r="IK81">
        <v>1.4341569744255341E-7</v>
      </c>
      <c r="IL81">
        <v>-2.4096625942085749E-10</v>
      </c>
      <c r="IM81">
        <v>0.1114133931857936</v>
      </c>
      <c r="IN81">
        <v>0</v>
      </c>
      <c r="IO81">
        <v>0</v>
      </c>
      <c r="IP81">
        <v>0</v>
      </c>
      <c r="IQ81">
        <v>4</v>
      </c>
      <c r="IR81">
        <v>2205</v>
      </c>
      <c r="IS81">
        <v>1</v>
      </c>
      <c r="IT81">
        <v>21</v>
      </c>
      <c r="IU81">
        <v>2.1</v>
      </c>
      <c r="IV81">
        <v>2</v>
      </c>
      <c r="IW81">
        <v>0.98877000000000004</v>
      </c>
      <c r="IX81">
        <v>2.47681</v>
      </c>
      <c r="IY81">
        <v>1.49414</v>
      </c>
      <c r="IZ81">
        <v>2.3059099999999999</v>
      </c>
      <c r="JA81">
        <v>1.69434</v>
      </c>
      <c r="JB81">
        <v>2.2888199999999999</v>
      </c>
      <c r="JC81">
        <v>39.541600000000003</v>
      </c>
      <c r="JD81">
        <v>23.9999</v>
      </c>
      <c r="JE81">
        <v>18</v>
      </c>
      <c r="JF81">
        <v>495.94499999999999</v>
      </c>
      <c r="JG81">
        <v>447.12900000000002</v>
      </c>
      <c r="JH81">
        <v>24.7819</v>
      </c>
      <c r="JI81">
        <v>31.7212</v>
      </c>
      <c r="JJ81">
        <v>30</v>
      </c>
      <c r="JK81">
        <v>31.6387</v>
      </c>
      <c r="JL81">
        <v>31.611599999999999</v>
      </c>
      <c r="JM81">
        <v>19.8596</v>
      </c>
      <c r="JN81">
        <v>43.606099999999998</v>
      </c>
      <c r="JO81">
        <v>0</v>
      </c>
      <c r="JP81">
        <v>24.785499999999999</v>
      </c>
      <c r="JQ81">
        <v>400</v>
      </c>
      <c r="JR81">
        <v>17.523099999999999</v>
      </c>
      <c r="JS81">
        <v>98.988699999999994</v>
      </c>
      <c r="JT81">
        <v>99.604200000000006</v>
      </c>
    </row>
    <row r="82" spans="1:280" x14ac:dyDescent="0.25">
      <c r="A82">
        <v>66</v>
      </c>
      <c r="B82">
        <v>1674590669.5</v>
      </c>
      <c r="C82">
        <v>16616.900000095371</v>
      </c>
      <c r="D82" t="s">
        <v>752</v>
      </c>
      <c r="E82" t="s">
        <v>753</v>
      </c>
      <c r="F82" t="s">
        <v>412</v>
      </c>
      <c r="G82" t="s">
        <v>708</v>
      </c>
      <c r="H82" t="s">
        <v>414</v>
      </c>
      <c r="I82">
        <v>1674590669.5</v>
      </c>
      <c r="J82">
        <f t="shared" si="92"/>
        <v>6.0989195646464229E-3</v>
      </c>
      <c r="K82">
        <f t="shared" si="93"/>
        <v>6.0989195646464225</v>
      </c>
      <c r="L82">
        <f t="shared" si="94"/>
        <v>52.115778076625546</v>
      </c>
      <c r="M82">
        <f t="shared" si="95"/>
        <v>434.31099999999998</v>
      </c>
      <c r="N82">
        <f t="shared" si="96"/>
        <v>260.46545989715509</v>
      </c>
      <c r="O82">
        <f t="shared" si="97"/>
        <v>25.933351191081368</v>
      </c>
      <c r="P82">
        <f t="shared" si="98"/>
        <v>43.242354259167399</v>
      </c>
      <c r="Q82">
        <f t="shared" si="99"/>
        <v>0.54294147686684924</v>
      </c>
      <c r="R82">
        <f t="shared" si="100"/>
        <v>2.9245341310055943</v>
      </c>
      <c r="S82">
        <f t="shared" si="101"/>
        <v>0.49252956606464704</v>
      </c>
      <c r="T82">
        <f t="shared" si="102"/>
        <v>0.31196929709385923</v>
      </c>
      <c r="U82">
        <f t="shared" si="103"/>
        <v>344.40610126386724</v>
      </c>
      <c r="V82">
        <f t="shared" si="104"/>
        <v>28.447307888165859</v>
      </c>
      <c r="W82">
        <f t="shared" si="105"/>
        <v>27.4557</v>
      </c>
      <c r="X82">
        <f t="shared" si="106"/>
        <v>3.6760801281005655</v>
      </c>
      <c r="Y82">
        <f t="shared" si="107"/>
        <v>65.378526183320929</v>
      </c>
      <c r="Z82">
        <f t="shared" si="108"/>
        <v>2.48129953696542</v>
      </c>
      <c r="AA82">
        <f t="shared" si="109"/>
        <v>3.7952821542778028</v>
      </c>
      <c r="AB82">
        <f t="shared" si="110"/>
        <v>1.1947805911351455</v>
      </c>
      <c r="AC82">
        <f t="shared" si="111"/>
        <v>-268.96235280090724</v>
      </c>
      <c r="AD82">
        <f t="shared" si="112"/>
        <v>86.13374654786341</v>
      </c>
      <c r="AE82">
        <f t="shared" si="113"/>
        <v>6.4025575458081008</v>
      </c>
      <c r="AF82">
        <f t="shared" si="114"/>
        <v>167.98005255663153</v>
      </c>
      <c r="AG82">
        <v>0</v>
      </c>
      <c r="AH82">
        <v>0</v>
      </c>
      <c r="AI82">
        <f t="shared" si="115"/>
        <v>1</v>
      </c>
      <c r="AJ82">
        <f t="shared" si="116"/>
        <v>0</v>
      </c>
      <c r="AK82">
        <f t="shared" si="117"/>
        <v>52545.214070400514</v>
      </c>
      <c r="AL82" t="s">
        <v>415</v>
      </c>
      <c r="AM82">
        <v>10214.9</v>
      </c>
      <c r="AN82">
        <v>729.4384</v>
      </c>
      <c r="AO82">
        <v>3170.19</v>
      </c>
      <c r="AP82">
        <f t="shared" si="118"/>
        <v>0.76990704027203416</v>
      </c>
      <c r="AQ82">
        <v>-0.45549566560547827</v>
      </c>
      <c r="AR82" t="s">
        <v>754</v>
      </c>
      <c r="AS82">
        <v>10114.200000000001</v>
      </c>
      <c r="AT82">
        <v>774.22746153846151</v>
      </c>
      <c r="AU82">
        <v>1133.8045608170801</v>
      </c>
      <c r="AV82">
        <f t="shared" si="119"/>
        <v>0.31714204696750214</v>
      </c>
      <c r="AW82">
        <v>0.5</v>
      </c>
      <c r="AX82">
        <f t="shared" si="120"/>
        <v>1513.3446006319334</v>
      </c>
      <c r="AY82">
        <f t="shared" si="121"/>
        <v>52.115778076625546</v>
      </c>
      <c r="AZ82">
        <f t="shared" si="122"/>
        <v>239.97260220581421</v>
      </c>
      <c r="BA82">
        <f t="shared" si="123"/>
        <v>3.4738468502334911E-2</v>
      </c>
      <c r="BB82">
        <f t="shared" si="124"/>
        <v>1.7960638980984447</v>
      </c>
      <c r="BC82">
        <f t="shared" si="125"/>
        <v>516.13825067783898</v>
      </c>
      <c r="BD82" t="s">
        <v>755</v>
      </c>
      <c r="BE82">
        <v>590.76</v>
      </c>
      <c r="BF82">
        <f t="shared" si="126"/>
        <v>590.76</v>
      </c>
      <c r="BG82">
        <f t="shared" si="127"/>
        <v>0.47895782005474841</v>
      </c>
      <c r="BH82">
        <f t="shared" si="128"/>
        <v>0.66215026394443355</v>
      </c>
      <c r="BI82">
        <f t="shared" si="129"/>
        <v>0.78947109988754094</v>
      </c>
      <c r="BJ82">
        <f t="shared" si="130"/>
        <v>0.88923637564538349</v>
      </c>
      <c r="BK82">
        <f t="shared" si="131"/>
        <v>0.83432719625500606</v>
      </c>
      <c r="BL82">
        <f t="shared" si="132"/>
        <v>0.50524155930935188</v>
      </c>
      <c r="BM82">
        <f t="shared" si="133"/>
        <v>0.49475844069064812</v>
      </c>
      <c r="BN82">
        <v>9188</v>
      </c>
      <c r="BO82">
        <v>290.00000000000011</v>
      </c>
      <c r="BP82">
        <v>1039.57</v>
      </c>
      <c r="BQ82">
        <v>205</v>
      </c>
      <c r="BR82">
        <v>10114.200000000001</v>
      </c>
      <c r="BS82">
        <v>1038.6400000000001</v>
      </c>
      <c r="BT82">
        <v>0.93</v>
      </c>
      <c r="BU82">
        <v>300.00000000000011</v>
      </c>
      <c r="BV82">
        <v>24.2</v>
      </c>
      <c r="BW82">
        <v>1133.8045608170801</v>
      </c>
      <c r="BX82">
        <v>2.340124061874707</v>
      </c>
      <c r="BY82">
        <v>-96.250751632092545</v>
      </c>
      <c r="BZ82">
        <v>2.1059968057335068</v>
      </c>
      <c r="CA82">
        <v>0.98677236607885777</v>
      </c>
      <c r="CB82">
        <v>-6.9077684093437116E-3</v>
      </c>
      <c r="CC82">
        <v>289.99999999999989</v>
      </c>
      <c r="CD82">
        <v>1035.5</v>
      </c>
      <c r="CE82">
        <v>655</v>
      </c>
      <c r="CF82">
        <v>10088.5</v>
      </c>
      <c r="CG82">
        <v>1038.4000000000001</v>
      </c>
      <c r="CH82">
        <v>-2.9</v>
      </c>
      <c r="CV82">
        <f t="shared" si="134"/>
        <v>1800.19</v>
      </c>
      <c r="CW82">
        <f t="shared" si="135"/>
        <v>1513.3446006319334</v>
      </c>
      <c r="CX82">
        <f t="shared" si="136"/>
        <v>0.84065826420096401</v>
      </c>
      <c r="CY82">
        <f t="shared" si="137"/>
        <v>0.19131652840192825</v>
      </c>
      <c r="CZ82">
        <v>6</v>
      </c>
      <c r="DA82">
        <v>0.5</v>
      </c>
      <c r="DB82" t="s">
        <v>418</v>
      </c>
      <c r="DC82">
        <v>2</v>
      </c>
      <c r="DD82">
        <v>1674590669.5</v>
      </c>
      <c r="DE82">
        <v>434.31099999999998</v>
      </c>
      <c r="DF82">
        <v>500.01</v>
      </c>
      <c r="DG82">
        <v>24.921299999999999</v>
      </c>
      <c r="DH82">
        <v>17.786999999999999</v>
      </c>
      <c r="DI82">
        <v>432.25</v>
      </c>
      <c r="DJ82">
        <v>24.803599999999999</v>
      </c>
      <c r="DK82">
        <v>500.14100000000002</v>
      </c>
      <c r="DL82">
        <v>99.465699999999998</v>
      </c>
      <c r="DM82">
        <v>9.9713399999999994E-2</v>
      </c>
      <c r="DN82">
        <v>28.001999999999999</v>
      </c>
      <c r="DO82">
        <v>27.4557</v>
      </c>
      <c r="DP82">
        <v>999.9</v>
      </c>
      <c r="DQ82">
        <v>0</v>
      </c>
      <c r="DR82">
        <v>0</v>
      </c>
      <c r="DS82">
        <v>10025</v>
      </c>
      <c r="DT82">
        <v>0</v>
      </c>
      <c r="DU82">
        <v>356.50299999999999</v>
      </c>
      <c r="DV82">
        <v>-65.699200000000005</v>
      </c>
      <c r="DW82">
        <v>445.411</v>
      </c>
      <c r="DX82">
        <v>509.065</v>
      </c>
      <c r="DY82">
        <v>7.1343699999999997</v>
      </c>
      <c r="DZ82">
        <v>500.01</v>
      </c>
      <c r="EA82">
        <v>17.786999999999999</v>
      </c>
      <c r="EB82">
        <v>2.4788199999999998</v>
      </c>
      <c r="EC82">
        <v>1.76919</v>
      </c>
      <c r="ED82">
        <v>20.888100000000001</v>
      </c>
      <c r="EE82">
        <v>15.517200000000001</v>
      </c>
      <c r="EF82">
        <v>1800.19</v>
      </c>
      <c r="EG82">
        <v>0.97799800000000003</v>
      </c>
      <c r="EH82">
        <v>2.20021E-2</v>
      </c>
      <c r="EI82">
        <v>0</v>
      </c>
      <c r="EJ82">
        <v>774.976</v>
      </c>
      <c r="EK82">
        <v>4.9990399999999999</v>
      </c>
      <c r="EL82">
        <v>14542</v>
      </c>
      <c r="EM82">
        <v>14822.3</v>
      </c>
      <c r="EN82">
        <v>48.311999999999998</v>
      </c>
      <c r="EO82">
        <v>49.811999999999998</v>
      </c>
      <c r="EP82">
        <v>49.25</v>
      </c>
      <c r="EQ82">
        <v>48.186999999999998</v>
      </c>
      <c r="ER82">
        <v>49.186999999999998</v>
      </c>
      <c r="ES82">
        <v>1755.69</v>
      </c>
      <c r="ET82">
        <v>39.5</v>
      </c>
      <c r="EU82">
        <v>0</v>
      </c>
      <c r="EV82">
        <v>112.7999999523163</v>
      </c>
      <c r="EW82">
        <v>0</v>
      </c>
      <c r="EX82">
        <v>774.22746153846151</v>
      </c>
      <c r="EY82">
        <v>3.2112136779666498</v>
      </c>
      <c r="EZ82">
        <v>40.47521360936441</v>
      </c>
      <c r="FA82">
        <v>14531.765384615381</v>
      </c>
      <c r="FB82">
        <v>15</v>
      </c>
      <c r="FC82">
        <v>1674590635.5</v>
      </c>
      <c r="FD82" t="s">
        <v>756</v>
      </c>
      <c r="FE82">
        <v>1674590621</v>
      </c>
      <c r="FF82">
        <v>1674590635.5</v>
      </c>
      <c r="FG82">
        <v>76</v>
      </c>
      <c r="FH82">
        <v>0.17599999999999999</v>
      </c>
      <c r="FI82">
        <v>6.0000000000000001E-3</v>
      </c>
      <c r="FJ82">
        <v>2.1659999999999999</v>
      </c>
      <c r="FK82">
        <v>6.0999999999999999E-2</v>
      </c>
      <c r="FL82">
        <v>500</v>
      </c>
      <c r="FM82">
        <v>18</v>
      </c>
      <c r="FN82">
        <v>0.04</v>
      </c>
      <c r="FO82">
        <v>0.01</v>
      </c>
      <c r="FP82">
        <v>52.124445171308388</v>
      </c>
      <c r="FQ82">
        <v>-0.41705566567833757</v>
      </c>
      <c r="FR82">
        <v>5.4891397883371371E-2</v>
      </c>
      <c r="FS82">
        <v>1</v>
      </c>
      <c r="FT82">
        <v>0.54538611756817379</v>
      </c>
      <c r="FU82">
        <v>3.5740898495133823E-2</v>
      </c>
      <c r="FV82">
        <v>5.6530444998422616E-3</v>
      </c>
      <c r="FW82">
        <v>1</v>
      </c>
      <c r="FX82">
        <v>2</v>
      </c>
      <c r="FY82">
        <v>2</v>
      </c>
      <c r="FZ82" t="s">
        <v>420</v>
      </c>
      <c r="GA82">
        <v>2.9333900000000002</v>
      </c>
      <c r="GB82">
        <v>2.8333900000000001</v>
      </c>
      <c r="GC82">
        <v>9.5798599999999998E-2</v>
      </c>
      <c r="GD82">
        <v>0.10462100000000001</v>
      </c>
      <c r="GE82">
        <v>0.122229</v>
      </c>
      <c r="GF82">
        <v>9.3238000000000001E-2</v>
      </c>
      <c r="GG82">
        <v>23398.1</v>
      </c>
      <c r="GH82">
        <v>29216.1</v>
      </c>
      <c r="GI82">
        <v>23282.2</v>
      </c>
      <c r="GJ82">
        <v>29895.200000000001</v>
      </c>
      <c r="GK82">
        <v>27806</v>
      </c>
      <c r="GL82">
        <v>38550.9</v>
      </c>
      <c r="GM82">
        <v>32863.9</v>
      </c>
      <c r="GN82">
        <v>44354.5</v>
      </c>
      <c r="GO82">
        <v>1.9437</v>
      </c>
      <c r="GP82">
        <v>1.8355999999999999</v>
      </c>
      <c r="GQ82">
        <v>5.2481899999999998E-2</v>
      </c>
      <c r="GR82">
        <v>0</v>
      </c>
      <c r="GS82">
        <v>26.5975</v>
      </c>
      <c r="GT82">
        <v>999.9</v>
      </c>
      <c r="GU82">
        <v>47.7</v>
      </c>
      <c r="GV82">
        <v>35.6</v>
      </c>
      <c r="GW82">
        <v>28.0029</v>
      </c>
      <c r="GX82">
        <v>61.288699999999999</v>
      </c>
      <c r="GY82">
        <v>36.2179</v>
      </c>
      <c r="GZ82">
        <v>1</v>
      </c>
      <c r="HA82">
        <v>0.34933199999999998</v>
      </c>
      <c r="HB82">
        <v>2.04922</v>
      </c>
      <c r="HC82">
        <v>20.2605</v>
      </c>
      <c r="HD82">
        <v>5.2103999999999999</v>
      </c>
      <c r="HE82">
        <v>11.872199999999999</v>
      </c>
      <c r="HF82">
        <v>4.9849500000000004</v>
      </c>
      <c r="HG82">
        <v>3.2839999999999998</v>
      </c>
      <c r="HH82">
        <v>9999</v>
      </c>
      <c r="HI82">
        <v>9999</v>
      </c>
      <c r="HJ82">
        <v>9999</v>
      </c>
      <c r="HK82">
        <v>999.9</v>
      </c>
      <c r="HL82">
        <v>1.8547100000000001</v>
      </c>
      <c r="HM82">
        <v>1.8608</v>
      </c>
      <c r="HN82">
        <v>1.85816</v>
      </c>
      <c r="HO82">
        <v>1.8593599999999999</v>
      </c>
      <c r="HP82">
        <v>1.8587199999999999</v>
      </c>
      <c r="HQ82">
        <v>1.85928</v>
      </c>
      <c r="HR82">
        <v>1.85761</v>
      </c>
      <c r="HS82">
        <v>1.8609599999999999</v>
      </c>
      <c r="HT82">
        <v>5</v>
      </c>
      <c r="HU82">
        <v>0</v>
      </c>
      <c r="HV82">
        <v>0</v>
      </c>
      <c r="HW82">
        <v>0</v>
      </c>
      <c r="HX82" t="s">
        <v>421</v>
      </c>
      <c r="HY82" t="s">
        <v>422</v>
      </c>
      <c r="HZ82" t="s">
        <v>423</v>
      </c>
      <c r="IA82" t="s">
        <v>423</v>
      </c>
      <c r="IB82" t="s">
        <v>423</v>
      </c>
      <c r="IC82" t="s">
        <v>423</v>
      </c>
      <c r="ID82">
        <v>0</v>
      </c>
      <c r="IE82">
        <v>100</v>
      </c>
      <c r="IF82">
        <v>100</v>
      </c>
      <c r="IG82">
        <v>2.0609999999999999</v>
      </c>
      <c r="IH82">
        <v>0.1177</v>
      </c>
      <c r="II82">
        <v>1.353811689678204</v>
      </c>
      <c r="IJ82">
        <v>1.6187016317407189E-3</v>
      </c>
      <c r="IK82">
        <v>1.4341569744255341E-7</v>
      </c>
      <c r="IL82">
        <v>-2.4096625942085749E-10</v>
      </c>
      <c r="IM82">
        <v>0.1177514421640514</v>
      </c>
      <c r="IN82">
        <v>0</v>
      </c>
      <c r="IO82">
        <v>0</v>
      </c>
      <c r="IP82">
        <v>0</v>
      </c>
      <c r="IQ82">
        <v>4</v>
      </c>
      <c r="IR82">
        <v>2205</v>
      </c>
      <c r="IS82">
        <v>1</v>
      </c>
      <c r="IT82">
        <v>21</v>
      </c>
      <c r="IU82">
        <v>0.8</v>
      </c>
      <c r="IV82">
        <v>0.6</v>
      </c>
      <c r="IW82">
        <v>1.1853</v>
      </c>
      <c r="IX82">
        <v>2.4645999999999999</v>
      </c>
      <c r="IY82">
        <v>1.49414</v>
      </c>
      <c r="IZ82">
        <v>2.3059099999999999</v>
      </c>
      <c r="JA82">
        <v>1.69434</v>
      </c>
      <c r="JB82">
        <v>2.3730500000000001</v>
      </c>
      <c r="JC82">
        <v>39.541600000000003</v>
      </c>
      <c r="JD82">
        <v>23.9999</v>
      </c>
      <c r="JE82">
        <v>18</v>
      </c>
      <c r="JF82">
        <v>495.51499999999999</v>
      </c>
      <c r="JG82">
        <v>447.83699999999999</v>
      </c>
      <c r="JH82">
        <v>24.762899999999998</v>
      </c>
      <c r="JI82">
        <v>31.704499999999999</v>
      </c>
      <c r="JJ82">
        <v>29.9999</v>
      </c>
      <c r="JK82">
        <v>31.6387</v>
      </c>
      <c r="JL82">
        <v>31.608799999999999</v>
      </c>
      <c r="JM82">
        <v>23.783799999999999</v>
      </c>
      <c r="JN82">
        <v>42.301900000000003</v>
      </c>
      <c r="JO82">
        <v>0</v>
      </c>
      <c r="JP82">
        <v>24.780799999999999</v>
      </c>
      <c r="JQ82">
        <v>500</v>
      </c>
      <c r="JR82">
        <v>17.7197</v>
      </c>
      <c r="JS82">
        <v>98.997699999999995</v>
      </c>
      <c r="JT82">
        <v>99.607799999999997</v>
      </c>
    </row>
    <row r="83" spans="1:280" x14ac:dyDescent="0.25">
      <c r="A83">
        <v>67</v>
      </c>
      <c r="B83">
        <v>1674590778.5999999</v>
      </c>
      <c r="C83">
        <v>16726</v>
      </c>
      <c r="D83" t="s">
        <v>757</v>
      </c>
      <c r="E83" t="s">
        <v>758</v>
      </c>
      <c r="F83" t="s">
        <v>412</v>
      </c>
      <c r="G83" t="s">
        <v>708</v>
      </c>
      <c r="H83" t="s">
        <v>414</v>
      </c>
      <c r="I83">
        <v>1674590778.5999999</v>
      </c>
      <c r="J83">
        <f t="shared" si="92"/>
        <v>5.9783468672828608E-3</v>
      </c>
      <c r="K83">
        <f t="shared" si="93"/>
        <v>5.9783468672828608</v>
      </c>
      <c r="L83">
        <f t="shared" si="94"/>
        <v>52.706940146783829</v>
      </c>
      <c r="M83">
        <f t="shared" si="95"/>
        <v>532.97199999999998</v>
      </c>
      <c r="N83">
        <f t="shared" si="96"/>
        <v>350.80458935507602</v>
      </c>
      <c r="O83">
        <f t="shared" si="97"/>
        <v>34.928053425202485</v>
      </c>
      <c r="P83">
        <f t="shared" si="98"/>
        <v>53.0656526596768</v>
      </c>
      <c r="Q83">
        <f t="shared" si="99"/>
        <v>0.52761788587208236</v>
      </c>
      <c r="R83">
        <f t="shared" si="100"/>
        <v>2.922351414517339</v>
      </c>
      <c r="S83">
        <f t="shared" si="101"/>
        <v>0.47984540049056418</v>
      </c>
      <c r="T83">
        <f t="shared" si="102"/>
        <v>0.30383426680440945</v>
      </c>
      <c r="U83">
        <f t="shared" si="103"/>
        <v>344.34340126409899</v>
      </c>
      <c r="V83">
        <f t="shared" si="104"/>
        <v>28.474855311321864</v>
      </c>
      <c r="W83">
        <f t="shared" si="105"/>
        <v>27.4727</v>
      </c>
      <c r="X83">
        <f t="shared" si="106"/>
        <v>3.6797396549252128</v>
      </c>
      <c r="Y83">
        <f t="shared" si="107"/>
        <v>65.296016064583796</v>
      </c>
      <c r="Z83">
        <f t="shared" si="108"/>
        <v>2.4776191253559201</v>
      </c>
      <c r="AA83">
        <f t="shared" si="109"/>
        <v>3.7944414907416801</v>
      </c>
      <c r="AB83">
        <f t="shared" si="110"/>
        <v>1.2021205295692927</v>
      </c>
      <c r="AC83">
        <f t="shared" si="111"/>
        <v>-263.64509684717416</v>
      </c>
      <c r="AD83">
        <f t="shared" si="112"/>
        <v>82.792424870945752</v>
      </c>
      <c r="AE83">
        <f t="shared" si="113"/>
        <v>6.1591896566526279</v>
      </c>
      <c r="AF83">
        <f t="shared" si="114"/>
        <v>169.64991894452322</v>
      </c>
      <c r="AG83">
        <v>0</v>
      </c>
      <c r="AH83">
        <v>0</v>
      </c>
      <c r="AI83">
        <f t="shared" si="115"/>
        <v>1</v>
      </c>
      <c r="AJ83">
        <f t="shared" si="116"/>
        <v>0</v>
      </c>
      <c r="AK83">
        <f t="shared" si="117"/>
        <v>52483.170259858081</v>
      </c>
      <c r="AL83" t="s">
        <v>415</v>
      </c>
      <c r="AM83">
        <v>10214.9</v>
      </c>
      <c r="AN83">
        <v>729.4384</v>
      </c>
      <c r="AO83">
        <v>3170.19</v>
      </c>
      <c r="AP83">
        <f t="shared" si="118"/>
        <v>0.76990704027203416</v>
      </c>
      <c r="AQ83">
        <v>-0.45549566560547827</v>
      </c>
      <c r="AR83" t="s">
        <v>759</v>
      </c>
      <c r="AS83">
        <v>10110.200000000001</v>
      </c>
      <c r="AT83">
        <v>777.79012</v>
      </c>
      <c r="AU83">
        <v>1140.5250861548741</v>
      </c>
      <c r="AV83">
        <f t="shared" si="119"/>
        <v>0.31804207602112977</v>
      </c>
      <c r="AW83">
        <v>0.5</v>
      </c>
      <c r="AX83">
        <f t="shared" si="120"/>
        <v>1513.0674006320492</v>
      </c>
      <c r="AY83">
        <f t="shared" si="121"/>
        <v>52.706940146783829</v>
      </c>
      <c r="AZ83">
        <f t="shared" si="122"/>
        <v>240.60954862845568</v>
      </c>
      <c r="BA83">
        <f t="shared" si="123"/>
        <v>3.5135537114990331E-2</v>
      </c>
      <c r="BB83">
        <f t="shared" si="124"/>
        <v>1.7795881375024081</v>
      </c>
      <c r="BC83">
        <f t="shared" si="125"/>
        <v>517.52647227334705</v>
      </c>
      <c r="BD83" t="s">
        <v>760</v>
      </c>
      <c r="BE83">
        <v>591.92999999999995</v>
      </c>
      <c r="BF83">
        <f t="shared" si="126"/>
        <v>591.92999999999995</v>
      </c>
      <c r="BG83">
        <f t="shared" si="127"/>
        <v>0.48100220925818316</v>
      </c>
      <c r="BH83">
        <f t="shared" si="128"/>
        <v>0.66120710029923635</v>
      </c>
      <c r="BI83">
        <f t="shared" si="129"/>
        <v>0.7872227447368092</v>
      </c>
      <c r="BJ83">
        <f t="shared" si="130"/>
        <v>0.88238072010489821</v>
      </c>
      <c r="BK83">
        <f t="shared" si="131"/>
        <v>0.83157373074962893</v>
      </c>
      <c r="BL83">
        <f t="shared" si="132"/>
        <v>0.50320556769238334</v>
      </c>
      <c r="BM83">
        <f t="shared" si="133"/>
        <v>0.49679443230761666</v>
      </c>
      <c r="BN83">
        <v>9190</v>
      </c>
      <c r="BO83">
        <v>290.00000000000011</v>
      </c>
      <c r="BP83">
        <v>1048.1099999999999</v>
      </c>
      <c r="BQ83">
        <v>235</v>
      </c>
      <c r="BR83">
        <v>10110.200000000001</v>
      </c>
      <c r="BS83">
        <v>1046.97</v>
      </c>
      <c r="BT83">
        <v>1.1399999999999999</v>
      </c>
      <c r="BU83">
        <v>300.00000000000011</v>
      </c>
      <c r="BV83">
        <v>24.2</v>
      </c>
      <c r="BW83">
        <v>1140.5250861548741</v>
      </c>
      <c r="BX83">
        <v>2.0386628637387219</v>
      </c>
      <c r="BY83">
        <v>-94.588976734603619</v>
      </c>
      <c r="BZ83">
        <v>1.834678870540946</v>
      </c>
      <c r="CA83">
        <v>0.98957571861542826</v>
      </c>
      <c r="CB83">
        <v>-6.9077692992213632E-3</v>
      </c>
      <c r="CC83">
        <v>289.99999999999989</v>
      </c>
      <c r="CD83">
        <v>1043.99</v>
      </c>
      <c r="CE83">
        <v>655</v>
      </c>
      <c r="CF83">
        <v>10088.4</v>
      </c>
      <c r="CG83">
        <v>1046.76</v>
      </c>
      <c r="CH83">
        <v>-2.77</v>
      </c>
      <c r="CV83">
        <f t="shared" si="134"/>
        <v>1799.86</v>
      </c>
      <c r="CW83">
        <f t="shared" si="135"/>
        <v>1513.0674006320492</v>
      </c>
      <c r="CX83">
        <f t="shared" si="136"/>
        <v>0.84065838489218569</v>
      </c>
      <c r="CY83">
        <f t="shared" si="137"/>
        <v>0.19131676978437157</v>
      </c>
      <c r="CZ83">
        <v>6</v>
      </c>
      <c r="DA83">
        <v>0.5</v>
      </c>
      <c r="DB83" t="s">
        <v>418</v>
      </c>
      <c r="DC83">
        <v>2</v>
      </c>
      <c r="DD83">
        <v>1674590778.5999999</v>
      </c>
      <c r="DE83">
        <v>532.97199999999998</v>
      </c>
      <c r="DF83">
        <v>600.04200000000003</v>
      </c>
      <c r="DG83">
        <v>24.8843</v>
      </c>
      <c r="DH83">
        <v>17.888999999999999</v>
      </c>
      <c r="DI83">
        <v>530.65499999999997</v>
      </c>
      <c r="DJ83">
        <v>24.770399999999999</v>
      </c>
      <c r="DK83">
        <v>500.01400000000001</v>
      </c>
      <c r="DL83">
        <v>99.465900000000005</v>
      </c>
      <c r="DM83">
        <v>9.9654400000000004E-2</v>
      </c>
      <c r="DN83">
        <v>27.998200000000001</v>
      </c>
      <c r="DO83">
        <v>27.4727</v>
      </c>
      <c r="DP83">
        <v>999.9</v>
      </c>
      <c r="DQ83">
        <v>0</v>
      </c>
      <c r="DR83">
        <v>0</v>
      </c>
      <c r="DS83">
        <v>10012.5</v>
      </c>
      <c r="DT83">
        <v>0</v>
      </c>
      <c r="DU83">
        <v>341.59399999999999</v>
      </c>
      <c r="DV83">
        <v>-67.069999999999993</v>
      </c>
      <c r="DW83">
        <v>546.57299999999998</v>
      </c>
      <c r="DX83">
        <v>610.971</v>
      </c>
      <c r="DY83">
        <v>6.9952500000000004</v>
      </c>
      <c r="DZ83">
        <v>600.04200000000003</v>
      </c>
      <c r="EA83">
        <v>17.888999999999999</v>
      </c>
      <c r="EB83">
        <v>2.4751300000000001</v>
      </c>
      <c r="EC83">
        <v>1.77935</v>
      </c>
      <c r="ED83">
        <v>20.863900000000001</v>
      </c>
      <c r="EE83">
        <v>15.6065</v>
      </c>
      <c r="EF83">
        <v>1799.86</v>
      </c>
      <c r="EG83">
        <v>0.97799400000000003</v>
      </c>
      <c r="EH83">
        <v>2.2005899999999998E-2</v>
      </c>
      <c r="EI83">
        <v>0</v>
      </c>
      <c r="EJ83">
        <v>777.995</v>
      </c>
      <c r="EK83">
        <v>4.9990399999999999</v>
      </c>
      <c r="EL83">
        <v>14581.4</v>
      </c>
      <c r="EM83">
        <v>14819.5</v>
      </c>
      <c r="EN83">
        <v>48.311999999999998</v>
      </c>
      <c r="EO83">
        <v>49.811999999999998</v>
      </c>
      <c r="EP83">
        <v>49.25</v>
      </c>
      <c r="EQ83">
        <v>48.186999999999998</v>
      </c>
      <c r="ER83">
        <v>49.186999999999998</v>
      </c>
      <c r="ES83">
        <v>1755.36</v>
      </c>
      <c r="ET83">
        <v>39.5</v>
      </c>
      <c r="EU83">
        <v>0</v>
      </c>
      <c r="EV83">
        <v>107.3999998569489</v>
      </c>
      <c r="EW83">
        <v>0</v>
      </c>
      <c r="EX83">
        <v>777.79012</v>
      </c>
      <c r="EY83">
        <v>1.1986923087914909</v>
      </c>
      <c r="EZ83">
        <v>20.346153797685929</v>
      </c>
      <c r="FA83">
        <v>14580.368</v>
      </c>
      <c r="FB83">
        <v>15</v>
      </c>
      <c r="FC83">
        <v>1674590742.5999999</v>
      </c>
      <c r="FD83" t="s">
        <v>761</v>
      </c>
      <c r="FE83">
        <v>1674590740.5999999</v>
      </c>
      <c r="FF83">
        <v>1674590742.5999999</v>
      </c>
      <c r="FG83">
        <v>77</v>
      </c>
      <c r="FH83">
        <v>0.1</v>
      </c>
      <c r="FI83">
        <v>-4.0000000000000001E-3</v>
      </c>
      <c r="FJ83">
        <v>2.4209999999999998</v>
      </c>
      <c r="FK83">
        <v>0.06</v>
      </c>
      <c r="FL83">
        <v>600</v>
      </c>
      <c r="FM83">
        <v>18</v>
      </c>
      <c r="FN83">
        <v>0.03</v>
      </c>
      <c r="FO83">
        <v>0.02</v>
      </c>
      <c r="FP83">
        <v>52.750219214447164</v>
      </c>
      <c r="FQ83">
        <v>-0.6920104048239305</v>
      </c>
      <c r="FR83">
        <v>7.5088609937914927E-2</v>
      </c>
      <c r="FS83">
        <v>1</v>
      </c>
      <c r="FT83">
        <v>0.53299282609258847</v>
      </c>
      <c r="FU83">
        <v>-6.9050893925722339E-3</v>
      </c>
      <c r="FV83">
        <v>1.8660506181541569E-3</v>
      </c>
      <c r="FW83">
        <v>1</v>
      </c>
      <c r="FX83">
        <v>2</v>
      </c>
      <c r="FY83">
        <v>2</v>
      </c>
      <c r="FZ83" t="s">
        <v>420</v>
      </c>
      <c r="GA83">
        <v>2.9331</v>
      </c>
      <c r="GB83">
        <v>2.8332199999999998</v>
      </c>
      <c r="GC83">
        <v>0.111431</v>
      </c>
      <c r="GD83">
        <v>0.11926100000000001</v>
      </c>
      <c r="GE83">
        <v>0.12212000000000001</v>
      </c>
      <c r="GF83">
        <v>9.3621399999999994E-2</v>
      </c>
      <c r="GG83">
        <v>22995.1</v>
      </c>
      <c r="GH83">
        <v>28739.200000000001</v>
      </c>
      <c r="GI83">
        <v>23283.599999999999</v>
      </c>
      <c r="GJ83">
        <v>29895.9</v>
      </c>
      <c r="GK83">
        <v>27811.200000000001</v>
      </c>
      <c r="GL83">
        <v>38535.599999999999</v>
      </c>
      <c r="GM83">
        <v>32865.800000000003</v>
      </c>
      <c r="GN83">
        <v>44355.5</v>
      </c>
      <c r="GO83">
        <v>1.9438500000000001</v>
      </c>
      <c r="GP83">
        <v>1.83663</v>
      </c>
      <c r="GQ83">
        <v>5.5685600000000002E-2</v>
      </c>
      <c r="GR83">
        <v>0</v>
      </c>
      <c r="GS83">
        <v>26.562000000000001</v>
      </c>
      <c r="GT83">
        <v>999.9</v>
      </c>
      <c r="GU83">
        <v>47.6</v>
      </c>
      <c r="GV83">
        <v>35.6</v>
      </c>
      <c r="GW83">
        <v>27.939900000000002</v>
      </c>
      <c r="GX83">
        <v>61.415100000000002</v>
      </c>
      <c r="GY83">
        <v>36.2941</v>
      </c>
      <c r="GZ83">
        <v>1</v>
      </c>
      <c r="HA83">
        <v>0.34699200000000002</v>
      </c>
      <c r="HB83">
        <v>2.0982400000000001</v>
      </c>
      <c r="HC83">
        <v>20.260300000000001</v>
      </c>
      <c r="HD83">
        <v>5.2078600000000002</v>
      </c>
      <c r="HE83">
        <v>11.872199999999999</v>
      </c>
      <c r="HF83">
        <v>4.9842000000000004</v>
      </c>
      <c r="HG83">
        <v>3.2833299999999999</v>
      </c>
      <c r="HH83">
        <v>9999</v>
      </c>
      <c r="HI83">
        <v>9999</v>
      </c>
      <c r="HJ83">
        <v>9999</v>
      </c>
      <c r="HK83">
        <v>999.9</v>
      </c>
      <c r="HL83">
        <v>1.8547100000000001</v>
      </c>
      <c r="HM83">
        <v>1.8607800000000001</v>
      </c>
      <c r="HN83">
        <v>1.8581300000000001</v>
      </c>
      <c r="HO83">
        <v>1.85938</v>
      </c>
      <c r="HP83">
        <v>1.8587100000000001</v>
      </c>
      <c r="HQ83">
        <v>1.8592500000000001</v>
      </c>
      <c r="HR83">
        <v>1.8575999999999999</v>
      </c>
      <c r="HS83">
        <v>1.8609599999999999</v>
      </c>
      <c r="HT83">
        <v>5</v>
      </c>
      <c r="HU83">
        <v>0</v>
      </c>
      <c r="HV83">
        <v>0</v>
      </c>
      <c r="HW83">
        <v>0</v>
      </c>
      <c r="HX83" t="s">
        <v>421</v>
      </c>
      <c r="HY83" t="s">
        <v>422</v>
      </c>
      <c r="HZ83" t="s">
        <v>423</v>
      </c>
      <c r="IA83" t="s">
        <v>423</v>
      </c>
      <c r="IB83" t="s">
        <v>423</v>
      </c>
      <c r="IC83" t="s">
        <v>423</v>
      </c>
      <c r="ID83">
        <v>0</v>
      </c>
      <c r="IE83">
        <v>100</v>
      </c>
      <c r="IF83">
        <v>100</v>
      </c>
      <c r="IG83">
        <v>2.3170000000000002</v>
      </c>
      <c r="IH83">
        <v>0.1139</v>
      </c>
      <c r="II83">
        <v>1.45356346175349</v>
      </c>
      <c r="IJ83">
        <v>1.6187016317407189E-3</v>
      </c>
      <c r="IK83">
        <v>1.4341569744255341E-7</v>
      </c>
      <c r="IL83">
        <v>-2.4096625942085749E-10</v>
      </c>
      <c r="IM83">
        <v>0.1138817272547241</v>
      </c>
      <c r="IN83">
        <v>0</v>
      </c>
      <c r="IO83">
        <v>0</v>
      </c>
      <c r="IP83">
        <v>0</v>
      </c>
      <c r="IQ83">
        <v>4</v>
      </c>
      <c r="IR83">
        <v>2205</v>
      </c>
      <c r="IS83">
        <v>1</v>
      </c>
      <c r="IT83">
        <v>21</v>
      </c>
      <c r="IU83">
        <v>0.6</v>
      </c>
      <c r="IV83">
        <v>0.6</v>
      </c>
      <c r="IW83">
        <v>1.3757299999999999</v>
      </c>
      <c r="IX83">
        <v>2.4560499999999998</v>
      </c>
      <c r="IY83">
        <v>1.49414</v>
      </c>
      <c r="IZ83">
        <v>2.3059099999999999</v>
      </c>
      <c r="JA83">
        <v>1.69434</v>
      </c>
      <c r="JB83">
        <v>2.34009</v>
      </c>
      <c r="JC83">
        <v>39.566600000000001</v>
      </c>
      <c r="JD83">
        <v>23.9999</v>
      </c>
      <c r="JE83">
        <v>18</v>
      </c>
      <c r="JF83">
        <v>495.476</v>
      </c>
      <c r="JG83">
        <v>448.42700000000002</v>
      </c>
      <c r="JH83">
        <v>24.772600000000001</v>
      </c>
      <c r="JI83">
        <v>31.678799999999999</v>
      </c>
      <c r="JJ83">
        <v>30</v>
      </c>
      <c r="JK83">
        <v>31.6221</v>
      </c>
      <c r="JL83">
        <v>31.593699999999998</v>
      </c>
      <c r="JM83">
        <v>27.604500000000002</v>
      </c>
      <c r="JN83">
        <v>41.953099999999999</v>
      </c>
      <c r="JO83">
        <v>0</v>
      </c>
      <c r="JP83">
        <v>24.767800000000001</v>
      </c>
      <c r="JQ83">
        <v>600</v>
      </c>
      <c r="JR83">
        <v>17.882100000000001</v>
      </c>
      <c r="JS83">
        <v>99.003399999999999</v>
      </c>
      <c r="JT83">
        <v>99.610100000000003</v>
      </c>
    </row>
    <row r="84" spans="1:280" x14ac:dyDescent="0.25">
      <c r="A84">
        <v>68</v>
      </c>
      <c r="B84">
        <v>1674590889.0999999</v>
      </c>
      <c r="C84">
        <v>16836.5</v>
      </c>
      <c r="D84" t="s">
        <v>762</v>
      </c>
      <c r="E84" t="s">
        <v>763</v>
      </c>
      <c r="F84" t="s">
        <v>412</v>
      </c>
      <c r="G84" t="s">
        <v>708</v>
      </c>
      <c r="H84" t="s">
        <v>414</v>
      </c>
      <c r="I84">
        <v>1674590889.0999999</v>
      </c>
      <c r="J84">
        <f t="shared" si="92"/>
        <v>5.7555212200821257E-3</v>
      </c>
      <c r="K84">
        <f t="shared" si="93"/>
        <v>5.7555212200821257</v>
      </c>
      <c r="L84">
        <f t="shared" si="94"/>
        <v>52.547753699633709</v>
      </c>
      <c r="M84">
        <f t="shared" si="95"/>
        <v>731.93399999999997</v>
      </c>
      <c r="N84">
        <f t="shared" si="96"/>
        <v>538.18346379383252</v>
      </c>
      <c r="O84">
        <f t="shared" si="97"/>
        <v>53.581669975694105</v>
      </c>
      <c r="P84">
        <f t="shared" si="98"/>
        <v>72.871518116754004</v>
      </c>
      <c r="Q84">
        <f t="shared" si="99"/>
        <v>0.50185691250579578</v>
      </c>
      <c r="R84">
        <f t="shared" si="100"/>
        <v>2.918530239088049</v>
      </c>
      <c r="S84">
        <f t="shared" si="101"/>
        <v>0.4583785601890541</v>
      </c>
      <c r="T84">
        <f t="shared" si="102"/>
        <v>0.29007841117538991</v>
      </c>
      <c r="U84">
        <f t="shared" si="103"/>
        <v>344.34340126409899</v>
      </c>
      <c r="V84">
        <f t="shared" si="104"/>
        <v>28.545444506320173</v>
      </c>
      <c r="W84">
        <f t="shared" si="105"/>
        <v>27.502600000000001</v>
      </c>
      <c r="X84">
        <f t="shared" si="106"/>
        <v>3.686183830660005</v>
      </c>
      <c r="Y84">
        <f t="shared" si="107"/>
        <v>65.175403233152551</v>
      </c>
      <c r="Z84">
        <f t="shared" si="108"/>
        <v>2.4747587059439002</v>
      </c>
      <c r="AA84">
        <f t="shared" si="109"/>
        <v>3.7970746373304727</v>
      </c>
      <c r="AB84">
        <f t="shared" si="110"/>
        <v>1.2114251247161048</v>
      </c>
      <c r="AC84">
        <f t="shared" si="111"/>
        <v>-253.81848580562175</v>
      </c>
      <c r="AD84">
        <f t="shared" si="112"/>
        <v>79.851979641730367</v>
      </c>
      <c r="AE84">
        <f t="shared" si="113"/>
        <v>5.9494582821437509</v>
      </c>
      <c r="AF84">
        <f t="shared" si="114"/>
        <v>176.32635338235133</v>
      </c>
      <c r="AG84">
        <v>0</v>
      </c>
      <c r="AH84">
        <v>0</v>
      </c>
      <c r="AI84">
        <f t="shared" si="115"/>
        <v>1</v>
      </c>
      <c r="AJ84">
        <f t="shared" si="116"/>
        <v>0</v>
      </c>
      <c r="AK84">
        <f t="shared" si="117"/>
        <v>52371.263851056763</v>
      </c>
      <c r="AL84" t="s">
        <v>415</v>
      </c>
      <c r="AM84">
        <v>10214.9</v>
      </c>
      <c r="AN84">
        <v>729.4384</v>
      </c>
      <c r="AO84">
        <v>3170.19</v>
      </c>
      <c r="AP84">
        <f t="shared" si="118"/>
        <v>0.76990704027203416</v>
      </c>
      <c r="AQ84">
        <v>-0.45549566560547827</v>
      </c>
      <c r="AR84" t="s">
        <v>764</v>
      </c>
      <c r="AS84">
        <v>10112.700000000001</v>
      </c>
      <c r="AT84">
        <v>779.56743999999992</v>
      </c>
      <c r="AU84">
        <v>1149.437072644442</v>
      </c>
      <c r="AV84">
        <f t="shared" si="119"/>
        <v>0.32178328109211307</v>
      </c>
      <c r="AW84">
        <v>0.5</v>
      </c>
      <c r="AX84">
        <f t="shared" si="120"/>
        <v>1513.0674006320492</v>
      </c>
      <c r="AY84">
        <f t="shared" si="121"/>
        <v>52.547753699633709</v>
      </c>
      <c r="AZ84">
        <f t="shared" si="122"/>
        <v>243.43989634444776</v>
      </c>
      <c r="BA84">
        <f t="shared" si="123"/>
        <v>3.5030329344944114E-2</v>
      </c>
      <c r="BB84">
        <f t="shared" si="124"/>
        <v>1.7580370212929806</v>
      </c>
      <c r="BC84">
        <f t="shared" si="125"/>
        <v>519.35364764493477</v>
      </c>
      <c r="BD84" t="s">
        <v>765</v>
      </c>
      <c r="BE84">
        <v>595</v>
      </c>
      <c r="BF84">
        <f t="shared" si="126"/>
        <v>595</v>
      </c>
      <c r="BG84">
        <f t="shared" si="127"/>
        <v>0.48235530751490496</v>
      </c>
      <c r="BH84">
        <f t="shared" si="128"/>
        <v>0.6671084075967586</v>
      </c>
      <c r="BI84">
        <f t="shared" si="129"/>
        <v>0.78470051815810016</v>
      </c>
      <c r="BJ84">
        <f t="shared" si="130"/>
        <v>0.88064476565039618</v>
      </c>
      <c r="BK84">
        <f t="shared" si="131"/>
        <v>0.82792240199926859</v>
      </c>
      <c r="BL84">
        <f t="shared" si="132"/>
        <v>0.50916634296587782</v>
      </c>
      <c r="BM84">
        <f t="shared" si="133"/>
        <v>0.49083365703412218</v>
      </c>
      <c r="BN84">
        <v>9192</v>
      </c>
      <c r="BO84">
        <v>290.00000000000011</v>
      </c>
      <c r="BP84">
        <v>1052.08</v>
      </c>
      <c r="BQ84">
        <v>215</v>
      </c>
      <c r="BR84">
        <v>10112.700000000001</v>
      </c>
      <c r="BS84">
        <v>1050.97</v>
      </c>
      <c r="BT84">
        <v>1.1100000000000001</v>
      </c>
      <c r="BU84">
        <v>300.00000000000011</v>
      </c>
      <c r="BV84">
        <v>24.2</v>
      </c>
      <c r="BW84">
        <v>1149.437072644442</v>
      </c>
      <c r="BX84">
        <v>1.6218524878926801</v>
      </c>
      <c r="BY84">
        <v>-99.579183551058662</v>
      </c>
      <c r="BZ84">
        <v>1.459563753586959</v>
      </c>
      <c r="CA84">
        <v>0.99402053395211643</v>
      </c>
      <c r="CB84">
        <v>-6.9076440489432784E-3</v>
      </c>
      <c r="CC84">
        <v>289.99999999999989</v>
      </c>
      <c r="CD84">
        <v>1047.17</v>
      </c>
      <c r="CE84">
        <v>665</v>
      </c>
      <c r="CF84">
        <v>10087.700000000001</v>
      </c>
      <c r="CG84">
        <v>1050.72</v>
      </c>
      <c r="CH84">
        <v>-3.55</v>
      </c>
      <c r="CV84">
        <f t="shared" si="134"/>
        <v>1799.86</v>
      </c>
      <c r="CW84">
        <f t="shared" si="135"/>
        <v>1513.0674006320492</v>
      </c>
      <c r="CX84">
        <f t="shared" si="136"/>
        <v>0.84065838489218569</v>
      </c>
      <c r="CY84">
        <f t="shared" si="137"/>
        <v>0.19131676978437157</v>
      </c>
      <c r="CZ84">
        <v>6</v>
      </c>
      <c r="DA84">
        <v>0.5</v>
      </c>
      <c r="DB84" t="s">
        <v>418</v>
      </c>
      <c r="DC84">
        <v>2</v>
      </c>
      <c r="DD84">
        <v>1674590889.0999999</v>
      </c>
      <c r="DE84">
        <v>731.93399999999997</v>
      </c>
      <c r="DF84">
        <v>800.04499999999996</v>
      </c>
      <c r="DG84">
        <v>24.8569</v>
      </c>
      <c r="DH84">
        <v>18.1221</v>
      </c>
      <c r="DI84">
        <v>728.91</v>
      </c>
      <c r="DJ84">
        <v>24.743500000000001</v>
      </c>
      <c r="DK84">
        <v>500.01100000000002</v>
      </c>
      <c r="DL84">
        <v>99.4602</v>
      </c>
      <c r="DM84">
        <v>0.10003099999999999</v>
      </c>
      <c r="DN84">
        <v>28.010100000000001</v>
      </c>
      <c r="DO84">
        <v>27.502600000000001</v>
      </c>
      <c r="DP84">
        <v>999.9</v>
      </c>
      <c r="DQ84">
        <v>0</v>
      </c>
      <c r="DR84">
        <v>0</v>
      </c>
      <c r="DS84">
        <v>9991.25</v>
      </c>
      <c r="DT84">
        <v>0</v>
      </c>
      <c r="DU84">
        <v>330.673</v>
      </c>
      <c r="DV84">
        <v>-68.111099999999993</v>
      </c>
      <c r="DW84">
        <v>750.59100000000001</v>
      </c>
      <c r="DX84">
        <v>814.81100000000004</v>
      </c>
      <c r="DY84">
        <v>6.7348499999999998</v>
      </c>
      <c r="DZ84">
        <v>800.04499999999996</v>
      </c>
      <c r="EA84">
        <v>18.1221</v>
      </c>
      <c r="EB84">
        <v>2.47228</v>
      </c>
      <c r="EC84">
        <v>1.80243</v>
      </c>
      <c r="ED84">
        <v>20.845099999999999</v>
      </c>
      <c r="EE84">
        <v>15.8079</v>
      </c>
      <c r="EF84">
        <v>1799.86</v>
      </c>
      <c r="EG84">
        <v>0.97799400000000003</v>
      </c>
      <c r="EH84">
        <v>2.2005899999999998E-2</v>
      </c>
      <c r="EI84">
        <v>0</v>
      </c>
      <c r="EJ84">
        <v>779.471</v>
      </c>
      <c r="EK84">
        <v>4.9990399999999999</v>
      </c>
      <c r="EL84">
        <v>14597.9</v>
      </c>
      <c r="EM84">
        <v>14819.5</v>
      </c>
      <c r="EN84">
        <v>48.311999999999998</v>
      </c>
      <c r="EO84">
        <v>49.75</v>
      </c>
      <c r="EP84">
        <v>49.25</v>
      </c>
      <c r="EQ84">
        <v>48.125</v>
      </c>
      <c r="ER84">
        <v>49.186999999999998</v>
      </c>
      <c r="ES84">
        <v>1755.36</v>
      </c>
      <c r="ET84">
        <v>39.5</v>
      </c>
      <c r="EU84">
        <v>0</v>
      </c>
      <c r="EV84">
        <v>108.5999999046326</v>
      </c>
      <c r="EW84">
        <v>0</v>
      </c>
      <c r="EX84">
        <v>779.56743999999992</v>
      </c>
      <c r="EY84">
        <v>0.97884614418052829</v>
      </c>
      <c r="EZ84">
        <v>20.169230711816819</v>
      </c>
      <c r="FA84">
        <v>14596.476000000001</v>
      </c>
      <c r="FB84">
        <v>15</v>
      </c>
      <c r="FC84">
        <v>1674590854.0999999</v>
      </c>
      <c r="FD84" t="s">
        <v>766</v>
      </c>
      <c r="FE84">
        <v>1674590852.5999999</v>
      </c>
      <c r="FF84">
        <v>1674590854.0999999</v>
      </c>
      <c r="FG84">
        <v>78</v>
      </c>
      <c r="FH84">
        <v>0.40699999999999997</v>
      </c>
      <c r="FI84">
        <v>0</v>
      </c>
      <c r="FJ84">
        <v>3.12</v>
      </c>
      <c r="FK84">
        <v>6.3E-2</v>
      </c>
      <c r="FL84">
        <v>800</v>
      </c>
      <c r="FM84">
        <v>18</v>
      </c>
      <c r="FN84">
        <v>0.05</v>
      </c>
      <c r="FO84">
        <v>0.03</v>
      </c>
      <c r="FP84">
        <v>52.551626507481217</v>
      </c>
      <c r="FQ84">
        <v>-0.64359615050642194</v>
      </c>
      <c r="FR84">
        <v>0.1003466712609582</v>
      </c>
      <c r="FS84">
        <v>1</v>
      </c>
      <c r="FT84">
        <v>0.50756071122093682</v>
      </c>
      <c r="FU84">
        <v>-4.5883256631798174E-3</v>
      </c>
      <c r="FV84">
        <v>2.9220355488545212E-3</v>
      </c>
      <c r="FW84">
        <v>1</v>
      </c>
      <c r="FX84">
        <v>2</v>
      </c>
      <c r="FY84">
        <v>2</v>
      </c>
      <c r="FZ84" t="s">
        <v>420</v>
      </c>
      <c r="GA84">
        <v>2.9331299999999998</v>
      </c>
      <c r="GB84">
        <v>2.8334100000000002</v>
      </c>
      <c r="GC84">
        <v>0.13905799999999999</v>
      </c>
      <c r="GD84">
        <v>0.145229</v>
      </c>
      <c r="GE84">
        <v>0.122029</v>
      </c>
      <c r="GF84">
        <v>9.4486500000000001E-2</v>
      </c>
      <c r="GG84">
        <v>22282.6</v>
      </c>
      <c r="GH84">
        <v>27895.200000000001</v>
      </c>
      <c r="GI84">
        <v>23286.1</v>
      </c>
      <c r="GJ84">
        <v>29899.4</v>
      </c>
      <c r="GK84">
        <v>27817.3</v>
      </c>
      <c r="GL84">
        <v>38503.5</v>
      </c>
      <c r="GM84">
        <v>32869.1</v>
      </c>
      <c r="GN84">
        <v>44360.6</v>
      </c>
      <c r="GO84">
        <v>1.9440999999999999</v>
      </c>
      <c r="GP84">
        <v>1.8382000000000001</v>
      </c>
      <c r="GQ84">
        <v>5.9723900000000003E-2</v>
      </c>
      <c r="GR84">
        <v>0</v>
      </c>
      <c r="GS84">
        <v>26.5259</v>
      </c>
      <c r="GT84">
        <v>999.9</v>
      </c>
      <c r="GU84">
        <v>47.6</v>
      </c>
      <c r="GV84">
        <v>35.6</v>
      </c>
      <c r="GW84">
        <v>27.943999999999999</v>
      </c>
      <c r="GX84">
        <v>61.745100000000001</v>
      </c>
      <c r="GY84">
        <v>36.838900000000002</v>
      </c>
      <c r="GZ84">
        <v>1</v>
      </c>
      <c r="HA84">
        <v>0.34320099999999998</v>
      </c>
      <c r="HB84">
        <v>2.10141</v>
      </c>
      <c r="HC84">
        <v>20.2605</v>
      </c>
      <c r="HD84">
        <v>5.2105499999999996</v>
      </c>
      <c r="HE84">
        <v>11.872199999999999</v>
      </c>
      <c r="HF84">
        <v>4.9852999999999996</v>
      </c>
      <c r="HG84">
        <v>3.2839999999999998</v>
      </c>
      <c r="HH84">
        <v>9999</v>
      </c>
      <c r="HI84">
        <v>9999</v>
      </c>
      <c r="HJ84">
        <v>9999</v>
      </c>
      <c r="HK84">
        <v>999.9</v>
      </c>
      <c r="HL84">
        <v>1.8547100000000001</v>
      </c>
      <c r="HM84">
        <v>1.8607899999999999</v>
      </c>
      <c r="HN84">
        <v>1.8581099999999999</v>
      </c>
      <c r="HO84">
        <v>1.85938</v>
      </c>
      <c r="HP84">
        <v>1.85869</v>
      </c>
      <c r="HQ84">
        <v>1.85927</v>
      </c>
      <c r="HR84">
        <v>1.8575999999999999</v>
      </c>
      <c r="HS84">
        <v>1.8609500000000001</v>
      </c>
      <c r="HT84">
        <v>5</v>
      </c>
      <c r="HU84">
        <v>0</v>
      </c>
      <c r="HV84">
        <v>0</v>
      </c>
      <c r="HW84">
        <v>0</v>
      </c>
      <c r="HX84" t="s">
        <v>421</v>
      </c>
      <c r="HY84" t="s">
        <v>422</v>
      </c>
      <c r="HZ84" t="s">
        <v>423</v>
      </c>
      <c r="IA84" t="s">
        <v>423</v>
      </c>
      <c r="IB84" t="s">
        <v>423</v>
      </c>
      <c r="IC84" t="s">
        <v>423</v>
      </c>
      <c r="ID84">
        <v>0</v>
      </c>
      <c r="IE84">
        <v>100</v>
      </c>
      <c r="IF84">
        <v>100</v>
      </c>
      <c r="IG84">
        <v>3.024</v>
      </c>
      <c r="IH84">
        <v>0.1134</v>
      </c>
      <c r="II84">
        <v>1.860942482311285</v>
      </c>
      <c r="IJ84">
        <v>1.6187016317407189E-3</v>
      </c>
      <c r="IK84">
        <v>1.4341569744255341E-7</v>
      </c>
      <c r="IL84">
        <v>-2.4096625942085749E-10</v>
      </c>
      <c r="IM84">
        <v>0.1134199781286417</v>
      </c>
      <c r="IN84">
        <v>0</v>
      </c>
      <c r="IO84">
        <v>0</v>
      </c>
      <c r="IP84">
        <v>0</v>
      </c>
      <c r="IQ84">
        <v>4</v>
      </c>
      <c r="IR84">
        <v>2205</v>
      </c>
      <c r="IS84">
        <v>1</v>
      </c>
      <c r="IT84">
        <v>21</v>
      </c>
      <c r="IU84">
        <v>0.6</v>
      </c>
      <c r="IV84">
        <v>0.6</v>
      </c>
      <c r="IW84">
        <v>1.74438</v>
      </c>
      <c r="IX84">
        <v>2.4523899999999998</v>
      </c>
      <c r="IY84">
        <v>1.49414</v>
      </c>
      <c r="IZ84">
        <v>2.3046899999999999</v>
      </c>
      <c r="JA84">
        <v>1.69434</v>
      </c>
      <c r="JB84">
        <v>2.3779300000000001</v>
      </c>
      <c r="JC84">
        <v>39.566600000000001</v>
      </c>
      <c r="JD84">
        <v>23.9999</v>
      </c>
      <c r="JE84">
        <v>18</v>
      </c>
      <c r="JF84">
        <v>495.40699999999998</v>
      </c>
      <c r="JG84">
        <v>449.30700000000002</v>
      </c>
      <c r="JH84">
        <v>24.78</v>
      </c>
      <c r="JI84">
        <v>31.639500000000002</v>
      </c>
      <c r="JJ84">
        <v>29.9998</v>
      </c>
      <c r="JK84">
        <v>31.594000000000001</v>
      </c>
      <c r="JL84">
        <v>31.5672</v>
      </c>
      <c r="JM84">
        <v>34.973199999999999</v>
      </c>
      <c r="JN84">
        <v>41.145499999999998</v>
      </c>
      <c r="JO84">
        <v>0</v>
      </c>
      <c r="JP84">
        <v>24.777000000000001</v>
      </c>
      <c r="JQ84">
        <v>800</v>
      </c>
      <c r="JR84">
        <v>18.093499999999999</v>
      </c>
      <c r="JS84">
        <v>99.013599999999997</v>
      </c>
      <c r="JT84">
        <v>99.621700000000004</v>
      </c>
    </row>
    <row r="85" spans="1:280" x14ac:dyDescent="0.25">
      <c r="A85">
        <v>69</v>
      </c>
      <c r="B85">
        <v>1674591000.5999999</v>
      </c>
      <c r="C85">
        <v>16948</v>
      </c>
      <c r="D85" t="s">
        <v>767</v>
      </c>
      <c r="E85" t="s">
        <v>768</v>
      </c>
      <c r="F85" t="s">
        <v>412</v>
      </c>
      <c r="G85" t="s">
        <v>708</v>
      </c>
      <c r="H85" t="s">
        <v>414</v>
      </c>
      <c r="I85">
        <v>1674591000.5999999</v>
      </c>
      <c r="J85">
        <f t="shared" si="92"/>
        <v>5.5768695527509118E-3</v>
      </c>
      <c r="K85">
        <f t="shared" si="93"/>
        <v>5.576869552750912</v>
      </c>
      <c r="L85">
        <f t="shared" si="94"/>
        <v>51.662646676701641</v>
      </c>
      <c r="M85">
        <f t="shared" si="95"/>
        <v>1130.47</v>
      </c>
      <c r="N85">
        <f t="shared" si="96"/>
        <v>926.03282268234909</v>
      </c>
      <c r="O85">
        <f t="shared" si="97"/>
        <v>92.195319434235017</v>
      </c>
      <c r="P85">
        <f t="shared" si="98"/>
        <v>112.54897257197</v>
      </c>
      <c r="Q85">
        <f t="shared" si="99"/>
        <v>0.48446869867327425</v>
      </c>
      <c r="R85">
        <f t="shared" si="100"/>
        <v>2.9187351740613843</v>
      </c>
      <c r="S85">
        <f t="shared" si="101"/>
        <v>0.44382302567608212</v>
      </c>
      <c r="T85">
        <f t="shared" si="102"/>
        <v>0.28075652099226955</v>
      </c>
      <c r="U85">
        <f t="shared" si="103"/>
        <v>344.39850126389535</v>
      </c>
      <c r="V85">
        <f t="shared" si="104"/>
        <v>28.575630998511176</v>
      </c>
      <c r="W85">
        <f t="shared" si="105"/>
        <v>27.509499999999999</v>
      </c>
      <c r="X85">
        <f t="shared" si="106"/>
        <v>3.6876723459838261</v>
      </c>
      <c r="Y85">
        <f t="shared" si="107"/>
        <v>65.255171049659594</v>
      </c>
      <c r="Z85">
        <f t="shared" si="108"/>
        <v>2.4753764980482997</v>
      </c>
      <c r="AA85">
        <f t="shared" si="109"/>
        <v>3.7933798321737942</v>
      </c>
      <c r="AB85">
        <f t="shared" si="110"/>
        <v>1.2122958479355264</v>
      </c>
      <c r="AC85">
        <f t="shared" si="111"/>
        <v>-245.93994727631522</v>
      </c>
      <c r="AD85">
        <f t="shared" si="112"/>
        <v>76.144012255664634</v>
      </c>
      <c r="AE85">
        <f t="shared" si="113"/>
        <v>5.6725161881497073</v>
      </c>
      <c r="AF85">
        <f t="shared" si="114"/>
        <v>180.27508243139448</v>
      </c>
      <c r="AG85">
        <v>0</v>
      </c>
      <c r="AH85">
        <v>0</v>
      </c>
      <c r="AI85">
        <f t="shared" si="115"/>
        <v>1</v>
      </c>
      <c r="AJ85">
        <f t="shared" si="116"/>
        <v>0</v>
      </c>
      <c r="AK85">
        <f t="shared" si="117"/>
        <v>52380.034197532659</v>
      </c>
      <c r="AL85" t="s">
        <v>415</v>
      </c>
      <c r="AM85">
        <v>10214.9</v>
      </c>
      <c r="AN85">
        <v>729.4384</v>
      </c>
      <c r="AO85">
        <v>3170.19</v>
      </c>
      <c r="AP85">
        <f t="shared" si="118"/>
        <v>0.76990704027203416</v>
      </c>
      <c r="AQ85">
        <v>-0.45549566560547827</v>
      </c>
      <c r="AR85" t="s">
        <v>769</v>
      </c>
      <c r="AS85">
        <v>10113.9</v>
      </c>
      <c r="AT85">
        <v>780.38349999999991</v>
      </c>
      <c r="AU85">
        <v>1147.0883025840569</v>
      </c>
      <c r="AV85">
        <f t="shared" si="119"/>
        <v>0.31968315059788999</v>
      </c>
      <c r="AW85">
        <v>0.5</v>
      </c>
      <c r="AX85">
        <f t="shared" si="120"/>
        <v>1513.3110006319475</v>
      </c>
      <c r="AY85">
        <f t="shared" si="121"/>
        <v>51.662646676701641</v>
      </c>
      <c r="AZ85">
        <f t="shared" si="122"/>
        <v>241.89001425823324</v>
      </c>
      <c r="BA85">
        <f t="shared" si="123"/>
        <v>3.4439809345562789E-2</v>
      </c>
      <c r="BB85">
        <f t="shared" si="124"/>
        <v>1.7636843587877955</v>
      </c>
      <c r="BC85">
        <f t="shared" si="125"/>
        <v>518.87360124967893</v>
      </c>
      <c r="BD85" t="s">
        <v>770</v>
      </c>
      <c r="BE85">
        <v>591.22</v>
      </c>
      <c r="BF85">
        <f t="shared" si="126"/>
        <v>591.22</v>
      </c>
      <c r="BG85">
        <f t="shared" si="127"/>
        <v>0.48459068175644981</v>
      </c>
      <c r="BH85">
        <f t="shared" si="128"/>
        <v>0.65969727160077618</v>
      </c>
      <c r="BI85">
        <f t="shared" si="129"/>
        <v>0.78446112107389498</v>
      </c>
      <c r="BJ85">
        <f t="shared" si="130"/>
        <v>0.87801960521289335</v>
      </c>
      <c r="BK85">
        <f t="shared" si="131"/>
        <v>0.82888471625541205</v>
      </c>
      <c r="BL85">
        <f t="shared" si="132"/>
        <v>0.49978788751403763</v>
      </c>
      <c r="BM85">
        <f t="shared" si="133"/>
        <v>0.50021211248596242</v>
      </c>
      <c r="BN85">
        <v>9194</v>
      </c>
      <c r="BO85">
        <v>290.00000000000011</v>
      </c>
      <c r="BP85">
        <v>1053.22</v>
      </c>
      <c r="BQ85">
        <v>205</v>
      </c>
      <c r="BR85">
        <v>10113.9</v>
      </c>
      <c r="BS85">
        <v>1051.6500000000001</v>
      </c>
      <c r="BT85">
        <v>1.57</v>
      </c>
      <c r="BU85">
        <v>300.00000000000011</v>
      </c>
      <c r="BV85">
        <v>24.2</v>
      </c>
      <c r="BW85">
        <v>1147.0883025840569</v>
      </c>
      <c r="BX85">
        <v>2.2832876485411648</v>
      </c>
      <c r="BY85">
        <v>-96.526757958701509</v>
      </c>
      <c r="BZ85">
        <v>2.0547946653916092</v>
      </c>
      <c r="CA85">
        <v>0.98747078942496003</v>
      </c>
      <c r="CB85">
        <v>-6.9075090100111248E-3</v>
      </c>
      <c r="CC85">
        <v>289.99999999999989</v>
      </c>
      <c r="CD85">
        <v>1048.1099999999999</v>
      </c>
      <c r="CE85">
        <v>705</v>
      </c>
      <c r="CF85">
        <v>10085.4</v>
      </c>
      <c r="CG85">
        <v>1051.3800000000001</v>
      </c>
      <c r="CH85">
        <v>-3.27</v>
      </c>
      <c r="CV85">
        <f t="shared" si="134"/>
        <v>1800.15</v>
      </c>
      <c r="CW85">
        <f t="shared" si="135"/>
        <v>1513.3110006319475</v>
      </c>
      <c r="CX85">
        <f t="shared" si="136"/>
        <v>0.84065827882784627</v>
      </c>
      <c r="CY85">
        <f t="shared" si="137"/>
        <v>0.19131655765569278</v>
      </c>
      <c r="CZ85">
        <v>6</v>
      </c>
      <c r="DA85">
        <v>0.5</v>
      </c>
      <c r="DB85" t="s">
        <v>418</v>
      </c>
      <c r="DC85">
        <v>2</v>
      </c>
      <c r="DD85">
        <v>1674591000.5999999</v>
      </c>
      <c r="DE85">
        <v>1130.47</v>
      </c>
      <c r="DF85">
        <v>1200.03</v>
      </c>
      <c r="DG85">
        <v>24.863299999999999</v>
      </c>
      <c r="DH85">
        <v>18.337499999999999</v>
      </c>
      <c r="DI85">
        <v>1126.53</v>
      </c>
      <c r="DJ85">
        <v>24.742100000000001</v>
      </c>
      <c r="DK85">
        <v>500.00400000000002</v>
      </c>
      <c r="DL85">
        <v>99.459400000000002</v>
      </c>
      <c r="DM85">
        <v>0.100051</v>
      </c>
      <c r="DN85">
        <v>27.993400000000001</v>
      </c>
      <c r="DO85">
        <v>27.509499999999999</v>
      </c>
      <c r="DP85">
        <v>999.9</v>
      </c>
      <c r="DQ85">
        <v>0</v>
      </c>
      <c r="DR85">
        <v>0</v>
      </c>
      <c r="DS85">
        <v>9992.5</v>
      </c>
      <c r="DT85">
        <v>0</v>
      </c>
      <c r="DU85">
        <v>330.73200000000003</v>
      </c>
      <c r="DV85">
        <v>-69.558999999999997</v>
      </c>
      <c r="DW85">
        <v>1159.29</v>
      </c>
      <c r="DX85">
        <v>1222.44</v>
      </c>
      <c r="DY85">
        <v>6.5258500000000002</v>
      </c>
      <c r="DZ85">
        <v>1200.03</v>
      </c>
      <c r="EA85">
        <v>18.337499999999999</v>
      </c>
      <c r="EB85">
        <v>2.47289</v>
      </c>
      <c r="EC85">
        <v>1.8238300000000001</v>
      </c>
      <c r="ED85">
        <v>20.8492</v>
      </c>
      <c r="EE85">
        <v>15.9925</v>
      </c>
      <c r="EF85">
        <v>1800.15</v>
      </c>
      <c r="EG85">
        <v>0.97799800000000003</v>
      </c>
      <c r="EH85">
        <v>2.20021E-2</v>
      </c>
      <c r="EI85">
        <v>0</v>
      </c>
      <c r="EJ85">
        <v>780.68</v>
      </c>
      <c r="EK85">
        <v>4.9990399999999999</v>
      </c>
      <c r="EL85">
        <v>14619.5</v>
      </c>
      <c r="EM85">
        <v>14822</v>
      </c>
      <c r="EN85">
        <v>48.25</v>
      </c>
      <c r="EO85">
        <v>49.75</v>
      </c>
      <c r="EP85">
        <v>49.25</v>
      </c>
      <c r="EQ85">
        <v>48.125</v>
      </c>
      <c r="ER85">
        <v>49.186999999999998</v>
      </c>
      <c r="ES85">
        <v>1755.65</v>
      </c>
      <c r="ET85">
        <v>39.5</v>
      </c>
      <c r="EU85">
        <v>0</v>
      </c>
      <c r="EV85">
        <v>109.3999998569489</v>
      </c>
      <c r="EW85">
        <v>0</v>
      </c>
      <c r="EX85">
        <v>780.38349999999991</v>
      </c>
      <c r="EY85">
        <v>0.30526495400218051</v>
      </c>
      <c r="EZ85">
        <v>24.953846198786771</v>
      </c>
      <c r="FA85">
        <v>14615.042307692311</v>
      </c>
      <c r="FB85">
        <v>15</v>
      </c>
      <c r="FC85">
        <v>1674590968.5999999</v>
      </c>
      <c r="FD85" t="s">
        <v>771</v>
      </c>
      <c r="FE85">
        <v>1674590960.5999999</v>
      </c>
      <c r="FF85">
        <v>1674590968.5999999</v>
      </c>
      <c r="FG85">
        <v>79</v>
      </c>
      <c r="FH85">
        <v>0.41299999999999998</v>
      </c>
      <c r="FI85">
        <v>8.0000000000000002E-3</v>
      </c>
      <c r="FJ85">
        <v>4.0030000000000001</v>
      </c>
      <c r="FK85">
        <v>7.5999999999999998E-2</v>
      </c>
      <c r="FL85">
        <v>1201</v>
      </c>
      <c r="FM85">
        <v>18</v>
      </c>
      <c r="FN85">
        <v>0.05</v>
      </c>
      <c r="FO85">
        <v>0.02</v>
      </c>
      <c r="FP85">
        <v>51.654485740677011</v>
      </c>
      <c r="FQ85">
        <v>-0.24245919554250081</v>
      </c>
      <c r="FR85">
        <v>0.1248279242127848</v>
      </c>
      <c r="FS85">
        <v>1</v>
      </c>
      <c r="FT85">
        <v>0.48133368159054568</v>
      </c>
      <c r="FU85">
        <v>2.471506908020463E-2</v>
      </c>
      <c r="FV85">
        <v>4.6304519964288984E-3</v>
      </c>
      <c r="FW85">
        <v>1</v>
      </c>
      <c r="FX85">
        <v>2</v>
      </c>
      <c r="FY85">
        <v>2</v>
      </c>
      <c r="FZ85" t="s">
        <v>420</v>
      </c>
      <c r="GA85">
        <v>2.93316</v>
      </c>
      <c r="GB85">
        <v>2.83344</v>
      </c>
      <c r="GC85">
        <v>0.18443899999999999</v>
      </c>
      <c r="GD85">
        <v>0.188414</v>
      </c>
      <c r="GE85">
        <v>0.122032</v>
      </c>
      <c r="GF85">
        <v>9.5287800000000006E-2</v>
      </c>
      <c r="GG85">
        <v>21109.4</v>
      </c>
      <c r="GH85">
        <v>26485.1</v>
      </c>
      <c r="GI85">
        <v>23288.2</v>
      </c>
      <c r="GJ85">
        <v>29899.5</v>
      </c>
      <c r="GK85">
        <v>27820.1</v>
      </c>
      <c r="GL85">
        <v>38470.300000000003</v>
      </c>
      <c r="GM85">
        <v>32871.5</v>
      </c>
      <c r="GN85">
        <v>44360.7</v>
      </c>
      <c r="GO85">
        <v>1.94435</v>
      </c>
      <c r="GP85">
        <v>1.8401000000000001</v>
      </c>
      <c r="GQ85">
        <v>5.9850500000000001E-2</v>
      </c>
      <c r="GR85">
        <v>0</v>
      </c>
      <c r="GS85">
        <v>26.530799999999999</v>
      </c>
      <c r="GT85">
        <v>999.9</v>
      </c>
      <c r="GU85">
        <v>47.6</v>
      </c>
      <c r="GV85">
        <v>35.6</v>
      </c>
      <c r="GW85">
        <v>27.942900000000002</v>
      </c>
      <c r="GX85">
        <v>61.415100000000002</v>
      </c>
      <c r="GY85">
        <v>36.834899999999998</v>
      </c>
      <c r="GZ85">
        <v>1</v>
      </c>
      <c r="HA85">
        <v>0.33908500000000003</v>
      </c>
      <c r="HB85">
        <v>2.0083600000000001</v>
      </c>
      <c r="HC85">
        <v>20.261299999999999</v>
      </c>
      <c r="HD85">
        <v>5.2107000000000001</v>
      </c>
      <c r="HE85">
        <v>11.872199999999999</v>
      </c>
      <c r="HF85">
        <v>4.9852499999999997</v>
      </c>
      <c r="HG85">
        <v>3.2839999999999998</v>
      </c>
      <c r="HH85">
        <v>9999</v>
      </c>
      <c r="HI85">
        <v>9999</v>
      </c>
      <c r="HJ85">
        <v>9999</v>
      </c>
      <c r="HK85">
        <v>999.9</v>
      </c>
      <c r="HL85">
        <v>1.8547</v>
      </c>
      <c r="HM85">
        <v>1.8607800000000001</v>
      </c>
      <c r="HN85">
        <v>1.85809</v>
      </c>
      <c r="HO85">
        <v>1.8593</v>
      </c>
      <c r="HP85">
        <v>1.85867</v>
      </c>
      <c r="HQ85">
        <v>1.85927</v>
      </c>
      <c r="HR85">
        <v>1.8575999999999999</v>
      </c>
      <c r="HS85">
        <v>1.86093</v>
      </c>
      <c r="HT85">
        <v>5</v>
      </c>
      <c r="HU85">
        <v>0</v>
      </c>
      <c r="HV85">
        <v>0</v>
      </c>
      <c r="HW85">
        <v>0</v>
      </c>
      <c r="HX85" t="s">
        <v>421</v>
      </c>
      <c r="HY85" t="s">
        <v>422</v>
      </c>
      <c r="HZ85" t="s">
        <v>423</v>
      </c>
      <c r="IA85" t="s">
        <v>423</v>
      </c>
      <c r="IB85" t="s">
        <v>423</v>
      </c>
      <c r="IC85" t="s">
        <v>423</v>
      </c>
      <c r="ID85">
        <v>0</v>
      </c>
      <c r="IE85">
        <v>100</v>
      </c>
      <c r="IF85">
        <v>100</v>
      </c>
      <c r="IG85">
        <v>3.94</v>
      </c>
      <c r="IH85">
        <v>0.1212</v>
      </c>
      <c r="II85">
        <v>2.2735340405482121</v>
      </c>
      <c r="IJ85">
        <v>1.6187016317407189E-3</v>
      </c>
      <c r="IK85">
        <v>1.4341569744255341E-7</v>
      </c>
      <c r="IL85">
        <v>-2.4096625942085749E-10</v>
      </c>
      <c r="IM85">
        <v>0.12121027377382659</v>
      </c>
      <c r="IN85">
        <v>0</v>
      </c>
      <c r="IO85">
        <v>0</v>
      </c>
      <c r="IP85">
        <v>0</v>
      </c>
      <c r="IQ85">
        <v>4</v>
      </c>
      <c r="IR85">
        <v>2205</v>
      </c>
      <c r="IS85">
        <v>1</v>
      </c>
      <c r="IT85">
        <v>21</v>
      </c>
      <c r="IU85">
        <v>0.7</v>
      </c>
      <c r="IV85">
        <v>0.5</v>
      </c>
      <c r="IW85">
        <v>2.4389599999999998</v>
      </c>
      <c r="IX85">
        <v>2.4450699999999999</v>
      </c>
      <c r="IY85">
        <v>1.49414</v>
      </c>
      <c r="IZ85">
        <v>2.3059099999999999</v>
      </c>
      <c r="JA85">
        <v>1.69434</v>
      </c>
      <c r="JB85">
        <v>2.3986800000000001</v>
      </c>
      <c r="JC85">
        <v>39.566600000000001</v>
      </c>
      <c r="JD85">
        <v>23.9999</v>
      </c>
      <c r="JE85">
        <v>18</v>
      </c>
      <c r="JF85">
        <v>495.29300000000001</v>
      </c>
      <c r="JG85">
        <v>450.35899999999998</v>
      </c>
      <c r="JH85">
        <v>24.784700000000001</v>
      </c>
      <c r="JI85">
        <v>31.599</v>
      </c>
      <c r="JJ85">
        <v>30</v>
      </c>
      <c r="JK85">
        <v>31.560400000000001</v>
      </c>
      <c r="JL85">
        <v>31.533999999999999</v>
      </c>
      <c r="JM85">
        <v>48.871000000000002</v>
      </c>
      <c r="JN85">
        <v>40.465200000000003</v>
      </c>
      <c r="JO85">
        <v>0</v>
      </c>
      <c r="JP85">
        <v>24.787700000000001</v>
      </c>
      <c r="JQ85">
        <v>1200</v>
      </c>
      <c r="JR85">
        <v>18.3398</v>
      </c>
      <c r="JS85">
        <v>99.021600000000007</v>
      </c>
      <c r="JT85">
        <v>99.622</v>
      </c>
    </row>
    <row r="86" spans="1:280" x14ac:dyDescent="0.25">
      <c r="A86">
        <v>70</v>
      </c>
      <c r="B86">
        <v>1674591105.0999999</v>
      </c>
      <c r="C86">
        <v>17052.5</v>
      </c>
      <c r="D86" t="s">
        <v>772</v>
      </c>
      <c r="E86" t="s">
        <v>773</v>
      </c>
      <c r="F86" t="s">
        <v>412</v>
      </c>
      <c r="G86" t="s">
        <v>708</v>
      </c>
      <c r="H86" t="s">
        <v>414</v>
      </c>
      <c r="I86">
        <v>1674591105.0999999</v>
      </c>
      <c r="J86">
        <f t="shared" si="92"/>
        <v>5.3106362333093021E-3</v>
      </c>
      <c r="K86">
        <f t="shared" si="93"/>
        <v>5.3106362333093022</v>
      </c>
      <c r="L86">
        <f t="shared" si="94"/>
        <v>50.811895718179301</v>
      </c>
      <c r="M86">
        <f t="shared" si="95"/>
        <v>1429.95</v>
      </c>
      <c r="N86">
        <f t="shared" si="96"/>
        <v>1211.6010507992355</v>
      </c>
      <c r="O86">
        <f t="shared" si="97"/>
        <v>120.62884467437119</v>
      </c>
      <c r="P86">
        <f t="shared" si="98"/>
        <v>142.36799838390002</v>
      </c>
      <c r="Q86">
        <f t="shared" si="99"/>
        <v>0.45495009020543192</v>
      </c>
      <c r="R86">
        <f t="shared" si="100"/>
        <v>2.921171365669708</v>
      </c>
      <c r="S86">
        <f t="shared" si="101"/>
        <v>0.41893685642946421</v>
      </c>
      <c r="T86">
        <f t="shared" si="102"/>
        <v>0.26483321440794083</v>
      </c>
      <c r="U86">
        <f t="shared" si="103"/>
        <v>344.34910126407794</v>
      </c>
      <c r="V86">
        <f t="shared" si="104"/>
        <v>28.655657543190316</v>
      </c>
      <c r="W86">
        <f t="shared" si="105"/>
        <v>27.5444</v>
      </c>
      <c r="X86">
        <f t="shared" si="106"/>
        <v>3.6952092525187892</v>
      </c>
      <c r="Y86">
        <f t="shared" si="107"/>
        <v>65.128455679906878</v>
      </c>
      <c r="Z86">
        <f t="shared" si="108"/>
        <v>2.4722121527819998</v>
      </c>
      <c r="AA86">
        <f t="shared" si="109"/>
        <v>3.7959016945410462</v>
      </c>
      <c r="AB86">
        <f t="shared" si="110"/>
        <v>1.2229970997367894</v>
      </c>
      <c r="AC86">
        <f t="shared" si="111"/>
        <v>-234.19905788894022</v>
      </c>
      <c r="AD86">
        <f t="shared" si="112"/>
        <v>72.506642182619615</v>
      </c>
      <c r="AE86">
        <f t="shared" si="113"/>
        <v>5.398283570777223</v>
      </c>
      <c r="AF86">
        <f t="shared" si="114"/>
        <v>188.05496912853454</v>
      </c>
      <c r="AG86">
        <v>0</v>
      </c>
      <c r="AH86">
        <v>0</v>
      </c>
      <c r="AI86">
        <f t="shared" si="115"/>
        <v>1</v>
      </c>
      <c r="AJ86">
        <f t="shared" si="116"/>
        <v>0</v>
      </c>
      <c r="AK86">
        <f t="shared" si="117"/>
        <v>52448.033617505673</v>
      </c>
      <c r="AL86" t="s">
        <v>415</v>
      </c>
      <c r="AM86">
        <v>10214.9</v>
      </c>
      <c r="AN86">
        <v>729.4384</v>
      </c>
      <c r="AO86">
        <v>3170.19</v>
      </c>
      <c r="AP86">
        <f t="shared" si="118"/>
        <v>0.76990704027203416</v>
      </c>
      <c r="AQ86">
        <v>-0.45549566560547827</v>
      </c>
      <c r="AR86" t="s">
        <v>774</v>
      </c>
      <c r="AS86">
        <v>10119.700000000001</v>
      </c>
      <c r="AT86">
        <v>780.95476923076922</v>
      </c>
      <c r="AU86">
        <v>1147.804769270665</v>
      </c>
      <c r="AV86">
        <f t="shared" si="119"/>
        <v>0.31961010257258182</v>
      </c>
      <c r="AW86">
        <v>0.5</v>
      </c>
      <c r="AX86">
        <f t="shared" si="120"/>
        <v>1513.092600632039</v>
      </c>
      <c r="AY86">
        <f t="shared" si="121"/>
        <v>50.811895718179301</v>
      </c>
      <c r="AZ86">
        <f t="shared" si="122"/>
        <v>241.79984064491029</v>
      </c>
      <c r="BA86">
        <f t="shared" si="123"/>
        <v>3.3882520714442525E-2</v>
      </c>
      <c r="BB86">
        <f t="shared" si="124"/>
        <v>1.7619592502777224</v>
      </c>
      <c r="BC86">
        <f t="shared" si="125"/>
        <v>519.02014824515356</v>
      </c>
      <c r="BD86" t="s">
        <v>775</v>
      </c>
      <c r="BE86">
        <v>595.70000000000005</v>
      </c>
      <c r="BF86">
        <f t="shared" si="126"/>
        <v>595.70000000000005</v>
      </c>
      <c r="BG86">
        <f t="shared" si="127"/>
        <v>0.4810093005812146</v>
      </c>
      <c r="BH86">
        <f t="shared" si="128"/>
        <v>0.66445721982171557</v>
      </c>
      <c r="BI86">
        <f t="shared" si="129"/>
        <v>0.78554790685896436</v>
      </c>
      <c r="BJ86">
        <f t="shared" si="130"/>
        <v>0.87686302481583944</v>
      </c>
      <c r="BK86">
        <f t="shared" si="131"/>
        <v>0.82859117278847016</v>
      </c>
      <c r="BL86">
        <f t="shared" si="132"/>
        <v>0.50683750383862947</v>
      </c>
      <c r="BM86">
        <f t="shared" si="133"/>
        <v>0.49316249616137053</v>
      </c>
      <c r="BN86">
        <v>9196</v>
      </c>
      <c r="BO86">
        <v>290.00000000000011</v>
      </c>
      <c r="BP86">
        <v>1052.54</v>
      </c>
      <c r="BQ86">
        <v>165</v>
      </c>
      <c r="BR86">
        <v>10119.700000000001</v>
      </c>
      <c r="BS86">
        <v>1051.56</v>
      </c>
      <c r="BT86">
        <v>0.98</v>
      </c>
      <c r="BU86">
        <v>300.00000000000011</v>
      </c>
      <c r="BV86">
        <v>24.2</v>
      </c>
      <c r="BW86">
        <v>1147.804769270665</v>
      </c>
      <c r="BX86">
        <v>1.9665846158402021</v>
      </c>
      <c r="BY86">
        <v>-97.397489028393508</v>
      </c>
      <c r="BZ86">
        <v>1.7698006447384269</v>
      </c>
      <c r="CA86">
        <v>0.99083959738142569</v>
      </c>
      <c r="CB86">
        <v>-6.9076011123470529E-3</v>
      </c>
      <c r="CC86">
        <v>289.99999999999989</v>
      </c>
      <c r="CD86">
        <v>1048.18</v>
      </c>
      <c r="CE86">
        <v>665</v>
      </c>
      <c r="CF86">
        <v>10087.700000000001</v>
      </c>
      <c r="CG86">
        <v>1051.25</v>
      </c>
      <c r="CH86">
        <v>-3.07</v>
      </c>
      <c r="CV86">
        <f t="shared" si="134"/>
        <v>1799.89</v>
      </c>
      <c r="CW86">
        <f t="shared" si="135"/>
        <v>1513.092600632039</v>
      </c>
      <c r="CX86">
        <f t="shared" si="136"/>
        <v>0.84065837391842768</v>
      </c>
      <c r="CY86">
        <f t="shared" si="137"/>
        <v>0.19131674783685554</v>
      </c>
      <c r="CZ86">
        <v>6</v>
      </c>
      <c r="DA86">
        <v>0.5</v>
      </c>
      <c r="DB86" t="s">
        <v>418</v>
      </c>
      <c r="DC86">
        <v>2</v>
      </c>
      <c r="DD86">
        <v>1674591105.0999999</v>
      </c>
      <c r="DE86">
        <v>1429.95</v>
      </c>
      <c r="DF86">
        <v>1500.03</v>
      </c>
      <c r="DG86">
        <v>24.831</v>
      </c>
      <c r="DH86">
        <v>18.617100000000001</v>
      </c>
      <c r="DI86">
        <v>1425.85</v>
      </c>
      <c r="DJ86">
        <v>24.709599999999998</v>
      </c>
      <c r="DK86">
        <v>500.05</v>
      </c>
      <c r="DL86">
        <v>99.461500000000001</v>
      </c>
      <c r="DM86">
        <v>0.100022</v>
      </c>
      <c r="DN86">
        <v>28.004799999999999</v>
      </c>
      <c r="DO86">
        <v>27.5444</v>
      </c>
      <c r="DP86">
        <v>999.9</v>
      </c>
      <c r="DQ86">
        <v>0</v>
      </c>
      <c r="DR86">
        <v>0</v>
      </c>
      <c r="DS86">
        <v>10006.200000000001</v>
      </c>
      <c r="DT86">
        <v>0</v>
      </c>
      <c r="DU86">
        <v>339.33600000000001</v>
      </c>
      <c r="DV86">
        <v>-70.080100000000002</v>
      </c>
      <c r="DW86">
        <v>1466.36</v>
      </c>
      <c r="DX86">
        <v>1528.48</v>
      </c>
      <c r="DY86">
        <v>6.2139100000000003</v>
      </c>
      <c r="DZ86">
        <v>1500.03</v>
      </c>
      <c r="EA86">
        <v>18.617100000000001</v>
      </c>
      <c r="EB86">
        <v>2.4697300000000002</v>
      </c>
      <c r="EC86">
        <v>1.8516900000000001</v>
      </c>
      <c r="ED86">
        <v>20.828399999999998</v>
      </c>
      <c r="EE86">
        <v>16.2301</v>
      </c>
      <c r="EF86">
        <v>1799.89</v>
      </c>
      <c r="EG86">
        <v>0.97799400000000003</v>
      </c>
      <c r="EH86">
        <v>2.2005799999999999E-2</v>
      </c>
      <c r="EI86">
        <v>0</v>
      </c>
      <c r="EJ86">
        <v>780.92399999999998</v>
      </c>
      <c r="EK86">
        <v>4.9990399999999999</v>
      </c>
      <c r="EL86">
        <v>14633.2</v>
      </c>
      <c r="EM86">
        <v>14819.8</v>
      </c>
      <c r="EN86">
        <v>48.25</v>
      </c>
      <c r="EO86">
        <v>49.686999999999998</v>
      </c>
      <c r="EP86">
        <v>49.186999999999998</v>
      </c>
      <c r="EQ86">
        <v>48.061999999999998</v>
      </c>
      <c r="ER86">
        <v>49.125</v>
      </c>
      <c r="ES86">
        <v>1755.39</v>
      </c>
      <c r="ET86">
        <v>39.5</v>
      </c>
      <c r="EU86">
        <v>0</v>
      </c>
      <c r="EV86">
        <v>102.7999999523163</v>
      </c>
      <c r="EW86">
        <v>0</v>
      </c>
      <c r="EX86">
        <v>780.95476923076922</v>
      </c>
      <c r="EY86">
        <v>0.50584615555755885</v>
      </c>
      <c r="EZ86">
        <v>17.859829118281841</v>
      </c>
      <c r="FA86">
        <v>14631.80769230769</v>
      </c>
      <c r="FB86">
        <v>15</v>
      </c>
      <c r="FC86">
        <v>1674591070.5999999</v>
      </c>
      <c r="FD86" t="s">
        <v>776</v>
      </c>
      <c r="FE86">
        <v>1674591067.0999999</v>
      </c>
      <c r="FF86">
        <v>1674591070.5999999</v>
      </c>
      <c r="FG86">
        <v>80</v>
      </c>
      <c r="FH86">
        <v>-7.8E-2</v>
      </c>
      <c r="FI86">
        <v>0</v>
      </c>
      <c r="FJ86">
        <v>4.1319999999999997</v>
      </c>
      <c r="FK86">
        <v>7.8E-2</v>
      </c>
      <c r="FL86">
        <v>1500</v>
      </c>
      <c r="FM86">
        <v>18</v>
      </c>
      <c r="FN86">
        <v>7.0000000000000007E-2</v>
      </c>
      <c r="FO86">
        <v>0.01</v>
      </c>
      <c r="FP86">
        <v>50.911421669864147</v>
      </c>
      <c r="FQ86">
        <v>-0.69019857726669132</v>
      </c>
      <c r="FR86">
        <v>8.8677833668769093E-2</v>
      </c>
      <c r="FS86">
        <v>1</v>
      </c>
      <c r="FT86">
        <v>0.45804588741292163</v>
      </c>
      <c r="FU86">
        <v>5.2389280882465146E-3</v>
      </c>
      <c r="FV86">
        <v>2.016114997695456E-3</v>
      </c>
      <c r="FW86">
        <v>1</v>
      </c>
      <c r="FX86">
        <v>2</v>
      </c>
      <c r="FY86">
        <v>2</v>
      </c>
      <c r="FZ86" t="s">
        <v>420</v>
      </c>
      <c r="GA86">
        <v>2.9333399999999998</v>
      </c>
      <c r="GB86">
        <v>2.8335300000000001</v>
      </c>
      <c r="GC86">
        <v>0.212951</v>
      </c>
      <c r="GD86">
        <v>0.215754</v>
      </c>
      <c r="GE86">
        <v>0.121936</v>
      </c>
      <c r="GF86">
        <v>9.6326300000000004E-2</v>
      </c>
      <c r="GG86">
        <v>20372.2</v>
      </c>
      <c r="GH86">
        <v>25594.6</v>
      </c>
      <c r="GI86">
        <v>23289.7</v>
      </c>
      <c r="GJ86">
        <v>29902.2</v>
      </c>
      <c r="GK86">
        <v>27825.4</v>
      </c>
      <c r="GL86">
        <v>38429.1</v>
      </c>
      <c r="GM86">
        <v>32873.800000000003</v>
      </c>
      <c r="GN86">
        <v>44363.9</v>
      </c>
      <c r="GO86">
        <v>1.94485</v>
      </c>
      <c r="GP86">
        <v>1.8424</v>
      </c>
      <c r="GQ86">
        <v>6.8277099999999993E-2</v>
      </c>
      <c r="GR86">
        <v>0</v>
      </c>
      <c r="GS86">
        <v>26.427800000000001</v>
      </c>
      <c r="GT86">
        <v>999.9</v>
      </c>
      <c r="GU86">
        <v>47.6</v>
      </c>
      <c r="GV86">
        <v>35.6</v>
      </c>
      <c r="GW86">
        <v>27.940899999999999</v>
      </c>
      <c r="GX86">
        <v>61.115200000000002</v>
      </c>
      <c r="GY86">
        <v>36.630600000000001</v>
      </c>
      <c r="GZ86">
        <v>1</v>
      </c>
      <c r="HA86">
        <v>0.33463700000000002</v>
      </c>
      <c r="HB86">
        <v>1.90588</v>
      </c>
      <c r="HC86">
        <v>20.262599999999999</v>
      </c>
      <c r="HD86">
        <v>5.2110000000000003</v>
      </c>
      <c r="HE86">
        <v>11.872199999999999</v>
      </c>
      <c r="HF86">
        <v>4.9855</v>
      </c>
      <c r="HG86">
        <v>3.2839999999999998</v>
      </c>
      <c r="HH86">
        <v>9999</v>
      </c>
      <c r="HI86">
        <v>9999</v>
      </c>
      <c r="HJ86">
        <v>9999</v>
      </c>
      <c r="HK86">
        <v>999.9</v>
      </c>
      <c r="HL86">
        <v>1.8546899999999999</v>
      </c>
      <c r="HM86">
        <v>1.8607199999999999</v>
      </c>
      <c r="HN86">
        <v>1.8580700000000001</v>
      </c>
      <c r="HO86">
        <v>1.8592900000000001</v>
      </c>
      <c r="HP86">
        <v>1.85867</v>
      </c>
      <c r="HQ86">
        <v>1.8591899999999999</v>
      </c>
      <c r="HR86">
        <v>1.8575900000000001</v>
      </c>
      <c r="HS86">
        <v>1.86093</v>
      </c>
      <c r="HT86">
        <v>5</v>
      </c>
      <c r="HU86">
        <v>0</v>
      </c>
      <c r="HV86">
        <v>0</v>
      </c>
      <c r="HW86">
        <v>0</v>
      </c>
      <c r="HX86" t="s">
        <v>421</v>
      </c>
      <c r="HY86" t="s">
        <v>422</v>
      </c>
      <c r="HZ86" t="s">
        <v>423</v>
      </c>
      <c r="IA86" t="s">
        <v>423</v>
      </c>
      <c r="IB86" t="s">
        <v>423</v>
      </c>
      <c r="IC86" t="s">
        <v>423</v>
      </c>
      <c r="ID86">
        <v>0</v>
      </c>
      <c r="IE86">
        <v>100</v>
      </c>
      <c r="IF86">
        <v>100</v>
      </c>
      <c r="IG86">
        <v>4.0999999999999996</v>
      </c>
      <c r="IH86">
        <v>0.12139999999999999</v>
      </c>
      <c r="II86">
        <v>2.196133776926398</v>
      </c>
      <c r="IJ86">
        <v>1.6187016317407189E-3</v>
      </c>
      <c r="IK86">
        <v>1.4341569744255341E-7</v>
      </c>
      <c r="IL86">
        <v>-2.4096625942085749E-10</v>
      </c>
      <c r="IM86">
        <v>0.1214117565794417</v>
      </c>
      <c r="IN86">
        <v>0</v>
      </c>
      <c r="IO86">
        <v>0</v>
      </c>
      <c r="IP86">
        <v>0</v>
      </c>
      <c r="IQ86">
        <v>4</v>
      </c>
      <c r="IR86">
        <v>2205</v>
      </c>
      <c r="IS86">
        <v>1</v>
      </c>
      <c r="IT86">
        <v>21</v>
      </c>
      <c r="IU86">
        <v>0.6</v>
      </c>
      <c r="IV86">
        <v>0.6</v>
      </c>
      <c r="IW86">
        <v>2.9296899999999999</v>
      </c>
      <c r="IX86">
        <v>2.4304199999999998</v>
      </c>
      <c r="IY86">
        <v>1.49414</v>
      </c>
      <c r="IZ86">
        <v>2.3059099999999999</v>
      </c>
      <c r="JA86">
        <v>1.69434</v>
      </c>
      <c r="JB86">
        <v>2.4255399999999998</v>
      </c>
      <c r="JC86">
        <v>39.566600000000001</v>
      </c>
      <c r="JD86">
        <v>23.9999</v>
      </c>
      <c r="JE86">
        <v>18</v>
      </c>
      <c r="JF86">
        <v>495.23200000000003</v>
      </c>
      <c r="JG86">
        <v>451.6</v>
      </c>
      <c r="JH86">
        <v>24.862200000000001</v>
      </c>
      <c r="JI86">
        <v>31.5411</v>
      </c>
      <c r="JJ86">
        <v>29.999700000000001</v>
      </c>
      <c r="JK86">
        <v>31.5137</v>
      </c>
      <c r="JL86">
        <v>31.4895</v>
      </c>
      <c r="JM86">
        <v>58.689300000000003</v>
      </c>
      <c r="JN86">
        <v>39.285200000000003</v>
      </c>
      <c r="JO86">
        <v>0</v>
      </c>
      <c r="JP86">
        <v>24.866700000000002</v>
      </c>
      <c r="JQ86">
        <v>1500</v>
      </c>
      <c r="JR86">
        <v>18.623200000000001</v>
      </c>
      <c r="JS86">
        <v>99.028300000000002</v>
      </c>
      <c r="JT86">
        <v>99.629900000000006</v>
      </c>
    </row>
    <row r="87" spans="1:280" x14ac:dyDescent="0.25">
      <c r="A87">
        <v>71</v>
      </c>
      <c r="B87">
        <v>1674592640.5</v>
      </c>
      <c r="C87">
        <v>18587.900000095371</v>
      </c>
      <c r="D87" t="s">
        <v>777</v>
      </c>
      <c r="E87" t="s">
        <v>778</v>
      </c>
      <c r="F87" t="s">
        <v>412</v>
      </c>
      <c r="G87" t="s">
        <v>779</v>
      </c>
      <c r="H87" t="s">
        <v>493</v>
      </c>
      <c r="I87">
        <v>1674592640.5</v>
      </c>
      <c r="J87">
        <f t="shared" si="92"/>
        <v>5.146970044465831E-3</v>
      </c>
      <c r="K87">
        <f t="shared" si="93"/>
        <v>5.1469700444658306</v>
      </c>
      <c r="L87">
        <f t="shared" si="94"/>
        <v>46.497582167792082</v>
      </c>
      <c r="M87">
        <f t="shared" si="95"/>
        <v>342.089</v>
      </c>
      <c r="N87">
        <f t="shared" si="96"/>
        <v>151.6617855082703</v>
      </c>
      <c r="O87">
        <f t="shared" si="97"/>
        <v>15.106893048901135</v>
      </c>
      <c r="P87">
        <f t="shared" si="98"/>
        <v>34.075175357366</v>
      </c>
      <c r="Q87">
        <f t="shared" si="99"/>
        <v>0.42926861454954152</v>
      </c>
      <c r="R87">
        <f t="shared" si="100"/>
        <v>2.9207013388755647</v>
      </c>
      <c r="S87">
        <f t="shared" si="101"/>
        <v>0.39704748339732104</v>
      </c>
      <c r="T87">
        <f t="shared" si="102"/>
        <v>0.2508477716617965</v>
      </c>
      <c r="U87">
        <f t="shared" si="103"/>
        <v>344.36500126337472</v>
      </c>
      <c r="V87">
        <f t="shared" si="104"/>
        <v>28.689807554998048</v>
      </c>
      <c r="W87">
        <f t="shared" si="105"/>
        <v>27.723600000000001</v>
      </c>
      <c r="X87">
        <f t="shared" si="106"/>
        <v>3.7341208848586231</v>
      </c>
      <c r="Y87">
        <f t="shared" si="107"/>
        <v>65.450450467253873</v>
      </c>
      <c r="Z87">
        <f t="shared" si="108"/>
        <v>2.4831750261448002</v>
      </c>
      <c r="AA87">
        <f t="shared" si="109"/>
        <v>3.7939769832251664</v>
      </c>
      <c r="AB87">
        <f t="shared" si="110"/>
        <v>1.2509458587138229</v>
      </c>
      <c r="AC87">
        <f t="shared" si="111"/>
        <v>-226.98137896094315</v>
      </c>
      <c r="AD87">
        <f t="shared" si="112"/>
        <v>42.908081783447273</v>
      </c>
      <c r="AE87">
        <f t="shared" si="113"/>
        <v>3.1978342582725281</v>
      </c>
      <c r="AF87">
        <f t="shared" si="114"/>
        <v>163.48953834415136</v>
      </c>
      <c r="AG87">
        <v>0</v>
      </c>
      <c r="AH87">
        <v>0</v>
      </c>
      <c r="AI87">
        <f t="shared" si="115"/>
        <v>1</v>
      </c>
      <c r="AJ87">
        <f t="shared" si="116"/>
        <v>0</v>
      </c>
      <c r="AK87">
        <f t="shared" si="117"/>
        <v>52437.07457715505</v>
      </c>
      <c r="AL87" t="s">
        <v>415</v>
      </c>
      <c r="AM87">
        <v>10214.9</v>
      </c>
      <c r="AN87">
        <v>729.4384</v>
      </c>
      <c r="AO87">
        <v>3170.19</v>
      </c>
      <c r="AP87">
        <f t="shared" si="118"/>
        <v>0.76990704027203416</v>
      </c>
      <c r="AQ87">
        <v>-0.45549566560547827</v>
      </c>
      <c r="AR87" t="s">
        <v>780</v>
      </c>
      <c r="AS87">
        <v>10088.799999999999</v>
      </c>
      <c r="AT87">
        <v>781.53088461538471</v>
      </c>
      <c r="AU87">
        <v>1110.197798886084</v>
      </c>
      <c r="AV87">
        <f t="shared" si="119"/>
        <v>0.29604356503000362</v>
      </c>
      <c r="AW87">
        <v>0.5</v>
      </c>
      <c r="AX87">
        <f t="shared" si="120"/>
        <v>1513.1676006316873</v>
      </c>
      <c r="AY87">
        <f t="shared" si="121"/>
        <v>46.497582167792082</v>
      </c>
      <c r="AZ87">
        <f t="shared" si="122"/>
        <v>223.98176548945074</v>
      </c>
      <c r="BA87">
        <f t="shared" si="123"/>
        <v>3.1029661098873989E-2</v>
      </c>
      <c r="BB87">
        <f t="shared" si="124"/>
        <v>1.8555181816977186</v>
      </c>
      <c r="BC87">
        <f t="shared" si="125"/>
        <v>511.19006137734834</v>
      </c>
      <c r="BD87" t="s">
        <v>781</v>
      </c>
      <c r="BE87">
        <v>562.54999999999995</v>
      </c>
      <c r="BF87">
        <f t="shared" si="126"/>
        <v>562.54999999999995</v>
      </c>
      <c r="BG87">
        <f t="shared" si="127"/>
        <v>0.49328849276729425</v>
      </c>
      <c r="BH87">
        <f t="shared" si="128"/>
        <v>0.60014285630145503</v>
      </c>
      <c r="BI87">
        <f t="shared" si="129"/>
        <v>0.7899833570254774</v>
      </c>
      <c r="BJ87">
        <f t="shared" si="130"/>
        <v>0.86318792190611215</v>
      </c>
      <c r="BK87">
        <f t="shared" si="131"/>
        <v>0.84399911941629624</v>
      </c>
      <c r="BL87">
        <f t="shared" si="132"/>
        <v>0.4319859527733596</v>
      </c>
      <c r="BM87">
        <f t="shared" si="133"/>
        <v>0.5680140472266404</v>
      </c>
      <c r="BN87">
        <v>9198</v>
      </c>
      <c r="BO87">
        <v>290.00000000000011</v>
      </c>
      <c r="BP87">
        <v>1029.56</v>
      </c>
      <c r="BQ87">
        <v>245</v>
      </c>
      <c r="BR87">
        <v>10088.799999999999</v>
      </c>
      <c r="BS87">
        <v>1029.74</v>
      </c>
      <c r="BT87">
        <v>-0.18</v>
      </c>
      <c r="BU87">
        <v>300.00000000000011</v>
      </c>
      <c r="BV87">
        <v>24.2</v>
      </c>
      <c r="BW87">
        <v>1110.197798886084</v>
      </c>
      <c r="BX87">
        <v>1.9935426708054791</v>
      </c>
      <c r="BY87">
        <v>-81.176715831482696</v>
      </c>
      <c r="BZ87">
        <v>1.790487349349638</v>
      </c>
      <c r="CA87">
        <v>0.98656116545678463</v>
      </c>
      <c r="CB87">
        <v>-6.8940364849833244E-3</v>
      </c>
      <c r="CC87">
        <v>289.99999999999989</v>
      </c>
      <c r="CD87">
        <v>1029.31</v>
      </c>
      <c r="CE87">
        <v>715</v>
      </c>
      <c r="CF87">
        <v>10064.9</v>
      </c>
      <c r="CG87">
        <v>1029.54</v>
      </c>
      <c r="CH87">
        <v>-0.23</v>
      </c>
      <c r="CV87">
        <f t="shared" si="134"/>
        <v>1799.98</v>
      </c>
      <c r="CW87">
        <f t="shared" si="135"/>
        <v>1513.1676006316873</v>
      </c>
      <c r="CX87">
        <f t="shared" si="136"/>
        <v>0.84065800766213361</v>
      </c>
      <c r="CY87">
        <f t="shared" si="137"/>
        <v>0.19131601532426734</v>
      </c>
      <c r="CZ87">
        <v>6</v>
      </c>
      <c r="DA87">
        <v>0.5</v>
      </c>
      <c r="DB87" t="s">
        <v>418</v>
      </c>
      <c r="DC87">
        <v>2</v>
      </c>
      <c r="DD87">
        <v>1674592640.5</v>
      </c>
      <c r="DE87">
        <v>342.089</v>
      </c>
      <c r="DF87">
        <v>399.97500000000002</v>
      </c>
      <c r="DG87">
        <v>24.929200000000002</v>
      </c>
      <c r="DH87">
        <v>18.909300000000002</v>
      </c>
      <c r="DI87">
        <v>340.529</v>
      </c>
      <c r="DJ87">
        <v>24.808399999999999</v>
      </c>
      <c r="DK87">
        <v>500.20699999999999</v>
      </c>
      <c r="DL87">
        <v>99.508899999999997</v>
      </c>
      <c r="DM87">
        <v>0.10019400000000001</v>
      </c>
      <c r="DN87">
        <v>27.996099999999998</v>
      </c>
      <c r="DO87">
        <v>27.723600000000001</v>
      </c>
      <c r="DP87">
        <v>999.9</v>
      </c>
      <c r="DQ87">
        <v>0</v>
      </c>
      <c r="DR87">
        <v>0</v>
      </c>
      <c r="DS87">
        <v>9998.75</v>
      </c>
      <c r="DT87">
        <v>0</v>
      </c>
      <c r="DU87">
        <v>331.45400000000001</v>
      </c>
      <c r="DV87">
        <v>-57.885100000000001</v>
      </c>
      <c r="DW87">
        <v>350.83600000000001</v>
      </c>
      <c r="DX87">
        <v>407.68400000000003</v>
      </c>
      <c r="DY87">
        <v>6.0198999999999998</v>
      </c>
      <c r="DZ87">
        <v>399.97500000000002</v>
      </c>
      <c r="EA87">
        <v>18.909300000000002</v>
      </c>
      <c r="EB87">
        <v>2.48068</v>
      </c>
      <c r="EC87">
        <v>1.88165</v>
      </c>
      <c r="ED87">
        <v>20.900300000000001</v>
      </c>
      <c r="EE87">
        <v>16.482099999999999</v>
      </c>
      <c r="EF87">
        <v>1799.98</v>
      </c>
      <c r="EG87">
        <v>0.97800600000000004</v>
      </c>
      <c r="EH87">
        <v>2.1993700000000001E-2</v>
      </c>
      <c r="EI87">
        <v>0</v>
      </c>
      <c r="EJ87">
        <v>781.29899999999998</v>
      </c>
      <c r="EK87">
        <v>4.9990399999999999</v>
      </c>
      <c r="EL87">
        <v>14607.4</v>
      </c>
      <c r="EM87">
        <v>14820.5</v>
      </c>
      <c r="EN87">
        <v>48.186999999999998</v>
      </c>
      <c r="EO87">
        <v>49.686999999999998</v>
      </c>
      <c r="EP87">
        <v>49.125</v>
      </c>
      <c r="EQ87">
        <v>48.061999999999998</v>
      </c>
      <c r="ER87">
        <v>49.061999999999998</v>
      </c>
      <c r="ES87">
        <v>1755.5</v>
      </c>
      <c r="ET87">
        <v>39.479999999999997</v>
      </c>
      <c r="EU87">
        <v>0</v>
      </c>
      <c r="EV87">
        <v>1533.6000001430509</v>
      </c>
      <c r="EW87">
        <v>0</v>
      </c>
      <c r="EX87">
        <v>781.53088461538471</v>
      </c>
      <c r="EY87">
        <v>-0.44372650041044698</v>
      </c>
      <c r="EZ87">
        <v>-19.794871738246989</v>
      </c>
      <c r="FA87">
        <v>14610.23846153846</v>
      </c>
      <c r="FB87">
        <v>15</v>
      </c>
      <c r="FC87">
        <v>1674592607.5</v>
      </c>
      <c r="FD87" t="s">
        <v>782</v>
      </c>
      <c r="FE87">
        <v>1674592600.5</v>
      </c>
      <c r="FF87">
        <v>1674592607.5</v>
      </c>
      <c r="FG87">
        <v>82</v>
      </c>
      <c r="FH87">
        <v>0.29799999999999999</v>
      </c>
      <c r="FI87">
        <v>-3.0000000000000001E-3</v>
      </c>
      <c r="FJ87">
        <v>1.655</v>
      </c>
      <c r="FK87">
        <v>8.7999999999999995E-2</v>
      </c>
      <c r="FL87">
        <v>400</v>
      </c>
      <c r="FM87">
        <v>19</v>
      </c>
      <c r="FN87">
        <v>0.03</v>
      </c>
      <c r="FO87">
        <v>0.03</v>
      </c>
      <c r="FP87">
        <v>46.502038820359552</v>
      </c>
      <c r="FQ87">
        <v>-0.36058822310579652</v>
      </c>
      <c r="FR87">
        <v>6.0538679082182863E-2</v>
      </c>
      <c r="FS87">
        <v>1</v>
      </c>
      <c r="FT87">
        <v>0.43125284920124379</v>
      </c>
      <c r="FU87">
        <v>1.155060407800159E-2</v>
      </c>
      <c r="FV87">
        <v>3.6372687127945438E-3</v>
      </c>
      <c r="FW87">
        <v>1</v>
      </c>
      <c r="FX87">
        <v>2</v>
      </c>
      <c r="FY87">
        <v>2</v>
      </c>
      <c r="FZ87" t="s">
        <v>420</v>
      </c>
      <c r="GA87">
        <v>2.9338099999999998</v>
      </c>
      <c r="GB87">
        <v>2.8336399999999999</v>
      </c>
      <c r="GC87">
        <v>7.9760600000000001E-2</v>
      </c>
      <c r="GD87">
        <v>8.8604600000000006E-2</v>
      </c>
      <c r="GE87">
        <v>0.122362</v>
      </c>
      <c r="GF87">
        <v>9.7463300000000003E-2</v>
      </c>
      <c r="GG87">
        <v>23830.400000000001</v>
      </c>
      <c r="GH87">
        <v>29737.7</v>
      </c>
      <c r="GI87">
        <v>23298.799999999999</v>
      </c>
      <c r="GJ87">
        <v>29893.200000000001</v>
      </c>
      <c r="GK87">
        <v>27820.9</v>
      </c>
      <c r="GL87">
        <v>38365.300000000003</v>
      </c>
      <c r="GM87">
        <v>32887.800000000003</v>
      </c>
      <c r="GN87">
        <v>44350.5</v>
      </c>
      <c r="GO87">
        <v>1.9463200000000001</v>
      </c>
      <c r="GP87">
        <v>1.8412299999999999</v>
      </c>
      <c r="GQ87">
        <v>6.5825900000000007E-2</v>
      </c>
      <c r="GR87">
        <v>0</v>
      </c>
      <c r="GS87">
        <v>26.647400000000001</v>
      </c>
      <c r="GT87">
        <v>999.9</v>
      </c>
      <c r="GU87">
        <v>47.9</v>
      </c>
      <c r="GV87">
        <v>35.5</v>
      </c>
      <c r="GW87">
        <v>27.952100000000002</v>
      </c>
      <c r="GX87">
        <v>61.215299999999999</v>
      </c>
      <c r="GY87">
        <v>36.069699999999997</v>
      </c>
      <c r="GZ87">
        <v>1</v>
      </c>
      <c r="HA87">
        <v>0.33097599999999999</v>
      </c>
      <c r="HB87">
        <v>2.1787000000000001</v>
      </c>
      <c r="HC87">
        <v>20.259399999999999</v>
      </c>
      <c r="HD87">
        <v>5.2107000000000001</v>
      </c>
      <c r="HE87">
        <v>11.872199999999999</v>
      </c>
      <c r="HF87">
        <v>4.98515</v>
      </c>
      <c r="HG87">
        <v>3.2839999999999998</v>
      </c>
      <c r="HH87">
        <v>9999</v>
      </c>
      <c r="HI87">
        <v>9999</v>
      </c>
      <c r="HJ87">
        <v>9999</v>
      </c>
      <c r="HK87">
        <v>999.9</v>
      </c>
      <c r="HL87">
        <v>1.8547100000000001</v>
      </c>
      <c r="HM87">
        <v>1.86077</v>
      </c>
      <c r="HN87">
        <v>1.85815</v>
      </c>
      <c r="HO87">
        <v>1.8593200000000001</v>
      </c>
      <c r="HP87">
        <v>1.8587100000000001</v>
      </c>
      <c r="HQ87">
        <v>1.85928</v>
      </c>
      <c r="HR87">
        <v>1.8575999999999999</v>
      </c>
      <c r="HS87">
        <v>1.8609599999999999</v>
      </c>
      <c r="HT87">
        <v>5</v>
      </c>
      <c r="HU87">
        <v>0</v>
      </c>
      <c r="HV87">
        <v>0</v>
      </c>
      <c r="HW87">
        <v>0</v>
      </c>
      <c r="HX87" t="s">
        <v>421</v>
      </c>
      <c r="HY87" t="s">
        <v>422</v>
      </c>
      <c r="HZ87" t="s">
        <v>423</v>
      </c>
      <c r="IA87" t="s">
        <v>423</v>
      </c>
      <c r="IB87" t="s">
        <v>423</v>
      </c>
      <c r="IC87" t="s">
        <v>423</v>
      </c>
      <c r="ID87">
        <v>0</v>
      </c>
      <c r="IE87">
        <v>100</v>
      </c>
      <c r="IF87">
        <v>100</v>
      </c>
      <c r="IG87">
        <v>1.56</v>
      </c>
      <c r="IH87">
        <v>0.1208</v>
      </c>
      <c r="II87">
        <v>1.002332756436481</v>
      </c>
      <c r="IJ87">
        <v>1.6187016317407189E-3</v>
      </c>
      <c r="IK87">
        <v>1.4341569744255341E-7</v>
      </c>
      <c r="IL87">
        <v>-2.4096625942085749E-10</v>
      </c>
      <c r="IM87">
        <v>0.1208400700280909</v>
      </c>
      <c r="IN87">
        <v>0</v>
      </c>
      <c r="IO87">
        <v>0</v>
      </c>
      <c r="IP87">
        <v>0</v>
      </c>
      <c r="IQ87">
        <v>4</v>
      </c>
      <c r="IR87">
        <v>2205</v>
      </c>
      <c r="IS87">
        <v>1</v>
      </c>
      <c r="IT87">
        <v>21</v>
      </c>
      <c r="IU87">
        <v>0.7</v>
      </c>
      <c r="IV87">
        <v>0.6</v>
      </c>
      <c r="IW87">
        <v>0.98877000000000004</v>
      </c>
      <c r="IX87">
        <v>2.4572799999999999</v>
      </c>
      <c r="IY87">
        <v>1.49414</v>
      </c>
      <c r="IZ87">
        <v>2.3046899999999999</v>
      </c>
      <c r="JA87">
        <v>1.69434</v>
      </c>
      <c r="JB87">
        <v>2.2851599999999999</v>
      </c>
      <c r="JC87">
        <v>39.3917</v>
      </c>
      <c r="JD87">
        <v>23.991199999999999</v>
      </c>
      <c r="JE87">
        <v>18</v>
      </c>
      <c r="JF87">
        <v>495.29700000000003</v>
      </c>
      <c r="JG87">
        <v>449.83800000000002</v>
      </c>
      <c r="JH87">
        <v>24.738499999999998</v>
      </c>
      <c r="JI87">
        <v>31.481200000000001</v>
      </c>
      <c r="JJ87">
        <v>30.000299999999999</v>
      </c>
      <c r="JK87">
        <v>31.406600000000001</v>
      </c>
      <c r="JL87">
        <v>31.3767</v>
      </c>
      <c r="JM87">
        <v>19.877300000000002</v>
      </c>
      <c r="JN87">
        <v>38.595300000000002</v>
      </c>
      <c r="JO87">
        <v>0</v>
      </c>
      <c r="JP87">
        <v>24.7348</v>
      </c>
      <c r="JQ87">
        <v>400</v>
      </c>
      <c r="JR87">
        <v>18.828900000000001</v>
      </c>
      <c r="JS87">
        <v>99.068899999999999</v>
      </c>
      <c r="JT87">
        <v>99.6</v>
      </c>
    </row>
    <row r="88" spans="1:280" x14ac:dyDescent="0.25">
      <c r="A88">
        <v>72</v>
      </c>
      <c r="B88">
        <v>1674592753</v>
      </c>
      <c r="C88">
        <v>18700.400000095371</v>
      </c>
      <c r="D88" t="s">
        <v>783</v>
      </c>
      <c r="E88" t="s">
        <v>784</v>
      </c>
      <c r="F88" t="s">
        <v>412</v>
      </c>
      <c r="G88" t="s">
        <v>779</v>
      </c>
      <c r="H88" t="s">
        <v>493</v>
      </c>
      <c r="I88">
        <v>1674592753</v>
      </c>
      <c r="J88">
        <f t="shared" si="92"/>
        <v>5.3132908433309962E-3</v>
      </c>
      <c r="K88">
        <f t="shared" si="93"/>
        <v>5.3132908433309964</v>
      </c>
      <c r="L88">
        <f t="shared" si="94"/>
        <v>41.909100784828851</v>
      </c>
      <c r="M88">
        <f t="shared" si="95"/>
        <v>248.172</v>
      </c>
      <c r="N88">
        <f t="shared" si="96"/>
        <v>83.757926890801969</v>
      </c>
      <c r="O88">
        <f t="shared" si="97"/>
        <v>8.3432843112215576</v>
      </c>
      <c r="P88">
        <f t="shared" si="98"/>
        <v>24.720878738844</v>
      </c>
      <c r="Q88">
        <f t="shared" si="99"/>
        <v>0.44657555994553394</v>
      </c>
      <c r="R88">
        <f t="shared" si="100"/>
        <v>2.9174642553702883</v>
      </c>
      <c r="S88">
        <f t="shared" si="101"/>
        <v>0.41178124683102579</v>
      </c>
      <c r="T88">
        <f t="shared" si="102"/>
        <v>0.26026312770073423</v>
      </c>
      <c r="U88">
        <f t="shared" si="103"/>
        <v>344.41428809590087</v>
      </c>
      <c r="V88">
        <f t="shared" si="104"/>
        <v>28.648923393996316</v>
      </c>
      <c r="W88">
        <f t="shared" si="105"/>
        <v>27.7058</v>
      </c>
      <c r="X88">
        <f t="shared" si="106"/>
        <v>3.730239851535968</v>
      </c>
      <c r="Y88">
        <f t="shared" si="107"/>
        <v>65.493548570658916</v>
      </c>
      <c r="Z88">
        <f t="shared" si="108"/>
        <v>2.4850274567067001</v>
      </c>
      <c r="AA88">
        <f t="shared" si="109"/>
        <v>3.794308769245696</v>
      </c>
      <c r="AB88">
        <f t="shared" si="110"/>
        <v>1.2452123948292679</v>
      </c>
      <c r="AC88">
        <f t="shared" si="111"/>
        <v>-234.31612619089694</v>
      </c>
      <c r="AD88">
        <f t="shared" si="112"/>
        <v>45.896151950585377</v>
      </c>
      <c r="AE88">
        <f t="shared" si="113"/>
        <v>3.4240448958162935</v>
      </c>
      <c r="AF88">
        <f t="shared" si="114"/>
        <v>159.41835875140561</v>
      </c>
      <c r="AG88">
        <v>0</v>
      </c>
      <c r="AH88">
        <v>0</v>
      </c>
      <c r="AI88">
        <f t="shared" si="115"/>
        <v>1</v>
      </c>
      <c r="AJ88">
        <f t="shared" si="116"/>
        <v>0</v>
      </c>
      <c r="AK88">
        <f t="shared" si="117"/>
        <v>52343.945056638964</v>
      </c>
      <c r="AL88" t="s">
        <v>415</v>
      </c>
      <c r="AM88">
        <v>10214.9</v>
      </c>
      <c r="AN88">
        <v>729.4384</v>
      </c>
      <c r="AO88">
        <v>3170.19</v>
      </c>
      <c r="AP88">
        <f t="shared" si="118"/>
        <v>0.76990704027203416</v>
      </c>
      <c r="AQ88">
        <v>-0.45549566560547827</v>
      </c>
      <c r="AR88" t="s">
        <v>785</v>
      </c>
      <c r="AS88">
        <v>10083.700000000001</v>
      </c>
      <c r="AT88">
        <v>779.46343999999999</v>
      </c>
      <c r="AU88">
        <v>1073.2522782046999</v>
      </c>
      <c r="AV88">
        <f t="shared" si="119"/>
        <v>0.2737369807368496</v>
      </c>
      <c r="AW88">
        <v>0.5</v>
      </c>
      <c r="AX88">
        <f t="shared" si="120"/>
        <v>1513.3784940479504</v>
      </c>
      <c r="AY88">
        <f t="shared" si="121"/>
        <v>41.909100784828851</v>
      </c>
      <c r="AZ88">
        <f t="shared" si="122"/>
        <v>207.13382983638314</v>
      </c>
      <c r="BA88">
        <f t="shared" si="123"/>
        <v>2.7993391353882971E-2</v>
      </c>
      <c r="BB88">
        <f t="shared" si="124"/>
        <v>1.9538162316347343</v>
      </c>
      <c r="BC88">
        <f t="shared" si="125"/>
        <v>503.21388718494018</v>
      </c>
      <c r="BD88" t="s">
        <v>786</v>
      </c>
      <c r="BE88">
        <v>557.91999999999996</v>
      </c>
      <c r="BF88">
        <f t="shared" si="126"/>
        <v>557.91999999999996</v>
      </c>
      <c r="BG88">
        <f t="shared" si="127"/>
        <v>0.48015950086472714</v>
      </c>
      <c r="BH88">
        <f t="shared" si="128"/>
        <v>0.57009593737887554</v>
      </c>
      <c r="BI88">
        <f t="shared" si="129"/>
        <v>0.80272625792712859</v>
      </c>
      <c r="BJ88">
        <f t="shared" si="130"/>
        <v>0.85449964887625596</v>
      </c>
      <c r="BK88">
        <f t="shared" si="131"/>
        <v>0.85913606357783401</v>
      </c>
      <c r="BL88">
        <f t="shared" si="132"/>
        <v>0.40806009500897467</v>
      </c>
      <c r="BM88">
        <f t="shared" si="133"/>
        <v>0.59193990499102533</v>
      </c>
      <c r="BN88">
        <v>9200</v>
      </c>
      <c r="BO88">
        <v>290.00000000000011</v>
      </c>
      <c r="BP88">
        <v>1001.78</v>
      </c>
      <c r="BQ88">
        <v>295</v>
      </c>
      <c r="BR88">
        <v>10083.700000000001</v>
      </c>
      <c r="BS88">
        <v>1002.1</v>
      </c>
      <c r="BT88">
        <v>-0.32</v>
      </c>
      <c r="BU88">
        <v>300.00000000000011</v>
      </c>
      <c r="BV88">
        <v>24.2</v>
      </c>
      <c r="BW88">
        <v>1073.2522782046999</v>
      </c>
      <c r="BX88">
        <v>2.0159940489443811</v>
      </c>
      <c r="BY88">
        <v>-71.746838420900772</v>
      </c>
      <c r="BZ88">
        <v>1.810556197929265</v>
      </c>
      <c r="CA88">
        <v>0.9824813423649319</v>
      </c>
      <c r="CB88">
        <v>-6.8935790878754209E-3</v>
      </c>
      <c r="CC88">
        <v>289.99999999999989</v>
      </c>
      <c r="CD88">
        <v>1002.47</v>
      </c>
      <c r="CE88">
        <v>715</v>
      </c>
      <c r="CF88">
        <v>10064.299999999999</v>
      </c>
      <c r="CG88">
        <v>1001.96</v>
      </c>
      <c r="CH88">
        <v>0.51</v>
      </c>
      <c r="CV88">
        <f t="shared" si="134"/>
        <v>1800.23</v>
      </c>
      <c r="CW88">
        <f t="shared" si="135"/>
        <v>1513.3784940479504</v>
      </c>
      <c r="CX88">
        <f t="shared" si="136"/>
        <v>0.8406584125628116</v>
      </c>
      <c r="CY88">
        <f t="shared" si="137"/>
        <v>0.19131682512562331</v>
      </c>
      <c r="CZ88">
        <v>6</v>
      </c>
      <c r="DA88">
        <v>0.5</v>
      </c>
      <c r="DB88" t="s">
        <v>418</v>
      </c>
      <c r="DC88">
        <v>2</v>
      </c>
      <c r="DD88">
        <v>1674592753</v>
      </c>
      <c r="DE88">
        <v>248.172</v>
      </c>
      <c r="DF88">
        <v>300.02699999999999</v>
      </c>
      <c r="DG88">
        <v>24.947099999999999</v>
      </c>
      <c r="DH88">
        <v>18.732399999999998</v>
      </c>
      <c r="DI88">
        <v>246.744</v>
      </c>
      <c r="DJ88">
        <v>24.8278</v>
      </c>
      <c r="DK88">
        <v>500.17599999999999</v>
      </c>
      <c r="DL88">
        <v>99.511700000000005</v>
      </c>
      <c r="DM88">
        <v>0.100177</v>
      </c>
      <c r="DN88">
        <v>27.997599999999998</v>
      </c>
      <c r="DO88">
        <v>27.7058</v>
      </c>
      <c r="DP88">
        <v>999.9</v>
      </c>
      <c r="DQ88">
        <v>0</v>
      </c>
      <c r="DR88">
        <v>0</v>
      </c>
      <c r="DS88">
        <v>9980</v>
      </c>
      <c r="DT88">
        <v>0</v>
      </c>
      <c r="DU88">
        <v>325.73</v>
      </c>
      <c r="DV88">
        <v>-51.855400000000003</v>
      </c>
      <c r="DW88">
        <v>254.52099999999999</v>
      </c>
      <c r="DX88">
        <v>305.755</v>
      </c>
      <c r="DY88">
        <v>6.2146400000000002</v>
      </c>
      <c r="DZ88">
        <v>300.02699999999999</v>
      </c>
      <c r="EA88">
        <v>18.732399999999998</v>
      </c>
      <c r="EB88">
        <v>2.4825200000000001</v>
      </c>
      <c r="EC88">
        <v>1.8641000000000001</v>
      </c>
      <c r="ED88">
        <v>20.912400000000002</v>
      </c>
      <c r="EE88">
        <v>16.334900000000001</v>
      </c>
      <c r="EF88">
        <v>1800.23</v>
      </c>
      <c r="EG88">
        <v>0.97799400000000003</v>
      </c>
      <c r="EH88">
        <v>2.2005799999999999E-2</v>
      </c>
      <c r="EI88">
        <v>0</v>
      </c>
      <c r="EJ88">
        <v>779.23199999999997</v>
      </c>
      <c r="EK88">
        <v>4.9990399999999999</v>
      </c>
      <c r="EL88">
        <v>14576.9</v>
      </c>
      <c r="EM88">
        <v>14822.5</v>
      </c>
      <c r="EN88">
        <v>48.186999999999998</v>
      </c>
      <c r="EO88">
        <v>49.686999999999998</v>
      </c>
      <c r="EP88">
        <v>49.186999999999998</v>
      </c>
      <c r="EQ88">
        <v>48.125</v>
      </c>
      <c r="ER88">
        <v>49.125</v>
      </c>
      <c r="ES88">
        <v>1755.73</v>
      </c>
      <c r="ET88">
        <v>39.51</v>
      </c>
      <c r="EU88">
        <v>0</v>
      </c>
      <c r="EV88">
        <v>110.5999999046326</v>
      </c>
      <c r="EW88">
        <v>0</v>
      </c>
      <c r="EX88">
        <v>779.46343999999999</v>
      </c>
      <c r="EY88">
        <v>-1.254153848760404</v>
      </c>
      <c r="EZ88">
        <v>-17.184615346787169</v>
      </c>
      <c r="FA88">
        <v>14576.808000000001</v>
      </c>
      <c r="FB88">
        <v>15</v>
      </c>
      <c r="FC88">
        <v>1674592721</v>
      </c>
      <c r="FD88" t="s">
        <v>787</v>
      </c>
      <c r="FE88">
        <v>1674592708</v>
      </c>
      <c r="FF88">
        <v>1674592721</v>
      </c>
      <c r="FG88">
        <v>83</v>
      </c>
      <c r="FH88">
        <v>2.1000000000000001E-2</v>
      </c>
      <c r="FI88">
        <v>-2E-3</v>
      </c>
      <c r="FJ88">
        <v>1.5129999999999999</v>
      </c>
      <c r="FK88">
        <v>8.5000000000000006E-2</v>
      </c>
      <c r="FL88">
        <v>300</v>
      </c>
      <c r="FM88">
        <v>19</v>
      </c>
      <c r="FN88">
        <v>0.05</v>
      </c>
      <c r="FO88">
        <v>0.02</v>
      </c>
      <c r="FP88">
        <v>41.918322169801087</v>
      </c>
      <c r="FQ88">
        <v>-0.42497467881273032</v>
      </c>
      <c r="FR88">
        <v>8.3473185944237693E-2</v>
      </c>
      <c r="FS88">
        <v>1</v>
      </c>
      <c r="FT88">
        <v>0.440893671336683</v>
      </c>
      <c r="FU88">
        <v>4.4553280908078662E-2</v>
      </c>
      <c r="FV88">
        <v>6.8128911032960286E-3</v>
      </c>
      <c r="FW88">
        <v>1</v>
      </c>
      <c r="FX88">
        <v>2</v>
      </c>
      <c r="FY88">
        <v>2</v>
      </c>
      <c r="FZ88" t="s">
        <v>420</v>
      </c>
      <c r="GA88">
        <v>2.9336899999999999</v>
      </c>
      <c r="GB88">
        <v>2.8334600000000001</v>
      </c>
      <c r="GC88">
        <v>6.1273000000000001E-2</v>
      </c>
      <c r="GD88">
        <v>7.0574600000000001E-2</v>
      </c>
      <c r="GE88">
        <v>0.122423</v>
      </c>
      <c r="GF88">
        <v>9.68141E-2</v>
      </c>
      <c r="GG88">
        <v>24307.200000000001</v>
      </c>
      <c r="GH88">
        <v>30324.400000000001</v>
      </c>
      <c r="GI88">
        <v>23297.200000000001</v>
      </c>
      <c r="GJ88">
        <v>29892.1</v>
      </c>
      <c r="GK88">
        <v>27816.9</v>
      </c>
      <c r="GL88">
        <v>38391.800000000003</v>
      </c>
      <c r="GM88">
        <v>32885.699999999997</v>
      </c>
      <c r="GN88">
        <v>44349.4</v>
      </c>
      <c r="GO88">
        <v>1.9457800000000001</v>
      </c>
      <c r="GP88">
        <v>1.84015</v>
      </c>
      <c r="GQ88">
        <v>6.7014199999999996E-2</v>
      </c>
      <c r="GR88">
        <v>0</v>
      </c>
      <c r="GS88">
        <v>26.610099999999999</v>
      </c>
      <c r="GT88">
        <v>999.9</v>
      </c>
      <c r="GU88">
        <v>47.9</v>
      </c>
      <c r="GV88">
        <v>35.5</v>
      </c>
      <c r="GW88">
        <v>27.950199999999999</v>
      </c>
      <c r="GX88">
        <v>61.4953</v>
      </c>
      <c r="GY88">
        <v>36.213900000000002</v>
      </c>
      <c r="GZ88">
        <v>1</v>
      </c>
      <c r="HA88">
        <v>0.33428400000000003</v>
      </c>
      <c r="HB88">
        <v>2.1091700000000002</v>
      </c>
      <c r="HC88">
        <v>20.260000000000002</v>
      </c>
      <c r="HD88">
        <v>5.2105499999999996</v>
      </c>
      <c r="HE88">
        <v>11.872199999999999</v>
      </c>
      <c r="HF88">
        <v>4.9851999999999999</v>
      </c>
      <c r="HG88">
        <v>3.2839999999999998</v>
      </c>
      <c r="HH88">
        <v>9999</v>
      </c>
      <c r="HI88">
        <v>9999</v>
      </c>
      <c r="HJ88">
        <v>9999</v>
      </c>
      <c r="HK88">
        <v>999.9</v>
      </c>
      <c r="HL88">
        <v>1.8547100000000001</v>
      </c>
      <c r="HM88">
        <v>1.8608100000000001</v>
      </c>
      <c r="HN88">
        <v>1.8582000000000001</v>
      </c>
      <c r="HO88">
        <v>1.8593900000000001</v>
      </c>
      <c r="HP88">
        <v>1.85877</v>
      </c>
      <c r="HQ88">
        <v>1.85928</v>
      </c>
      <c r="HR88">
        <v>1.8575999999999999</v>
      </c>
      <c r="HS88">
        <v>1.8609599999999999</v>
      </c>
      <c r="HT88">
        <v>5</v>
      </c>
      <c r="HU88">
        <v>0</v>
      </c>
      <c r="HV88">
        <v>0</v>
      </c>
      <c r="HW88">
        <v>0</v>
      </c>
      <c r="HX88" t="s">
        <v>421</v>
      </c>
      <c r="HY88" t="s">
        <v>422</v>
      </c>
      <c r="HZ88" t="s">
        <v>423</v>
      </c>
      <c r="IA88" t="s">
        <v>423</v>
      </c>
      <c r="IB88" t="s">
        <v>423</v>
      </c>
      <c r="IC88" t="s">
        <v>423</v>
      </c>
      <c r="ID88">
        <v>0</v>
      </c>
      <c r="IE88">
        <v>100</v>
      </c>
      <c r="IF88">
        <v>100</v>
      </c>
      <c r="IG88">
        <v>1.4279999999999999</v>
      </c>
      <c r="IH88">
        <v>0.1193</v>
      </c>
      <c r="II88">
        <v>1.0236219284448</v>
      </c>
      <c r="IJ88">
        <v>1.6187016317407189E-3</v>
      </c>
      <c r="IK88">
        <v>1.4341569744255341E-7</v>
      </c>
      <c r="IL88">
        <v>-2.4096625942085749E-10</v>
      </c>
      <c r="IM88">
        <v>0.1192339258831121</v>
      </c>
      <c r="IN88">
        <v>0</v>
      </c>
      <c r="IO88">
        <v>0</v>
      </c>
      <c r="IP88">
        <v>0</v>
      </c>
      <c r="IQ88">
        <v>4</v>
      </c>
      <c r="IR88">
        <v>2205</v>
      </c>
      <c r="IS88">
        <v>1</v>
      </c>
      <c r="IT88">
        <v>21</v>
      </c>
      <c r="IU88">
        <v>0.8</v>
      </c>
      <c r="IV88">
        <v>0.5</v>
      </c>
      <c r="IW88">
        <v>0.78613299999999997</v>
      </c>
      <c r="IX88">
        <v>2.4609399999999999</v>
      </c>
      <c r="IY88">
        <v>1.49414</v>
      </c>
      <c r="IZ88">
        <v>2.3046899999999999</v>
      </c>
      <c r="JA88">
        <v>1.69434</v>
      </c>
      <c r="JB88">
        <v>2.2802699999999998</v>
      </c>
      <c r="JC88">
        <v>39.3917</v>
      </c>
      <c r="JD88">
        <v>23.9999</v>
      </c>
      <c r="JE88">
        <v>18</v>
      </c>
      <c r="JF88">
        <v>495.21600000000001</v>
      </c>
      <c r="JG88">
        <v>449.339</v>
      </c>
      <c r="JH88">
        <v>24.761900000000001</v>
      </c>
      <c r="JI88">
        <v>31.5214</v>
      </c>
      <c r="JJ88">
        <v>30.0001</v>
      </c>
      <c r="JK88">
        <v>31.439599999999999</v>
      </c>
      <c r="JL88">
        <v>31.407</v>
      </c>
      <c r="JM88">
        <v>15.804600000000001</v>
      </c>
      <c r="JN88">
        <v>39.300800000000002</v>
      </c>
      <c r="JO88">
        <v>0</v>
      </c>
      <c r="JP88">
        <v>24.762699999999999</v>
      </c>
      <c r="JQ88">
        <v>300</v>
      </c>
      <c r="JR88">
        <v>18.688199999999998</v>
      </c>
      <c r="JS88">
        <v>99.062600000000003</v>
      </c>
      <c r="JT88">
        <v>99.596800000000002</v>
      </c>
    </row>
    <row r="89" spans="1:280" x14ac:dyDescent="0.25">
      <c r="A89">
        <v>73</v>
      </c>
      <c r="B89">
        <v>1674592889.5</v>
      </c>
      <c r="C89">
        <v>18836.900000095371</v>
      </c>
      <c r="D89" t="s">
        <v>788</v>
      </c>
      <c r="E89" t="s">
        <v>789</v>
      </c>
      <c r="F89" t="s">
        <v>412</v>
      </c>
      <c r="G89" t="s">
        <v>779</v>
      </c>
      <c r="H89" t="s">
        <v>493</v>
      </c>
      <c r="I89">
        <v>1674592889.5</v>
      </c>
      <c r="J89">
        <f t="shared" si="92"/>
        <v>5.6202041365752686E-3</v>
      </c>
      <c r="K89">
        <f t="shared" si="93"/>
        <v>5.6202041365752686</v>
      </c>
      <c r="L89">
        <f t="shared" si="94"/>
        <v>31.047491285945227</v>
      </c>
      <c r="M89">
        <f t="shared" si="95"/>
        <v>161.709</v>
      </c>
      <c r="N89">
        <f t="shared" si="96"/>
        <v>47.978750710675747</v>
      </c>
      <c r="O89">
        <f t="shared" si="97"/>
        <v>4.7794486399421379</v>
      </c>
      <c r="P89">
        <f t="shared" si="98"/>
        <v>16.108795011714001</v>
      </c>
      <c r="Q89">
        <f t="shared" si="99"/>
        <v>0.47967671555242813</v>
      </c>
      <c r="R89">
        <f t="shared" si="100"/>
        <v>2.917976557036849</v>
      </c>
      <c r="S89">
        <f t="shared" si="101"/>
        <v>0.43978626588305375</v>
      </c>
      <c r="T89">
        <f t="shared" si="102"/>
        <v>0.27817344519688475</v>
      </c>
      <c r="U89">
        <f t="shared" si="103"/>
        <v>344.35740126340283</v>
      </c>
      <c r="V89">
        <f t="shared" si="104"/>
        <v>28.565024740522468</v>
      </c>
      <c r="W89">
        <f t="shared" si="105"/>
        <v>27.656300000000002</v>
      </c>
      <c r="X89">
        <f t="shared" si="106"/>
        <v>3.7194655884026733</v>
      </c>
      <c r="Y89">
        <f t="shared" si="107"/>
        <v>65.534416343561901</v>
      </c>
      <c r="Z89">
        <f t="shared" si="108"/>
        <v>2.4860852795382002</v>
      </c>
      <c r="AA89">
        <f t="shared" si="109"/>
        <v>3.7935567572693172</v>
      </c>
      <c r="AB89">
        <f t="shared" si="110"/>
        <v>1.233380308864473</v>
      </c>
      <c r="AC89">
        <f t="shared" si="111"/>
        <v>-247.85100242296934</v>
      </c>
      <c r="AD89">
        <f t="shared" si="112"/>
        <v>53.156384429109394</v>
      </c>
      <c r="AE89">
        <f t="shared" si="113"/>
        <v>3.9639469972518735</v>
      </c>
      <c r="AF89">
        <f t="shared" si="114"/>
        <v>153.62673026679477</v>
      </c>
      <c r="AG89">
        <v>0</v>
      </c>
      <c r="AH89">
        <v>0</v>
      </c>
      <c r="AI89">
        <f t="shared" si="115"/>
        <v>1</v>
      </c>
      <c r="AJ89">
        <f t="shared" si="116"/>
        <v>0</v>
      </c>
      <c r="AK89">
        <f t="shared" si="117"/>
        <v>52359.328401780491</v>
      </c>
      <c r="AL89" t="s">
        <v>415</v>
      </c>
      <c r="AM89">
        <v>10214.9</v>
      </c>
      <c r="AN89">
        <v>729.4384</v>
      </c>
      <c r="AO89">
        <v>3170.19</v>
      </c>
      <c r="AP89">
        <f t="shared" si="118"/>
        <v>0.76990704027203416</v>
      </c>
      <c r="AQ89">
        <v>-0.45549566560547827</v>
      </c>
      <c r="AR89" t="s">
        <v>790</v>
      </c>
      <c r="AS89">
        <v>10089</v>
      </c>
      <c r="AT89">
        <v>791.63588000000004</v>
      </c>
      <c r="AU89">
        <v>1011.244145772255</v>
      </c>
      <c r="AV89">
        <f t="shared" si="119"/>
        <v>0.21716641494576672</v>
      </c>
      <c r="AW89">
        <v>0.5</v>
      </c>
      <c r="AX89">
        <f t="shared" si="120"/>
        <v>1513.1340006317012</v>
      </c>
      <c r="AY89">
        <f t="shared" si="121"/>
        <v>31.047491285945227</v>
      </c>
      <c r="AZ89">
        <f t="shared" si="122"/>
        <v>164.30094312486602</v>
      </c>
      <c r="BA89">
        <f t="shared" si="123"/>
        <v>2.0819694051154018E-2</v>
      </c>
      <c r="BB89">
        <f t="shared" si="124"/>
        <v>2.1349402745654729</v>
      </c>
      <c r="BC89">
        <f t="shared" si="125"/>
        <v>489.15062597468881</v>
      </c>
      <c r="BD89" t="s">
        <v>791</v>
      </c>
      <c r="BE89">
        <v>553.79</v>
      </c>
      <c r="BF89">
        <f t="shared" si="126"/>
        <v>553.79</v>
      </c>
      <c r="BG89">
        <f t="shared" si="127"/>
        <v>0.45236765788434985</v>
      </c>
      <c r="BH89">
        <f t="shared" si="128"/>
        <v>0.48006618324886191</v>
      </c>
      <c r="BI89">
        <f t="shared" si="129"/>
        <v>0.82515894138042545</v>
      </c>
      <c r="BJ89">
        <f t="shared" si="130"/>
        <v>0.77928952502527837</v>
      </c>
      <c r="BK89">
        <f t="shared" si="131"/>
        <v>0.88454140692881045</v>
      </c>
      <c r="BL89">
        <f t="shared" si="132"/>
        <v>0.33583097777400794</v>
      </c>
      <c r="BM89">
        <f t="shared" si="133"/>
        <v>0.66416902222599206</v>
      </c>
      <c r="BN89">
        <v>9202</v>
      </c>
      <c r="BO89">
        <v>290.00000000000011</v>
      </c>
      <c r="BP89">
        <v>956.64</v>
      </c>
      <c r="BQ89">
        <v>235</v>
      </c>
      <c r="BR89">
        <v>10089</v>
      </c>
      <c r="BS89">
        <v>956.52</v>
      </c>
      <c r="BT89">
        <v>0.12</v>
      </c>
      <c r="BU89">
        <v>300.00000000000011</v>
      </c>
      <c r="BV89">
        <v>24.2</v>
      </c>
      <c r="BW89">
        <v>1011.244145772255</v>
      </c>
      <c r="BX89">
        <v>2.0634496395124611</v>
      </c>
      <c r="BY89">
        <v>-55.210048201792688</v>
      </c>
      <c r="BZ89">
        <v>1.853100420708774</v>
      </c>
      <c r="CA89">
        <v>0.96942039711098005</v>
      </c>
      <c r="CB89">
        <v>-6.8932658509454972E-3</v>
      </c>
      <c r="CC89">
        <v>289.99999999999989</v>
      </c>
      <c r="CD89">
        <v>957.52</v>
      </c>
      <c r="CE89">
        <v>675</v>
      </c>
      <c r="CF89">
        <v>10066</v>
      </c>
      <c r="CG89">
        <v>956.4</v>
      </c>
      <c r="CH89">
        <v>1.1200000000000001</v>
      </c>
      <c r="CV89">
        <f t="shared" si="134"/>
        <v>1799.94</v>
      </c>
      <c r="CW89">
        <f t="shared" si="135"/>
        <v>1513.1340006317012</v>
      </c>
      <c r="CX89">
        <f t="shared" si="136"/>
        <v>0.84065802228502129</v>
      </c>
      <c r="CY89">
        <f t="shared" si="137"/>
        <v>0.19131604457004278</v>
      </c>
      <c r="CZ89">
        <v>6</v>
      </c>
      <c r="DA89">
        <v>0.5</v>
      </c>
      <c r="DB89" t="s">
        <v>418</v>
      </c>
      <c r="DC89">
        <v>2</v>
      </c>
      <c r="DD89">
        <v>1674592889.5</v>
      </c>
      <c r="DE89">
        <v>161.709</v>
      </c>
      <c r="DF89">
        <v>200.05</v>
      </c>
      <c r="DG89">
        <v>24.956700000000001</v>
      </c>
      <c r="DH89">
        <v>18.381900000000002</v>
      </c>
      <c r="DI89">
        <v>160.434</v>
      </c>
      <c r="DJ89">
        <v>24.842400000000001</v>
      </c>
      <c r="DK89">
        <v>500.08600000000001</v>
      </c>
      <c r="DL89">
        <v>99.515900000000002</v>
      </c>
      <c r="DM89">
        <v>0.100046</v>
      </c>
      <c r="DN89">
        <v>27.994199999999999</v>
      </c>
      <c r="DO89">
        <v>27.656300000000002</v>
      </c>
      <c r="DP89">
        <v>999.9</v>
      </c>
      <c r="DQ89">
        <v>0</v>
      </c>
      <c r="DR89">
        <v>0</v>
      </c>
      <c r="DS89">
        <v>9982.5</v>
      </c>
      <c r="DT89">
        <v>0</v>
      </c>
      <c r="DU89">
        <v>333.71100000000001</v>
      </c>
      <c r="DV89">
        <v>-38.340899999999998</v>
      </c>
      <c r="DW89">
        <v>165.84800000000001</v>
      </c>
      <c r="DX89">
        <v>203.79599999999999</v>
      </c>
      <c r="DY89">
        <v>6.5747999999999998</v>
      </c>
      <c r="DZ89">
        <v>200.05</v>
      </c>
      <c r="EA89">
        <v>18.381900000000002</v>
      </c>
      <c r="EB89">
        <v>2.48359</v>
      </c>
      <c r="EC89">
        <v>1.8292900000000001</v>
      </c>
      <c r="ED89">
        <v>20.9193</v>
      </c>
      <c r="EE89">
        <v>16.039400000000001</v>
      </c>
      <c r="EF89">
        <v>1799.94</v>
      </c>
      <c r="EG89">
        <v>0.97800600000000004</v>
      </c>
      <c r="EH89">
        <v>2.1993700000000001E-2</v>
      </c>
      <c r="EI89">
        <v>0</v>
      </c>
      <c r="EJ89">
        <v>791.49699999999996</v>
      </c>
      <c r="EK89">
        <v>4.9990399999999999</v>
      </c>
      <c r="EL89">
        <v>14787.4</v>
      </c>
      <c r="EM89">
        <v>14820.3</v>
      </c>
      <c r="EN89">
        <v>48.25</v>
      </c>
      <c r="EO89">
        <v>49.75</v>
      </c>
      <c r="EP89">
        <v>49.186999999999998</v>
      </c>
      <c r="EQ89">
        <v>48.125</v>
      </c>
      <c r="ER89">
        <v>49.125</v>
      </c>
      <c r="ES89">
        <v>1755.46</v>
      </c>
      <c r="ET89">
        <v>39.479999999999997</v>
      </c>
      <c r="EU89">
        <v>0</v>
      </c>
      <c r="EV89">
        <v>134.5999999046326</v>
      </c>
      <c r="EW89">
        <v>0</v>
      </c>
      <c r="EX89">
        <v>791.63588000000004</v>
      </c>
      <c r="EY89">
        <v>-1.5899230609947701</v>
      </c>
      <c r="EZ89">
        <v>-13.66153839661427</v>
      </c>
      <c r="FA89">
        <v>14791.675999999999</v>
      </c>
      <c r="FB89">
        <v>15</v>
      </c>
      <c r="FC89">
        <v>1674592856.5</v>
      </c>
      <c r="FD89" t="s">
        <v>792</v>
      </c>
      <c r="FE89">
        <v>1674592848</v>
      </c>
      <c r="FF89">
        <v>1674592856.5</v>
      </c>
      <c r="FG89">
        <v>84</v>
      </c>
      <c r="FH89">
        <v>-1.0999999999999999E-2</v>
      </c>
      <c r="FI89">
        <v>-5.0000000000000001E-3</v>
      </c>
      <c r="FJ89">
        <v>1.3380000000000001</v>
      </c>
      <c r="FK89">
        <v>7.2999999999999995E-2</v>
      </c>
      <c r="FL89">
        <v>200</v>
      </c>
      <c r="FM89">
        <v>18</v>
      </c>
      <c r="FN89">
        <v>7.0000000000000007E-2</v>
      </c>
      <c r="FO89">
        <v>0.01</v>
      </c>
      <c r="FP89">
        <v>31.015579448084679</v>
      </c>
      <c r="FQ89">
        <v>-4.2809753977914672E-2</v>
      </c>
      <c r="FR89">
        <v>3.0692891649326329E-2</v>
      </c>
      <c r="FS89">
        <v>1</v>
      </c>
      <c r="FT89">
        <v>0.47571575749344108</v>
      </c>
      <c r="FU89">
        <v>3.1397561688936662E-2</v>
      </c>
      <c r="FV89">
        <v>5.6471459149517412E-3</v>
      </c>
      <c r="FW89">
        <v>1</v>
      </c>
      <c r="FX89">
        <v>2</v>
      </c>
      <c r="FY89">
        <v>2</v>
      </c>
      <c r="FZ89" t="s">
        <v>420</v>
      </c>
      <c r="GA89">
        <v>2.9334500000000001</v>
      </c>
      <c r="GB89">
        <v>2.8333499999999998</v>
      </c>
      <c r="GC89">
        <v>4.2035799999999998E-2</v>
      </c>
      <c r="GD89">
        <v>5.0067399999999998E-2</v>
      </c>
      <c r="GE89">
        <v>0.122473</v>
      </c>
      <c r="GF89">
        <v>9.5528299999999997E-2</v>
      </c>
      <c r="GG89">
        <v>24806.1</v>
      </c>
      <c r="GH89">
        <v>30993.599999999999</v>
      </c>
      <c r="GI89">
        <v>23298.5</v>
      </c>
      <c r="GJ89">
        <v>29892.7</v>
      </c>
      <c r="GK89">
        <v>27816.1</v>
      </c>
      <c r="GL89">
        <v>38447.9</v>
      </c>
      <c r="GM89">
        <v>32887</v>
      </c>
      <c r="GN89">
        <v>44350.7</v>
      </c>
      <c r="GO89">
        <v>1.9458</v>
      </c>
      <c r="GP89">
        <v>1.8391</v>
      </c>
      <c r="GQ89">
        <v>6.7897100000000002E-2</v>
      </c>
      <c r="GR89">
        <v>0</v>
      </c>
      <c r="GS89">
        <v>26.546099999999999</v>
      </c>
      <c r="GT89">
        <v>999.9</v>
      </c>
      <c r="GU89">
        <v>47.9</v>
      </c>
      <c r="GV89">
        <v>35.5</v>
      </c>
      <c r="GW89">
        <v>27.949300000000001</v>
      </c>
      <c r="GX89">
        <v>61.635399999999997</v>
      </c>
      <c r="GY89">
        <v>36.602600000000002</v>
      </c>
      <c r="GZ89">
        <v>1</v>
      </c>
      <c r="HA89">
        <v>0.334426</v>
      </c>
      <c r="HB89">
        <v>2.0255100000000001</v>
      </c>
      <c r="HC89">
        <v>20.2605</v>
      </c>
      <c r="HD89">
        <v>5.2111499999999999</v>
      </c>
      <c r="HE89">
        <v>11.872199999999999</v>
      </c>
      <c r="HF89">
        <v>4.9855999999999998</v>
      </c>
      <c r="HG89">
        <v>3.2839999999999998</v>
      </c>
      <c r="HH89">
        <v>9999</v>
      </c>
      <c r="HI89">
        <v>9999</v>
      </c>
      <c r="HJ89">
        <v>9999</v>
      </c>
      <c r="HK89">
        <v>999.9</v>
      </c>
      <c r="HL89">
        <v>1.8546899999999999</v>
      </c>
      <c r="HM89">
        <v>1.86073</v>
      </c>
      <c r="HN89">
        <v>1.8581000000000001</v>
      </c>
      <c r="HO89">
        <v>1.8592900000000001</v>
      </c>
      <c r="HP89">
        <v>1.8586800000000001</v>
      </c>
      <c r="HQ89">
        <v>1.8592599999999999</v>
      </c>
      <c r="HR89">
        <v>1.8575999999999999</v>
      </c>
      <c r="HS89">
        <v>1.86094</v>
      </c>
      <c r="HT89">
        <v>5</v>
      </c>
      <c r="HU89">
        <v>0</v>
      </c>
      <c r="HV89">
        <v>0</v>
      </c>
      <c r="HW89">
        <v>0</v>
      </c>
      <c r="HX89" t="s">
        <v>421</v>
      </c>
      <c r="HY89" t="s">
        <v>422</v>
      </c>
      <c r="HZ89" t="s">
        <v>423</v>
      </c>
      <c r="IA89" t="s">
        <v>423</v>
      </c>
      <c r="IB89" t="s">
        <v>423</v>
      </c>
      <c r="IC89" t="s">
        <v>423</v>
      </c>
      <c r="ID89">
        <v>0</v>
      </c>
      <c r="IE89">
        <v>100</v>
      </c>
      <c r="IF89">
        <v>100</v>
      </c>
      <c r="IG89">
        <v>1.2749999999999999</v>
      </c>
      <c r="IH89">
        <v>0.1143</v>
      </c>
      <c r="II89">
        <v>1.0129233603549019</v>
      </c>
      <c r="IJ89">
        <v>1.6187016317407189E-3</v>
      </c>
      <c r="IK89">
        <v>1.4341569744255341E-7</v>
      </c>
      <c r="IL89">
        <v>-2.4096625942085749E-10</v>
      </c>
      <c r="IM89">
        <v>0.11431197956319671</v>
      </c>
      <c r="IN89">
        <v>0</v>
      </c>
      <c r="IO89">
        <v>0</v>
      </c>
      <c r="IP89">
        <v>0</v>
      </c>
      <c r="IQ89">
        <v>4</v>
      </c>
      <c r="IR89">
        <v>2205</v>
      </c>
      <c r="IS89">
        <v>1</v>
      </c>
      <c r="IT89">
        <v>21</v>
      </c>
      <c r="IU89">
        <v>0.7</v>
      </c>
      <c r="IV89">
        <v>0.6</v>
      </c>
      <c r="IW89">
        <v>0.57372999999999996</v>
      </c>
      <c r="IX89">
        <v>2.4621599999999999</v>
      </c>
      <c r="IY89">
        <v>1.49414</v>
      </c>
      <c r="IZ89">
        <v>2.3046899999999999</v>
      </c>
      <c r="JA89">
        <v>1.69434</v>
      </c>
      <c r="JB89">
        <v>2.4218799999999998</v>
      </c>
      <c r="JC89">
        <v>39.3917</v>
      </c>
      <c r="JD89">
        <v>24.008700000000001</v>
      </c>
      <c r="JE89">
        <v>18</v>
      </c>
      <c r="JF89">
        <v>495.38900000000001</v>
      </c>
      <c r="JG89">
        <v>448.767</v>
      </c>
      <c r="JH89">
        <v>24.7714</v>
      </c>
      <c r="JI89">
        <v>31.532399999999999</v>
      </c>
      <c r="JJ89">
        <v>30.0001</v>
      </c>
      <c r="JK89">
        <v>31.4588</v>
      </c>
      <c r="JL89">
        <v>31.426300000000001</v>
      </c>
      <c r="JM89">
        <v>11.559699999999999</v>
      </c>
      <c r="JN89">
        <v>40.613999999999997</v>
      </c>
      <c r="JO89">
        <v>0</v>
      </c>
      <c r="JP89">
        <v>24.79</v>
      </c>
      <c r="JQ89">
        <v>200</v>
      </c>
      <c r="JR89">
        <v>18.307600000000001</v>
      </c>
      <c r="JS89">
        <v>99.067099999999996</v>
      </c>
      <c r="JT89">
        <v>99.599500000000006</v>
      </c>
    </row>
    <row r="90" spans="1:280" x14ac:dyDescent="0.25">
      <c r="A90">
        <v>74</v>
      </c>
      <c r="B90">
        <v>1674593008.5</v>
      </c>
      <c r="C90">
        <v>18955.900000095371</v>
      </c>
      <c r="D90" t="s">
        <v>793</v>
      </c>
      <c r="E90" t="s">
        <v>794</v>
      </c>
      <c r="F90" t="s">
        <v>412</v>
      </c>
      <c r="G90" t="s">
        <v>779</v>
      </c>
      <c r="H90" t="s">
        <v>493</v>
      </c>
      <c r="I90">
        <v>1674593008.5</v>
      </c>
      <c r="J90">
        <f t="shared" si="92"/>
        <v>5.8727753640705881E-3</v>
      </c>
      <c r="K90">
        <f t="shared" si="93"/>
        <v>5.8727753640705878</v>
      </c>
      <c r="L90">
        <f t="shared" si="94"/>
        <v>19.73868442260413</v>
      </c>
      <c r="M90">
        <f t="shared" si="95"/>
        <v>95.677499999999995</v>
      </c>
      <c r="N90">
        <f t="shared" si="96"/>
        <v>26.959956967669296</v>
      </c>
      <c r="O90">
        <f t="shared" si="97"/>
        <v>2.6857418545736742</v>
      </c>
      <c r="P90">
        <f t="shared" si="98"/>
        <v>9.5313604023600007</v>
      </c>
      <c r="Q90">
        <f t="shared" si="99"/>
        <v>0.50633428894247612</v>
      </c>
      <c r="R90">
        <f t="shared" si="100"/>
        <v>2.9202326979271249</v>
      </c>
      <c r="S90">
        <f t="shared" si="101"/>
        <v>0.46213662572179964</v>
      </c>
      <c r="T90">
        <f t="shared" si="102"/>
        <v>0.29248419913884161</v>
      </c>
      <c r="U90">
        <f t="shared" si="103"/>
        <v>344.37640126333258</v>
      </c>
      <c r="V90">
        <f t="shared" si="104"/>
        <v>28.504489709234743</v>
      </c>
      <c r="W90">
        <f t="shared" si="105"/>
        <v>27.6404</v>
      </c>
      <c r="X90">
        <f t="shared" si="106"/>
        <v>3.716010531662485</v>
      </c>
      <c r="Y90">
        <f t="shared" si="107"/>
        <v>65.602625605037588</v>
      </c>
      <c r="Z90">
        <f t="shared" si="108"/>
        <v>2.4894854413936001</v>
      </c>
      <c r="AA90">
        <f t="shared" si="109"/>
        <v>3.7947954345327819</v>
      </c>
      <c r="AB90">
        <f t="shared" si="110"/>
        <v>1.2265250902688849</v>
      </c>
      <c r="AC90">
        <f t="shared" si="111"/>
        <v>-258.98939355551295</v>
      </c>
      <c r="AD90">
        <f t="shared" si="112"/>
        <v>56.582349324706719</v>
      </c>
      <c r="AE90">
        <f t="shared" si="113"/>
        <v>4.2159498172937031</v>
      </c>
      <c r="AF90">
        <f t="shared" si="114"/>
        <v>146.18530684982002</v>
      </c>
      <c r="AG90">
        <v>0</v>
      </c>
      <c r="AH90">
        <v>0</v>
      </c>
      <c r="AI90">
        <f t="shared" si="115"/>
        <v>1</v>
      </c>
      <c r="AJ90">
        <f t="shared" si="116"/>
        <v>0</v>
      </c>
      <c r="AK90">
        <f t="shared" si="117"/>
        <v>52423.202424924122</v>
      </c>
      <c r="AL90" t="s">
        <v>415</v>
      </c>
      <c r="AM90">
        <v>10214.9</v>
      </c>
      <c r="AN90">
        <v>729.4384</v>
      </c>
      <c r="AO90">
        <v>3170.19</v>
      </c>
      <c r="AP90">
        <f t="shared" si="118"/>
        <v>0.76990704027203416</v>
      </c>
      <c r="AQ90">
        <v>-0.45549566560547827</v>
      </c>
      <c r="AR90" t="s">
        <v>795</v>
      </c>
      <c r="AS90">
        <v>10083.299999999999</v>
      </c>
      <c r="AT90">
        <v>816.45400000000018</v>
      </c>
      <c r="AU90">
        <v>972.12040816540991</v>
      </c>
      <c r="AV90">
        <f t="shared" si="119"/>
        <v>0.16013078920869905</v>
      </c>
      <c r="AW90">
        <v>0.5</v>
      </c>
      <c r="AX90">
        <f t="shared" si="120"/>
        <v>1513.2180006316662</v>
      </c>
      <c r="AY90">
        <f t="shared" si="121"/>
        <v>19.73868442260413</v>
      </c>
      <c r="AZ90">
        <f t="shared" si="122"/>
        <v>121.15639634297919</v>
      </c>
      <c r="BA90">
        <f t="shared" si="123"/>
        <v>1.3345188915133118E-2</v>
      </c>
      <c r="BB90">
        <f t="shared" si="124"/>
        <v>2.2611083702921091</v>
      </c>
      <c r="BC90">
        <f t="shared" si="125"/>
        <v>479.8099961341577</v>
      </c>
      <c r="BD90" t="s">
        <v>796</v>
      </c>
      <c r="BE90">
        <v>554.46</v>
      </c>
      <c r="BF90">
        <f t="shared" si="126"/>
        <v>554.46</v>
      </c>
      <c r="BG90">
        <f t="shared" si="127"/>
        <v>0.42963855573572463</v>
      </c>
      <c r="BH90">
        <f t="shared" si="128"/>
        <v>0.37271047272395458</v>
      </c>
      <c r="BI90">
        <f t="shared" si="129"/>
        <v>0.84032740070060363</v>
      </c>
      <c r="BJ90">
        <f t="shared" si="130"/>
        <v>0.64144189897797821</v>
      </c>
      <c r="BK90">
        <f t="shared" si="131"/>
        <v>0.90057078804520296</v>
      </c>
      <c r="BL90">
        <f t="shared" si="132"/>
        <v>0.25311046146693361</v>
      </c>
      <c r="BM90">
        <f t="shared" si="133"/>
        <v>0.74688953853306639</v>
      </c>
      <c r="BN90">
        <v>9204</v>
      </c>
      <c r="BO90">
        <v>290.00000000000011</v>
      </c>
      <c r="BP90">
        <v>932.61</v>
      </c>
      <c r="BQ90">
        <v>295</v>
      </c>
      <c r="BR90">
        <v>10083.299999999999</v>
      </c>
      <c r="BS90">
        <v>933.28</v>
      </c>
      <c r="BT90">
        <v>-0.67</v>
      </c>
      <c r="BU90">
        <v>300.00000000000011</v>
      </c>
      <c r="BV90">
        <v>24.2</v>
      </c>
      <c r="BW90">
        <v>972.12040816540991</v>
      </c>
      <c r="BX90">
        <v>1.8280049229504891</v>
      </c>
      <c r="BY90">
        <v>-39.166265601477619</v>
      </c>
      <c r="BZ90">
        <v>1.641664590756807</v>
      </c>
      <c r="CA90">
        <v>0.95311356480586817</v>
      </c>
      <c r="CB90">
        <v>-6.8931030033370384E-3</v>
      </c>
      <c r="CC90">
        <v>289.99999999999989</v>
      </c>
      <c r="CD90">
        <v>933.55</v>
      </c>
      <c r="CE90">
        <v>685</v>
      </c>
      <c r="CF90">
        <v>10065.5</v>
      </c>
      <c r="CG90">
        <v>933.21</v>
      </c>
      <c r="CH90">
        <v>0.34</v>
      </c>
      <c r="CV90">
        <f t="shared" si="134"/>
        <v>1800.04</v>
      </c>
      <c r="CW90">
        <f t="shared" si="135"/>
        <v>1513.2180006316662</v>
      </c>
      <c r="CX90">
        <f t="shared" si="136"/>
        <v>0.84065798572902062</v>
      </c>
      <c r="CY90">
        <f t="shared" si="137"/>
        <v>0.19131597145804127</v>
      </c>
      <c r="CZ90">
        <v>6</v>
      </c>
      <c r="DA90">
        <v>0.5</v>
      </c>
      <c r="DB90" t="s">
        <v>418</v>
      </c>
      <c r="DC90">
        <v>2</v>
      </c>
      <c r="DD90">
        <v>1674593008.5</v>
      </c>
      <c r="DE90">
        <v>95.677499999999995</v>
      </c>
      <c r="DF90">
        <v>120.036</v>
      </c>
      <c r="DG90">
        <v>24.989899999999999</v>
      </c>
      <c r="DH90">
        <v>18.119299999999999</v>
      </c>
      <c r="DI90">
        <v>94.639099999999999</v>
      </c>
      <c r="DJ90">
        <v>24.8735</v>
      </c>
      <c r="DK90">
        <v>500.04500000000002</v>
      </c>
      <c r="DL90">
        <v>99.519599999999997</v>
      </c>
      <c r="DM90">
        <v>0.100064</v>
      </c>
      <c r="DN90">
        <v>27.9998</v>
      </c>
      <c r="DO90">
        <v>27.6404</v>
      </c>
      <c r="DP90">
        <v>999.9</v>
      </c>
      <c r="DQ90">
        <v>0</v>
      </c>
      <c r="DR90">
        <v>0</v>
      </c>
      <c r="DS90">
        <v>9995</v>
      </c>
      <c r="DT90">
        <v>0</v>
      </c>
      <c r="DU90">
        <v>331.50799999999998</v>
      </c>
      <c r="DV90">
        <v>-24.3582</v>
      </c>
      <c r="DW90">
        <v>98.129800000000003</v>
      </c>
      <c r="DX90">
        <v>122.251</v>
      </c>
      <c r="DY90">
        <v>6.87066</v>
      </c>
      <c r="DZ90">
        <v>120.036</v>
      </c>
      <c r="EA90">
        <v>18.119299999999999</v>
      </c>
      <c r="EB90">
        <v>2.48699</v>
      </c>
      <c r="EC90">
        <v>1.80322</v>
      </c>
      <c r="ED90">
        <v>20.941600000000001</v>
      </c>
      <c r="EE90">
        <v>15.8147</v>
      </c>
      <c r="EF90">
        <v>1800.04</v>
      </c>
      <c r="EG90">
        <v>0.97800600000000004</v>
      </c>
      <c r="EH90">
        <v>2.1993700000000001E-2</v>
      </c>
      <c r="EI90">
        <v>0</v>
      </c>
      <c r="EJ90">
        <v>815.95</v>
      </c>
      <c r="EK90">
        <v>4.9990399999999999</v>
      </c>
      <c r="EL90">
        <v>15233.3</v>
      </c>
      <c r="EM90">
        <v>14821.1</v>
      </c>
      <c r="EN90">
        <v>48.25</v>
      </c>
      <c r="EO90">
        <v>49.75</v>
      </c>
      <c r="EP90">
        <v>49.186999999999998</v>
      </c>
      <c r="EQ90">
        <v>48.125</v>
      </c>
      <c r="ER90">
        <v>49.125</v>
      </c>
      <c r="ES90">
        <v>1755.56</v>
      </c>
      <c r="ET90">
        <v>39.479999999999997</v>
      </c>
      <c r="EU90">
        <v>0</v>
      </c>
      <c r="EV90">
        <v>117.19999980926509</v>
      </c>
      <c r="EW90">
        <v>0</v>
      </c>
      <c r="EX90">
        <v>816.45400000000018</v>
      </c>
      <c r="EY90">
        <v>-2.7612991541132041</v>
      </c>
      <c r="EZ90">
        <v>-60.694017118929807</v>
      </c>
      <c r="FA90">
        <v>15239.25769230769</v>
      </c>
      <c r="FB90">
        <v>15</v>
      </c>
      <c r="FC90">
        <v>1674592976</v>
      </c>
      <c r="FD90" t="s">
        <v>797</v>
      </c>
      <c r="FE90">
        <v>1674592963</v>
      </c>
      <c r="FF90">
        <v>1674592976</v>
      </c>
      <c r="FG90">
        <v>85</v>
      </c>
      <c r="FH90">
        <v>-0.129</v>
      </c>
      <c r="FI90">
        <v>2E-3</v>
      </c>
      <c r="FJ90">
        <v>1.0780000000000001</v>
      </c>
      <c r="FK90">
        <v>7.0999999999999994E-2</v>
      </c>
      <c r="FL90">
        <v>120</v>
      </c>
      <c r="FM90">
        <v>18</v>
      </c>
      <c r="FN90">
        <v>0.11</v>
      </c>
      <c r="FO90">
        <v>0.02</v>
      </c>
      <c r="FP90">
        <v>19.70517663964414</v>
      </c>
      <c r="FQ90">
        <v>-0.35971910801931128</v>
      </c>
      <c r="FR90">
        <v>5.6786537363272591E-2</v>
      </c>
      <c r="FS90">
        <v>1</v>
      </c>
      <c r="FT90">
        <v>0.50302458499190161</v>
      </c>
      <c r="FU90">
        <v>4.6504626156456272E-2</v>
      </c>
      <c r="FV90">
        <v>5.2482170906404052E-3</v>
      </c>
      <c r="FW90">
        <v>1</v>
      </c>
      <c r="FX90">
        <v>2</v>
      </c>
      <c r="FY90">
        <v>2</v>
      </c>
      <c r="FZ90" t="s">
        <v>420</v>
      </c>
      <c r="GA90">
        <v>2.9333499999999999</v>
      </c>
      <c r="GB90">
        <v>2.8334800000000002</v>
      </c>
      <c r="GC90">
        <v>2.5723300000000001E-2</v>
      </c>
      <c r="GD90">
        <v>3.1470999999999999E-2</v>
      </c>
      <c r="GE90">
        <v>0.122585</v>
      </c>
      <c r="GF90">
        <v>9.4562900000000005E-2</v>
      </c>
      <c r="GG90">
        <v>25229.3</v>
      </c>
      <c r="GH90">
        <v>31599.7</v>
      </c>
      <c r="GI90">
        <v>23299.599999999999</v>
      </c>
      <c r="GJ90">
        <v>29892.6</v>
      </c>
      <c r="GK90">
        <v>27814</v>
      </c>
      <c r="GL90">
        <v>38488.6</v>
      </c>
      <c r="GM90">
        <v>32889.1</v>
      </c>
      <c r="GN90">
        <v>44350.3</v>
      </c>
      <c r="GO90">
        <v>1.9460299999999999</v>
      </c>
      <c r="GP90">
        <v>1.8388</v>
      </c>
      <c r="GQ90">
        <v>6.8895499999999998E-2</v>
      </c>
      <c r="GR90">
        <v>0</v>
      </c>
      <c r="GS90">
        <v>26.5138</v>
      </c>
      <c r="GT90">
        <v>999.9</v>
      </c>
      <c r="GU90">
        <v>47.9</v>
      </c>
      <c r="GV90">
        <v>35.5</v>
      </c>
      <c r="GW90">
        <v>27.950500000000002</v>
      </c>
      <c r="GX90">
        <v>61.4054</v>
      </c>
      <c r="GY90">
        <v>36.602600000000002</v>
      </c>
      <c r="GZ90">
        <v>1</v>
      </c>
      <c r="HA90">
        <v>0.33360000000000001</v>
      </c>
      <c r="HB90">
        <v>2.0022500000000001</v>
      </c>
      <c r="HC90">
        <v>20.261299999999999</v>
      </c>
      <c r="HD90">
        <v>5.2107000000000001</v>
      </c>
      <c r="HE90">
        <v>11.872199999999999</v>
      </c>
      <c r="HF90">
        <v>4.9844999999999997</v>
      </c>
      <c r="HG90">
        <v>3.2839999999999998</v>
      </c>
      <c r="HH90">
        <v>9999</v>
      </c>
      <c r="HI90">
        <v>9999</v>
      </c>
      <c r="HJ90">
        <v>9999</v>
      </c>
      <c r="HK90">
        <v>999.9</v>
      </c>
      <c r="HL90">
        <v>1.8547100000000001</v>
      </c>
      <c r="HM90">
        <v>1.8608</v>
      </c>
      <c r="HN90">
        <v>1.8581099999999999</v>
      </c>
      <c r="HO90">
        <v>1.8593200000000001</v>
      </c>
      <c r="HP90">
        <v>1.85869</v>
      </c>
      <c r="HQ90">
        <v>1.8592599999999999</v>
      </c>
      <c r="HR90">
        <v>1.8575999999999999</v>
      </c>
      <c r="HS90">
        <v>1.8609599999999999</v>
      </c>
      <c r="HT90">
        <v>5</v>
      </c>
      <c r="HU90">
        <v>0</v>
      </c>
      <c r="HV90">
        <v>0</v>
      </c>
      <c r="HW90">
        <v>0</v>
      </c>
      <c r="HX90" t="s">
        <v>421</v>
      </c>
      <c r="HY90" t="s">
        <v>422</v>
      </c>
      <c r="HZ90" t="s">
        <v>423</v>
      </c>
      <c r="IA90" t="s">
        <v>423</v>
      </c>
      <c r="IB90" t="s">
        <v>423</v>
      </c>
      <c r="IC90" t="s">
        <v>423</v>
      </c>
      <c r="ID90">
        <v>0</v>
      </c>
      <c r="IE90">
        <v>100</v>
      </c>
      <c r="IF90">
        <v>100</v>
      </c>
      <c r="IG90">
        <v>1.038</v>
      </c>
      <c r="IH90">
        <v>0.1164</v>
      </c>
      <c r="II90">
        <v>0.88415574216190262</v>
      </c>
      <c r="IJ90">
        <v>1.6187016317407189E-3</v>
      </c>
      <c r="IK90">
        <v>1.4341569744255341E-7</v>
      </c>
      <c r="IL90">
        <v>-2.4096625942085749E-10</v>
      </c>
      <c r="IM90">
        <v>0.1163760304120277</v>
      </c>
      <c r="IN90">
        <v>0</v>
      </c>
      <c r="IO90">
        <v>0</v>
      </c>
      <c r="IP90">
        <v>0</v>
      </c>
      <c r="IQ90">
        <v>4</v>
      </c>
      <c r="IR90">
        <v>2205</v>
      </c>
      <c r="IS90">
        <v>1</v>
      </c>
      <c r="IT90">
        <v>21</v>
      </c>
      <c r="IU90">
        <v>0.8</v>
      </c>
      <c r="IV90">
        <v>0.5</v>
      </c>
      <c r="IW90">
        <v>0.39917000000000002</v>
      </c>
      <c r="IX90">
        <v>2.4853499999999999</v>
      </c>
      <c r="IY90">
        <v>1.49414</v>
      </c>
      <c r="IZ90">
        <v>2.3046899999999999</v>
      </c>
      <c r="JA90">
        <v>1.69434</v>
      </c>
      <c r="JB90">
        <v>2.34131</v>
      </c>
      <c r="JC90">
        <v>39.3917</v>
      </c>
      <c r="JD90">
        <v>23.9999</v>
      </c>
      <c r="JE90">
        <v>18</v>
      </c>
      <c r="JF90">
        <v>495.517</v>
      </c>
      <c r="JG90">
        <v>448.53500000000003</v>
      </c>
      <c r="JH90">
        <v>24.825399999999998</v>
      </c>
      <c r="JI90">
        <v>31.522200000000002</v>
      </c>
      <c r="JJ90">
        <v>30</v>
      </c>
      <c r="JK90">
        <v>31.456800000000001</v>
      </c>
      <c r="JL90">
        <v>31.423500000000001</v>
      </c>
      <c r="JM90">
        <v>8.0651399999999995</v>
      </c>
      <c r="JN90">
        <v>41.985900000000001</v>
      </c>
      <c r="JO90">
        <v>0</v>
      </c>
      <c r="JP90">
        <v>24.8263</v>
      </c>
      <c r="JQ90">
        <v>120</v>
      </c>
      <c r="JR90">
        <v>17.9818</v>
      </c>
      <c r="JS90">
        <v>99.072800000000001</v>
      </c>
      <c r="JT90">
        <v>99.598699999999994</v>
      </c>
    </row>
    <row r="91" spans="1:280" x14ac:dyDescent="0.25">
      <c r="A91">
        <v>75</v>
      </c>
      <c r="B91">
        <v>1674593126</v>
      </c>
      <c r="C91">
        <v>19073.400000095371</v>
      </c>
      <c r="D91" t="s">
        <v>798</v>
      </c>
      <c r="E91" t="s">
        <v>799</v>
      </c>
      <c r="F91" t="s">
        <v>412</v>
      </c>
      <c r="G91" t="s">
        <v>779</v>
      </c>
      <c r="H91" t="s">
        <v>493</v>
      </c>
      <c r="I91">
        <v>1674593126</v>
      </c>
      <c r="J91">
        <f t="shared" si="92"/>
        <v>6.2078640014913353E-3</v>
      </c>
      <c r="K91">
        <f t="shared" si="93"/>
        <v>6.2078640014913349</v>
      </c>
      <c r="L91">
        <f t="shared" si="94"/>
        <v>11.925265061455919</v>
      </c>
      <c r="M91">
        <f t="shared" si="95"/>
        <v>55.306899999999999</v>
      </c>
      <c r="N91">
        <f t="shared" si="96"/>
        <v>16.165032963534852</v>
      </c>
      <c r="O91">
        <f t="shared" si="97"/>
        <v>1.6104397019646788</v>
      </c>
      <c r="P91">
        <f t="shared" si="98"/>
        <v>5.5099440720913595</v>
      </c>
      <c r="Q91">
        <f t="shared" si="99"/>
        <v>0.5399400413459291</v>
      </c>
      <c r="R91">
        <f t="shared" si="100"/>
        <v>2.9190168012029059</v>
      </c>
      <c r="S91">
        <f t="shared" si="101"/>
        <v>0.48997161891309782</v>
      </c>
      <c r="T91">
        <f t="shared" si="102"/>
        <v>0.31033545410647262</v>
      </c>
      <c r="U91">
        <f t="shared" si="103"/>
        <v>344.33650126347999</v>
      </c>
      <c r="V91">
        <f t="shared" si="104"/>
        <v>28.406674981313682</v>
      </c>
      <c r="W91">
        <f t="shared" si="105"/>
        <v>27.603999999999999</v>
      </c>
      <c r="X91">
        <f t="shared" si="106"/>
        <v>3.7081113848538418</v>
      </c>
      <c r="Y91">
        <f t="shared" si="107"/>
        <v>65.527123889172643</v>
      </c>
      <c r="Z91">
        <f t="shared" si="108"/>
        <v>2.4851131033396801</v>
      </c>
      <c r="AA91">
        <f t="shared" si="109"/>
        <v>3.792495314677327</v>
      </c>
      <c r="AB91">
        <f t="shared" si="110"/>
        <v>1.2229982815141618</v>
      </c>
      <c r="AC91">
        <f t="shared" si="111"/>
        <v>-273.76680246576791</v>
      </c>
      <c r="AD91">
        <f t="shared" si="112"/>
        <v>60.650411021298346</v>
      </c>
      <c r="AE91">
        <f t="shared" si="113"/>
        <v>4.519888711988143</v>
      </c>
      <c r="AF91">
        <f t="shared" si="114"/>
        <v>135.73999853099855</v>
      </c>
      <c r="AG91">
        <v>0</v>
      </c>
      <c r="AH91">
        <v>0</v>
      </c>
      <c r="AI91">
        <f t="shared" si="115"/>
        <v>1</v>
      </c>
      <c r="AJ91">
        <f t="shared" si="116"/>
        <v>0</v>
      </c>
      <c r="AK91">
        <f t="shared" si="117"/>
        <v>52390.222207665916</v>
      </c>
      <c r="AL91" t="s">
        <v>415</v>
      </c>
      <c r="AM91">
        <v>10214.9</v>
      </c>
      <c r="AN91">
        <v>729.4384</v>
      </c>
      <c r="AO91">
        <v>3170.19</v>
      </c>
      <c r="AP91">
        <f t="shared" si="118"/>
        <v>0.76990704027203416</v>
      </c>
      <c r="AQ91">
        <v>-0.45549566560547827</v>
      </c>
      <c r="AR91" t="s">
        <v>800</v>
      </c>
      <c r="AS91">
        <v>10084.700000000001</v>
      </c>
      <c r="AT91">
        <v>835.85696153846152</v>
      </c>
      <c r="AU91">
        <v>943.33226632661695</v>
      </c>
      <c r="AV91">
        <f t="shared" si="119"/>
        <v>0.11393154737160605</v>
      </c>
      <c r="AW91">
        <v>0.5</v>
      </c>
      <c r="AX91">
        <f t="shared" si="120"/>
        <v>1513.0416006317398</v>
      </c>
      <c r="AY91">
        <f t="shared" si="121"/>
        <v>11.925265061455919</v>
      </c>
      <c r="AZ91">
        <f t="shared" si="122"/>
        <v>86.191585398792853</v>
      </c>
      <c r="BA91">
        <f t="shared" si="123"/>
        <v>8.1826968418396828E-3</v>
      </c>
      <c r="BB91">
        <f t="shared" si="124"/>
        <v>2.3606292429123399</v>
      </c>
      <c r="BC91">
        <f t="shared" si="125"/>
        <v>472.6900834669085</v>
      </c>
      <c r="BD91" t="s">
        <v>801</v>
      </c>
      <c r="BE91">
        <v>561.83000000000004</v>
      </c>
      <c r="BF91">
        <f t="shared" si="126"/>
        <v>561.83000000000004</v>
      </c>
      <c r="BG91">
        <f t="shared" si="127"/>
        <v>0.40441982103740159</v>
      </c>
      <c r="BH91">
        <f t="shared" si="128"/>
        <v>0.28171603231353337</v>
      </c>
      <c r="BI91">
        <f t="shared" si="129"/>
        <v>0.85373864561386592</v>
      </c>
      <c r="BJ91">
        <f t="shared" si="130"/>
        <v>0.50247025140982826</v>
      </c>
      <c r="BK91">
        <f t="shared" si="131"/>
        <v>0.91236557365091286</v>
      </c>
      <c r="BL91">
        <f t="shared" si="132"/>
        <v>0.18935837794949018</v>
      </c>
      <c r="BM91">
        <f t="shared" si="133"/>
        <v>0.81064162205050982</v>
      </c>
      <c r="BN91">
        <v>9206</v>
      </c>
      <c r="BO91">
        <v>290.00000000000011</v>
      </c>
      <c r="BP91">
        <v>921.43</v>
      </c>
      <c r="BQ91">
        <v>275</v>
      </c>
      <c r="BR91">
        <v>10084.700000000001</v>
      </c>
      <c r="BS91">
        <v>922.85</v>
      </c>
      <c r="BT91">
        <v>-1.42</v>
      </c>
      <c r="BU91">
        <v>300.00000000000011</v>
      </c>
      <c r="BV91">
        <v>24.2</v>
      </c>
      <c r="BW91">
        <v>943.33226632661695</v>
      </c>
      <c r="BX91">
        <v>2.6718025280282069</v>
      </c>
      <c r="BY91">
        <v>-20.651474864833759</v>
      </c>
      <c r="BZ91">
        <v>2.3995227123614171</v>
      </c>
      <c r="CA91">
        <v>0.72568307243494035</v>
      </c>
      <c r="CB91">
        <v>-6.8932731924360464E-3</v>
      </c>
      <c r="CC91">
        <v>289.99999999999989</v>
      </c>
      <c r="CD91">
        <v>924.51</v>
      </c>
      <c r="CE91">
        <v>645</v>
      </c>
      <c r="CF91">
        <v>10068.1</v>
      </c>
      <c r="CG91">
        <v>922.82</v>
      </c>
      <c r="CH91">
        <v>1.69</v>
      </c>
      <c r="CV91">
        <f t="shared" si="134"/>
        <v>1799.83</v>
      </c>
      <c r="CW91">
        <f t="shared" si="135"/>
        <v>1513.0416006317398</v>
      </c>
      <c r="CX91">
        <f t="shared" si="136"/>
        <v>0.84065806250131392</v>
      </c>
      <c r="CY91">
        <f t="shared" si="137"/>
        <v>0.19131612500262804</v>
      </c>
      <c r="CZ91">
        <v>6</v>
      </c>
      <c r="DA91">
        <v>0.5</v>
      </c>
      <c r="DB91" t="s">
        <v>418</v>
      </c>
      <c r="DC91">
        <v>2</v>
      </c>
      <c r="DD91">
        <v>1674593126</v>
      </c>
      <c r="DE91">
        <v>55.306899999999999</v>
      </c>
      <c r="DF91">
        <v>70.029399999999995</v>
      </c>
      <c r="DG91">
        <v>24.944700000000001</v>
      </c>
      <c r="DH91">
        <v>17.681000000000001</v>
      </c>
      <c r="DI91">
        <v>54.3673</v>
      </c>
      <c r="DJ91">
        <v>24.828199999999999</v>
      </c>
      <c r="DK91">
        <v>499.99400000000003</v>
      </c>
      <c r="DL91">
        <v>99.525199999999998</v>
      </c>
      <c r="DM91">
        <v>9.9694400000000002E-2</v>
      </c>
      <c r="DN91">
        <v>27.9894</v>
      </c>
      <c r="DO91">
        <v>27.603999999999999</v>
      </c>
      <c r="DP91">
        <v>999.9</v>
      </c>
      <c r="DQ91">
        <v>0</v>
      </c>
      <c r="DR91">
        <v>0</v>
      </c>
      <c r="DS91">
        <v>9987.5</v>
      </c>
      <c r="DT91">
        <v>0</v>
      </c>
      <c r="DU91">
        <v>323.85300000000001</v>
      </c>
      <c r="DV91">
        <v>-14.7225</v>
      </c>
      <c r="DW91">
        <v>56.721800000000002</v>
      </c>
      <c r="DX91">
        <v>71.289900000000003</v>
      </c>
      <c r="DY91">
        <v>7.2637099999999997</v>
      </c>
      <c r="DZ91">
        <v>70.029399999999995</v>
      </c>
      <c r="EA91">
        <v>17.681000000000001</v>
      </c>
      <c r="EB91">
        <v>2.4826199999999998</v>
      </c>
      <c r="EC91">
        <v>1.7597</v>
      </c>
      <c r="ED91">
        <v>20.913</v>
      </c>
      <c r="EE91">
        <v>15.433299999999999</v>
      </c>
      <c r="EF91">
        <v>1799.83</v>
      </c>
      <c r="EG91">
        <v>0.97800299999999996</v>
      </c>
      <c r="EH91">
        <v>2.19974E-2</v>
      </c>
      <c r="EI91">
        <v>0</v>
      </c>
      <c r="EJ91">
        <v>836.06700000000001</v>
      </c>
      <c r="EK91">
        <v>4.9990399999999999</v>
      </c>
      <c r="EL91">
        <v>15570.1</v>
      </c>
      <c r="EM91">
        <v>14819.3</v>
      </c>
      <c r="EN91">
        <v>48.186999999999998</v>
      </c>
      <c r="EO91">
        <v>49.686999999999998</v>
      </c>
      <c r="EP91">
        <v>49.186999999999998</v>
      </c>
      <c r="EQ91">
        <v>48.061999999999998</v>
      </c>
      <c r="ER91">
        <v>49.125</v>
      </c>
      <c r="ES91">
        <v>1755.35</v>
      </c>
      <c r="ET91">
        <v>39.479999999999997</v>
      </c>
      <c r="EU91">
        <v>0</v>
      </c>
      <c r="EV91">
        <v>115.7999999523163</v>
      </c>
      <c r="EW91">
        <v>0</v>
      </c>
      <c r="EX91">
        <v>835.85696153846152</v>
      </c>
      <c r="EY91">
        <v>-0.75825639703331693</v>
      </c>
      <c r="EZ91">
        <v>-24.242735157763502</v>
      </c>
      <c r="FA91">
        <v>15574.91153846154</v>
      </c>
      <c r="FB91">
        <v>15</v>
      </c>
      <c r="FC91">
        <v>1674593090.5</v>
      </c>
      <c r="FD91" t="s">
        <v>802</v>
      </c>
      <c r="FE91">
        <v>1674593075.5</v>
      </c>
      <c r="FF91">
        <v>1674593090.5</v>
      </c>
      <c r="FG91">
        <v>86</v>
      </c>
      <c r="FH91">
        <v>-3.3000000000000002E-2</v>
      </c>
      <c r="FI91">
        <v>0</v>
      </c>
      <c r="FJ91">
        <v>0.96299999999999997</v>
      </c>
      <c r="FK91">
        <v>6.6000000000000003E-2</v>
      </c>
      <c r="FL91">
        <v>70</v>
      </c>
      <c r="FM91">
        <v>18</v>
      </c>
      <c r="FN91">
        <v>0.22</v>
      </c>
      <c r="FO91">
        <v>0.01</v>
      </c>
      <c r="FP91">
        <v>11.938777993286889</v>
      </c>
      <c r="FQ91">
        <v>-0.22847902293038869</v>
      </c>
      <c r="FR91">
        <v>3.8439886277483383E-2</v>
      </c>
      <c r="FS91">
        <v>1</v>
      </c>
      <c r="FT91">
        <v>0.53549911427139696</v>
      </c>
      <c r="FU91">
        <v>4.4990088858653993E-2</v>
      </c>
      <c r="FV91">
        <v>4.5584946644922518E-3</v>
      </c>
      <c r="FW91">
        <v>1</v>
      </c>
      <c r="FX91">
        <v>2</v>
      </c>
      <c r="FY91">
        <v>2</v>
      </c>
      <c r="FZ91" t="s">
        <v>420</v>
      </c>
      <c r="GA91">
        <v>2.9332600000000002</v>
      </c>
      <c r="GB91">
        <v>2.83304</v>
      </c>
      <c r="GC91">
        <v>1.5048199999999999E-2</v>
      </c>
      <c r="GD91">
        <v>1.8805700000000002E-2</v>
      </c>
      <c r="GE91">
        <v>0.12244099999999999</v>
      </c>
      <c r="GF91">
        <v>9.2940300000000003E-2</v>
      </c>
      <c r="GG91">
        <v>25506.9</v>
      </c>
      <c r="GH91">
        <v>32014</v>
      </c>
      <c r="GI91">
        <v>23300.9</v>
      </c>
      <c r="GJ91">
        <v>29893.8</v>
      </c>
      <c r="GK91">
        <v>27819.8</v>
      </c>
      <c r="GL91">
        <v>38559.599999999999</v>
      </c>
      <c r="GM91">
        <v>32891</v>
      </c>
      <c r="GN91">
        <v>44351.9</v>
      </c>
      <c r="GO91">
        <v>1.94678</v>
      </c>
      <c r="GP91">
        <v>1.8389</v>
      </c>
      <c r="GQ91">
        <v>6.9700200000000004E-2</v>
      </c>
      <c r="GR91">
        <v>0</v>
      </c>
      <c r="GS91">
        <v>26.464200000000002</v>
      </c>
      <c r="GT91">
        <v>999.9</v>
      </c>
      <c r="GU91">
        <v>47.9</v>
      </c>
      <c r="GV91">
        <v>35.4</v>
      </c>
      <c r="GW91">
        <v>27.793199999999999</v>
      </c>
      <c r="GX91">
        <v>61.395400000000002</v>
      </c>
      <c r="GY91">
        <v>36.514400000000002</v>
      </c>
      <c r="GZ91">
        <v>1</v>
      </c>
      <c r="HA91">
        <v>0.33094499999999999</v>
      </c>
      <c r="HB91">
        <v>1.9117</v>
      </c>
      <c r="HC91">
        <v>20.260999999999999</v>
      </c>
      <c r="HD91">
        <v>5.2080099999999998</v>
      </c>
      <c r="HE91">
        <v>11.872199999999999</v>
      </c>
      <c r="HF91">
        <v>4.9840999999999998</v>
      </c>
      <c r="HG91">
        <v>3.2833299999999999</v>
      </c>
      <c r="HH91">
        <v>9999</v>
      </c>
      <c r="HI91">
        <v>9999</v>
      </c>
      <c r="HJ91">
        <v>9999</v>
      </c>
      <c r="HK91">
        <v>999.9</v>
      </c>
      <c r="HL91">
        <v>1.8546899999999999</v>
      </c>
      <c r="HM91">
        <v>1.8607100000000001</v>
      </c>
      <c r="HN91">
        <v>1.8581700000000001</v>
      </c>
      <c r="HO91">
        <v>1.8592900000000001</v>
      </c>
      <c r="HP91">
        <v>1.85869</v>
      </c>
      <c r="HQ91">
        <v>1.85928</v>
      </c>
      <c r="HR91">
        <v>1.8575999999999999</v>
      </c>
      <c r="HS91">
        <v>1.8609599999999999</v>
      </c>
      <c r="HT91">
        <v>5</v>
      </c>
      <c r="HU91">
        <v>0</v>
      </c>
      <c r="HV91">
        <v>0</v>
      </c>
      <c r="HW91">
        <v>0</v>
      </c>
      <c r="HX91" t="s">
        <v>421</v>
      </c>
      <c r="HY91" t="s">
        <v>422</v>
      </c>
      <c r="HZ91" t="s">
        <v>423</v>
      </c>
      <c r="IA91" t="s">
        <v>423</v>
      </c>
      <c r="IB91" t="s">
        <v>423</v>
      </c>
      <c r="IC91" t="s">
        <v>423</v>
      </c>
      <c r="ID91">
        <v>0</v>
      </c>
      <c r="IE91">
        <v>100</v>
      </c>
      <c r="IF91">
        <v>100</v>
      </c>
      <c r="IG91">
        <v>0.94</v>
      </c>
      <c r="IH91">
        <v>0.11650000000000001</v>
      </c>
      <c r="II91">
        <v>0.85122496762513133</v>
      </c>
      <c r="IJ91">
        <v>1.6187016317407189E-3</v>
      </c>
      <c r="IK91">
        <v>1.4341569744255341E-7</v>
      </c>
      <c r="IL91">
        <v>-2.4096625942085749E-10</v>
      </c>
      <c r="IM91">
        <v>0.116486190767499</v>
      </c>
      <c r="IN91">
        <v>0</v>
      </c>
      <c r="IO91">
        <v>0</v>
      </c>
      <c r="IP91">
        <v>0</v>
      </c>
      <c r="IQ91">
        <v>4</v>
      </c>
      <c r="IR91">
        <v>2205</v>
      </c>
      <c r="IS91">
        <v>1</v>
      </c>
      <c r="IT91">
        <v>21</v>
      </c>
      <c r="IU91">
        <v>0.8</v>
      </c>
      <c r="IV91">
        <v>0.6</v>
      </c>
      <c r="IW91">
        <v>0.28930699999999998</v>
      </c>
      <c r="IX91">
        <v>2.49268</v>
      </c>
      <c r="IY91">
        <v>1.49414</v>
      </c>
      <c r="IZ91">
        <v>2.3046899999999999</v>
      </c>
      <c r="JA91">
        <v>1.69434</v>
      </c>
      <c r="JB91">
        <v>2.4194300000000002</v>
      </c>
      <c r="JC91">
        <v>39.3917</v>
      </c>
      <c r="JD91">
        <v>23.9999</v>
      </c>
      <c r="JE91">
        <v>18</v>
      </c>
      <c r="JF91">
        <v>495.839</v>
      </c>
      <c r="JG91">
        <v>448.46699999999998</v>
      </c>
      <c r="JH91">
        <v>24.850999999999999</v>
      </c>
      <c r="JI91">
        <v>31.491</v>
      </c>
      <c r="JJ91">
        <v>29.9998</v>
      </c>
      <c r="JK91">
        <v>31.437799999999999</v>
      </c>
      <c r="JL91">
        <v>31.407</v>
      </c>
      <c r="JM91">
        <v>5.8607699999999996</v>
      </c>
      <c r="JN91">
        <v>43.002699999999997</v>
      </c>
      <c r="JO91">
        <v>0</v>
      </c>
      <c r="JP91">
        <v>24.86</v>
      </c>
      <c r="JQ91">
        <v>70</v>
      </c>
      <c r="JR91">
        <v>17.670999999999999</v>
      </c>
      <c r="JS91">
        <v>99.078299999999999</v>
      </c>
      <c r="JT91">
        <v>99.602500000000006</v>
      </c>
    </row>
    <row r="92" spans="1:280" x14ac:dyDescent="0.25">
      <c r="A92">
        <v>76</v>
      </c>
      <c r="B92">
        <v>1674593240.5</v>
      </c>
      <c r="C92">
        <v>19187.900000095371</v>
      </c>
      <c r="D92" t="s">
        <v>803</v>
      </c>
      <c r="E92" t="s">
        <v>804</v>
      </c>
      <c r="F92" t="s">
        <v>412</v>
      </c>
      <c r="G92" t="s">
        <v>779</v>
      </c>
      <c r="H92" t="s">
        <v>493</v>
      </c>
      <c r="I92">
        <v>1674593240.5</v>
      </c>
      <c r="J92">
        <f t="shared" si="92"/>
        <v>6.4436428033560955E-3</v>
      </c>
      <c r="K92">
        <f t="shared" si="93"/>
        <v>6.4436428033560951</v>
      </c>
      <c r="L92">
        <f t="shared" si="94"/>
        <v>5.1579598665559399</v>
      </c>
      <c r="M92">
        <f t="shared" si="95"/>
        <v>23.616</v>
      </c>
      <c r="N92">
        <f t="shared" si="96"/>
        <v>7.3959570103146559</v>
      </c>
      <c r="O92">
        <f t="shared" si="97"/>
        <v>0.73686803584587224</v>
      </c>
      <c r="P92">
        <f t="shared" si="98"/>
        <v>2.3528903034815998</v>
      </c>
      <c r="Q92">
        <f t="shared" si="99"/>
        <v>0.56615527974542601</v>
      </c>
      <c r="R92">
        <f t="shared" si="100"/>
        <v>2.9204368133117833</v>
      </c>
      <c r="S92">
        <f t="shared" si="101"/>
        <v>0.51150341426211565</v>
      </c>
      <c r="T92">
        <f t="shared" si="102"/>
        <v>0.32415911947356002</v>
      </c>
      <c r="U92">
        <f t="shared" si="103"/>
        <v>344.41060126320627</v>
      </c>
      <c r="V92">
        <f t="shared" si="104"/>
        <v>28.361666034647484</v>
      </c>
      <c r="W92">
        <f t="shared" si="105"/>
        <v>27.591699999999999</v>
      </c>
      <c r="X92">
        <f t="shared" si="106"/>
        <v>3.7054454819191673</v>
      </c>
      <c r="Y92">
        <f t="shared" si="107"/>
        <v>65.577278467343234</v>
      </c>
      <c r="Z92">
        <f t="shared" si="108"/>
        <v>2.4893651145295803</v>
      </c>
      <c r="AA92">
        <f t="shared" si="109"/>
        <v>3.7960787222502028</v>
      </c>
      <c r="AB92">
        <f t="shared" si="110"/>
        <v>1.216080367389587</v>
      </c>
      <c r="AC92">
        <f t="shared" si="111"/>
        <v>-284.16464762800382</v>
      </c>
      <c r="AD92">
        <f t="shared" si="112"/>
        <v>65.167143385467995</v>
      </c>
      <c r="AE92">
        <f t="shared" si="113"/>
        <v>4.854225323032205</v>
      </c>
      <c r="AF92">
        <f t="shared" si="114"/>
        <v>130.26732234370266</v>
      </c>
      <c r="AG92">
        <v>0</v>
      </c>
      <c r="AH92">
        <v>0</v>
      </c>
      <c r="AI92">
        <f t="shared" si="115"/>
        <v>1</v>
      </c>
      <c r="AJ92">
        <f t="shared" si="116"/>
        <v>0</v>
      </c>
      <c r="AK92">
        <f t="shared" si="117"/>
        <v>52428.302623954194</v>
      </c>
      <c r="AL92" t="s">
        <v>415</v>
      </c>
      <c r="AM92">
        <v>10214.9</v>
      </c>
      <c r="AN92">
        <v>729.4384</v>
      </c>
      <c r="AO92">
        <v>3170.19</v>
      </c>
      <c r="AP92">
        <f t="shared" si="118"/>
        <v>0.76990704027203416</v>
      </c>
      <c r="AQ92">
        <v>-0.45549566560547827</v>
      </c>
      <c r="AR92" t="s">
        <v>805</v>
      </c>
      <c r="AS92">
        <v>10090.799999999999</v>
      </c>
      <c r="AT92">
        <v>850.78555999999992</v>
      </c>
      <c r="AU92">
        <v>929.7423137146701</v>
      </c>
      <c r="AV92">
        <f t="shared" si="119"/>
        <v>8.4923265887736465E-2</v>
      </c>
      <c r="AW92">
        <v>0.5</v>
      </c>
      <c r="AX92">
        <f t="shared" si="120"/>
        <v>1513.3692006316032</v>
      </c>
      <c r="AY92">
        <f t="shared" si="121"/>
        <v>5.1579598665559399</v>
      </c>
      <c r="AZ92">
        <f t="shared" si="122"/>
        <v>64.26012750577442</v>
      </c>
      <c r="BA92">
        <f t="shared" si="123"/>
        <v>3.7092439371824455E-3</v>
      </c>
      <c r="BB92">
        <f t="shared" si="124"/>
        <v>2.4097512323967476</v>
      </c>
      <c r="BC92">
        <f t="shared" si="125"/>
        <v>469.25312470999171</v>
      </c>
      <c r="BD92" t="s">
        <v>806</v>
      </c>
      <c r="BE92">
        <v>572.52</v>
      </c>
      <c r="BF92">
        <f t="shared" si="126"/>
        <v>572.52</v>
      </c>
      <c r="BG92">
        <f t="shared" si="127"/>
        <v>0.38421647422653349</v>
      </c>
      <c r="BH92">
        <f t="shared" si="128"/>
        <v>0.22102973605880782</v>
      </c>
      <c r="BI92">
        <f t="shared" si="129"/>
        <v>0.86248356653667702</v>
      </c>
      <c r="BJ92">
        <f t="shared" si="130"/>
        <v>0.39418477777295396</v>
      </c>
      <c r="BK92">
        <f t="shared" si="131"/>
        <v>0.91793351125339007</v>
      </c>
      <c r="BL92">
        <f t="shared" si="132"/>
        <v>0.14873776711535708</v>
      </c>
      <c r="BM92">
        <f t="shared" si="133"/>
        <v>0.85126223288464287</v>
      </c>
      <c r="BN92">
        <v>9208</v>
      </c>
      <c r="BO92">
        <v>290.00000000000011</v>
      </c>
      <c r="BP92">
        <v>910.11</v>
      </c>
      <c r="BQ92">
        <v>225</v>
      </c>
      <c r="BR92">
        <v>10090.799999999999</v>
      </c>
      <c r="BS92">
        <v>909.81</v>
      </c>
      <c r="BT92">
        <v>0.3</v>
      </c>
      <c r="BU92">
        <v>300.00000000000011</v>
      </c>
      <c r="BV92">
        <v>24.2</v>
      </c>
      <c r="BW92">
        <v>929.7423137146701</v>
      </c>
      <c r="BX92">
        <v>1.7300399991466271</v>
      </c>
      <c r="BY92">
        <v>-20.113869269325029</v>
      </c>
      <c r="BZ92">
        <v>1.553767688991726</v>
      </c>
      <c r="CA92">
        <v>0.85683519836017052</v>
      </c>
      <c r="CB92">
        <v>-6.8934656284760833E-3</v>
      </c>
      <c r="CC92">
        <v>289.99999999999989</v>
      </c>
      <c r="CD92">
        <v>908.47</v>
      </c>
      <c r="CE92">
        <v>695</v>
      </c>
      <c r="CF92">
        <v>10065.5</v>
      </c>
      <c r="CG92">
        <v>909.76</v>
      </c>
      <c r="CH92">
        <v>-1.29</v>
      </c>
      <c r="CV92">
        <f t="shared" si="134"/>
        <v>1800.22</v>
      </c>
      <c r="CW92">
        <f t="shared" si="135"/>
        <v>1513.3692006316032</v>
      </c>
      <c r="CX92">
        <f t="shared" si="136"/>
        <v>0.84065791993845373</v>
      </c>
      <c r="CY92">
        <f t="shared" si="137"/>
        <v>0.19131583987690742</v>
      </c>
      <c r="CZ92">
        <v>6</v>
      </c>
      <c r="DA92">
        <v>0.5</v>
      </c>
      <c r="DB92" t="s">
        <v>418</v>
      </c>
      <c r="DC92">
        <v>2</v>
      </c>
      <c r="DD92">
        <v>1674593240.5</v>
      </c>
      <c r="DE92">
        <v>23.616</v>
      </c>
      <c r="DF92">
        <v>29.986999999999998</v>
      </c>
      <c r="DG92">
        <v>24.985800000000001</v>
      </c>
      <c r="DH92">
        <v>17.448</v>
      </c>
      <c r="DI92">
        <v>22.6844</v>
      </c>
      <c r="DJ92">
        <v>24.869599999999998</v>
      </c>
      <c r="DK92">
        <v>500.09100000000001</v>
      </c>
      <c r="DL92">
        <v>99.531199999999998</v>
      </c>
      <c r="DM92">
        <v>9.9995100000000003E-2</v>
      </c>
      <c r="DN92">
        <v>28.005600000000001</v>
      </c>
      <c r="DO92">
        <v>27.591699999999999</v>
      </c>
      <c r="DP92">
        <v>999.9</v>
      </c>
      <c r="DQ92">
        <v>0</v>
      </c>
      <c r="DR92">
        <v>0</v>
      </c>
      <c r="DS92">
        <v>9995</v>
      </c>
      <c r="DT92">
        <v>0</v>
      </c>
      <c r="DU92">
        <v>321.18099999999998</v>
      </c>
      <c r="DV92">
        <v>-6.3710199999999997</v>
      </c>
      <c r="DW92">
        <v>24.2212</v>
      </c>
      <c r="DX92">
        <v>30.519500000000001</v>
      </c>
      <c r="DY92">
        <v>7.5378499999999997</v>
      </c>
      <c r="DZ92">
        <v>29.986999999999998</v>
      </c>
      <c r="EA92">
        <v>17.448</v>
      </c>
      <c r="EB92">
        <v>2.4868700000000001</v>
      </c>
      <c r="EC92">
        <v>1.7366200000000001</v>
      </c>
      <c r="ED92">
        <v>20.940799999999999</v>
      </c>
      <c r="EE92">
        <v>15.2277</v>
      </c>
      <c r="EF92">
        <v>1800.22</v>
      </c>
      <c r="EG92">
        <v>0.97800600000000004</v>
      </c>
      <c r="EH92">
        <v>2.1993700000000001E-2</v>
      </c>
      <c r="EI92">
        <v>0</v>
      </c>
      <c r="EJ92">
        <v>850.99400000000003</v>
      </c>
      <c r="EK92">
        <v>4.9990399999999999</v>
      </c>
      <c r="EL92">
        <v>15836</v>
      </c>
      <c r="EM92">
        <v>14822.5</v>
      </c>
      <c r="EN92">
        <v>48.186999999999998</v>
      </c>
      <c r="EO92">
        <v>49.686999999999998</v>
      </c>
      <c r="EP92">
        <v>49.186999999999998</v>
      </c>
      <c r="EQ92">
        <v>48.061999999999998</v>
      </c>
      <c r="ER92">
        <v>49.125</v>
      </c>
      <c r="ES92">
        <v>1755.74</v>
      </c>
      <c r="ET92">
        <v>39.479999999999997</v>
      </c>
      <c r="EU92">
        <v>0</v>
      </c>
      <c r="EV92">
        <v>112.7999999523163</v>
      </c>
      <c r="EW92">
        <v>0</v>
      </c>
      <c r="EX92">
        <v>850.78555999999992</v>
      </c>
      <c r="EY92">
        <v>-0.8068461481440089</v>
      </c>
      <c r="EZ92">
        <v>-15.315384626359959</v>
      </c>
      <c r="FA92">
        <v>15835.972</v>
      </c>
      <c r="FB92">
        <v>15</v>
      </c>
      <c r="FC92">
        <v>1674593205.5</v>
      </c>
      <c r="FD92" t="s">
        <v>807</v>
      </c>
      <c r="FE92">
        <v>1674593193.5</v>
      </c>
      <c r="FF92">
        <v>1674593205.5</v>
      </c>
      <c r="FG92">
        <v>87</v>
      </c>
      <c r="FH92">
        <v>4.3999999999999997E-2</v>
      </c>
      <c r="FI92">
        <v>0</v>
      </c>
      <c r="FJ92">
        <v>0.94199999999999995</v>
      </c>
      <c r="FK92">
        <v>6.0999999999999999E-2</v>
      </c>
      <c r="FL92">
        <v>30</v>
      </c>
      <c r="FM92">
        <v>18</v>
      </c>
      <c r="FN92">
        <v>0.26</v>
      </c>
      <c r="FO92">
        <v>0.01</v>
      </c>
      <c r="FP92">
        <v>5.1925260289004163</v>
      </c>
      <c r="FQ92">
        <v>-0.27721800581733619</v>
      </c>
      <c r="FR92">
        <v>3.5038253401872957E-2</v>
      </c>
      <c r="FS92">
        <v>1</v>
      </c>
      <c r="FT92">
        <v>0.56693834453768022</v>
      </c>
      <c r="FU92">
        <v>3.632558008106853E-2</v>
      </c>
      <c r="FV92">
        <v>4.9468456850888251E-3</v>
      </c>
      <c r="FW92">
        <v>1</v>
      </c>
      <c r="FX92">
        <v>2</v>
      </c>
      <c r="FY92">
        <v>2</v>
      </c>
      <c r="FZ92" t="s">
        <v>420</v>
      </c>
      <c r="GA92">
        <v>2.9335399999999998</v>
      </c>
      <c r="GB92">
        <v>2.8334100000000002</v>
      </c>
      <c r="GC92">
        <v>6.3460000000000001E-3</v>
      </c>
      <c r="GD92">
        <v>8.1660199999999995E-3</v>
      </c>
      <c r="GE92">
        <v>0.122596</v>
      </c>
      <c r="GF92">
        <v>9.2076599999999995E-2</v>
      </c>
      <c r="GG92">
        <v>25732.9</v>
      </c>
      <c r="GH92">
        <v>32362.400000000001</v>
      </c>
      <c r="GI92">
        <v>23301.599999999999</v>
      </c>
      <c r="GJ92">
        <v>29895.3</v>
      </c>
      <c r="GK92">
        <v>27815.4</v>
      </c>
      <c r="GL92">
        <v>38598.199999999997</v>
      </c>
      <c r="GM92">
        <v>32891.800000000003</v>
      </c>
      <c r="GN92">
        <v>44353.8</v>
      </c>
      <c r="GO92">
        <v>1.9474499999999999</v>
      </c>
      <c r="GP92">
        <v>1.8388800000000001</v>
      </c>
      <c r="GQ92">
        <v>6.5863099999999994E-2</v>
      </c>
      <c r="GR92">
        <v>0</v>
      </c>
      <c r="GS92">
        <v>26.514700000000001</v>
      </c>
      <c r="GT92">
        <v>999.9</v>
      </c>
      <c r="GU92">
        <v>47.9</v>
      </c>
      <c r="GV92">
        <v>35.4</v>
      </c>
      <c r="GW92">
        <v>27.790299999999998</v>
      </c>
      <c r="GX92">
        <v>61.275399999999998</v>
      </c>
      <c r="GY92">
        <v>36.362200000000001</v>
      </c>
      <c r="GZ92">
        <v>1</v>
      </c>
      <c r="HA92">
        <v>0.32960400000000001</v>
      </c>
      <c r="HB92">
        <v>2.1542400000000002</v>
      </c>
      <c r="HC92">
        <v>20.2593</v>
      </c>
      <c r="HD92">
        <v>5.2110000000000003</v>
      </c>
      <c r="HE92">
        <v>11.872199999999999</v>
      </c>
      <c r="HF92">
        <v>4.9837999999999996</v>
      </c>
      <c r="HG92">
        <v>3.2839999999999998</v>
      </c>
      <c r="HH92">
        <v>9999</v>
      </c>
      <c r="HI92">
        <v>9999</v>
      </c>
      <c r="HJ92">
        <v>9999</v>
      </c>
      <c r="HK92">
        <v>999.9</v>
      </c>
      <c r="HL92">
        <v>1.8547100000000001</v>
      </c>
      <c r="HM92">
        <v>1.8608</v>
      </c>
      <c r="HN92">
        <v>1.85816</v>
      </c>
      <c r="HO92">
        <v>1.8594200000000001</v>
      </c>
      <c r="HP92">
        <v>1.8587</v>
      </c>
      <c r="HQ92">
        <v>1.85928</v>
      </c>
      <c r="HR92">
        <v>1.8575999999999999</v>
      </c>
      <c r="HS92">
        <v>1.8609599999999999</v>
      </c>
      <c r="HT92">
        <v>5</v>
      </c>
      <c r="HU92">
        <v>0</v>
      </c>
      <c r="HV92">
        <v>0</v>
      </c>
      <c r="HW92">
        <v>0</v>
      </c>
      <c r="HX92" t="s">
        <v>421</v>
      </c>
      <c r="HY92" t="s">
        <v>422</v>
      </c>
      <c r="HZ92" t="s">
        <v>423</v>
      </c>
      <c r="IA92" t="s">
        <v>423</v>
      </c>
      <c r="IB92" t="s">
        <v>423</v>
      </c>
      <c r="IC92" t="s">
        <v>423</v>
      </c>
      <c r="ID92">
        <v>0</v>
      </c>
      <c r="IE92">
        <v>100</v>
      </c>
      <c r="IF92">
        <v>100</v>
      </c>
      <c r="IG92">
        <v>0.93200000000000005</v>
      </c>
      <c r="IH92">
        <v>0.1162</v>
      </c>
      <c r="II92">
        <v>0.8948132196071652</v>
      </c>
      <c r="IJ92">
        <v>1.6187016317407189E-3</v>
      </c>
      <c r="IK92">
        <v>1.4341569744255341E-7</v>
      </c>
      <c r="IL92">
        <v>-2.4096625942085749E-10</v>
      </c>
      <c r="IM92">
        <v>0.11623281034158101</v>
      </c>
      <c r="IN92">
        <v>0</v>
      </c>
      <c r="IO92">
        <v>0</v>
      </c>
      <c r="IP92">
        <v>0</v>
      </c>
      <c r="IQ92">
        <v>4</v>
      </c>
      <c r="IR92">
        <v>2205</v>
      </c>
      <c r="IS92">
        <v>1</v>
      </c>
      <c r="IT92">
        <v>21</v>
      </c>
      <c r="IU92">
        <v>0.8</v>
      </c>
      <c r="IV92">
        <v>0.6</v>
      </c>
      <c r="IW92">
        <v>0.20141600000000001</v>
      </c>
      <c r="IX92">
        <v>2.5268600000000001</v>
      </c>
      <c r="IY92">
        <v>1.49414</v>
      </c>
      <c r="IZ92">
        <v>2.3046899999999999</v>
      </c>
      <c r="JA92">
        <v>1.69434</v>
      </c>
      <c r="JB92">
        <v>2.2985799999999998</v>
      </c>
      <c r="JC92">
        <v>39.366700000000002</v>
      </c>
      <c r="JD92">
        <v>23.991199999999999</v>
      </c>
      <c r="JE92">
        <v>18</v>
      </c>
      <c r="JF92">
        <v>496.10300000000001</v>
      </c>
      <c r="JG92">
        <v>448.29</v>
      </c>
      <c r="JH92">
        <v>24.756399999999999</v>
      </c>
      <c r="JI92">
        <v>31.466200000000001</v>
      </c>
      <c r="JJ92">
        <v>30</v>
      </c>
      <c r="JK92">
        <v>31.4176</v>
      </c>
      <c r="JL92">
        <v>31.387699999999999</v>
      </c>
      <c r="JM92">
        <v>4.0959199999999996</v>
      </c>
      <c r="JN92">
        <v>44.1693</v>
      </c>
      <c r="JO92">
        <v>0</v>
      </c>
      <c r="JP92">
        <v>24.756399999999999</v>
      </c>
      <c r="JQ92">
        <v>30</v>
      </c>
      <c r="JR92">
        <v>17.346699999999998</v>
      </c>
      <c r="JS92">
        <v>99.081100000000006</v>
      </c>
      <c r="JT92">
        <v>99.606999999999999</v>
      </c>
    </row>
    <row r="93" spans="1:280" x14ac:dyDescent="0.25">
      <c r="A93">
        <v>77</v>
      </c>
      <c r="B93">
        <v>1674593357.5</v>
      </c>
      <c r="C93">
        <v>19304.900000095371</v>
      </c>
      <c r="D93" t="s">
        <v>808</v>
      </c>
      <c r="E93" t="s">
        <v>809</v>
      </c>
      <c r="F93" t="s">
        <v>412</v>
      </c>
      <c r="G93" t="s">
        <v>779</v>
      </c>
      <c r="H93" t="s">
        <v>493</v>
      </c>
      <c r="I93">
        <v>1674593357.5</v>
      </c>
      <c r="J93">
        <f t="shared" si="92"/>
        <v>6.655982030845527E-3</v>
      </c>
      <c r="K93">
        <f t="shared" si="93"/>
        <v>6.6559820308455269</v>
      </c>
      <c r="L93">
        <f t="shared" si="94"/>
        <v>1.5749067676653805</v>
      </c>
      <c r="M93">
        <f t="shared" si="95"/>
        <v>8.0685699999999994</v>
      </c>
      <c r="N93">
        <f t="shared" si="96"/>
        <v>3.2489808842621684</v>
      </c>
      <c r="O93">
        <f t="shared" si="97"/>
        <v>0.32370210607291111</v>
      </c>
      <c r="P93">
        <f t="shared" si="98"/>
        <v>0.80388687869730002</v>
      </c>
      <c r="Q93">
        <f t="shared" si="99"/>
        <v>0.58597012783083224</v>
      </c>
      <c r="R93">
        <f t="shared" si="100"/>
        <v>2.9263717756212975</v>
      </c>
      <c r="S93">
        <f t="shared" si="101"/>
        <v>0.52774217012101043</v>
      </c>
      <c r="T93">
        <f t="shared" si="102"/>
        <v>0.3345869194656288</v>
      </c>
      <c r="U93">
        <f t="shared" si="103"/>
        <v>344.35740126340283</v>
      </c>
      <c r="V93">
        <f t="shared" si="104"/>
        <v>28.303040971426569</v>
      </c>
      <c r="W93">
        <f t="shared" si="105"/>
        <v>27.5928</v>
      </c>
      <c r="X93">
        <f t="shared" si="106"/>
        <v>3.7056838278840876</v>
      </c>
      <c r="Y93">
        <f t="shared" si="107"/>
        <v>65.554886685977579</v>
      </c>
      <c r="Z93">
        <f t="shared" si="108"/>
        <v>2.4881669681040002</v>
      </c>
      <c r="AA93">
        <f t="shared" si="109"/>
        <v>3.7955476607302683</v>
      </c>
      <c r="AB93">
        <f t="shared" si="110"/>
        <v>1.2175168597800874</v>
      </c>
      <c r="AC93">
        <f t="shared" si="111"/>
        <v>-293.52880756028776</v>
      </c>
      <c r="AD93">
        <f t="shared" si="112"/>
        <v>64.747394240657911</v>
      </c>
      <c r="AE93">
        <f t="shared" si="113"/>
        <v>4.8131460303774229</v>
      </c>
      <c r="AF93">
        <f t="shared" si="114"/>
        <v>120.38913397415041</v>
      </c>
      <c r="AG93">
        <v>0</v>
      </c>
      <c r="AH93">
        <v>0</v>
      </c>
      <c r="AI93">
        <f t="shared" si="115"/>
        <v>1</v>
      </c>
      <c r="AJ93">
        <f t="shared" si="116"/>
        <v>0</v>
      </c>
      <c r="AK93">
        <f t="shared" si="117"/>
        <v>52599.290532546438</v>
      </c>
      <c r="AL93" t="s">
        <v>415</v>
      </c>
      <c r="AM93">
        <v>10214.9</v>
      </c>
      <c r="AN93">
        <v>729.4384</v>
      </c>
      <c r="AO93">
        <v>3170.19</v>
      </c>
      <c r="AP93">
        <f t="shared" si="118"/>
        <v>0.76990704027203416</v>
      </c>
      <c r="AQ93">
        <v>-0.45549566560547827</v>
      </c>
      <c r="AR93" t="s">
        <v>810</v>
      </c>
      <c r="AS93">
        <v>10087.200000000001</v>
      </c>
      <c r="AT93">
        <v>855.64284615384611</v>
      </c>
      <c r="AU93">
        <v>921.30744673982133</v>
      </c>
      <c r="AV93">
        <f t="shared" si="119"/>
        <v>7.1273276709462041E-2</v>
      </c>
      <c r="AW93">
        <v>0.5</v>
      </c>
      <c r="AX93">
        <f t="shared" si="120"/>
        <v>1513.1340006317012</v>
      </c>
      <c r="AY93">
        <f t="shared" si="121"/>
        <v>1.5749067676653805</v>
      </c>
      <c r="AZ93">
        <f t="shared" si="122"/>
        <v>53.923009162759271</v>
      </c>
      <c r="BA93">
        <f t="shared" si="123"/>
        <v>1.3418523623309033E-3</v>
      </c>
      <c r="BB93">
        <f t="shared" si="124"/>
        <v>2.4409686052339774</v>
      </c>
      <c r="BC93">
        <f t="shared" si="125"/>
        <v>467.09476793199741</v>
      </c>
      <c r="BD93" t="s">
        <v>811</v>
      </c>
      <c r="BE93">
        <v>584.47</v>
      </c>
      <c r="BF93">
        <f t="shared" si="126"/>
        <v>584.47</v>
      </c>
      <c r="BG93">
        <f t="shared" si="127"/>
        <v>0.36560808005163636</v>
      </c>
      <c r="BH93">
        <f t="shared" si="128"/>
        <v>0.19494447907003529</v>
      </c>
      <c r="BI93">
        <f t="shared" si="129"/>
        <v>0.86973166207484898</v>
      </c>
      <c r="BJ93">
        <f t="shared" si="130"/>
        <v>0.34223654988507801</v>
      </c>
      <c r="BK93">
        <f t="shared" si="131"/>
        <v>0.92138935943345424</v>
      </c>
      <c r="BL93">
        <f t="shared" si="132"/>
        <v>0.13316210168088879</v>
      </c>
      <c r="BM93">
        <f t="shared" si="133"/>
        <v>0.86683789831911118</v>
      </c>
      <c r="BN93">
        <v>9210</v>
      </c>
      <c r="BO93">
        <v>290.00000000000011</v>
      </c>
      <c r="BP93">
        <v>900.17</v>
      </c>
      <c r="BQ93">
        <v>255</v>
      </c>
      <c r="BR93">
        <v>10087.200000000001</v>
      </c>
      <c r="BS93">
        <v>899.37</v>
      </c>
      <c r="BT93">
        <v>0.8</v>
      </c>
      <c r="BU93">
        <v>300.00000000000011</v>
      </c>
      <c r="BV93">
        <v>24.2</v>
      </c>
      <c r="BW93">
        <v>921.30744673982133</v>
      </c>
      <c r="BX93">
        <v>1.4551734265238161</v>
      </c>
      <c r="BY93">
        <v>-22.133228772879619</v>
      </c>
      <c r="BZ93">
        <v>1.306916078133592</v>
      </c>
      <c r="CA93">
        <v>0.91105743613804402</v>
      </c>
      <c r="CB93">
        <v>-6.8934600667408183E-3</v>
      </c>
      <c r="CC93">
        <v>289.99999999999989</v>
      </c>
      <c r="CD93">
        <v>896.76</v>
      </c>
      <c r="CE93">
        <v>625</v>
      </c>
      <c r="CF93">
        <v>10069.6</v>
      </c>
      <c r="CG93">
        <v>899.33</v>
      </c>
      <c r="CH93">
        <v>-2.57</v>
      </c>
      <c r="CV93">
        <f t="shared" si="134"/>
        <v>1799.94</v>
      </c>
      <c r="CW93">
        <f t="shared" si="135"/>
        <v>1513.1340006317012</v>
      </c>
      <c r="CX93">
        <f t="shared" si="136"/>
        <v>0.84065802228502129</v>
      </c>
      <c r="CY93">
        <f t="shared" si="137"/>
        <v>0.19131604457004278</v>
      </c>
      <c r="CZ93">
        <v>6</v>
      </c>
      <c r="DA93">
        <v>0.5</v>
      </c>
      <c r="DB93" t="s">
        <v>418</v>
      </c>
      <c r="DC93">
        <v>2</v>
      </c>
      <c r="DD93">
        <v>1674593357.5</v>
      </c>
      <c r="DE93">
        <v>8.0685699999999994</v>
      </c>
      <c r="DF93">
        <v>10.0227</v>
      </c>
      <c r="DG93">
        <v>24.973600000000001</v>
      </c>
      <c r="DH93">
        <v>17.186699999999998</v>
      </c>
      <c r="DI93">
        <v>7.1758499999999996</v>
      </c>
      <c r="DJ93">
        <v>24.859100000000002</v>
      </c>
      <c r="DK93">
        <v>500.05200000000002</v>
      </c>
      <c r="DL93">
        <v>99.532300000000006</v>
      </c>
      <c r="DM93">
        <v>9.9589999999999998E-2</v>
      </c>
      <c r="DN93">
        <v>28.0032</v>
      </c>
      <c r="DO93">
        <v>27.5928</v>
      </c>
      <c r="DP93">
        <v>999.9</v>
      </c>
      <c r="DQ93">
        <v>0</v>
      </c>
      <c r="DR93">
        <v>0</v>
      </c>
      <c r="DS93">
        <v>10028.799999999999</v>
      </c>
      <c r="DT93">
        <v>0</v>
      </c>
      <c r="DU93">
        <v>326.88</v>
      </c>
      <c r="DV93">
        <v>-1.9540999999999999</v>
      </c>
      <c r="DW93">
        <v>8.2752300000000005</v>
      </c>
      <c r="DX93">
        <v>10.197900000000001</v>
      </c>
      <c r="DY93">
        <v>7.78695</v>
      </c>
      <c r="DZ93">
        <v>10.0227</v>
      </c>
      <c r="EA93">
        <v>17.186699999999998</v>
      </c>
      <c r="EB93">
        <v>2.4856799999999999</v>
      </c>
      <c r="EC93">
        <v>1.7106300000000001</v>
      </c>
      <c r="ED93">
        <v>20.9331</v>
      </c>
      <c r="EE93">
        <v>14.9932</v>
      </c>
      <c r="EF93">
        <v>1799.94</v>
      </c>
      <c r="EG93">
        <v>0.97800299999999996</v>
      </c>
      <c r="EH93">
        <v>2.19974E-2</v>
      </c>
      <c r="EI93">
        <v>0</v>
      </c>
      <c r="EJ93">
        <v>855.50300000000004</v>
      </c>
      <c r="EK93">
        <v>4.9990399999999999</v>
      </c>
      <c r="EL93">
        <v>15926</v>
      </c>
      <c r="EM93">
        <v>14820.2</v>
      </c>
      <c r="EN93">
        <v>48.25</v>
      </c>
      <c r="EO93">
        <v>49.686999999999998</v>
      </c>
      <c r="EP93">
        <v>49.186999999999998</v>
      </c>
      <c r="EQ93">
        <v>48.061999999999998</v>
      </c>
      <c r="ER93">
        <v>49.125</v>
      </c>
      <c r="ES93">
        <v>1755.46</v>
      </c>
      <c r="ET93">
        <v>39.479999999999997</v>
      </c>
      <c r="EU93">
        <v>0</v>
      </c>
      <c r="EV93">
        <v>115.2000000476837</v>
      </c>
      <c r="EW93">
        <v>0</v>
      </c>
      <c r="EX93">
        <v>855.64284615384611</v>
      </c>
      <c r="EY93">
        <v>-1.2906666603994581</v>
      </c>
      <c r="EZ93">
        <v>-15.23418801122045</v>
      </c>
      <c r="FA93">
        <v>15928.75384615385</v>
      </c>
      <c r="FB93">
        <v>15</v>
      </c>
      <c r="FC93">
        <v>1674593321.5</v>
      </c>
      <c r="FD93" t="s">
        <v>812</v>
      </c>
      <c r="FE93">
        <v>1674593300</v>
      </c>
      <c r="FF93">
        <v>1674593321.5</v>
      </c>
      <c r="FG93">
        <v>88</v>
      </c>
      <c r="FH93">
        <v>-1.4E-2</v>
      </c>
      <c r="FI93">
        <v>-2E-3</v>
      </c>
      <c r="FJ93">
        <v>0.89600000000000002</v>
      </c>
      <c r="FK93">
        <v>5.0999999999999997E-2</v>
      </c>
      <c r="FL93">
        <v>10</v>
      </c>
      <c r="FM93">
        <v>17</v>
      </c>
      <c r="FN93">
        <v>0.31</v>
      </c>
      <c r="FO93">
        <v>0.02</v>
      </c>
      <c r="FP93">
        <v>1.602537661060347</v>
      </c>
      <c r="FQ93">
        <v>-0.60879014713074486</v>
      </c>
      <c r="FR93">
        <v>7.0333896927522815E-2</v>
      </c>
      <c r="FS93">
        <v>1</v>
      </c>
      <c r="FT93">
        <v>0.59062989294165091</v>
      </c>
      <c r="FU93">
        <v>1.4733090556874599E-2</v>
      </c>
      <c r="FV93">
        <v>5.6562337830461124E-3</v>
      </c>
      <c r="FW93">
        <v>1</v>
      </c>
      <c r="FX93">
        <v>2</v>
      </c>
      <c r="FY93">
        <v>2</v>
      </c>
      <c r="FZ93" t="s">
        <v>420</v>
      </c>
      <c r="GA93">
        <v>2.93343</v>
      </c>
      <c r="GB93">
        <v>2.8332999999999999</v>
      </c>
      <c r="GC93">
        <v>2.0148599999999998E-3</v>
      </c>
      <c r="GD93">
        <v>2.7418199999999998E-3</v>
      </c>
      <c r="GE93">
        <v>0.122562</v>
      </c>
      <c r="GF93">
        <v>9.1092099999999995E-2</v>
      </c>
      <c r="GG93">
        <v>25846.7</v>
      </c>
      <c r="GH93">
        <v>32539.599999999999</v>
      </c>
      <c r="GI93">
        <v>23303.3</v>
      </c>
      <c r="GJ93">
        <v>29895.7</v>
      </c>
      <c r="GK93">
        <v>27818.7</v>
      </c>
      <c r="GL93">
        <v>38640.9</v>
      </c>
      <c r="GM93">
        <v>32894.6</v>
      </c>
      <c r="GN93">
        <v>44354.400000000001</v>
      </c>
      <c r="GO93">
        <v>1.9480500000000001</v>
      </c>
      <c r="GP93">
        <v>1.8382700000000001</v>
      </c>
      <c r="GQ93">
        <v>6.2506599999999995E-2</v>
      </c>
      <c r="GR93">
        <v>0</v>
      </c>
      <c r="GS93">
        <v>26.570699999999999</v>
      </c>
      <c r="GT93">
        <v>999.9</v>
      </c>
      <c r="GU93">
        <v>47.9</v>
      </c>
      <c r="GV93">
        <v>35.4</v>
      </c>
      <c r="GW93">
        <v>27.7911</v>
      </c>
      <c r="GX93">
        <v>61.425400000000003</v>
      </c>
      <c r="GY93">
        <v>36.338099999999997</v>
      </c>
      <c r="GZ93">
        <v>1</v>
      </c>
      <c r="HA93">
        <v>0.33012200000000003</v>
      </c>
      <c r="HB93">
        <v>2.1810299999999998</v>
      </c>
      <c r="HC93">
        <v>20.258800000000001</v>
      </c>
      <c r="HD93">
        <v>5.2092000000000001</v>
      </c>
      <c r="HE93">
        <v>11.872199999999999</v>
      </c>
      <c r="HF93">
        <v>4.9836</v>
      </c>
      <c r="HG93">
        <v>3.2837800000000001</v>
      </c>
      <c r="HH93">
        <v>9999</v>
      </c>
      <c r="HI93">
        <v>9999</v>
      </c>
      <c r="HJ93">
        <v>9999</v>
      </c>
      <c r="HK93">
        <v>999.9</v>
      </c>
      <c r="HL93">
        <v>1.8546899999999999</v>
      </c>
      <c r="HM93">
        <v>1.8607400000000001</v>
      </c>
      <c r="HN93">
        <v>1.8581399999999999</v>
      </c>
      <c r="HO93">
        <v>1.8593299999999999</v>
      </c>
      <c r="HP93">
        <v>1.8586800000000001</v>
      </c>
      <c r="HQ93">
        <v>1.85927</v>
      </c>
      <c r="HR93">
        <v>1.8575999999999999</v>
      </c>
      <c r="HS93">
        <v>1.8609599999999999</v>
      </c>
      <c r="HT93">
        <v>5</v>
      </c>
      <c r="HU93">
        <v>0</v>
      </c>
      <c r="HV93">
        <v>0</v>
      </c>
      <c r="HW93">
        <v>0</v>
      </c>
      <c r="HX93" t="s">
        <v>421</v>
      </c>
      <c r="HY93" t="s">
        <v>422</v>
      </c>
      <c r="HZ93" t="s">
        <v>423</v>
      </c>
      <c r="IA93" t="s">
        <v>423</v>
      </c>
      <c r="IB93" t="s">
        <v>423</v>
      </c>
      <c r="IC93" t="s">
        <v>423</v>
      </c>
      <c r="ID93">
        <v>0</v>
      </c>
      <c r="IE93">
        <v>100</v>
      </c>
      <c r="IF93">
        <v>100</v>
      </c>
      <c r="IG93">
        <v>0.89300000000000002</v>
      </c>
      <c r="IH93">
        <v>0.1145</v>
      </c>
      <c r="II93">
        <v>0.88109547238000041</v>
      </c>
      <c r="IJ93">
        <v>1.6187016317407189E-3</v>
      </c>
      <c r="IK93">
        <v>1.4341569744255341E-7</v>
      </c>
      <c r="IL93">
        <v>-2.4096625942085749E-10</v>
      </c>
      <c r="IM93">
        <v>0.11451555143486659</v>
      </c>
      <c r="IN93">
        <v>0</v>
      </c>
      <c r="IO93">
        <v>0</v>
      </c>
      <c r="IP93">
        <v>0</v>
      </c>
      <c r="IQ93">
        <v>4</v>
      </c>
      <c r="IR93">
        <v>2205</v>
      </c>
      <c r="IS93">
        <v>1</v>
      </c>
      <c r="IT93">
        <v>21</v>
      </c>
      <c r="IU93">
        <v>1</v>
      </c>
      <c r="IV93">
        <v>0.6</v>
      </c>
      <c r="IW93">
        <v>0.157471</v>
      </c>
      <c r="IX93">
        <v>2.5293000000000001</v>
      </c>
      <c r="IY93">
        <v>1.49414</v>
      </c>
      <c r="IZ93">
        <v>2.3046899999999999</v>
      </c>
      <c r="JA93">
        <v>1.69434</v>
      </c>
      <c r="JB93">
        <v>2.4182100000000002</v>
      </c>
      <c r="JC93">
        <v>39.341799999999999</v>
      </c>
      <c r="JD93">
        <v>24.008700000000001</v>
      </c>
      <c r="JE93">
        <v>18</v>
      </c>
      <c r="JF93">
        <v>496.48599999999999</v>
      </c>
      <c r="JG93">
        <v>447.87200000000001</v>
      </c>
      <c r="JH93">
        <v>24.757400000000001</v>
      </c>
      <c r="JI93">
        <v>31.474499999999999</v>
      </c>
      <c r="JJ93">
        <v>30.0002</v>
      </c>
      <c r="JK93">
        <v>31.4176</v>
      </c>
      <c r="JL93">
        <v>31.387699999999999</v>
      </c>
      <c r="JM93">
        <v>3.2100300000000002</v>
      </c>
      <c r="JN93">
        <v>44.933799999999998</v>
      </c>
      <c r="JO93">
        <v>0</v>
      </c>
      <c r="JP93">
        <v>24.7547</v>
      </c>
      <c r="JQ93">
        <v>10</v>
      </c>
      <c r="JR93">
        <v>17.080500000000001</v>
      </c>
      <c r="JS93">
        <v>99.088899999999995</v>
      </c>
      <c r="JT93">
        <v>99.608400000000003</v>
      </c>
    </row>
    <row r="94" spans="1:280" x14ac:dyDescent="0.25">
      <c r="A94">
        <v>78</v>
      </c>
      <c r="B94">
        <v>1674593547</v>
      </c>
      <c r="C94">
        <v>19494.400000095371</v>
      </c>
      <c r="D94" t="s">
        <v>813</v>
      </c>
      <c r="E94" t="s">
        <v>814</v>
      </c>
      <c r="F94" t="s">
        <v>412</v>
      </c>
      <c r="G94" t="s">
        <v>779</v>
      </c>
      <c r="H94" t="s">
        <v>493</v>
      </c>
      <c r="I94">
        <v>1674593547</v>
      </c>
      <c r="J94">
        <f t="shared" si="92"/>
        <v>6.4186099439768728E-3</v>
      </c>
      <c r="K94">
        <f t="shared" si="93"/>
        <v>6.4186099439768727</v>
      </c>
      <c r="L94">
        <f t="shared" si="94"/>
        <v>36.582502883337128</v>
      </c>
      <c r="M94">
        <f t="shared" si="95"/>
        <v>353.43299999999999</v>
      </c>
      <c r="N94">
        <f t="shared" si="96"/>
        <v>232.1886677747523</v>
      </c>
      <c r="O94">
        <f t="shared" si="97"/>
        <v>23.132431063066061</v>
      </c>
      <c r="P94">
        <f t="shared" si="98"/>
        <v>35.211729264254998</v>
      </c>
      <c r="Q94">
        <f t="shared" si="99"/>
        <v>0.55296011737736261</v>
      </c>
      <c r="R94">
        <f t="shared" si="100"/>
        <v>2.9211425581766446</v>
      </c>
      <c r="S94">
        <f t="shared" si="101"/>
        <v>0.50071172554535859</v>
      </c>
      <c r="T94">
        <f t="shared" si="102"/>
        <v>0.3172267165608717</v>
      </c>
      <c r="U94">
        <f t="shared" si="103"/>
        <v>344.35170126342388</v>
      </c>
      <c r="V94">
        <f t="shared" si="104"/>
        <v>28.363362153658937</v>
      </c>
      <c r="W94">
        <f t="shared" si="105"/>
        <v>27.570399999999999</v>
      </c>
      <c r="X94">
        <f t="shared" si="106"/>
        <v>3.7008328741047491</v>
      </c>
      <c r="Y94">
        <f t="shared" si="107"/>
        <v>64.905080162524115</v>
      </c>
      <c r="Z94">
        <f t="shared" si="108"/>
        <v>2.463216045687</v>
      </c>
      <c r="AA94">
        <f t="shared" si="109"/>
        <v>3.7951051589783713</v>
      </c>
      <c r="AB94">
        <f t="shared" si="110"/>
        <v>1.2376168284177491</v>
      </c>
      <c r="AC94">
        <f t="shared" si="111"/>
        <v>-283.06069852938009</v>
      </c>
      <c r="AD94">
        <f t="shared" si="112"/>
        <v>67.844381876537639</v>
      </c>
      <c r="AE94">
        <f t="shared" si="113"/>
        <v>5.0517814868759681</v>
      </c>
      <c r="AF94">
        <f t="shared" si="114"/>
        <v>134.18716609745741</v>
      </c>
      <c r="AG94">
        <v>0</v>
      </c>
      <c r="AH94">
        <v>0</v>
      </c>
      <c r="AI94">
        <f t="shared" si="115"/>
        <v>1</v>
      </c>
      <c r="AJ94">
        <f t="shared" si="116"/>
        <v>0</v>
      </c>
      <c r="AK94">
        <f t="shared" si="117"/>
        <v>52449.262289200291</v>
      </c>
      <c r="AL94" t="s">
        <v>415</v>
      </c>
      <c r="AM94">
        <v>10214.9</v>
      </c>
      <c r="AN94">
        <v>729.4384</v>
      </c>
      <c r="AO94">
        <v>3170.19</v>
      </c>
      <c r="AP94">
        <f t="shared" si="118"/>
        <v>0.76990704027203416</v>
      </c>
      <c r="AQ94">
        <v>-0.45549566560547827</v>
      </c>
      <c r="AR94" t="s">
        <v>815</v>
      </c>
      <c r="AS94">
        <v>10084.9</v>
      </c>
      <c r="AT94">
        <v>772.2782692307693</v>
      </c>
      <c r="AU94">
        <v>1005.875633906759</v>
      </c>
      <c r="AV94">
        <f t="shared" si="119"/>
        <v>0.23223284947137246</v>
      </c>
      <c r="AW94">
        <v>0.5</v>
      </c>
      <c r="AX94">
        <f t="shared" si="120"/>
        <v>1513.108800631712</v>
      </c>
      <c r="AY94">
        <f t="shared" si="121"/>
        <v>36.582502883337128</v>
      </c>
      <c r="AZ94">
        <f t="shared" si="122"/>
        <v>175.69678416545665</v>
      </c>
      <c r="BA94">
        <f t="shared" si="123"/>
        <v>2.4478080183975869E-2</v>
      </c>
      <c r="BB94">
        <f t="shared" si="124"/>
        <v>2.1516719295477684</v>
      </c>
      <c r="BC94">
        <f t="shared" si="125"/>
        <v>487.89106531557718</v>
      </c>
      <c r="BD94" t="s">
        <v>816</v>
      </c>
      <c r="BE94">
        <v>556.99</v>
      </c>
      <c r="BF94">
        <f t="shared" si="126"/>
        <v>556.99</v>
      </c>
      <c r="BG94">
        <f t="shared" si="127"/>
        <v>0.44626355264548445</v>
      </c>
      <c r="BH94">
        <f t="shared" si="128"/>
        <v>0.52039394231206737</v>
      </c>
      <c r="BI94">
        <f t="shared" si="129"/>
        <v>0.8282237739527174</v>
      </c>
      <c r="BJ94">
        <f t="shared" si="130"/>
        <v>0.84502858524036972</v>
      </c>
      <c r="BK94">
        <f t="shared" si="131"/>
        <v>0.8867409391817016</v>
      </c>
      <c r="BL94">
        <f t="shared" si="132"/>
        <v>0.37532355043099791</v>
      </c>
      <c r="BM94">
        <f t="shared" si="133"/>
        <v>0.62467644956900203</v>
      </c>
      <c r="BN94">
        <v>9212</v>
      </c>
      <c r="BO94">
        <v>290.00000000000011</v>
      </c>
      <c r="BP94">
        <v>945.47</v>
      </c>
      <c r="BQ94">
        <v>295</v>
      </c>
      <c r="BR94">
        <v>10084.9</v>
      </c>
      <c r="BS94">
        <v>946.55</v>
      </c>
      <c r="BT94">
        <v>-1.08</v>
      </c>
      <c r="BU94">
        <v>300.00000000000011</v>
      </c>
      <c r="BV94">
        <v>24.2</v>
      </c>
      <c r="BW94">
        <v>1005.875633906759</v>
      </c>
      <c r="BX94">
        <v>2.053510345824288</v>
      </c>
      <c r="BY94">
        <v>-59.82501643412499</v>
      </c>
      <c r="BZ94">
        <v>1.8444563078226781</v>
      </c>
      <c r="CA94">
        <v>0.97407483985278787</v>
      </c>
      <c r="CB94">
        <v>-6.8943757508342649E-3</v>
      </c>
      <c r="CC94">
        <v>289.99999999999989</v>
      </c>
      <c r="CD94">
        <v>944.29</v>
      </c>
      <c r="CE94">
        <v>635</v>
      </c>
      <c r="CF94">
        <v>10069.9</v>
      </c>
      <c r="CG94">
        <v>946.47</v>
      </c>
      <c r="CH94">
        <v>-2.1800000000000002</v>
      </c>
      <c r="CV94">
        <f t="shared" si="134"/>
        <v>1799.91</v>
      </c>
      <c r="CW94">
        <f t="shared" si="135"/>
        <v>1513.108800631712</v>
      </c>
      <c r="CX94">
        <f t="shared" si="136"/>
        <v>0.84065803325261368</v>
      </c>
      <c r="CY94">
        <f t="shared" si="137"/>
        <v>0.19131606650522739</v>
      </c>
      <c r="CZ94">
        <v>6</v>
      </c>
      <c r="DA94">
        <v>0.5</v>
      </c>
      <c r="DB94" t="s">
        <v>418</v>
      </c>
      <c r="DC94">
        <v>2</v>
      </c>
      <c r="DD94">
        <v>1674593547</v>
      </c>
      <c r="DE94">
        <v>353.43299999999999</v>
      </c>
      <c r="DF94">
        <v>400.04</v>
      </c>
      <c r="DG94">
        <v>24.7242</v>
      </c>
      <c r="DH94">
        <v>17.214600000000001</v>
      </c>
      <c r="DI94">
        <v>351.80799999999999</v>
      </c>
      <c r="DJ94">
        <v>24.610299999999999</v>
      </c>
      <c r="DK94">
        <v>500.15300000000002</v>
      </c>
      <c r="DL94">
        <v>99.527699999999996</v>
      </c>
      <c r="DM94">
        <v>0.100035</v>
      </c>
      <c r="DN94">
        <v>28.001200000000001</v>
      </c>
      <c r="DO94">
        <v>27.570399999999999</v>
      </c>
      <c r="DP94">
        <v>999.9</v>
      </c>
      <c r="DQ94">
        <v>0</v>
      </c>
      <c r="DR94">
        <v>0</v>
      </c>
      <c r="DS94">
        <v>9999.3799999999992</v>
      </c>
      <c r="DT94">
        <v>0</v>
      </c>
      <c r="DU94">
        <v>321.64600000000002</v>
      </c>
      <c r="DV94">
        <v>-46.606999999999999</v>
      </c>
      <c r="DW94">
        <v>362.39299999999997</v>
      </c>
      <c r="DX94">
        <v>407.04700000000003</v>
      </c>
      <c r="DY94">
        <v>7.5096499999999997</v>
      </c>
      <c r="DZ94">
        <v>400.04</v>
      </c>
      <c r="EA94">
        <v>17.214600000000001</v>
      </c>
      <c r="EB94">
        <v>2.46075</v>
      </c>
      <c r="EC94">
        <v>1.71333</v>
      </c>
      <c r="ED94">
        <v>20.769200000000001</v>
      </c>
      <c r="EE94">
        <v>15.0177</v>
      </c>
      <c r="EF94">
        <v>1799.91</v>
      </c>
      <c r="EG94">
        <v>0.97800299999999996</v>
      </c>
      <c r="EH94">
        <v>2.19974E-2</v>
      </c>
      <c r="EI94">
        <v>0</v>
      </c>
      <c r="EJ94">
        <v>771.13400000000001</v>
      </c>
      <c r="EK94">
        <v>4.9990399999999999</v>
      </c>
      <c r="EL94">
        <v>14389.2</v>
      </c>
      <c r="EM94">
        <v>14819.9</v>
      </c>
      <c r="EN94">
        <v>48.25</v>
      </c>
      <c r="EO94">
        <v>49.75</v>
      </c>
      <c r="EP94">
        <v>49.25</v>
      </c>
      <c r="EQ94">
        <v>48.125</v>
      </c>
      <c r="ER94">
        <v>49.125</v>
      </c>
      <c r="ES94">
        <v>1755.43</v>
      </c>
      <c r="ET94">
        <v>39.479999999999997</v>
      </c>
      <c r="EU94">
        <v>0</v>
      </c>
      <c r="EV94">
        <v>187.39999985694891</v>
      </c>
      <c r="EW94">
        <v>0</v>
      </c>
      <c r="EX94">
        <v>772.2782692307693</v>
      </c>
      <c r="EY94">
        <v>-11.44447864436486</v>
      </c>
      <c r="EZ94">
        <v>-179.30256424888159</v>
      </c>
      <c r="FA94">
        <v>14412.80769230769</v>
      </c>
      <c r="FB94">
        <v>15</v>
      </c>
      <c r="FC94">
        <v>1674593452</v>
      </c>
      <c r="FD94" t="s">
        <v>817</v>
      </c>
      <c r="FE94">
        <v>1674593445</v>
      </c>
      <c r="FF94">
        <v>1674593452</v>
      </c>
      <c r="FG94">
        <v>89</v>
      </c>
      <c r="FH94">
        <v>0.16800000000000001</v>
      </c>
      <c r="FI94">
        <v>-1E-3</v>
      </c>
      <c r="FJ94">
        <v>1.7010000000000001</v>
      </c>
      <c r="FK94">
        <v>4.5999999999999999E-2</v>
      </c>
      <c r="FL94">
        <v>400</v>
      </c>
      <c r="FM94">
        <v>17</v>
      </c>
      <c r="FN94">
        <v>0.05</v>
      </c>
      <c r="FO94">
        <v>0.01</v>
      </c>
      <c r="FP94">
        <v>35.685042732627579</v>
      </c>
      <c r="FQ94">
        <v>4.6910451525538646</v>
      </c>
      <c r="FR94">
        <v>0.46406289778109561</v>
      </c>
      <c r="FS94">
        <v>0</v>
      </c>
      <c r="FT94">
        <v>0.55651935442718348</v>
      </c>
      <c r="FU94">
        <v>-1.400058741691906E-2</v>
      </c>
      <c r="FV94">
        <v>1.4297252629792709E-3</v>
      </c>
      <c r="FW94">
        <v>1</v>
      </c>
      <c r="FX94">
        <v>1</v>
      </c>
      <c r="FY94">
        <v>2</v>
      </c>
      <c r="FZ94" t="s">
        <v>459</v>
      </c>
      <c r="GA94">
        <v>2.93364</v>
      </c>
      <c r="GB94">
        <v>2.8334899999999998</v>
      </c>
      <c r="GC94">
        <v>8.1845399999999999E-2</v>
      </c>
      <c r="GD94">
        <v>8.86102E-2</v>
      </c>
      <c r="GE94">
        <v>0.121694</v>
      </c>
      <c r="GF94">
        <v>9.11888E-2</v>
      </c>
      <c r="GG94">
        <v>23779.599999999999</v>
      </c>
      <c r="GH94">
        <v>29738.9</v>
      </c>
      <c r="GI94">
        <v>23301.9</v>
      </c>
      <c r="GJ94">
        <v>29894.9</v>
      </c>
      <c r="GK94">
        <v>27846.400000000001</v>
      </c>
      <c r="GL94">
        <v>38638.199999999997</v>
      </c>
      <c r="GM94">
        <v>32892.5</v>
      </c>
      <c r="GN94">
        <v>44353.599999999999</v>
      </c>
      <c r="GO94">
        <v>1.9481999999999999</v>
      </c>
      <c r="GP94">
        <v>1.8393200000000001</v>
      </c>
      <c r="GQ94">
        <v>5.8375299999999998E-2</v>
      </c>
      <c r="GR94">
        <v>0</v>
      </c>
      <c r="GS94">
        <v>26.6159</v>
      </c>
      <c r="GT94">
        <v>999.9</v>
      </c>
      <c r="GU94">
        <v>47.9</v>
      </c>
      <c r="GV94">
        <v>35.4</v>
      </c>
      <c r="GW94">
        <v>27.790600000000001</v>
      </c>
      <c r="GX94">
        <v>61.505400000000002</v>
      </c>
      <c r="GY94">
        <v>36.209899999999998</v>
      </c>
      <c r="GZ94">
        <v>1</v>
      </c>
      <c r="HA94">
        <v>0.33300600000000002</v>
      </c>
      <c r="HB94">
        <v>2.1185200000000002</v>
      </c>
      <c r="HC94">
        <v>20.259499999999999</v>
      </c>
      <c r="HD94">
        <v>5.2098000000000004</v>
      </c>
      <c r="HE94">
        <v>11.872199999999999</v>
      </c>
      <c r="HF94">
        <v>4.98475</v>
      </c>
      <c r="HG94">
        <v>3.2839999999999998</v>
      </c>
      <c r="HH94">
        <v>9999</v>
      </c>
      <c r="HI94">
        <v>9999</v>
      </c>
      <c r="HJ94">
        <v>9999</v>
      </c>
      <c r="HK94">
        <v>999.9</v>
      </c>
      <c r="HL94">
        <v>1.8546800000000001</v>
      </c>
      <c r="HM94">
        <v>1.86069</v>
      </c>
      <c r="HN94">
        <v>1.85812</v>
      </c>
      <c r="HO94">
        <v>1.8592900000000001</v>
      </c>
      <c r="HP94">
        <v>1.85867</v>
      </c>
      <c r="HQ94">
        <v>1.8592599999999999</v>
      </c>
      <c r="HR94">
        <v>1.8575600000000001</v>
      </c>
      <c r="HS94">
        <v>1.8609500000000001</v>
      </c>
      <c r="HT94">
        <v>5</v>
      </c>
      <c r="HU94">
        <v>0</v>
      </c>
      <c r="HV94">
        <v>0</v>
      </c>
      <c r="HW94">
        <v>0</v>
      </c>
      <c r="HX94" t="s">
        <v>421</v>
      </c>
      <c r="HY94" t="s">
        <v>422</v>
      </c>
      <c r="HZ94" t="s">
        <v>423</v>
      </c>
      <c r="IA94" t="s">
        <v>423</v>
      </c>
      <c r="IB94" t="s">
        <v>423</v>
      </c>
      <c r="IC94" t="s">
        <v>423</v>
      </c>
      <c r="ID94">
        <v>0</v>
      </c>
      <c r="IE94">
        <v>100</v>
      </c>
      <c r="IF94">
        <v>100</v>
      </c>
      <c r="IG94">
        <v>1.625</v>
      </c>
      <c r="IH94">
        <v>0.1139</v>
      </c>
      <c r="II94">
        <v>1.048707184770082</v>
      </c>
      <c r="IJ94">
        <v>1.6187016317407189E-3</v>
      </c>
      <c r="IK94">
        <v>1.4341569744255341E-7</v>
      </c>
      <c r="IL94">
        <v>-2.4096625942085749E-10</v>
      </c>
      <c r="IM94">
        <v>0.1139616174655156</v>
      </c>
      <c r="IN94">
        <v>0</v>
      </c>
      <c r="IO94">
        <v>0</v>
      </c>
      <c r="IP94">
        <v>0</v>
      </c>
      <c r="IQ94">
        <v>4</v>
      </c>
      <c r="IR94">
        <v>2205</v>
      </c>
      <c r="IS94">
        <v>1</v>
      </c>
      <c r="IT94">
        <v>21</v>
      </c>
      <c r="IU94">
        <v>1.7</v>
      </c>
      <c r="IV94">
        <v>1.6</v>
      </c>
      <c r="IW94">
        <v>0.98754900000000001</v>
      </c>
      <c r="IX94">
        <v>2.4609399999999999</v>
      </c>
      <c r="IY94">
        <v>1.49414</v>
      </c>
      <c r="IZ94">
        <v>2.3046899999999999</v>
      </c>
      <c r="JA94">
        <v>1.69434</v>
      </c>
      <c r="JB94">
        <v>2.4108900000000002</v>
      </c>
      <c r="JC94">
        <v>39.316899999999997</v>
      </c>
      <c r="JD94">
        <v>23.9999</v>
      </c>
      <c r="JE94">
        <v>18</v>
      </c>
      <c r="JF94">
        <v>496.75299999999999</v>
      </c>
      <c r="JG94">
        <v>448.786</v>
      </c>
      <c r="JH94">
        <v>24.8018</v>
      </c>
      <c r="JI94">
        <v>31.512699999999999</v>
      </c>
      <c r="JJ94">
        <v>30.0002</v>
      </c>
      <c r="JK94">
        <v>31.438600000000001</v>
      </c>
      <c r="JL94">
        <v>31.409700000000001</v>
      </c>
      <c r="JM94">
        <v>19.853000000000002</v>
      </c>
      <c r="JN94">
        <v>44.388100000000001</v>
      </c>
      <c r="JO94">
        <v>0</v>
      </c>
      <c r="JP94">
        <v>24.799199999999999</v>
      </c>
      <c r="JQ94">
        <v>400</v>
      </c>
      <c r="JR94">
        <v>17.1889</v>
      </c>
      <c r="JS94">
        <v>99.082800000000006</v>
      </c>
      <c r="JT94">
        <v>99.606300000000005</v>
      </c>
    </row>
    <row r="95" spans="1:280" x14ac:dyDescent="0.25">
      <c r="A95">
        <v>79</v>
      </c>
      <c r="B95">
        <v>1674593736.5</v>
      </c>
      <c r="C95">
        <v>19683.900000095371</v>
      </c>
      <c r="D95" t="s">
        <v>818</v>
      </c>
      <c r="E95" t="s">
        <v>819</v>
      </c>
      <c r="F95" t="s">
        <v>412</v>
      </c>
      <c r="G95" t="s">
        <v>779</v>
      </c>
      <c r="H95" t="s">
        <v>493</v>
      </c>
      <c r="I95">
        <v>1674593736.5</v>
      </c>
      <c r="J95">
        <f t="shared" si="92"/>
        <v>6.1879301770523939E-3</v>
      </c>
      <c r="K95">
        <f t="shared" si="93"/>
        <v>6.1879301770523938</v>
      </c>
      <c r="L95">
        <f t="shared" si="94"/>
        <v>45.167558201672684</v>
      </c>
      <c r="M95">
        <f t="shared" si="95"/>
        <v>343.25400000000002</v>
      </c>
      <c r="N95">
        <f t="shared" si="96"/>
        <v>190.23807512829254</v>
      </c>
      <c r="O95">
        <f t="shared" si="97"/>
        <v>18.953260785500934</v>
      </c>
      <c r="P95">
        <f t="shared" si="98"/>
        <v>34.198109780489403</v>
      </c>
      <c r="Q95">
        <f t="shared" si="99"/>
        <v>0.53157711602878077</v>
      </c>
      <c r="R95">
        <f t="shared" si="100"/>
        <v>2.9265322256121156</v>
      </c>
      <c r="S95">
        <f t="shared" si="101"/>
        <v>0.48318267175352869</v>
      </c>
      <c r="T95">
        <f t="shared" si="102"/>
        <v>0.30596922572848934</v>
      </c>
      <c r="U95">
        <f t="shared" si="103"/>
        <v>344.34600126344492</v>
      </c>
      <c r="V95">
        <f t="shared" si="104"/>
        <v>28.417817251008298</v>
      </c>
      <c r="W95">
        <f t="shared" si="105"/>
        <v>27.565799999999999</v>
      </c>
      <c r="X95">
        <f t="shared" si="106"/>
        <v>3.6998373822263781</v>
      </c>
      <c r="Y95">
        <f t="shared" si="107"/>
        <v>64.928232251371469</v>
      </c>
      <c r="Z95">
        <f t="shared" si="108"/>
        <v>2.4633909093221598</v>
      </c>
      <c r="AA95">
        <f t="shared" si="109"/>
        <v>3.7940212198987222</v>
      </c>
      <c r="AB95">
        <f t="shared" si="110"/>
        <v>1.2364464729042184</v>
      </c>
      <c r="AC95">
        <f t="shared" si="111"/>
        <v>-272.88772080801056</v>
      </c>
      <c r="AD95">
        <f t="shared" si="112"/>
        <v>67.922225901970108</v>
      </c>
      <c r="AE95">
        <f t="shared" si="113"/>
        <v>5.0480243673867555</v>
      </c>
      <c r="AF95">
        <f t="shared" si="114"/>
        <v>144.42853072479122</v>
      </c>
      <c r="AG95">
        <v>0</v>
      </c>
      <c r="AH95">
        <v>0</v>
      </c>
      <c r="AI95">
        <f t="shared" si="115"/>
        <v>1</v>
      </c>
      <c r="AJ95">
        <f t="shared" si="116"/>
        <v>0</v>
      </c>
      <c r="AK95">
        <f t="shared" si="117"/>
        <v>52605.048627936412</v>
      </c>
      <c r="AL95" t="s">
        <v>415</v>
      </c>
      <c r="AM95">
        <v>10214.9</v>
      </c>
      <c r="AN95">
        <v>729.4384</v>
      </c>
      <c r="AO95">
        <v>3170.19</v>
      </c>
      <c r="AP95">
        <f t="shared" si="118"/>
        <v>0.76990704027203416</v>
      </c>
      <c r="AQ95">
        <v>-0.45549566560547827</v>
      </c>
      <c r="AR95" t="s">
        <v>820</v>
      </c>
      <c r="AS95">
        <v>10088.4</v>
      </c>
      <c r="AT95">
        <v>755.90027999999995</v>
      </c>
      <c r="AU95">
        <v>1037.91991734355</v>
      </c>
      <c r="AV95">
        <f t="shared" si="119"/>
        <v>0.27171618217458482</v>
      </c>
      <c r="AW95">
        <v>0.5</v>
      </c>
      <c r="AX95">
        <f t="shared" si="120"/>
        <v>1513.0836006317227</v>
      </c>
      <c r="AY95">
        <f t="shared" si="121"/>
        <v>45.167558201672684</v>
      </c>
      <c r="AZ95">
        <f t="shared" si="122"/>
        <v>205.56464963731295</v>
      </c>
      <c r="BA95">
        <f t="shared" si="123"/>
        <v>3.0152368215629475E-2</v>
      </c>
      <c r="BB95">
        <f t="shared" si="124"/>
        <v>2.0543685953284117</v>
      </c>
      <c r="BC95">
        <f t="shared" si="125"/>
        <v>495.30828059126418</v>
      </c>
      <c r="BD95" t="s">
        <v>821</v>
      </c>
      <c r="BE95">
        <v>559.94000000000005</v>
      </c>
      <c r="BF95">
        <f t="shared" si="126"/>
        <v>559.94000000000005</v>
      </c>
      <c r="BG95">
        <f t="shared" si="127"/>
        <v>0.46051714526000298</v>
      </c>
      <c r="BH95">
        <f t="shared" si="128"/>
        <v>0.59002403053023522</v>
      </c>
      <c r="BI95">
        <f t="shared" si="129"/>
        <v>0.81688347194960254</v>
      </c>
      <c r="BJ95">
        <f t="shared" si="130"/>
        <v>0.91421891260172372</v>
      </c>
      <c r="BK95">
        <f t="shared" si="131"/>
        <v>0.87361208025284098</v>
      </c>
      <c r="BL95">
        <f t="shared" si="132"/>
        <v>0.43706566116776668</v>
      </c>
      <c r="BM95">
        <f t="shared" si="133"/>
        <v>0.56293433883223332</v>
      </c>
      <c r="BN95">
        <v>9214</v>
      </c>
      <c r="BO95">
        <v>290.00000000000011</v>
      </c>
      <c r="BP95">
        <v>973.61</v>
      </c>
      <c r="BQ95">
        <v>255</v>
      </c>
      <c r="BR95">
        <v>10088.4</v>
      </c>
      <c r="BS95">
        <v>973.8</v>
      </c>
      <c r="BT95">
        <v>-0.19</v>
      </c>
      <c r="BU95">
        <v>300.00000000000011</v>
      </c>
      <c r="BV95">
        <v>24.2</v>
      </c>
      <c r="BW95">
        <v>1037.91991734355</v>
      </c>
      <c r="BX95">
        <v>1.9309765627165001</v>
      </c>
      <c r="BY95">
        <v>-64.685281539703411</v>
      </c>
      <c r="BZ95">
        <v>1.7344367258288109</v>
      </c>
      <c r="CA95">
        <v>0.98026631965742228</v>
      </c>
      <c r="CB95">
        <v>-6.8945735261401672E-3</v>
      </c>
      <c r="CC95">
        <v>289.99999999999989</v>
      </c>
      <c r="CD95">
        <v>973.56</v>
      </c>
      <c r="CE95">
        <v>705</v>
      </c>
      <c r="CF95">
        <v>10066.200000000001</v>
      </c>
      <c r="CG95">
        <v>973.66</v>
      </c>
      <c r="CH95">
        <v>-0.1</v>
      </c>
      <c r="CV95">
        <f t="shared" si="134"/>
        <v>1799.88</v>
      </c>
      <c r="CW95">
        <f t="shared" si="135"/>
        <v>1513.0836006317227</v>
      </c>
      <c r="CX95">
        <f t="shared" si="136"/>
        <v>0.84065804422057167</v>
      </c>
      <c r="CY95">
        <f t="shared" si="137"/>
        <v>0.19131608844114326</v>
      </c>
      <c r="CZ95">
        <v>6</v>
      </c>
      <c r="DA95">
        <v>0.5</v>
      </c>
      <c r="DB95" t="s">
        <v>418</v>
      </c>
      <c r="DC95">
        <v>2</v>
      </c>
      <c r="DD95">
        <v>1674593736.5</v>
      </c>
      <c r="DE95">
        <v>343.25400000000002</v>
      </c>
      <c r="DF95">
        <v>400.00299999999999</v>
      </c>
      <c r="DG95">
        <v>24.7256</v>
      </c>
      <c r="DH95">
        <v>17.483799999999999</v>
      </c>
      <c r="DI95">
        <v>341.69299999999998</v>
      </c>
      <c r="DJ95">
        <v>24.610099999999999</v>
      </c>
      <c r="DK95">
        <v>500.00799999999998</v>
      </c>
      <c r="DL95">
        <v>99.529499999999999</v>
      </c>
      <c r="DM95">
        <v>9.9666099999999994E-2</v>
      </c>
      <c r="DN95">
        <v>27.996300000000002</v>
      </c>
      <c r="DO95">
        <v>27.565799999999999</v>
      </c>
      <c r="DP95">
        <v>999.9</v>
      </c>
      <c r="DQ95">
        <v>0</v>
      </c>
      <c r="DR95">
        <v>0</v>
      </c>
      <c r="DS95">
        <v>10030</v>
      </c>
      <c r="DT95">
        <v>0</v>
      </c>
      <c r="DU95">
        <v>323.29300000000001</v>
      </c>
      <c r="DV95">
        <v>-56.7498</v>
      </c>
      <c r="DW95">
        <v>351.95600000000002</v>
      </c>
      <c r="DX95">
        <v>407.12200000000001</v>
      </c>
      <c r="DY95">
        <v>7.2417999999999996</v>
      </c>
      <c r="DZ95">
        <v>400.00299999999999</v>
      </c>
      <c r="EA95">
        <v>17.483799999999999</v>
      </c>
      <c r="EB95">
        <v>2.4609299999999998</v>
      </c>
      <c r="EC95">
        <v>1.7401500000000001</v>
      </c>
      <c r="ED95">
        <v>20.770399999999999</v>
      </c>
      <c r="EE95">
        <v>15.2593</v>
      </c>
      <c r="EF95">
        <v>1799.88</v>
      </c>
      <c r="EG95">
        <v>0.97800299999999996</v>
      </c>
      <c r="EH95">
        <v>2.19974E-2</v>
      </c>
      <c r="EI95">
        <v>0</v>
      </c>
      <c r="EJ95">
        <v>755.90499999999997</v>
      </c>
      <c r="EK95">
        <v>4.9990399999999999</v>
      </c>
      <c r="EL95">
        <v>14120.9</v>
      </c>
      <c r="EM95">
        <v>14819.7</v>
      </c>
      <c r="EN95">
        <v>48.25</v>
      </c>
      <c r="EO95">
        <v>49.75</v>
      </c>
      <c r="EP95">
        <v>49.186999999999998</v>
      </c>
      <c r="EQ95">
        <v>48.125</v>
      </c>
      <c r="ER95">
        <v>49.125</v>
      </c>
      <c r="ES95">
        <v>1755.4</v>
      </c>
      <c r="ET95">
        <v>39.479999999999997</v>
      </c>
      <c r="EU95">
        <v>0</v>
      </c>
      <c r="EV95">
        <v>187.39999985694891</v>
      </c>
      <c r="EW95">
        <v>0</v>
      </c>
      <c r="EX95">
        <v>755.90027999999995</v>
      </c>
      <c r="EY95">
        <v>-1.0230772552169729E-2</v>
      </c>
      <c r="EZ95">
        <v>2.5769231367626921</v>
      </c>
      <c r="FA95">
        <v>14121.58</v>
      </c>
      <c r="FB95">
        <v>15</v>
      </c>
      <c r="FC95">
        <v>1674593621</v>
      </c>
      <c r="FD95" t="s">
        <v>822</v>
      </c>
      <c r="FE95">
        <v>1674593617</v>
      </c>
      <c r="FF95">
        <v>1674593621</v>
      </c>
      <c r="FG95">
        <v>90</v>
      </c>
      <c r="FH95">
        <v>-4.9000000000000002E-2</v>
      </c>
      <c r="FI95">
        <v>2E-3</v>
      </c>
      <c r="FJ95">
        <v>1.653</v>
      </c>
      <c r="FK95">
        <v>5.6000000000000001E-2</v>
      </c>
      <c r="FL95">
        <v>400</v>
      </c>
      <c r="FM95">
        <v>17</v>
      </c>
      <c r="FN95">
        <v>0.08</v>
      </c>
      <c r="FO95">
        <v>0.02</v>
      </c>
      <c r="FP95">
        <v>45.035529172704571</v>
      </c>
      <c r="FQ95">
        <v>0.91749464009065973</v>
      </c>
      <c r="FR95">
        <v>9.0268106006528584E-2</v>
      </c>
      <c r="FS95">
        <v>0</v>
      </c>
      <c r="FT95">
        <v>0.53332898956947739</v>
      </c>
      <c r="FU95">
        <v>-1.1045423383009199E-2</v>
      </c>
      <c r="FV95">
        <v>1.294371426544962E-3</v>
      </c>
      <c r="FW95">
        <v>1</v>
      </c>
      <c r="FX95">
        <v>1</v>
      </c>
      <c r="FY95">
        <v>2</v>
      </c>
      <c r="FZ95" t="s">
        <v>459</v>
      </c>
      <c r="GA95">
        <v>2.9332400000000001</v>
      </c>
      <c r="GB95">
        <v>2.83338</v>
      </c>
      <c r="GC95">
        <v>7.9980200000000001E-2</v>
      </c>
      <c r="GD95">
        <v>8.8603399999999999E-2</v>
      </c>
      <c r="GE95">
        <v>0.12169000000000001</v>
      </c>
      <c r="GF95">
        <v>9.2200699999999997E-2</v>
      </c>
      <c r="GG95">
        <v>23827.3</v>
      </c>
      <c r="GH95">
        <v>29737</v>
      </c>
      <c r="GI95">
        <v>23301.4</v>
      </c>
      <c r="GJ95">
        <v>29892.799999999999</v>
      </c>
      <c r="GK95">
        <v>27846.1</v>
      </c>
      <c r="GL95">
        <v>38592.1</v>
      </c>
      <c r="GM95">
        <v>32892</v>
      </c>
      <c r="GN95">
        <v>44350.8</v>
      </c>
      <c r="GO95">
        <v>1.9477199999999999</v>
      </c>
      <c r="GP95">
        <v>1.83952</v>
      </c>
      <c r="GQ95">
        <v>6.0711099999999997E-2</v>
      </c>
      <c r="GR95">
        <v>0</v>
      </c>
      <c r="GS95">
        <v>26.5731</v>
      </c>
      <c r="GT95">
        <v>999.9</v>
      </c>
      <c r="GU95">
        <v>47.9</v>
      </c>
      <c r="GV95">
        <v>35.4</v>
      </c>
      <c r="GW95">
        <v>27.7925</v>
      </c>
      <c r="GX95">
        <v>61.1755</v>
      </c>
      <c r="GY95">
        <v>36.810899999999997</v>
      </c>
      <c r="GZ95">
        <v>1</v>
      </c>
      <c r="HA95">
        <v>0.33488800000000002</v>
      </c>
      <c r="HB95">
        <v>2.01193</v>
      </c>
      <c r="HC95">
        <v>20.2607</v>
      </c>
      <c r="HD95">
        <v>5.2093499999999997</v>
      </c>
      <c r="HE95">
        <v>11.872199999999999</v>
      </c>
      <c r="HF95">
        <v>4.9847999999999999</v>
      </c>
      <c r="HG95">
        <v>3.2839999999999998</v>
      </c>
      <c r="HH95">
        <v>9999</v>
      </c>
      <c r="HI95">
        <v>9999</v>
      </c>
      <c r="HJ95">
        <v>9999</v>
      </c>
      <c r="HK95">
        <v>999.9</v>
      </c>
      <c r="HL95">
        <v>1.85463</v>
      </c>
      <c r="HM95">
        <v>1.8607100000000001</v>
      </c>
      <c r="HN95">
        <v>1.85806</v>
      </c>
      <c r="HO95">
        <v>1.85928</v>
      </c>
      <c r="HP95">
        <v>1.85867</v>
      </c>
      <c r="HQ95">
        <v>1.8592200000000001</v>
      </c>
      <c r="HR95">
        <v>1.8575900000000001</v>
      </c>
      <c r="HS95">
        <v>1.8608899999999999</v>
      </c>
      <c r="HT95">
        <v>5</v>
      </c>
      <c r="HU95">
        <v>0</v>
      </c>
      <c r="HV95">
        <v>0</v>
      </c>
      <c r="HW95">
        <v>0</v>
      </c>
      <c r="HX95" t="s">
        <v>421</v>
      </c>
      <c r="HY95" t="s">
        <v>422</v>
      </c>
      <c r="HZ95" t="s">
        <v>423</v>
      </c>
      <c r="IA95" t="s">
        <v>423</v>
      </c>
      <c r="IB95" t="s">
        <v>423</v>
      </c>
      <c r="IC95" t="s">
        <v>423</v>
      </c>
      <c r="ID95">
        <v>0</v>
      </c>
      <c r="IE95">
        <v>100</v>
      </c>
      <c r="IF95">
        <v>100</v>
      </c>
      <c r="IG95">
        <v>1.5609999999999999</v>
      </c>
      <c r="IH95">
        <v>0.11550000000000001</v>
      </c>
      <c r="II95">
        <v>1.000146510214815</v>
      </c>
      <c r="IJ95">
        <v>1.6187016317407189E-3</v>
      </c>
      <c r="IK95">
        <v>1.4341569744255341E-7</v>
      </c>
      <c r="IL95">
        <v>-2.4096625942085749E-10</v>
      </c>
      <c r="IM95">
        <v>0.11554424718972971</v>
      </c>
      <c r="IN95">
        <v>0</v>
      </c>
      <c r="IO95">
        <v>0</v>
      </c>
      <c r="IP95">
        <v>0</v>
      </c>
      <c r="IQ95">
        <v>4</v>
      </c>
      <c r="IR95">
        <v>2205</v>
      </c>
      <c r="IS95">
        <v>1</v>
      </c>
      <c r="IT95">
        <v>21</v>
      </c>
      <c r="IU95">
        <v>2</v>
      </c>
      <c r="IV95">
        <v>1.9</v>
      </c>
      <c r="IW95">
        <v>0.98754900000000001</v>
      </c>
      <c r="IX95">
        <v>2.4694799999999999</v>
      </c>
      <c r="IY95">
        <v>1.49414</v>
      </c>
      <c r="IZ95">
        <v>2.3034699999999999</v>
      </c>
      <c r="JA95">
        <v>1.69434</v>
      </c>
      <c r="JB95">
        <v>2.4011200000000001</v>
      </c>
      <c r="JC95">
        <v>39.292000000000002</v>
      </c>
      <c r="JD95">
        <v>23.9999</v>
      </c>
      <c r="JE95">
        <v>18</v>
      </c>
      <c r="JF95">
        <v>496.61599999999999</v>
      </c>
      <c r="JG95">
        <v>449.09100000000001</v>
      </c>
      <c r="JH95">
        <v>24.849399999999999</v>
      </c>
      <c r="JI95">
        <v>31.5352</v>
      </c>
      <c r="JJ95">
        <v>30.0001</v>
      </c>
      <c r="JK95">
        <v>31.4588</v>
      </c>
      <c r="JL95">
        <v>31.4297</v>
      </c>
      <c r="JM95">
        <v>19.849799999999998</v>
      </c>
      <c r="JN95">
        <v>43.042200000000001</v>
      </c>
      <c r="JO95">
        <v>0</v>
      </c>
      <c r="JP95">
        <v>24.8506</v>
      </c>
      <c r="JQ95">
        <v>400</v>
      </c>
      <c r="JR95">
        <v>17.523800000000001</v>
      </c>
      <c r="JS95">
        <v>99.0809</v>
      </c>
      <c r="JT95">
        <v>99.599699999999999</v>
      </c>
    </row>
    <row r="96" spans="1:280" x14ac:dyDescent="0.25">
      <c r="A96">
        <v>80</v>
      </c>
      <c r="B96">
        <v>1674593847</v>
      </c>
      <c r="C96">
        <v>19794.400000095371</v>
      </c>
      <c r="D96" t="s">
        <v>823</v>
      </c>
      <c r="E96" t="s">
        <v>824</v>
      </c>
      <c r="F96" t="s">
        <v>412</v>
      </c>
      <c r="G96" t="s">
        <v>779</v>
      </c>
      <c r="H96" t="s">
        <v>493</v>
      </c>
      <c r="I96">
        <v>1674593847</v>
      </c>
      <c r="J96">
        <f t="shared" si="92"/>
        <v>6.1474563890600107E-3</v>
      </c>
      <c r="K96">
        <f t="shared" si="93"/>
        <v>6.1474563890600109</v>
      </c>
      <c r="L96">
        <f t="shared" si="94"/>
        <v>47.832371357738992</v>
      </c>
      <c r="M96">
        <f t="shared" si="95"/>
        <v>439.38299999999998</v>
      </c>
      <c r="N96">
        <f t="shared" si="96"/>
        <v>276.94688684870528</v>
      </c>
      <c r="O96">
        <f t="shared" si="97"/>
        <v>27.592804633295962</v>
      </c>
      <c r="P96">
        <f t="shared" si="98"/>
        <v>43.776658463810989</v>
      </c>
      <c r="Q96">
        <f t="shared" si="99"/>
        <v>0.53558352256833741</v>
      </c>
      <c r="R96">
        <f t="shared" si="100"/>
        <v>2.9182579836336604</v>
      </c>
      <c r="S96">
        <f t="shared" si="101"/>
        <v>0.4863673622666464</v>
      </c>
      <c r="T96">
        <f t="shared" si="102"/>
        <v>0.30802371318087368</v>
      </c>
      <c r="U96">
        <f t="shared" si="103"/>
        <v>344.34220126345895</v>
      </c>
      <c r="V96">
        <f t="shared" si="104"/>
        <v>28.431162835908143</v>
      </c>
      <c r="W96">
        <f t="shared" si="105"/>
        <v>27.569199999999999</v>
      </c>
      <c r="X96">
        <f t="shared" si="106"/>
        <v>3.7005731580393588</v>
      </c>
      <c r="Y96">
        <f t="shared" si="107"/>
        <v>65.36826342151231</v>
      </c>
      <c r="Z96">
        <f t="shared" si="108"/>
        <v>2.4803315895032996</v>
      </c>
      <c r="AA96">
        <f t="shared" si="109"/>
        <v>3.794397249792989</v>
      </c>
      <c r="AB96">
        <f t="shared" si="110"/>
        <v>1.2202415685360593</v>
      </c>
      <c r="AC96">
        <f t="shared" si="111"/>
        <v>-271.1028267575465</v>
      </c>
      <c r="AD96">
        <f t="shared" si="112"/>
        <v>67.462728548576919</v>
      </c>
      <c r="AE96">
        <f t="shared" si="113"/>
        <v>5.0282181050645756</v>
      </c>
      <c r="AF96">
        <f t="shared" si="114"/>
        <v>145.73032115955397</v>
      </c>
      <c r="AG96">
        <v>0</v>
      </c>
      <c r="AH96">
        <v>0</v>
      </c>
      <c r="AI96">
        <f t="shared" si="115"/>
        <v>1</v>
      </c>
      <c r="AJ96">
        <f t="shared" si="116"/>
        <v>0</v>
      </c>
      <c r="AK96">
        <f t="shared" si="117"/>
        <v>52367.085521603243</v>
      </c>
      <c r="AL96" t="s">
        <v>415</v>
      </c>
      <c r="AM96">
        <v>10214.9</v>
      </c>
      <c r="AN96">
        <v>729.4384</v>
      </c>
      <c r="AO96">
        <v>3170.19</v>
      </c>
      <c r="AP96">
        <f t="shared" si="118"/>
        <v>0.76990704027203416</v>
      </c>
      <c r="AQ96">
        <v>-0.45549566560547827</v>
      </c>
      <c r="AR96" t="s">
        <v>825</v>
      </c>
      <c r="AS96">
        <v>10086.1</v>
      </c>
      <c r="AT96">
        <v>755.94144000000017</v>
      </c>
      <c r="AU96">
        <v>1060.3787093940989</v>
      </c>
      <c r="AV96">
        <f t="shared" si="119"/>
        <v>0.28710239718793895</v>
      </c>
      <c r="AW96">
        <v>0.5</v>
      </c>
      <c r="AX96">
        <f t="shared" si="120"/>
        <v>1513.0668006317294</v>
      </c>
      <c r="AY96">
        <f t="shared" si="121"/>
        <v>47.832371357738992</v>
      </c>
      <c r="AZ96">
        <f t="shared" si="122"/>
        <v>217.20255278342739</v>
      </c>
      <c r="BA96">
        <f t="shared" si="123"/>
        <v>3.1913902944128783E-2</v>
      </c>
      <c r="BB96">
        <f t="shared" si="124"/>
        <v>1.9896771520539571</v>
      </c>
      <c r="BC96">
        <f t="shared" si="125"/>
        <v>500.36564938687542</v>
      </c>
      <c r="BD96" t="s">
        <v>826</v>
      </c>
      <c r="BE96">
        <v>560.02</v>
      </c>
      <c r="BF96">
        <f t="shared" si="126"/>
        <v>560.02</v>
      </c>
      <c r="BG96">
        <f t="shared" si="127"/>
        <v>0.47186793261815319</v>
      </c>
      <c r="BH96">
        <f t="shared" si="128"/>
        <v>0.60843803391121543</v>
      </c>
      <c r="BI96">
        <f t="shared" si="129"/>
        <v>0.80830416815989048</v>
      </c>
      <c r="BJ96">
        <f t="shared" si="130"/>
        <v>0.91991595085976929</v>
      </c>
      <c r="BK96">
        <f t="shared" si="131"/>
        <v>0.8644104916722789</v>
      </c>
      <c r="BL96">
        <f t="shared" si="132"/>
        <v>0.45074585109523663</v>
      </c>
      <c r="BM96">
        <f t="shared" si="133"/>
        <v>0.54925414890476332</v>
      </c>
      <c r="BN96">
        <v>9216</v>
      </c>
      <c r="BO96">
        <v>290.00000000000011</v>
      </c>
      <c r="BP96">
        <v>990.85</v>
      </c>
      <c r="BQ96">
        <v>275</v>
      </c>
      <c r="BR96">
        <v>10086.1</v>
      </c>
      <c r="BS96">
        <v>990.66</v>
      </c>
      <c r="BT96">
        <v>0.19</v>
      </c>
      <c r="BU96">
        <v>300.00000000000011</v>
      </c>
      <c r="BV96">
        <v>24.2</v>
      </c>
      <c r="BW96">
        <v>1060.3787093940989</v>
      </c>
      <c r="BX96">
        <v>1.8508905991234079</v>
      </c>
      <c r="BY96">
        <v>-70.321932457088792</v>
      </c>
      <c r="BZ96">
        <v>1.662496909215583</v>
      </c>
      <c r="CA96">
        <v>0.98459171481538699</v>
      </c>
      <c r="CB96">
        <v>-6.8946191323693076E-3</v>
      </c>
      <c r="CC96">
        <v>289.99999999999989</v>
      </c>
      <c r="CD96">
        <v>991.42</v>
      </c>
      <c r="CE96">
        <v>645</v>
      </c>
      <c r="CF96">
        <v>10069.5</v>
      </c>
      <c r="CG96">
        <v>990.54</v>
      </c>
      <c r="CH96">
        <v>0.88</v>
      </c>
      <c r="CV96">
        <f t="shared" si="134"/>
        <v>1799.86</v>
      </c>
      <c r="CW96">
        <f t="shared" si="135"/>
        <v>1513.0668006317294</v>
      </c>
      <c r="CX96">
        <f t="shared" si="136"/>
        <v>0.84065805153274664</v>
      </c>
      <c r="CY96">
        <f t="shared" si="137"/>
        <v>0.1913161030654934</v>
      </c>
      <c r="CZ96">
        <v>6</v>
      </c>
      <c r="DA96">
        <v>0.5</v>
      </c>
      <c r="DB96" t="s">
        <v>418</v>
      </c>
      <c r="DC96">
        <v>2</v>
      </c>
      <c r="DD96">
        <v>1674593847</v>
      </c>
      <c r="DE96">
        <v>439.38299999999998</v>
      </c>
      <c r="DF96">
        <v>500.024</v>
      </c>
      <c r="DG96">
        <v>24.8949</v>
      </c>
      <c r="DH96">
        <v>17.701499999999999</v>
      </c>
      <c r="DI96">
        <v>437.47</v>
      </c>
      <c r="DJ96">
        <v>24.780200000000001</v>
      </c>
      <c r="DK96">
        <v>499.99299999999999</v>
      </c>
      <c r="DL96">
        <v>99.531899999999993</v>
      </c>
      <c r="DM96">
        <v>0.100217</v>
      </c>
      <c r="DN96">
        <v>27.998000000000001</v>
      </c>
      <c r="DO96">
        <v>27.569199999999999</v>
      </c>
      <c r="DP96">
        <v>999.9</v>
      </c>
      <c r="DQ96">
        <v>0</v>
      </c>
      <c r="DR96">
        <v>0</v>
      </c>
      <c r="DS96">
        <v>9982.5</v>
      </c>
      <c r="DT96">
        <v>0</v>
      </c>
      <c r="DU96">
        <v>325.67700000000002</v>
      </c>
      <c r="DV96">
        <v>-60.640799999999999</v>
      </c>
      <c r="DW96">
        <v>450.601</v>
      </c>
      <c r="DX96">
        <v>509.03500000000003</v>
      </c>
      <c r="DY96">
        <v>7.19339</v>
      </c>
      <c r="DZ96">
        <v>500.024</v>
      </c>
      <c r="EA96">
        <v>17.701499999999999</v>
      </c>
      <c r="EB96">
        <v>2.47784</v>
      </c>
      <c r="EC96">
        <v>1.76187</v>
      </c>
      <c r="ED96">
        <v>20.881699999999999</v>
      </c>
      <c r="EE96">
        <v>15.452500000000001</v>
      </c>
      <c r="EF96">
        <v>1799.86</v>
      </c>
      <c r="EG96">
        <v>0.97800299999999996</v>
      </c>
      <c r="EH96">
        <v>2.19974E-2</v>
      </c>
      <c r="EI96">
        <v>0</v>
      </c>
      <c r="EJ96">
        <v>756.00300000000004</v>
      </c>
      <c r="EK96">
        <v>4.9990399999999999</v>
      </c>
      <c r="EL96">
        <v>14131.5</v>
      </c>
      <c r="EM96">
        <v>14819.5</v>
      </c>
      <c r="EN96">
        <v>48.25</v>
      </c>
      <c r="EO96">
        <v>49.75</v>
      </c>
      <c r="EP96">
        <v>49.25</v>
      </c>
      <c r="EQ96">
        <v>48.125</v>
      </c>
      <c r="ER96">
        <v>49.186999999999998</v>
      </c>
      <c r="ES96">
        <v>1755.38</v>
      </c>
      <c r="ET96">
        <v>39.479999999999997</v>
      </c>
      <c r="EU96">
        <v>0</v>
      </c>
      <c r="EV96">
        <v>108.7999999523163</v>
      </c>
      <c r="EW96">
        <v>0</v>
      </c>
      <c r="EX96">
        <v>755.94144000000017</v>
      </c>
      <c r="EY96">
        <v>1.844384625295318</v>
      </c>
      <c r="EZ96">
        <v>33.515384487670232</v>
      </c>
      <c r="FA96">
        <v>14129.172</v>
      </c>
      <c r="FB96">
        <v>15</v>
      </c>
      <c r="FC96">
        <v>1674593812.5</v>
      </c>
      <c r="FD96" t="s">
        <v>827</v>
      </c>
      <c r="FE96">
        <v>1674593811.5</v>
      </c>
      <c r="FF96">
        <v>1674593812.5</v>
      </c>
      <c r="FG96">
        <v>91</v>
      </c>
      <c r="FH96">
        <v>0.19800000000000001</v>
      </c>
      <c r="FI96">
        <v>-1E-3</v>
      </c>
      <c r="FJ96">
        <v>2.0099999999999998</v>
      </c>
      <c r="FK96">
        <v>0.06</v>
      </c>
      <c r="FL96">
        <v>500</v>
      </c>
      <c r="FM96">
        <v>18</v>
      </c>
      <c r="FN96">
        <v>0.05</v>
      </c>
      <c r="FO96">
        <v>0.02</v>
      </c>
      <c r="FP96">
        <v>47.866310674870348</v>
      </c>
      <c r="FQ96">
        <v>-0.50666986483281451</v>
      </c>
      <c r="FR96">
        <v>8.3315677173666655E-2</v>
      </c>
      <c r="FS96">
        <v>1</v>
      </c>
      <c r="FT96">
        <v>0.5387623713227716</v>
      </c>
      <c r="FU96">
        <v>-5.8182320454324213E-3</v>
      </c>
      <c r="FV96">
        <v>5.168479694788182E-3</v>
      </c>
      <c r="FW96">
        <v>1</v>
      </c>
      <c r="FX96">
        <v>2</v>
      </c>
      <c r="FY96">
        <v>2</v>
      </c>
      <c r="FZ96" t="s">
        <v>420</v>
      </c>
      <c r="GA96">
        <v>2.9332199999999999</v>
      </c>
      <c r="GB96">
        <v>2.83352</v>
      </c>
      <c r="GC96">
        <v>9.6772499999999997E-2</v>
      </c>
      <c r="GD96">
        <v>0.10473499999999999</v>
      </c>
      <c r="GE96">
        <v>0.122279</v>
      </c>
      <c r="GF96">
        <v>9.3018900000000002E-2</v>
      </c>
      <c r="GG96">
        <v>23393.4</v>
      </c>
      <c r="GH96">
        <v>29213.200000000001</v>
      </c>
      <c r="GI96">
        <v>23302.2</v>
      </c>
      <c r="GJ96">
        <v>29895.200000000001</v>
      </c>
      <c r="GK96">
        <v>27829.7</v>
      </c>
      <c r="GL96">
        <v>38560.300000000003</v>
      </c>
      <c r="GM96">
        <v>32894.5</v>
      </c>
      <c r="GN96">
        <v>44354.2</v>
      </c>
      <c r="GO96">
        <v>1.9473</v>
      </c>
      <c r="GP96">
        <v>1.8404</v>
      </c>
      <c r="GQ96">
        <v>6.45593E-2</v>
      </c>
      <c r="GR96">
        <v>0</v>
      </c>
      <c r="GS96">
        <v>26.513500000000001</v>
      </c>
      <c r="GT96">
        <v>999.9</v>
      </c>
      <c r="GU96">
        <v>47.9</v>
      </c>
      <c r="GV96">
        <v>35.4</v>
      </c>
      <c r="GW96">
        <v>27.788799999999998</v>
      </c>
      <c r="GX96">
        <v>61.295499999999997</v>
      </c>
      <c r="GY96">
        <v>36.859000000000002</v>
      </c>
      <c r="GZ96">
        <v>1</v>
      </c>
      <c r="HA96">
        <v>0.333125</v>
      </c>
      <c r="HB96">
        <v>2.0021599999999999</v>
      </c>
      <c r="HC96">
        <v>20.2608</v>
      </c>
      <c r="HD96">
        <v>5.2095000000000002</v>
      </c>
      <c r="HE96">
        <v>11.872199999999999</v>
      </c>
      <c r="HF96">
        <v>4.9843500000000001</v>
      </c>
      <c r="HG96">
        <v>3.2839999999999998</v>
      </c>
      <c r="HH96">
        <v>9999</v>
      </c>
      <c r="HI96">
        <v>9999</v>
      </c>
      <c r="HJ96">
        <v>9999</v>
      </c>
      <c r="HK96">
        <v>999.9</v>
      </c>
      <c r="HL96">
        <v>1.8546899999999999</v>
      </c>
      <c r="HM96">
        <v>1.86077</v>
      </c>
      <c r="HN96">
        <v>1.8581099999999999</v>
      </c>
      <c r="HO96">
        <v>1.8592900000000001</v>
      </c>
      <c r="HP96">
        <v>1.85867</v>
      </c>
      <c r="HQ96">
        <v>1.85928</v>
      </c>
      <c r="HR96">
        <v>1.8575999999999999</v>
      </c>
      <c r="HS96">
        <v>1.8609599999999999</v>
      </c>
      <c r="HT96">
        <v>5</v>
      </c>
      <c r="HU96">
        <v>0</v>
      </c>
      <c r="HV96">
        <v>0</v>
      </c>
      <c r="HW96">
        <v>0</v>
      </c>
      <c r="HX96" t="s">
        <v>421</v>
      </c>
      <c r="HY96" t="s">
        <v>422</v>
      </c>
      <c r="HZ96" t="s">
        <v>423</v>
      </c>
      <c r="IA96" t="s">
        <v>423</v>
      </c>
      <c r="IB96" t="s">
        <v>423</v>
      </c>
      <c r="IC96" t="s">
        <v>423</v>
      </c>
      <c r="ID96">
        <v>0</v>
      </c>
      <c r="IE96">
        <v>100</v>
      </c>
      <c r="IF96">
        <v>100</v>
      </c>
      <c r="IG96">
        <v>1.913</v>
      </c>
      <c r="IH96">
        <v>0.1147</v>
      </c>
      <c r="II96">
        <v>1.1977667105041629</v>
      </c>
      <c r="IJ96">
        <v>1.6187016317407189E-3</v>
      </c>
      <c r="IK96">
        <v>1.4341569744255341E-7</v>
      </c>
      <c r="IL96">
        <v>-2.4096625942085749E-10</v>
      </c>
      <c r="IM96">
        <v>0.1147182350413808</v>
      </c>
      <c r="IN96">
        <v>0</v>
      </c>
      <c r="IO96">
        <v>0</v>
      </c>
      <c r="IP96">
        <v>0</v>
      </c>
      <c r="IQ96">
        <v>4</v>
      </c>
      <c r="IR96">
        <v>2205</v>
      </c>
      <c r="IS96">
        <v>1</v>
      </c>
      <c r="IT96">
        <v>21</v>
      </c>
      <c r="IU96">
        <v>0.6</v>
      </c>
      <c r="IV96">
        <v>0.6</v>
      </c>
      <c r="IW96">
        <v>1.18408</v>
      </c>
      <c r="IX96">
        <v>2.4609399999999999</v>
      </c>
      <c r="IY96">
        <v>1.49414</v>
      </c>
      <c r="IZ96">
        <v>2.3034699999999999</v>
      </c>
      <c r="JA96">
        <v>1.69434</v>
      </c>
      <c r="JB96">
        <v>2.4108900000000002</v>
      </c>
      <c r="JC96">
        <v>39.292000000000002</v>
      </c>
      <c r="JD96">
        <v>23.9999</v>
      </c>
      <c r="JE96">
        <v>18</v>
      </c>
      <c r="JF96">
        <v>496.34500000000003</v>
      </c>
      <c r="JG96">
        <v>449.69499999999999</v>
      </c>
      <c r="JH96">
        <v>24.8461</v>
      </c>
      <c r="JI96">
        <v>31.5242</v>
      </c>
      <c r="JJ96">
        <v>30.0001</v>
      </c>
      <c r="JK96">
        <v>31.4588</v>
      </c>
      <c r="JL96">
        <v>31.428799999999999</v>
      </c>
      <c r="JM96">
        <v>23.7789</v>
      </c>
      <c r="JN96">
        <v>42.356400000000001</v>
      </c>
      <c r="JO96">
        <v>0</v>
      </c>
      <c r="JP96">
        <v>24.8505</v>
      </c>
      <c r="JQ96">
        <v>500</v>
      </c>
      <c r="JR96">
        <v>17.6524</v>
      </c>
      <c r="JS96">
        <v>99.0869</v>
      </c>
      <c r="JT96">
        <v>99.607500000000002</v>
      </c>
    </row>
    <row r="97" spans="1:280" x14ac:dyDescent="0.25">
      <c r="A97">
        <v>81</v>
      </c>
      <c r="B97">
        <v>1674593964.5</v>
      </c>
      <c r="C97">
        <v>19911.900000095371</v>
      </c>
      <c r="D97" t="s">
        <v>828</v>
      </c>
      <c r="E97" t="s">
        <v>829</v>
      </c>
      <c r="F97" t="s">
        <v>412</v>
      </c>
      <c r="G97" t="s">
        <v>779</v>
      </c>
      <c r="H97" t="s">
        <v>493</v>
      </c>
      <c r="I97">
        <v>1674593964.5</v>
      </c>
      <c r="J97">
        <f t="shared" si="92"/>
        <v>6.0466448141148722E-3</v>
      </c>
      <c r="K97">
        <f t="shared" si="93"/>
        <v>6.0466448141148721</v>
      </c>
      <c r="L97">
        <f t="shared" si="94"/>
        <v>48.470018271569508</v>
      </c>
      <c r="M97">
        <f t="shared" si="95"/>
        <v>537.91899999999998</v>
      </c>
      <c r="N97">
        <f t="shared" si="96"/>
        <v>367.46696771487387</v>
      </c>
      <c r="O97">
        <f t="shared" si="97"/>
        <v>36.612329424766614</v>
      </c>
      <c r="P97">
        <f t="shared" si="98"/>
        <v>53.595205452922293</v>
      </c>
      <c r="Q97">
        <f t="shared" si="99"/>
        <v>0.52118842409631672</v>
      </c>
      <c r="R97">
        <f t="shared" si="100"/>
        <v>2.9226841935117638</v>
      </c>
      <c r="S97">
        <f t="shared" si="101"/>
        <v>0.47452286452325199</v>
      </c>
      <c r="T97">
        <f t="shared" si="102"/>
        <v>0.30042054218009873</v>
      </c>
      <c r="U97">
        <f t="shared" si="103"/>
        <v>344.34220126345895</v>
      </c>
      <c r="V97">
        <f t="shared" si="104"/>
        <v>28.454809879142168</v>
      </c>
      <c r="W97">
        <f t="shared" si="105"/>
        <v>27.591699999999999</v>
      </c>
      <c r="X97">
        <f t="shared" si="106"/>
        <v>3.7054454819191673</v>
      </c>
      <c r="Y97">
        <f t="shared" si="107"/>
        <v>65.241311568686584</v>
      </c>
      <c r="Z97">
        <f t="shared" si="108"/>
        <v>2.4752259142872699</v>
      </c>
      <c r="AA97">
        <f t="shared" si="109"/>
        <v>3.7939548650571373</v>
      </c>
      <c r="AB97">
        <f t="shared" si="110"/>
        <v>1.2302195676318974</v>
      </c>
      <c r="AC97">
        <f t="shared" si="111"/>
        <v>-266.65703630246588</v>
      </c>
      <c r="AD97">
        <f t="shared" si="112"/>
        <v>63.704641422276971</v>
      </c>
      <c r="AE97">
        <f t="shared" si="113"/>
        <v>4.741409287552492</v>
      </c>
      <c r="AF97">
        <f t="shared" si="114"/>
        <v>146.13121567082251</v>
      </c>
      <c r="AG97">
        <v>0</v>
      </c>
      <c r="AH97">
        <v>0</v>
      </c>
      <c r="AI97">
        <f t="shared" si="115"/>
        <v>1</v>
      </c>
      <c r="AJ97">
        <f t="shared" si="116"/>
        <v>0</v>
      </c>
      <c r="AK97">
        <f t="shared" si="117"/>
        <v>52494.601842864198</v>
      </c>
      <c r="AL97" t="s">
        <v>415</v>
      </c>
      <c r="AM97">
        <v>10214.9</v>
      </c>
      <c r="AN97">
        <v>729.4384</v>
      </c>
      <c r="AO97">
        <v>3170.19</v>
      </c>
      <c r="AP97">
        <f t="shared" si="118"/>
        <v>0.76990704027203416</v>
      </c>
      <c r="AQ97">
        <v>-0.45549566560547827</v>
      </c>
      <c r="AR97" t="s">
        <v>830</v>
      </c>
      <c r="AS97">
        <v>10085.1</v>
      </c>
      <c r="AT97">
        <v>757.87572</v>
      </c>
      <c r="AU97">
        <v>1072.064952855113</v>
      </c>
      <c r="AV97">
        <f t="shared" si="119"/>
        <v>0.29306921378072037</v>
      </c>
      <c r="AW97">
        <v>0.5</v>
      </c>
      <c r="AX97">
        <f t="shared" si="120"/>
        <v>1513.0668006317294</v>
      </c>
      <c r="AY97">
        <f t="shared" si="121"/>
        <v>48.470018271569508</v>
      </c>
      <c r="AZ97">
        <f t="shared" si="122"/>
        <v>221.71664882942545</v>
      </c>
      <c r="BA97">
        <f t="shared" si="123"/>
        <v>3.2335329753285055E-2</v>
      </c>
      <c r="BB97">
        <f t="shared" si="124"/>
        <v>1.9570876200711353</v>
      </c>
      <c r="BC97">
        <f t="shared" si="125"/>
        <v>502.9527151954274</v>
      </c>
      <c r="BD97" t="s">
        <v>831</v>
      </c>
      <c r="BE97">
        <v>563.15</v>
      </c>
      <c r="BF97">
        <f t="shared" si="126"/>
        <v>563.15</v>
      </c>
      <c r="BG97">
        <f t="shared" si="127"/>
        <v>0.47470533525023428</v>
      </c>
      <c r="BH97">
        <f t="shared" si="128"/>
        <v>0.61737080251316956</v>
      </c>
      <c r="BI97">
        <f t="shared" si="129"/>
        <v>0.80479204275534211</v>
      </c>
      <c r="BJ97">
        <f t="shared" si="130"/>
        <v>0.91700199601276866</v>
      </c>
      <c r="BK97">
        <f t="shared" si="131"/>
        <v>0.8596225224823727</v>
      </c>
      <c r="BL97">
        <f t="shared" si="132"/>
        <v>0.45874588439815889</v>
      </c>
      <c r="BM97">
        <f t="shared" si="133"/>
        <v>0.54125411560184111</v>
      </c>
      <c r="BN97">
        <v>9218</v>
      </c>
      <c r="BO97">
        <v>290.00000000000011</v>
      </c>
      <c r="BP97">
        <v>998.7</v>
      </c>
      <c r="BQ97">
        <v>295</v>
      </c>
      <c r="BR97">
        <v>10085.1</v>
      </c>
      <c r="BS97">
        <v>998.71</v>
      </c>
      <c r="BT97">
        <v>-0.01</v>
      </c>
      <c r="BU97">
        <v>300.00000000000011</v>
      </c>
      <c r="BV97">
        <v>24.2</v>
      </c>
      <c r="BW97">
        <v>1072.064952855113</v>
      </c>
      <c r="BX97">
        <v>1.9460645627767741</v>
      </c>
      <c r="BY97">
        <v>-73.981100519906718</v>
      </c>
      <c r="BZ97">
        <v>1.747998526333729</v>
      </c>
      <c r="CA97">
        <v>0.98460915549294237</v>
      </c>
      <c r="CB97">
        <v>-6.8946958843159106E-3</v>
      </c>
      <c r="CC97">
        <v>289.99999999999989</v>
      </c>
      <c r="CD97">
        <v>997.99</v>
      </c>
      <c r="CE97">
        <v>685</v>
      </c>
      <c r="CF97">
        <v>10067.299999999999</v>
      </c>
      <c r="CG97">
        <v>998.58</v>
      </c>
      <c r="CH97">
        <v>-0.59</v>
      </c>
      <c r="CV97">
        <f t="shared" si="134"/>
        <v>1799.86</v>
      </c>
      <c r="CW97">
        <f t="shared" si="135"/>
        <v>1513.0668006317294</v>
      </c>
      <c r="CX97">
        <f t="shared" si="136"/>
        <v>0.84065805153274664</v>
      </c>
      <c r="CY97">
        <f t="shared" si="137"/>
        <v>0.1913161030654934</v>
      </c>
      <c r="CZ97">
        <v>6</v>
      </c>
      <c r="DA97">
        <v>0.5</v>
      </c>
      <c r="DB97" t="s">
        <v>418</v>
      </c>
      <c r="DC97">
        <v>2</v>
      </c>
      <c r="DD97">
        <v>1674593964.5</v>
      </c>
      <c r="DE97">
        <v>537.91899999999998</v>
      </c>
      <c r="DF97">
        <v>599.97199999999998</v>
      </c>
      <c r="DG97">
        <v>24.8431</v>
      </c>
      <c r="DH97">
        <v>17.768999999999998</v>
      </c>
      <c r="DI97">
        <v>535.70100000000002</v>
      </c>
      <c r="DJ97">
        <v>24.727399999999999</v>
      </c>
      <c r="DK97">
        <v>500.11399999999998</v>
      </c>
      <c r="DL97">
        <v>99.534499999999994</v>
      </c>
      <c r="DM97">
        <v>9.9841700000000005E-2</v>
      </c>
      <c r="DN97">
        <v>27.995999999999999</v>
      </c>
      <c r="DO97">
        <v>27.591699999999999</v>
      </c>
      <c r="DP97">
        <v>999.9</v>
      </c>
      <c r="DQ97">
        <v>0</v>
      </c>
      <c r="DR97">
        <v>0</v>
      </c>
      <c r="DS97">
        <v>10007.5</v>
      </c>
      <c r="DT97">
        <v>0</v>
      </c>
      <c r="DU97">
        <v>325.87799999999999</v>
      </c>
      <c r="DV97">
        <v>-62.052399999999999</v>
      </c>
      <c r="DW97">
        <v>551.62300000000005</v>
      </c>
      <c r="DX97">
        <v>610.82600000000002</v>
      </c>
      <c r="DY97">
        <v>7.0740600000000002</v>
      </c>
      <c r="DZ97">
        <v>599.97199999999998</v>
      </c>
      <c r="EA97">
        <v>17.768999999999998</v>
      </c>
      <c r="EB97">
        <v>2.4727399999999999</v>
      </c>
      <c r="EC97">
        <v>1.7686299999999999</v>
      </c>
      <c r="ED97">
        <v>20.848199999999999</v>
      </c>
      <c r="EE97">
        <v>15.5123</v>
      </c>
      <c r="EF97">
        <v>1799.86</v>
      </c>
      <c r="EG97">
        <v>0.97800299999999996</v>
      </c>
      <c r="EH97">
        <v>2.19974E-2</v>
      </c>
      <c r="EI97">
        <v>0</v>
      </c>
      <c r="EJ97">
        <v>758.00400000000002</v>
      </c>
      <c r="EK97">
        <v>4.9990399999999999</v>
      </c>
      <c r="EL97">
        <v>14165.4</v>
      </c>
      <c r="EM97">
        <v>14819.5</v>
      </c>
      <c r="EN97">
        <v>48.25</v>
      </c>
      <c r="EO97">
        <v>49.686999999999998</v>
      </c>
      <c r="EP97">
        <v>49.186999999999998</v>
      </c>
      <c r="EQ97">
        <v>48.061999999999998</v>
      </c>
      <c r="ER97">
        <v>49.125</v>
      </c>
      <c r="ES97">
        <v>1755.38</v>
      </c>
      <c r="ET97">
        <v>39.479999999999997</v>
      </c>
      <c r="EU97">
        <v>0</v>
      </c>
      <c r="EV97">
        <v>115.7999999523163</v>
      </c>
      <c r="EW97">
        <v>0</v>
      </c>
      <c r="EX97">
        <v>757.87572</v>
      </c>
      <c r="EY97">
        <v>1.932153844360436</v>
      </c>
      <c r="EZ97">
        <v>29.453846101436501</v>
      </c>
      <c r="FA97">
        <v>14163.3</v>
      </c>
      <c r="FB97">
        <v>15</v>
      </c>
      <c r="FC97">
        <v>1674593926.5</v>
      </c>
      <c r="FD97" t="s">
        <v>832</v>
      </c>
      <c r="FE97">
        <v>1674593919.5</v>
      </c>
      <c r="FF97">
        <v>1674593926.5</v>
      </c>
      <c r="FG97">
        <v>92</v>
      </c>
      <c r="FH97">
        <v>0.14899999999999999</v>
      </c>
      <c r="FI97">
        <v>1E-3</v>
      </c>
      <c r="FJ97">
        <v>2.3140000000000001</v>
      </c>
      <c r="FK97">
        <v>6.3E-2</v>
      </c>
      <c r="FL97">
        <v>600</v>
      </c>
      <c r="FM97">
        <v>18</v>
      </c>
      <c r="FN97">
        <v>0.08</v>
      </c>
      <c r="FO97">
        <v>0.01</v>
      </c>
      <c r="FP97">
        <v>48.561400310053628</v>
      </c>
      <c r="FQ97">
        <v>-0.62558204337953371</v>
      </c>
      <c r="FR97">
        <v>7.3091579802589346E-2</v>
      </c>
      <c r="FS97">
        <v>1</v>
      </c>
      <c r="FT97">
        <v>0.52677158764494492</v>
      </c>
      <c r="FU97">
        <v>-2.2160194045916942E-2</v>
      </c>
      <c r="FV97">
        <v>2.830288426576759E-3</v>
      </c>
      <c r="FW97">
        <v>1</v>
      </c>
      <c r="FX97">
        <v>2</v>
      </c>
      <c r="FY97">
        <v>2</v>
      </c>
      <c r="FZ97" t="s">
        <v>420</v>
      </c>
      <c r="GA97">
        <v>2.9335599999999999</v>
      </c>
      <c r="GB97">
        <v>2.8333599999999999</v>
      </c>
      <c r="GC97">
        <v>0.112315</v>
      </c>
      <c r="GD97">
        <v>0.119379</v>
      </c>
      <c r="GE97">
        <v>0.12210500000000001</v>
      </c>
      <c r="GF97">
        <v>9.3276899999999996E-2</v>
      </c>
      <c r="GG97">
        <v>22992.3</v>
      </c>
      <c r="GH97">
        <v>28737</v>
      </c>
      <c r="GI97">
        <v>23303.5</v>
      </c>
      <c r="GJ97">
        <v>29896.9</v>
      </c>
      <c r="GK97">
        <v>27836.5</v>
      </c>
      <c r="GL97">
        <v>38551.599999999999</v>
      </c>
      <c r="GM97">
        <v>32895.800000000003</v>
      </c>
      <c r="GN97">
        <v>44356.4</v>
      </c>
      <c r="GO97">
        <v>1.9480200000000001</v>
      </c>
      <c r="GP97">
        <v>1.84135</v>
      </c>
      <c r="GQ97">
        <v>6.6138799999999998E-2</v>
      </c>
      <c r="GR97">
        <v>0</v>
      </c>
      <c r="GS97">
        <v>26.510200000000001</v>
      </c>
      <c r="GT97">
        <v>999.9</v>
      </c>
      <c r="GU97">
        <v>47.8</v>
      </c>
      <c r="GV97">
        <v>35.4</v>
      </c>
      <c r="GW97">
        <v>27.732199999999999</v>
      </c>
      <c r="GX97">
        <v>61.625500000000002</v>
      </c>
      <c r="GY97">
        <v>36.093800000000002</v>
      </c>
      <c r="GZ97">
        <v>1</v>
      </c>
      <c r="HA97">
        <v>0.33115600000000001</v>
      </c>
      <c r="HB97">
        <v>2.0220899999999999</v>
      </c>
      <c r="HC97">
        <v>20.260100000000001</v>
      </c>
      <c r="HD97">
        <v>5.20756</v>
      </c>
      <c r="HE97">
        <v>11.872199999999999</v>
      </c>
      <c r="HF97">
        <v>4.9842500000000003</v>
      </c>
      <c r="HG97">
        <v>3.2832300000000001</v>
      </c>
      <c r="HH97">
        <v>9999</v>
      </c>
      <c r="HI97">
        <v>9999</v>
      </c>
      <c r="HJ97">
        <v>9999</v>
      </c>
      <c r="HK97">
        <v>999.9</v>
      </c>
      <c r="HL97">
        <v>1.8547</v>
      </c>
      <c r="HM97">
        <v>1.86077</v>
      </c>
      <c r="HN97">
        <v>1.8581399999999999</v>
      </c>
      <c r="HO97">
        <v>1.8593200000000001</v>
      </c>
      <c r="HP97">
        <v>1.8586800000000001</v>
      </c>
      <c r="HQ97">
        <v>1.8592599999999999</v>
      </c>
      <c r="HR97">
        <v>1.8575999999999999</v>
      </c>
      <c r="HS97">
        <v>1.8609500000000001</v>
      </c>
      <c r="HT97">
        <v>5</v>
      </c>
      <c r="HU97">
        <v>0</v>
      </c>
      <c r="HV97">
        <v>0</v>
      </c>
      <c r="HW97">
        <v>0</v>
      </c>
      <c r="HX97" t="s">
        <v>421</v>
      </c>
      <c r="HY97" t="s">
        <v>422</v>
      </c>
      <c r="HZ97" t="s">
        <v>423</v>
      </c>
      <c r="IA97" t="s">
        <v>423</v>
      </c>
      <c r="IB97" t="s">
        <v>423</v>
      </c>
      <c r="IC97" t="s">
        <v>423</v>
      </c>
      <c r="ID97">
        <v>0</v>
      </c>
      <c r="IE97">
        <v>100</v>
      </c>
      <c r="IF97">
        <v>100</v>
      </c>
      <c r="IG97">
        <v>2.218</v>
      </c>
      <c r="IH97">
        <v>0.1157</v>
      </c>
      <c r="II97">
        <v>1.3468246133284141</v>
      </c>
      <c r="IJ97">
        <v>1.6187016317407189E-3</v>
      </c>
      <c r="IK97">
        <v>1.4341569744255341E-7</v>
      </c>
      <c r="IL97">
        <v>-2.4096625942085749E-10</v>
      </c>
      <c r="IM97">
        <v>0.11565731736149661</v>
      </c>
      <c r="IN97">
        <v>0</v>
      </c>
      <c r="IO97">
        <v>0</v>
      </c>
      <c r="IP97">
        <v>0</v>
      </c>
      <c r="IQ97">
        <v>4</v>
      </c>
      <c r="IR97">
        <v>2205</v>
      </c>
      <c r="IS97">
        <v>1</v>
      </c>
      <c r="IT97">
        <v>21</v>
      </c>
      <c r="IU97">
        <v>0.8</v>
      </c>
      <c r="IV97">
        <v>0.6</v>
      </c>
      <c r="IW97">
        <v>1.3757299999999999</v>
      </c>
      <c r="IX97">
        <v>2.4548299999999998</v>
      </c>
      <c r="IY97">
        <v>1.49414</v>
      </c>
      <c r="IZ97">
        <v>2.3046899999999999</v>
      </c>
      <c r="JA97">
        <v>1.69434</v>
      </c>
      <c r="JB97">
        <v>2.31812</v>
      </c>
      <c r="JC97">
        <v>39.292000000000002</v>
      </c>
      <c r="JD97">
        <v>23.991199999999999</v>
      </c>
      <c r="JE97">
        <v>18</v>
      </c>
      <c r="JF97">
        <v>496.673</v>
      </c>
      <c r="JG97">
        <v>450.22300000000001</v>
      </c>
      <c r="JH97">
        <v>24.852900000000002</v>
      </c>
      <c r="JI97">
        <v>31.496600000000001</v>
      </c>
      <c r="JJ97">
        <v>30</v>
      </c>
      <c r="JK97">
        <v>31.442299999999999</v>
      </c>
      <c r="JL97">
        <v>31.412500000000001</v>
      </c>
      <c r="JM97">
        <v>27.6004</v>
      </c>
      <c r="JN97">
        <v>41.869100000000003</v>
      </c>
      <c r="JO97">
        <v>0</v>
      </c>
      <c r="JP97">
        <v>24.849799999999998</v>
      </c>
      <c r="JQ97">
        <v>600</v>
      </c>
      <c r="JR97">
        <v>17.7303</v>
      </c>
      <c r="JS97">
        <v>99.091300000000004</v>
      </c>
      <c r="JT97">
        <v>99.612700000000004</v>
      </c>
    </row>
    <row r="98" spans="1:280" x14ac:dyDescent="0.25">
      <c r="A98">
        <v>82</v>
      </c>
      <c r="B98">
        <v>1674594081.5999999</v>
      </c>
      <c r="C98">
        <v>20029</v>
      </c>
      <c r="D98" t="s">
        <v>833</v>
      </c>
      <c r="E98" t="s">
        <v>834</v>
      </c>
      <c r="F98" t="s">
        <v>412</v>
      </c>
      <c r="G98" t="s">
        <v>779</v>
      </c>
      <c r="H98" t="s">
        <v>493</v>
      </c>
      <c r="I98">
        <v>1674594081.5999999</v>
      </c>
      <c r="J98">
        <f t="shared" si="92"/>
        <v>5.9688176213196845E-3</v>
      </c>
      <c r="K98">
        <f t="shared" si="93"/>
        <v>5.9688176213196842</v>
      </c>
      <c r="L98">
        <f t="shared" si="94"/>
        <v>48.197122800233394</v>
      </c>
      <c r="M98">
        <f t="shared" si="95"/>
        <v>736.88199999999995</v>
      </c>
      <c r="N98">
        <f t="shared" si="96"/>
        <v>560.72516748166458</v>
      </c>
      <c r="O98">
        <f t="shared" si="97"/>
        <v>55.87189825484419</v>
      </c>
      <c r="P98">
        <f t="shared" si="98"/>
        <v>73.424555410511985</v>
      </c>
      <c r="Q98">
        <f t="shared" si="99"/>
        <v>0.51214925444064319</v>
      </c>
      <c r="R98">
        <f t="shared" si="100"/>
        <v>2.9201922600773984</v>
      </c>
      <c r="S98">
        <f t="shared" si="101"/>
        <v>0.46697847198670911</v>
      </c>
      <c r="T98">
        <f t="shared" si="102"/>
        <v>0.29558724642838574</v>
      </c>
      <c r="U98">
        <f t="shared" si="103"/>
        <v>344.40300126323439</v>
      </c>
      <c r="V98">
        <f t="shared" si="104"/>
        <v>28.478019452439387</v>
      </c>
      <c r="W98">
        <f t="shared" si="105"/>
        <v>27.601600000000001</v>
      </c>
      <c r="X98">
        <f t="shared" si="106"/>
        <v>3.7075910772831651</v>
      </c>
      <c r="Y98">
        <f t="shared" si="107"/>
        <v>65.187155563063371</v>
      </c>
      <c r="Z98">
        <f t="shared" si="108"/>
        <v>2.4734884773191999</v>
      </c>
      <c r="AA98">
        <f t="shared" si="109"/>
        <v>3.7944414907416801</v>
      </c>
      <c r="AB98">
        <f t="shared" si="110"/>
        <v>1.2341025999639652</v>
      </c>
      <c r="AC98">
        <f t="shared" si="111"/>
        <v>-263.22485710019811</v>
      </c>
      <c r="AD98">
        <f t="shared" si="112"/>
        <v>62.438088472691</v>
      </c>
      <c r="AE98">
        <f t="shared" si="113"/>
        <v>4.6513884743836922</v>
      </c>
      <c r="AF98">
        <f t="shared" si="114"/>
        <v>148.26762111011095</v>
      </c>
      <c r="AG98">
        <v>0</v>
      </c>
      <c r="AH98">
        <v>0</v>
      </c>
      <c r="AI98">
        <f t="shared" si="115"/>
        <v>1</v>
      </c>
      <c r="AJ98">
        <f t="shared" si="116"/>
        <v>0</v>
      </c>
      <c r="AK98">
        <f t="shared" si="117"/>
        <v>52422.8046054609</v>
      </c>
      <c r="AL98" t="s">
        <v>415</v>
      </c>
      <c r="AM98">
        <v>10214.9</v>
      </c>
      <c r="AN98">
        <v>729.4384</v>
      </c>
      <c r="AO98">
        <v>3170.19</v>
      </c>
      <c r="AP98">
        <f t="shared" si="118"/>
        <v>0.76990704027203416</v>
      </c>
      <c r="AQ98">
        <v>-0.45549566560547827</v>
      </c>
      <c r="AR98" t="s">
        <v>835</v>
      </c>
      <c r="AS98">
        <v>10089.700000000001</v>
      </c>
      <c r="AT98">
        <v>760.43679999999995</v>
      </c>
      <c r="AU98">
        <v>1080.056268852667</v>
      </c>
      <c r="AV98">
        <f t="shared" si="119"/>
        <v>0.29592853453107182</v>
      </c>
      <c r="AW98">
        <v>0.5</v>
      </c>
      <c r="AX98">
        <f t="shared" si="120"/>
        <v>1513.3356006316171</v>
      </c>
      <c r="AY98">
        <f t="shared" si="121"/>
        <v>48.197122800233394</v>
      </c>
      <c r="AZ98">
        <f t="shared" si="122"/>
        <v>223.91959327430692</v>
      </c>
      <c r="BA98">
        <f t="shared" si="123"/>
        <v>3.2149259189787678E-2</v>
      </c>
      <c r="BB98">
        <f t="shared" si="124"/>
        <v>1.9352081844473354</v>
      </c>
      <c r="BC98">
        <f t="shared" si="125"/>
        <v>504.70463925680667</v>
      </c>
      <c r="BD98" t="s">
        <v>836</v>
      </c>
      <c r="BE98">
        <v>563.20000000000005</v>
      </c>
      <c r="BF98">
        <f t="shared" si="126"/>
        <v>563.20000000000005</v>
      </c>
      <c r="BG98">
        <f t="shared" si="127"/>
        <v>0.47854568669993303</v>
      </c>
      <c r="BH98">
        <f t="shared" si="128"/>
        <v>0.61839139450154668</v>
      </c>
      <c r="BI98">
        <f t="shared" si="129"/>
        <v>0.80174213600640321</v>
      </c>
      <c r="BJ98">
        <f t="shared" si="130"/>
        <v>0.91158921790998115</v>
      </c>
      <c r="BK98">
        <f t="shared" si="131"/>
        <v>0.8563484015117856</v>
      </c>
      <c r="BL98">
        <f t="shared" si="132"/>
        <v>0.45799734229494304</v>
      </c>
      <c r="BM98">
        <f t="shared" si="133"/>
        <v>0.54200265770505696</v>
      </c>
      <c r="BN98">
        <v>9220</v>
      </c>
      <c r="BO98">
        <v>290.00000000000011</v>
      </c>
      <c r="BP98">
        <v>1003.87</v>
      </c>
      <c r="BQ98">
        <v>245</v>
      </c>
      <c r="BR98">
        <v>10089.700000000001</v>
      </c>
      <c r="BS98">
        <v>1003.62</v>
      </c>
      <c r="BT98">
        <v>0.25</v>
      </c>
      <c r="BU98">
        <v>300.00000000000011</v>
      </c>
      <c r="BV98">
        <v>24.2</v>
      </c>
      <c r="BW98">
        <v>1080.056268852667</v>
      </c>
      <c r="BX98">
        <v>1.674415252901015</v>
      </c>
      <c r="BY98">
        <v>-77.120912524877383</v>
      </c>
      <c r="BZ98">
        <v>1.504002225252189</v>
      </c>
      <c r="CA98">
        <v>0.98946316208162433</v>
      </c>
      <c r="CB98">
        <v>-6.8946593993326009E-3</v>
      </c>
      <c r="CC98">
        <v>289.99999999999989</v>
      </c>
      <c r="CD98">
        <v>1003.62</v>
      </c>
      <c r="CE98">
        <v>675</v>
      </c>
      <c r="CF98">
        <v>10067.9</v>
      </c>
      <c r="CG98">
        <v>1003.46</v>
      </c>
      <c r="CH98">
        <v>0.16</v>
      </c>
      <c r="CV98">
        <f t="shared" si="134"/>
        <v>1800.18</v>
      </c>
      <c r="CW98">
        <f t="shared" si="135"/>
        <v>1513.3356006316171</v>
      </c>
      <c r="CX98">
        <f t="shared" si="136"/>
        <v>0.84065793455744264</v>
      </c>
      <c r="CY98">
        <f t="shared" si="137"/>
        <v>0.19131586911488538</v>
      </c>
      <c r="CZ98">
        <v>6</v>
      </c>
      <c r="DA98">
        <v>0.5</v>
      </c>
      <c r="DB98" t="s">
        <v>418</v>
      </c>
      <c r="DC98">
        <v>2</v>
      </c>
      <c r="DD98">
        <v>1674594081.5999999</v>
      </c>
      <c r="DE98">
        <v>736.88199999999995</v>
      </c>
      <c r="DF98">
        <v>799.99400000000003</v>
      </c>
      <c r="DG98">
        <v>24.823699999999999</v>
      </c>
      <c r="DH98">
        <v>17.839200000000002</v>
      </c>
      <c r="DI98">
        <v>733.96500000000003</v>
      </c>
      <c r="DJ98">
        <v>24.7102</v>
      </c>
      <c r="DK98">
        <v>500.02</v>
      </c>
      <c r="DL98">
        <v>99.542199999999994</v>
      </c>
      <c r="DM98">
        <v>0.10001599999999999</v>
      </c>
      <c r="DN98">
        <v>27.998200000000001</v>
      </c>
      <c r="DO98">
        <v>27.601600000000001</v>
      </c>
      <c r="DP98">
        <v>999.9</v>
      </c>
      <c r="DQ98">
        <v>0</v>
      </c>
      <c r="DR98">
        <v>0</v>
      </c>
      <c r="DS98">
        <v>9992.5</v>
      </c>
      <c r="DT98">
        <v>0</v>
      </c>
      <c r="DU98">
        <v>323.19499999999999</v>
      </c>
      <c r="DV98">
        <v>-63.111800000000002</v>
      </c>
      <c r="DW98">
        <v>755.64</v>
      </c>
      <c r="DX98">
        <v>814.524</v>
      </c>
      <c r="DY98">
        <v>6.98447</v>
      </c>
      <c r="DZ98">
        <v>799.99400000000003</v>
      </c>
      <c r="EA98">
        <v>17.839200000000002</v>
      </c>
      <c r="EB98">
        <v>2.4710100000000002</v>
      </c>
      <c r="EC98">
        <v>1.77576</v>
      </c>
      <c r="ED98">
        <v>20.8368</v>
      </c>
      <c r="EE98">
        <v>15.574999999999999</v>
      </c>
      <c r="EF98">
        <v>1800.18</v>
      </c>
      <c r="EG98">
        <v>0.97800600000000004</v>
      </c>
      <c r="EH98">
        <v>2.1993700000000001E-2</v>
      </c>
      <c r="EI98">
        <v>0</v>
      </c>
      <c r="EJ98">
        <v>760.63599999999997</v>
      </c>
      <c r="EK98">
        <v>4.9990399999999999</v>
      </c>
      <c r="EL98">
        <v>14220.8</v>
      </c>
      <c r="EM98">
        <v>14822.2</v>
      </c>
      <c r="EN98">
        <v>48.25</v>
      </c>
      <c r="EO98">
        <v>49.625</v>
      </c>
      <c r="EP98">
        <v>49.186999999999998</v>
      </c>
      <c r="EQ98">
        <v>48.061999999999998</v>
      </c>
      <c r="ER98">
        <v>49.125</v>
      </c>
      <c r="ES98">
        <v>1755.7</v>
      </c>
      <c r="ET98">
        <v>39.479999999999997</v>
      </c>
      <c r="EU98">
        <v>0</v>
      </c>
      <c r="EV98">
        <v>115.19999980926509</v>
      </c>
      <c r="EW98">
        <v>0</v>
      </c>
      <c r="EX98">
        <v>760.43679999999995</v>
      </c>
      <c r="EY98">
        <v>2.3291538535904102</v>
      </c>
      <c r="EZ98">
        <v>41.261538465974112</v>
      </c>
      <c r="FA98">
        <v>14214.688</v>
      </c>
      <c r="FB98">
        <v>15</v>
      </c>
      <c r="FC98">
        <v>1674594044</v>
      </c>
      <c r="FD98" t="s">
        <v>837</v>
      </c>
      <c r="FE98">
        <v>1674594044</v>
      </c>
      <c r="FF98">
        <v>1674594042</v>
      </c>
      <c r="FG98">
        <v>93</v>
      </c>
      <c r="FH98">
        <v>0.40100000000000002</v>
      </c>
      <c r="FI98">
        <v>-2E-3</v>
      </c>
      <c r="FJ98">
        <v>3.0070000000000001</v>
      </c>
      <c r="FK98">
        <v>0.06</v>
      </c>
      <c r="FL98">
        <v>800</v>
      </c>
      <c r="FM98">
        <v>18</v>
      </c>
      <c r="FN98">
        <v>7.0000000000000007E-2</v>
      </c>
      <c r="FO98">
        <v>0.02</v>
      </c>
      <c r="FP98">
        <v>48.346697964910547</v>
      </c>
      <c r="FQ98">
        <v>-0.46026847611501309</v>
      </c>
      <c r="FR98">
        <v>7.6681816755768559E-2</v>
      </c>
      <c r="FS98">
        <v>1</v>
      </c>
      <c r="FT98">
        <v>0.51359613768528101</v>
      </c>
      <c r="FU98">
        <v>1.638483145965695E-2</v>
      </c>
      <c r="FV98">
        <v>2.260561064927895E-3</v>
      </c>
      <c r="FW98">
        <v>1</v>
      </c>
      <c r="FX98">
        <v>2</v>
      </c>
      <c r="FY98">
        <v>2</v>
      </c>
      <c r="FZ98" t="s">
        <v>420</v>
      </c>
      <c r="GA98">
        <v>2.9333499999999999</v>
      </c>
      <c r="GB98">
        <v>2.8334100000000002</v>
      </c>
      <c r="GC98">
        <v>0.139875</v>
      </c>
      <c r="GD98">
        <v>0.14538999999999999</v>
      </c>
      <c r="GE98">
        <v>0.122062</v>
      </c>
      <c r="GF98">
        <v>9.3550599999999998E-2</v>
      </c>
      <c r="GG98">
        <v>22280.7</v>
      </c>
      <c r="GH98">
        <v>27888.5</v>
      </c>
      <c r="GI98">
        <v>23305.8</v>
      </c>
      <c r="GJ98">
        <v>29897.200000000001</v>
      </c>
      <c r="GK98">
        <v>27841.4</v>
      </c>
      <c r="GL98">
        <v>38540.9</v>
      </c>
      <c r="GM98">
        <v>32899.300000000003</v>
      </c>
      <c r="GN98">
        <v>44356.9</v>
      </c>
      <c r="GO98">
        <v>1.9483999999999999</v>
      </c>
      <c r="GP98">
        <v>1.8429800000000001</v>
      </c>
      <c r="GQ98">
        <v>6.8247299999999997E-2</v>
      </c>
      <c r="GR98">
        <v>0</v>
      </c>
      <c r="GS98">
        <v>26.485600000000002</v>
      </c>
      <c r="GT98">
        <v>999.9</v>
      </c>
      <c r="GU98">
        <v>47.8</v>
      </c>
      <c r="GV98">
        <v>35.4</v>
      </c>
      <c r="GW98">
        <v>27.731300000000001</v>
      </c>
      <c r="GX98">
        <v>61.570999999999998</v>
      </c>
      <c r="GY98">
        <v>36.706699999999998</v>
      </c>
      <c r="GZ98">
        <v>1</v>
      </c>
      <c r="HA98">
        <v>0.32820100000000002</v>
      </c>
      <c r="HB98">
        <v>1.9347300000000001</v>
      </c>
      <c r="HC98">
        <v>20.261099999999999</v>
      </c>
      <c r="HD98">
        <v>5.2078600000000002</v>
      </c>
      <c r="HE98">
        <v>11.872199999999999</v>
      </c>
      <c r="HF98">
        <v>4.9829999999999997</v>
      </c>
      <c r="HG98">
        <v>3.2833299999999999</v>
      </c>
      <c r="HH98">
        <v>9999</v>
      </c>
      <c r="HI98">
        <v>9999</v>
      </c>
      <c r="HJ98">
        <v>9999</v>
      </c>
      <c r="HK98">
        <v>999.9</v>
      </c>
      <c r="HL98">
        <v>1.8546499999999999</v>
      </c>
      <c r="HM98">
        <v>1.8607800000000001</v>
      </c>
      <c r="HN98">
        <v>1.8581000000000001</v>
      </c>
      <c r="HO98">
        <v>1.85934</v>
      </c>
      <c r="HP98">
        <v>1.8586800000000001</v>
      </c>
      <c r="HQ98">
        <v>1.8592599999999999</v>
      </c>
      <c r="HR98">
        <v>1.8575999999999999</v>
      </c>
      <c r="HS98">
        <v>1.8609599999999999</v>
      </c>
      <c r="HT98">
        <v>5</v>
      </c>
      <c r="HU98">
        <v>0</v>
      </c>
      <c r="HV98">
        <v>0</v>
      </c>
      <c r="HW98">
        <v>0</v>
      </c>
      <c r="HX98" t="s">
        <v>421</v>
      </c>
      <c r="HY98" t="s">
        <v>422</v>
      </c>
      <c r="HZ98" t="s">
        <v>423</v>
      </c>
      <c r="IA98" t="s">
        <v>423</v>
      </c>
      <c r="IB98" t="s">
        <v>423</v>
      </c>
      <c r="IC98" t="s">
        <v>423</v>
      </c>
      <c r="ID98">
        <v>0</v>
      </c>
      <c r="IE98">
        <v>100</v>
      </c>
      <c r="IF98">
        <v>100</v>
      </c>
      <c r="IG98">
        <v>2.9169999999999998</v>
      </c>
      <c r="IH98">
        <v>0.1135</v>
      </c>
      <c r="II98">
        <v>1.747362986537375</v>
      </c>
      <c r="IJ98">
        <v>1.6187016317407189E-3</v>
      </c>
      <c r="IK98">
        <v>1.4341569744255341E-7</v>
      </c>
      <c r="IL98">
        <v>-2.4096625942085749E-10</v>
      </c>
      <c r="IM98">
        <v>0.11354696017901569</v>
      </c>
      <c r="IN98">
        <v>0</v>
      </c>
      <c r="IO98">
        <v>0</v>
      </c>
      <c r="IP98">
        <v>0</v>
      </c>
      <c r="IQ98">
        <v>4</v>
      </c>
      <c r="IR98">
        <v>2205</v>
      </c>
      <c r="IS98">
        <v>1</v>
      </c>
      <c r="IT98">
        <v>21</v>
      </c>
      <c r="IU98">
        <v>0.6</v>
      </c>
      <c r="IV98">
        <v>0.7</v>
      </c>
      <c r="IW98">
        <v>1.74316</v>
      </c>
      <c r="IX98">
        <v>2.4548299999999998</v>
      </c>
      <c r="IY98">
        <v>1.49414</v>
      </c>
      <c r="IZ98">
        <v>2.3034699999999999</v>
      </c>
      <c r="JA98">
        <v>1.69434</v>
      </c>
      <c r="JB98">
        <v>2.32544</v>
      </c>
      <c r="JC98">
        <v>39.267099999999999</v>
      </c>
      <c r="JD98">
        <v>23.9999</v>
      </c>
      <c r="JE98">
        <v>18</v>
      </c>
      <c r="JF98">
        <v>496.714</v>
      </c>
      <c r="JG98">
        <v>451.17599999999999</v>
      </c>
      <c r="JH98">
        <v>24.8721</v>
      </c>
      <c r="JI98">
        <v>31.466200000000001</v>
      </c>
      <c r="JJ98">
        <v>30</v>
      </c>
      <c r="JK98">
        <v>31.418099999999999</v>
      </c>
      <c r="JL98">
        <v>31.390499999999999</v>
      </c>
      <c r="JM98">
        <v>34.963799999999999</v>
      </c>
      <c r="JN98">
        <v>41.391599999999997</v>
      </c>
      <c r="JO98">
        <v>0</v>
      </c>
      <c r="JP98">
        <v>24.8736</v>
      </c>
      <c r="JQ98">
        <v>800</v>
      </c>
      <c r="JR98">
        <v>17.900700000000001</v>
      </c>
      <c r="JS98">
        <v>99.101699999999994</v>
      </c>
      <c r="JT98">
        <v>99.613799999999998</v>
      </c>
    </row>
    <row r="99" spans="1:280" x14ac:dyDescent="0.25">
      <c r="A99">
        <v>83</v>
      </c>
      <c r="B99">
        <v>1674594197.5999999</v>
      </c>
      <c r="C99">
        <v>20145</v>
      </c>
      <c r="D99" t="s">
        <v>838</v>
      </c>
      <c r="E99" t="s">
        <v>839</v>
      </c>
      <c r="F99" t="s">
        <v>412</v>
      </c>
      <c r="G99" t="s">
        <v>779</v>
      </c>
      <c r="H99" t="s">
        <v>493</v>
      </c>
      <c r="I99">
        <v>1674594197.5999999</v>
      </c>
      <c r="J99">
        <f t="shared" si="92"/>
        <v>5.875645249751202E-3</v>
      </c>
      <c r="K99">
        <f t="shared" si="93"/>
        <v>5.8756452497512024</v>
      </c>
      <c r="L99">
        <f t="shared" si="94"/>
        <v>47.584230385079721</v>
      </c>
      <c r="M99">
        <f t="shared" si="95"/>
        <v>1135.01</v>
      </c>
      <c r="N99">
        <f t="shared" si="96"/>
        <v>950.39934825888884</v>
      </c>
      <c r="O99">
        <f t="shared" si="97"/>
        <v>94.69940303285027</v>
      </c>
      <c r="P99">
        <f t="shared" si="98"/>
        <v>113.09432149046101</v>
      </c>
      <c r="Q99">
        <f t="shared" si="99"/>
        <v>0.50341640280300781</v>
      </c>
      <c r="R99">
        <f t="shared" si="100"/>
        <v>2.9223732007693526</v>
      </c>
      <c r="S99">
        <f t="shared" si="101"/>
        <v>0.45973219048888697</v>
      </c>
      <c r="T99">
        <f t="shared" si="102"/>
        <v>0.2909409215771746</v>
      </c>
      <c r="U99">
        <f t="shared" si="103"/>
        <v>344.34220126345895</v>
      </c>
      <c r="V99">
        <f t="shared" si="104"/>
        <v>28.510493609587726</v>
      </c>
      <c r="W99">
        <f t="shared" si="105"/>
        <v>27.636299999999999</v>
      </c>
      <c r="X99">
        <f t="shared" si="106"/>
        <v>3.7151200594095015</v>
      </c>
      <c r="Y99">
        <f t="shared" si="107"/>
        <v>65.357461986755169</v>
      </c>
      <c r="Z99">
        <f t="shared" si="108"/>
        <v>2.4812376596037597</v>
      </c>
      <c r="AA99">
        <f t="shared" si="109"/>
        <v>3.796410668618968</v>
      </c>
      <c r="AB99">
        <f t="shared" si="110"/>
        <v>1.2338823998057418</v>
      </c>
      <c r="AC99">
        <f t="shared" si="111"/>
        <v>-259.11595551402803</v>
      </c>
      <c r="AD99">
        <f t="shared" si="112"/>
        <v>58.419904867154948</v>
      </c>
      <c r="AE99">
        <f t="shared" si="113"/>
        <v>4.3497472802674402</v>
      </c>
      <c r="AF99">
        <f t="shared" si="114"/>
        <v>147.99589789685328</v>
      </c>
      <c r="AG99">
        <v>0</v>
      </c>
      <c r="AH99">
        <v>0</v>
      </c>
      <c r="AI99">
        <f t="shared" si="115"/>
        <v>1</v>
      </c>
      <c r="AJ99">
        <f t="shared" si="116"/>
        <v>0</v>
      </c>
      <c r="AK99">
        <f t="shared" si="117"/>
        <v>52483.88683325411</v>
      </c>
      <c r="AL99" t="s">
        <v>415</v>
      </c>
      <c r="AM99">
        <v>10214.9</v>
      </c>
      <c r="AN99">
        <v>729.4384</v>
      </c>
      <c r="AO99">
        <v>3170.19</v>
      </c>
      <c r="AP99">
        <f t="shared" si="118"/>
        <v>0.76990704027203416</v>
      </c>
      <c r="AQ99">
        <v>-0.45549566560547827</v>
      </c>
      <c r="AR99" t="s">
        <v>840</v>
      </c>
      <c r="AS99">
        <v>10097.5</v>
      </c>
      <c r="AT99">
        <v>763.18349999999998</v>
      </c>
      <c r="AU99">
        <v>1084.1550908217789</v>
      </c>
      <c r="AV99">
        <f t="shared" si="119"/>
        <v>0.29605689586209072</v>
      </c>
      <c r="AW99">
        <v>0.5</v>
      </c>
      <c r="AX99">
        <f t="shared" si="120"/>
        <v>1513.0668006317294</v>
      </c>
      <c r="AY99">
        <f t="shared" si="121"/>
        <v>47.584230385079721</v>
      </c>
      <c r="AZ99">
        <f t="shared" si="122"/>
        <v>223.97693011350734</v>
      </c>
      <c r="BA99">
        <f t="shared" si="123"/>
        <v>3.1749904254476963E-2</v>
      </c>
      <c r="BB99">
        <f t="shared" si="124"/>
        <v>1.9241111597760676</v>
      </c>
      <c r="BC99">
        <f t="shared" si="125"/>
        <v>505.59787026813547</v>
      </c>
      <c r="BD99" t="s">
        <v>841</v>
      </c>
      <c r="BE99">
        <v>563.03</v>
      </c>
      <c r="BF99">
        <f t="shared" si="126"/>
        <v>563.03</v>
      </c>
      <c r="BG99">
        <f t="shared" si="127"/>
        <v>0.48067393238616007</v>
      </c>
      <c r="BH99">
        <f t="shared" si="128"/>
        <v>0.61592043153329745</v>
      </c>
      <c r="BI99">
        <f t="shared" si="129"/>
        <v>0.80011771781487173</v>
      </c>
      <c r="BJ99">
        <f t="shared" si="130"/>
        <v>0.90486745937491109</v>
      </c>
      <c r="BK99">
        <f t="shared" si="131"/>
        <v>0.85466907373049383</v>
      </c>
      <c r="BL99">
        <f t="shared" si="132"/>
        <v>0.45438833591946426</v>
      </c>
      <c r="BM99">
        <f t="shared" si="133"/>
        <v>0.54561166408053574</v>
      </c>
      <c r="BN99">
        <v>9222</v>
      </c>
      <c r="BO99">
        <v>290.00000000000011</v>
      </c>
      <c r="BP99">
        <v>1007.73</v>
      </c>
      <c r="BQ99">
        <v>185</v>
      </c>
      <c r="BR99">
        <v>10097.5</v>
      </c>
      <c r="BS99">
        <v>1007.86</v>
      </c>
      <c r="BT99">
        <v>-0.13</v>
      </c>
      <c r="BU99">
        <v>300.00000000000011</v>
      </c>
      <c r="BV99">
        <v>24.2</v>
      </c>
      <c r="BW99">
        <v>1084.1550908217789</v>
      </c>
      <c r="BX99">
        <v>2.1791523172991178</v>
      </c>
      <c r="BY99">
        <v>-77.034634775038981</v>
      </c>
      <c r="BZ99">
        <v>1.9573675740794549</v>
      </c>
      <c r="CA99">
        <v>0.98224379909358328</v>
      </c>
      <c r="CB99">
        <v>-6.8946569521690709E-3</v>
      </c>
      <c r="CC99">
        <v>289.99999999999989</v>
      </c>
      <c r="CD99">
        <v>1007.57</v>
      </c>
      <c r="CE99">
        <v>645</v>
      </c>
      <c r="CF99">
        <v>10069.700000000001</v>
      </c>
      <c r="CG99">
        <v>1007.65</v>
      </c>
      <c r="CH99">
        <v>-0.08</v>
      </c>
      <c r="CV99">
        <f t="shared" si="134"/>
        <v>1799.86</v>
      </c>
      <c r="CW99">
        <f t="shared" si="135"/>
        <v>1513.0668006317294</v>
      </c>
      <c r="CX99">
        <f t="shared" si="136"/>
        <v>0.84065805153274664</v>
      </c>
      <c r="CY99">
        <f t="shared" si="137"/>
        <v>0.1913161030654934</v>
      </c>
      <c r="CZ99">
        <v>6</v>
      </c>
      <c r="DA99">
        <v>0.5</v>
      </c>
      <c r="DB99" t="s">
        <v>418</v>
      </c>
      <c r="DC99">
        <v>2</v>
      </c>
      <c r="DD99">
        <v>1674594197.5999999</v>
      </c>
      <c r="DE99">
        <v>1135.01</v>
      </c>
      <c r="DF99">
        <v>1200.1099999999999</v>
      </c>
      <c r="DG99">
        <v>24.901599999999998</v>
      </c>
      <c r="DH99">
        <v>18.026800000000001</v>
      </c>
      <c r="DI99">
        <v>1131.3800000000001</v>
      </c>
      <c r="DJ99">
        <v>24.784700000000001</v>
      </c>
      <c r="DK99">
        <v>500.029</v>
      </c>
      <c r="DL99">
        <v>99.541700000000006</v>
      </c>
      <c r="DM99">
        <v>9.9996100000000004E-2</v>
      </c>
      <c r="DN99">
        <v>28.007100000000001</v>
      </c>
      <c r="DO99">
        <v>27.636299999999999</v>
      </c>
      <c r="DP99">
        <v>999.9</v>
      </c>
      <c r="DQ99">
        <v>0</v>
      </c>
      <c r="DR99">
        <v>0</v>
      </c>
      <c r="DS99">
        <v>10005</v>
      </c>
      <c r="DT99">
        <v>0</v>
      </c>
      <c r="DU99">
        <v>332.86200000000002</v>
      </c>
      <c r="DV99">
        <v>-65.102199999999996</v>
      </c>
      <c r="DW99">
        <v>1164</v>
      </c>
      <c r="DX99">
        <v>1222.1400000000001</v>
      </c>
      <c r="DY99">
        <v>6.8748899999999997</v>
      </c>
      <c r="DZ99">
        <v>1200.1099999999999</v>
      </c>
      <c r="EA99">
        <v>18.026800000000001</v>
      </c>
      <c r="EB99">
        <v>2.4787499999999998</v>
      </c>
      <c r="EC99">
        <v>1.7944100000000001</v>
      </c>
      <c r="ED99">
        <v>20.887699999999999</v>
      </c>
      <c r="EE99">
        <v>15.738200000000001</v>
      </c>
      <c r="EF99">
        <v>1799.86</v>
      </c>
      <c r="EG99">
        <v>0.97800299999999996</v>
      </c>
      <c r="EH99">
        <v>2.19974E-2</v>
      </c>
      <c r="EI99">
        <v>0</v>
      </c>
      <c r="EJ99">
        <v>763.68100000000004</v>
      </c>
      <c r="EK99">
        <v>4.9990399999999999</v>
      </c>
      <c r="EL99">
        <v>14273.6</v>
      </c>
      <c r="EM99">
        <v>14819.6</v>
      </c>
      <c r="EN99">
        <v>48.186999999999998</v>
      </c>
      <c r="EO99">
        <v>49.625</v>
      </c>
      <c r="EP99">
        <v>49.186999999999998</v>
      </c>
      <c r="EQ99">
        <v>48</v>
      </c>
      <c r="ER99">
        <v>49.061999999999998</v>
      </c>
      <c r="ES99">
        <v>1755.38</v>
      </c>
      <c r="ET99">
        <v>39.479999999999997</v>
      </c>
      <c r="EU99">
        <v>0</v>
      </c>
      <c r="EV99">
        <v>114.19999980926509</v>
      </c>
      <c r="EW99">
        <v>0</v>
      </c>
      <c r="EX99">
        <v>763.18349999999998</v>
      </c>
      <c r="EY99">
        <v>2.493299140466954</v>
      </c>
      <c r="EZ99">
        <v>30.420512847483451</v>
      </c>
      <c r="FA99">
        <v>14271.48461538461</v>
      </c>
      <c r="FB99">
        <v>15</v>
      </c>
      <c r="FC99">
        <v>1674594164.5999999</v>
      </c>
      <c r="FD99" t="s">
        <v>842</v>
      </c>
      <c r="FE99">
        <v>1674594164.5999999</v>
      </c>
      <c r="FF99">
        <v>1674594151.0999999</v>
      </c>
      <c r="FG99">
        <v>94</v>
      </c>
      <c r="FH99">
        <v>0.21199999999999999</v>
      </c>
      <c r="FI99">
        <v>3.0000000000000001E-3</v>
      </c>
      <c r="FJ99">
        <v>3.69</v>
      </c>
      <c r="FK99">
        <v>6.6000000000000003E-2</v>
      </c>
      <c r="FL99">
        <v>1201</v>
      </c>
      <c r="FM99">
        <v>18</v>
      </c>
      <c r="FN99">
        <v>7.0000000000000007E-2</v>
      </c>
      <c r="FO99">
        <v>0.02</v>
      </c>
      <c r="FP99">
        <v>47.603904172144773</v>
      </c>
      <c r="FQ99">
        <v>-0.6669270636803436</v>
      </c>
      <c r="FR99">
        <v>0.19210762880931029</v>
      </c>
      <c r="FS99">
        <v>1</v>
      </c>
      <c r="FT99">
        <v>0.50333057916195423</v>
      </c>
      <c r="FU99">
        <v>1.7832356597602479E-2</v>
      </c>
      <c r="FV99">
        <v>6.2875858974549897E-3</v>
      </c>
      <c r="FW99">
        <v>1</v>
      </c>
      <c r="FX99">
        <v>2</v>
      </c>
      <c r="FY99">
        <v>2</v>
      </c>
      <c r="FZ99" t="s">
        <v>420</v>
      </c>
      <c r="GA99">
        <v>2.9334199999999999</v>
      </c>
      <c r="GB99">
        <v>2.8334999999999999</v>
      </c>
      <c r="GC99">
        <v>0.18514800000000001</v>
      </c>
      <c r="GD99">
        <v>0.18863099999999999</v>
      </c>
      <c r="GE99">
        <v>0.122325</v>
      </c>
      <c r="GF99">
        <v>9.4253500000000004E-2</v>
      </c>
      <c r="GG99">
        <v>21108.5</v>
      </c>
      <c r="GH99">
        <v>26478.7</v>
      </c>
      <c r="GI99">
        <v>23306.9</v>
      </c>
      <c r="GJ99">
        <v>29899.5</v>
      </c>
      <c r="GK99">
        <v>27834.5</v>
      </c>
      <c r="GL99">
        <v>38514.199999999997</v>
      </c>
      <c r="GM99">
        <v>32900.199999999997</v>
      </c>
      <c r="GN99">
        <v>44359.8</v>
      </c>
      <c r="GO99">
        <v>1.9483699999999999</v>
      </c>
      <c r="GP99">
        <v>1.84518</v>
      </c>
      <c r="GQ99">
        <v>6.9960999999999995E-2</v>
      </c>
      <c r="GR99">
        <v>0</v>
      </c>
      <c r="GS99">
        <v>26.4923</v>
      </c>
      <c r="GT99">
        <v>999.9</v>
      </c>
      <c r="GU99">
        <v>47.7</v>
      </c>
      <c r="GV99">
        <v>35.299999999999997</v>
      </c>
      <c r="GW99">
        <v>27.520099999999999</v>
      </c>
      <c r="GX99">
        <v>61.191000000000003</v>
      </c>
      <c r="GY99">
        <v>36.566499999999998</v>
      </c>
      <c r="GZ99">
        <v>1</v>
      </c>
      <c r="HA99">
        <v>0.32559399999999999</v>
      </c>
      <c r="HB99">
        <v>2.01119</v>
      </c>
      <c r="HC99">
        <v>20.2606</v>
      </c>
      <c r="HD99">
        <v>5.2107000000000001</v>
      </c>
      <c r="HE99">
        <v>11.872199999999999</v>
      </c>
      <c r="HF99">
        <v>4.9852499999999997</v>
      </c>
      <c r="HG99">
        <v>3.2839999999999998</v>
      </c>
      <c r="HH99">
        <v>9999</v>
      </c>
      <c r="HI99">
        <v>9999</v>
      </c>
      <c r="HJ99">
        <v>9999</v>
      </c>
      <c r="HK99">
        <v>999.9</v>
      </c>
      <c r="HL99">
        <v>1.8546800000000001</v>
      </c>
      <c r="HM99">
        <v>1.86077</v>
      </c>
      <c r="HN99">
        <v>1.85808</v>
      </c>
      <c r="HO99">
        <v>1.8593</v>
      </c>
      <c r="HP99">
        <v>1.85869</v>
      </c>
      <c r="HQ99">
        <v>1.8592599999999999</v>
      </c>
      <c r="HR99">
        <v>1.8575999999999999</v>
      </c>
      <c r="HS99">
        <v>1.8609500000000001</v>
      </c>
      <c r="HT99">
        <v>5</v>
      </c>
      <c r="HU99">
        <v>0</v>
      </c>
      <c r="HV99">
        <v>0</v>
      </c>
      <c r="HW99">
        <v>0</v>
      </c>
      <c r="HX99" t="s">
        <v>421</v>
      </c>
      <c r="HY99" t="s">
        <v>422</v>
      </c>
      <c r="HZ99" t="s">
        <v>423</v>
      </c>
      <c r="IA99" t="s">
        <v>423</v>
      </c>
      <c r="IB99" t="s">
        <v>423</v>
      </c>
      <c r="IC99" t="s">
        <v>423</v>
      </c>
      <c r="ID99">
        <v>0</v>
      </c>
      <c r="IE99">
        <v>100</v>
      </c>
      <c r="IF99">
        <v>100</v>
      </c>
      <c r="IG99">
        <v>3.63</v>
      </c>
      <c r="IH99">
        <v>0.1169</v>
      </c>
      <c r="II99">
        <v>1.9603483161152719</v>
      </c>
      <c r="IJ99">
        <v>1.6187016317407189E-3</v>
      </c>
      <c r="IK99">
        <v>1.4341569744255341E-7</v>
      </c>
      <c r="IL99">
        <v>-2.4096625942085749E-10</v>
      </c>
      <c r="IM99">
        <v>0.1169221496281154</v>
      </c>
      <c r="IN99">
        <v>0</v>
      </c>
      <c r="IO99">
        <v>0</v>
      </c>
      <c r="IP99">
        <v>0</v>
      </c>
      <c r="IQ99">
        <v>4</v>
      </c>
      <c r="IR99">
        <v>2205</v>
      </c>
      <c r="IS99">
        <v>1</v>
      </c>
      <c r="IT99">
        <v>21</v>
      </c>
      <c r="IU99">
        <v>0.6</v>
      </c>
      <c r="IV99">
        <v>0.8</v>
      </c>
      <c r="IW99">
        <v>2.4389599999999998</v>
      </c>
      <c r="IX99">
        <v>2.4316399999999998</v>
      </c>
      <c r="IY99">
        <v>1.49414</v>
      </c>
      <c r="IZ99">
        <v>2.3046899999999999</v>
      </c>
      <c r="JA99">
        <v>1.69434</v>
      </c>
      <c r="JB99">
        <v>2.4035600000000001</v>
      </c>
      <c r="JC99">
        <v>39.267099999999999</v>
      </c>
      <c r="JD99">
        <v>24.008700000000001</v>
      </c>
      <c r="JE99">
        <v>18</v>
      </c>
      <c r="JF99">
        <v>496.48399999999998</v>
      </c>
      <c r="JG99">
        <v>452.49400000000003</v>
      </c>
      <c r="JH99">
        <v>24.861599999999999</v>
      </c>
      <c r="JI99">
        <v>31.4331</v>
      </c>
      <c r="JJ99">
        <v>30</v>
      </c>
      <c r="JK99">
        <v>31.391999999999999</v>
      </c>
      <c r="JL99">
        <v>31.363700000000001</v>
      </c>
      <c r="JM99">
        <v>48.861800000000002</v>
      </c>
      <c r="JN99">
        <v>40.832799999999999</v>
      </c>
      <c r="JO99">
        <v>0</v>
      </c>
      <c r="JP99">
        <v>24.851299999999998</v>
      </c>
      <c r="JQ99">
        <v>1200</v>
      </c>
      <c r="JR99">
        <v>17.988900000000001</v>
      </c>
      <c r="JS99">
        <v>99.105199999999996</v>
      </c>
      <c r="JT99">
        <v>99.620699999999999</v>
      </c>
    </row>
    <row r="100" spans="1:280" x14ac:dyDescent="0.25">
      <c r="A100">
        <v>84</v>
      </c>
      <c r="B100">
        <v>1674594314.0999999</v>
      </c>
      <c r="C100">
        <v>20261.5</v>
      </c>
      <c r="D100" t="s">
        <v>843</v>
      </c>
      <c r="E100" t="s">
        <v>844</v>
      </c>
      <c r="F100" t="s">
        <v>412</v>
      </c>
      <c r="G100" t="s">
        <v>779</v>
      </c>
      <c r="H100" t="s">
        <v>493</v>
      </c>
      <c r="I100">
        <v>1674594314.0999999</v>
      </c>
      <c r="J100">
        <f t="shared" si="92"/>
        <v>5.7342552738866501E-3</v>
      </c>
      <c r="K100">
        <f t="shared" si="93"/>
        <v>5.7342552738866504</v>
      </c>
      <c r="L100">
        <f t="shared" si="94"/>
        <v>47.008772698934102</v>
      </c>
      <c r="M100">
        <f t="shared" si="95"/>
        <v>1433.68</v>
      </c>
      <c r="N100">
        <f t="shared" si="96"/>
        <v>1239.7515007837555</v>
      </c>
      <c r="O100">
        <f t="shared" si="97"/>
        <v>123.52943647844103</v>
      </c>
      <c r="P100">
        <f t="shared" si="98"/>
        <v>142.85256551692001</v>
      </c>
      <c r="Q100">
        <f t="shared" si="99"/>
        <v>0.48661250701793318</v>
      </c>
      <c r="R100">
        <f t="shared" si="100"/>
        <v>2.9214764113256848</v>
      </c>
      <c r="S100">
        <f t="shared" si="101"/>
        <v>0.44565760241272362</v>
      </c>
      <c r="T100">
        <f t="shared" si="102"/>
        <v>0.28192783557480444</v>
      </c>
      <c r="U100">
        <f t="shared" si="103"/>
        <v>344.39160126327641</v>
      </c>
      <c r="V100">
        <f t="shared" si="104"/>
        <v>28.550767806601645</v>
      </c>
      <c r="W100">
        <f t="shared" si="105"/>
        <v>27.6785</v>
      </c>
      <c r="X100">
        <f t="shared" si="106"/>
        <v>3.7242943190615412</v>
      </c>
      <c r="Y100">
        <f t="shared" si="107"/>
        <v>65.370166135046645</v>
      </c>
      <c r="Z100">
        <f t="shared" si="108"/>
        <v>2.4821539986946499</v>
      </c>
      <c r="AA100">
        <f t="shared" si="109"/>
        <v>3.7970746373304727</v>
      </c>
      <c r="AB100">
        <f t="shared" si="110"/>
        <v>1.2421403203668913</v>
      </c>
      <c r="AC100">
        <f t="shared" si="111"/>
        <v>-252.88065757840127</v>
      </c>
      <c r="AD100">
        <f t="shared" si="112"/>
        <v>52.227874192898895</v>
      </c>
      <c r="AE100">
        <f t="shared" si="113"/>
        <v>3.8907799335553963</v>
      </c>
      <c r="AF100">
        <f t="shared" si="114"/>
        <v>147.62959781132943</v>
      </c>
      <c r="AG100">
        <v>0</v>
      </c>
      <c r="AH100">
        <v>0</v>
      </c>
      <c r="AI100">
        <f t="shared" si="115"/>
        <v>1</v>
      </c>
      <c r="AJ100">
        <f t="shared" si="116"/>
        <v>0</v>
      </c>
      <c r="AK100">
        <f t="shared" si="117"/>
        <v>52457.576145116305</v>
      </c>
      <c r="AL100" t="s">
        <v>415</v>
      </c>
      <c r="AM100">
        <v>10214.9</v>
      </c>
      <c r="AN100">
        <v>729.4384</v>
      </c>
      <c r="AO100">
        <v>3170.19</v>
      </c>
      <c r="AP100">
        <f t="shared" si="118"/>
        <v>0.76990704027203416</v>
      </c>
      <c r="AQ100">
        <v>-0.45549566560547827</v>
      </c>
      <c r="AR100" t="s">
        <v>845</v>
      </c>
      <c r="AS100">
        <v>10090.799999999999</v>
      </c>
      <c r="AT100">
        <v>765.00765384615397</v>
      </c>
      <c r="AU100">
        <v>1090.691810311803</v>
      </c>
      <c r="AV100">
        <f t="shared" si="119"/>
        <v>0.29860328406843328</v>
      </c>
      <c r="AW100">
        <v>0.5</v>
      </c>
      <c r="AX100">
        <f t="shared" si="120"/>
        <v>1513.285200631638</v>
      </c>
      <c r="AY100">
        <f t="shared" si="121"/>
        <v>47.008772698934102</v>
      </c>
      <c r="AZ100">
        <f t="shared" si="122"/>
        <v>225.93596532038254</v>
      </c>
      <c r="BA100">
        <f t="shared" si="123"/>
        <v>3.136505157436828E-2</v>
      </c>
      <c r="BB100">
        <f t="shared" si="124"/>
        <v>1.906586416096512</v>
      </c>
      <c r="BC100">
        <f t="shared" si="125"/>
        <v>507.01494377514172</v>
      </c>
      <c r="BD100" t="s">
        <v>846</v>
      </c>
      <c r="BE100">
        <v>570.07000000000005</v>
      </c>
      <c r="BF100">
        <f t="shared" si="126"/>
        <v>570.07000000000005</v>
      </c>
      <c r="BG100">
        <f t="shared" si="127"/>
        <v>0.47733173146589369</v>
      </c>
      <c r="BH100">
        <f t="shared" si="128"/>
        <v>0.62556763857164421</v>
      </c>
      <c r="BI100">
        <f t="shared" si="129"/>
        <v>0.79977008356852664</v>
      </c>
      <c r="BJ100">
        <f t="shared" si="130"/>
        <v>0.90153932715692942</v>
      </c>
      <c r="BK100">
        <f t="shared" si="131"/>
        <v>0.8519909152935502</v>
      </c>
      <c r="BL100">
        <f t="shared" si="132"/>
        <v>0.46616179841810362</v>
      </c>
      <c r="BM100">
        <f t="shared" si="133"/>
        <v>0.53383820158189632</v>
      </c>
      <c r="BN100">
        <v>9224</v>
      </c>
      <c r="BO100">
        <v>290.00000000000011</v>
      </c>
      <c r="BP100">
        <v>1010.91</v>
      </c>
      <c r="BQ100">
        <v>235</v>
      </c>
      <c r="BR100">
        <v>10090.799999999999</v>
      </c>
      <c r="BS100">
        <v>1011.54</v>
      </c>
      <c r="BT100">
        <v>-0.63</v>
      </c>
      <c r="BU100">
        <v>300.00000000000011</v>
      </c>
      <c r="BV100">
        <v>24.2</v>
      </c>
      <c r="BW100">
        <v>1090.691810311803</v>
      </c>
      <c r="BX100">
        <v>1.769645328443346</v>
      </c>
      <c r="BY100">
        <v>-79.869117243726464</v>
      </c>
      <c r="BZ100">
        <v>1.589521063594115</v>
      </c>
      <c r="CA100">
        <v>0.98903160687221991</v>
      </c>
      <c r="CB100">
        <v>-6.8945968854282509E-3</v>
      </c>
      <c r="CC100">
        <v>289.99999999999989</v>
      </c>
      <c r="CD100">
        <v>1011.31</v>
      </c>
      <c r="CE100">
        <v>675</v>
      </c>
      <c r="CF100">
        <v>10067.799999999999</v>
      </c>
      <c r="CG100">
        <v>1011.36</v>
      </c>
      <c r="CH100">
        <v>-0.05</v>
      </c>
      <c r="CV100">
        <f t="shared" si="134"/>
        <v>1800.12</v>
      </c>
      <c r="CW100">
        <f t="shared" si="135"/>
        <v>1513.285200631638</v>
      </c>
      <c r="CX100">
        <f t="shared" si="136"/>
        <v>0.84065795648714425</v>
      </c>
      <c r="CY100">
        <f t="shared" si="137"/>
        <v>0.19131591297428863</v>
      </c>
      <c r="CZ100">
        <v>6</v>
      </c>
      <c r="DA100">
        <v>0.5</v>
      </c>
      <c r="DB100" t="s">
        <v>418</v>
      </c>
      <c r="DC100">
        <v>2</v>
      </c>
      <c r="DD100">
        <v>1674594314.0999999</v>
      </c>
      <c r="DE100">
        <v>1433.68</v>
      </c>
      <c r="DF100">
        <v>1499.95</v>
      </c>
      <c r="DG100">
        <v>24.911100000000001</v>
      </c>
      <c r="DH100">
        <v>18.202000000000002</v>
      </c>
      <c r="DI100">
        <v>1429.86</v>
      </c>
      <c r="DJ100">
        <v>24.790700000000001</v>
      </c>
      <c r="DK100">
        <v>500.04399999999998</v>
      </c>
      <c r="DL100">
        <v>99.540499999999994</v>
      </c>
      <c r="DM100">
        <v>9.9981500000000001E-2</v>
      </c>
      <c r="DN100">
        <v>28.010100000000001</v>
      </c>
      <c r="DO100">
        <v>27.6785</v>
      </c>
      <c r="DP100">
        <v>999.9</v>
      </c>
      <c r="DQ100">
        <v>0</v>
      </c>
      <c r="DR100">
        <v>0</v>
      </c>
      <c r="DS100">
        <v>10000</v>
      </c>
      <c r="DT100">
        <v>0</v>
      </c>
      <c r="DU100">
        <v>330.041</v>
      </c>
      <c r="DV100">
        <v>-66.270099999999999</v>
      </c>
      <c r="DW100">
        <v>1470.31</v>
      </c>
      <c r="DX100">
        <v>1527.76</v>
      </c>
      <c r="DY100">
        <v>6.70913</v>
      </c>
      <c r="DZ100">
        <v>1499.95</v>
      </c>
      <c r="EA100">
        <v>18.202000000000002</v>
      </c>
      <c r="EB100">
        <v>2.47966</v>
      </c>
      <c r="EC100">
        <v>1.8118300000000001</v>
      </c>
      <c r="ED100">
        <v>20.893599999999999</v>
      </c>
      <c r="EE100">
        <v>15.8893</v>
      </c>
      <c r="EF100">
        <v>1800.12</v>
      </c>
      <c r="EG100">
        <v>0.97800600000000004</v>
      </c>
      <c r="EH100">
        <v>2.1993700000000001E-2</v>
      </c>
      <c r="EI100">
        <v>0</v>
      </c>
      <c r="EJ100">
        <v>765.11199999999997</v>
      </c>
      <c r="EK100">
        <v>4.9990399999999999</v>
      </c>
      <c r="EL100">
        <v>14301.9</v>
      </c>
      <c r="EM100">
        <v>14821.8</v>
      </c>
      <c r="EN100">
        <v>48.186999999999998</v>
      </c>
      <c r="EO100">
        <v>49.625</v>
      </c>
      <c r="EP100">
        <v>49.125</v>
      </c>
      <c r="EQ100">
        <v>48.061999999999998</v>
      </c>
      <c r="ER100">
        <v>49.061999999999998</v>
      </c>
      <c r="ES100">
        <v>1755.64</v>
      </c>
      <c r="ET100">
        <v>39.479999999999997</v>
      </c>
      <c r="EU100">
        <v>0</v>
      </c>
      <c r="EV100">
        <v>114.5999999046326</v>
      </c>
      <c r="EW100">
        <v>0</v>
      </c>
      <c r="EX100">
        <v>765.00765384615397</v>
      </c>
      <c r="EY100">
        <v>2.6949401837094769</v>
      </c>
      <c r="EZ100">
        <v>27.37777772720705</v>
      </c>
      <c r="FA100">
        <v>14297.7</v>
      </c>
      <c r="FB100">
        <v>15</v>
      </c>
      <c r="FC100">
        <v>1674594279.0999999</v>
      </c>
      <c r="FD100" t="s">
        <v>847</v>
      </c>
      <c r="FE100">
        <v>1674594279.0999999</v>
      </c>
      <c r="FF100">
        <v>1674594277.0999999</v>
      </c>
      <c r="FG100">
        <v>95</v>
      </c>
      <c r="FH100">
        <v>-4.2999999999999997E-2</v>
      </c>
      <c r="FI100">
        <v>4.0000000000000001E-3</v>
      </c>
      <c r="FJ100">
        <v>3.8540000000000001</v>
      </c>
      <c r="FK100">
        <v>7.1999999999999995E-2</v>
      </c>
      <c r="FL100">
        <v>1501</v>
      </c>
      <c r="FM100">
        <v>18</v>
      </c>
      <c r="FN100">
        <v>0.03</v>
      </c>
      <c r="FO100">
        <v>0.02</v>
      </c>
      <c r="FP100">
        <v>46.897965642536917</v>
      </c>
      <c r="FQ100">
        <v>-0.2234626334192826</v>
      </c>
      <c r="FR100">
        <v>0.1201918571024871</v>
      </c>
      <c r="FS100">
        <v>1</v>
      </c>
      <c r="FT100">
        <v>0.49427375632425069</v>
      </c>
      <c r="FU100">
        <v>-1.956024625771681E-2</v>
      </c>
      <c r="FV100">
        <v>5.5297623406979071E-3</v>
      </c>
      <c r="FW100">
        <v>1</v>
      </c>
      <c r="FX100">
        <v>2</v>
      </c>
      <c r="FY100">
        <v>2</v>
      </c>
      <c r="FZ100" t="s">
        <v>420</v>
      </c>
      <c r="GA100">
        <v>2.9334699999999998</v>
      </c>
      <c r="GB100">
        <v>2.83344</v>
      </c>
      <c r="GC100">
        <v>0.213533</v>
      </c>
      <c r="GD100">
        <v>0.21595800000000001</v>
      </c>
      <c r="GE100">
        <v>0.122347</v>
      </c>
      <c r="GF100">
        <v>9.4904100000000005E-2</v>
      </c>
      <c r="GG100">
        <v>20372.900000000001</v>
      </c>
      <c r="GH100">
        <v>25584.9</v>
      </c>
      <c r="GI100">
        <v>23307.4</v>
      </c>
      <c r="GJ100">
        <v>29898.2</v>
      </c>
      <c r="GK100">
        <v>27835.7</v>
      </c>
      <c r="GL100">
        <v>38485.5</v>
      </c>
      <c r="GM100">
        <v>32901.9</v>
      </c>
      <c r="GN100">
        <v>44358.1</v>
      </c>
      <c r="GO100">
        <v>1.9487000000000001</v>
      </c>
      <c r="GP100">
        <v>1.8467499999999999</v>
      </c>
      <c r="GQ100">
        <v>6.9644300000000006E-2</v>
      </c>
      <c r="GR100">
        <v>0</v>
      </c>
      <c r="GS100">
        <v>26.5398</v>
      </c>
      <c r="GT100">
        <v>999.9</v>
      </c>
      <c r="GU100">
        <v>47.7</v>
      </c>
      <c r="GV100">
        <v>35.299999999999997</v>
      </c>
      <c r="GW100">
        <v>27.520399999999999</v>
      </c>
      <c r="GX100">
        <v>61.371000000000002</v>
      </c>
      <c r="GY100">
        <v>36.442300000000003</v>
      </c>
      <c r="GZ100">
        <v>1</v>
      </c>
      <c r="HA100">
        <v>0.32568599999999998</v>
      </c>
      <c r="HB100">
        <v>2.1493799999999998</v>
      </c>
      <c r="HC100">
        <v>20.259599999999999</v>
      </c>
      <c r="HD100">
        <v>5.2112999999999996</v>
      </c>
      <c r="HE100">
        <v>11.872199999999999</v>
      </c>
      <c r="HF100">
        <v>4.9855499999999999</v>
      </c>
      <c r="HG100">
        <v>3.2839999999999998</v>
      </c>
      <c r="HH100">
        <v>9999</v>
      </c>
      <c r="HI100">
        <v>9999</v>
      </c>
      <c r="HJ100">
        <v>9999</v>
      </c>
      <c r="HK100">
        <v>999.9</v>
      </c>
      <c r="HL100">
        <v>1.85463</v>
      </c>
      <c r="HM100">
        <v>1.86073</v>
      </c>
      <c r="HN100">
        <v>1.85808</v>
      </c>
      <c r="HO100">
        <v>1.85928</v>
      </c>
      <c r="HP100">
        <v>1.85867</v>
      </c>
      <c r="HQ100">
        <v>1.8592200000000001</v>
      </c>
      <c r="HR100">
        <v>1.8575900000000001</v>
      </c>
      <c r="HS100">
        <v>1.86094</v>
      </c>
      <c r="HT100">
        <v>5</v>
      </c>
      <c r="HU100">
        <v>0</v>
      </c>
      <c r="HV100">
        <v>0</v>
      </c>
      <c r="HW100">
        <v>0</v>
      </c>
      <c r="HX100" t="s">
        <v>421</v>
      </c>
      <c r="HY100" t="s">
        <v>422</v>
      </c>
      <c r="HZ100" t="s">
        <v>423</v>
      </c>
      <c r="IA100" t="s">
        <v>423</v>
      </c>
      <c r="IB100" t="s">
        <v>423</v>
      </c>
      <c r="IC100" t="s">
        <v>423</v>
      </c>
      <c r="ID100">
        <v>0</v>
      </c>
      <c r="IE100">
        <v>100</v>
      </c>
      <c r="IF100">
        <v>100</v>
      </c>
      <c r="IG100">
        <v>3.82</v>
      </c>
      <c r="IH100">
        <v>0.12039999999999999</v>
      </c>
      <c r="II100">
        <v>1.9179318905258349</v>
      </c>
      <c r="IJ100">
        <v>1.6187016317407189E-3</v>
      </c>
      <c r="IK100">
        <v>1.4341569744255341E-7</v>
      </c>
      <c r="IL100">
        <v>-2.4096625942085749E-10</v>
      </c>
      <c r="IM100">
        <v>0.1204593096105863</v>
      </c>
      <c r="IN100">
        <v>0</v>
      </c>
      <c r="IO100">
        <v>0</v>
      </c>
      <c r="IP100">
        <v>0</v>
      </c>
      <c r="IQ100">
        <v>4</v>
      </c>
      <c r="IR100">
        <v>2205</v>
      </c>
      <c r="IS100">
        <v>1</v>
      </c>
      <c r="IT100">
        <v>21</v>
      </c>
      <c r="IU100">
        <v>0.6</v>
      </c>
      <c r="IV100">
        <v>0.6</v>
      </c>
      <c r="IW100">
        <v>2.9296899999999999</v>
      </c>
      <c r="IX100">
        <v>2.4230999999999998</v>
      </c>
      <c r="IY100">
        <v>1.49414</v>
      </c>
      <c r="IZ100">
        <v>2.3046899999999999</v>
      </c>
      <c r="JA100">
        <v>1.69434</v>
      </c>
      <c r="JB100">
        <v>2.4145500000000002</v>
      </c>
      <c r="JC100">
        <v>39.217300000000002</v>
      </c>
      <c r="JD100">
        <v>24.008700000000001</v>
      </c>
      <c r="JE100">
        <v>18</v>
      </c>
      <c r="JF100">
        <v>496.58499999999998</v>
      </c>
      <c r="JG100">
        <v>453.50099999999998</v>
      </c>
      <c r="JH100">
        <v>24.772500000000001</v>
      </c>
      <c r="JI100">
        <v>31.427299999999999</v>
      </c>
      <c r="JJ100">
        <v>30.0002</v>
      </c>
      <c r="JK100">
        <v>31.379000000000001</v>
      </c>
      <c r="JL100">
        <v>31.352</v>
      </c>
      <c r="JM100">
        <v>58.687100000000001</v>
      </c>
      <c r="JN100">
        <v>40.1738</v>
      </c>
      <c r="JO100">
        <v>0</v>
      </c>
      <c r="JP100">
        <v>24.763300000000001</v>
      </c>
      <c r="JQ100">
        <v>1500</v>
      </c>
      <c r="JR100">
        <v>18.104299999999999</v>
      </c>
      <c r="JS100">
        <v>99.108999999999995</v>
      </c>
      <c r="JT100">
        <v>99.616799999999998</v>
      </c>
    </row>
    <row r="101" spans="1:280" x14ac:dyDescent="0.25">
      <c r="A101">
        <v>85</v>
      </c>
      <c r="B101">
        <v>1674595741.5</v>
      </c>
      <c r="C101">
        <v>21688.900000095371</v>
      </c>
      <c r="D101" t="s">
        <v>848</v>
      </c>
      <c r="E101" t="s">
        <v>849</v>
      </c>
      <c r="F101" t="s">
        <v>412</v>
      </c>
      <c r="G101" t="s">
        <v>850</v>
      </c>
      <c r="H101" t="s">
        <v>565</v>
      </c>
      <c r="I101">
        <v>1674595741.5</v>
      </c>
      <c r="J101">
        <f t="shared" si="92"/>
        <v>5.8452036829945075E-3</v>
      </c>
      <c r="K101">
        <f t="shared" si="93"/>
        <v>5.8452036829945078</v>
      </c>
      <c r="L101">
        <f t="shared" si="94"/>
        <v>53.923873497636471</v>
      </c>
      <c r="M101">
        <f t="shared" si="95"/>
        <v>332.98</v>
      </c>
      <c r="N101">
        <f t="shared" si="96"/>
        <v>143.15716085389323</v>
      </c>
      <c r="O101">
        <f t="shared" si="97"/>
        <v>14.258345309179916</v>
      </c>
      <c r="P101">
        <f t="shared" si="98"/>
        <v>33.164556999676002</v>
      </c>
      <c r="Q101">
        <f t="shared" si="99"/>
        <v>0.50426223696818351</v>
      </c>
      <c r="R101">
        <f t="shared" si="100"/>
        <v>2.9240418460870656</v>
      </c>
      <c r="S101">
        <f t="shared" si="101"/>
        <v>0.46046062736399573</v>
      </c>
      <c r="T101">
        <f t="shared" si="102"/>
        <v>0.29140557105553033</v>
      </c>
      <c r="U101">
        <f t="shared" si="103"/>
        <v>344.33710126379998</v>
      </c>
      <c r="V101">
        <f t="shared" si="104"/>
        <v>28.506225550589033</v>
      </c>
      <c r="W101">
        <f t="shared" si="105"/>
        <v>27.610800000000001</v>
      </c>
      <c r="X101">
        <f t="shared" si="106"/>
        <v>3.7095859356771843</v>
      </c>
      <c r="Y101">
        <f t="shared" si="107"/>
        <v>65.490469024144844</v>
      </c>
      <c r="Z101">
        <f t="shared" si="108"/>
        <v>2.4845629560067199</v>
      </c>
      <c r="AA101">
        <f t="shared" si="109"/>
        <v>3.7937779237627973</v>
      </c>
      <c r="AB101">
        <f t="shared" si="110"/>
        <v>1.2250229796704644</v>
      </c>
      <c r="AC101">
        <f t="shared" si="111"/>
        <v>-257.7734824200578</v>
      </c>
      <c r="AD101">
        <f t="shared" si="112"/>
        <v>60.597178876000825</v>
      </c>
      <c r="AE101">
        <f t="shared" si="113"/>
        <v>4.5084441841760956</v>
      </c>
      <c r="AF101">
        <f t="shared" si="114"/>
        <v>151.6692419039191</v>
      </c>
      <c r="AG101">
        <v>0</v>
      </c>
      <c r="AH101">
        <v>0</v>
      </c>
      <c r="AI101">
        <f t="shared" si="115"/>
        <v>1</v>
      </c>
      <c r="AJ101">
        <f t="shared" si="116"/>
        <v>0</v>
      </c>
      <c r="AK101">
        <f t="shared" si="117"/>
        <v>52532.988516484424</v>
      </c>
      <c r="AL101" t="s">
        <v>415</v>
      </c>
      <c r="AM101">
        <v>10214.9</v>
      </c>
      <c r="AN101">
        <v>729.4384</v>
      </c>
      <c r="AO101">
        <v>3170.19</v>
      </c>
      <c r="AP101">
        <f t="shared" si="118"/>
        <v>0.76990704027203416</v>
      </c>
      <c r="AQ101">
        <v>-0.45549566560547827</v>
      </c>
      <c r="AR101" t="s">
        <v>851</v>
      </c>
      <c r="AS101">
        <v>10088.700000000001</v>
      </c>
      <c r="AT101">
        <v>787.36308000000008</v>
      </c>
      <c r="AU101">
        <v>1190.936443495566</v>
      </c>
      <c r="AV101">
        <f t="shared" si="119"/>
        <v>0.3388706137088402</v>
      </c>
      <c r="AW101">
        <v>0.5</v>
      </c>
      <c r="AX101">
        <f t="shared" si="120"/>
        <v>1513.0419006319</v>
      </c>
      <c r="AY101">
        <f t="shared" si="121"/>
        <v>53.923873497636471</v>
      </c>
      <c r="AZ101">
        <f t="shared" si="122"/>
        <v>256.36271871716099</v>
      </c>
      <c r="BA101">
        <f t="shared" si="123"/>
        <v>3.5940425139932473E-2</v>
      </c>
      <c r="BB101">
        <f t="shared" si="124"/>
        <v>1.6619304643118036</v>
      </c>
      <c r="BC101">
        <f t="shared" si="125"/>
        <v>527.66145240965727</v>
      </c>
      <c r="BD101" t="s">
        <v>852</v>
      </c>
      <c r="BE101">
        <v>580.39</v>
      </c>
      <c r="BF101">
        <f t="shared" si="126"/>
        <v>580.39</v>
      </c>
      <c r="BG101">
        <f t="shared" si="127"/>
        <v>0.51266081143971576</v>
      </c>
      <c r="BH101">
        <f t="shared" si="128"/>
        <v>0.66100354493097102</v>
      </c>
      <c r="BI101">
        <f t="shared" si="129"/>
        <v>0.76424957776833502</v>
      </c>
      <c r="BJ101">
        <f t="shared" si="130"/>
        <v>0.87448553506043925</v>
      </c>
      <c r="BK101">
        <f t="shared" si="131"/>
        <v>0.81091970051537976</v>
      </c>
      <c r="BL101">
        <f t="shared" si="132"/>
        <v>0.48724642695017678</v>
      </c>
      <c r="BM101">
        <f t="shared" si="133"/>
        <v>0.51275357304982316</v>
      </c>
      <c r="BN101">
        <v>9226</v>
      </c>
      <c r="BO101">
        <v>290.00000000000011</v>
      </c>
      <c r="BP101">
        <v>1087.43</v>
      </c>
      <c r="BQ101">
        <v>215</v>
      </c>
      <c r="BR101">
        <v>10088.700000000001</v>
      </c>
      <c r="BS101">
        <v>1086.6300000000001</v>
      </c>
      <c r="BT101">
        <v>0.8</v>
      </c>
      <c r="BU101">
        <v>300.00000000000011</v>
      </c>
      <c r="BV101">
        <v>24.2</v>
      </c>
      <c r="BW101">
        <v>1190.936443495566</v>
      </c>
      <c r="BX101">
        <v>1.9525810700384849</v>
      </c>
      <c r="BY101">
        <v>-105.2357461155448</v>
      </c>
      <c r="BZ101">
        <v>1.7530528284203231</v>
      </c>
      <c r="CA101">
        <v>0.99228989947314106</v>
      </c>
      <c r="CB101">
        <v>-6.8911846496106854E-3</v>
      </c>
      <c r="CC101">
        <v>289.99999999999989</v>
      </c>
      <c r="CD101">
        <v>1085.1600000000001</v>
      </c>
      <c r="CE101">
        <v>715</v>
      </c>
      <c r="CF101">
        <v>10061.299999999999</v>
      </c>
      <c r="CG101">
        <v>1086.3399999999999</v>
      </c>
      <c r="CH101">
        <v>-1.18</v>
      </c>
      <c r="CV101">
        <f t="shared" si="134"/>
        <v>1799.83</v>
      </c>
      <c r="CW101">
        <f t="shared" si="135"/>
        <v>1513.0419006319</v>
      </c>
      <c r="CX101">
        <f t="shared" si="136"/>
        <v>0.84065822918381183</v>
      </c>
      <c r="CY101">
        <f t="shared" si="137"/>
        <v>0.19131645836762362</v>
      </c>
      <c r="CZ101">
        <v>6</v>
      </c>
      <c r="DA101">
        <v>0.5</v>
      </c>
      <c r="DB101" t="s">
        <v>418</v>
      </c>
      <c r="DC101">
        <v>2</v>
      </c>
      <c r="DD101">
        <v>1674595741.5</v>
      </c>
      <c r="DE101">
        <v>332.98</v>
      </c>
      <c r="DF101">
        <v>400.00200000000001</v>
      </c>
      <c r="DG101">
        <v>24.945599999999999</v>
      </c>
      <c r="DH101">
        <v>18.108599999999999</v>
      </c>
      <c r="DI101">
        <v>331.53100000000001</v>
      </c>
      <c r="DJ101">
        <v>24.8322</v>
      </c>
      <c r="DK101">
        <v>500.166</v>
      </c>
      <c r="DL101">
        <v>99.499300000000005</v>
      </c>
      <c r="DM101">
        <v>9.9946199999999999E-2</v>
      </c>
      <c r="DN101">
        <v>27.995200000000001</v>
      </c>
      <c r="DO101">
        <v>27.610800000000001</v>
      </c>
      <c r="DP101">
        <v>999.9</v>
      </c>
      <c r="DQ101">
        <v>0</v>
      </c>
      <c r="DR101">
        <v>0</v>
      </c>
      <c r="DS101">
        <v>10018.799999999999</v>
      </c>
      <c r="DT101">
        <v>0</v>
      </c>
      <c r="DU101">
        <v>323.67599999999999</v>
      </c>
      <c r="DV101">
        <v>-67.021299999999997</v>
      </c>
      <c r="DW101">
        <v>341.49900000000002</v>
      </c>
      <c r="DX101">
        <v>407.37900000000002</v>
      </c>
      <c r="DY101">
        <v>6.8369900000000001</v>
      </c>
      <c r="DZ101">
        <v>400.00200000000001</v>
      </c>
      <c r="EA101">
        <v>18.108599999999999</v>
      </c>
      <c r="EB101">
        <v>2.4820700000000002</v>
      </c>
      <c r="EC101">
        <v>1.80179</v>
      </c>
      <c r="ED101">
        <v>20.909400000000002</v>
      </c>
      <c r="EE101">
        <v>15.8024</v>
      </c>
      <c r="EF101">
        <v>1799.83</v>
      </c>
      <c r="EG101">
        <v>0.97799800000000003</v>
      </c>
      <c r="EH101">
        <v>2.2002500000000001E-2</v>
      </c>
      <c r="EI101">
        <v>0</v>
      </c>
      <c r="EJ101">
        <v>787.43600000000004</v>
      </c>
      <c r="EK101">
        <v>4.9990399999999999</v>
      </c>
      <c r="EL101">
        <v>14723.2</v>
      </c>
      <c r="EM101">
        <v>14819.3</v>
      </c>
      <c r="EN101">
        <v>48.311999999999998</v>
      </c>
      <c r="EO101">
        <v>49.811999999999998</v>
      </c>
      <c r="EP101">
        <v>49.25</v>
      </c>
      <c r="EQ101">
        <v>48.25</v>
      </c>
      <c r="ER101">
        <v>49.186999999999998</v>
      </c>
      <c r="ES101">
        <v>1755.34</v>
      </c>
      <c r="ET101">
        <v>39.49</v>
      </c>
      <c r="EU101">
        <v>0</v>
      </c>
      <c r="EV101">
        <v>1425.7999999523161</v>
      </c>
      <c r="EW101">
        <v>0</v>
      </c>
      <c r="EX101">
        <v>787.36308000000008</v>
      </c>
      <c r="EY101">
        <v>1.449153856867283</v>
      </c>
      <c r="EZ101">
        <v>20.200000146088019</v>
      </c>
      <c r="FA101">
        <v>14726.88</v>
      </c>
      <c r="FB101">
        <v>15</v>
      </c>
      <c r="FC101">
        <v>1674595709.5</v>
      </c>
      <c r="FD101" t="s">
        <v>853</v>
      </c>
      <c r="FE101">
        <v>1674595704</v>
      </c>
      <c r="FF101">
        <v>1674595709.5</v>
      </c>
      <c r="FG101">
        <v>97</v>
      </c>
      <c r="FH101">
        <v>0.105</v>
      </c>
      <c r="FI101">
        <v>-5.0000000000000001E-3</v>
      </c>
      <c r="FJ101">
        <v>1.5580000000000001</v>
      </c>
      <c r="FK101">
        <v>6.8000000000000005E-2</v>
      </c>
      <c r="FL101">
        <v>400</v>
      </c>
      <c r="FM101">
        <v>18</v>
      </c>
      <c r="FN101">
        <v>0.06</v>
      </c>
      <c r="FO101">
        <v>0.02</v>
      </c>
      <c r="FP101">
        <v>53.932414892162079</v>
      </c>
      <c r="FQ101">
        <v>-0.53078405275314622</v>
      </c>
      <c r="FR101">
        <v>6.8544283101164685E-2</v>
      </c>
      <c r="FS101">
        <v>1</v>
      </c>
      <c r="FT101">
        <v>0.50423464996794143</v>
      </c>
      <c r="FU101">
        <v>1.2594336837801111E-2</v>
      </c>
      <c r="FV101">
        <v>3.8286042398292639E-3</v>
      </c>
      <c r="FW101">
        <v>1</v>
      </c>
      <c r="FX101">
        <v>2</v>
      </c>
      <c r="FY101">
        <v>2</v>
      </c>
      <c r="FZ101" t="s">
        <v>420</v>
      </c>
      <c r="GA101">
        <v>2.93357</v>
      </c>
      <c r="GB101">
        <v>2.8335699999999999</v>
      </c>
      <c r="GC101">
        <v>7.8054200000000004E-2</v>
      </c>
      <c r="GD101">
        <v>8.8572399999999996E-2</v>
      </c>
      <c r="GE101">
        <v>0.122404</v>
      </c>
      <c r="GF101">
        <v>9.4493300000000002E-2</v>
      </c>
      <c r="GG101">
        <v>23883.200000000001</v>
      </c>
      <c r="GH101">
        <v>29729.200000000001</v>
      </c>
      <c r="GI101">
        <v>23307.5</v>
      </c>
      <c r="GJ101">
        <v>29884.2</v>
      </c>
      <c r="GK101">
        <v>27832.400000000001</v>
      </c>
      <c r="GL101">
        <v>38483.5</v>
      </c>
      <c r="GM101">
        <v>32902.6</v>
      </c>
      <c r="GN101">
        <v>44339.4</v>
      </c>
      <c r="GO101">
        <v>1.9675800000000001</v>
      </c>
      <c r="GP101">
        <v>1.8404</v>
      </c>
      <c r="GQ101">
        <v>5.3457900000000003E-2</v>
      </c>
      <c r="GR101">
        <v>0</v>
      </c>
      <c r="GS101">
        <v>26.736799999999999</v>
      </c>
      <c r="GT101">
        <v>999.9</v>
      </c>
      <c r="GU101">
        <v>47.8</v>
      </c>
      <c r="GV101">
        <v>35.200000000000003</v>
      </c>
      <c r="GW101">
        <v>27.435600000000001</v>
      </c>
      <c r="GX101">
        <v>61.111199999999997</v>
      </c>
      <c r="GY101">
        <v>36.045699999999997</v>
      </c>
      <c r="GZ101">
        <v>1</v>
      </c>
      <c r="HA101">
        <v>0.34042699999999998</v>
      </c>
      <c r="HB101">
        <v>2.23794</v>
      </c>
      <c r="HC101">
        <v>20.258299999999998</v>
      </c>
      <c r="HD101">
        <v>5.2105499999999996</v>
      </c>
      <c r="HE101">
        <v>11.872199999999999</v>
      </c>
      <c r="HF101">
        <v>4.9851000000000001</v>
      </c>
      <c r="HG101">
        <v>3.2839999999999998</v>
      </c>
      <c r="HH101">
        <v>9999</v>
      </c>
      <c r="HI101">
        <v>9999</v>
      </c>
      <c r="HJ101">
        <v>9999</v>
      </c>
      <c r="HK101">
        <v>999.9</v>
      </c>
      <c r="HL101">
        <v>1.8547100000000001</v>
      </c>
      <c r="HM101">
        <v>1.8608</v>
      </c>
      <c r="HN101">
        <v>1.85822</v>
      </c>
      <c r="HO101">
        <v>1.8593999999999999</v>
      </c>
      <c r="HP101">
        <v>1.85877</v>
      </c>
      <c r="HQ101">
        <v>1.85928</v>
      </c>
      <c r="HR101">
        <v>1.85762</v>
      </c>
      <c r="HS101">
        <v>1.8609599999999999</v>
      </c>
      <c r="HT101">
        <v>5</v>
      </c>
      <c r="HU101">
        <v>0</v>
      </c>
      <c r="HV101">
        <v>0</v>
      </c>
      <c r="HW101">
        <v>0</v>
      </c>
      <c r="HX101" t="s">
        <v>421</v>
      </c>
      <c r="HY101" t="s">
        <v>422</v>
      </c>
      <c r="HZ101" t="s">
        <v>423</v>
      </c>
      <c r="IA101" t="s">
        <v>423</v>
      </c>
      <c r="IB101" t="s">
        <v>423</v>
      </c>
      <c r="IC101" t="s">
        <v>423</v>
      </c>
      <c r="ID101">
        <v>0</v>
      </c>
      <c r="IE101">
        <v>100</v>
      </c>
      <c r="IF101">
        <v>100</v>
      </c>
      <c r="IG101">
        <v>1.4490000000000001</v>
      </c>
      <c r="IH101">
        <v>0.1134</v>
      </c>
      <c r="II101">
        <v>0.90539277051454792</v>
      </c>
      <c r="IJ101">
        <v>1.6187016317407189E-3</v>
      </c>
      <c r="IK101">
        <v>1.4341569744255341E-7</v>
      </c>
      <c r="IL101">
        <v>-2.4096625942085749E-10</v>
      </c>
      <c r="IM101">
        <v>0.1133792942838039</v>
      </c>
      <c r="IN101">
        <v>0</v>
      </c>
      <c r="IO101">
        <v>0</v>
      </c>
      <c r="IP101">
        <v>0</v>
      </c>
      <c r="IQ101">
        <v>4</v>
      </c>
      <c r="IR101">
        <v>2205</v>
      </c>
      <c r="IS101">
        <v>1</v>
      </c>
      <c r="IT101">
        <v>21</v>
      </c>
      <c r="IU101">
        <v>0.6</v>
      </c>
      <c r="IV101">
        <v>0.5</v>
      </c>
      <c r="IW101">
        <v>0.98754900000000001</v>
      </c>
      <c r="IX101">
        <v>2.4389599999999998</v>
      </c>
      <c r="IY101">
        <v>1.49414</v>
      </c>
      <c r="IZ101">
        <v>2.3046899999999999</v>
      </c>
      <c r="JA101">
        <v>1.69434</v>
      </c>
      <c r="JB101">
        <v>2.4011200000000001</v>
      </c>
      <c r="JC101">
        <v>39.217300000000002</v>
      </c>
      <c r="JD101">
        <v>23.9999</v>
      </c>
      <c r="JE101">
        <v>18</v>
      </c>
      <c r="JF101">
        <v>509.81799999999998</v>
      </c>
      <c r="JG101">
        <v>450.06900000000002</v>
      </c>
      <c r="JH101">
        <v>24.697800000000001</v>
      </c>
      <c r="JI101">
        <v>31.6065</v>
      </c>
      <c r="JJ101">
        <v>30.0001</v>
      </c>
      <c r="JK101">
        <v>31.508500000000002</v>
      </c>
      <c r="JL101">
        <v>31.4739</v>
      </c>
      <c r="JM101">
        <v>19.847899999999999</v>
      </c>
      <c r="JN101">
        <v>40.682000000000002</v>
      </c>
      <c r="JO101">
        <v>0</v>
      </c>
      <c r="JP101">
        <v>24.701000000000001</v>
      </c>
      <c r="JQ101">
        <v>400</v>
      </c>
      <c r="JR101">
        <v>18.0078</v>
      </c>
      <c r="JS101">
        <v>99.110399999999998</v>
      </c>
      <c r="JT101">
        <v>99.572900000000004</v>
      </c>
    </row>
    <row r="102" spans="1:280" x14ac:dyDescent="0.25">
      <c r="A102">
        <v>86</v>
      </c>
      <c r="B102">
        <v>1674595851.5</v>
      </c>
      <c r="C102">
        <v>21798.900000095371</v>
      </c>
      <c r="D102" t="s">
        <v>854</v>
      </c>
      <c r="E102" t="s">
        <v>855</v>
      </c>
      <c r="F102" t="s">
        <v>412</v>
      </c>
      <c r="G102" t="s">
        <v>850</v>
      </c>
      <c r="H102" t="s">
        <v>565</v>
      </c>
      <c r="I102">
        <v>1674595851.5</v>
      </c>
      <c r="J102">
        <f t="shared" si="92"/>
        <v>5.9350136068709557E-3</v>
      </c>
      <c r="K102">
        <f t="shared" si="93"/>
        <v>5.9350136068709558</v>
      </c>
      <c r="L102">
        <f t="shared" si="94"/>
        <v>46.685212329130096</v>
      </c>
      <c r="M102">
        <f t="shared" si="95"/>
        <v>242.221</v>
      </c>
      <c r="N102">
        <f t="shared" si="96"/>
        <v>80.842364548374007</v>
      </c>
      <c r="O102">
        <f t="shared" si="97"/>
        <v>8.0521595789048028</v>
      </c>
      <c r="P102">
        <f t="shared" si="98"/>
        <v>24.125990824957</v>
      </c>
      <c r="Q102">
        <f t="shared" si="99"/>
        <v>0.51148084540319505</v>
      </c>
      <c r="R102">
        <f t="shared" si="100"/>
        <v>2.9201613260657573</v>
      </c>
      <c r="S102">
        <f t="shared" si="101"/>
        <v>0.46642191004181</v>
      </c>
      <c r="T102">
        <f t="shared" si="102"/>
        <v>0.2952305608981905</v>
      </c>
      <c r="U102">
        <f t="shared" si="103"/>
        <v>344.37700126365257</v>
      </c>
      <c r="V102">
        <f t="shared" si="104"/>
        <v>28.487281800413285</v>
      </c>
      <c r="W102">
        <f t="shared" si="105"/>
        <v>27.606200000000001</v>
      </c>
      <c r="X102">
        <f t="shared" si="106"/>
        <v>3.7085883894336251</v>
      </c>
      <c r="Y102">
        <f t="shared" si="107"/>
        <v>65.371190970706422</v>
      </c>
      <c r="Z102">
        <f t="shared" si="108"/>
        <v>2.4805583574547998</v>
      </c>
      <c r="AA102">
        <f t="shared" si="109"/>
        <v>3.7945742162879772</v>
      </c>
      <c r="AB102">
        <f t="shared" si="110"/>
        <v>1.2280300319788253</v>
      </c>
      <c r="AC102">
        <f t="shared" si="111"/>
        <v>-261.73410006300912</v>
      </c>
      <c r="AD102">
        <f t="shared" si="112"/>
        <v>61.8077001075022</v>
      </c>
      <c r="AE102">
        <f t="shared" si="113"/>
        <v>4.6045951910335692</v>
      </c>
      <c r="AF102">
        <f t="shared" si="114"/>
        <v>149.05519649917923</v>
      </c>
      <c r="AG102">
        <v>0</v>
      </c>
      <c r="AH102">
        <v>0</v>
      </c>
      <c r="AI102">
        <f t="shared" si="115"/>
        <v>1</v>
      </c>
      <c r="AJ102">
        <f t="shared" si="116"/>
        <v>0</v>
      </c>
      <c r="AK102">
        <f t="shared" si="117"/>
        <v>52420.972840003793</v>
      </c>
      <c r="AL102" t="s">
        <v>415</v>
      </c>
      <c r="AM102">
        <v>10214.9</v>
      </c>
      <c r="AN102">
        <v>729.4384</v>
      </c>
      <c r="AO102">
        <v>3170.19</v>
      </c>
      <c r="AP102">
        <f t="shared" si="118"/>
        <v>0.76990704027203416</v>
      </c>
      <c r="AQ102">
        <v>-0.45549566560547827</v>
      </c>
      <c r="AR102" t="s">
        <v>856</v>
      </c>
      <c r="AS102">
        <v>10079.5</v>
      </c>
      <c r="AT102">
        <v>777.73669230769235</v>
      </c>
      <c r="AU102">
        <v>1125.0146954207951</v>
      </c>
      <c r="AV102">
        <f t="shared" si="119"/>
        <v>0.30868752606223382</v>
      </c>
      <c r="AW102">
        <v>0.5</v>
      </c>
      <c r="AX102">
        <f t="shared" si="120"/>
        <v>1513.2183006318264</v>
      </c>
      <c r="AY102">
        <f t="shared" si="121"/>
        <v>46.685212329130096</v>
      </c>
      <c r="AZ102">
        <f t="shared" si="122"/>
        <v>233.55580680706805</v>
      </c>
      <c r="BA102">
        <f t="shared" si="123"/>
        <v>3.1152615571099374E-2</v>
      </c>
      <c r="BB102">
        <f t="shared" si="124"/>
        <v>1.8179098574478953</v>
      </c>
      <c r="BC102">
        <f t="shared" si="125"/>
        <v>514.30898835476421</v>
      </c>
      <c r="BD102" t="s">
        <v>857</v>
      </c>
      <c r="BE102">
        <v>573.07000000000005</v>
      </c>
      <c r="BF102">
        <f t="shared" si="126"/>
        <v>573.07000000000005</v>
      </c>
      <c r="BG102">
        <f t="shared" si="127"/>
        <v>0.49061109838600669</v>
      </c>
      <c r="BH102">
        <f t="shared" si="128"/>
        <v>0.62918985542263939</v>
      </c>
      <c r="BI102">
        <f t="shared" si="129"/>
        <v>0.78747816988787778</v>
      </c>
      <c r="BJ102">
        <f t="shared" si="130"/>
        <v>0.87790397739501824</v>
      </c>
      <c r="BK102">
        <f t="shared" si="131"/>
        <v>0.83792849078915077</v>
      </c>
      <c r="BL102">
        <f t="shared" si="132"/>
        <v>0.46361427204517364</v>
      </c>
      <c r="BM102">
        <f t="shared" si="133"/>
        <v>0.53638572795482631</v>
      </c>
      <c r="BN102">
        <v>9228</v>
      </c>
      <c r="BO102">
        <v>290.00000000000011</v>
      </c>
      <c r="BP102">
        <v>1033.3900000000001</v>
      </c>
      <c r="BQ102">
        <v>295</v>
      </c>
      <c r="BR102">
        <v>10079.5</v>
      </c>
      <c r="BS102">
        <v>1032.5899999999999</v>
      </c>
      <c r="BT102">
        <v>0.8</v>
      </c>
      <c r="BU102">
        <v>300.00000000000011</v>
      </c>
      <c r="BV102">
        <v>24.2</v>
      </c>
      <c r="BW102">
        <v>1125.0146954207951</v>
      </c>
      <c r="BX102">
        <v>1.8809016683764519</v>
      </c>
      <c r="BY102">
        <v>-93.162063565571358</v>
      </c>
      <c r="BZ102">
        <v>1.688523126919544</v>
      </c>
      <c r="CA102">
        <v>0.99088582268859515</v>
      </c>
      <c r="CB102">
        <v>-6.8905628476084542E-3</v>
      </c>
      <c r="CC102">
        <v>289.99999999999989</v>
      </c>
      <c r="CD102">
        <v>1030.98</v>
      </c>
      <c r="CE102">
        <v>645</v>
      </c>
      <c r="CF102">
        <v>10064.1</v>
      </c>
      <c r="CG102">
        <v>1032.45</v>
      </c>
      <c r="CH102">
        <v>-1.47</v>
      </c>
      <c r="CV102">
        <f t="shared" si="134"/>
        <v>1800.04</v>
      </c>
      <c r="CW102">
        <f t="shared" si="135"/>
        <v>1513.2183006318264</v>
      </c>
      <c r="CX102">
        <f t="shared" si="136"/>
        <v>0.84065815239207264</v>
      </c>
      <c r="CY102">
        <f t="shared" si="137"/>
        <v>0.19131630478414513</v>
      </c>
      <c r="CZ102">
        <v>6</v>
      </c>
      <c r="DA102">
        <v>0.5</v>
      </c>
      <c r="DB102" t="s">
        <v>418</v>
      </c>
      <c r="DC102">
        <v>2</v>
      </c>
      <c r="DD102">
        <v>1674595851.5</v>
      </c>
      <c r="DE102">
        <v>242.221</v>
      </c>
      <c r="DF102">
        <v>299.95299999999997</v>
      </c>
      <c r="DG102">
        <v>24.904399999999999</v>
      </c>
      <c r="DH102">
        <v>17.961600000000001</v>
      </c>
      <c r="DI102">
        <v>240.886</v>
      </c>
      <c r="DJ102">
        <v>24.7928</v>
      </c>
      <c r="DK102">
        <v>500.13299999999998</v>
      </c>
      <c r="DL102">
        <v>99.503100000000003</v>
      </c>
      <c r="DM102">
        <v>0.100117</v>
      </c>
      <c r="DN102">
        <v>27.998799999999999</v>
      </c>
      <c r="DO102">
        <v>27.606200000000001</v>
      </c>
      <c r="DP102">
        <v>999.9</v>
      </c>
      <c r="DQ102">
        <v>0</v>
      </c>
      <c r="DR102">
        <v>0</v>
      </c>
      <c r="DS102">
        <v>9996.25</v>
      </c>
      <c r="DT102">
        <v>0</v>
      </c>
      <c r="DU102">
        <v>320.69499999999999</v>
      </c>
      <c r="DV102">
        <v>-57.732100000000003</v>
      </c>
      <c r="DW102">
        <v>248.40799999999999</v>
      </c>
      <c r="DX102">
        <v>305.44</v>
      </c>
      <c r="DY102">
        <v>6.9427899999999996</v>
      </c>
      <c r="DZ102">
        <v>299.95299999999997</v>
      </c>
      <c r="EA102">
        <v>17.961600000000001</v>
      </c>
      <c r="EB102">
        <v>2.4780700000000002</v>
      </c>
      <c r="EC102">
        <v>1.7872399999999999</v>
      </c>
      <c r="ED102">
        <v>20.883199999999999</v>
      </c>
      <c r="EE102">
        <v>15.675599999999999</v>
      </c>
      <c r="EF102">
        <v>1800.04</v>
      </c>
      <c r="EG102">
        <v>0.97800100000000001</v>
      </c>
      <c r="EH102">
        <v>2.1998799999999999E-2</v>
      </c>
      <c r="EI102">
        <v>0</v>
      </c>
      <c r="EJ102">
        <v>777.24099999999999</v>
      </c>
      <c r="EK102">
        <v>4.9990399999999999</v>
      </c>
      <c r="EL102">
        <v>14534.2</v>
      </c>
      <c r="EM102">
        <v>14821</v>
      </c>
      <c r="EN102">
        <v>48.375</v>
      </c>
      <c r="EO102">
        <v>49.811999999999998</v>
      </c>
      <c r="EP102">
        <v>49.311999999999998</v>
      </c>
      <c r="EQ102">
        <v>48.25</v>
      </c>
      <c r="ER102">
        <v>49.25</v>
      </c>
      <c r="ES102">
        <v>1755.55</v>
      </c>
      <c r="ET102">
        <v>39.49</v>
      </c>
      <c r="EU102">
        <v>0</v>
      </c>
      <c r="EV102">
        <v>108</v>
      </c>
      <c r="EW102">
        <v>0</v>
      </c>
      <c r="EX102">
        <v>777.73669230769235</v>
      </c>
      <c r="EY102">
        <v>-2.3338803542930799</v>
      </c>
      <c r="EZ102">
        <v>-41.982905954462282</v>
      </c>
      <c r="FA102">
        <v>14538.984615384619</v>
      </c>
      <c r="FB102">
        <v>15</v>
      </c>
      <c r="FC102">
        <v>1674595818</v>
      </c>
      <c r="FD102" t="s">
        <v>858</v>
      </c>
      <c r="FE102">
        <v>1674595812</v>
      </c>
      <c r="FF102">
        <v>1674595818</v>
      </c>
      <c r="FG102">
        <v>98</v>
      </c>
      <c r="FH102">
        <v>3.5000000000000003E-2</v>
      </c>
      <c r="FI102">
        <v>-2E-3</v>
      </c>
      <c r="FJ102">
        <v>1.43</v>
      </c>
      <c r="FK102">
        <v>6.3E-2</v>
      </c>
      <c r="FL102">
        <v>300</v>
      </c>
      <c r="FM102">
        <v>18</v>
      </c>
      <c r="FN102">
        <v>0.02</v>
      </c>
      <c r="FO102">
        <v>0.02</v>
      </c>
      <c r="FP102">
        <v>46.689446220564022</v>
      </c>
      <c r="FQ102">
        <v>-0.37065792710917023</v>
      </c>
      <c r="FR102">
        <v>4.6311827055859983E-2</v>
      </c>
      <c r="FS102">
        <v>1</v>
      </c>
      <c r="FT102">
        <v>0.5124939451762377</v>
      </c>
      <c r="FU102">
        <v>3.3268026903658113E-2</v>
      </c>
      <c r="FV102">
        <v>4.8708425344991162E-3</v>
      </c>
      <c r="FW102">
        <v>1</v>
      </c>
      <c r="FX102">
        <v>2</v>
      </c>
      <c r="FY102">
        <v>2</v>
      </c>
      <c r="FZ102" t="s">
        <v>420</v>
      </c>
      <c r="GA102">
        <v>2.93344</v>
      </c>
      <c r="GB102">
        <v>2.8335400000000002</v>
      </c>
      <c r="GC102">
        <v>6.0016899999999998E-2</v>
      </c>
      <c r="GD102">
        <v>7.0530399999999993E-2</v>
      </c>
      <c r="GE102">
        <v>0.122263</v>
      </c>
      <c r="GF102">
        <v>9.3943200000000004E-2</v>
      </c>
      <c r="GG102">
        <v>24348.2</v>
      </c>
      <c r="GH102">
        <v>30315.1</v>
      </c>
      <c r="GI102">
        <v>23305.8</v>
      </c>
      <c r="GJ102">
        <v>29882.2</v>
      </c>
      <c r="GK102">
        <v>27834.6</v>
      </c>
      <c r="GL102">
        <v>38504.1</v>
      </c>
      <c r="GM102">
        <v>32900.1</v>
      </c>
      <c r="GN102">
        <v>44336.5</v>
      </c>
      <c r="GO102">
        <v>1.96675</v>
      </c>
      <c r="GP102">
        <v>1.83965</v>
      </c>
      <c r="GQ102">
        <v>5.4873499999999999E-2</v>
      </c>
      <c r="GR102">
        <v>0</v>
      </c>
      <c r="GS102">
        <v>26.709099999999999</v>
      </c>
      <c r="GT102">
        <v>999.9</v>
      </c>
      <c r="GU102">
        <v>47.8</v>
      </c>
      <c r="GV102">
        <v>35.200000000000003</v>
      </c>
      <c r="GW102">
        <v>27.4361</v>
      </c>
      <c r="GX102">
        <v>61.121200000000002</v>
      </c>
      <c r="GY102">
        <v>36.053699999999999</v>
      </c>
      <c r="GZ102">
        <v>1</v>
      </c>
      <c r="HA102">
        <v>0.34378599999999998</v>
      </c>
      <c r="HB102">
        <v>2.2076699999999998</v>
      </c>
      <c r="HC102">
        <v>20.258700000000001</v>
      </c>
      <c r="HD102">
        <v>5.2105499999999996</v>
      </c>
      <c r="HE102">
        <v>11.872199999999999</v>
      </c>
      <c r="HF102">
        <v>4.9854500000000002</v>
      </c>
      <c r="HG102">
        <v>3.2839999999999998</v>
      </c>
      <c r="HH102">
        <v>9999</v>
      </c>
      <c r="HI102">
        <v>9999</v>
      </c>
      <c r="HJ102">
        <v>9999</v>
      </c>
      <c r="HK102">
        <v>999.9</v>
      </c>
      <c r="HL102">
        <v>1.8546899999999999</v>
      </c>
      <c r="HM102">
        <v>1.8607800000000001</v>
      </c>
      <c r="HN102">
        <v>1.8582000000000001</v>
      </c>
      <c r="HO102">
        <v>1.8593999999999999</v>
      </c>
      <c r="HP102">
        <v>1.8586800000000001</v>
      </c>
      <c r="HQ102">
        <v>1.85928</v>
      </c>
      <c r="HR102">
        <v>1.8575999999999999</v>
      </c>
      <c r="HS102">
        <v>1.8609599999999999</v>
      </c>
      <c r="HT102">
        <v>5</v>
      </c>
      <c r="HU102">
        <v>0</v>
      </c>
      <c r="HV102">
        <v>0</v>
      </c>
      <c r="HW102">
        <v>0</v>
      </c>
      <c r="HX102" t="s">
        <v>421</v>
      </c>
      <c r="HY102" t="s">
        <v>422</v>
      </c>
      <c r="HZ102" t="s">
        <v>423</v>
      </c>
      <c r="IA102" t="s">
        <v>423</v>
      </c>
      <c r="IB102" t="s">
        <v>423</v>
      </c>
      <c r="IC102" t="s">
        <v>423</v>
      </c>
      <c r="ID102">
        <v>0</v>
      </c>
      <c r="IE102">
        <v>100</v>
      </c>
      <c r="IF102">
        <v>100</v>
      </c>
      <c r="IG102">
        <v>1.335</v>
      </c>
      <c r="IH102">
        <v>0.1116</v>
      </c>
      <c r="II102">
        <v>0.94054253956801781</v>
      </c>
      <c r="IJ102">
        <v>1.6187016317407189E-3</v>
      </c>
      <c r="IK102">
        <v>1.4341569744255341E-7</v>
      </c>
      <c r="IL102">
        <v>-2.4096625942085749E-10</v>
      </c>
      <c r="IM102">
        <v>0.1115806111979111</v>
      </c>
      <c r="IN102">
        <v>0</v>
      </c>
      <c r="IO102">
        <v>0</v>
      </c>
      <c r="IP102">
        <v>0</v>
      </c>
      <c r="IQ102">
        <v>4</v>
      </c>
      <c r="IR102">
        <v>2205</v>
      </c>
      <c r="IS102">
        <v>1</v>
      </c>
      <c r="IT102">
        <v>21</v>
      </c>
      <c r="IU102">
        <v>0.7</v>
      </c>
      <c r="IV102">
        <v>0.6</v>
      </c>
      <c r="IW102">
        <v>0.78491200000000005</v>
      </c>
      <c r="IX102">
        <v>2.4438499999999999</v>
      </c>
      <c r="IY102">
        <v>1.49414</v>
      </c>
      <c r="IZ102">
        <v>2.3046899999999999</v>
      </c>
      <c r="JA102">
        <v>1.69434</v>
      </c>
      <c r="JB102">
        <v>2.4096700000000002</v>
      </c>
      <c r="JC102">
        <v>39.217300000000002</v>
      </c>
      <c r="JD102">
        <v>24.008700000000001</v>
      </c>
      <c r="JE102">
        <v>18</v>
      </c>
      <c r="JF102">
        <v>509.60599999999999</v>
      </c>
      <c r="JG102">
        <v>449.87099999999998</v>
      </c>
      <c r="JH102">
        <v>24.707899999999999</v>
      </c>
      <c r="JI102">
        <v>31.646100000000001</v>
      </c>
      <c r="JJ102">
        <v>30.000299999999999</v>
      </c>
      <c r="JK102">
        <v>31.5473</v>
      </c>
      <c r="JL102">
        <v>31.513200000000001</v>
      </c>
      <c r="JM102">
        <v>15.780099999999999</v>
      </c>
      <c r="JN102">
        <v>40.674700000000001</v>
      </c>
      <c r="JO102">
        <v>0</v>
      </c>
      <c r="JP102">
        <v>24.7117</v>
      </c>
      <c r="JQ102">
        <v>300</v>
      </c>
      <c r="JR102">
        <v>17.9009</v>
      </c>
      <c r="JS102">
        <v>99.103099999999998</v>
      </c>
      <c r="JT102">
        <v>99.566199999999995</v>
      </c>
    </row>
    <row r="103" spans="1:280" x14ac:dyDescent="0.25">
      <c r="A103">
        <v>87</v>
      </c>
      <c r="B103">
        <v>1674595985.5</v>
      </c>
      <c r="C103">
        <v>21932.900000095371</v>
      </c>
      <c r="D103" t="s">
        <v>859</v>
      </c>
      <c r="E103" t="s">
        <v>860</v>
      </c>
      <c r="F103" t="s">
        <v>412</v>
      </c>
      <c r="G103" t="s">
        <v>850</v>
      </c>
      <c r="H103" t="s">
        <v>565</v>
      </c>
      <c r="I103">
        <v>1674595985.5</v>
      </c>
      <c r="J103">
        <f t="shared" si="92"/>
        <v>6.4747477394447575E-3</v>
      </c>
      <c r="K103">
        <f t="shared" si="93"/>
        <v>6.4747477394447577</v>
      </c>
      <c r="L103">
        <f t="shared" si="94"/>
        <v>34.669426257116392</v>
      </c>
      <c r="M103">
        <f t="shared" si="95"/>
        <v>157.24</v>
      </c>
      <c r="N103">
        <f t="shared" si="96"/>
        <v>48.379426599926106</v>
      </c>
      <c r="O103">
        <f t="shared" si="97"/>
        <v>4.8189322062073021</v>
      </c>
      <c r="P103">
        <f t="shared" si="98"/>
        <v>15.662213328200002</v>
      </c>
      <c r="Q103">
        <f t="shared" si="99"/>
        <v>0.56694992198159255</v>
      </c>
      <c r="R103">
        <f t="shared" si="100"/>
        <v>2.9219725054975201</v>
      </c>
      <c r="S103">
        <f t="shared" si="101"/>
        <v>0.51217829445211316</v>
      </c>
      <c r="T103">
        <f t="shared" si="102"/>
        <v>0.32459036464963453</v>
      </c>
      <c r="U103">
        <f t="shared" si="103"/>
        <v>344.37320126366666</v>
      </c>
      <c r="V103">
        <f t="shared" si="104"/>
        <v>28.333272512808218</v>
      </c>
      <c r="W103">
        <f t="shared" si="105"/>
        <v>27.559899999999999</v>
      </c>
      <c r="X103">
        <f t="shared" si="106"/>
        <v>3.6985608977614897</v>
      </c>
      <c r="Y103">
        <f t="shared" si="107"/>
        <v>65.364549464351782</v>
      </c>
      <c r="Z103">
        <f t="shared" si="108"/>
        <v>2.4784127818045003</v>
      </c>
      <c r="AA103">
        <f t="shared" si="109"/>
        <v>3.7916772962019203</v>
      </c>
      <c r="AB103">
        <f t="shared" si="110"/>
        <v>1.2201481159569894</v>
      </c>
      <c r="AC103">
        <f t="shared" si="111"/>
        <v>-285.5363753095138</v>
      </c>
      <c r="AD103">
        <f t="shared" si="112"/>
        <v>67.076010734835975</v>
      </c>
      <c r="AE103">
        <f t="shared" si="113"/>
        <v>4.9925014810575519</v>
      </c>
      <c r="AF103">
        <f t="shared" si="114"/>
        <v>130.90533817004638</v>
      </c>
      <c r="AG103">
        <v>0</v>
      </c>
      <c r="AH103">
        <v>0</v>
      </c>
      <c r="AI103">
        <f t="shared" si="115"/>
        <v>1</v>
      </c>
      <c r="AJ103">
        <f t="shared" si="116"/>
        <v>0</v>
      </c>
      <c r="AK103">
        <f t="shared" si="117"/>
        <v>52475.356453907967</v>
      </c>
      <c r="AL103" t="s">
        <v>415</v>
      </c>
      <c r="AM103">
        <v>10214.9</v>
      </c>
      <c r="AN103">
        <v>729.4384</v>
      </c>
      <c r="AO103">
        <v>3170.19</v>
      </c>
      <c r="AP103">
        <f t="shared" si="118"/>
        <v>0.76990704027203416</v>
      </c>
      <c r="AQ103">
        <v>-0.45549566560547827</v>
      </c>
      <c r="AR103" t="s">
        <v>861</v>
      </c>
      <c r="AS103">
        <v>10103.700000000001</v>
      </c>
      <c r="AT103">
        <v>779.59460000000001</v>
      </c>
      <c r="AU103">
        <v>1045.5286736929479</v>
      </c>
      <c r="AV103">
        <f t="shared" si="119"/>
        <v>0.25435368764553623</v>
      </c>
      <c r="AW103">
        <v>0.5</v>
      </c>
      <c r="AX103">
        <f t="shared" si="120"/>
        <v>1513.2015006318331</v>
      </c>
      <c r="AY103">
        <f t="shared" si="121"/>
        <v>34.669426257116392</v>
      </c>
      <c r="AZ103">
        <f t="shared" si="122"/>
        <v>192.44419091823301</v>
      </c>
      <c r="BA103">
        <f t="shared" si="123"/>
        <v>2.3212322951077932E-2</v>
      </c>
      <c r="BB103">
        <f t="shared" si="124"/>
        <v>2.032140657417326</v>
      </c>
      <c r="BC103">
        <f t="shared" si="125"/>
        <v>497.03442027534203</v>
      </c>
      <c r="BD103" t="s">
        <v>862</v>
      </c>
      <c r="BE103">
        <v>563.63</v>
      </c>
      <c r="BF103">
        <f t="shared" si="126"/>
        <v>563.63</v>
      </c>
      <c r="BG103">
        <f t="shared" si="127"/>
        <v>0.46091387622188973</v>
      </c>
      <c r="BH103">
        <f t="shared" si="128"/>
        <v>0.55184645281342593</v>
      </c>
      <c r="BI103">
        <f t="shared" si="129"/>
        <v>0.81512082066288605</v>
      </c>
      <c r="BJ103">
        <f t="shared" si="130"/>
        <v>0.84132317829962067</v>
      </c>
      <c r="BK103">
        <f t="shared" si="131"/>
        <v>0.87049469774271671</v>
      </c>
      <c r="BL103">
        <f t="shared" si="132"/>
        <v>0.39897302546635294</v>
      </c>
      <c r="BM103">
        <f t="shared" si="133"/>
        <v>0.60102697453364706</v>
      </c>
      <c r="BN103">
        <v>9230</v>
      </c>
      <c r="BO103">
        <v>290.00000000000011</v>
      </c>
      <c r="BP103">
        <v>970.56</v>
      </c>
      <c r="BQ103">
        <v>105</v>
      </c>
      <c r="BR103">
        <v>10103.700000000001</v>
      </c>
      <c r="BS103">
        <v>970.18</v>
      </c>
      <c r="BT103">
        <v>0.38</v>
      </c>
      <c r="BU103">
        <v>300.00000000000011</v>
      </c>
      <c r="BV103">
        <v>24.2</v>
      </c>
      <c r="BW103">
        <v>1045.5286736929479</v>
      </c>
      <c r="BX103">
        <v>2.0188687474432609</v>
      </c>
      <c r="BY103">
        <v>-76.125784604604476</v>
      </c>
      <c r="BZ103">
        <v>1.8122695651715071</v>
      </c>
      <c r="CA103">
        <v>0.98437922767473163</v>
      </c>
      <c r="CB103">
        <v>-6.8899208008898647E-3</v>
      </c>
      <c r="CC103">
        <v>289.99999999999989</v>
      </c>
      <c r="CD103">
        <v>968.08</v>
      </c>
      <c r="CE103">
        <v>755</v>
      </c>
      <c r="CF103">
        <v>10057.6</v>
      </c>
      <c r="CG103">
        <v>969.84</v>
      </c>
      <c r="CH103">
        <v>-1.76</v>
      </c>
      <c r="CV103">
        <f t="shared" si="134"/>
        <v>1800.02</v>
      </c>
      <c r="CW103">
        <f t="shared" si="135"/>
        <v>1513.2015006318331</v>
      </c>
      <c r="CX103">
        <f t="shared" si="136"/>
        <v>0.84065815970479951</v>
      </c>
      <c r="CY103">
        <f t="shared" si="137"/>
        <v>0.19131631940959914</v>
      </c>
      <c r="CZ103">
        <v>6</v>
      </c>
      <c r="DA103">
        <v>0.5</v>
      </c>
      <c r="DB103" t="s">
        <v>418</v>
      </c>
      <c r="DC103">
        <v>2</v>
      </c>
      <c r="DD103">
        <v>1674595985.5</v>
      </c>
      <c r="DE103">
        <v>157.24</v>
      </c>
      <c r="DF103">
        <v>200.05500000000001</v>
      </c>
      <c r="DG103">
        <v>24.881900000000002</v>
      </c>
      <c r="DH103">
        <v>17.307300000000001</v>
      </c>
      <c r="DI103">
        <v>156.071</v>
      </c>
      <c r="DJ103">
        <v>24.771100000000001</v>
      </c>
      <c r="DK103">
        <v>500.11700000000002</v>
      </c>
      <c r="DL103">
        <v>99.507000000000005</v>
      </c>
      <c r="DM103">
        <v>0.10005500000000001</v>
      </c>
      <c r="DN103">
        <v>27.985700000000001</v>
      </c>
      <c r="DO103">
        <v>27.559899999999999</v>
      </c>
      <c r="DP103">
        <v>999.9</v>
      </c>
      <c r="DQ103">
        <v>0</v>
      </c>
      <c r="DR103">
        <v>0</v>
      </c>
      <c r="DS103">
        <v>10006.200000000001</v>
      </c>
      <c r="DT103">
        <v>0</v>
      </c>
      <c r="DU103">
        <v>316.75099999999998</v>
      </c>
      <c r="DV103">
        <v>-42.815199999999997</v>
      </c>
      <c r="DW103">
        <v>161.25200000000001</v>
      </c>
      <c r="DX103">
        <v>203.578</v>
      </c>
      <c r="DY103">
        <v>7.5746399999999996</v>
      </c>
      <c r="DZ103">
        <v>200.05500000000001</v>
      </c>
      <c r="EA103">
        <v>17.307300000000001</v>
      </c>
      <c r="EB103">
        <v>2.4759199999999999</v>
      </c>
      <c r="EC103">
        <v>1.7221900000000001</v>
      </c>
      <c r="ED103">
        <v>20.8691</v>
      </c>
      <c r="EE103">
        <v>15.097899999999999</v>
      </c>
      <c r="EF103">
        <v>1800.02</v>
      </c>
      <c r="EG103">
        <v>0.97800100000000001</v>
      </c>
      <c r="EH103">
        <v>2.1998799999999999E-2</v>
      </c>
      <c r="EI103">
        <v>0</v>
      </c>
      <c r="EJ103">
        <v>779.11500000000001</v>
      </c>
      <c r="EK103">
        <v>4.9990399999999999</v>
      </c>
      <c r="EL103">
        <v>14541.9</v>
      </c>
      <c r="EM103">
        <v>14820.9</v>
      </c>
      <c r="EN103">
        <v>48.375</v>
      </c>
      <c r="EO103">
        <v>49.811999999999998</v>
      </c>
      <c r="EP103">
        <v>49.311999999999998</v>
      </c>
      <c r="EQ103">
        <v>48.25</v>
      </c>
      <c r="ER103">
        <v>49.25</v>
      </c>
      <c r="ES103">
        <v>1755.53</v>
      </c>
      <c r="ET103">
        <v>39.49</v>
      </c>
      <c r="EU103">
        <v>0</v>
      </c>
      <c r="EV103">
        <v>132.20000004768369</v>
      </c>
      <c r="EW103">
        <v>0</v>
      </c>
      <c r="EX103">
        <v>779.59460000000001</v>
      </c>
      <c r="EY103">
        <v>-3.431307691243088</v>
      </c>
      <c r="EZ103">
        <v>-68.915384647165425</v>
      </c>
      <c r="FA103">
        <v>14548.987999999999</v>
      </c>
      <c r="FB103">
        <v>15</v>
      </c>
      <c r="FC103">
        <v>1674595931</v>
      </c>
      <c r="FD103" t="s">
        <v>863</v>
      </c>
      <c r="FE103">
        <v>1674595923</v>
      </c>
      <c r="FF103">
        <v>1674595931</v>
      </c>
      <c r="FG103">
        <v>99</v>
      </c>
      <c r="FH103">
        <v>-2.8000000000000001E-2</v>
      </c>
      <c r="FI103">
        <v>-1E-3</v>
      </c>
      <c r="FJ103">
        <v>1.238</v>
      </c>
      <c r="FK103">
        <v>0.06</v>
      </c>
      <c r="FL103">
        <v>200</v>
      </c>
      <c r="FM103">
        <v>18</v>
      </c>
      <c r="FN103">
        <v>0.04</v>
      </c>
      <c r="FO103">
        <v>0.01</v>
      </c>
      <c r="FP103">
        <v>34.548102390026948</v>
      </c>
      <c r="FQ103">
        <v>0.6326736822054112</v>
      </c>
      <c r="FR103">
        <v>6.3541886741180206E-2</v>
      </c>
      <c r="FS103">
        <v>1</v>
      </c>
      <c r="FT103">
        <v>0.56633644584088472</v>
      </c>
      <c r="FU103">
        <v>2.7892862041313832E-2</v>
      </c>
      <c r="FV103">
        <v>3.3433677734656989E-3</v>
      </c>
      <c r="FW103">
        <v>1</v>
      </c>
      <c r="FX103">
        <v>2</v>
      </c>
      <c r="FY103">
        <v>2</v>
      </c>
      <c r="FZ103" t="s">
        <v>420</v>
      </c>
      <c r="GA103">
        <v>2.9333800000000001</v>
      </c>
      <c r="GB103">
        <v>2.8335699999999999</v>
      </c>
      <c r="GC103">
        <v>4.09816E-2</v>
      </c>
      <c r="GD103">
        <v>5.0044699999999998E-2</v>
      </c>
      <c r="GE103">
        <v>0.122185</v>
      </c>
      <c r="GF103">
        <v>9.1491799999999998E-2</v>
      </c>
      <c r="GG103">
        <v>24841.3</v>
      </c>
      <c r="GH103">
        <v>30982.2</v>
      </c>
      <c r="GI103">
        <v>23306.2</v>
      </c>
      <c r="GJ103">
        <v>29881.7</v>
      </c>
      <c r="GK103">
        <v>27837</v>
      </c>
      <c r="GL103">
        <v>38608.199999999997</v>
      </c>
      <c r="GM103">
        <v>32900.300000000003</v>
      </c>
      <c r="GN103">
        <v>44335.6</v>
      </c>
      <c r="GO103">
        <v>1.9675800000000001</v>
      </c>
      <c r="GP103">
        <v>1.8380000000000001</v>
      </c>
      <c r="GQ103">
        <v>5.4799E-2</v>
      </c>
      <c r="GR103">
        <v>0</v>
      </c>
      <c r="GS103">
        <v>26.663900000000002</v>
      </c>
      <c r="GT103">
        <v>999.9</v>
      </c>
      <c r="GU103">
        <v>47.8</v>
      </c>
      <c r="GV103">
        <v>35.200000000000003</v>
      </c>
      <c r="GW103">
        <v>27.433599999999998</v>
      </c>
      <c r="GX103">
        <v>61.311199999999999</v>
      </c>
      <c r="GY103">
        <v>36.173900000000003</v>
      </c>
      <c r="GZ103">
        <v>1</v>
      </c>
      <c r="HA103">
        <v>0.34511399999999998</v>
      </c>
      <c r="HB103">
        <v>2.0976300000000001</v>
      </c>
      <c r="HC103">
        <v>20.259799999999998</v>
      </c>
      <c r="HD103">
        <v>5.2105499999999996</v>
      </c>
      <c r="HE103">
        <v>11.872199999999999</v>
      </c>
      <c r="HF103">
        <v>4.9849500000000004</v>
      </c>
      <c r="HG103">
        <v>3.2839999999999998</v>
      </c>
      <c r="HH103">
        <v>9999</v>
      </c>
      <c r="HI103">
        <v>9999</v>
      </c>
      <c r="HJ103">
        <v>9999</v>
      </c>
      <c r="HK103">
        <v>999.9</v>
      </c>
      <c r="HL103">
        <v>1.8547100000000001</v>
      </c>
      <c r="HM103">
        <v>1.86077</v>
      </c>
      <c r="HN103">
        <v>1.85819</v>
      </c>
      <c r="HO103">
        <v>1.8593200000000001</v>
      </c>
      <c r="HP103">
        <v>1.8586800000000001</v>
      </c>
      <c r="HQ103">
        <v>1.85928</v>
      </c>
      <c r="HR103">
        <v>1.8575999999999999</v>
      </c>
      <c r="HS103">
        <v>1.8609599999999999</v>
      </c>
      <c r="HT103">
        <v>5</v>
      </c>
      <c r="HU103">
        <v>0</v>
      </c>
      <c r="HV103">
        <v>0</v>
      </c>
      <c r="HW103">
        <v>0</v>
      </c>
      <c r="HX103" t="s">
        <v>421</v>
      </c>
      <c r="HY103" t="s">
        <v>422</v>
      </c>
      <c r="HZ103" t="s">
        <v>423</v>
      </c>
      <c r="IA103" t="s">
        <v>423</v>
      </c>
      <c r="IB103" t="s">
        <v>423</v>
      </c>
      <c r="IC103" t="s">
        <v>423</v>
      </c>
      <c r="ID103">
        <v>0</v>
      </c>
      <c r="IE103">
        <v>100</v>
      </c>
      <c r="IF103">
        <v>100</v>
      </c>
      <c r="IG103">
        <v>1.169</v>
      </c>
      <c r="IH103">
        <v>0.1108</v>
      </c>
      <c r="II103">
        <v>0.91304683379510032</v>
      </c>
      <c r="IJ103">
        <v>1.6187016317407189E-3</v>
      </c>
      <c r="IK103">
        <v>1.4341569744255341E-7</v>
      </c>
      <c r="IL103">
        <v>-2.4096625942085749E-10</v>
      </c>
      <c r="IM103">
        <v>0.1107785629708254</v>
      </c>
      <c r="IN103">
        <v>0</v>
      </c>
      <c r="IO103">
        <v>0</v>
      </c>
      <c r="IP103">
        <v>0</v>
      </c>
      <c r="IQ103">
        <v>4</v>
      </c>
      <c r="IR103">
        <v>2205</v>
      </c>
      <c r="IS103">
        <v>1</v>
      </c>
      <c r="IT103">
        <v>21</v>
      </c>
      <c r="IU103">
        <v>1</v>
      </c>
      <c r="IV103">
        <v>0.9</v>
      </c>
      <c r="IW103">
        <v>0.57250999999999996</v>
      </c>
      <c r="IX103">
        <v>2.4572799999999999</v>
      </c>
      <c r="IY103">
        <v>1.49414</v>
      </c>
      <c r="IZ103">
        <v>2.3034699999999999</v>
      </c>
      <c r="JA103">
        <v>1.69434</v>
      </c>
      <c r="JB103">
        <v>2.4255399999999998</v>
      </c>
      <c r="JC103">
        <v>39.267099999999999</v>
      </c>
      <c r="JD103">
        <v>23.9999</v>
      </c>
      <c r="JE103">
        <v>18</v>
      </c>
      <c r="JF103">
        <v>510.37599999999998</v>
      </c>
      <c r="JG103">
        <v>448.96100000000001</v>
      </c>
      <c r="JH103">
        <v>24.769100000000002</v>
      </c>
      <c r="JI103">
        <v>31.665500000000002</v>
      </c>
      <c r="JJ103">
        <v>30.0002</v>
      </c>
      <c r="JK103">
        <v>31.5749</v>
      </c>
      <c r="JL103">
        <v>31.542300000000001</v>
      </c>
      <c r="JM103">
        <v>11.5305</v>
      </c>
      <c r="JN103">
        <v>43.335599999999999</v>
      </c>
      <c r="JO103">
        <v>0</v>
      </c>
      <c r="JP103">
        <v>24.775200000000002</v>
      </c>
      <c r="JQ103">
        <v>200</v>
      </c>
      <c r="JR103">
        <v>17.316299999999998</v>
      </c>
      <c r="JS103">
        <v>99.104200000000006</v>
      </c>
      <c r="JT103">
        <v>99.564400000000006</v>
      </c>
    </row>
    <row r="104" spans="1:280" x14ac:dyDescent="0.25">
      <c r="A104">
        <v>88</v>
      </c>
      <c r="B104">
        <v>1674596138</v>
      </c>
      <c r="C104">
        <v>22085.400000095371</v>
      </c>
      <c r="D104" t="s">
        <v>864</v>
      </c>
      <c r="E104" t="s">
        <v>865</v>
      </c>
      <c r="F104" t="s">
        <v>412</v>
      </c>
      <c r="G104" t="s">
        <v>850</v>
      </c>
      <c r="H104" t="s">
        <v>565</v>
      </c>
      <c r="I104">
        <v>1674596138</v>
      </c>
      <c r="J104">
        <f t="shared" si="92"/>
        <v>6.790041914217582E-3</v>
      </c>
      <c r="K104">
        <f t="shared" si="93"/>
        <v>6.7900419142175821</v>
      </c>
      <c r="L104">
        <f t="shared" si="94"/>
        <v>21.789679871922452</v>
      </c>
      <c r="M104">
        <f t="shared" si="95"/>
        <v>93.088800000000006</v>
      </c>
      <c r="N104">
        <f t="shared" si="96"/>
        <v>28.607633923339691</v>
      </c>
      <c r="O104">
        <f t="shared" si="97"/>
        <v>2.8497265671663445</v>
      </c>
      <c r="P104">
        <f t="shared" si="98"/>
        <v>9.2729663409600001</v>
      </c>
      <c r="Q104">
        <f t="shared" si="99"/>
        <v>0.6048524577492399</v>
      </c>
      <c r="R104">
        <f t="shared" si="100"/>
        <v>2.9181588023845419</v>
      </c>
      <c r="S104">
        <f t="shared" si="101"/>
        <v>0.54286791946849755</v>
      </c>
      <c r="T104">
        <f t="shared" si="102"/>
        <v>0.34433064980712508</v>
      </c>
      <c r="U104">
        <f t="shared" si="103"/>
        <v>344.3865012636175</v>
      </c>
      <c r="V104">
        <f t="shared" si="104"/>
        <v>28.259033331107208</v>
      </c>
      <c r="W104">
        <f t="shared" si="105"/>
        <v>27.5395</v>
      </c>
      <c r="X104">
        <f t="shared" si="106"/>
        <v>3.6941502516955791</v>
      </c>
      <c r="Y104">
        <f t="shared" si="107"/>
        <v>65.558621816972476</v>
      </c>
      <c r="Z104">
        <f t="shared" si="108"/>
        <v>2.4868585415799997</v>
      </c>
      <c r="AA104">
        <f t="shared" si="109"/>
        <v>3.793335602024777</v>
      </c>
      <c r="AB104">
        <f t="shared" si="110"/>
        <v>1.2072917101155793</v>
      </c>
      <c r="AC104">
        <f t="shared" si="111"/>
        <v>-299.44084841699538</v>
      </c>
      <c r="AD104">
        <f t="shared" si="112"/>
        <v>71.377797785580526</v>
      </c>
      <c r="AE104">
        <f t="shared" si="113"/>
        <v>5.3192868842017482</v>
      </c>
      <c r="AF104">
        <f t="shared" si="114"/>
        <v>121.6427375164044</v>
      </c>
      <c r="AG104">
        <v>0</v>
      </c>
      <c r="AH104">
        <v>0</v>
      </c>
      <c r="AI104">
        <f t="shared" si="115"/>
        <v>1</v>
      </c>
      <c r="AJ104">
        <f t="shared" si="116"/>
        <v>0</v>
      </c>
      <c r="AK104">
        <f t="shared" si="117"/>
        <v>52364.688409770475</v>
      </c>
      <c r="AL104" t="s">
        <v>415</v>
      </c>
      <c r="AM104">
        <v>10214.9</v>
      </c>
      <c r="AN104">
        <v>729.4384</v>
      </c>
      <c r="AO104">
        <v>3170.19</v>
      </c>
      <c r="AP104">
        <f t="shared" si="118"/>
        <v>0.76990704027203416</v>
      </c>
      <c r="AQ104">
        <v>-0.45549566560547827</v>
      </c>
      <c r="AR104" t="s">
        <v>866</v>
      </c>
      <c r="AS104">
        <v>10090.9</v>
      </c>
      <c r="AT104">
        <v>802.34716000000014</v>
      </c>
      <c r="AU104">
        <v>973.50767923844603</v>
      </c>
      <c r="AV104">
        <f t="shared" si="119"/>
        <v>0.17581835550834179</v>
      </c>
      <c r="AW104">
        <v>0.5</v>
      </c>
      <c r="AX104">
        <f t="shared" si="120"/>
        <v>1513.2603006318088</v>
      </c>
      <c r="AY104">
        <f t="shared" si="121"/>
        <v>21.789679871922452</v>
      </c>
      <c r="AZ104">
        <f t="shared" si="122"/>
        <v>133.02946875657176</v>
      </c>
      <c r="BA104">
        <f t="shared" si="123"/>
        <v>1.4700164623521967E-2</v>
      </c>
      <c r="BB104">
        <f t="shared" si="124"/>
        <v>2.2564612150568455</v>
      </c>
      <c r="BC104">
        <f t="shared" si="125"/>
        <v>480.14770778193827</v>
      </c>
      <c r="BD104" t="s">
        <v>867</v>
      </c>
      <c r="BE104">
        <v>559.71</v>
      </c>
      <c r="BF104">
        <f t="shared" si="126"/>
        <v>559.71</v>
      </c>
      <c r="BG104">
        <f t="shared" si="127"/>
        <v>0.42505846442028172</v>
      </c>
      <c r="BH104">
        <f t="shared" si="128"/>
        <v>0.41363334746934788</v>
      </c>
      <c r="BI104">
        <f t="shared" si="129"/>
        <v>0.84148597988168994</v>
      </c>
      <c r="BJ104">
        <f t="shared" si="130"/>
        <v>0.70127842296460763</v>
      </c>
      <c r="BK104">
        <f t="shared" si="131"/>
        <v>0.90000240940600174</v>
      </c>
      <c r="BL104">
        <f t="shared" si="132"/>
        <v>0.28854681919989433</v>
      </c>
      <c r="BM104">
        <f t="shared" si="133"/>
        <v>0.71145318080010567</v>
      </c>
      <c r="BN104">
        <v>9232</v>
      </c>
      <c r="BO104">
        <v>290.00000000000011</v>
      </c>
      <c r="BP104">
        <v>931.83</v>
      </c>
      <c r="BQ104">
        <v>185</v>
      </c>
      <c r="BR104">
        <v>10090.9</v>
      </c>
      <c r="BS104">
        <v>931.31</v>
      </c>
      <c r="BT104">
        <v>0.52</v>
      </c>
      <c r="BU104">
        <v>300.00000000000011</v>
      </c>
      <c r="BV104">
        <v>24.2</v>
      </c>
      <c r="BW104">
        <v>973.50767923844603</v>
      </c>
      <c r="BX104">
        <v>1.948693825363893</v>
      </c>
      <c r="BY104">
        <v>-42.584793837471032</v>
      </c>
      <c r="BZ104">
        <v>1.7492438675063251</v>
      </c>
      <c r="CA104">
        <v>0.9548870073804292</v>
      </c>
      <c r="CB104">
        <v>-6.8895463848720829E-3</v>
      </c>
      <c r="CC104">
        <v>289.99999999999989</v>
      </c>
      <c r="CD104">
        <v>930.96</v>
      </c>
      <c r="CE104">
        <v>775</v>
      </c>
      <c r="CF104">
        <v>10056.5</v>
      </c>
      <c r="CG104">
        <v>931.16</v>
      </c>
      <c r="CH104">
        <v>-0.2</v>
      </c>
      <c r="CV104">
        <f t="shared" si="134"/>
        <v>1800.09</v>
      </c>
      <c r="CW104">
        <f t="shared" si="135"/>
        <v>1513.2603006318088</v>
      </c>
      <c r="CX104">
        <f t="shared" si="136"/>
        <v>0.84065813411096602</v>
      </c>
      <c r="CY104">
        <f t="shared" si="137"/>
        <v>0.19131626822193196</v>
      </c>
      <c r="CZ104">
        <v>6</v>
      </c>
      <c r="DA104">
        <v>0.5</v>
      </c>
      <c r="DB104" t="s">
        <v>418</v>
      </c>
      <c r="DC104">
        <v>2</v>
      </c>
      <c r="DD104">
        <v>1674596138</v>
      </c>
      <c r="DE104">
        <v>93.088800000000006</v>
      </c>
      <c r="DF104">
        <v>119.98699999999999</v>
      </c>
      <c r="DG104">
        <v>24.9649</v>
      </c>
      <c r="DH104">
        <v>17.022600000000001</v>
      </c>
      <c r="DI104">
        <v>92.108500000000006</v>
      </c>
      <c r="DJ104">
        <v>24.856300000000001</v>
      </c>
      <c r="DK104">
        <v>500.14699999999999</v>
      </c>
      <c r="DL104">
        <v>99.513800000000003</v>
      </c>
      <c r="DM104">
        <v>0.1004</v>
      </c>
      <c r="DN104">
        <v>27.993200000000002</v>
      </c>
      <c r="DO104">
        <v>27.5395</v>
      </c>
      <c r="DP104">
        <v>999.9</v>
      </c>
      <c r="DQ104">
        <v>0</v>
      </c>
      <c r="DR104">
        <v>0</v>
      </c>
      <c r="DS104">
        <v>9983.75</v>
      </c>
      <c r="DT104">
        <v>0</v>
      </c>
      <c r="DU104">
        <v>312.245</v>
      </c>
      <c r="DV104">
        <v>-26.8978</v>
      </c>
      <c r="DW104">
        <v>95.472200000000001</v>
      </c>
      <c r="DX104">
        <v>122.06399999999999</v>
      </c>
      <c r="DY104">
        <v>7.9423599999999999</v>
      </c>
      <c r="DZ104">
        <v>119.98699999999999</v>
      </c>
      <c r="EA104">
        <v>17.022600000000001</v>
      </c>
      <c r="EB104">
        <v>2.4843500000000001</v>
      </c>
      <c r="EC104">
        <v>1.69398</v>
      </c>
      <c r="ED104">
        <v>20.924399999999999</v>
      </c>
      <c r="EE104">
        <v>14.8414</v>
      </c>
      <c r="EF104">
        <v>1800.09</v>
      </c>
      <c r="EG104">
        <v>0.97800100000000001</v>
      </c>
      <c r="EH104">
        <v>2.1998799999999999E-2</v>
      </c>
      <c r="EI104">
        <v>0</v>
      </c>
      <c r="EJ104">
        <v>802.36400000000003</v>
      </c>
      <c r="EK104">
        <v>4.9990399999999999</v>
      </c>
      <c r="EL104">
        <v>14931.5</v>
      </c>
      <c r="EM104">
        <v>14821.4</v>
      </c>
      <c r="EN104">
        <v>48.375</v>
      </c>
      <c r="EO104">
        <v>49.811999999999998</v>
      </c>
      <c r="EP104">
        <v>49.311999999999998</v>
      </c>
      <c r="EQ104">
        <v>48.186999999999998</v>
      </c>
      <c r="ER104">
        <v>49.25</v>
      </c>
      <c r="ES104">
        <v>1755.6</v>
      </c>
      <c r="ET104">
        <v>39.49</v>
      </c>
      <c r="EU104">
        <v>0</v>
      </c>
      <c r="EV104">
        <v>150.5999999046326</v>
      </c>
      <c r="EW104">
        <v>0</v>
      </c>
      <c r="EX104">
        <v>802.34716000000014</v>
      </c>
      <c r="EY104">
        <v>-0.71969232751634871</v>
      </c>
      <c r="EZ104">
        <v>-21.638461478519648</v>
      </c>
      <c r="FA104">
        <v>14933.124</v>
      </c>
      <c r="FB104">
        <v>15</v>
      </c>
      <c r="FC104">
        <v>1674596103</v>
      </c>
      <c r="FD104" t="s">
        <v>868</v>
      </c>
      <c r="FE104">
        <v>1674596097</v>
      </c>
      <c r="FF104">
        <v>1674596103</v>
      </c>
      <c r="FG104">
        <v>100</v>
      </c>
      <c r="FH104">
        <v>-8.3000000000000004E-2</v>
      </c>
      <c r="FI104">
        <v>-2E-3</v>
      </c>
      <c r="FJ104">
        <v>1.024</v>
      </c>
      <c r="FK104">
        <v>4.1000000000000002E-2</v>
      </c>
      <c r="FL104">
        <v>120</v>
      </c>
      <c r="FM104">
        <v>17</v>
      </c>
      <c r="FN104">
        <v>7.0000000000000007E-2</v>
      </c>
      <c r="FO104">
        <v>0.01</v>
      </c>
      <c r="FP104">
        <v>21.85113086492948</v>
      </c>
      <c r="FQ104">
        <v>-0.41553425342964151</v>
      </c>
      <c r="FR104">
        <v>5.5043010165144922E-2</v>
      </c>
      <c r="FS104">
        <v>1</v>
      </c>
      <c r="FT104">
        <v>0.60798151751725638</v>
      </c>
      <c r="FU104">
        <v>3.4882477216612293E-2</v>
      </c>
      <c r="FV104">
        <v>6.4040527669686331E-3</v>
      </c>
      <c r="FW104">
        <v>1</v>
      </c>
      <c r="FX104">
        <v>2</v>
      </c>
      <c r="FY104">
        <v>2</v>
      </c>
      <c r="FZ104" t="s">
        <v>420</v>
      </c>
      <c r="GA104">
        <v>2.9334699999999998</v>
      </c>
      <c r="GB104">
        <v>2.83372</v>
      </c>
      <c r="GC104">
        <v>2.5056200000000001E-2</v>
      </c>
      <c r="GD104">
        <v>3.1444699999999999E-2</v>
      </c>
      <c r="GE104">
        <v>0.122486</v>
      </c>
      <c r="GF104">
        <v>9.0420899999999998E-2</v>
      </c>
      <c r="GG104">
        <v>25255.5</v>
      </c>
      <c r="GH104">
        <v>31590.799999999999</v>
      </c>
      <c r="GI104">
        <v>23308.2</v>
      </c>
      <c r="GJ104">
        <v>29884</v>
      </c>
      <c r="GK104">
        <v>27829.1</v>
      </c>
      <c r="GL104">
        <v>38656.9</v>
      </c>
      <c r="GM104">
        <v>32902.800000000003</v>
      </c>
      <c r="GN104">
        <v>44339.1</v>
      </c>
      <c r="GO104">
        <v>1.9676</v>
      </c>
      <c r="GP104">
        <v>1.83745</v>
      </c>
      <c r="GQ104">
        <v>5.8710600000000002E-2</v>
      </c>
      <c r="GR104">
        <v>0</v>
      </c>
      <c r="GS104">
        <v>26.579499999999999</v>
      </c>
      <c r="GT104">
        <v>999.9</v>
      </c>
      <c r="GU104">
        <v>47.8</v>
      </c>
      <c r="GV104">
        <v>35.200000000000003</v>
      </c>
      <c r="GW104">
        <v>27.4358</v>
      </c>
      <c r="GX104">
        <v>61.461199999999998</v>
      </c>
      <c r="GY104">
        <v>36.334099999999999</v>
      </c>
      <c r="GZ104">
        <v>1</v>
      </c>
      <c r="HA104">
        <v>0.342256</v>
      </c>
      <c r="HB104">
        <v>2.0381</v>
      </c>
      <c r="HC104">
        <v>20.2606</v>
      </c>
      <c r="HD104">
        <v>5.2108499999999998</v>
      </c>
      <c r="HE104">
        <v>11.872199999999999</v>
      </c>
      <c r="HF104">
        <v>4.9852499999999997</v>
      </c>
      <c r="HG104">
        <v>3.2839999999999998</v>
      </c>
      <c r="HH104">
        <v>9999</v>
      </c>
      <c r="HI104">
        <v>9999</v>
      </c>
      <c r="HJ104">
        <v>9999</v>
      </c>
      <c r="HK104">
        <v>999.9</v>
      </c>
      <c r="HL104">
        <v>1.85466</v>
      </c>
      <c r="HM104">
        <v>1.86077</v>
      </c>
      <c r="HN104">
        <v>1.8581799999999999</v>
      </c>
      <c r="HO104">
        <v>1.8593299999999999</v>
      </c>
      <c r="HP104">
        <v>1.85869</v>
      </c>
      <c r="HQ104">
        <v>1.85928</v>
      </c>
      <c r="HR104">
        <v>1.85762</v>
      </c>
      <c r="HS104">
        <v>1.8609599999999999</v>
      </c>
      <c r="HT104">
        <v>5</v>
      </c>
      <c r="HU104">
        <v>0</v>
      </c>
      <c r="HV104">
        <v>0</v>
      </c>
      <c r="HW104">
        <v>0</v>
      </c>
      <c r="HX104" t="s">
        <v>421</v>
      </c>
      <c r="HY104" t="s">
        <v>422</v>
      </c>
      <c r="HZ104" t="s">
        <v>423</v>
      </c>
      <c r="IA104" t="s">
        <v>423</v>
      </c>
      <c r="IB104" t="s">
        <v>423</v>
      </c>
      <c r="IC104" t="s">
        <v>423</v>
      </c>
      <c r="ID104">
        <v>0</v>
      </c>
      <c r="IE104">
        <v>100</v>
      </c>
      <c r="IF104">
        <v>100</v>
      </c>
      <c r="IG104">
        <v>0.98</v>
      </c>
      <c r="IH104">
        <v>0.1086</v>
      </c>
      <c r="II104">
        <v>0.83012343199524086</v>
      </c>
      <c r="IJ104">
        <v>1.6187016317407189E-3</v>
      </c>
      <c r="IK104">
        <v>1.4341569744255341E-7</v>
      </c>
      <c r="IL104">
        <v>-2.4096625942085749E-10</v>
      </c>
      <c r="IM104">
        <v>0.1086297994745251</v>
      </c>
      <c r="IN104">
        <v>0</v>
      </c>
      <c r="IO104">
        <v>0</v>
      </c>
      <c r="IP104">
        <v>0</v>
      </c>
      <c r="IQ104">
        <v>4</v>
      </c>
      <c r="IR104">
        <v>2205</v>
      </c>
      <c r="IS104">
        <v>1</v>
      </c>
      <c r="IT104">
        <v>21</v>
      </c>
      <c r="IU104">
        <v>0.7</v>
      </c>
      <c r="IV104">
        <v>0.6</v>
      </c>
      <c r="IW104">
        <v>0.397949</v>
      </c>
      <c r="IX104">
        <v>2.4890099999999999</v>
      </c>
      <c r="IY104">
        <v>1.49414</v>
      </c>
      <c r="IZ104">
        <v>2.3034699999999999</v>
      </c>
      <c r="JA104">
        <v>1.69434</v>
      </c>
      <c r="JB104">
        <v>2.3156699999999999</v>
      </c>
      <c r="JC104">
        <v>39.242199999999997</v>
      </c>
      <c r="JD104">
        <v>23.9999</v>
      </c>
      <c r="JE104">
        <v>18</v>
      </c>
      <c r="JF104">
        <v>510.392</v>
      </c>
      <c r="JG104">
        <v>448.577</v>
      </c>
      <c r="JH104">
        <v>24.819199999999999</v>
      </c>
      <c r="JI104">
        <v>31.6464</v>
      </c>
      <c r="JJ104">
        <v>30.0001</v>
      </c>
      <c r="JK104">
        <v>31.5749</v>
      </c>
      <c r="JL104">
        <v>31.542300000000001</v>
      </c>
      <c r="JM104">
        <v>8.0465199999999992</v>
      </c>
      <c r="JN104">
        <v>44.610799999999998</v>
      </c>
      <c r="JO104">
        <v>0</v>
      </c>
      <c r="JP104">
        <v>24.822900000000001</v>
      </c>
      <c r="JQ104">
        <v>120</v>
      </c>
      <c r="JR104">
        <v>16.9267</v>
      </c>
      <c r="JS104">
        <v>99.112099999999998</v>
      </c>
      <c r="JT104">
        <v>99.572299999999998</v>
      </c>
    </row>
    <row r="105" spans="1:280" x14ac:dyDescent="0.25">
      <c r="A105">
        <v>89</v>
      </c>
      <c r="B105">
        <v>1674596283.5</v>
      </c>
      <c r="C105">
        <v>22230.900000095371</v>
      </c>
      <c r="D105" t="s">
        <v>869</v>
      </c>
      <c r="E105" t="s">
        <v>870</v>
      </c>
      <c r="F105" t="s">
        <v>412</v>
      </c>
      <c r="G105" t="s">
        <v>850</v>
      </c>
      <c r="H105" t="s">
        <v>565</v>
      </c>
      <c r="I105">
        <v>1674596283.5</v>
      </c>
      <c r="J105">
        <f t="shared" si="92"/>
        <v>6.9765599522572533E-3</v>
      </c>
      <c r="K105">
        <f t="shared" si="93"/>
        <v>6.9765599522572534</v>
      </c>
      <c r="L105">
        <f t="shared" si="94"/>
        <v>12.91191684069728</v>
      </c>
      <c r="M105">
        <f t="shared" si="95"/>
        <v>54.038600000000002</v>
      </c>
      <c r="N105">
        <f t="shared" si="96"/>
        <v>16.785618765226477</v>
      </c>
      <c r="O105">
        <f t="shared" si="97"/>
        <v>1.6721620907985049</v>
      </c>
      <c r="P105">
        <f t="shared" si="98"/>
        <v>5.3832569191323998</v>
      </c>
      <c r="Q105">
        <f t="shared" si="99"/>
        <v>0.62207799755877269</v>
      </c>
      <c r="R105">
        <f t="shared" si="100"/>
        <v>2.9169295897176322</v>
      </c>
      <c r="S105">
        <f t="shared" si="101"/>
        <v>0.55669197202123355</v>
      </c>
      <c r="T105">
        <f t="shared" si="102"/>
        <v>0.35323271074363904</v>
      </c>
      <c r="U105">
        <f t="shared" si="103"/>
        <v>344.34470126377192</v>
      </c>
      <c r="V105">
        <f t="shared" si="104"/>
        <v>28.212820961868687</v>
      </c>
      <c r="W105">
        <f t="shared" si="105"/>
        <v>27.5275</v>
      </c>
      <c r="X105">
        <f t="shared" si="106"/>
        <v>3.6915578987500863</v>
      </c>
      <c r="Y105">
        <f t="shared" si="107"/>
        <v>65.415392263940547</v>
      </c>
      <c r="Z105">
        <f t="shared" si="108"/>
        <v>2.4818015201420001</v>
      </c>
      <c r="AA105">
        <f t="shared" si="109"/>
        <v>3.7939106290585736</v>
      </c>
      <c r="AB105">
        <f t="shared" si="110"/>
        <v>1.2097563786080863</v>
      </c>
      <c r="AC105">
        <f t="shared" si="111"/>
        <v>-307.66629389454488</v>
      </c>
      <c r="AD105">
        <f t="shared" si="112"/>
        <v>73.643691015533207</v>
      </c>
      <c r="AE105">
        <f t="shared" si="113"/>
        <v>5.4902035765651584</v>
      </c>
      <c r="AF105">
        <f t="shared" si="114"/>
        <v>115.81230196132539</v>
      </c>
      <c r="AG105">
        <v>0</v>
      </c>
      <c r="AH105">
        <v>0</v>
      </c>
      <c r="AI105">
        <f t="shared" si="115"/>
        <v>1</v>
      </c>
      <c r="AJ105">
        <f t="shared" si="116"/>
        <v>0</v>
      </c>
      <c r="AK105">
        <f t="shared" si="117"/>
        <v>52329.06378346141</v>
      </c>
      <c r="AL105" t="s">
        <v>415</v>
      </c>
      <c r="AM105">
        <v>10214.9</v>
      </c>
      <c r="AN105">
        <v>729.4384</v>
      </c>
      <c r="AO105">
        <v>3170.19</v>
      </c>
      <c r="AP105">
        <f t="shared" si="118"/>
        <v>0.76990704027203416</v>
      </c>
      <c r="AQ105">
        <v>-0.45549566560547827</v>
      </c>
      <c r="AR105" t="s">
        <v>871</v>
      </c>
      <c r="AS105">
        <v>10081</v>
      </c>
      <c r="AT105">
        <v>822.67230769230787</v>
      </c>
      <c r="AU105">
        <v>936.6255254236188</v>
      </c>
      <c r="AV105">
        <f t="shared" si="119"/>
        <v>0.1216635834046611</v>
      </c>
      <c r="AW105">
        <v>0.5</v>
      </c>
      <c r="AX105">
        <f t="shared" si="120"/>
        <v>1513.0755006318859</v>
      </c>
      <c r="AY105">
        <f t="shared" si="121"/>
        <v>12.91191684069728</v>
      </c>
      <c r="AZ105">
        <f t="shared" si="122"/>
        <v>92.043093684338402</v>
      </c>
      <c r="BA105">
        <f t="shared" si="123"/>
        <v>8.834597150453035E-3</v>
      </c>
      <c r="BB105">
        <f t="shared" si="124"/>
        <v>2.3846931499824118</v>
      </c>
      <c r="BC105">
        <f t="shared" si="125"/>
        <v>471.00011595621726</v>
      </c>
      <c r="BD105" t="s">
        <v>872</v>
      </c>
      <c r="BE105">
        <v>570.95000000000005</v>
      </c>
      <c r="BF105">
        <f t="shared" si="126"/>
        <v>570.95000000000005</v>
      </c>
      <c r="BG105">
        <f t="shared" si="127"/>
        <v>0.39041806516882005</v>
      </c>
      <c r="BH105">
        <f t="shared" si="128"/>
        <v>0.31162385724147446</v>
      </c>
      <c r="BI105">
        <f t="shared" si="129"/>
        <v>0.85931444367445153</v>
      </c>
      <c r="BJ105">
        <f t="shared" si="130"/>
        <v>0.55000144192511957</v>
      </c>
      <c r="BK105">
        <f t="shared" si="131"/>
        <v>0.91511339153741866</v>
      </c>
      <c r="BL105">
        <f t="shared" si="132"/>
        <v>0.21627279735610752</v>
      </c>
      <c r="BM105">
        <f t="shared" si="133"/>
        <v>0.78372720264389251</v>
      </c>
      <c r="BN105">
        <v>9234</v>
      </c>
      <c r="BO105">
        <v>290.00000000000011</v>
      </c>
      <c r="BP105">
        <v>908.86</v>
      </c>
      <c r="BQ105">
        <v>265</v>
      </c>
      <c r="BR105">
        <v>10081</v>
      </c>
      <c r="BS105">
        <v>907.58</v>
      </c>
      <c r="BT105">
        <v>1.28</v>
      </c>
      <c r="BU105">
        <v>300.00000000000011</v>
      </c>
      <c r="BV105">
        <v>24.2</v>
      </c>
      <c r="BW105">
        <v>936.6255254236188</v>
      </c>
      <c r="BX105">
        <v>1.760542622198789</v>
      </c>
      <c r="BY105">
        <v>-29.276246859246481</v>
      </c>
      <c r="BZ105">
        <v>1.5803892426325641</v>
      </c>
      <c r="CA105">
        <v>0.92456180184100867</v>
      </c>
      <c r="CB105">
        <v>-6.8897572858731947E-3</v>
      </c>
      <c r="CC105">
        <v>289.99999999999989</v>
      </c>
      <c r="CD105">
        <v>905.72</v>
      </c>
      <c r="CE105">
        <v>705</v>
      </c>
      <c r="CF105">
        <v>10060.1</v>
      </c>
      <c r="CG105">
        <v>907.52</v>
      </c>
      <c r="CH105">
        <v>-1.8</v>
      </c>
      <c r="CV105">
        <f t="shared" si="134"/>
        <v>1799.87</v>
      </c>
      <c r="CW105">
        <f t="shared" si="135"/>
        <v>1513.0755006318859</v>
      </c>
      <c r="CX105">
        <f t="shared" si="136"/>
        <v>0.84065821455543233</v>
      </c>
      <c r="CY105">
        <f t="shared" si="137"/>
        <v>0.19131642911086463</v>
      </c>
      <c r="CZ105">
        <v>6</v>
      </c>
      <c r="DA105">
        <v>0.5</v>
      </c>
      <c r="DB105" t="s">
        <v>418</v>
      </c>
      <c r="DC105">
        <v>2</v>
      </c>
      <c r="DD105">
        <v>1674596283.5</v>
      </c>
      <c r="DE105">
        <v>54.038600000000002</v>
      </c>
      <c r="DF105">
        <v>69.980999999999995</v>
      </c>
      <c r="DG105">
        <v>24.913</v>
      </c>
      <c r="DH105">
        <v>16.751899999999999</v>
      </c>
      <c r="DI105">
        <v>53.115400000000001</v>
      </c>
      <c r="DJ105">
        <v>24.805599999999998</v>
      </c>
      <c r="DK105">
        <v>500.13499999999999</v>
      </c>
      <c r="DL105">
        <v>99.518699999999995</v>
      </c>
      <c r="DM105">
        <v>0.100034</v>
      </c>
      <c r="DN105">
        <v>27.995799999999999</v>
      </c>
      <c r="DO105">
        <v>27.5275</v>
      </c>
      <c r="DP105">
        <v>999.9</v>
      </c>
      <c r="DQ105">
        <v>0</v>
      </c>
      <c r="DR105">
        <v>0</v>
      </c>
      <c r="DS105">
        <v>9976.25</v>
      </c>
      <c r="DT105">
        <v>0</v>
      </c>
      <c r="DU105">
        <v>306.83499999999998</v>
      </c>
      <c r="DV105">
        <v>-15.942399999999999</v>
      </c>
      <c r="DW105">
        <v>55.4193</v>
      </c>
      <c r="DX105">
        <v>71.173299999999998</v>
      </c>
      <c r="DY105">
        <v>8.1611799999999999</v>
      </c>
      <c r="DZ105">
        <v>69.980999999999995</v>
      </c>
      <c r="EA105">
        <v>16.751899999999999</v>
      </c>
      <c r="EB105">
        <v>2.47932</v>
      </c>
      <c r="EC105">
        <v>1.6671199999999999</v>
      </c>
      <c r="ED105">
        <v>20.891300000000001</v>
      </c>
      <c r="EE105">
        <v>14.5937</v>
      </c>
      <c r="EF105">
        <v>1799.87</v>
      </c>
      <c r="EG105">
        <v>0.97799800000000003</v>
      </c>
      <c r="EH105">
        <v>2.2002500000000001E-2</v>
      </c>
      <c r="EI105">
        <v>0</v>
      </c>
      <c r="EJ105">
        <v>822.53700000000003</v>
      </c>
      <c r="EK105">
        <v>4.9990399999999999</v>
      </c>
      <c r="EL105">
        <v>15276.3</v>
      </c>
      <c r="EM105">
        <v>14819.6</v>
      </c>
      <c r="EN105">
        <v>48.311999999999998</v>
      </c>
      <c r="EO105">
        <v>49.75</v>
      </c>
      <c r="EP105">
        <v>49.25</v>
      </c>
      <c r="EQ105">
        <v>48.125</v>
      </c>
      <c r="ER105">
        <v>49.186999999999998</v>
      </c>
      <c r="ES105">
        <v>1755.38</v>
      </c>
      <c r="ET105">
        <v>39.49</v>
      </c>
      <c r="EU105">
        <v>0</v>
      </c>
      <c r="EV105">
        <v>143.5999999046326</v>
      </c>
      <c r="EW105">
        <v>0</v>
      </c>
      <c r="EX105">
        <v>822.67230769230787</v>
      </c>
      <c r="EY105">
        <v>-1.730666665219873</v>
      </c>
      <c r="EZ105">
        <v>-32.687179413693762</v>
      </c>
      <c r="FA105">
        <v>15281.61153846154</v>
      </c>
      <c r="FB105">
        <v>15</v>
      </c>
      <c r="FC105">
        <v>1674596249.5</v>
      </c>
      <c r="FD105" t="s">
        <v>873</v>
      </c>
      <c r="FE105">
        <v>1674596235.5</v>
      </c>
      <c r="FF105">
        <v>1674596249.5</v>
      </c>
      <c r="FG105">
        <v>101</v>
      </c>
      <c r="FH105">
        <v>7.0000000000000001E-3</v>
      </c>
      <c r="FI105">
        <v>-1E-3</v>
      </c>
      <c r="FJ105">
        <v>0.94899999999999995</v>
      </c>
      <c r="FK105">
        <v>3.3000000000000002E-2</v>
      </c>
      <c r="FL105">
        <v>70</v>
      </c>
      <c r="FM105">
        <v>17</v>
      </c>
      <c r="FN105">
        <v>0.11</v>
      </c>
      <c r="FO105">
        <v>0.01</v>
      </c>
      <c r="FP105">
        <v>13.021881735450849</v>
      </c>
      <c r="FQ105">
        <v>-0.51711450512935309</v>
      </c>
      <c r="FR105">
        <v>5.4974471188046083E-2</v>
      </c>
      <c r="FS105">
        <v>1</v>
      </c>
      <c r="FT105">
        <v>0.62505431256808275</v>
      </c>
      <c r="FU105">
        <v>3.121003260310402E-2</v>
      </c>
      <c r="FV105">
        <v>6.2101036755808029E-3</v>
      </c>
      <c r="FW105">
        <v>1</v>
      </c>
      <c r="FX105">
        <v>2</v>
      </c>
      <c r="FY105">
        <v>2</v>
      </c>
      <c r="FZ105" t="s">
        <v>420</v>
      </c>
      <c r="GA105">
        <v>2.9334899999999999</v>
      </c>
      <c r="GB105">
        <v>2.8332799999999998</v>
      </c>
      <c r="GC105">
        <v>1.47026E-2</v>
      </c>
      <c r="GD105">
        <v>1.8785E-2</v>
      </c>
      <c r="GE105">
        <v>0.122325</v>
      </c>
      <c r="GF105">
        <v>8.9399199999999998E-2</v>
      </c>
      <c r="GG105">
        <v>25524.9</v>
      </c>
      <c r="GH105">
        <v>32005.4</v>
      </c>
      <c r="GI105">
        <v>23309.5</v>
      </c>
      <c r="GJ105">
        <v>29885.8</v>
      </c>
      <c r="GK105">
        <v>27835.9</v>
      </c>
      <c r="GL105">
        <v>38702.5</v>
      </c>
      <c r="GM105">
        <v>32905.199999999997</v>
      </c>
      <c r="GN105">
        <v>44341.3</v>
      </c>
      <c r="GO105">
        <v>1.9685999999999999</v>
      </c>
      <c r="GP105">
        <v>1.83785</v>
      </c>
      <c r="GQ105">
        <v>5.9008600000000001E-2</v>
      </c>
      <c r="GR105">
        <v>0</v>
      </c>
      <c r="GS105">
        <v>26.5625</v>
      </c>
      <c r="GT105">
        <v>999.9</v>
      </c>
      <c r="GU105">
        <v>47.8</v>
      </c>
      <c r="GV105">
        <v>35.200000000000003</v>
      </c>
      <c r="GW105">
        <v>27.430599999999998</v>
      </c>
      <c r="GX105">
        <v>61.691200000000002</v>
      </c>
      <c r="GY105">
        <v>36.3902</v>
      </c>
      <c r="GZ105">
        <v>1</v>
      </c>
      <c r="HA105">
        <v>0.33973599999999998</v>
      </c>
      <c r="HB105">
        <v>2.0953400000000002</v>
      </c>
      <c r="HC105">
        <v>20.260100000000001</v>
      </c>
      <c r="HD105">
        <v>5.2098000000000004</v>
      </c>
      <c r="HE105">
        <v>11.872199999999999</v>
      </c>
      <c r="HF105">
        <v>4.9847999999999999</v>
      </c>
      <c r="HG105">
        <v>3.2839999999999998</v>
      </c>
      <c r="HH105">
        <v>9999</v>
      </c>
      <c r="HI105">
        <v>9999</v>
      </c>
      <c r="HJ105">
        <v>9999</v>
      </c>
      <c r="HK105">
        <v>999.9</v>
      </c>
      <c r="HL105">
        <v>1.8547</v>
      </c>
      <c r="HM105">
        <v>1.8607899999999999</v>
      </c>
      <c r="HN105">
        <v>1.8581399999999999</v>
      </c>
      <c r="HO105">
        <v>1.85931</v>
      </c>
      <c r="HP105">
        <v>1.85867</v>
      </c>
      <c r="HQ105">
        <v>1.85928</v>
      </c>
      <c r="HR105">
        <v>1.8575999999999999</v>
      </c>
      <c r="HS105">
        <v>1.8609599999999999</v>
      </c>
      <c r="HT105">
        <v>5</v>
      </c>
      <c r="HU105">
        <v>0</v>
      </c>
      <c r="HV105">
        <v>0</v>
      </c>
      <c r="HW105">
        <v>0</v>
      </c>
      <c r="HX105" t="s">
        <v>421</v>
      </c>
      <c r="HY105" t="s">
        <v>422</v>
      </c>
      <c r="HZ105" t="s">
        <v>423</v>
      </c>
      <c r="IA105" t="s">
        <v>423</v>
      </c>
      <c r="IB105" t="s">
        <v>423</v>
      </c>
      <c r="IC105" t="s">
        <v>423</v>
      </c>
      <c r="ID105">
        <v>0</v>
      </c>
      <c r="IE105">
        <v>100</v>
      </c>
      <c r="IF105">
        <v>100</v>
      </c>
      <c r="IG105">
        <v>0.92300000000000004</v>
      </c>
      <c r="IH105">
        <v>0.1074</v>
      </c>
      <c r="II105">
        <v>0.8368552303784329</v>
      </c>
      <c r="IJ105">
        <v>1.6187016317407189E-3</v>
      </c>
      <c r="IK105">
        <v>1.4341569744255341E-7</v>
      </c>
      <c r="IL105">
        <v>-2.4096625942085749E-10</v>
      </c>
      <c r="IM105">
        <v>0.1074106492575545</v>
      </c>
      <c r="IN105">
        <v>0</v>
      </c>
      <c r="IO105">
        <v>0</v>
      </c>
      <c r="IP105">
        <v>0</v>
      </c>
      <c r="IQ105">
        <v>4</v>
      </c>
      <c r="IR105">
        <v>2205</v>
      </c>
      <c r="IS105">
        <v>1</v>
      </c>
      <c r="IT105">
        <v>21</v>
      </c>
      <c r="IU105">
        <v>0.8</v>
      </c>
      <c r="IV105">
        <v>0.6</v>
      </c>
      <c r="IW105">
        <v>0.28930699999999998</v>
      </c>
      <c r="IX105">
        <v>2.50732</v>
      </c>
      <c r="IY105">
        <v>1.49414</v>
      </c>
      <c r="IZ105">
        <v>2.3034699999999999</v>
      </c>
      <c r="JA105">
        <v>1.69434</v>
      </c>
      <c r="JB105">
        <v>2.2888199999999999</v>
      </c>
      <c r="JC105">
        <v>39.217300000000002</v>
      </c>
      <c r="JD105">
        <v>23.9999</v>
      </c>
      <c r="JE105">
        <v>18</v>
      </c>
      <c r="JF105">
        <v>510.834</v>
      </c>
      <c r="JG105">
        <v>448.673</v>
      </c>
      <c r="JH105">
        <v>24.811499999999999</v>
      </c>
      <c r="JI105">
        <v>31.604399999999998</v>
      </c>
      <c r="JJ105">
        <v>30</v>
      </c>
      <c r="JK105">
        <v>31.549900000000001</v>
      </c>
      <c r="JL105">
        <v>31.520099999999999</v>
      </c>
      <c r="JM105">
        <v>5.8491099999999996</v>
      </c>
      <c r="JN105">
        <v>45.084800000000001</v>
      </c>
      <c r="JO105">
        <v>0</v>
      </c>
      <c r="JP105">
        <v>24.808900000000001</v>
      </c>
      <c r="JQ105">
        <v>70</v>
      </c>
      <c r="JR105">
        <v>16.6706</v>
      </c>
      <c r="JS105">
        <v>99.118600000000001</v>
      </c>
      <c r="JT105">
        <v>99.577600000000004</v>
      </c>
    </row>
    <row r="106" spans="1:280" x14ac:dyDescent="0.25">
      <c r="A106">
        <v>90</v>
      </c>
      <c r="B106">
        <v>1674596398.5</v>
      </c>
      <c r="C106">
        <v>22345.900000095371</v>
      </c>
      <c r="D106" t="s">
        <v>874</v>
      </c>
      <c r="E106" t="s">
        <v>875</v>
      </c>
      <c r="F106" t="s">
        <v>412</v>
      </c>
      <c r="G106" t="s">
        <v>850</v>
      </c>
      <c r="H106" t="s">
        <v>565</v>
      </c>
      <c r="I106">
        <v>1674596398.5</v>
      </c>
      <c r="J106">
        <f t="shared" si="92"/>
        <v>7.1074903071915666E-3</v>
      </c>
      <c r="K106">
        <f t="shared" si="93"/>
        <v>7.1074903071915667</v>
      </c>
      <c r="L106">
        <f t="shared" si="94"/>
        <v>5.5149895229583024</v>
      </c>
      <c r="M106">
        <f t="shared" si="95"/>
        <v>23.1572</v>
      </c>
      <c r="N106">
        <f t="shared" si="96"/>
        <v>7.5466623756927529</v>
      </c>
      <c r="O106">
        <f t="shared" si="97"/>
        <v>0.75180981076675069</v>
      </c>
      <c r="P106">
        <f t="shared" si="98"/>
        <v>2.3069549534855995</v>
      </c>
      <c r="Q106">
        <f t="shared" si="99"/>
        <v>0.63575720230478727</v>
      </c>
      <c r="R106">
        <f t="shared" si="100"/>
        <v>2.9165349341150533</v>
      </c>
      <c r="S106">
        <f t="shared" si="101"/>
        <v>0.56762391331504447</v>
      </c>
      <c r="T106">
        <f t="shared" si="102"/>
        <v>0.36027607507349863</v>
      </c>
      <c r="U106">
        <f t="shared" si="103"/>
        <v>344.35230126374387</v>
      </c>
      <c r="V106">
        <f t="shared" si="104"/>
        <v>28.18952347637131</v>
      </c>
      <c r="W106">
        <f t="shared" si="105"/>
        <v>27.538799999999998</v>
      </c>
      <c r="X106">
        <f t="shared" si="106"/>
        <v>3.6939989874863124</v>
      </c>
      <c r="Y106">
        <f t="shared" si="107"/>
        <v>65.46578046429839</v>
      </c>
      <c r="Z106">
        <f t="shared" si="108"/>
        <v>2.4852774349055995</v>
      </c>
      <c r="AA106">
        <f t="shared" si="109"/>
        <v>3.796300017015668</v>
      </c>
      <c r="AB106">
        <f t="shared" si="110"/>
        <v>1.2087215525807129</v>
      </c>
      <c r="AC106">
        <f t="shared" si="111"/>
        <v>-313.44032254714807</v>
      </c>
      <c r="AD106">
        <f t="shared" si="112"/>
        <v>73.555109033955517</v>
      </c>
      <c r="AE106">
        <f t="shared" si="113"/>
        <v>5.4849462319908922</v>
      </c>
      <c r="AF106">
        <f t="shared" si="114"/>
        <v>109.95203398254219</v>
      </c>
      <c r="AG106">
        <v>0</v>
      </c>
      <c r="AH106">
        <v>0</v>
      </c>
      <c r="AI106">
        <f t="shared" si="115"/>
        <v>1</v>
      </c>
      <c r="AJ106">
        <f t="shared" si="116"/>
        <v>0</v>
      </c>
      <c r="AK106">
        <f t="shared" si="117"/>
        <v>52315.915480030628</v>
      </c>
      <c r="AL106" t="s">
        <v>415</v>
      </c>
      <c r="AM106">
        <v>10214.9</v>
      </c>
      <c r="AN106">
        <v>729.4384</v>
      </c>
      <c r="AO106">
        <v>3170.19</v>
      </c>
      <c r="AP106">
        <f t="shared" si="118"/>
        <v>0.76990704027203416</v>
      </c>
      <c r="AQ106">
        <v>-0.45549566560547827</v>
      </c>
      <c r="AR106" t="s">
        <v>876</v>
      </c>
      <c r="AS106">
        <v>10100.4</v>
      </c>
      <c r="AT106">
        <v>841.02003846153843</v>
      </c>
      <c r="AU106">
        <v>924.35342883593705</v>
      </c>
      <c r="AV106">
        <f t="shared" si="119"/>
        <v>9.0153168446989618E-2</v>
      </c>
      <c r="AW106">
        <v>0.5</v>
      </c>
      <c r="AX106">
        <f t="shared" si="120"/>
        <v>1513.109100631872</v>
      </c>
      <c r="AY106">
        <f t="shared" si="121"/>
        <v>5.5149895229583024</v>
      </c>
      <c r="AZ106">
        <f t="shared" si="122"/>
        <v>68.205789813969062</v>
      </c>
      <c r="BA106">
        <f t="shared" si="123"/>
        <v>3.9458391903601101E-3</v>
      </c>
      <c r="BB106">
        <f t="shared" si="124"/>
        <v>2.4296297293907432</v>
      </c>
      <c r="BC106">
        <f t="shared" si="125"/>
        <v>467.87643331920026</v>
      </c>
      <c r="BD106" t="s">
        <v>877</v>
      </c>
      <c r="BE106">
        <v>587.39</v>
      </c>
      <c r="BF106">
        <f t="shared" si="126"/>
        <v>587.39</v>
      </c>
      <c r="BG106">
        <f t="shared" si="127"/>
        <v>0.36453959959913185</v>
      </c>
      <c r="BH106">
        <f t="shared" si="128"/>
        <v>0.24730692782382779</v>
      </c>
      <c r="BI106">
        <f t="shared" si="129"/>
        <v>0.86953560909248218</v>
      </c>
      <c r="BJ106">
        <f t="shared" si="130"/>
        <v>0.42753701893629559</v>
      </c>
      <c r="BK106">
        <f t="shared" si="131"/>
        <v>0.9201413905307132</v>
      </c>
      <c r="BL106">
        <f t="shared" si="132"/>
        <v>0.17272551151119983</v>
      </c>
      <c r="BM106">
        <f t="shared" si="133"/>
        <v>0.82727448848880014</v>
      </c>
      <c r="BN106">
        <v>9236</v>
      </c>
      <c r="BO106">
        <v>290.00000000000011</v>
      </c>
      <c r="BP106">
        <v>896.79</v>
      </c>
      <c r="BQ106">
        <v>125</v>
      </c>
      <c r="BR106">
        <v>10100.4</v>
      </c>
      <c r="BS106">
        <v>895.61</v>
      </c>
      <c r="BT106">
        <v>1.18</v>
      </c>
      <c r="BU106">
        <v>300.00000000000011</v>
      </c>
      <c r="BV106">
        <v>24.2</v>
      </c>
      <c r="BW106">
        <v>924.35342883593705</v>
      </c>
      <c r="BX106">
        <v>2.3990377796546229</v>
      </c>
      <c r="BY106">
        <v>-29.028099070206359</v>
      </c>
      <c r="BZ106">
        <v>2.1535572996812169</v>
      </c>
      <c r="CA106">
        <v>0.86646776674969916</v>
      </c>
      <c r="CB106">
        <v>-6.889652057842038E-3</v>
      </c>
      <c r="CC106">
        <v>289.99999999999989</v>
      </c>
      <c r="CD106">
        <v>892.2</v>
      </c>
      <c r="CE106">
        <v>645</v>
      </c>
      <c r="CF106">
        <v>10063.5</v>
      </c>
      <c r="CG106">
        <v>895.51</v>
      </c>
      <c r="CH106">
        <v>-3.31</v>
      </c>
      <c r="CV106">
        <f t="shared" si="134"/>
        <v>1799.91</v>
      </c>
      <c r="CW106">
        <f t="shared" si="135"/>
        <v>1513.109100631872</v>
      </c>
      <c r="CX106">
        <f t="shared" si="136"/>
        <v>0.84065819992770308</v>
      </c>
      <c r="CY106">
        <f t="shared" si="137"/>
        <v>0.19131639985540602</v>
      </c>
      <c r="CZ106">
        <v>6</v>
      </c>
      <c r="DA106">
        <v>0.5</v>
      </c>
      <c r="DB106" t="s">
        <v>418</v>
      </c>
      <c r="DC106">
        <v>2</v>
      </c>
      <c r="DD106">
        <v>1674596398.5</v>
      </c>
      <c r="DE106">
        <v>23.1572</v>
      </c>
      <c r="DF106">
        <v>29.971699999999998</v>
      </c>
      <c r="DG106">
        <v>24.947199999999999</v>
      </c>
      <c r="DH106">
        <v>16.632200000000001</v>
      </c>
      <c r="DI106">
        <v>22.2532</v>
      </c>
      <c r="DJ106">
        <v>24.837299999999999</v>
      </c>
      <c r="DK106">
        <v>500.07299999999998</v>
      </c>
      <c r="DL106">
        <v>99.521199999999993</v>
      </c>
      <c r="DM106">
        <v>0.100298</v>
      </c>
      <c r="DN106">
        <v>28.006599999999999</v>
      </c>
      <c r="DO106">
        <v>27.538799999999998</v>
      </c>
      <c r="DP106">
        <v>999.9</v>
      </c>
      <c r="DQ106">
        <v>0</v>
      </c>
      <c r="DR106">
        <v>0</v>
      </c>
      <c r="DS106">
        <v>9973.75</v>
      </c>
      <c r="DT106">
        <v>0</v>
      </c>
      <c r="DU106">
        <v>303.48599999999999</v>
      </c>
      <c r="DV106">
        <v>-6.8145499999999997</v>
      </c>
      <c r="DW106">
        <v>23.749700000000001</v>
      </c>
      <c r="DX106">
        <v>30.4787</v>
      </c>
      <c r="DY106">
        <v>8.3150499999999994</v>
      </c>
      <c r="DZ106">
        <v>29.971699999999998</v>
      </c>
      <c r="EA106">
        <v>16.632200000000001</v>
      </c>
      <c r="EB106">
        <v>2.48278</v>
      </c>
      <c r="EC106">
        <v>1.6552500000000001</v>
      </c>
      <c r="ED106">
        <v>20.914000000000001</v>
      </c>
      <c r="EE106">
        <v>14.483000000000001</v>
      </c>
      <c r="EF106">
        <v>1799.91</v>
      </c>
      <c r="EG106">
        <v>0.97799800000000003</v>
      </c>
      <c r="EH106">
        <v>2.2002399999999998E-2</v>
      </c>
      <c r="EI106">
        <v>0</v>
      </c>
      <c r="EJ106">
        <v>841.15499999999997</v>
      </c>
      <c r="EK106">
        <v>4.9990399999999999</v>
      </c>
      <c r="EL106">
        <v>15589.4</v>
      </c>
      <c r="EM106">
        <v>14820</v>
      </c>
      <c r="EN106">
        <v>48.311999999999998</v>
      </c>
      <c r="EO106">
        <v>49.75</v>
      </c>
      <c r="EP106">
        <v>49.25</v>
      </c>
      <c r="EQ106">
        <v>48.125</v>
      </c>
      <c r="ER106">
        <v>49.186999999999998</v>
      </c>
      <c r="ES106">
        <v>1755.42</v>
      </c>
      <c r="ET106">
        <v>39.49</v>
      </c>
      <c r="EU106">
        <v>0</v>
      </c>
      <c r="EV106">
        <v>113</v>
      </c>
      <c r="EW106">
        <v>0</v>
      </c>
      <c r="EX106">
        <v>841.02003846153843</v>
      </c>
      <c r="EY106">
        <v>-1.015008548063189</v>
      </c>
      <c r="EZ106">
        <v>-20.70085464689771</v>
      </c>
      <c r="FA106">
        <v>15593.48846153846</v>
      </c>
      <c r="FB106">
        <v>15</v>
      </c>
      <c r="FC106">
        <v>1674596364</v>
      </c>
      <c r="FD106" t="s">
        <v>878</v>
      </c>
      <c r="FE106">
        <v>1674596347</v>
      </c>
      <c r="FF106">
        <v>1674596364</v>
      </c>
      <c r="FG106">
        <v>102</v>
      </c>
      <c r="FH106">
        <v>3.1E-2</v>
      </c>
      <c r="FI106">
        <v>3.0000000000000001E-3</v>
      </c>
      <c r="FJ106">
        <v>0.91500000000000004</v>
      </c>
      <c r="FK106">
        <v>3.5000000000000003E-2</v>
      </c>
      <c r="FL106">
        <v>30</v>
      </c>
      <c r="FM106">
        <v>17</v>
      </c>
      <c r="FN106">
        <v>0.27</v>
      </c>
      <c r="FO106">
        <v>0.01</v>
      </c>
      <c r="FP106">
        <v>5.5701967459692288</v>
      </c>
      <c r="FQ106">
        <v>-0.65455537689342391</v>
      </c>
      <c r="FR106">
        <v>6.6694824129150468E-2</v>
      </c>
      <c r="FS106">
        <v>1</v>
      </c>
      <c r="FT106">
        <v>0.64128625187376231</v>
      </c>
      <c r="FU106">
        <v>1.062493801877281E-2</v>
      </c>
      <c r="FV106">
        <v>5.3606925755092377E-3</v>
      </c>
      <c r="FW106">
        <v>1</v>
      </c>
      <c r="FX106">
        <v>2</v>
      </c>
      <c r="FY106">
        <v>2</v>
      </c>
      <c r="FZ106" t="s">
        <v>420</v>
      </c>
      <c r="GA106">
        <v>2.93336</v>
      </c>
      <c r="GB106">
        <v>2.8335300000000001</v>
      </c>
      <c r="GC106">
        <v>6.2231400000000003E-3</v>
      </c>
      <c r="GD106">
        <v>8.1579400000000007E-3</v>
      </c>
      <c r="GE106">
        <v>0.12244099999999999</v>
      </c>
      <c r="GF106">
        <v>8.8946300000000006E-2</v>
      </c>
      <c r="GG106">
        <v>25745.8</v>
      </c>
      <c r="GH106">
        <v>32353.7</v>
      </c>
      <c r="GI106">
        <v>23310.9</v>
      </c>
      <c r="GJ106">
        <v>29887.7</v>
      </c>
      <c r="GK106">
        <v>27833.9</v>
      </c>
      <c r="GL106">
        <v>38724.400000000001</v>
      </c>
      <c r="GM106">
        <v>32907.4</v>
      </c>
      <c r="GN106">
        <v>44344.4</v>
      </c>
      <c r="GO106">
        <v>1.96868</v>
      </c>
      <c r="GP106">
        <v>1.83792</v>
      </c>
      <c r="GQ106">
        <v>5.7146000000000002E-2</v>
      </c>
      <c r="GR106">
        <v>0</v>
      </c>
      <c r="GS106">
        <v>26.604399999999998</v>
      </c>
      <c r="GT106">
        <v>999.9</v>
      </c>
      <c r="GU106">
        <v>47.8</v>
      </c>
      <c r="GV106">
        <v>35.200000000000003</v>
      </c>
      <c r="GW106">
        <v>27.429099999999998</v>
      </c>
      <c r="GX106">
        <v>61.501300000000001</v>
      </c>
      <c r="GY106">
        <v>36.5505</v>
      </c>
      <c r="GZ106">
        <v>1</v>
      </c>
      <c r="HA106">
        <v>0.33835900000000002</v>
      </c>
      <c r="HB106">
        <v>2.1951700000000001</v>
      </c>
      <c r="HC106">
        <v>20.2593</v>
      </c>
      <c r="HD106">
        <v>5.2096499999999999</v>
      </c>
      <c r="HE106">
        <v>11.872199999999999</v>
      </c>
      <c r="HF106">
        <v>4.9843000000000002</v>
      </c>
      <c r="HG106">
        <v>3.2839999999999998</v>
      </c>
      <c r="HH106">
        <v>9999</v>
      </c>
      <c r="HI106">
        <v>9999</v>
      </c>
      <c r="HJ106">
        <v>9999</v>
      </c>
      <c r="HK106">
        <v>999.9</v>
      </c>
      <c r="HL106">
        <v>1.8546899999999999</v>
      </c>
      <c r="HM106">
        <v>1.8607800000000001</v>
      </c>
      <c r="HN106">
        <v>1.85819</v>
      </c>
      <c r="HO106">
        <v>1.85938</v>
      </c>
      <c r="HP106">
        <v>1.8587</v>
      </c>
      <c r="HQ106">
        <v>1.85927</v>
      </c>
      <c r="HR106">
        <v>1.8575999999999999</v>
      </c>
      <c r="HS106">
        <v>1.8609599999999999</v>
      </c>
      <c r="HT106">
        <v>5</v>
      </c>
      <c r="HU106">
        <v>0</v>
      </c>
      <c r="HV106">
        <v>0</v>
      </c>
      <c r="HW106">
        <v>0</v>
      </c>
      <c r="HX106" t="s">
        <v>421</v>
      </c>
      <c r="HY106" t="s">
        <v>422</v>
      </c>
      <c r="HZ106" t="s">
        <v>423</v>
      </c>
      <c r="IA106" t="s">
        <v>423</v>
      </c>
      <c r="IB106" t="s">
        <v>423</v>
      </c>
      <c r="IC106" t="s">
        <v>423</v>
      </c>
      <c r="ID106">
        <v>0</v>
      </c>
      <c r="IE106">
        <v>100</v>
      </c>
      <c r="IF106">
        <v>100</v>
      </c>
      <c r="IG106">
        <v>0.90400000000000003</v>
      </c>
      <c r="IH106">
        <v>0.1099</v>
      </c>
      <c r="II106">
        <v>0.8678788736756462</v>
      </c>
      <c r="IJ106">
        <v>1.6187016317407189E-3</v>
      </c>
      <c r="IK106">
        <v>1.4341569744255341E-7</v>
      </c>
      <c r="IL106">
        <v>-2.4096625942085749E-10</v>
      </c>
      <c r="IM106">
        <v>0.1099637456165924</v>
      </c>
      <c r="IN106">
        <v>0</v>
      </c>
      <c r="IO106">
        <v>0</v>
      </c>
      <c r="IP106">
        <v>0</v>
      </c>
      <c r="IQ106">
        <v>4</v>
      </c>
      <c r="IR106">
        <v>2205</v>
      </c>
      <c r="IS106">
        <v>1</v>
      </c>
      <c r="IT106">
        <v>21</v>
      </c>
      <c r="IU106">
        <v>0.9</v>
      </c>
      <c r="IV106">
        <v>0.6</v>
      </c>
      <c r="IW106">
        <v>0.20141600000000001</v>
      </c>
      <c r="IX106">
        <v>2.5134300000000001</v>
      </c>
      <c r="IY106">
        <v>1.49414</v>
      </c>
      <c r="IZ106">
        <v>2.3034699999999999</v>
      </c>
      <c r="JA106">
        <v>1.69434</v>
      </c>
      <c r="JB106">
        <v>2.4060100000000002</v>
      </c>
      <c r="JC106">
        <v>39.217300000000002</v>
      </c>
      <c r="JD106">
        <v>23.9999</v>
      </c>
      <c r="JE106">
        <v>18</v>
      </c>
      <c r="JF106">
        <v>510.74900000000002</v>
      </c>
      <c r="JG106">
        <v>448.61</v>
      </c>
      <c r="JH106">
        <v>24.778600000000001</v>
      </c>
      <c r="JI106">
        <v>31.590599999999998</v>
      </c>
      <c r="JJ106">
        <v>30.0001</v>
      </c>
      <c r="JK106">
        <v>31.533999999999999</v>
      </c>
      <c r="JL106">
        <v>31.5063</v>
      </c>
      <c r="JM106">
        <v>4.0859199999999998</v>
      </c>
      <c r="JN106">
        <v>45.288800000000002</v>
      </c>
      <c r="JO106">
        <v>0</v>
      </c>
      <c r="JP106">
        <v>24.767900000000001</v>
      </c>
      <c r="JQ106">
        <v>30</v>
      </c>
      <c r="JR106">
        <v>16.552499999999998</v>
      </c>
      <c r="JS106">
        <v>99.124899999999997</v>
      </c>
      <c r="JT106">
        <v>99.584199999999996</v>
      </c>
    </row>
    <row r="107" spans="1:280" x14ac:dyDescent="0.25">
      <c r="A107">
        <v>91</v>
      </c>
      <c r="B107">
        <v>1674596536.5</v>
      </c>
      <c r="C107">
        <v>22483.900000095371</v>
      </c>
      <c r="D107" t="s">
        <v>879</v>
      </c>
      <c r="E107" t="s">
        <v>880</v>
      </c>
      <c r="F107" t="s">
        <v>412</v>
      </c>
      <c r="G107" t="s">
        <v>850</v>
      </c>
      <c r="H107" t="s">
        <v>565</v>
      </c>
      <c r="I107">
        <v>1674596536.5</v>
      </c>
      <c r="J107">
        <f t="shared" si="92"/>
        <v>7.2580017970226814E-3</v>
      </c>
      <c r="K107">
        <f t="shared" si="93"/>
        <v>7.2580017970226818</v>
      </c>
      <c r="L107">
        <f t="shared" si="94"/>
        <v>1.7355292699578599</v>
      </c>
      <c r="M107">
        <f t="shared" si="95"/>
        <v>7.8920199999999996</v>
      </c>
      <c r="N107">
        <f t="shared" si="96"/>
        <v>3.0668798920452054</v>
      </c>
      <c r="O107">
        <f t="shared" si="97"/>
        <v>0.3055321110018796</v>
      </c>
      <c r="P107">
        <f t="shared" si="98"/>
        <v>0.78622757184698788</v>
      </c>
      <c r="Q107">
        <f t="shared" si="99"/>
        <v>0.65055056025280289</v>
      </c>
      <c r="R107">
        <f t="shared" si="100"/>
        <v>2.9216133289421173</v>
      </c>
      <c r="S107">
        <f t="shared" si="101"/>
        <v>0.57950828733439608</v>
      </c>
      <c r="T107">
        <f t="shared" si="102"/>
        <v>0.36792695917492724</v>
      </c>
      <c r="U107">
        <f t="shared" si="103"/>
        <v>344.35990126371581</v>
      </c>
      <c r="V107">
        <f t="shared" si="104"/>
        <v>28.141058782957501</v>
      </c>
      <c r="W107">
        <f t="shared" si="105"/>
        <v>27.513000000000002</v>
      </c>
      <c r="X107">
        <f t="shared" si="106"/>
        <v>3.6884275904890576</v>
      </c>
      <c r="Y107">
        <f t="shared" si="107"/>
        <v>65.343398145260267</v>
      </c>
      <c r="Z107">
        <f t="shared" si="108"/>
        <v>2.4793302859487398</v>
      </c>
      <c r="AA107">
        <f t="shared" si="109"/>
        <v>3.794308769245696</v>
      </c>
      <c r="AB107">
        <f t="shared" si="110"/>
        <v>1.2090973045403177</v>
      </c>
      <c r="AC107">
        <f t="shared" si="111"/>
        <v>-320.07787924870024</v>
      </c>
      <c r="AD107">
        <f t="shared" si="112"/>
        <v>76.329354620998345</v>
      </c>
      <c r="AE107">
        <f t="shared" si="113"/>
        <v>5.6809401105703161</v>
      </c>
      <c r="AF107">
        <f t="shared" si="114"/>
        <v>106.29231674658422</v>
      </c>
      <c r="AG107">
        <v>0</v>
      </c>
      <c r="AH107">
        <v>0</v>
      </c>
      <c r="AI107">
        <f t="shared" si="115"/>
        <v>1</v>
      </c>
      <c r="AJ107">
        <f t="shared" si="116"/>
        <v>0</v>
      </c>
      <c r="AK107">
        <f t="shared" si="117"/>
        <v>52463.318880588842</v>
      </c>
      <c r="AL107" t="s">
        <v>415</v>
      </c>
      <c r="AM107">
        <v>10214.9</v>
      </c>
      <c r="AN107">
        <v>729.4384</v>
      </c>
      <c r="AO107">
        <v>3170.19</v>
      </c>
      <c r="AP107">
        <f t="shared" si="118"/>
        <v>0.76990704027203416</v>
      </c>
      <c r="AQ107">
        <v>-0.45549566560547827</v>
      </c>
      <c r="AR107" t="s">
        <v>881</v>
      </c>
      <c r="AS107">
        <v>10109.1</v>
      </c>
      <c r="AT107">
        <v>849.19207692307691</v>
      </c>
      <c r="AU107">
        <v>912.20808170345754</v>
      </c>
      <c r="AV107">
        <f t="shared" si="119"/>
        <v>6.9080735025614515E-2</v>
      </c>
      <c r="AW107">
        <v>0.5</v>
      </c>
      <c r="AX107">
        <f t="shared" si="120"/>
        <v>1513.1427006318577</v>
      </c>
      <c r="AY107">
        <f t="shared" si="121"/>
        <v>1.7355292699578599</v>
      </c>
      <c r="AZ107">
        <f t="shared" si="122"/>
        <v>52.264504979146054</v>
      </c>
      <c r="BA107">
        <f t="shared" si="123"/>
        <v>1.4479962363420256E-3</v>
      </c>
      <c r="BB107">
        <f t="shared" si="124"/>
        <v>2.4752926043803369</v>
      </c>
      <c r="BC107">
        <f t="shared" si="125"/>
        <v>464.74442204599592</v>
      </c>
      <c r="BD107" t="s">
        <v>882</v>
      </c>
      <c r="BE107">
        <v>600.33000000000004</v>
      </c>
      <c r="BF107">
        <f t="shared" si="126"/>
        <v>600.33000000000004</v>
      </c>
      <c r="BG107">
        <f t="shared" si="127"/>
        <v>0.34189357445842439</v>
      </c>
      <c r="BH107">
        <f t="shared" si="128"/>
        <v>0.20205332941703172</v>
      </c>
      <c r="BI107">
        <f t="shared" si="129"/>
        <v>0.87864004976790266</v>
      </c>
      <c r="BJ107">
        <f t="shared" si="130"/>
        <v>0.34478368727819764</v>
      </c>
      <c r="BK107">
        <f t="shared" si="131"/>
        <v>0.92511745902227105</v>
      </c>
      <c r="BL107">
        <f t="shared" si="132"/>
        <v>0.14284009300750267</v>
      </c>
      <c r="BM107">
        <f t="shared" si="133"/>
        <v>0.85715990699249733</v>
      </c>
      <c r="BN107">
        <v>9238</v>
      </c>
      <c r="BO107">
        <v>290.00000000000011</v>
      </c>
      <c r="BP107">
        <v>891.89</v>
      </c>
      <c r="BQ107">
        <v>75</v>
      </c>
      <c r="BR107">
        <v>10109.1</v>
      </c>
      <c r="BS107">
        <v>889.08</v>
      </c>
      <c r="BT107">
        <v>2.81</v>
      </c>
      <c r="BU107">
        <v>300.00000000000011</v>
      </c>
      <c r="BV107">
        <v>24.2</v>
      </c>
      <c r="BW107">
        <v>912.20808170345754</v>
      </c>
      <c r="BX107">
        <v>2.0022096978603101</v>
      </c>
      <c r="BY107">
        <v>-23.384249586180669</v>
      </c>
      <c r="BZ107">
        <v>1.7973490664041709</v>
      </c>
      <c r="CA107">
        <v>0.85806312043444022</v>
      </c>
      <c r="CB107">
        <v>-6.8897116796440509E-3</v>
      </c>
      <c r="CC107">
        <v>289.99999999999989</v>
      </c>
      <c r="CD107">
        <v>885.92</v>
      </c>
      <c r="CE107">
        <v>705</v>
      </c>
      <c r="CF107">
        <v>10060.200000000001</v>
      </c>
      <c r="CG107">
        <v>888.96</v>
      </c>
      <c r="CH107">
        <v>-3.04</v>
      </c>
      <c r="CV107">
        <f t="shared" si="134"/>
        <v>1799.95</v>
      </c>
      <c r="CW107">
        <f t="shared" si="135"/>
        <v>1513.1427006318577</v>
      </c>
      <c r="CX107">
        <f t="shared" si="136"/>
        <v>0.84065818530062375</v>
      </c>
      <c r="CY107">
        <f t="shared" si="137"/>
        <v>0.1913163706012477</v>
      </c>
      <c r="CZ107">
        <v>6</v>
      </c>
      <c r="DA107">
        <v>0.5</v>
      </c>
      <c r="DB107" t="s">
        <v>418</v>
      </c>
      <c r="DC107">
        <v>2</v>
      </c>
      <c r="DD107">
        <v>1674596536.5</v>
      </c>
      <c r="DE107">
        <v>7.8920199999999996</v>
      </c>
      <c r="DF107">
        <v>10.042999999999999</v>
      </c>
      <c r="DG107">
        <v>24.8871</v>
      </c>
      <c r="DH107">
        <v>16.395800000000001</v>
      </c>
      <c r="DI107">
        <v>7.0881100000000004</v>
      </c>
      <c r="DJ107">
        <v>24.7775</v>
      </c>
      <c r="DK107">
        <v>500.09100000000001</v>
      </c>
      <c r="DL107">
        <v>99.523399999999995</v>
      </c>
      <c r="DM107">
        <v>9.9709400000000004E-2</v>
      </c>
      <c r="DN107">
        <v>27.997599999999998</v>
      </c>
      <c r="DO107">
        <v>27.513000000000002</v>
      </c>
      <c r="DP107">
        <v>999.9</v>
      </c>
      <c r="DQ107">
        <v>0</v>
      </c>
      <c r="DR107">
        <v>0</v>
      </c>
      <c r="DS107">
        <v>10002.5</v>
      </c>
      <c r="DT107">
        <v>0</v>
      </c>
      <c r="DU107">
        <v>299.02499999999998</v>
      </c>
      <c r="DV107">
        <v>-2.15096</v>
      </c>
      <c r="DW107">
        <v>8.0934500000000007</v>
      </c>
      <c r="DX107">
        <v>10.2104</v>
      </c>
      <c r="DY107">
        <v>8.4913299999999996</v>
      </c>
      <c r="DZ107">
        <v>10.042999999999999</v>
      </c>
      <c r="EA107">
        <v>16.395800000000001</v>
      </c>
      <c r="EB107">
        <v>2.4768500000000002</v>
      </c>
      <c r="EC107">
        <v>1.6317699999999999</v>
      </c>
      <c r="ED107">
        <v>20.8752</v>
      </c>
      <c r="EE107">
        <v>14.2621</v>
      </c>
      <c r="EF107">
        <v>1799.95</v>
      </c>
      <c r="EG107">
        <v>0.97799800000000003</v>
      </c>
      <c r="EH107">
        <v>2.2002500000000001E-2</v>
      </c>
      <c r="EI107">
        <v>0</v>
      </c>
      <c r="EJ107">
        <v>849.22699999999998</v>
      </c>
      <c r="EK107">
        <v>4.9990399999999999</v>
      </c>
      <c r="EL107">
        <v>15725.1</v>
      </c>
      <c r="EM107">
        <v>14820.3</v>
      </c>
      <c r="EN107">
        <v>48.375</v>
      </c>
      <c r="EO107">
        <v>49.811999999999998</v>
      </c>
      <c r="EP107">
        <v>49.311999999999998</v>
      </c>
      <c r="EQ107">
        <v>48.186999999999998</v>
      </c>
      <c r="ER107">
        <v>49.25</v>
      </c>
      <c r="ES107">
        <v>1755.46</v>
      </c>
      <c r="ET107">
        <v>39.49</v>
      </c>
      <c r="EU107">
        <v>0</v>
      </c>
      <c r="EV107">
        <v>135.79999995231631</v>
      </c>
      <c r="EW107">
        <v>0</v>
      </c>
      <c r="EX107">
        <v>849.19207692307691</v>
      </c>
      <c r="EY107">
        <v>-0.46324787128433181</v>
      </c>
      <c r="EZ107">
        <v>-11.18974364352143</v>
      </c>
      <c r="FA107">
        <v>15727.10384615385</v>
      </c>
      <c r="FB107">
        <v>15</v>
      </c>
      <c r="FC107">
        <v>1674596500</v>
      </c>
      <c r="FD107" t="s">
        <v>883</v>
      </c>
      <c r="FE107">
        <v>1674596482.5</v>
      </c>
      <c r="FF107">
        <v>1674596500</v>
      </c>
      <c r="FG107">
        <v>103</v>
      </c>
      <c r="FH107">
        <v>-7.4999999999999997E-2</v>
      </c>
      <c r="FI107">
        <v>0</v>
      </c>
      <c r="FJ107">
        <v>0.80700000000000005</v>
      </c>
      <c r="FK107">
        <v>0.03</v>
      </c>
      <c r="FL107">
        <v>10</v>
      </c>
      <c r="FM107">
        <v>16</v>
      </c>
      <c r="FN107">
        <v>0.19</v>
      </c>
      <c r="FO107">
        <v>0.02</v>
      </c>
      <c r="FP107">
        <v>1.7321601339264761</v>
      </c>
      <c r="FQ107">
        <v>-0.56823710901186342</v>
      </c>
      <c r="FR107">
        <v>6.4327728464907849E-2</v>
      </c>
      <c r="FS107">
        <v>1</v>
      </c>
      <c r="FT107">
        <v>0.65652678743581971</v>
      </c>
      <c r="FU107">
        <v>-1.3343285606220209E-2</v>
      </c>
      <c r="FV107">
        <v>2.497593803114696E-3</v>
      </c>
      <c r="FW107">
        <v>1</v>
      </c>
      <c r="FX107">
        <v>2</v>
      </c>
      <c r="FY107">
        <v>2</v>
      </c>
      <c r="FZ107" t="s">
        <v>420</v>
      </c>
      <c r="GA107">
        <v>2.9333900000000002</v>
      </c>
      <c r="GB107">
        <v>2.8331900000000001</v>
      </c>
      <c r="GC107">
        <v>1.9892999999999998E-3</v>
      </c>
      <c r="GD107">
        <v>2.7460399999999999E-3</v>
      </c>
      <c r="GE107">
        <v>0.122237</v>
      </c>
      <c r="GF107">
        <v>8.8039500000000007E-2</v>
      </c>
      <c r="GG107">
        <v>25855.599999999999</v>
      </c>
      <c r="GH107">
        <v>32530</v>
      </c>
      <c r="GI107">
        <v>23311.1</v>
      </c>
      <c r="GJ107">
        <v>29887.7</v>
      </c>
      <c r="GK107">
        <v>27840.9</v>
      </c>
      <c r="GL107">
        <v>38762.699999999997</v>
      </c>
      <c r="GM107">
        <v>32908.1</v>
      </c>
      <c r="GN107">
        <v>44343.7</v>
      </c>
      <c r="GO107">
        <v>1.96868</v>
      </c>
      <c r="GP107">
        <v>1.8373999999999999</v>
      </c>
      <c r="GQ107">
        <v>5.2936400000000002E-2</v>
      </c>
      <c r="GR107">
        <v>0</v>
      </c>
      <c r="GS107">
        <v>26.647400000000001</v>
      </c>
      <c r="GT107">
        <v>999.9</v>
      </c>
      <c r="GU107">
        <v>47.8</v>
      </c>
      <c r="GV107">
        <v>35.200000000000003</v>
      </c>
      <c r="GW107">
        <v>27.430099999999999</v>
      </c>
      <c r="GX107">
        <v>61.411299999999997</v>
      </c>
      <c r="GY107">
        <v>36.169899999999998</v>
      </c>
      <c r="GZ107">
        <v>1</v>
      </c>
      <c r="HA107">
        <v>0.33970299999999998</v>
      </c>
      <c r="HB107">
        <v>2.1623399999999999</v>
      </c>
      <c r="HC107">
        <v>20.2591</v>
      </c>
      <c r="HD107">
        <v>5.2069599999999996</v>
      </c>
      <c r="HE107">
        <v>11.872199999999999</v>
      </c>
      <c r="HF107">
        <v>4.9839000000000002</v>
      </c>
      <c r="HG107">
        <v>3.2833999999999999</v>
      </c>
      <c r="HH107">
        <v>9999</v>
      </c>
      <c r="HI107">
        <v>9999</v>
      </c>
      <c r="HJ107">
        <v>9999</v>
      </c>
      <c r="HK107">
        <v>999.9</v>
      </c>
      <c r="HL107">
        <v>1.8547100000000001</v>
      </c>
      <c r="HM107">
        <v>1.8608100000000001</v>
      </c>
      <c r="HN107">
        <v>1.8582099999999999</v>
      </c>
      <c r="HO107">
        <v>1.8594200000000001</v>
      </c>
      <c r="HP107">
        <v>1.85873</v>
      </c>
      <c r="HQ107">
        <v>1.85928</v>
      </c>
      <c r="HR107">
        <v>1.85762</v>
      </c>
      <c r="HS107">
        <v>1.8609800000000001</v>
      </c>
      <c r="HT107">
        <v>5</v>
      </c>
      <c r="HU107">
        <v>0</v>
      </c>
      <c r="HV107">
        <v>0</v>
      </c>
      <c r="HW107">
        <v>0</v>
      </c>
      <c r="HX107" t="s">
        <v>421</v>
      </c>
      <c r="HY107" t="s">
        <v>422</v>
      </c>
      <c r="HZ107" t="s">
        <v>423</v>
      </c>
      <c r="IA107" t="s">
        <v>423</v>
      </c>
      <c r="IB107" t="s">
        <v>423</v>
      </c>
      <c r="IC107" t="s">
        <v>423</v>
      </c>
      <c r="ID107">
        <v>0</v>
      </c>
      <c r="IE107">
        <v>100</v>
      </c>
      <c r="IF107">
        <v>100</v>
      </c>
      <c r="IG107">
        <v>0.80400000000000005</v>
      </c>
      <c r="IH107">
        <v>0.1096</v>
      </c>
      <c r="II107">
        <v>0.7924349629155294</v>
      </c>
      <c r="IJ107">
        <v>1.6187016317407189E-3</v>
      </c>
      <c r="IK107">
        <v>1.4341569744255341E-7</v>
      </c>
      <c r="IL107">
        <v>-2.4096625942085749E-10</v>
      </c>
      <c r="IM107">
        <v>0.1095984944725485</v>
      </c>
      <c r="IN107">
        <v>0</v>
      </c>
      <c r="IO107">
        <v>0</v>
      </c>
      <c r="IP107">
        <v>0</v>
      </c>
      <c r="IQ107">
        <v>4</v>
      </c>
      <c r="IR107">
        <v>2205</v>
      </c>
      <c r="IS107">
        <v>1</v>
      </c>
      <c r="IT107">
        <v>21</v>
      </c>
      <c r="IU107">
        <v>0.9</v>
      </c>
      <c r="IV107">
        <v>0.6</v>
      </c>
      <c r="IW107">
        <v>0.15625</v>
      </c>
      <c r="IX107">
        <v>2.5366200000000001</v>
      </c>
      <c r="IY107">
        <v>1.49414</v>
      </c>
      <c r="IZ107">
        <v>2.3034699999999999</v>
      </c>
      <c r="JA107">
        <v>1.69434</v>
      </c>
      <c r="JB107">
        <v>2.3571800000000001</v>
      </c>
      <c r="JC107">
        <v>39.217300000000002</v>
      </c>
      <c r="JD107">
        <v>23.9999</v>
      </c>
      <c r="JE107">
        <v>18</v>
      </c>
      <c r="JF107">
        <v>510.79</v>
      </c>
      <c r="JG107">
        <v>448.267</v>
      </c>
      <c r="JH107">
        <v>24.770600000000002</v>
      </c>
      <c r="JI107">
        <v>31.601700000000001</v>
      </c>
      <c r="JJ107">
        <v>30.0002</v>
      </c>
      <c r="JK107">
        <v>31.538900000000002</v>
      </c>
      <c r="JL107">
        <v>31.5091</v>
      </c>
      <c r="JM107">
        <v>3.1981099999999998</v>
      </c>
      <c r="JN107">
        <v>46.095300000000002</v>
      </c>
      <c r="JO107">
        <v>0</v>
      </c>
      <c r="JP107">
        <v>24.770900000000001</v>
      </c>
      <c r="JQ107">
        <v>10</v>
      </c>
      <c r="JR107">
        <v>16.377099999999999</v>
      </c>
      <c r="JS107">
        <v>99.126499999999993</v>
      </c>
      <c r="JT107">
        <v>99.583399999999997</v>
      </c>
    </row>
    <row r="108" spans="1:280" x14ac:dyDescent="0.25">
      <c r="A108">
        <v>92</v>
      </c>
      <c r="B108">
        <v>1674596726</v>
      </c>
      <c r="C108">
        <v>22673.400000095371</v>
      </c>
      <c r="D108" t="s">
        <v>884</v>
      </c>
      <c r="E108" t="s">
        <v>885</v>
      </c>
      <c r="F108" t="s">
        <v>412</v>
      </c>
      <c r="G108" t="s">
        <v>850</v>
      </c>
      <c r="H108" t="s">
        <v>565</v>
      </c>
      <c r="I108">
        <v>1674596726</v>
      </c>
      <c r="J108">
        <f t="shared" si="92"/>
        <v>6.9335084539880205E-3</v>
      </c>
      <c r="K108">
        <f t="shared" si="93"/>
        <v>6.9335084539880203</v>
      </c>
      <c r="L108">
        <f t="shared" si="94"/>
        <v>42.756033246103684</v>
      </c>
      <c r="M108">
        <f t="shared" si="95"/>
        <v>345.86</v>
      </c>
      <c r="N108">
        <f t="shared" si="96"/>
        <v>216.78854934654635</v>
      </c>
      <c r="O108">
        <f t="shared" si="97"/>
        <v>21.59753004891094</v>
      </c>
      <c r="P108">
        <f t="shared" si="98"/>
        <v>34.456255947244003</v>
      </c>
      <c r="Q108">
        <f t="shared" si="99"/>
        <v>0.60876049991550218</v>
      </c>
      <c r="R108">
        <f t="shared" si="100"/>
        <v>2.9194497428910178</v>
      </c>
      <c r="S108">
        <f t="shared" si="101"/>
        <v>0.54604145970707507</v>
      </c>
      <c r="T108">
        <f t="shared" si="102"/>
        <v>0.34637092289987842</v>
      </c>
      <c r="U108">
        <f t="shared" si="103"/>
        <v>344.35420126373685</v>
      </c>
      <c r="V108">
        <f t="shared" si="104"/>
        <v>28.222827530739703</v>
      </c>
      <c r="W108">
        <f t="shared" si="105"/>
        <v>27.506399999999999</v>
      </c>
      <c r="X108">
        <f t="shared" si="106"/>
        <v>3.6870035278413305</v>
      </c>
      <c r="Y108">
        <f t="shared" si="107"/>
        <v>64.871873770225676</v>
      </c>
      <c r="Z108">
        <f t="shared" si="108"/>
        <v>2.4610230874896604</v>
      </c>
      <c r="AA108">
        <f t="shared" si="109"/>
        <v>3.7936673391099105</v>
      </c>
      <c r="AB108">
        <f t="shared" si="110"/>
        <v>1.2259804403516701</v>
      </c>
      <c r="AC108">
        <f t="shared" si="111"/>
        <v>-305.76772282087171</v>
      </c>
      <c r="AD108">
        <f t="shared" si="112"/>
        <v>76.855184787267405</v>
      </c>
      <c r="AE108">
        <f t="shared" si="113"/>
        <v>5.724043853662951</v>
      </c>
      <c r="AF108">
        <f t="shared" si="114"/>
        <v>121.16570708379552</v>
      </c>
      <c r="AG108">
        <v>0</v>
      </c>
      <c r="AH108">
        <v>0</v>
      </c>
      <c r="AI108">
        <f t="shared" si="115"/>
        <v>1</v>
      </c>
      <c r="AJ108">
        <f t="shared" si="116"/>
        <v>0</v>
      </c>
      <c r="AK108">
        <f t="shared" si="117"/>
        <v>52401.722964699242</v>
      </c>
      <c r="AL108" t="s">
        <v>415</v>
      </c>
      <c r="AM108">
        <v>10214.9</v>
      </c>
      <c r="AN108">
        <v>729.4384</v>
      </c>
      <c r="AO108">
        <v>3170.19</v>
      </c>
      <c r="AP108">
        <f t="shared" si="118"/>
        <v>0.76990704027203416</v>
      </c>
      <c r="AQ108">
        <v>-0.45549566560547827</v>
      </c>
      <c r="AR108" t="s">
        <v>886</v>
      </c>
      <c r="AS108">
        <v>10080.1</v>
      </c>
      <c r="AT108">
        <v>758.49831999999992</v>
      </c>
      <c r="AU108">
        <v>1020.182292147536</v>
      </c>
      <c r="AV108">
        <f t="shared" si="119"/>
        <v>0.25650707149276031</v>
      </c>
      <c r="AW108">
        <v>0.5</v>
      </c>
      <c r="AX108">
        <f t="shared" si="120"/>
        <v>1513.1175006318683</v>
      </c>
      <c r="AY108">
        <f t="shared" si="121"/>
        <v>42.756033246103684</v>
      </c>
      <c r="AZ108">
        <f t="shared" si="122"/>
        <v>194.06266945576272</v>
      </c>
      <c r="BA108">
        <f t="shared" si="123"/>
        <v>2.855794668534618E-2</v>
      </c>
      <c r="BB108">
        <f t="shared" si="124"/>
        <v>2.1074740508645644</v>
      </c>
      <c r="BC108">
        <f t="shared" si="125"/>
        <v>491.23244666130068</v>
      </c>
      <c r="BD108" t="s">
        <v>887</v>
      </c>
      <c r="BE108">
        <v>569.66999999999996</v>
      </c>
      <c r="BF108">
        <f t="shared" si="126"/>
        <v>569.66999999999996</v>
      </c>
      <c r="BG108">
        <f t="shared" si="127"/>
        <v>0.4415997960513357</v>
      </c>
      <c r="BH108">
        <f t="shared" si="128"/>
        <v>0.58085867291238857</v>
      </c>
      <c r="BI108">
        <f t="shared" si="129"/>
        <v>0.82676068934384817</v>
      </c>
      <c r="BJ108">
        <f t="shared" si="130"/>
        <v>0.90004976618647703</v>
      </c>
      <c r="BK108">
        <f t="shared" si="131"/>
        <v>0.88087936021529767</v>
      </c>
      <c r="BL108">
        <f t="shared" si="132"/>
        <v>0.4362537812845787</v>
      </c>
      <c r="BM108">
        <f t="shared" si="133"/>
        <v>0.5637462187154213</v>
      </c>
      <c r="BN108">
        <v>9240</v>
      </c>
      <c r="BO108">
        <v>290.00000000000011</v>
      </c>
      <c r="BP108">
        <v>961.89</v>
      </c>
      <c r="BQ108">
        <v>295</v>
      </c>
      <c r="BR108">
        <v>10080.1</v>
      </c>
      <c r="BS108">
        <v>962.45</v>
      </c>
      <c r="BT108">
        <v>-0.56000000000000005</v>
      </c>
      <c r="BU108">
        <v>300.00000000000011</v>
      </c>
      <c r="BV108">
        <v>24.2</v>
      </c>
      <c r="BW108">
        <v>1020.182292147536</v>
      </c>
      <c r="BX108">
        <v>2.6878591028534911</v>
      </c>
      <c r="BY108">
        <v>-58.191809495796832</v>
      </c>
      <c r="BZ108">
        <v>2.4131131351047319</v>
      </c>
      <c r="CA108">
        <v>0.95406258636237229</v>
      </c>
      <c r="CB108">
        <v>-6.8909090100111314E-3</v>
      </c>
      <c r="CC108">
        <v>289.99999999999989</v>
      </c>
      <c r="CD108">
        <v>962.57</v>
      </c>
      <c r="CE108">
        <v>675</v>
      </c>
      <c r="CF108">
        <v>10063</v>
      </c>
      <c r="CG108">
        <v>962.35</v>
      </c>
      <c r="CH108">
        <v>0.22</v>
      </c>
      <c r="CV108">
        <f t="shared" si="134"/>
        <v>1799.92</v>
      </c>
      <c r="CW108">
        <f t="shared" si="135"/>
        <v>1513.1175006318683</v>
      </c>
      <c r="CX108">
        <f t="shared" si="136"/>
        <v>0.84065819627087224</v>
      </c>
      <c r="CY108">
        <f t="shared" si="137"/>
        <v>0.19131639254174454</v>
      </c>
      <c r="CZ108">
        <v>6</v>
      </c>
      <c r="DA108">
        <v>0.5</v>
      </c>
      <c r="DB108" t="s">
        <v>418</v>
      </c>
      <c r="DC108">
        <v>2</v>
      </c>
      <c r="DD108">
        <v>1674596726</v>
      </c>
      <c r="DE108">
        <v>345.86</v>
      </c>
      <c r="DF108">
        <v>400.03100000000001</v>
      </c>
      <c r="DG108">
        <v>24.7029</v>
      </c>
      <c r="DH108">
        <v>16.590299999999999</v>
      </c>
      <c r="DI108">
        <v>344.24700000000001</v>
      </c>
      <c r="DJ108">
        <v>24.5884</v>
      </c>
      <c r="DK108">
        <v>500.12799999999999</v>
      </c>
      <c r="DL108">
        <v>99.524900000000002</v>
      </c>
      <c r="DM108">
        <v>9.9965399999999996E-2</v>
      </c>
      <c r="DN108">
        <v>27.994700000000002</v>
      </c>
      <c r="DO108">
        <v>27.506399999999999</v>
      </c>
      <c r="DP108">
        <v>999.9</v>
      </c>
      <c r="DQ108">
        <v>0</v>
      </c>
      <c r="DR108">
        <v>0</v>
      </c>
      <c r="DS108">
        <v>9990</v>
      </c>
      <c r="DT108">
        <v>0</v>
      </c>
      <c r="DU108">
        <v>297.14800000000002</v>
      </c>
      <c r="DV108">
        <v>-54.170200000000001</v>
      </c>
      <c r="DW108">
        <v>354.62099999999998</v>
      </c>
      <c r="DX108">
        <v>406.779</v>
      </c>
      <c r="DY108">
        <v>8.1126299999999993</v>
      </c>
      <c r="DZ108">
        <v>400.03100000000001</v>
      </c>
      <c r="EA108">
        <v>16.590299999999999</v>
      </c>
      <c r="EB108">
        <v>2.4585499999999998</v>
      </c>
      <c r="EC108">
        <v>1.6511400000000001</v>
      </c>
      <c r="ED108">
        <v>20.7547</v>
      </c>
      <c r="EE108">
        <v>14.444599999999999</v>
      </c>
      <c r="EF108">
        <v>1799.92</v>
      </c>
      <c r="EG108">
        <v>0.97799800000000003</v>
      </c>
      <c r="EH108">
        <v>2.2002500000000001E-2</v>
      </c>
      <c r="EI108">
        <v>0</v>
      </c>
      <c r="EJ108">
        <v>757.49</v>
      </c>
      <c r="EK108">
        <v>4.9990399999999999</v>
      </c>
      <c r="EL108">
        <v>14078.8</v>
      </c>
      <c r="EM108">
        <v>14820.1</v>
      </c>
      <c r="EN108">
        <v>48.375</v>
      </c>
      <c r="EO108">
        <v>49.811999999999998</v>
      </c>
      <c r="EP108">
        <v>49.375</v>
      </c>
      <c r="EQ108">
        <v>48.25</v>
      </c>
      <c r="ER108">
        <v>49.311999999999998</v>
      </c>
      <c r="ES108">
        <v>1755.43</v>
      </c>
      <c r="ET108">
        <v>39.49</v>
      </c>
      <c r="EU108">
        <v>0</v>
      </c>
      <c r="EV108">
        <v>187.79999995231631</v>
      </c>
      <c r="EW108">
        <v>0</v>
      </c>
      <c r="EX108">
        <v>758.49831999999992</v>
      </c>
      <c r="EY108">
        <v>-8.166153847313133</v>
      </c>
      <c r="EZ108">
        <v>-143.0384616454171</v>
      </c>
      <c r="FA108">
        <v>14096.124</v>
      </c>
      <c r="FB108">
        <v>15</v>
      </c>
      <c r="FC108">
        <v>1674596619.5</v>
      </c>
      <c r="FD108" t="s">
        <v>888</v>
      </c>
      <c r="FE108">
        <v>1674596600</v>
      </c>
      <c r="FF108">
        <v>1674596619.5</v>
      </c>
      <c r="FG108">
        <v>104</v>
      </c>
      <c r="FH108">
        <v>0.25700000000000001</v>
      </c>
      <c r="FI108">
        <v>5.0000000000000001E-3</v>
      </c>
      <c r="FJ108">
        <v>1.7030000000000001</v>
      </c>
      <c r="FK108">
        <v>3.5999999999999997E-2</v>
      </c>
      <c r="FL108">
        <v>401</v>
      </c>
      <c r="FM108">
        <v>16</v>
      </c>
      <c r="FN108">
        <v>7.0000000000000007E-2</v>
      </c>
      <c r="FO108">
        <v>0.02</v>
      </c>
      <c r="FP108">
        <v>41.553576633499667</v>
      </c>
      <c r="FQ108">
        <v>6.4469372458063292</v>
      </c>
      <c r="FR108">
        <v>0.63651183936905176</v>
      </c>
      <c r="FS108">
        <v>0</v>
      </c>
      <c r="FT108">
        <v>0.61233344037133275</v>
      </c>
      <c r="FU108">
        <v>-1.582941513805549E-2</v>
      </c>
      <c r="FV108">
        <v>1.6285468003065099E-3</v>
      </c>
      <c r="FW108">
        <v>1</v>
      </c>
      <c r="FX108">
        <v>1</v>
      </c>
      <c r="FY108">
        <v>2</v>
      </c>
      <c r="FZ108" t="s">
        <v>459</v>
      </c>
      <c r="GA108">
        <v>2.9334500000000001</v>
      </c>
      <c r="GB108">
        <v>2.8333400000000002</v>
      </c>
      <c r="GC108">
        <v>8.0429799999999996E-2</v>
      </c>
      <c r="GD108">
        <v>8.8575600000000004E-2</v>
      </c>
      <c r="GE108">
        <v>0.121585</v>
      </c>
      <c r="GF108">
        <v>8.8785500000000003E-2</v>
      </c>
      <c r="GG108">
        <v>23824.2</v>
      </c>
      <c r="GH108">
        <v>29730.9</v>
      </c>
      <c r="GI108">
        <v>23310</v>
      </c>
      <c r="GJ108">
        <v>29886.2</v>
      </c>
      <c r="GK108">
        <v>27861.8</v>
      </c>
      <c r="GL108">
        <v>38731.5</v>
      </c>
      <c r="GM108">
        <v>32906.199999999997</v>
      </c>
      <c r="GN108">
        <v>44342.3</v>
      </c>
      <c r="GO108">
        <v>1.9686300000000001</v>
      </c>
      <c r="GP108">
        <v>1.8385499999999999</v>
      </c>
      <c r="GQ108">
        <v>5.20609E-2</v>
      </c>
      <c r="GR108">
        <v>0</v>
      </c>
      <c r="GS108">
        <v>26.655200000000001</v>
      </c>
      <c r="GT108">
        <v>999.9</v>
      </c>
      <c r="GU108">
        <v>47.7</v>
      </c>
      <c r="GV108">
        <v>35.200000000000003</v>
      </c>
      <c r="GW108">
        <v>27.372900000000001</v>
      </c>
      <c r="GX108">
        <v>61.311300000000003</v>
      </c>
      <c r="GY108">
        <v>36.330100000000002</v>
      </c>
      <c r="GZ108">
        <v>1</v>
      </c>
      <c r="HA108">
        <v>0.34161599999999998</v>
      </c>
      <c r="HB108">
        <v>2.15815</v>
      </c>
      <c r="HC108">
        <v>20.259699999999999</v>
      </c>
      <c r="HD108">
        <v>5.2092000000000001</v>
      </c>
      <c r="HE108">
        <v>11.872199999999999</v>
      </c>
      <c r="HF108">
        <v>4.9846000000000004</v>
      </c>
      <c r="HG108">
        <v>3.2839999999999998</v>
      </c>
      <c r="HH108">
        <v>9999</v>
      </c>
      <c r="HI108">
        <v>9999</v>
      </c>
      <c r="HJ108">
        <v>9999</v>
      </c>
      <c r="HK108">
        <v>999.9</v>
      </c>
      <c r="HL108">
        <v>1.85467</v>
      </c>
      <c r="HM108">
        <v>1.86076</v>
      </c>
      <c r="HN108">
        <v>1.8581399999999999</v>
      </c>
      <c r="HO108">
        <v>1.85934</v>
      </c>
      <c r="HP108">
        <v>1.85867</v>
      </c>
      <c r="HQ108">
        <v>1.85928</v>
      </c>
      <c r="HR108">
        <v>1.8575999999999999</v>
      </c>
      <c r="HS108">
        <v>1.8609599999999999</v>
      </c>
      <c r="HT108">
        <v>5</v>
      </c>
      <c r="HU108">
        <v>0</v>
      </c>
      <c r="HV108">
        <v>0</v>
      </c>
      <c r="HW108">
        <v>0</v>
      </c>
      <c r="HX108" t="s">
        <v>421</v>
      </c>
      <c r="HY108" t="s">
        <v>422</v>
      </c>
      <c r="HZ108" t="s">
        <v>423</v>
      </c>
      <c r="IA108" t="s">
        <v>423</v>
      </c>
      <c r="IB108" t="s">
        <v>423</v>
      </c>
      <c r="IC108" t="s">
        <v>423</v>
      </c>
      <c r="ID108">
        <v>0</v>
      </c>
      <c r="IE108">
        <v>100</v>
      </c>
      <c r="IF108">
        <v>100</v>
      </c>
      <c r="IG108">
        <v>1.613</v>
      </c>
      <c r="IH108">
        <v>0.1145</v>
      </c>
      <c r="II108">
        <v>1.0490403516754241</v>
      </c>
      <c r="IJ108">
        <v>1.6187016317407189E-3</v>
      </c>
      <c r="IK108">
        <v>1.4341569744255341E-7</v>
      </c>
      <c r="IL108">
        <v>-2.4096625942085749E-10</v>
      </c>
      <c r="IM108">
        <v>0.1144865376713447</v>
      </c>
      <c r="IN108">
        <v>0</v>
      </c>
      <c r="IO108">
        <v>0</v>
      </c>
      <c r="IP108">
        <v>0</v>
      </c>
      <c r="IQ108">
        <v>4</v>
      </c>
      <c r="IR108">
        <v>2205</v>
      </c>
      <c r="IS108">
        <v>1</v>
      </c>
      <c r="IT108">
        <v>21</v>
      </c>
      <c r="IU108">
        <v>2.1</v>
      </c>
      <c r="IV108">
        <v>1.8</v>
      </c>
      <c r="IW108">
        <v>0.98632799999999998</v>
      </c>
      <c r="IX108">
        <v>2.47437</v>
      </c>
      <c r="IY108">
        <v>1.49414</v>
      </c>
      <c r="IZ108">
        <v>2.3034699999999999</v>
      </c>
      <c r="JA108">
        <v>1.69434</v>
      </c>
      <c r="JB108">
        <v>2.2900399999999999</v>
      </c>
      <c r="JC108">
        <v>39.217300000000002</v>
      </c>
      <c r="JD108">
        <v>23.9999</v>
      </c>
      <c r="JE108">
        <v>18</v>
      </c>
      <c r="JF108">
        <v>510.851</v>
      </c>
      <c r="JG108">
        <v>449.18400000000003</v>
      </c>
      <c r="JH108">
        <v>24.776299999999999</v>
      </c>
      <c r="JI108">
        <v>31.6266</v>
      </c>
      <c r="JJ108">
        <v>30.0001</v>
      </c>
      <c r="JK108">
        <v>31.55</v>
      </c>
      <c r="JL108">
        <v>31.5229</v>
      </c>
      <c r="JM108">
        <v>19.824200000000001</v>
      </c>
      <c r="JN108">
        <v>45.487299999999998</v>
      </c>
      <c r="JO108">
        <v>0</v>
      </c>
      <c r="JP108">
        <v>24.776700000000002</v>
      </c>
      <c r="JQ108">
        <v>400</v>
      </c>
      <c r="JR108">
        <v>16.658200000000001</v>
      </c>
      <c r="JS108">
        <v>99.121099999999998</v>
      </c>
      <c r="JT108">
        <v>99.579499999999996</v>
      </c>
    </row>
    <row r="109" spans="1:280" x14ac:dyDescent="0.25">
      <c r="A109">
        <v>93</v>
      </c>
      <c r="B109">
        <v>1674596915.5</v>
      </c>
      <c r="C109">
        <v>22862.900000095371</v>
      </c>
      <c r="D109" t="s">
        <v>889</v>
      </c>
      <c r="E109" t="s">
        <v>890</v>
      </c>
      <c r="F109" t="s">
        <v>412</v>
      </c>
      <c r="G109" t="s">
        <v>850</v>
      </c>
      <c r="H109" t="s">
        <v>565</v>
      </c>
      <c r="I109">
        <v>1674596915.5</v>
      </c>
      <c r="J109">
        <f t="shared" si="92"/>
        <v>6.6710160482797119E-3</v>
      </c>
      <c r="K109">
        <f t="shared" si="93"/>
        <v>6.6710160482797116</v>
      </c>
      <c r="L109">
        <f t="shared" si="94"/>
        <v>52.955220817683085</v>
      </c>
      <c r="M109">
        <f t="shared" si="95"/>
        <v>333.82499999999999</v>
      </c>
      <c r="N109">
        <f t="shared" si="96"/>
        <v>170.89160617239997</v>
      </c>
      <c r="O109">
        <f t="shared" si="97"/>
        <v>17.026201073477171</v>
      </c>
      <c r="P109">
        <f t="shared" si="98"/>
        <v>33.25951286115</v>
      </c>
      <c r="Q109">
        <f t="shared" si="99"/>
        <v>0.58755355089986994</v>
      </c>
      <c r="R109">
        <f t="shared" si="100"/>
        <v>2.9193467512888458</v>
      </c>
      <c r="S109">
        <f t="shared" si="101"/>
        <v>0.52890145747280781</v>
      </c>
      <c r="T109">
        <f t="shared" si="102"/>
        <v>0.33534382255181538</v>
      </c>
      <c r="U109">
        <f t="shared" si="103"/>
        <v>344.3618012637088</v>
      </c>
      <c r="V109">
        <f t="shared" si="104"/>
        <v>28.29012053745388</v>
      </c>
      <c r="W109">
        <f t="shared" si="105"/>
        <v>27.501300000000001</v>
      </c>
      <c r="X109">
        <f t="shared" si="106"/>
        <v>3.6859034444520344</v>
      </c>
      <c r="Y109">
        <f t="shared" si="107"/>
        <v>65.06201083769497</v>
      </c>
      <c r="Z109">
        <f t="shared" si="108"/>
        <v>2.4680635861457998</v>
      </c>
      <c r="AA109">
        <f t="shared" si="109"/>
        <v>3.7934019474170291</v>
      </c>
      <c r="AB109">
        <f t="shared" si="110"/>
        <v>1.2178398583062346</v>
      </c>
      <c r="AC109">
        <f t="shared" si="111"/>
        <v>-294.19180772913529</v>
      </c>
      <c r="AD109">
        <f t="shared" si="112"/>
        <v>77.466286015709414</v>
      </c>
      <c r="AE109">
        <f t="shared" si="113"/>
        <v>5.7695799502341192</v>
      </c>
      <c r="AF109">
        <f t="shared" si="114"/>
        <v>133.40585950051704</v>
      </c>
      <c r="AG109">
        <v>0</v>
      </c>
      <c r="AH109">
        <v>0</v>
      </c>
      <c r="AI109">
        <f t="shared" si="115"/>
        <v>1</v>
      </c>
      <c r="AJ109">
        <f t="shared" si="116"/>
        <v>0</v>
      </c>
      <c r="AK109">
        <f t="shared" si="117"/>
        <v>52399.116001390219</v>
      </c>
      <c r="AL109" t="s">
        <v>415</v>
      </c>
      <c r="AM109">
        <v>10214.9</v>
      </c>
      <c r="AN109">
        <v>729.4384</v>
      </c>
      <c r="AO109">
        <v>3170.19</v>
      </c>
      <c r="AP109">
        <f t="shared" si="118"/>
        <v>0.76990704027203416</v>
      </c>
      <c r="AQ109">
        <v>-0.45549566560547827</v>
      </c>
      <c r="AR109" t="s">
        <v>891</v>
      </c>
      <c r="AS109">
        <v>10084.1</v>
      </c>
      <c r="AT109">
        <v>759.73376000000007</v>
      </c>
      <c r="AU109">
        <v>1114.9835889914091</v>
      </c>
      <c r="AV109">
        <f t="shared" si="119"/>
        <v>0.3186144015920096</v>
      </c>
      <c r="AW109">
        <v>0.5</v>
      </c>
      <c r="AX109">
        <f t="shared" si="120"/>
        <v>1513.1511006318544</v>
      </c>
      <c r="AY109">
        <f t="shared" si="121"/>
        <v>52.955220817683085</v>
      </c>
      <c r="AZ109">
        <f t="shared" si="122"/>
        <v>241.05586622305449</v>
      </c>
      <c r="BA109">
        <f t="shared" si="123"/>
        <v>3.529767546743056E-2</v>
      </c>
      <c r="BB109">
        <f t="shared" si="124"/>
        <v>1.8432615791840381</v>
      </c>
      <c r="BC109">
        <f t="shared" si="125"/>
        <v>512.20236032962919</v>
      </c>
      <c r="BD109" t="s">
        <v>892</v>
      </c>
      <c r="BE109">
        <v>576.71</v>
      </c>
      <c r="BF109">
        <f t="shared" si="126"/>
        <v>576.71</v>
      </c>
      <c r="BG109">
        <f t="shared" si="127"/>
        <v>0.48276368756092647</v>
      </c>
      <c r="BH109">
        <f t="shared" si="128"/>
        <v>0.65998004779885056</v>
      </c>
      <c r="BI109">
        <f t="shared" si="129"/>
        <v>0.79245122808295854</v>
      </c>
      <c r="BJ109">
        <f t="shared" si="130"/>
        <v>0.92142202557564501</v>
      </c>
      <c r="BK109">
        <f t="shared" si="131"/>
        <v>0.84203833401505956</v>
      </c>
      <c r="BL109">
        <f t="shared" si="132"/>
        <v>0.50098746877600264</v>
      </c>
      <c r="BM109">
        <f t="shared" si="133"/>
        <v>0.49901253122399736</v>
      </c>
      <c r="BN109">
        <v>9242</v>
      </c>
      <c r="BO109">
        <v>290.00000000000011</v>
      </c>
      <c r="BP109">
        <v>1026.07</v>
      </c>
      <c r="BQ109">
        <v>255</v>
      </c>
      <c r="BR109">
        <v>10084.1</v>
      </c>
      <c r="BS109">
        <v>1026.3699999999999</v>
      </c>
      <c r="BT109">
        <v>-0.3</v>
      </c>
      <c r="BU109">
        <v>300.00000000000011</v>
      </c>
      <c r="BV109">
        <v>24.2</v>
      </c>
      <c r="BW109">
        <v>1114.9835889914091</v>
      </c>
      <c r="BX109">
        <v>2.268952995080936</v>
      </c>
      <c r="BY109">
        <v>-89.363085185830101</v>
      </c>
      <c r="BZ109">
        <v>2.0371627542657409</v>
      </c>
      <c r="CA109">
        <v>0.98565768390553465</v>
      </c>
      <c r="CB109">
        <v>-6.8913410456062337E-3</v>
      </c>
      <c r="CC109">
        <v>289.99999999999989</v>
      </c>
      <c r="CD109">
        <v>1024.57</v>
      </c>
      <c r="CE109">
        <v>655</v>
      </c>
      <c r="CF109">
        <v>10064.799999999999</v>
      </c>
      <c r="CG109">
        <v>1026.2</v>
      </c>
      <c r="CH109">
        <v>-1.63</v>
      </c>
      <c r="CV109">
        <f t="shared" si="134"/>
        <v>1799.96</v>
      </c>
      <c r="CW109">
        <f t="shared" si="135"/>
        <v>1513.1511006318544</v>
      </c>
      <c r="CX109">
        <f t="shared" si="136"/>
        <v>0.84065818164395567</v>
      </c>
      <c r="CY109">
        <f t="shared" si="137"/>
        <v>0.19131636328791127</v>
      </c>
      <c r="CZ109">
        <v>6</v>
      </c>
      <c r="DA109">
        <v>0.5</v>
      </c>
      <c r="DB109" t="s">
        <v>418</v>
      </c>
      <c r="DC109">
        <v>2</v>
      </c>
      <c r="DD109">
        <v>1674596915.5</v>
      </c>
      <c r="DE109">
        <v>333.82499999999999</v>
      </c>
      <c r="DF109">
        <v>400.03500000000003</v>
      </c>
      <c r="DG109">
        <v>24.771899999999999</v>
      </c>
      <c r="DH109">
        <v>16.966000000000001</v>
      </c>
      <c r="DI109">
        <v>332.36900000000003</v>
      </c>
      <c r="DJ109">
        <v>24.658999999999999</v>
      </c>
      <c r="DK109">
        <v>500.065</v>
      </c>
      <c r="DL109">
        <v>99.531499999999994</v>
      </c>
      <c r="DM109">
        <v>0.100082</v>
      </c>
      <c r="DN109">
        <v>27.993500000000001</v>
      </c>
      <c r="DO109">
        <v>27.501300000000001</v>
      </c>
      <c r="DP109">
        <v>999.9</v>
      </c>
      <c r="DQ109">
        <v>0</v>
      </c>
      <c r="DR109">
        <v>0</v>
      </c>
      <c r="DS109">
        <v>9988.75</v>
      </c>
      <c r="DT109">
        <v>0</v>
      </c>
      <c r="DU109">
        <v>293.67200000000003</v>
      </c>
      <c r="DV109">
        <v>-66.209999999999994</v>
      </c>
      <c r="DW109">
        <v>342.30399999999997</v>
      </c>
      <c r="DX109">
        <v>406.93900000000002</v>
      </c>
      <c r="DY109">
        <v>7.8058500000000004</v>
      </c>
      <c r="DZ109">
        <v>400.03500000000003</v>
      </c>
      <c r="EA109">
        <v>16.966000000000001</v>
      </c>
      <c r="EB109">
        <v>2.4655800000000001</v>
      </c>
      <c r="EC109">
        <v>1.68866</v>
      </c>
      <c r="ED109">
        <v>20.801100000000002</v>
      </c>
      <c r="EE109">
        <v>14.7925</v>
      </c>
      <c r="EF109">
        <v>1799.96</v>
      </c>
      <c r="EG109">
        <v>0.97799800000000003</v>
      </c>
      <c r="EH109">
        <v>2.2002500000000001E-2</v>
      </c>
      <c r="EI109">
        <v>0</v>
      </c>
      <c r="EJ109">
        <v>760.399</v>
      </c>
      <c r="EK109">
        <v>4.9990399999999999</v>
      </c>
      <c r="EL109">
        <v>14136.4</v>
      </c>
      <c r="EM109">
        <v>14820.3</v>
      </c>
      <c r="EN109">
        <v>48.375</v>
      </c>
      <c r="EO109">
        <v>49.75</v>
      </c>
      <c r="EP109">
        <v>49.311999999999998</v>
      </c>
      <c r="EQ109">
        <v>48.186999999999998</v>
      </c>
      <c r="ER109">
        <v>49.25</v>
      </c>
      <c r="ES109">
        <v>1755.47</v>
      </c>
      <c r="ET109">
        <v>39.49</v>
      </c>
      <c r="EU109">
        <v>0</v>
      </c>
      <c r="EV109">
        <v>187.79999995231631</v>
      </c>
      <c r="EW109">
        <v>0</v>
      </c>
      <c r="EX109">
        <v>759.73376000000007</v>
      </c>
      <c r="EY109">
        <v>4.9597692211768072</v>
      </c>
      <c r="EZ109">
        <v>100.00769233701089</v>
      </c>
      <c r="FA109">
        <v>14126.816000000001</v>
      </c>
      <c r="FB109">
        <v>15</v>
      </c>
      <c r="FC109">
        <v>1674596799</v>
      </c>
      <c r="FD109" t="s">
        <v>893</v>
      </c>
      <c r="FE109">
        <v>1674596799</v>
      </c>
      <c r="FF109">
        <v>1674596795.5</v>
      </c>
      <c r="FG109">
        <v>105</v>
      </c>
      <c r="FH109">
        <v>-0.13800000000000001</v>
      </c>
      <c r="FI109">
        <v>-2E-3</v>
      </c>
      <c r="FJ109">
        <v>1.5629999999999999</v>
      </c>
      <c r="FK109">
        <v>4.1000000000000002E-2</v>
      </c>
      <c r="FL109">
        <v>400</v>
      </c>
      <c r="FM109">
        <v>17</v>
      </c>
      <c r="FN109">
        <v>0.04</v>
      </c>
      <c r="FO109">
        <v>0.02</v>
      </c>
      <c r="FP109">
        <v>52.658604035301742</v>
      </c>
      <c r="FQ109">
        <v>1.1511527566873609</v>
      </c>
      <c r="FR109">
        <v>0.1182292602800142</v>
      </c>
      <c r="FS109">
        <v>0</v>
      </c>
      <c r="FT109">
        <v>0.58919725319621008</v>
      </c>
      <c r="FU109">
        <v>-1.5396977110053179E-2</v>
      </c>
      <c r="FV109">
        <v>1.9609170552374218E-3</v>
      </c>
      <c r="FW109">
        <v>1</v>
      </c>
      <c r="FX109">
        <v>1</v>
      </c>
      <c r="FY109">
        <v>2</v>
      </c>
      <c r="FZ109" t="s">
        <v>459</v>
      </c>
      <c r="GA109">
        <v>2.9333100000000001</v>
      </c>
      <c r="GB109">
        <v>2.83344</v>
      </c>
      <c r="GC109">
        <v>7.82273E-2</v>
      </c>
      <c r="GD109">
        <v>8.8586499999999999E-2</v>
      </c>
      <c r="GE109">
        <v>0.121837</v>
      </c>
      <c r="GF109">
        <v>9.0227199999999994E-2</v>
      </c>
      <c r="GG109">
        <v>23882.799999999999</v>
      </c>
      <c r="GH109">
        <v>29732.1</v>
      </c>
      <c r="GI109">
        <v>23311.5</v>
      </c>
      <c r="GJ109">
        <v>29887.7</v>
      </c>
      <c r="GK109">
        <v>27855.5</v>
      </c>
      <c r="GL109">
        <v>38671.4</v>
      </c>
      <c r="GM109">
        <v>32908.400000000001</v>
      </c>
      <c r="GN109">
        <v>44344.4</v>
      </c>
      <c r="GO109">
        <v>1.96868</v>
      </c>
      <c r="GP109">
        <v>1.83945</v>
      </c>
      <c r="GQ109">
        <v>5.7406699999999998E-2</v>
      </c>
      <c r="GR109">
        <v>0</v>
      </c>
      <c r="GS109">
        <v>26.5625</v>
      </c>
      <c r="GT109">
        <v>999.9</v>
      </c>
      <c r="GU109">
        <v>47.7</v>
      </c>
      <c r="GV109">
        <v>35.200000000000003</v>
      </c>
      <c r="GW109">
        <v>27.371400000000001</v>
      </c>
      <c r="GX109">
        <v>61.221299999999999</v>
      </c>
      <c r="GY109">
        <v>36.346200000000003</v>
      </c>
      <c r="GZ109">
        <v>1</v>
      </c>
      <c r="HA109">
        <v>0.33970499999999998</v>
      </c>
      <c r="HB109">
        <v>1.9640200000000001</v>
      </c>
      <c r="HC109">
        <v>20.261399999999998</v>
      </c>
      <c r="HD109">
        <v>5.2098000000000004</v>
      </c>
      <c r="HE109">
        <v>11.872199999999999</v>
      </c>
      <c r="HF109">
        <v>4.9849500000000004</v>
      </c>
      <c r="HG109">
        <v>3.2839999999999998</v>
      </c>
      <c r="HH109">
        <v>9999</v>
      </c>
      <c r="HI109">
        <v>9999</v>
      </c>
      <c r="HJ109">
        <v>9999</v>
      </c>
      <c r="HK109">
        <v>999.9</v>
      </c>
      <c r="HL109">
        <v>1.8547100000000001</v>
      </c>
      <c r="HM109">
        <v>1.8608100000000001</v>
      </c>
      <c r="HN109">
        <v>1.8582000000000001</v>
      </c>
      <c r="HO109">
        <v>1.8593999999999999</v>
      </c>
      <c r="HP109">
        <v>1.8587100000000001</v>
      </c>
      <c r="HQ109">
        <v>1.85927</v>
      </c>
      <c r="HR109">
        <v>1.8575999999999999</v>
      </c>
      <c r="HS109">
        <v>1.8609599999999999</v>
      </c>
      <c r="HT109">
        <v>5</v>
      </c>
      <c r="HU109">
        <v>0</v>
      </c>
      <c r="HV109">
        <v>0</v>
      </c>
      <c r="HW109">
        <v>0</v>
      </c>
      <c r="HX109" t="s">
        <v>421</v>
      </c>
      <c r="HY109" t="s">
        <v>422</v>
      </c>
      <c r="HZ109" t="s">
        <v>423</v>
      </c>
      <c r="IA109" t="s">
        <v>423</v>
      </c>
      <c r="IB109" t="s">
        <v>423</v>
      </c>
      <c r="IC109" t="s">
        <v>423</v>
      </c>
      <c r="ID109">
        <v>0</v>
      </c>
      <c r="IE109">
        <v>100</v>
      </c>
      <c r="IF109">
        <v>100</v>
      </c>
      <c r="IG109">
        <v>1.456</v>
      </c>
      <c r="IH109">
        <v>0.1129</v>
      </c>
      <c r="II109">
        <v>0.91078087901292215</v>
      </c>
      <c r="IJ109">
        <v>1.6187016317407189E-3</v>
      </c>
      <c r="IK109">
        <v>1.4341569744255341E-7</v>
      </c>
      <c r="IL109">
        <v>-2.4096625942085749E-10</v>
      </c>
      <c r="IM109">
        <v>0.11287675137815301</v>
      </c>
      <c r="IN109">
        <v>0</v>
      </c>
      <c r="IO109">
        <v>0</v>
      </c>
      <c r="IP109">
        <v>0</v>
      </c>
      <c r="IQ109">
        <v>4</v>
      </c>
      <c r="IR109">
        <v>2205</v>
      </c>
      <c r="IS109">
        <v>1</v>
      </c>
      <c r="IT109">
        <v>21</v>
      </c>
      <c r="IU109">
        <v>1.9</v>
      </c>
      <c r="IV109">
        <v>2</v>
      </c>
      <c r="IW109">
        <v>0.98632799999999998</v>
      </c>
      <c r="IX109">
        <v>2.4609399999999999</v>
      </c>
      <c r="IY109">
        <v>1.49414</v>
      </c>
      <c r="IZ109">
        <v>2.3034699999999999</v>
      </c>
      <c r="JA109">
        <v>1.69434</v>
      </c>
      <c r="JB109">
        <v>2.4023400000000001</v>
      </c>
      <c r="JC109">
        <v>39.217300000000002</v>
      </c>
      <c r="JD109">
        <v>24.008700000000001</v>
      </c>
      <c r="JE109">
        <v>18</v>
      </c>
      <c r="JF109">
        <v>510.83699999999999</v>
      </c>
      <c r="JG109">
        <v>449.76600000000002</v>
      </c>
      <c r="JH109">
        <v>24.884</v>
      </c>
      <c r="JI109">
        <v>31.610700000000001</v>
      </c>
      <c r="JJ109">
        <v>30</v>
      </c>
      <c r="JK109">
        <v>31.544499999999999</v>
      </c>
      <c r="JL109">
        <v>31.517399999999999</v>
      </c>
      <c r="JM109">
        <v>19.822800000000001</v>
      </c>
      <c r="JN109">
        <v>43.908999999999999</v>
      </c>
      <c r="JO109">
        <v>0</v>
      </c>
      <c r="JP109">
        <v>24.8872</v>
      </c>
      <c r="JQ109">
        <v>400</v>
      </c>
      <c r="JR109">
        <v>16.968900000000001</v>
      </c>
      <c r="JS109">
        <v>99.127799999999993</v>
      </c>
      <c r="JT109">
        <v>99.584400000000002</v>
      </c>
    </row>
    <row r="110" spans="1:280" x14ac:dyDescent="0.25">
      <c r="A110">
        <v>94</v>
      </c>
      <c r="B110">
        <v>1674597027.5</v>
      </c>
      <c r="C110">
        <v>22974.900000095371</v>
      </c>
      <c r="D110" t="s">
        <v>894</v>
      </c>
      <c r="E110" t="s">
        <v>895</v>
      </c>
      <c r="F110" t="s">
        <v>412</v>
      </c>
      <c r="G110" t="s">
        <v>850</v>
      </c>
      <c r="H110" t="s">
        <v>565</v>
      </c>
      <c r="I110">
        <v>1674597027.5</v>
      </c>
      <c r="J110">
        <f t="shared" si="92"/>
        <v>6.6084970345992484E-3</v>
      </c>
      <c r="K110">
        <f t="shared" si="93"/>
        <v>6.6084970345992486</v>
      </c>
      <c r="L110">
        <f t="shared" si="94"/>
        <v>55.680451950511461</v>
      </c>
      <c r="M110">
        <f t="shared" si="95"/>
        <v>429.79399999999998</v>
      </c>
      <c r="N110">
        <f t="shared" si="96"/>
        <v>256.66042976482152</v>
      </c>
      <c r="O110">
        <f t="shared" si="97"/>
        <v>25.571968382181034</v>
      </c>
      <c r="P110">
        <f t="shared" si="98"/>
        <v>42.821866186859801</v>
      </c>
      <c r="Q110">
        <f t="shared" si="99"/>
        <v>0.58633025472429923</v>
      </c>
      <c r="R110">
        <f t="shared" si="100"/>
        <v>2.9192714980342442</v>
      </c>
      <c r="S110">
        <f t="shared" si="101"/>
        <v>0.52790781653548935</v>
      </c>
      <c r="T110">
        <f t="shared" si="102"/>
        <v>0.33470497895665313</v>
      </c>
      <c r="U110">
        <f t="shared" si="103"/>
        <v>344.35800126372283</v>
      </c>
      <c r="V110">
        <f t="shared" si="104"/>
        <v>28.327801700054014</v>
      </c>
      <c r="W110">
        <f t="shared" si="105"/>
        <v>27.5275</v>
      </c>
      <c r="X110">
        <f t="shared" si="106"/>
        <v>3.6915578987500863</v>
      </c>
      <c r="Y110">
        <f t="shared" si="107"/>
        <v>65.373247310272248</v>
      </c>
      <c r="Z110">
        <f t="shared" si="108"/>
        <v>2.4829656236307001</v>
      </c>
      <c r="AA110">
        <f t="shared" si="109"/>
        <v>3.798137197998035</v>
      </c>
      <c r="AB110">
        <f t="shared" si="110"/>
        <v>1.2085922751193863</v>
      </c>
      <c r="AC110">
        <f t="shared" si="111"/>
        <v>-291.43471922582688</v>
      </c>
      <c r="AD110">
        <f t="shared" si="112"/>
        <v>76.708847061985765</v>
      </c>
      <c r="AE110">
        <f t="shared" si="113"/>
        <v>5.7146706596434713</v>
      </c>
      <c r="AF110">
        <f t="shared" si="114"/>
        <v>135.34679975952514</v>
      </c>
      <c r="AG110">
        <v>0</v>
      </c>
      <c r="AH110">
        <v>0</v>
      </c>
      <c r="AI110">
        <f t="shared" si="115"/>
        <v>1</v>
      </c>
      <c r="AJ110">
        <f t="shared" si="116"/>
        <v>0</v>
      </c>
      <c r="AK110">
        <f t="shared" si="117"/>
        <v>52393.273093663127</v>
      </c>
      <c r="AL110" t="s">
        <v>415</v>
      </c>
      <c r="AM110">
        <v>10214.9</v>
      </c>
      <c r="AN110">
        <v>729.4384</v>
      </c>
      <c r="AO110">
        <v>3170.19</v>
      </c>
      <c r="AP110">
        <f t="shared" si="118"/>
        <v>0.76990704027203416</v>
      </c>
      <c r="AQ110">
        <v>-0.45549566560547827</v>
      </c>
      <c r="AR110" t="s">
        <v>896</v>
      </c>
      <c r="AS110">
        <v>10086.700000000001</v>
      </c>
      <c r="AT110">
        <v>769.43592307692302</v>
      </c>
      <c r="AU110">
        <v>1152.7543129671051</v>
      </c>
      <c r="AV110">
        <f t="shared" si="119"/>
        <v>0.33252392602509429</v>
      </c>
      <c r="AW110">
        <v>0.5</v>
      </c>
      <c r="AX110">
        <f t="shared" si="120"/>
        <v>1513.1343006318612</v>
      </c>
      <c r="AY110">
        <f t="shared" si="121"/>
        <v>55.680451950511461</v>
      </c>
      <c r="AZ110">
        <f t="shared" si="122"/>
        <v>251.57667912467087</v>
      </c>
      <c r="BA110">
        <f t="shared" si="123"/>
        <v>3.7099117766794032E-2</v>
      </c>
      <c r="BB110">
        <f t="shared" si="124"/>
        <v>1.7501003156866648</v>
      </c>
      <c r="BC110">
        <f t="shared" si="125"/>
        <v>520.02980285635522</v>
      </c>
      <c r="BD110" t="s">
        <v>897</v>
      </c>
      <c r="BE110">
        <v>582.58000000000004</v>
      </c>
      <c r="BF110">
        <f t="shared" si="126"/>
        <v>582.58000000000004</v>
      </c>
      <c r="BG110">
        <f t="shared" si="127"/>
        <v>0.49461911055402441</v>
      </c>
      <c r="BH110">
        <f t="shared" si="128"/>
        <v>0.67228281101519349</v>
      </c>
      <c r="BI110">
        <f t="shared" si="129"/>
        <v>0.77965214504229574</v>
      </c>
      <c r="BJ110">
        <f t="shared" si="130"/>
        <v>0.90551377387026999</v>
      </c>
      <c r="BK110">
        <f t="shared" si="131"/>
        <v>0.82656329592609712</v>
      </c>
      <c r="BL110">
        <f t="shared" si="132"/>
        <v>0.50902032033416778</v>
      </c>
      <c r="BM110">
        <f t="shared" si="133"/>
        <v>0.49097967966583222</v>
      </c>
      <c r="BN110">
        <v>9244</v>
      </c>
      <c r="BO110">
        <v>290.00000000000011</v>
      </c>
      <c r="BP110">
        <v>1057.3499999999999</v>
      </c>
      <c r="BQ110">
        <v>235</v>
      </c>
      <c r="BR110">
        <v>10086.700000000001</v>
      </c>
      <c r="BS110">
        <v>1057.48</v>
      </c>
      <c r="BT110">
        <v>-0.13</v>
      </c>
      <c r="BU110">
        <v>300.00000000000011</v>
      </c>
      <c r="BV110">
        <v>24.2</v>
      </c>
      <c r="BW110">
        <v>1152.7543129671051</v>
      </c>
      <c r="BX110">
        <v>2.1246490390764881</v>
      </c>
      <c r="BY110">
        <v>-96.101595336984772</v>
      </c>
      <c r="BZ110">
        <v>1.9076437270211739</v>
      </c>
      <c r="CA110">
        <v>0.98908745449416702</v>
      </c>
      <c r="CB110">
        <v>-6.8915345939933297E-3</v>
      </c>
      <c r="CC110">
        <v>289.99999999999989</v>
      </c>
      <c r="CD110">
        <v>1055.99</v>
      </c>
      <c r="CE110">
        <v>655</v>
      </c>
      <c r="CF110">
        <v>10065.1</v>
      </c>
      <c r="CG110">
        <v>1057.27</v>
      </c>
      <c r="CH110">
        <v>-1.28</v>
      </c>
      <c r="CV110">
        <f t="shared" si="134"/>
        <v>1799.94</v>
      </c>
      <c r="CW110">
        <f t="shared" si="135"/>
        <v>1513.1343006318612</v>
      </c>
      <c r="CX110">
        <f t="shared" si="136"/>
        <v>0.84065818895733257</v>
      </c>
      <c r="CY110">
        <f t="shared" si="137"/>
        <v>0.19131637791466538</v>
      </c>
      <c r="CZ110">
        <v>6</v>
      </c>
      <c r="DA110">
        <v>0.5</v>
      </c>
      <c r="DB110" t="s">
        <v>418</v>
      </c>
      <c r="DC110">
        <v>2</v>
      </c>
      <c r="DD110">
        <v>1674597027.5</v>
      </c>
      <c r="DE110">
        <v>429.79399999999998</v>
      </c>
      <c r="DF110">
        <v>500.02100000000002</v>
      </c>
      <c r="DG110">
        <v>24.920999999999999</v>
      </c>
      <c r="DH110">
        <v>17.188199999999998</v>
      </c>
      <c r="DI110">
        <v>427.983</v>
      </c>
      <c r="DJ110">
        <v>24.81</v>
      </c>
      <c r="DK110">
        <v>499.98500000000001</v>
      </c>
      <c r="DL110">
        <v>99.533500000000004</v>
      </c>
      <c r="DM110">
        <v>9.9966700000000006E-2</v>
      </c>
      <c r="DN110">
        <v>28.014900000000001</v>
      </c>
      <c r="DO110">
        <v>27.5275</v>
      </c>
      <c r="DP110">
        <v>999.9</v>
      </c>
      <c r="DQ110">
        <v>0</v>
      </c>
      <c r="DR110">
        <v>0</v>
      </c>
      <c r="DS110">
        <v>9988.1200000000008</v>
      </c>
      <c r="DT110">
        <v>0</v>
      </c>
      <c r="DU110">
        <v>289.923</v>
      </c>
      <c r="DV110">
        <v>-70.226799999999997</v>
      </c>
      <c r="DW110">
        <v>440.779</v>
      </c>
      <c r="DX110">
        <v>508.76600000000002</v>
      </c>
      <c r="DY110">
        <v>7.7328599999999996</v>
      </c>
      <c r="DZ110">
        <v>500.02100000000002</v>
      </c>
      <c r="EA110">
        <v>17.188199999999998</v>
      </c>
      <c r="EB110">
        <v>2.48048</v>
      </c>
      <c r="EC110">
        <v>1.7108000000000001</v>
      </c>
      <c r="ED110">
        <v>20.899000000000001</v>
      </c>
      <c r="EE110">
        <v>14.9948</v>
      </c>
      <c r="EF110">
        <v>1799.94</v>
      </c>
      <c r="EG110">
        <v>0.97799800000000003</v>
      </c>
      <c r="EH110">
        <v>2.2002500000000001E-2</v>
      </c>
      <c r="EI110">
        <v>0</v>
      </c>
      <c r="EJ110">
        <v>770.03200000000004</v>
      </c>
      <c r="EK110">
        <v>4.9990399999999999</v>
      </c>
      <c r="EL110">
        <v>14313.6</v>
      </c>
      <c r="EM110">
        <v>14820.2</v>
      </c>
      <c r="EN110">
        <v>48.375</v>
      </c>
      <c r="EO110">
        <v>49.75</v>
      </c>
      <c r="EP110">
        <v>49.311999999999998</v>
      </c>
      <c r="EQ110">
        <v>48.125</v>
      </c>
      <c r="ER110">
        <v>49.186999999999998</v>
      </c>
      <c r="ES110">
        <v>1755.45</v>
      </c>
      <c r="ET110">
        <v>39.49</v>
      </c>
      <c r="EU110">
        <v>0</v>
      </c>
      <c r="EV110">
        <v>109.7999999523163</v>
      </c>
      <c r="EW110">
        <v>0</v>
      </c>
      <c r="EX110">
        <v>769.43592307692302</v>
      </c>
      <c r="EY110">
        <v>4.1856410320689079</v>
      </c>
      <c r="EZ110">
        <v>76.499145321163027</v>
      </c>
      <c r="FA110">
        <v>14305.23846153846</v>
      </c>
      <c r="FB110">
        <v>15</v>
      </c>
      <c r="FC110">
        <v>1674596994</v>
      </c>
      <c r="FD110" t="s">
        <v>898</v>
      </c>
      <c r="FE110">
        <v>1674596994</v>
      </c>
      <c r="FF110">
        <v>1674596991</v>
      </c>
      <c r="FG110">
        <v>106</v>
      </c>
      <c r="FH110">
        <v>0.2</v>
      </c>
      <c r="FI110">
        <v>-2E-3</v>
      </c>
      <c r="FJ110">
        <v>1.923</v>
      </c>
      <c r="FK110">
        <v>4.2000000000000003E-2</v>
      </c>
      <c r="FL110">
        <v>500</v>
      </c>
      <c r="FM110">
        <v>17</v>
      </c>
      <c r="FN110">
        <v>0.02</v>
      </c>
      <c r="FO110">
        <v>0.01</v>
      </c>
      <c r="FP110">
        <v>55.739103715124017</v>
      </c>
      <c r="FQ110">
        <v>-0.46478213349059372</v>
      </c>
      <c r="FR110">
        <v>7.6034730893487001E-2</v>
      </c>
      <c r="FS110">
        <v>1</v>
      </c>
      <c r="FT110">
        <v>0.58996415020585435</v>
      </c>
      <c r="FU110">
        <v>2.8230846522988681E-2</v>
      </c>
      <c r="FV110">
        <v>5.9030351941165562E-3</v>
      </c>
      <c r="FW110">
        <v>1</v>
      </c>
      <c r="FX110">
        <v>2</v>
      </c>
      <c r="FY110">
        <v>2</v>
      </c>
      <c r="FZ110" t="s">
        <v>420</v>
      </c>
      <c r="GA110">
        <v>2.9331399999999999</v>
      </c>
      <c r="GB110">
        <v>2.8333200000000001</v>
      </c>
      <c r="GC110">
        <v>9.5175099999999999E-2</v>
      </c>
      <c r="GD110">
        <v>0.104714</v>
      </c>
      <c r="GE110">
        <v>0.122365</v>
      </c>
      <c r="GF110">
        <v>9.1076199999999996E-2</v>
      </c>
      <c r="GG110">
        <v>23444.7</v>
      </c>
      <c r="GH110">
        <v>29208</v>
      </c>
      <c r="GI110">
        <v>23312.2</v>
      </c>
      <c r="GJ110">
        <v>29889.5</v>
      </c>
      <c r="GK110">
        <v>27840.1</v>
      </c>
      <c r="GL110">
        <v>38637.1</v>
      </c>
      <c r="GM110">
        <v>32909.9</v>
      </c>
      <c r="GN110">
        <v>44346.400000000001</v>
      </c>
      <c r="GO110">
        <v>1.9682500000000001</v>
      </c>
      <c r="GP110">
        <v>1.8409500000000001</v>
      </c>
      <c r="GQ110">
        <v>5.9679200000000002E-2</v>
      </c>
      <c r="GR110">
        <v>0</v>
      </c>
      <c r="GS110">
        <v>26.551600000000001</v>
      </c>
      <c r="GT110">
        <v>999.9</v>
      </c>
      <c r="GU110">
        <v>47.6</v>
      </c>
      <c r="GV110">
        <v>35.200000000000003</v>
      </c>
      <c r="GW110">
        <v>27.314800000000002</v>
      </c>
      <c r="GX110">
        <v>61.481299999999997</v>
      </c>
      <c r="GY110">
        <v>36.742800000000003</v>
      </c>
      <c r="GZ110">
        <v>1</v>
      </c>
      <c r="HA110">
        <v>0.33729700000000001</v>
      </c>
      <c r="HB110">
        <v>2.1723400000000002</v>
      </c>
      <c r="HC110">
        <v>20.259499999999999</v>
      </c>
      <c r="HD110">
        <v>5.2100999999999997</v>
      </c>
      <c r="HE110">
        <v>11.872199999999999</v>
      </c>
      <c r="HF110">
        <v>4.9836999999999998</v>
      </c>
      <c r="HG110">
        <v>3.2839999999999998</v>
      </c>
      <c r="HH110">
        <v>9999</v>
      </c>
      <c r="HI110">
        <v>9999</v>
      </c>
      <c r="HJ110">
        <v>9999</v>
      </c>
      <c r="HK110">
        <v>999.9</v>
      </c>
      <c r="HL110">
        <v>1.85467</v>
      </c>
      <c r="HM110">
        <v>1.8607400000000001</v>
      </c>
      <c r="HN110">
        <v>1.8581399999999999</v>
      </c>
      <c r="HO110">
        <v>1.8593</v>
      </c>
      <c r="HP110">
        <v>1.85867</v>
      </c>
      <c r="HQ110">
        <v>1.8592500000000001</v>
      </c>
      <c r="HR110">
        <v>1.8575999999999999</v>
      </c>
      <c r="HS110">
        <v>1.8609599999999999</v>
      </c>
      <c r="HT110">
        <v>5</v>
      </c>
      <c r="HU110">
        <v>0</v>
      </c>
      <c r="HV110">
        <v>0</v>
      </c>
      <c r="HW110">
        <v>0</v>
      </c>
      <c r="HX110" t="s">
        <v>421</v>
      </c>
      <c r="HY110" t="s">
        <v>422</v>
      </c>
      <c r="HZ110" t="s">
        <v>423</v>
      </c>
      <c r="IA110" t="s">
        <v>423</v>
      </c>
      <c r="IB110" t="s">
        <v>423</v>
      </c>
      <c r="IC110" t="s">
        <v>423</v>
      </c>
      <c r="ID110">
        <v>0</v>
      </c>
      <c r="IE110">
        <v>100</v>
      </c>
      <c r="IF110">
        <v>100</v>
      </c>
      <c r="IG110">
        <v>1.8109999999999999</v>
      </c>
      <c r="IH110">
        <v>0.111</v>
      </c>
      <c r="II110">
        <v>1.1112195860918479</v>
      </c>
      <c r="IJ110">
        <v>1.6187016317407189E-3</v>
      </c>
      <c r="IK110">
        <v>1.4341569744255341E-7</v>
      </c>
      <c r="IL110">
        <v>-2.4096625942085749E-10</v>
      </c>
      <c r="IM110">
        <v>0.1110101686955566</v>
      </c>
      <c r="IN110">
        <v>0</v>
      </c>
      <c r="IO110">
        <v>0</v>
      </c>
      <c r="IP110">
        <v>0</v>
      </c>
      <c r="IQ110">
        <v>4</v>
      </c>
      <c r="IR110">
        <v>2205</v>
      </c>
      <c r="IS110">
        <v>1</v>
      </c>
      <c r="IT110">
        <v>21</v>
      </c>
      <c r="IU110">
        <v>0.6</v>
      </c>
      <c r="IV110">
        <v>0.6</v>
      </c>
      <c r="IW110">
        <v>1.18286</v>
      </c>
      <c r="IX110">
        <v>2.4658199999999999</v>
      </c>
      <c r="IY110">
        <v>1.49414</v>
      </c>
      <c r="IZ110">
        <v>2.3034699999999999</v>
      </c>
      <c r="JA110">
        <v>1.69434</v>
      </c>
      <c r="JB110">
        <v>2.3840300000000001</v>
      </c>
      <c r="JC110">
        <v>39.192399999999999</v>
      </c>
      <c r="JD110">
        <v>24.008700000000001</v>
      </c>
      <c r="JE110">
        <v>18</v>
      </c>
      <c r="JF110">
        <v>510.37299999999999</v>
      </c>
      <c r="JG110">
        <v>450.62099999999998</v>
      </c>
      <c r="JH110">
        <v>24.786999999999999</v>
      </c>
      <c r="JI110">
        <v>31.576699999999999</v>
      </c>
      <c r="JJ110">
        <v>30</v>
      </c>
      <c r="JK110">
        <v>31.522300000000001</v>
      </c>
      <c r="JL110">
        <v>31.4939</v>
      </c>
      <c r="JM110">
        <v>23.7498</v>
      </c>
      <c r="JN110">
        <v>43.513399999999997</v>
      </c>
      <c r="JO110">
        <v>0</v>
      </c>
      <c r="JP110">
        <v>24.770700000000001</v>
      </c>
      <c r="JQ110">
        <v>500</v>
      </c>
      <c r="JR110">
        <v>17.076699999999999</v>
      </c>
      <c r="JS110">
        <v>99.131699999999995</v>
      </c>
      <c r="JT110">
        <v>99.589399999999998</v>
      </c>
    </row>
    <row r="111" spans="1:280" x14ac:dyDescent="0.25">
      <c r="A111">
        <v>95</v>
      </c>
      <c r="B111">
        <v>1674597143</v>
      </c>
      <c r="C111">
        <v>23090.400000095371</v>
      </c>
      <c r="D111" t="s">
        <v>899</v>
      </c>
      <c r="E111" t="s">
        <v>900</v>
      </c>
      <c r="F111" t="s">
        <v>412</v>
      </c>
      <c r="G111" t="s">
        <v>850</v>
      </c>
      <c r="H111" t="s">
        <v>565</v>
      </c>
      <c r="I111">
        <v>1674597143</v>
      </c>
      <c r="J111">
        <f t="shared" si="92"/>
        <v>6.4548316689472815E-3</v>
      </c>
      <c r="K111">
        <f t="shared" si="93"/>
        <v>6.4548316689472811</v>
      </c>
      <c r="L111">
        <f t="shared" si="94"/>
        <v>56.727714599454373</v>
      </c>
      <c r="M111">
        <f t="shared" si="95"/>
        <v>527.89499999999998</v>
      </c>
      <c r="N111">
        <f t="shared" si="96"/>
        <v>343.76616259873703</v>
      </c>
      <c r="O111">
        <f t="shared" si="97"/>
        <v>34.248847315155984</v>
      </c>
      <c r="P111">
        <f t="shared" si="98"/>
        <v>52.593295153770001</v>
      </c>
      <c r="Q111">
        <f t="shared" si="99"/>
        <v>0.56464451871879806</v>
      </c>
      <c r="R111">
        <f t="shared" si="100"/>
        <v>2.9203857859711464</v>
      </c>
      <c r="S111">
        <f t="shared" si="101"/>
        <v>0.51026811223129831</v>
      </c>
      <c r="T111">
        <f t="shared" si="102"/>
        <v>0.32336557639891367</v>
      </c>
      <c r="U111">
        <f t="shared" si="103"/>
        <v>344.35230126374387</v>
      </c>
      <c r="V111">
        <f t="shared" si="104"/>
        <v>28.357311207399334</v>
      </c>
      <c r="W111">
        <f t="shared" si="105"/>
        <v>27.573499999999999</v>
      </c>
      <c r="X111">
        <f t="shared" si="106"/>
        <v>3.7015038808970586</v>
      </c>
      <c r="Y111">
        <f t="shared" si="107"/>
        <v>65.343111920737286</v>
      </c>
      <c r="Z111">
        <f t="shared" si="108"/>
        <v>2.4803169155982001</v>
      </c>
      <c r="AA111">
        <f t="shared" si="109"/>
        <v>3.7958353110070457</v>
      </c>
      <c r="AB111">
        <f t="shared" si="110"/>
        <v>1.2211869652988585</v>
      </c>
      <c r="AC111">
        <f t="shared" si="111"/>
        <v>-284.6580766005751</v>
      </c>
      <c r="AD111">
        <f t="shared" si="112"/>
        <v>67.85829439060231</v>
      </c>
      <c r="AE111">
        <f t="shared" si="113"/>
        <v>5.0542881029327864</v>
      </c>
      <c r="AF111">
        <f t="shared" si="114"/>
        <v>132.60680715670387</v>
      </c>
      <c r="AG111">
        <v>0</v>
      </c>
      <c r="AH111">
        <v>0</v>
      </c>
      <c r="AI111">
        <f t="shared" si="115"/>
        <v>1</v>
      </c>
      <c r="AJ111">
        <f t="shared" si="116"/>
        <v>0</v>
      </c>
      <c r="AK111">
        <f t="shared" si="117"/>
        <v>52426.966631874595</v>
      </c>
      <c r="AL111" t="s">
        <v>415</v>
      </c>
      <c r="AM111">
        <v>10214.9</v>
      </c>
      <c r="AN111">
        <v>729.4384</v>
      </c>
      <c r="AO111">
        <v>3170.19</v>
      </c>
      <c r="AP111">
        <f t="shared" si="118"/>
        <v>0.76990704027203416</v>
      </c>
      <c r="AQ111">
        <v>-0.45549566560547827</v>
      </c>
      <c r="AR111" t="s">
        <v>901</v>
      </c>
      <c r="AS111">
        <v>10081</v>
      </c>
      <c r="AT111">
        <v>775.20684615384607</v>
      </c>
      <c r="AU111">
        <v>1177.5477028371211</v>
      </c>
      <c r="AV111">
        <f t="shared" si="119"/>
        <v>0.34167690677320017</v>
      </c>
      <c r="AW111">
        <v>0.5</v>
      </c>
      <c r="AX111">
        <f t="shared" si="120"/>
        <v>1513.109100631872</v>
      </c>
      <c r="AY111">
        <f t="shared" si="121"/>
        <v>56.727714599454373</v>
      </c>
      <c r="AZ111">
        <f t="shared" si="122"/>
        <v>258.49721855713847</v>
      </c>
      <c r="BA111">
        <f t="shared" si="123"/>
        <v>3.7791861962353034E-2</v>
      </c>
      <c r="BB111">
        <f t="shared" si="124"/>
        <v>1.6921966663107679</v>
      </c>
      <c r="BC111">
        <f t="shared" si="125"/>
        <v>525.01660244744926</v>
      </c>
      <c r="BD111" t="s">
        <v>902</v>
      </c>
      <c r="BE111">
        <v>585.34</v>
      </c>
      <c r="BF111">
        <f t="shared" si="126"/>
        <v>585.34</v>
      </c>
      <c r="BG111">
        <f t="shared" si="127"/>
        <v>0.50291610387442232</v>
      </c>
      <c r="BH111">
        <f t="shared" si="128"/>
        <v>0.67939146140072004</v>
      </c>
      <c r="BI111">
        <f t="shared" si="129"/>
        <v>0.77089281666745813</v>
      </c>
      <c r="BJ111">
        <f t="shared" si="130"/>
        <v>0.89786320912314999</v>
      </c>
      <c r="BK111">
        <f t="shared" si="131"/>
        <v>0.81640519959625513</v>
      </c>
      <c r="BL111">
        <f t="shared" si="132"/>
        <v>0.5129921129945435</v>
      </c>
      <c r="BM111">
        <f t="shared" si="133"/>
        <v>0.4870078870054565</v>
      </c>
      <c r="BN111">
        <v>9246</v>
      </c>
      <c r="BO111">
        <v>290.00000000000011</v>
      </c>
      <c r="BP111">
        <v>1072.72</v>
      </c>
      <c r="BQ111">
        <v>285</v>
      </c>
      <c r="BR111">
        <v>10081</v>
      </c>
      <c r="BS111">
        <v>1073.19</v>
      </c>
      <c r="BT111">
        <v>-0.47</v>
      </c>
      <c r="BU111">
        <v>300.00000000000011</v>
      </c>
      <c r="BV111">
        <v>24.2</v>
      </c>
      <c r="BW111">
        <v>1177.5477028371211</v>
      </c>
      <c r="BX111">
        <v>2.0809969872471359</v>
      </c>
      <c r="BY111">
        <v>-105.2008567695283</v>
      </c>
      <c r="BZ111">
        <v>1.8684308118201229</v>
      </c>
      <c r="CA111">
        <v>0.9912450324105192</v>
      </c>
      <c r="CB111">
        <v>-6.8916500556173606E-3</v>
      </c>
      <c r="CC111">
        <v>289.99999999999989</v>
      </c>
      <c r="CD111">
        <v>1070.46</v>
      </c>
      <c r="CE111">
        <v>665</v>
      </c>
      <c r="CF111">
        <v>10064.4</v>
      </c>
      <c r="CG111">
        <v>1073.02</v>
      </c>
      <c r="CH111">
        <v>-2.56</v>
      </c>
      <c r="CV111">
        <f t="shared" si="134"/>
        <v>1799.91</v>
      </c>
      <c r="CW111">
        <f t="shared" si="135"/>
        <v>1513.109100631872</v>
      </c>
      <c r="CX111">
        <f t="shared" si="136"/>
        <v>0.84065819992770308</v>
      </c>
      <c r="CY111">
        <f t="shared" si="137"/>
        <v>0.19131639985540602</v>
      </c>
      <c r="CZ111">
        <v>6</v>
      </c>
      <c r="DA111">
        <v>0.5</v>
      </c>
      <c r="DB111" t="s">
        <v>418</v>
      </c>
      <c r="DC111">
        <v>2</v>
      </c>
      <c r="DD111">
        <v>1674597143</v>
      </c>
      <c r="DE111">
        <v>527.89499999999998</v>
      </c>
      <c r="DF111">
        <v>600.04899999999998</v>
      </c>
      <c r="DG111">
        <v>24.895700000000001</v>
      </c>
      <c r="DH111">
        <v>17.343599999999999</v>
      </c>
      <c r="DI111">
        <v>525.75699999999995</v>
      </c>
      <c r="DJ111">
        <v>24.7837</v>
      </c>
      <c r="DK111">
        <v>500.05700000000002</v>
      </c>
      <c r="DL111">
        <v>99.528300000000002</v>
      </c>
      <c r="DM111">
        <v>0.100026</v>
      </c>
      <c r="DN111">
        <v>28.0045</v>
      </c>
      <c r="DO111">
        <v>27.573499999999999</v>
      </c>
      <c r="DP111">
        <v>999.9</v>
      </c>
      <c r="DQ111">
        <v>0</v>
      </c>
      <c r="DR111">
        <v>0</v>
      </c>
      <c r="DS111">
        <v>9995</v>
      </c>
      <c r="DT111">
        <v>0</v>
      </c>
      <c r="DU111">
        <v>286.91300000000001</v>
      </c>
      <c r="DV111">
        <v>-72.154600000000002</v>
      </c>
      <c r="DW111">
        <v>541.37300000000005</v>
      </c>
      <c r="DX111">
        <v>610.64</v>
      </c>
      <c r="DY111">
        <v>7.5521500000000001</v>
      </c>
      <c r="DZ111">
        <v>600.04899999999998</v>
      </c>
      <c r="EA111">
        <v>17.343599999999999</v>
      </c>
      <c r="EB111">
        <v>2.47783</v>
      </c>
      <c r="EC111">
        <v>1.72618</v>
      </c>
      <c r="ED111">
        <v>20.881599999999999</v>
      </c>
      <c r="EE111">
        <v>15.133900000000001</v>
      </c>
      <c r="EF111">
        <v>1799.91</v>
      </c>
      <c r="EG111">
        <v>0.97799800000000003</v>
      </c>
      <c r="EH111">
        <v>2.2002500000000001E-2</v>
      </c>
      <c r="EI111">
        <v>0</v>
      </c>
      <c r="EJ111">
        <v>775.65300000000002</v>
      </c>
      <c r="EK111">
        <v>4.9990399999999999</v>
      </c>
      <c r="EL111">
        <v>14411.2</v>
      </c>
      <c r="EM111">
        <v>14819.9</v>
      </c>
      <c r="EN111">
        <v>48.375</v>
      </c>
      <c r="EO111">
        <v>49.75</v>
      </c>
      <c r="EP111">
        <v>49.311999999999998</v>
      </c>
      <c r="EQ111">
        <v>48.186999999999998</v>
      </c>
      <c r="ER111">
        <v>49.25</v>
      </c>
      <c r="ES111">
        <v>1755.42</v>
      </c>
      <c r="ET111">
        <v>39.49</v>
      </c>
      <c r="EU111">
        <v>0</v>
      </c>
      <c r="EV111">
        <v>113.4000000953674</v>
      </c>
      <c r="EW111">
        <v>0</v>
      </c>
      <c r="EX111">
        <v>775.20684615384607</v>
      </c>
      <c r="EY111">
        <v>3.088341877479948</v>
      </c>
      <c r="EZ111">
        <v>53.415384574540447</v>
      </c>
      <c r="FA111">
        <v>14405.80769230769</v>
      </c>
      <c r="FB111">
        <v>15</v>
      </c>
      <c r="FC111">
        <v>1674597108</v>
      </c>
      <c r="FD111" t="s">
        <v>903</v>
      </c>
      <c r="FE111">
        <v>1674597098</v>
      </c>
      <c r="FF111">
        <v>1674597108</v>
      </c>
      <c r="FG111">
        <v>107</v>
      </c>
      <c r="FH111">
        <v>0.17100000000000001</v>
      </c>
      <c r="FI111">
        <v>1E-3</v>
      </c>
      <c r="FJ111">
        <v>2.25</v>
      </c>
      <c r="FK111">
        <v>4.7E-2</v>
      </c>
      <c r="FL111">
        <v>600</v>
      </c>
      <c r="FM111">
        <v>17</v>
      </c>
      <c r="FN111">
        <v>0.05</v>
      </c>
      <c r="FO111">
        <v>0.01</v>
      </c>
      <c r="FP111">
        <v>56.737515894697218</v>
      </c>
      <c r="FQ111">
        <v>-0.45075873412180678</v>
      </c>
      <c r="FR111">
        <v>8.1378432024422895E-2</v>
      </c>
      <c r="FS111">
        <v>1</v>
      </c>
      <c r="FT111">
        <v>0.57588762370678559</v>
      </c>
      <c r="FU111">
        <v>-2.5362856386986331E-2</v>
      </c>
      <c r="FV111">
        <v>6.120946974061404E-3</v>
      </c>
      <c r="FW111">
        <v>1</v>
      </c>
      <c r="FX111">
        <v>2</v>
      </c>
      <c r="FY111">
        <v>2</v>
      </c>
      <c r="FZ111" t="s">
        <v>420</v>
      </c>
      <c r="GA111">
        <v>2.9333399999999998</v>
      </c>
      <c r="GB111">
        <v>2.83344</v>
      </c>
      <c r="GC111">
        <v>0.11078499999999999</v>
      </c>
      <c r="GD111">
        <v>0.11935900000000001</v>
      </c>
      <c r="GE111">
        <v>0.12227200000000001</v>
      </c>
      <c r="GF111">
        <v>9.1661500000000007E-2</v>
      </c>
      <c r="GG111">
        <v>23041.8</v>
      </c>
      <c r="GH111">
        <v>28729.7</v>
      </c>
      <c r="GI111">
        <v>23313.7</v>
      </c>
      <c r="GJ111">
        <v>29888.799999999999</v>
      </c>
      <c r="GK111">
        <v>27845</v>
      </c>
      <c r="GL111">
        <v>38611.5</v>
      </c>
      <c r="GM111">
        <v>32911.9</v>
      </c>
      <c r="GN111">
        <v>44345.599999999999</v>
      </c>
      <c r="GO111">
        <v>1.9684299999999999</v>
      </c>
      <c r="GP111">
        <v>1.8419000000000001</v>
      </c>
      <c r="GQ111">
        <v>5.9511500000000002E-2</v>
      </c>
      <c r="GR111">
        <v>0</v>
      </c>
      <c r="GS111">
        <v>26.6004</v>
      </c>
      <c r="GT111">
        <v>999.9</v>
      </c>
      <c r="GU111">
        <v>47.6</v>
      </c>
      <c r="GV111">
        <v>35.200000000000003</v>
      </c>
      <c r="GW111">
        <v>27.315799999999999</v>
      </c>
      <c r="GX111">
        <v>61.4313</v>
      </c>
      <c r="GY111">
        <v>36.474400000000003</v>
      </c>
      <c r="GZ111">
        <v>1</v>
      </c>
      <c r="HA111">
        <v>0.33620899999999998</v>
      </c>
      <c r="HB111">
        <v>2.20133</v>
      </c>
      <c r="HC111">
        <v>20.2592</v>
      </c>
      <c r="HD111">
        <v>5.2110000000000003</v>
      </c>
      <c r="HE111">
        <v>11.872199999999999</v>
      </c>
      <c r="HF111">
        <v>4.9854000000000003</v>
      </c>
      <c r="HG111">
        <v>3.2839999999999998</v>
      </c>
      <c r="HH111">
        <v>9999</v>
      </c>
      <c r="HI111">
        <v>9999</v>
      </c>
      <c r="HJ111">
        <v>9999</v>
      </c>
      <c r="HK111">
        <v>999.9</v>
      </c>
      <c r="HL111">
        <v>1.8546800000000001</v>
      </c>
      <c r="HM111">
        <v>1.8607400000000001</v>
      </c>
      <c r="HN111">
        <v>1.8581799999999999</v>
      </c>
      <c r="HO111">
        <v>1.8593599999999999</v>
      </c>
      <c r="HP111">
        <v>1.85869</v>
      </c>
      <c r="HQ111">
        <v>1.8592599999999999</v>
      </c>
      <c r="HR111">
        <v>1.8575999999999999</v>
      </c>
      <c r="HS111">
        <v>1.8609599999999999</v>
      </c>
      <c r="HT111">
        <v>5</v>
      </c>
      <c r="HU111">
        <v>0</v>
      </c>
      <c r="HV111">
        <v>0</v>
      </c>
      <c r="HW111">
        <v>0</v>
      </c>
      <c r="HX111" t="s">
        <v>421</v>
      </c>
      <c r="HY111" t="s">
        <v>422</v>
      </c>
      <c r="HZ111" t="s">
        <v>423</v>
      </c>
      <c r="IA111" t="s">
        <v>423</v>
      </c>
      <c r="IB111" t="s">
        <v>423</v>
      </c>
      <c r="IC111" t="s">
        <v>423</v>
      </c>
      <c r="ID111">
        <v>0</v>
      </c>
      <c r="IE111">
        <v>100</v>
      </c>
      <c r="IF111">
        <v>100</v>
      </c>
      <c r="IG111">
        <v>2.1379999999999999</v>
      </c>
      <c r="IH111">
        <v>0.112</v>
      </c>
      <c r="II111">
        <v>1.282134962046823</v>
      </c>
      <c r="IJ111">
        <v>1.6187016317407189E-3</v>
      </c>
      <c r="IK111">
        <v>1.4341569744255341E-7</v>
      </c>
      <c r="IL111">
        <v>-2.4096625942085749E-10</v>
      </c>
      <c r="IM111">
        <v>0.1120197948268546</v>
      </c>
      <c r="IN111">
        <v>0</v>
      </c>
      <c r="IO111">
        <v>0</v>
      </c>
      <c r="IP111">
        <v>0</v>
      </c>
      <c r="IQ111">
        <v>4</v>
      </c>
      <c r="IR111">
        <v>2205</v>
      </c>
      <c r="IS111">
        <v>1</v>
      </c>
      <c r="IT111">
        <v>21</v>
      </c>
      <c r="IU111">
        <v>0.8</v>
      </c>
      <c r="IV111">
        <v>0.6</v>
      </c>
      <c r="IW111">
        <v>1.3745099999999999</v>
      </c>
      <c r="IX111">
        <v>2.4621599999999999</v>
      </c>
      <c r="IY111">
        <v>1.49414</v>
      </c>
      <c r="IZ111">
        <v>2.3034699999999999</v>
      </c>
      <c r="JA111">
        <v>1.69434</v>
      </c>
      <c r="JB111">
        <v>2.3596200000000001</v>
      </c>
      <c r="JC111">
        <v>39.1676</v>
      </c>
      <c r="JD111">
        <v>23.9999</v>
      </c>
      <c r="JE111">
        <v>18</v>
      </c>
      <c r="JF111">
        <v>510.37099999999998</v>
      </c>
      <c r="JG111">
        <v>451.15899999999999</v>
      </c>
      <c r="JH111">
        <v>24.7332</v>
      </c>
      <c r="JI111">
        <v>31.562899999999999</v>
      </c>
      <c r="JJ111">
        <v>30.0002</v>
      </c>
      <c r="JK111">
        <v>31.508500000000002</v>
      </c>
      <c r="JL111">
        <v>31.4787</v>
      </c>
      <c r="JM111">
        <v>27.5716</v>
      </c>
      <c r="JN111">
        <v>42.455199999999998</v>
      </c>
      <c r="JO111">
        <v>0</v>
      </c>
      <c r="JP111">
        <v>24.731200000000001</v>
      </c>
      <c r="JQ111">
        <v>600</v>
      </c>
      <c r="JR111">
        <v>17.261500000000002</v>
      </c>
      <c r="JS111">
        <v>99.137799999999999</v>
      </c>
      <c r="JT111">
        <v>99.587299999999999</v>
      </c>
    </row>
    <row r="112" spans="1:280" x14ac:dyDescent="0.25">
      <c r="A112">
        <v>96</v>
      </c>
      <c r="B112">
        <v>1674597255.5</v>
      </c>
      <c r="C112">
        <v>23202.900000095371</v>
      </c>
      <c r="D112" t="s">
        <v>904</v>
      </c>
      <c r="E112" t="s">
        <v>905</v>
      </c>
      <c r="F112" t="s">
        <v>412</v>
      </c>
      <c r="G112" t="s">
        <v>850</v>
      </c>
      <c r="H112" t="s">
        <v>565</v>
      </c>
      <c r="I112">
        <v>1674597255.5</v>
      </c>
      <c r="J112">
        <f t="shared" si="92"/>
        <v>6.3454288464092345E-3</v>
      </c>
      <c r="K112">
        <f t="shared" si="93"/>
        <v>6.3454288464092343</v>
      </c>
      <c r="L112">
        <f t="shared" si="94"/>
        <v>56.642791406495213</v>
      </c>
      <c r="M112">
        <f t="shared" si="95"/>
        <v>726.56200000000001</v>
      </c>
      <c r="N112">
        <f t="shared" si="96"/>
        <v>534.42561300617979</v>
      </c>
      <c r="O112">
        <f t="shared" si="97"/>
        <v>53.243815362673949</v>
      </c>
      <c r="P112">
        <f t="shared" si="98"/>
        <v>72.386001037505991</v>
      </c>
      <c r="Q112">
        <f t="shared" si="99"/>
        <v>0.5499809681783574</v>
      </c>
      <c r="R112">
        <f t="shared" si="100"/>
        <v>2.9178667195520265</v>
      </c>
      <c r="S112">
        <f t="shared" si="101"/>
        <v>0.49821368664426652</v>
      </c>
      <c r="T112">
        <f t="shared" si="102"/>
        <v>0.31562759112209593</v>
      </c>
      <c r="U112">
        <f t="shared" si="103"/>
        <v>344.34090126378595</v>
      </c>
      <c r="V112">
        <f t="shared" si="104"/>
        <v>28.384565745446594</v>
      </c>
      <c r="W112">
        <f t="shared" si="105"/>
        <v>27.598500000000001</v>
      </c>
      <c r="X112">
        <f t="shared" si="106"/>
        <v>3.7069191076301746</v>
      </c>
      <c r="Y112">
        <f t="shared" si="107"/>
        <v>65.272039180549484</v>
      </c>
      <c r="Z112">
        <f t="shared" si="108"/>
        <v>2.4774024719145</v>
      </c>
      <c r="AA112">
        <f t="shared" si="109"/>
        <v>3.795503408529552</v>
      </c>
      <c r="AB112">
        <f t="shared" si="110"/>
        <v>1.2295166357156746</v>
      </c>
      <c r="AC112">
        <f t="shared" si="111"/>
        <v>-279.83341212664726</v>
      </c>
      <c r="AD112">
        <f t="shared" si="112"/>
        <v>63.631098371425544</v>
      </c>
      <c r="AE112">
        <f t="shared" si="113"/>
        <v>4.7440812429075612</v>
      </c>
      <c r="AF112">
        <f t="shared" si="114"/>
        <v>132.88266875147178</v>
      </c>
      <c r="AG112">
        <v>0</v>
      </c>
      <c r="AH112">
        <v>0</v>
      </c>
      <c r="AI112">
        <f t="shared" si="115"/>
        <v>1</v>
      </c>
      <c r="AJ112">
        <f t="shared" si="116"/>
        <v>0</v>
      </c>
      <c r="AK112">
        <f t="shared" si="117"/>
        <v>52354.91110479823</v>
      </c>
      <c r="AL112" t="s">
        <v>415</v>
      </c>
      <c r="AM112">
        <v>10214.9</v>
      </c>
      <c r="AN112">
        <v>729.4384</v>
      </c>
      <c r="AO112">
        <v>3170.19</v>
      </c>
      <c r="AP112">
        <f t="shared" si="118"/>
        <v>0.76990704027203416</v>
      </c>
      <c r="AQ112">
        <v>-0.45549566560547827</v>
      </c>
      <c r="AR112" t="s">
        <v>906</v>
      </c>
      <c r="AS112">
        <v>10094.5</v>
      </c>
      <c r="AT112">
        <v>778.30647999999997</v>
      </c>
      <c r="AU112">
        <v>1188.299025803987</v>
      </c>
      <c r="AV112">
        <f t="shared" si="119"/>
        <v>0.34502472601674616</v>
      </c>
      <c r="AW112">
        <v>0.5</v>
      </c>
      <c r="AX112">
        <f t="shared" si="120"/>
        <v>1513.0587006318926</v>
      </c>
      <c r="AY112">
        <f t="shared" si="121"/>
        <v>56.642791406495213</v>
      </c>
      <c r="AZ112">
        <f t="shared" si="122"/>
        <v>261.02133181638635</v>
      </c>
      <c r="BA112">
        <f t="shared" si="123"/>
        <v>3.7736993976674509E-2</v>
      </c>
      <c r="BB112">
        <f t="shared" si="124"/>
        <v>1.6678385921044516</v>
      </c>
      <c r="BC112">
        <f t="shared" si="125"/>
        <v>527.14307214314579</v>
      </c>
      <c r="BD112" t="s">
        <v>907</v>
      </c>
      <c r="BE112">
        <v>586.5</v>
      </c>
      <c r="BF112">
        <f t="shared" si="126"/>
        <v>586.5</v>
      </c>
      <c r="BG112">
        <f t="shared" si="127"/>
        <v>0.50643736360620006</v>
      </c>
      <c r="BH112">
        <f t="shared" si="128"/>
        <v>0.68127818129357753</v>
      </c>
      <c r="BI112">
        <f t="shared" si="129"/>
        <v>0.76707769670355697</v>
      </c>
      <c r="BJ112">
        <f t="shared" si="130"/>
        <v>0.89350125669558955</v>
      </c>
      <c r="BK112">
        <f t="shared" si="131"/>
        <v>0.81200027655252305</v>
      </c>
      <c r="BL112">
        <f t="shared" si="132"/>
        <v>0.5133834338995652</v>
      </c>
      <c r="BM112">
        <f t="shared" si="133"/>
        <v>0.4866165661004348</v>
      </c>
      <c r="BN112">
        <v>9248</v>
      </c>
      <c r="BO112">
        <v>290.00000000000011</v>
      </c>
      <c r="BP112">
        <v>1080.9000000000001</v>
      </c>
      <c r="BQ112">
        <v>175</v>
      </c>
      <c r="BR112">
        <v>10094.5</v>
      </c>
      <c r="BS112">
        <v>1080.96</v>
      </c>
      <c r="BT112">
        <v>-0.06</v>
      </c>
      <c r="BU112">
        <v>300.00000000000011</v>
      </c>
      <c r="BV112">
        <v>24.2</v>
      </c>
      <c r="BW112">
        <v>1188.299025803987</v>
      </c>
      <c r="BX112">
        <v>1.938533589846275</v>
      </c>
      <c r="BY112">
        <v>-108.3552701305257</v>
      </c>
      <c r="BZ112">
        <v>1.740470514450716</v>
      </c>
      <c r="CA112">
        <v>0.99282758961469997</v>
      </c>
      <c r="CB112">
        <v>-6.8914700778642968E-3</v>
      </c>
      <c r="CC112">
        <v>289.99999999999989</v>
      </c>
      <c r="CD112">
        <v>1078.0999999999999</v>
      </c>
      <c r="CE112">
        <v>655</v>
      </c>
      <c r="CF112">
        <v>10064.700000000001</v>
      </c>
      <c r="CG112">
        <v>1080.6400000000001</v>
      </c>
      <c r="CH112">
        <v>-2.54</v>
      </c>
      <c r="CV112">
        <f t="shared" si="134"/>
        <v>1799.85</v>
      </c>
      <c r="CW112">
        <f t="shared" si="135"/>
        <v>1513.0587006318926</v>
      </c>
      <c r="CX112">
        <f t="shared" si="136"/>
        <v>0.84065822186954064</v>
      </c>
      <c r="CY112">
        <f t="shared" si="137"/>
        <v>0.19131644373908158</v>
      </c>
      <c r="CZ112">
        <v>6</v>
      </c>
      <c r="DA112">
        <v>0.5</v>
      </c>
      <c r="DB112" t="s">
        <v>418</v>
      </c>
      <c r="DC112">
        <v>2</v>
      </c>
      <c r="DD112">
        <v>1674597255.5</v>
      </c>
      <c r="DE112">
        <v>726.56200000000001</v>
      </c>
      <c r="DF112">
        <v>800.07399999999996</v>
      </c>
      <c r="DG112">
        <v>24.866499999999998</v>
      </c>
      <c r="DH112">
        <v>17.4405</v>
      </c>
      <c r="DI112">
        <v>723.63800000000003</v>
      </c>
      <c r="DJ112">
        <v>24.7532</v>
      </c>
      <c r="DK112">
        <v>499.94400000000002</v>
      </c>
      <c r="DL112">
        <v>99.528400000000005</v>
      </c>
      <c r="DM112">
        <v>9.9712999999999996E-2</v>
      </c>
      <c r="DN112">
        <v>28.003</v>
      </c>
      <c r="DO112">
        <v>27.598500000000001</v>
      </c>
      <c r="DP112">
        <v>999.9</v>
      </c>
      <c r="DQ112">
        <v>0</v>
      </c>
      <c r="DR112">
        <v>0</v>
      </c>
      <c r="DS112">
        <v>9980.6200000000008</v>
      </c>
      <c r="DT112">
        <v>0</v>
      </c>
      <c r="DU112">
        <v>285.709</v>
      </c>
      <c r="DV112">
        <v>-73.512</v>
      </c>
      <c r="DW112">
        <v>745.09</v>
      </c>
      <c r="DX112">
        <v>814.27599999999995</v>
      </c>
      <c r="DY112">
        <v>7.4260099999999998</v>
      </c>
      <c r="DZ112">
        <v>800.07399999999996</v>
      </c>
      <c r="EA112">
        <v>17.4405</v>
      </c>
      <c r="EB112">
        <v>2.47492</v>
      </c>
      <c r="EC112">
        <v>1.7358199999999999</v>
      </c>
      <c r="ED112">
        <v>20.862500000000001</v>
      </c>
      <c r="EE112">
        <v>15.220499999999999</v>
      </c>
      <c r="EF112">
        <v>1799.85</v>
      </c>
      <c r="EG112">
        <v>0.97799800000000003</v>
      </c>
      <c r="EH112">
        <v>2.2002500000000001E-2</v>
      </c>
      <c r="EI112">
        <v>0</v>
      </c>
      <c r="EJ112">
        <v>778.35400000000004</v>
      </c>
      <c r="EK112">
        <v>4.9990399999999999</v>
      </c>
      <c r="EL112">
        <v>14465.4</v>
      </c>
      <c r="EM112">
        <v>14819.4</v>
      </c>
      <c r="EN112">
        <v>48.375</v>
      </c>
      <c r="EO112">
        <v>49.811999999999998</v>
      </c>
      <c r="EP112">
        <v>49.375</v>
      </c>
      <c r="EQ112">
        <v>48.25</v>
      </c>
      <c r="ER112">
        <v>49.25</v>
      </c>
      <c r="ES112">
        <v>1755.36</v>
      </c>
      <c r="ET112">
        <v>39.49</v>
      </c>
      <c r="EU112">
        <v>0</v>
      </c>
      <c r="EV112">
        <v>110.5999999046326</v>
      </c>
      <c r="EW112">
        <v>0</v>
      </c>
      <c r="EX112">
        <v>778.30647999999997</v>
      </c>
      <c r="EY112">
        <v>1.4593077036276001</v>
      </c>
      <c r="EZ112">
        <v>30.438461724999989</v>
      </c>
      <c r="FA112">
        <v>14463.044</v>
      </c>
      <c r="FB112">
        <v>15</v>
      </c>
      <c r="FC112">
        <v>1674597219.5</v>
      </c>
      <c r="FD112" t="s">
        <v>908</v>
      </c>
      <c r="FE112">
        <v>1674597216</v>
      </c>
      <c r="FF112">
        <v>1674597219.5</v>
      </c>
      <c r="FG112">
        <v>108</v>
      </c>
      <c r="FH112">
        <v>0.48699999999999999</v>
      </c>
      <c r="FI112">
        <v>1E-3</v>
      </c>
      <c r="FJ112">
        <v>3.028</v>
      </c>
      <c r="FK112">
        <v>5.2999999999999999E-2</v>
      </c>
      <c r="FL112">
        <v>800</v>
      </c>
      <c r="FM112">
        <v>17</v>
      </c>
      <c r="FN112">
        <v>0.05</v>
      </c>
      <c r="FO112">
        <v>0.01</v>
      </c>
      <c r="FP112">
        <v>56.697096631600559</v>
      </c>
      <c r="FQ112">
        <v>-0.44693510611705928</v>
      </c>
      <c r="FR112">
        <v>9.6316692789673961E-2</v>
      </c>
      <c r="FS112">
        <v>1</v>
      </c>
      <c r="FT112">
        <v>0.55379776702246919</v>
      </c>
      <c r="FU112">
        <v>-3.0786498388260211E-2</v>
      </c>
      <c r="FV112">
        <v>4.4652917120361719E-3</v>
      </c>
      <c r="FW112">
        <v>1</v>
      </c>
      <c r="FX112">
        <v>2</v>
      </c>
      <c r="FY112">
        <v>2</v>
      </c>
      <c r="FZ112" t="s">
        <v>420</v>
      </c>
      <c r="GA112">
        <v>2.9330400000000001</v>
      </c>
      <c r="GB112">
        <v>2.8330000000000002</v>
      </c>
      <c r="GC112">
        <v>0.13849600000000001</v>
      </c>
      <c r="GD112">
        <v>0.145343</v>
      </c>
      <c r="GE112">
        <v>0.122167</v>
      </c>
      <c r="GF112">
        <v>9.2025399999999993E-2</v>
      </c>
      <c r="GG112">
        <v>22324.3</v>
      </c>
      <c r="GH112">
        <v>27881.3</v>
      </c>
      <c r="GI112">
        <v>23314.3</v>
      </c>
      <c r="GJ112">
        <v>29888.3</v>
      </c>
      <c r="GK112">
        <v>27850.1</v>
      </c>
      <c r="GL112">
        <v>38595.9</v>
      </c>
      <c r="GM112">
        <v>32913.199999999997</v>
      </c>
      <c r="GN112">
        <v>44344.800000000003</v>
      </c>
      <c r="GO112">
        <v>1.9682999999999999</v>
      </c>
      <c r="GP112">
        <v>1.84273</v>
      </c>
      <c r="GQ112">
        <v>5.92694E-2</v>
      </c>
      <c r="GR112">
        <v>0</v>
      </c>
      <c r="GS112">
        <v>26.6294</v>
      </c>
      <c r="GT112">
        <v>999.9</v>
      </c>
      <c r="GU112">
        <v>47.6</v>
      </c>
      <c r="GV112">
        <v>35.200000000000003</v>
      </c>
      <c r="GW112">
        <v>27.314499999999999</v>
      </c>
      <c r="GX112">
        <v>61.631300000000003</v>
      </c>
      <c r="GY112">
        <v>36.722799999999999</v>
      </c>
      <c r="GZ112">
        <v>1</v>
      </c>
      <c r="HA112">
        <v>0.33678900000000001</v>
      </c>
      <c r="HB112">
        <v>2.1992500000000001</v>
      </c>
      <c r="HC112">
        <v>20.258299999999998</v>
      </c>
      <c r="HD112">
        <v>5.2083000000000004</v>
      </c>
      <c r="HE112">
        <v>11.872199999999999</v>
      </c>
      <c r="HF112">
        <v>4.9825999999999997</v>
      </c>
      <c r="HG112">
        <v>3.2833299999999999</v>
      </c>
      <c r="HH112">
        <v>9999</v>
      </c>
      <c r="HI112">
        <v>9999</v>
      </c>
      <c r="HJ112">
        <v>9999</v>
      </c>
      <c r="HK112">
        <v>999.9</v>
      </c>
      <c r="HL112">
        <v>1.85463</v>
      </c>
      <c r="HM112">
        <v>1.86073</v>
      </c>
      <c r="HN112">
        <v>1.8581099999999999</v>
      </c>
      <c r="HO112">
        <v>1.8593</v>
      </c>
      <c r="HP112">
        <v>1.85867</v>
      </c>
      <c r="HQ112">
        <v>1.8592500000000001</v>
      </c>
      <c r="HR112">
        <v>1.8575900000000001</v>
      </c>
      <c r="HS112">
        <v>1.8609599999999999</v>
      </c>
      <c r="HT112">
        <v>5</v>
      </c>
      <c r="HU112">
        <v>0</v>
      </c>
      <c r="HV112">
        <v>0</v>
      </c>
      <c r="HW112">
        <v>0</v>
      </c>
      <c r="HX112" t="s">
        <v>421</v>
      </c>
      <c r="HY112" t="s">
        <v>422</v>
      </c>
      <c r="HZ112" t="s">
        <v>423</v>
      </c>
      <c r="IA112" t="s">
        <v>423</v>
      </c>
      <c r="IB112" t="s">
        <v>423</v>
      </c>
      <c r="IC112" t="s">
        <v>423</v>
      </c>
      <c r="ID112">
        <v>0</v>
      </c>
      <c r="IE112">
        <v>100</v>
      </c>
      <c r="IF112">
        <v>100</v>
      </c>
      <c r="IG112">
        <v>2.9239999999999999</v>
      </c>
      <c r="IH112">
        <v>0.1133</v>
      </c>
      <c r="II112">
        <v>1.7688232239191859</v>
      </c>
      <c r="IJ112">
        <v>1.6187016317407189E-3</v>
      </c>
      <c r="IK112">
        <v>1.4341569744255341E-7</v>
      </c>
      <c r="IL112">
        <v>-2.4096625942085749E-10</v>
      </c>
      <c r="IM112">
        <v>0.113272772531091</v>
      </c>
      <c r="IN112">
        <v>0</v>
      </c>
      <c r="IO112">
        <v>0</v>
      </c>
      <c r="IP112">
        <v>0</v>
      </c>
      <c r="IQ112">
        <v>4</v>
      </c>
      <c r="IR112">
        <v>2205</v>
      </c>
      <c r="IS112">
        <v>1</v>
      </c>
      <c r="IT112">
        <v>21</v>
      </c>
      <c r="IU112">
        <v>0.7</v>
      </c>
      <c r="IV112">
        <v>0.6</v>
      </c>
      <c r="IW112">
        <v>1.74194</v>
      </c>
      <c r="IX112">
        <v>2.4523899999999998</v>
      </c>
      <c r="IY112">
        <v>1.49414</v>
      </c>
      <c r="IZ112">
        <v>2.3034699999999999</v>
      </c>
      <c r="JA112">
        <v>1.69434</v>
      </c>
      <c r="JB112">
        <v>2.3938000000000001</v>
      </c>
      <c r="JC112">
        <v>39.192399999999999</v>
      </c>
      <c r="JD112">
        <v>23.9999</v>
      </c>
      <c r="JE112">
        <v>18</v>
      </c>
      <c r="JF112">
        <v>510.29</v>
      </c>
      <c r="JG112">
        <v>451.76</v>
      </c>
      <c r="JH112">
        <v>24.750299999999999</v>
      </c>
      <c r="JI112">
        <v>31.571200000000001</v>
      </c>
      <c r="JJ112">
        <v>30.0001</v>
      </c>
      <c r="JK112">
        <v>31.508500000000002</v>
      </c>
      <c r="JL112">
        <v>31.4815</v>
      </c>
      <c r="JM112">
        <v>34.932299999999998</v>
      </c>
      <c r="JN112">
        <v>41.976500000000001</v>
      </c>
      <c r="JO112">
        <v>0</v>
      </c>
      <c r="JP112">
        <v>24.746400000000001</v>
      </c>
      <c r="JQ112">
        <v>800</v>
      </c>
      <c r="JR112">
        <v>17.4297</v>
      </c>
      <c r="JS112">
        <v>99.141099999999994</v>
      </c>
      <c r="JT112">
        <v>99.585700000000003</v>
      </c>
    </row>
    <row r="113" spans="1:280" x14ac:dyDescent="0.25">
      <c r="A113">
        <v>97</v>
      </c>
      <c r="B113">
        <v>1674597365.5</v>
      </c>
      <c r="C113">
        <v>23312.900000095371</v>
      </c>
      <c r="D113" t="s">
        <v>909</v>
      </c>
      <c r="E113" t="s">
        <v>910</v>
      </c>
      <c r="F113" t="s">
        <v>412</v>
      </c>
      <c r="G113" t="s">
        <v>850</v>
      </c>
      <c r="H113" t="s">
        <v>565</v>
      </c>
      <c r="I113">
        <v>1674597365.5</v>
      </c>
      <c r="J113">
        <f t="shared" ref="J113:J144" si="138">(K113)/1000</f>
        <v>6.1069083989271442E-3</v>
      </c>
      <c r="K113">
        <f t="shared" ref="K113:K128" si="139">1000*DK113*AI113*(DG113-DH113)/(100*CZ113*(1000-AI113*DG113))</f>
        <v>6.1069083989271444</v>
      </c>
      <c r="L113">
        <f t="shared" ref="L113:L128" si="140">DK113*AI113*(DF113-DE113*(1000-AI113*DH113)/(1000-AI113*DG113))/(100*CZ113)</f>
        <v>55.974564559986682</v>
      </c>
      <c r="M113">
        <f t="shared" ref="M113:M144" si="141">DE113 - IF(AI113&gt;1, L113*CZ113*100/(AK113*DS113), 0)</f>
        <v>1124.55</v>
      </c>
      <c r="N113">
        <f t="shared" ref="N113:N144" si="142">((T113-J113/2)*M113-L113)/(T113+J113/2)</f>
        <v>918.97118997155565</v>
      </c>
      <c r="O113">
        <f t="shared" ref="O113:O144" si="143">N113*(DL113+DM113)/1000</f>
        <v>91.555011202939752</v>
      </c>
      <c r="P113">
        <f t="shared" ref="P113:P128" si="144">(DE113 - IF(AI113&gt;1, L113*CZ113*100/(AK113*DS113), 0))*(DL113+DM113)/1000</f>
        <v>112.03636084766998</v>
      </c>
      <c r="Q113">
        <f t="shared" ref="Q113:Q144" si="145">2/((1/S113-1/R113)+SIGN(S113)*SQRT((1/S113-1/R113)*(1/S113-1/R113) + 4*DA113/((DA113+1)*(DA113+1))*(2*1/S113*1/R113-1/R113*1/R113)))</f>
        <v>0.52533399154073013</v>
      </c>
      <c r="R113">
        <f t="shared" ref="R113:R128" si="146">IF(LEFT(DB113,1)&lt;&gt;"0",IF(LEFT(DB113,1)="1",3,DC113),$D$5+$E$5*(DS113*DL113/($K$5*1000))+$F$5*(DS113*DL113/($K$5*1000))*MAX(MIN(CZ113,$J$5),$I$5)*MAX(MIN(CZ113,$J$5),$I$5)+$G$5*MAX(MIN(CZ113,$J$5),$I$5)*(DS113*DL113/($K$5*1000))+$H$5*(DS113*DL113/($K$5*1000))*(DS113*DL113/($K$5*1000)))</f>
        <v>2.9234432061725455</v>
      </c>
      <c r="S113">
        <f t="shared" ref="S113:S128" si="147">J113*(1000-(1000*0.61365*EXP(17.502*W113/(240.97+W113))/(DL113+DM113)+DG113)/2)/(1000*0.61365*EXP(17.502*W113/(240.97+W113))/(DL113+DM113)-DG113)</f>
        <v>0.47797032128489425</v>
      </c>
      <c r="T113">
        <f t="shared" ref="T113:T128" si="148">1/((DA113+1)/(Q113/1.6)+1/(R113/1.37)) + DA113/((DA113+1)/(Q113/1.6) + DA113/(R113/1.37))</f>
        <v>0.30263023173735643</v>
      </c>
      <c r="U113">
        <f t="shared" ref="U113:U128" si="149">(CV113*CY113)</f>
        <v>344.37700126365257</v>
      </c>
      <c r="V113">
        <f t="shared" ref="V113:V144" si="150">(DN113+(U113+2*0.95*0.0000000567*(((DN113+$B$7)+273)^4-(DN113+273)^4)-44100*J113)/(1.84*29.3*R113+8*0.95*0.0000000567*(DN113+273)^3))</f>
        <v>28.442611281515795</v>
      </c>
      <c r="W113">
        <f t="shared" ref="W113:W144" si="151">($C$7*DO113+$D$7*DP113+$E$7*V113)</f>
        <v>27.6236</v>
      </c>
      <c r="X113">
        <f t="shared" ref="X113:X144" si="152">0.61365*EXP(17.502*W113/(240.97+W113))</f>
        <v>3.7123629488934378</v>
      </c>
      <c r="Y113">
        <f t="shared" ref="Y113:Y144" si="153">(Z113/AA113*100)</f>
        <v>65.327755875633002</v>
      </c>
      <c r="Z113">
        <f t="shared" ref="Z113:Z128" si="154">DG113*(DL113+DM113)/1000</f>
        <v>2.47899688980324</v>
      </c>
      <c r="AA113">
        <f t="shared" ref="AA113:AA128" si="155">0.61365*EXP(17.502*DN113/(240.97+DN113))</f>
        <v>3.7947069458846916</v>
      </c>
      <c r="AB113">
        <f t="shared" ref="AB113:AB128" si="156">(X113-DG113*(DL113+DM113)/1000)</f>
        <v>1.2333660590901978</v>
      </c>
      <c r="AC113">
        <f t="shared" ref="AC113:AC128" si="157">(-J113*44100)</f>
        <v>-269.31466039268707</v>
      </c>
      <c r="AD113">
        <f t="shared" ref="AD113:AD128" si="158">2*29.3*R113*0.92*(DN113-W113)</f>
        <v>59.229338235295558</v>
      </c>
      <c r="AE113">
        <f t="shared" ref="AE113:AE128" si="159">2*0.95*0.0000000567*(((DN113+$B$7)+273)^4-(W113+273)^4)</f>
        <v>4.4079524625741486</v>
      </c>
      <c r="AF113">
        <f t="shared" ref="AF113:AF144" si="160">U113+AE113+AC113+AD113</f>
        <v>138.6996315688352</v>
      </c>
      <c r="AG113">
        <v>0</v>
      </c>
      <c r="AH113">
        <v>0</v>
      </c>
      <c r="AI113">
        <f t="shared" ref="AI113:AI128" si="161">IF(AG113*$H$13&gt;=AK113,1,(AK113/(AK113-AG113*$H$13)))</f>
        <v>1</v>
      </c>
      <c r="AJ113">
        <f t="shared" ref="AJ113:AJ144" si="162">(AI113-1)*100</f>
        <v>0</v>
      </c>
      <c r="AK113">
        <f t="shared" ref="AK113:AK128" si="163">MAX(0,($B$13+$C$13*DS113)/(1+$D$13*DS113)*DL113/(DN113+273)*$E$13)</f>
        <v>52515.675186385924</v>
      </c>
      <c r="AL113" t="s">
        <v>415</v>
      </c>
      <c r="AM113">
        <v>10214.9</v>
      </c>
      <c r="AN113">
        <v>729.4384</v>
      </c>
      <c r="AO113">
        <v>3170.19</v>
      </c>
      <c r="AP113">
        <f t="shared" ref="AP113:AP144" si="164">1-AN113/AO113</f>
        <v>0.76990704027203416</v>
      </c>
      <c r="AQ113">
        <v>-0.45549566560547827</v>
      </c>
      <c r="AR113" t="s">
        <v>911</v>
      </c>
      <c r="AS113">
        <v>10085.9</v>
      </c>
      <c r="AT113">
        <v>779.66492307692306</v>
      </c>
      <c r="AU113">
        <v>1189.2466168855469</v>
      </c>
      <c r="AV113">
        <f t="shared" ref="AV113:AV144" si="165">1-AT113/AU113</f>
        <v>0.34440433800119186</v>
      </c>
      <c r="AW113">
        <v>0.5</v>
      </c>
      <c r="AX113">
        <f t="shared" ref="AX113:AX128" si="166">CW113</f>
        <v>1513.2183006318264</v>
      </c>
      <c r="AY113">
        <f t="shared" ref="AY113:AY128" si="167">L113</f>
        <v>55.974564559986682</v>
      </c>
      <c r="AZ113">
        <f t="shared" ref="AZ113:AZ128" si="168">AV113*AW113*AX113</f>
        <v>260.57947354019637</v>
      </c>
      <c r="BA113">
        <f t="shared" ref="BA113:BA128" si="169">(AY113-AQ113)/AX113</f>
        <v>3.729142067739364E-2</v>
      </c>
      <c r="BB113">
        <f t="shared" ref="BB113:BB128" si="170">(AO113-AU113)/AU113</f>
        <v>1.6657128597113335</v>
      </c>
      <c r="BC113">
        <f t="shared" ref="BC113:BC128" si="171">AN113/(AP113+AN113/AU113)</f>
        <v>527.32946696463273</v>
      </c>
      <c r="BD113" t="s">
        <v>912</v>
      </c>
      <c r="BE113">
        <v>587.66999999999996</v>
      </c>
      <c r="BF113">
        <f t="shared" ref="BF113:BF144" si="172">IF(BE113&lt;&gt;0, BE113, BC113)</f>
        <v>587.66999999999996</v>
      </c>
      <c r="BG113">
        <f t="shared" ref="BG113:BG144" si="173">1-BF113/AU113</f>
        <v>0.50584681792997921</v>
      </c>
      <c r="BH113">
        <f t="shared" ref="BH113:BH128" si="174">(AU113-AT113)/(AU113-BF113)</f>
        <v>0.68084709796250087</v>
      </c>
      <c r="BI113">
        <f t="shared" ref="BI113:BI128" si="175">(AO113-AU113)/(AO113-BF113)</f>
        <v>0.76705829310690843</v>
      </c>
      <c r="BJ113">
        <f t="shared" ref="BJ113:BJ128" si="176">(AU113-AT113)/(AU113-AN113)</f>
        <v>0.89076636468759496</v>
      </c>
      <c r="BK113">
        <f t="shared" ref="BK113:BK128" si="177">(AO113-AU113)/(AO113-AN113)</f>
        <v>0.8116120391417353</v>
      </c>
      <c r="BL113">
        <f t="shared" ref="BL113:BL128" si="178">(BH113*BF113/AT113)</f>
        <v>0.51318637303905879</v>
      </c>
      <c r="BM113">
        <f t="shared" ref="BM113:BM144" si="179">(1-BL113)</f>
        <v>0.48681362696094121</v>
      </c>
      <c r="BN113">
        <v>9250</v>
      </c>
      <c r="BO113">
        <v>290.00000000000011</v>
      </c>
      <c r="BP113">
        <v>1083.49</v>
      </c>
      <c r="BQ113">
        <v>235</v>
      </c>
      <c r="BR113">
        <v>10085.9</v>
      </c>
      <c r="BS113">
        <v>1083.1199999999999</v>
      </c>
      <c r="BT113">
        <v>0.37</v>
      </c>
      <c r="BU113">
        <v>300.00000000000011</v>
      </c>
      <c r="BV113">
        <v>24.2</v>
      </c>
      <c r="BW113">
        <v>1189.2466168855469</v>
      </c>
      <c r="BX113">
        <v>1.9054284465053819</v>
      </c>
      <c r="BY113">
        <v>-107.0387780455309</v>
      </c>
      <c r="BZ113">
        <v>1.710651496411375</v>
      </c>
      <c r="CA113">
        <v>0.99289925341442631</v>
      </c>
      <c r="CB113">
        <v>-6.8911477196885416E-3</v>
      </c>
      <c r="CC113">
        <v>289.99999999999989</v>
      </c>
      <c r="CD113">
        <v>1080.43</v>
      </c>
      <c r="CE113">
        <v>665</v>
      </c>
      <c r="CF113">
        <v>10063.6</v>
      </c>
      <c r="CG113">
        <v>1082.8800000000001</v>
      </c>
      <c r="CH113">
        <v>-2.4500000000000002</v>
      </c>
      <c r="CV113">
        <f t="shared" ref="CV113:CV128" si="180">$B$11*DT113+$C$11*DU113+$F$11*EF113*(1-EI113)</f>
        <v>1800.04</v>
      </c>
      <c r="CW113">
        <f t="shared" ref="CW113:CW144" si="181">CV113*CX113</f>
        <v>1513.2183006318264</v>
      </c>
      <c r="CX113">
        <f t="shared" ref="CX113:CX128" si="182">($B$11*$D$9+$C$11*$D$9+$F$11*((ES113+EK113)/MAX(ES113+EK113+ET113, 0.1)*$I$9+ET113/MAX(ES113+EK113+ET113, 0.1)*$J$9))/($B$11+$C$11+$F$11)</f>
        <v>0.84065815239207264</v>
      </c>
      <c r="CY113">
        <f t="shared" ref="CY113:CY128" si="183">($B$11*$K$9+$C$11*$K$9+$F$11*((ES113+EK113)/MAX(ES113+EK113+ET113, 0.1)*$P$9+ET113/MAX(ES113+EK113+ET113, 0.1)*$Q$9))/($B$11+$C$11+$F$11)</f>
        <v>0.19131630478414513</v>
      </c>
      <c r="CZ113">
        <v>6</v>
      </c>
      <c r="DA113">
        <v>0.5</v>
      </c>
      <c r="DB113" t="s">
        <v>418</v>
      </c>
      <c r="DC113">
        <v>2</v>
      </c>
      <c r="DD113">
        <v>1674597365.5</v>
      </c>
      <c r="DE113">
        <v>1124.55</v>
      </c>
      <c r="DF113">
        <v>1199.94</v>
      </c>
      <c r="DG113">
        <v>24.8826</v>
      </c>
      <c r="DH113">
        <v>17.738600000000002</v>
      </c>
      <c r="DI113">
        <v>1120.98</v>
      </c>
      <c r="DJ113">
        <v>24.765599999999999</v>
      </c>
      <c r="DK113">
        <v>500.13600000000002</v>
      </c>
      <c r="DL113">
        <v>99.527900000000002</v>
      </c>
      <c r="DM113">
        <v>9.9827399999999997E-2</v>
      </c>
      <c r="DN113">
        <v>27.999400000000001</v>
      </c>
      <c r="DO113">
        <v>27.6236</v>
      </c>
      <c r="DP113">
        <v>999.9</v>
      </c>
      <c r="DQ113">
        <v>0</v>
      </c>
      <c r="DR113">
        <v>0</v>
      </c>
      <c r="DS113">
        <v>10012.5</v>
      </c>
      <c r="DT113">
        <v>0</v>
      </c>
      <c r="DU113">
        <v>283.476</v>
      </c>
      <c r="DV113">
        <v>-75.395499999999998</v>
      </c>
      <c r="DW113">
        <v>1153.24</v>
      </c>
      <c r="DX113">
        <v>1221.6099999999999</v>
      </c>
      <c r="DY113">
        <v>7.1440400000000004</v>
      </c>
      <c r="DZ113">
        <v>1199.94</v>
      </c>
      <c r="EA113">
        <v>17.738600000000002</v>
      </c>
      <c r="EB113">
        <v>2.4765100000000002</v>
      </c>
      <c r="EC113">
        <v>1.7654799999999999</v>
      </c>
      <c r="ED113">
        <v>20.873000000000001</v>
      </c>
      <c r="EE113">
        <v>15.484500000000001</v>
      </c>
      <c r="EF113">
        <v>1800.04</v>
      </c>
      <c r="EG113">
        <v>0.97800100000000001</v>
      </c>
      <c r="EH113">
        <v>2.1998799999999999E-2</v>
      </c>
      <c r="EI113">
        <v>0</v>
      </c>
      <c r="EJ113">
        <v>780.05</v>
      </c>
      <c r="EK113">
        <v>4.9990399999999999</v>
      </c>
      <c r="EL113">
        <v>14489.8</v>
      </c>
      <c r="EM113">
        <v>14821</v>
      </c>
      <c r="EN113">
        <v>48.436999999999998</v>
      </c>
      <c r="EO113">
        <v>49.875</v>
      </c>
      <c r="EP113">
        <v>49.375</v>
      </c>
      <c r="EQ113">
        <v>48.311999999999998</v>
      </c>
      <c r="ER113">
        <v>49.311999999999998</v>
      </c>
      <c r="ES113">
        <v>1755.55</v>
      </c>
      <c r="ET113">
        <v>39.49</v>
      </c>
      <c r="EU113">
        <v>0</v>
      </c>
      <c r="EV113">
        <v>108</v>
      </c>
      <c r="EW113">
        <v>0</v>
      </c>
      <c r="EX113">
        <v>779.66492307692306</v>
      </c>
      <c r="EY113">
        <v>1.8551111133088669</v>
      </c>
      <c r="EZ113">
        <v>27.398290643136281</v>
      </c>
      <c r="FA113">
        <v>14486.623076923081</v>
      </c>
      <c r="FB113">
        <v>15</v>
      </c>
      <c r="FC113">
        <v>1674597332</v>
      </c>
      <c r="FD113" t="s">
        <v>913</v>
      </c>
      <c r="FE113">
        <v>1674597331.5</v>
      </c>
      <c r="FF113">
        <v>1674597332</v>
      </c>
      <c r="FG113">
        <v>109</v>
      </c>
      <c r="FH113">
        <v>0.13900000000000001</v>
      </c>
      <c r="FI113">
        <v>4.0000000000000001E-3</v>
      </c>
      <c r="FJ113">
        <v>3.6360000000000001</v>
      </c>
      <c r="FK113">
        <v>5.8000000000000003E-2</v>
      </c>
      <c r="FL113">
        <v>1200</v>
      </c>
      <c r="FM113">
        <v>17</v>
      </c>
      <c r="FN113">
        <v>0.04</v>
      </c>
      <c r="FO113">
        <v>0.02</v>
      </c>
      <c r="FP113">
        <v>56.039091158314022</v>
      </c>
      <c r="FQ113">
        <v>-0.41150998605465872</v>
      </c>
      <c r="FR113">
        <v>7.8321384170247171E-2</v>
      </c>
      <c r="FS113">
        <v>1</v>
      </c>
      <c r="FT113">
        <v>0.52883781469135482</v>
      </c>
      <c r="FU113">
        <v>9.0229668193536302E-4</v>
      </c>
      <c r="FV113">
        <v>4.0786447109273996E-3</v>
      </c>
      <c r="FW113">
        <v>1</v>
      </c>
      <c r="FX113">
        <v>2</v>
      </c>
      <c r="FY113">
        <v>2</v>
      </c>
      <c r="FZ113" t="s">
        <v>420</v>
      </c>
      <c r="GA113">
        <v>2.9334899999999999</v>
      </c>
      <c r="GB113">
        <v>2.8333900000000001</v>
      </c>
      <c r="GC113">
        <v>0.18400900000000001</v>
      </c>
      <c r="GD113">
        <v>0.188529</v>
      </c>
      <c r="GE113">
        <v>0.12220499999999999</v>
      </c>
      <c r="GF113">
        <v>9.3138600000000002E-2</v>
      </c>
      <c r="GG113">
        <v>21142.9</v>
      </c>
      <c r="GH113">
        <v>26469.200000000001</v>
      </c>
      <c r="GI113">
        <v>23312.799999999999</v>
      </c>
      <c r="GJ113">
        <v>29885.8</v>
      </c>
      <c r="GK113">
        <v>27847.4</v>
      </c>
      <c r="GL113">
        <v>38546.5</v>
      </c>
      <c r="GM113">
        <v>32910.300000000003</v>
      </c>
      <c r="GN113">
        <v>44341.9</v>
      </c>
      <c r="GO113">
        <v>1.9680800000000001</v>
      </c>
      <c r="GP113">
        <v>1.84385</v>
      </c>
      <c r="GQ113">
        <v>5.4873499999999999E-2</v>
      </c>
      <c r="GR113">
        <v>0</v>
      </c>
      <c r="GS113">
        <v>26.726500000000001</v>
      </c>
      <c r="GT113">
        <v>999.9</v>
      </c>
      <c r="GU113">
        <v>47.6</v>
      </c>
      <c r="GV113">
        <v>35.200000000000003</v>
      </c>
      <c r="GW113">
        <v>27.314900000000002</v>
      </c>
      <c r="GX113">
        <v>61.221299999999999</v>
      </c>
      <c r="GY113">
        <v>35.873399999999997</v>
      </c>
      <c r="GZ113">
        <v>1</v>
      </c>
      <c r="HA113">
        <v>0.34043699999999999</v>
      </c>
      <c r="HB113">
        <v>2.4190100000000001</v>
      </c>
      <c r="HC113">
        <v>20.256399999999999</v>
      </c>
      <c r="HD113">
        <v>5.2100999999999997</v>
      </c>
      <c r="HE113">
        <v>11.872199999999999</v>
      </c>
      <c r="HF113">
        <v>4.9850500000000002</v>
      </c>
      <c r="HG113">
        <v>3.2839999999999998</v>
      </c>
      <c r="HH113">
        <v>9999</v>
      </c>
      <c r="HI113">
        <v>9999</v>
      </c>
      <c r="HJ113">
        <v>9999</v>
      </c>
      <c r="HK113">
        <v>999.9</v>
      </c>
      <c r="HL113">
        <v>1.8546499999999999</v>
      </c>
      <c r="HM113">
        <v>1.8607499999999999</v>
      </c>
      <c r="HN113">
        <v>1.8581099999999999</v>
      </c>
      <c r="HO113">
        <v>1.85931</v>
      </c>
      <c r="HP113">
        <v>1.85867</v>
      </c>
      <c r="HQ113">
        <v>1.8592599999999999</v>
      </c>
      <c r="HR113">
        <v>1.8575999999999999</v>
      </c>
      <c r="HS113">
        <v>1.8609599999999999</v>
      </c>
      <c r="HT113">
        <v>5</v>
      </c>
      <c r="HU113">
        <v>0</v>
      </c>
      <c r="HV113">
        <v>0</v>
      </c>
      <c r="HW113">
        <v>0</v>
      </c>
      <c r="HX113" t="s">
        <v>421</v>
      </c>
      <c r="HY113" t="s">
        <v>422</v>
      </c>
      <c r="HZ113" t="s">
        <v>423</v>
      </c>
      <c r="IA113" t="s">
        <v>423</v>
      </c>
      <c r="IB113" t="s">
        <v>423</v>
      </c>
      <c r="IC113" t="s">
        <v>423</v>
      </c>
      <c r="ID113">
        <v>0</v>
      </c>
      <c r="IE113">
        <v>100</v>
      </c>
      <c r="IF113">
        <v>100</v>
      </c>
      <c r="IG113">
        <v>3.57</v>
      </c>
      <c r="IH113">
        <v>0.11700000000000001</v>
      </c>
      <c r="II113">
        <v>1.9065882072579581</v>
      </c>
      <c r="IJ113">
        <v>1.6187016317407189E-3</v>
      </c>
      <c r="IK113">
        <v>1.4341569744255341E-7</v>
      </c>
      <c r="IL113">
        <v>-2.4096625942085749E-10</v>
      </c>
      <c r="IM113">
        <v>0.11696322482380329</v>
      </c>
      <c r="IN113">
        <v>0</v>
      </c>
      <c r="IO113">
        <v>0</v>
      </c>
      <c r="IP113">
        <v>0</v>
      </c>
      <c r="IQ113">
        <v>4</v>
      </c>
      <c r="IR113">
        <v>2205</v>
      </c>
      <c r="IS113">
        <v>1</v>
      </c>
      <c r="IT113">
        <v>21</v>
      </c>
      <c r="IU113">
        <v>0.6</v>
      </c>
      <c r="IV113">
        <v>0.6</v>
      </c>
      <c r="IW113">
        <v>2.4365199999999998</v>
      </c>
      <c r="IX113">
        <v>2.4487299999999999</v>
      </c>
      <c r="IY113">
        <v>1.49414</v>
      </c>
      <c r="IZ113">
        <v>2.3034699999999999</v>
      </c>
      <c r="JA113">
        <v>1.69434</v>
      </c>
      <c r="JB113">
        <v>2.3083499999999999</v>
      </c>
      <c r="JC113">
        <v>39.1676</v>
      </c>
      <c r="JD113">
        <v>23.991199999999999</v>
      </c>
      <c r="JE113">
        <v>18</v>
      </c>
      <c r="JF113">
        <v>510.30599999999998</v>
      </c>
      <c r="JG113">
        <v>452.68799999999999</v>
      </c>
      <c r="JH113">
        <v>24.5701</v>
      </c>
      <c r="JI113">
        <v>31.602399999999999</v>
      </c>
      <c r="JJ113">
        <v>30.000299999999999</v>
      </c>
      <c r="JK113">
        <v>31.527899999999999</v>
      </c>
      <c r="JL113">
        <v>31.498100000000001</v>
      </c>
      <c r="JM113">
        <v>48.8292</v>
      </c>
      <c r="JN113">
        <v>41.0989</v>
      </c>
      <c r="JO113">
        <v>0</v>
      </c>
      <c r="JP113">
        <v>24.570900000000002</v>
      </c>
      <c r="JQ113">
        <v>1200</v>
      </c>
      <c r="JR113">
        <v>17.647300000000001</v>
      </c>
      <c r="JS113">
        <v>99.133499999999998</v>
      </c>
      <c r="JT113">
        <v>99.578299999999999</v>
      </c>
    </row>
    <row r="114" spans="1:280" x14ac:dyDescent="0.25">
      <c r="A114">
        <v>98</v>
      </c>
      <c r="B114">
        <v>1674597472.5</v>
      </c>
      <c r="C114">
        <v>23419.900000095371</v>
      </c>
      <c r="D114" t="s">
        <v>914</v>
      </c>
      <c r="E114" t="s">
        <v>915</v>
      </c>
      <c r="F114" t="s">
        <v>412</v>
      </c>
      <c r="G114" t="s">
        <v>850</v>
      </c>
      <c r="H114" t="s">
        <v>565</v>
      </c>
      <c r="I114">
        <v>1674597472.5</v>
      </c>
      <c r="J114">
        <f t="shared" si="138"/>
        <v>5.9188494688285492E-3</v>
      </c>
      <c r="K114">
        <f t="shared" si="139"/>
        <v>5.9188494688285491</v>
      </c>
      <c r="L114">
        <f t="shared" si="140"/>
        <v>55.216662222733916</v>
      </c>
      <c r="M114">
        <f t="shared" si="141"/>
        <v>1423.71</v>
      </c>
      <c r="N114">
        <f t="shared" si="142"/>
        <v>1206.1334807077512</v>
      </c>
      <c r="O114">
        <f t="shared" si="143"/>
        <v>120.16771913979152</v>
      </c>
      <c r="P114">
        <f t="shared" si="144"/>
        <v>141.84498329001002</v>
      </c>
      <c r="Q114">
        <f t="shared" si="145"/>
        <v>0.50084458015528177</v>
      </c>
      <c r="R114">
        <f t="shared" si="146"/>
        <v>2.9204244964593866</v>
      </c>
      <c r="S114">
        <f t="shared" si="147"/>
        <v>0.45755885322143347</v>
      </c>
      <c r="T114">
        <f t="shared" si="148"/>
        <v>0.2895509417657231</v>
      </c>
      <c r="U114">
        <f t="shared" si="149"/>
        <v>344.35610126372984</v>
      </c>
      <c r="V114">
        <f t="shared" si="150"/>
        <v>28.503826111539933</v>
      </c>
      <c r="W114">
        <f t="shared" si="151"/>
        <v>27.6938</v>
      </c>
      <c r="X114">
        <f t="shared" si="152"/>
        <v>3.7276254112988103</v>
      </c>
      <c r="Y114">
        <f t="shared" si="153"/>
        <v>65.281929400613549</v>
      </c>
      <c r="Z114">
        <f t="shared" si="154"/>
        <v>2.4789769831827</v>
      </c>
      <c r="AA114">
        <f t="shared" si="155"/>
        <v>3.7973402531809999</v>
      </c>
      <c r="AB114">
        <f t="shared" si="156"/>
        <v>1.2486484281161103</v>
      </c>
      <c r="AC114">
        <f t="shared" si="157"/>
        <v>-261.021261575339</v>
      </c>
      <c r="AD114">
        <f t="shared" si="158"/>
        <v>49.989081331364957</v>
      </c>
      <c r="AE114">
        <f t="shared" si="159"/>
        <v>3.7256460450574962</v>
      </c>
      <c r="AF114">
        <f t="shared" si="160"/>
        <v>137.04956706481329</v>
      </c>
      <c r="AG114">
        <v>0</v>
      </c>
      <c r="AH114">
        <v>0</v>
      </c>
      <c r="AI114">
        <f t="shared" si="161"/>
        <v>1</v>
      </c>
      <c r="AJ114">
        <f t="shared" si="162"/>
        <v>0</v>
      </c>
      <c r="AK114">
        <f t="shared" si="163"/>
        <v>52426.941113176057</v>
      </c>
      <c r="AL114" t="s">
        <v>415</v>
      </c>
      <c r="AM114">
        <v>10214.9</v>
      </c>
      <c r="AN114">
        <v>729.4384</v>
      </c>
      <c r="AO114">
        <v>3170.19</v>
      </c>
      <c r="AP114">
        <f t="shared" si="164"/>
        <v>0.76990704027203416</v>
      </c>
      <c r="AQ114">
        <v>-0.45549566560547827</v>
      </c>
      <c r="AR114" t="s">
        <v>916</v>
      </c>
      <c r="AS114">
        <v>10084.1</v>
      </c>
      <c r="AT114">
        <v>780.37360000000012</v>
      </c>
      <c r="AU114">
        <v>1191.986830368126</v>
      </c>
      <c r="AV114">
        <f t="shared" si="165"/>
        <v>0.3453169279068341</v>
      </c>
      <c r="AW114">
        <v>0.5</v>
      </c>
      <c r="AX114">
        <f t="shared" si="166"/>
        <v>1513.1259006318649</v>
      </c>
      <c r="AY114">
        <f t="shared" si="167"/>
        <v>55.216662222733916</v>
      </c>
      <c r="AZ114">
        <f t="shared" si="168"/>
        <v>261.25399377122852</v>
      </c>
      <c r="BA114">
        <f t="shared" si="169"/>
        <v>3.6792812723046582E-2</v>
      </c>
      <c r="BB114">
        <f t="shared" si="170"/>
        <v>1.6595847531477657</v>
      </c>
      <c r="BC114">
        <f t="shared" si="171"/>
        <v>527.86754841562026</v>
      </c>
      <c r="BD114" t="s">
        <v>917</v>
      </c>
      <c r="BE114">
        <v>587.61</v>
      </c>
      <c r="BF114">
        <f t="shared" si="172"/>
        <v>587.61</v>
      </c>
      <c r="BG114">
        <f t="shared" si="173"/>
        <v>0.50703314413421319</v>
      </c>
      <c r="BH114">
        <f t="shared" si="174"/>
        <v>0.68105395456244111</v>
      </c>
      <c r="BI114">
        <f t="shared" si="175"/>
        <v>0.76597943515084688</v>
      </c>
      <c r="BJ114">
        <f t="shared" si="176"/>
        <v>0.88988136883425895</v>
      </c>
      <c r="BK114">
        <f t="shared" si="177"/>
        <v>0.81048934665529837</v>
      </c>
      <c r="BL114">
        <f t="shared" si="178"/>
        <v>0.51282374780545625</v>
      </c>
      <c r="BM114">
        <f t="shared" si="179"/>
        <v>0.48717625219454375</v>
      </c>
      <c r="BN114">
        <v>9252</v>
      </c>
      <c r="BO114">
        <v>290.00000000000011</v>
      </c>
      <c r="BP114">
        <v>1083.52</v>
      </c>
      <c r="BQ114">
        <v>245</v>
      </c>
      <c r="BR114">
        <v>10084.1</v>
      </c>
      <c r="BS114">
        <v>1083.77</v>
      </c>
      <c r="BT114">
        <v>-0.25</v>
      </c>
      <c r="BU114">
        <v>300.00000000000011</v>
      </c>
      <c r="BV114">
        <v>24.2</v>
      </c>
      <c r="BW114">
        <v>1191.986830368126</v>
      </c>
      <c r="BX114">
        <v>2.4318202028982889</v>
      </c>
      <c r="BY114">
        <v>-109.12845591612439</v>
      </c>
      <c r="BZ114">
        <v>2.1831017960104502</v>
      </c>
      <c r="CA114">
        <v>0.98891870349923294</v>
      </c>
      <c r="CB114">
        <v>-6.8908122358175847E-3</v>
      </c>
      <c r="CC114">
        <v>289.99999999999989</v>
      </c>
      <c r="CD114">
        <v>1080.57</v>
      </c>
      <c r="CE114">
        <v>685</v>
      </c>
      <c r="CF114">
        <v>10061.799999999999</v>
      </c>
      <c r="CG114">
        <v>1083.53</v>
      </c>
      <c r="CH114">
        <v>-2.96</v>
      </c>
      <c r="CV114">
        <f t="shared" si="180"/>
        <v>1799.93</v>
      </c>
      <c r="CW114">
        <f t="shared" si="181"/>
        <v>1513.1259006318649</v>
      </c>
      <c r="CX114">
        <f t="shared" si="182"/>
        <v>0.84065819261408214</v>
      </c>
      <c r="CY114">
        <f t="shared" si="183"/>
        <v>0.19131638522816433</v>
      </c>
      <c r="CZ114">
        <v>6</v>
      </c>
      <c r="DA114">
        <v>0.5</v>
      </c>
      <c r="DB114" t="s">
        <v>418</v>
      </c>
      <c r="DC114">
        <v>2</v>
      </c>
      <c r="DD114">
        <v>1674597472.5</v>
      </c>
      <c r="DE114">
        <v>1423.71</v>
      </c>
      <c r="DF114">
        <v>1500.07</v>
      </c>
      <c r="DG114">
        <v>24.881699999999999</v>
      </c>
      <c r="DH114">
        <v>17.956900000000001</v>
      </c>
      <c r="DI114">
        <v>1419.98</v>
      </c>
      <c r="DJ114">
        <v>24.766100000000002</v>
      </c>
      <c r="DK114">
        <v>500.07900000000001</v>
      </c>
      <c r="DL114">
        <v>99.530500000000004</v>
      </c>
      <c r="DM114">
        <v>0.10003099999999999</v>
      </c>
      <c r="DN114">
        <v>28.011299999999999</v>
      </c>
      <c r="DO114">
        <v>27.6938</v>
      </c>
      <c r="DP114">
        <v>999.9</v>
      </c>
      <c r="DQ114">
        <v>0</v>
      </c>
      <c r="DR114">
        <v>0</v>
      </c>
      <c r="DS114">
        <v>9995</v>
      </c>
      <c r="DT114">
        <v>0</v>
      </c>
      <c r="DU114">
        <v>280.45600000000002</v>
      </c>
      <c r="DV114">
        <v>-76.369900000000001</v>
      </c>
      <c r="DW114">
        <v>1460.03</v>
      </c>
      <c r="DX114">
        <v>1527.5</v>
      </c>
      <c r="DY114">
        <v>6.9248200000000004</v>
      </c>
      <c r="DZ114">
        <v>1500.07</v>
      </c>
      <c r="EA114">
        <v>17.956900000000001</v>
      </c>
      <c r="EB114">
        <v>2.4764900000000001</v>
      </c>
      <c r="EC114">
        <v>1.7872600000000001</v>
      </c>
      <c r="ED114">
        <v>20.872800000000002</v>
      </c>
      <c r="EE114">
        <v>15.675800000000001</v>
      </c>
      <c r="EF114">
        <v>1799.93</v>
      </c>
      <c r="EG114">
        <v>0.97800100000000001</v>
      </c>
      <c r="EH114">
        <v>2.1998799999999999E-2</v>
      </c>
      <c r="EI114">
        <v>0</v>
      </c>
      <c r="EJ114">
        <v>780.09699999999998</v>
      </c>
      <c r="EK114">
        <v>4.9990399999999999</v>
      </c>
      <c r="EL114">
        <v>14497.3</v>
      </c>
      <c r="EM114">
        <v>14820.1</v>
      </c>
      <c r="EN114">
        <v>48.5</v>
      </c>
      <c r="EO114">
        <v>49.936999999999998</v>
      </c>
      <c r="EP114">
        <v>49.436999999999998</v>
      </c>
      <c r="EQ114">
        <v>48.375</v>
      </c>
      <c r="ER114">
        <v>49.375</v>
      </c>
      <c r="ES114">
        <v>1755.44</v>
      </c>
      <c r="ET114">
        <v>39.49</v>
      </c>
      <c r="EU114">
        <v>0</v>
      </c>
      <c r="EV114">
        <v>105.19999980926509</v>
      </c>
      <c r="EW114">
        <v>0</v>
      </c>
      <c r="EX114">
        <v>780.37360000000012</v>
      </c>
      <c r="EY114">
        <v>-0.105769210858339</v>
      </c>
      <c r="EZ114">
        <v>18.384615385785121</v>
      </c>
      <c r="FA114">
        <v>14495.5</v>
      </c>
      <c r="FB114">
        <v>15</v>
      </c>
      <c r="FC114">
        <v>1674597438</v>
      </c>
      <c r="FD114" t="s">
        <v>918</v>
      </c>
      <c r="FE114">
        <v>1674597434</v>
      </c>
      <c r="FF114">
        <v>1674597438</v>
      </c>
      <c r="FG114">
        <v>110</v>
      </c>
      <c r="FH114">
        <v>-7.9000000000000001E-2</v>
      </c>
      <c r="FI114">
        <v>-1E-3</v>
      </c>
      <c r="FJ114">
        <v>3.7639999999999998</v>
      </c>
      <c r="FK114">
        <v>5.8999999999999997E-2</v>
      </c>
      <c r="FL114">
        <v>1501</v>
      </c>
      <c r="FM114">
        <v>18</v>
      </c>
      <c r="FN114">
        <v>0.06</v>
      </c>
      <c r="FO114">
        <v>0.02</v>
      </c>
      <c r="FP114">
        <v>55.232569658255613</v>
      </c>
      <c r="FQ114">
        <v>-0.41021615761254382</v>
      </c>
      <c r="FR114">
        <v>0.1055707816700753</v>
      </c>
      <c r="FS114">
        <v>1</v>
      </c>
      <c r="FT114">
        <v>0.50526408293898972</v>
      </c>
      <c r="FU114">
        <v>-3.0373378752828351E-4</v>
      </c>
      <c r="FV114">
        <v>4.596467655499958E-3</v>
      </c>
      <c r="FW114">
        <v>1</v>
      </c>
      <c r="FX114">
        <v>2</v>
      </c>
      <c r="FY114">
        <v>2</v>
      </c>
      <c r="FZ114" t="s">
        <v>420</v>
      </c>
      <c r="GA114">
        <v>2.9332799999999999</v>
      </c>
      <c r="GB114">
        <v>2.83344</v>
      </c>
      <c r="GC114">
        <v>0.21255099999999999</v>
      </c>
      <c r="GD114">
        <v>0.215861</v>
      </c>
      <c r="GE114">
        <v>0.122198</v>
      </c>
      <c r="GF114">
        <v>9.3946000000000002E-2</v>
      </c>
      <c r="GG114">
        <v>20400.099999999999</v>
      </c>
      <c r="GH114">
        <v>25574.5</v>
      </c>
      <c r="GI114">
        <v>23310.1</v>
      </c>
      <c r="GJ114">
        <v>29883.599999999999</v>
      </c>
      <c r="GK114">
        <v>27845.7</v>
      </c>
      <c r="GL114">
        <v>38509.800000000003</v>
      </c>
      <c r="GM114">
        <v>32907.199999999997</v>
      </c>
      <c r="GN114">
        <v>44339</v>
      </c>
      <c r="GO114">
        <v>1.96723</v>
      </c>
      <c r="GP114">
        <v>1.84395</v>
      </c>
      <c r="GQ114">
        <v>5.5059799999999999E-2</v>
      </c>
      <c r="GR114">
        <v>0</v>
      </c>
      <c r="GS114">
        <v>26.793800000000001</v>
      </c>
      <c r="GT114">
        <v>999.9</v>
      </c>
      <c r="GU114">
        <v>47.6</v>
      </c>
      <c r="GV114">
        <v>35.200000000000003</v>
      </c>
      <c r="GW114">
        <v>27.315300000000001</v>
      </c>
      <c r="GX114">
        <v>61.351399999999998</v>
      </c>
      <c r="GY114">
        <v>36.450299999999999</v>
      </c>
      <c r="GZ114">
        <v>1</v>
      </c>
      <c r="HA114">
        <v>0.34547</v>
      </c>
      <c r="HB114">
        <v>2.48584</v>
      </c>
      <c r="HC114">
        <v>20.255800000000001</v>
      </c>
      <c r="HD114">
        <v>5.2102500000000003</v>
      </c>
      <c r="HE114">
        <v>11.872199999999999</v>
      </c>
      <c r="HF114">
        <v>4.9848499999999998</v>
      </c>
      <c r="HG114">
        <v>3.2839800000000001</v>
      </c>
      <c r="HH114">
        <v>9999</v>
      </c>
      <c r="HI114">
        <v>9999</v>
      </c>
      <c r="HJ114">
        <v>9999</v>
      </c>
      <c r="HK114">
        <v>999.9</v>
      </c>
      <c r="HL114">
        <v>1.8547</v>
      </c>
      <c r="HM114">
        <v>1.8608</v>
      </c>
      <c r="HN114">
        <v>1.8581399999999999</v>
      </c>
      <c r="HO114">
        <v>1.85934</v>
      </c>
      <c r="HP114">
        <v>1.8587</v>
      </c>
      <c r="HQ114">
        <v>1.85928</v>
      </c>
      <c r="HR114">
        <v>1.8575999999999999</v>
      </c>
      <c r="HS114">
        <v>1.8609599999999999</v>
      </c>
      <c r="HT114">
        <v>5</v>
      </c>
      <c r="HU114">
        <v>0</v>
      </c>
      <c r="HV114">
        <v>0</v>
      </c>
      <c r="HW114">
        <v>0</v>
      </c>
      <c r="HX114" t="s">
        <v>421</v>
      </c>
      <c r="HY114" t="s">
        <v>422</v>
      </c>
      <c r="HZ114" t="s">
        <v>423</v>
      </c>
      <c r="IA114" t="s">
        <v>423</v>
      </c>
      <c r="IB114" t="s">
        <v>423</v>
      </c>
      <c r="IC114" t="s">
        <v>423</v>
      </c>
      <c r="ID114">
        <v>0</v>
      </c>
      <c r="IE114">
        <v>100</v>
      </c>
      <c r="IF114">
        <v>100</v>
      </c>
      <c r="IG114">
        <v>3.73</v>
      </c>
      <c r="IH114">
        <v>0.11559999999999999</v>
      </c>
      <c r="II114">
        <v>1.828438320449622</v>
      </c>
      <c r="IJ114">
        <v>1.6187016317407189E-3</v>
      </c>
      <c r="IK114">
        <v>1.4341569744255341E-7</v>
      </c>
      <c r="IL114">
        <v>-2.4096625942085749E-10</v>
      </c>
      <c r="IM114">
        <v>0.115585194903238</v>
      </c>
      <c r="IN114">
        <v>0</v>
      </c>
      <c r="IO114">
        <v>0</v>
      </c>
      <c r="IP114">
        <v>0</v>
      </c>
      <c r="IQ114">
        <v>4</v>
      </c>
      <c r="IR114">
        <v>2205</v>
      </c>
      <c r="IS114">
        <v>1</v>
      </c>
      <c r="IT114">
        <v>21</v>
      </c>
      <c r="IU114">
        <v>0.6</v>
      </c>
      <c r="IV114">
        <v>0.6</v>
      </c>
      <c r="IW114">
        <v>2.9272499999999999</v>
      </c>
      <c r="IX114">
        <v>2.4304199999999998</v>
      </c>
      <c r="IY114">
        <v>1.49414</v>
      </c>
      <c r="IZ114">
        <v>2.3034699999999999</v>
      </c>
      <c r="JA114">
        <v>1.69434</v>
      </c>
      <c r="JB114">
        <v>2.4047900000000002</v>
      </c>
      <c r="JC114">
        <v>39.1676</v>
      </c>
      <c r="JD114">
        <v>23.9999</v>
      </c>
      <c r="JE114">
        <v>18</v>
      </c>
      <c r="JF114">
        <v>510.09</v>
      </c>
      <c r="JG114">
        <v>453.06900000000002</v>
      </c>
      <c r="JH114">
        <v>24.5684</v>
      </c>
      <c r="JI114">
        <v>31.659199999999998</v>
      </c>
      <c r="JJ114">
        <v>30.000399999999999</v>
      </c>
      <c r="JK114">
        <v>31.568200000000001</v>
      </c>
      <c r="JL114">
        <v>31.535399999999999</v>
      </c>
      <c r="JM114">
        <v>58.6355</v>
      </c>
      <c r="JN114">
        <v>40.415399999999998</v>
      </c>
      <c r="JO114">
        <v>0</v>
      </c>
      <c r="JP114">
        <v>24.553999999999998</v>
      </c>
      <c r="JQ114">
        <v>1500</v>
      </c>
      <c r="JR114">
        <v>17.8688</v>
      </c>
      <c r="JS114">
        <v>99.123199999999997</v>
      </c>
      <c r="JT114">
        <v>99.5715</v>
      </c>
    </row>
    <row r="115" spans="1:280" x14ac:dyDescent="0.25">
      <c r="A115">
        <v>99</v>
      </c>
      <c r="B115">
        <v>1674598758.5999999</v>
      </c>
      <c r="C115">
        <v>24706</v>
      </c>
      <c r="D115" t="s">
        <v>919</v>
      </c>
      <c r="E115" t="s">
        <v>920</v>
      </c>
      <c r="F115" t="s">
        <v>412</v>
      </c>
      <c r="G115" t="s">
        <v>921</v>
      </c>
      <c r="H115" t="s">
        <v>636</v>
      </c>
      <c r="I115">
        <v>1674598758.5999999</v>
      </c>
      <c r="J115">
        <f t="shared" si="138"/>
        <v>5.3989331047659614E-3</v>
      </c>
      <c r="K115">
        <f t="shared" si="139"/>
        <v>5.3989331047659617</v>
      </c>
      <c r="L115">
        <f t="shared" si="140"/>
        <v>51.354078281117644</v>
      </c>
      <c r="M115">
        <f t="shared" si="141"/>
        <v>336.22899999999998</v>
      </c>
      <c r="N115">
        <f t="shared" si="142"/>
        <v>141.61473453564588</v>
      </c>
      <c r="O115">
        <f t="shared" si="143"/>
        <v>14.109260030133928</v>
      </c>
      <c r="P115">
        <f t="shared" si="144"/>
        <v>33.498932199585497</v>
      </c>
      <c r="Q115">
        <f t="shared" si="145"/>
        <v>0.46543368608023117</v>
      </c>
      <c r="R115">
        <f t="shared" si="146"/>
        <v>2.9202195418525809</v>
      </c>
      <c r="S115">
        <f t="shared" si="147"/>
        <v>0.42780387225207589</v>
      </c>
      <c r="T115">
        <f t="shared" si="148"/>
        <v>0.27050432985553541</v>
      </c>
      <c r="U115">
        <f t="shared" si="149"/>
        <v>344.35100126407087</v>
      </c>
      <c r="V115">
        <f t="shared" si="150"/>
        <v>28.627453214946538</v>
      </c>
      <c r="W115">
        <f t="shared" si="151"/>
        <v>27.5549</v>
      </c>
      <c r="X115">
        <f t="shared" si="152"/>
        <v>3.6974794321363396</v>
      </c>
      <c r="Y115">
        <f t="shared" si="153"/>
        <v>65.330360721456898</v>
      </c>
      <c r="Z115">
        <f t="shared" si="154"/>
        <v>2.4790957360686496</v>
      </c>
      <c r="AA115">
        <f t="shared" si="155"/>
        <v>3.7947069458846916</v>
      </c>
      <c r="AB115">
        <f t="shared" si="156"/>
        <v>1.2183836960676899</v>
      </c>
      <c r="AC115">
        <f t="shared" si="157"/>
        <v>-238.09294992017891</v>
      </c>
      <c r="AD115">
        <f t="shared" si="158"/>
        <v>69.97980235548863</v>
      </c>
      <c r="AE115">
        <f t="shared" si="159"/>
        <v>5.2119851931134216</v>
      </c>
      <c r="AF115">
        <f t="shared" si="160"/>
        <v>181.44983889249403</v>
      </c>
      <c r="AG115">
        <v>0</v>
      </c>
      <c r="AH115">
        <v>0</v>
      </c>
      <c r="AI115">
        <f t="shared" si="161"/>
        <v>1</v>
      </c>
      <c r="AJ115">
        <f t="shared" si="162"/>
        <v>0</v>
      </c>
      <c r="AK115">
        <f t="shared" si="163"/>
        <v>52423.145359382092</v>
      </c>
      <c r="AL115" t="s">
        <v>415</v>
      </c>
      <c r="AM115">
        <v>10214.9</v>
      </c>
      <c r="AN115">
        <v>729.4384</v>
      </c>
      <c r="AO115">
        <v>3170.19</v>
      </c>
      <c r="AP115">
        <f t="shared" si="164"/>
        <v>0.76990704027203416</v>
      </c>
      <c r="AQ115">
        <v>-0.45549566560547827</v>
      </c>
      <c r="AR115" t="s">
        <v>922</v>
      </c>
      <c r="AS115">
        <v>10100.5</v>
      </c>
      <c r="AT115">
        <v>791.38268000000016</v>
      </c>
      <c r="AU115">
        <v>1182.101800007081</v>
      </c>
      <c r="AV115">
        <f t="shared" si="165"/>
        <v>0.33052916424350287</v>
      </c>
      <c r="AW115">
        <v>0.5</v>
      </c>
      <c r="AX115">
        <f t="shared" si="166"/>
        <v>1513.1010006320355</v>
      </c>
      <c r="AY115">
        <f t="shared" si="167"/>
        <v>51.354078281117644</v>
      </c>
      <c r="AZ115">
        <f t="shared" si="168"/>
        <v>250.06200457745729</v>
      </c>
      <c r="BA115">
        <f t="shared" si="169"/>
        <v>3.4240658042709517E-2</v>
      </c>
      <c r="BB115">
        <f t="shared" si="170"/>
        <v>1.681824864813682</v>
      </c>
      <c r="BC115">
        <f t="shared" si="171"/>
        <v>525.91996399160803</v>
      </c>
      <c r="BD115" t="s">
        <v>923</v>
      </c>
      <c r="BE115">
        <v>574.27</v>
      </c>
      <c r="BF115">
        <f t="shared" si="172"/>
        <v>574.27</v>
      </c>
      <c r="BG115">
        <f t="shared" si="173"/>
        <v>0.51419581630231848</v>
      </c>
      <c r="BH115">
        <f t="shared" si="174"/>
        <v>0.64280796102232407</v>
      </c>
      <c r="BI115">
        <f t="shared" si="175"/>
        <v>0.7658511048078982</v>
      </c>
      <c r="BJ115">
        <f t="shared" si="176"/>
        <v>0.86315597859462201</v>
      </c>
      <c r="BK115">
        <f t="shared" si="177"/>
        <v>0.8145393410754781</v>
      </c>
      <c r="BL115">
        <f t="shared" si="178"/>
        <v>0.46645616224035885</v>
      </c>
      <c r="BM115">
        <f t="shared" si="179"/>
        <v>0.53354383775964109</v>
      </c>
      <c r="BN115">
        <v>9254</v>
      </c>
      <c r="BO115">
        <v>290.00000000000011</v>
      </c>
      <c r="BP115">
        <v>1085.29</v>
      </c>
      <c r="BQ115">
        <v>195</v>
      </c>
      <c r="BR115">
        <v>10100.5</v>
      </c>
      <c r="BS115">
        <v>1085.47</v>
      </c>
      <c r="BT115">
        <v>-0.18</v>
      </c>
      <c r="BU115">
        <v>300.00000000000011</v>
      </c>
      <c r="BV115">
        <v>24.2</v>
      </c>
      <c r="BW115">
        <v>1182.101800007081</v>
      </c>
      <c r="BX115">
        <v>2.1600917285398791</v>
      </c>
      <c r="BY115">
        <v>-97.606312217142047</v>
      </c>
      <c r="BZ115">
        <v>1.94101116068025</v>
      </c>
      <c r="CA115">
        <v>0.98904844341837561</v>
      </c>
      <c r="CB115">
        <v>-6.8981588431590718E-3</v>
      </c>
      <c r="CC115">
        <v>289.99999999999989</v>
      </c>
      <c r="CD115">
        <v>1085.8399999999999</v>
      </c>
      <c r="CE115">
        <v>675</v>
      </c>
      <c r="CF115">
        <v>10071.799999999999</v>
      </c>
      <c r="CG115">
        <v>1085.19</v>
      </c>
      <c r="CH115">
        <v>0.65</v>
      </c>
      <c r="CV115">
        <f t="shared" si="180"/>
        <v>1799.9</v>
      </c>
      <c r="CW115">
        <f t="shared" si="181"/>
        <v>1513.1010006320355</v>
      </c>
      <c r="CX115">
        <f t="shared" si="182"/>
        <v>0.84065837026058976</v>
      </c>
      <c r="CY115">
        <f t="shared" si="183"/>
        <v>0.19131674052117945</v>
      </c>
      <c r="CZ115">
        <v>6</v>
      </c>
      <c r="DA115">
        <v>0.5</v>
      </c>
      <c r="DB115" t="s">
        <v>418</v>
      </c>
      <c r="DC115">
        <v>2</v>
      </c>
      <c r="DD115">
        <v>1674598758.5999999</v>
      </c>
      <c r="DE115">
        <v>336.22899999999998</v>
      </c>
      <c r="DF115">
        <v>400.02100000000002</v>
      </c>
      <c r="DG115">
        <v>24.8827</v>
      </c>
      <c r="DH115">
        <v>18.566299999999998</v>
      </c>
      <c r="DI115">
        <v>334.791</v>
      </c>
      <c r="DJ115">
        <v>24.777000000000001</v>
      </c>
      <c r="DK115">
        <v>500.08800000000002</v>
      </c>
      <c r="DL115">
        <v>99.531300000000002</v>
      </c>
      <c r="DM115">
        <v>9.9999500000000005E-2</v>
      </c>
      <c r="DN115">
        <v>27.999400000000001</v>
      </c>
      <c r="DO115">
        <v>27.5549</v>
      </c>
      <c r="DP115">
        <v>999.9</v>
      </c>
      <c r="DQ115">
        <v>0</v>
      </c>
      <c r="DR115">
        <v>0</v>
      </c>
      <c r="DS115">
        <v>9993.75</v>
      </c>
      <c r="DT115">
        <v>0</v>
      </c>
      <c r="DU115">
        <v>184.239</v>
      </c>
      <c r="DV115">
        <v>-63.7913</v>
      </c>
      <c r="DW115">
        <v>344.80900000000003</v>
      </c>
      <c r="DX115">
        <v>407.58800000000002</v>
      </c>
      <c r="DY115">
        <v>6.3164300000000004</v>
      </c>
      <c r="DZ115">
        <v>400.02100000000002</v>
      </c>
      <c r="EA115">
        <v>18.566299999999998</v>
      </c>
      <c r="EB115">
        <v>2.47661</v>
      </c>
      <c r="EC115">
        <v>1.8479300000000001</v>
      </c>
      <c r="ED115">
        <v>20.8736</v>
      </c>
      <c r="EE115">
        <v>16.1982</v>
      </c>
      <c r="EF115">
        <v>1799.9</v>
      </c>
      <c r="EG115">
        <v>0.97799499999999995</v>
      </c>
      <c r="EH115">
        <v>2.2004800000000001E-2</v>
      </c>
      <c r="EI115">
        <v>0</v>
      </c>
      <c r="EJ115">
        <v>791.15200000000004</v>
      </c>
      <c r="EK115">
        <v>4.9990399999999999</v>
      </c>
      <c r="EL115">
        <v>14677.2</v>
      </c>
      <c r="EM115">
        <v>14819.9</v>
      </c>
      <c r="EN115">
        <v>48.811999999999998</v>
      </c>
      <c r="EO115">
        <v>50.25</v>
      </c>
      <c r="EP115">
        <v>49.811999999999998</v>
      </c>
      <c r="EQ115">
        <v>48.75</v>
      </c>
      <c r="ER115">
        <v>49.686999999999998</v>
      </c>
      <c r="ES115">
        <v>1755.4</v>
      </c>
      <c r="ET115">
        <v>39.5</v>
      </c>
      <c r="EU115">
        <v>0</v>
      </c>
      <c r="EV115">
        <v>1284</v>
      </c>
      <c r="EW115">
        <v>0</v>
      </c>
      <c r="EX115">
        <v>791.38268000000016</v>
      </c>
      <c r="EY115">
        <v>1.6743076675694171</v>
      </c>
      <c r="EZ115">
        <v>13.723076926926121</v>
      </c>
      <c r="FA115">
        <v>14676.588</v>
      </c>
      <c r="FB115">
        <v>15</v>
      </c>
      <c r="FC115">
        <v>1674598723.5999999</v>
      </c>
      <c r="FD115" t="s">
        <v>924</v>
      </c>
      <c r="FE115">
        <v>1674598718.5999999</v>
      </c>
      <c r="FF115">
        <v>1674598723.5999999</v>
      </c>
      <c r="FG115">
        <v>112</v>
      </c>
      <c r="FH115">
        <v>0.33400000000000002</v>
      </c>
      <c r="FI115">
        <v>-8.0000000000000002E-3</v>
      </c>
      <c r="FJ115">
        <v>1.5409999999999999</v>
      </c>
      <c r="FK115">
        <v>6.7000000000000004E-2</v>
      </c>
      <c r="FL115">
        <v>400</v>
      </c>
      <c r="FM115">
        <v>19</v>
      </c>
      <c r="FN115">
        <v>0.03</v>
      </c>
      <c r="FO115">
        <v>0.01</v>
      </c>
      <c r="FP115">
        <v>51.318348357613303</v>
      </c>
      <c r="FQ115">
        <v>-0.32692792166869561</v>
      </c>
      <c r="FR115">
        <v>6.1660260305237288E-2</v>
      </c>
      <c r="FS115">
        <v>1</v>
      </c>
      <c r="FT115">
        <v>0.46483246372545273</v>
      </c>
      <c r="FU115">
        <v>5.9482539085343646E-3</v>
      </c>
      <c r="FV115">
        <v>2.059267354804899E-3</v>
      </c>
      <c r="FW115">
        <v>1</v>
      </c>
      <c r="FX115">
        <v>2</v>
      </c>
      <c r="FY115">
        <v>2</v>
      </c>
      <c r="FZ115" t="s">
        <v>420</v>
      </c>
      <c r="GA115">
        <v>2.9330099999999999</v>
      </c>
      <c r="GB115">
        <v>2.8334000000000001</v>
      </c>
      <c r="GC115">
        <v>7.8627199999999994E-2</v>
      </c>
      <c r="GD115">
        <v>8.8540400000000005E-2</v>
      </c>
      <c r="GE115">
        <v>0.12217</v>
      </c>
      <c r="GF115">
        <v>9.6142900000000003E-2</v>
      </c>
      <c r="GG115">
        <v>23864.9</v>
      </c>
      <c r="GH115">
        <v>29706</v>
      </c>
      <c r="GI115">
        <v>23304.9</v>
      </c>
      <c r="GJ115">
        <v>29861.200000000001</v>
      </c>
      <c r="GK115">
        <v>27839.8</v>
      </c>
      <c r="GL115">
        <v>38385.300000000003</v>
      </c>
      <c r="GM115">
        <v>32901.4</v>
      </c>
      <c r="GN115">
        <v>44308.5</v>
      </c>
      <c r="GO115">
        <v>1.96505</v>
      </c>
      <c r="GP115">
        <v>1.8365199999999999</v>
      </c>
      <c r="GQ115">
        <v>4.3660400000000002E-2</v>
      </c>
      <c r="GR115">
        <v>0</v>
      </c>
      <c r="GS115">
        <v>26.841200000000001</v>
      </c>
      <c r="GT115">
        <v>999.9</v>
      </c>
      <c r="GU115">
        <v>47.8</v>
      </c>
      <c r="GV115">
        <v>35.200000000000003</v>
      </c>
      <c r="GW115">
        <v>27.427499999999998</v>
      </c>
      <c r="GX115">
        <v>61.407899999999998</v>
      </c>
      <c r="GY115">
        <v>35.973599999999998</v>
      </c>
      <c r="GZ115">
        <v>1</v>
      </c>
      <c r="HA115">
        <v>0.365981</v>
      </c>
      <c r="HB115">
        <v>2.4476499999999999</v>
      </c>
      <c r="HC115">
        <v>20.254799999999999</v>
      </c>
      <c r="HD115">
        <v>5.2093499999999997</v>
      </c>
      <c r="HE115">
        <v>11.872199999999999</v>
      </c>
      <c r="HF115">
        <v>4.9846500000000002</v>
      </c>
      <c r="HG115">
        <v>3.2837800000000001</v>
      </c>
      <c r="HH115">
        <v>9999</v>
      </c>
      <c r="HI115">
        <v>9999</v>
      </c>
      <c r="HJ115">
        <v>9999</v>
      </c>
      <c r="HK115">
        <v>999.9</v>
      </c>
      <c r="HL115">
        <v>1.85459</v>
      </c>
      <c r="HM115">
        <v>1.86067</v>
      </c>
      <c r="HN115">
        <v>1.85806</v>
      </c>
      <c r="HO115">
        <v>1.85928</v>
      </c>
      <c r="HP115">
        <v>1.85867</v>
      </c>
      <c r="HQ115">
        <v>1.85924</v>
      </c>
      <c r="HR115">
        <v>1.8575699999999999</v>
      </c>
      <c r="HS115">
        <v>1.8608899999999999</v>
      </c>
      <c r="HT115">
        <v>5</v>
      </c>
      <c r="HU115">
        <v>0</v>
      </c>
      <c r="HV115">
        <v>0</v>
      </c>
      <c r="HW115">
        <v>0</v>
      </c>
      <c r="HX115" t="s">
        <v>421</v>
      </c>
      <c r="HY115" t="s">
        <v>422</v>
      </c>
      <c r="HZ115" t="s">
        <v>423</v>
      </c>
      <c r="IA115" t="s">
        <v>423</v>
      </c>
      <c r="IB115" t="s">
        <v>423</v>
      </c>
      <c r="IC115" t="s">
        <v>423</v>
      </c>
      <c r="ID115">
        <v>0</v>
      </c>
      <c r="IE115">
        <v>100</v>
      </c>
      <c r="IF115">
        <v>100</v>
      </c>
      <c r="IG115">
        <v>1.4379999999999999</v>
      </c>
      <c r="IH115">
        <v>0.1057</v>
      </c>
      <c r="II115">
        <v>0.88893436470311915</v>
      </c>
      <c r="IJ115">
        <v>1.6187016317407189E-3</v>
      </c>
      <c r="IK115">
        <v>1.4341569744255341E-7</v>
      </c>
      <c r="IL115">
        <v>-2.4096625942085749E-10</v>
      </c>
      <c r="IM115">
        <v>0.1057152299242988</v>
      </c>
      <c r="IN115">
        <v>0</v>
      </c>
      <c r="IO115">
        <v>0</v>
      </c>
      <c r="IP115">
        <v>0</v>
      </c>
      <c r="IQ115">
        <v>4</v>
      </c>
      <c r="IR115">
        <v>2205</v>
      </c>
      <c r="IS115">
        <v>1</v>
      </c>
      <c r="IT115">
        <v>21</v>
      </c>
      <c r="IU115">
        <v>0.7</v>
      </c>
      <c r="IV115">
        <v>0.6</v>
      </c>
      <c r="IW115">
        <v>0.98632799999999998</v>
      </c>
      <c r="IX115">
        <v>2.4475099999999999</v>
      </c>
      <c r="IY115">
        <v>1.49414</v>
      </c>
      <c r="IZ115">
        <v>2.3034699999999999</v>
      </c>
      <c r="JA115">
        <v>1.69434</v>
      </c>
      <c r="JB115">
        <v>2.35107</v>
      </c>
      <c r="JC115">
        <v>39.292000000000002</v>
      </c>
      <c r="JD115">
        <v>23.9999</v>
      </c>
      <c r="JE115">
        <v>18</v>
      </c>
      <c r="JF115">
        <v>510.68</v>
      </c>
      <c r="JG115">
        <v>449.84</v>
      </c>
      <c r="JH115">
        <v>24.527899999999999</v>
      </c>
      <c r="JI115">
        <v>31.910699999999999</v>
      </c>
      <c r="JJ115">
        <v>30.0001</v>
      </c>
      <c r="JK115">
        <v>31.807500000000001</v>
      </c>
      <c r="JL115">
        <v>31.773199999999999</v>
      </c>
      <c r="JM115">
        <v>19.828800000000001</v>
      </c>
      <c r="JN115">
        <v>38.345799999999997</v>
      </c>
      <c r="JO115">
        <v>0</v>
      </c>
      <c r="JP115">
        <v>24.535</v>
      </c>
      <c r="JQ115">
        <v>400</v>
      </c>
      <c r="JR115">
        <v>18.586500000000001</v>
      </c>
      <c r="JS115">
        <v>99.103700000000003</v>
      </c>
      <c r="JT115">
        <v>99.500500000000002</v>
      </c>
    </row>
    <row r="116" spans="1:280" x14ac:dyDescent="0.25">
      <c r="A116">
        <v>100</v>
      </c>
      <c r="B116">
        <v>1674598867.0999999</v>
      </c>
      <c r="C116">
        <v>24814.5</v>
      </c>
      <c r="D116" t="s">
        <v>925</v>
      </c>
      <c r="E116" t="s">
        <v>926</v>
      </c>
      <c r="F116" t="s">
        <v>412</v>
      </c>
      <c r="G116" t="s">
        <v>921</v>
      </c>
      <c r="H116" t="s">
        <v>636</v>
      </c>
      <c r="I116">
        <v>1674598867.0999999</v>
      </c>
      <c r="J116">
        <f t="shared" si="138"/>
        <v>5.5042948529075682E-3</v>
      </c>
      <c r="K116">
        <f t="shared" si="139"/>
        <v>5.5042948529075684</v>
      </c>
      <c r="L116">
        <f t="shared" si="140"/>
        <v>45.251381943457709</v>
      </c>
      <c r="M116">
        <f t="shared" si="141"/>
        <v>244.16200000000001</v>
      </c>
      <c r="N116">
        <f t="shared" si="142"/>
        <v>77.838723742301596</v>
      </c>
      <c r="O116">
        <f t="shared" si="143"/>
        <v>7.7550980445792375</v>
      </c>
      <c r="P116">
        <f t="shared" si="144"/>
        <v>24.325941610108</v>
      </c>
      <c r="Q116">
        <f t="shared" si="145"/>
        <v>0.47821488703722959</v>
      </c>
      <c r="R116">
        <f t="shared" si="146"/>
        <v>2.9195429859708351</v>
      </c>
      <c r="S116">
        <f t="shared" si="147"/>
        <v>0.43857583257433691</v>
      </c>
      <c r="T116">
        <f t="shared" si="148"/>
        <v>0.27739698522494577</v>
      </c>
      <c r="U116">
        <f t="shared" si="149"/>
        <v>344.38840126361043</v>
      </c>
      <c r="V116">
        <f t="shared" si="150"/>
        <v>28.600040435982557</v>
      </c>
      <c r="W116">
        <f t="shared" si="151"/>
        <v>27.539899999999999</v>
      </c>
      <c r="X116">
        <f t="shared" si="152"/>
        <v>3.6942366908134603</v>
      </c>
      <c r="Y116">
        <f t="shared" si="153"/>
        <v>65.423814796866097</v>
      </c>
      <c r="Z116">
        <f t="shared" si="154"/>
        <v>2.4825986256453998</v>
      </c>
      <c r="AA116">
        <f t="shared" si="155"/>
        <v>3.7946405805800247</v>
      </c>
      <c r="AB116">
        <f t="shared" si="156"/>
        <v>1.2116380651680605</v>
      </c>
      <c r="AC116">
        <f t="shared" si="157"/>
        <v>-242.73940301322375</v>
      </c>
      <c r="AD116">
        <f t="shared" si="158"/>
        <v>72.277345950275588</v>
      </c>
      <c r="AE116">
        <f t="shared" si="159"/>
        <v>5.3839394275220238</v>
      </c>
      <c r="AF116">
        <f t="shared" si="160"/>
        <v>179.31028362818429</v>
      </c>
      <c r="AG116">
        <v>0</v>
      </c>
      <c r="AH116">
        <v>0</v>
      </c>
      <c r="AI116">
        <f t="shared" si="161"/>
        <v>1</v>
      </c>
      <c r="AJ116">
        <f t="shared" si="162"/>
        <v>0</v>
      </c>
      <c r="AK116">
        <f t="shared" si="163"/>
        <v>52403.747465580462</v>
      </c>
      <c r="AL116" t="s">
        <v>415</v>
      </c>
      <c r="AM116">
        <v>10214.9</v>
      </c>
      <c r="AN116">
        <v>729.4384</v>
      </c>
      <c r="AO116">
        <v>3170.19</v>
      </c>
      <c r="AP116">
        <f t="shared" si="164"/>
        <v>0.76990704027203416</v>
      </c>
      <c r="AQ116">
        <v>-0.45549566560547827</v>
      </c>
      <c r="AR116" t="s">
        <v>927</v>
      </c>
      <c r="AS116">
        <v>10108.6</v>
      </c>
      <c r="AT116">
        <v>787.57057692307694</v>
      </c>
      <c r="AU116">
        <v>1133.546825552291</v>
      </c>
      <c r="AV116">
        <f t="shared" si="165"/>
        <v>0.30521566540548173</v>
      </c>
      <c r="AW116">
        <v>0.5</v>
      </c>
      <c r="AX116">
        <f t="shared" si="166"/>
        <v>1513.2687006318051</v>
      </c>
      <c r="AY116">
        <f t="shared" si="167"/>
        <v>45.251381943457709</v>
      </c>
      <c r="AZ116">
        <f t="shared" si="168"/>
        <v>230.93665670031257</v>
      </c>
      <c r="BA116">
        <f t="shared" si="169"/>
        <v>3.0204072541763466E-2</v>
      </c>
      <c r="BB116">
        <f t="shared" si="170"/>
        <v>1.7966996409304996</v>
      </c>
      <c r="BC116">
        <f t="shared" si="171"/>
        <v>516.08483320692335</v>
      </c>
      <c r="BD116" t="s">
        <v>928</v>
      </c>
      <c r="BE116">
        <v>570.9</v>
      </c>
      <c r="BF116">
        <f t="shared" si="172"/>
        <v>570.9</v>
      </c>
      <c r="BG116">
        <f t="shared" si="173"/>
        <v>0.4963595793920168</v>
      </c>
      <c r="BH116">
        <f t="shared" si="174"/>
        <v>0.61490838109609114</v>
      </c>
      <c r="BI116">
        <f t="shared" si="175"/>
        <v>0.78353826408277227</v>
      </c>
      <c r="BJ116">
        <f t="shared" si="176"/>
        <v>0.85614708022078911</v>
      </c>
      <c r="BK116">
        <f t="shared" si="177"/>
        <v>0.83443279293464723</v>
      </c>
      <c r="BL116">
        <f t="shared" si="178"/>
        <v>0.44573934711891361</v>
      </c>
      <c r="BM116">
        <f t="shared" si="179"/>
        <v>0.55426065288108639</v>
      </c>
      <c r="BN116">
        <v>9256</v>
      </c>
      <c r="BO116">
        <v>290.00000000000011</v>
      </c>
      <c r="BP116">
        <v>1043.95</v>
      </c>
      <c r="BQ116">
        <v>135</v>
      </c>
      <c r="BR116">
        <v>10108.6</v>
      </c>
      <c r="BS116">
        <v>1042.71</v>
      </c>
      <c r="BT116">
        <v>1.24</v>
      </c>
      <c r="BU116">
        <v>300.00000000000011</v>
      </c>
      <c r="BV116">
        <v>24.2</v>
      </c>
      <c r="BW116">
        <v>1133.546825552291</v>
      </c>
      <c r="BX116">
        <v>1.8099832767784789</v>
      </c>
      <c r="BY116">
        <v>-91.825457640998152</v>
      </c>
      <c r="BZ116">
        <v>1.6262419483946049</v>
      </c>
      <c r="CA116">
        <v>0.99129427895860489</v>
      </c>
      <c r="CB116">
        <v>-6.8974607341490569E-3</v>
      </c>
      <c r="CC116">
        <v>289.99999999999989</v>
      </c>
      <c r="CD116">
        <v>1042.96</v>
      </c>
      <c r="CE116">
        <v>715</v>
      </c>
      <c r="CF116">
        <v>10068.5</v>
      </c>
      <c r="CG116">
        <v>1042.3499999999999</v>
      </c>
      <c r="CH116">
        <v>0.61</v>
      </c>
      <c r="CV116">
        <f t="shared" si="180"/>
        <v>1800.1</v>
      </c>
      <c r="CW116">
        <f t="shared" si="181"/>
        <v>1513.2687006318051</v>
      </c>
      <c r="CX116">
        <f t="shared" si="182"/>
        <v>0.84065813045486648</v>
      </c>
      <c r="CY116">
        <f t="shared" si="183"/>
        <v>0.19131626090973305</v>
      </c>
      <c r="CZ116">
        <v>6</v>
      </c>
      <c r="DA116">
        <v>0.5</v>
      </c>
      <c r="DB116" t="s">
        <v>418</v>
      </c>
      <c r="DC116">
        <v>2</v>
      </c>
      <c r="DD116">
        <v>1674598867.0999999</v>
      </c>
      <c r="DE116">
        <v>244.16200000000001</v>
      </c>
      <c r="DF116">
        <v>300.06799999999998</v>
      </c>
      <c r="DG116">
        <v>24.918099999999999</v>
      </c>
      <c r="DH116">
        <v>18.4785</v>
      </c>
      <c r="DI116">
        <v>242.89099999999999</v>
      </c>
      <c r="DJ116">
        <v>24.813600000000001</v>
      </c>
      <c r="DK116">
        <v>500.07499999999999</v>
      </c>
      <c r="DL116">
        <v>99.530199999999994</v>
      </c>
      <c r="DM116">
        <v>0.100134</v>
      </c>
      <c r="DN116">
        <v>27.999099999999999</v>
      </c>
      <c r="DO116">
        <v>27.539899999999999</v>
      </c>
      <c r="DP116">
        <v>999.9</v>
      </c>
      <c r="DQ116">
        <v>0</v>
      </c>
      <c r="DR116">
        <v>0</v>
      </c>
      <c r="DS116">
        <v>9990</v>
      </c>
      <c r="DT116">
        <v>0</v>
      </c>
      <c r="DU116">
        <v>183.61600000000001</v>
      </c>
      <c r="DV116">
        <v>-55.906199999999998</v>
      </c>
      <c r="DW116">
        <v>250.40199999999999</v>
      </c>
      <c r="DX116">
        <v>305.71699999999998</v>
      </c>
      <c r="DY116">
        <v>6.4395800000000003</v>
      </c>
      <c r="DZ116">
        <v>300.06799999999998</v>
      </c>
      <c r="EA116">
        <v>18.4785</v>
      </c>
      <c r="EB116">
        <v>2.4801000000000002</v>
      </c>
      <c r="EC116">
        <v>1.83917</v>
      </c>
      <c r="ED116">
        <v>20.8965</v>
      </c>
      <c r="EE116">
        <v>16.123699999999999</v>
      </c>
      <c r="EF116">
        <v>1800.1</v>
      </c>
      <c r="EG116">
        <v>0.97799899999999995</v>
      </c>
      <c r="EH116">
        <v>2.2001099999999999E-2</v>
      </c>
      <c r="EI116">
        <v>0</v>
      </c>
      <c r="EJ116">
        <v>787.26700000000005</v>
      </c>
      <c r="EK116">
        <v>4.9990399999999999</v>
      </c>
      <c r="EL116">
        <v>14598.5</v>
      </c>
      <c r="EM116">
        <v>14821.5</v>
      </c>
      <c r="EN116">
        <v>48.875</v>
      </c>
      <c r="EO116">
        <v>50.311999999999998</v>
      </c>
      <c r="EP116">
        <v>49.875</v>
      </c>
      <c r="EQ116">
        <v>48.811999999999998</v>
      </c>
      <c r="ER116">
        <v>49.686999999999998</v>
      </c>
      <c r="ES116">
        <v>1755.61</v>
      </c>
      <c r="ET116">
        <v>39.49</v>
      </c>
      <c r="EU116">
        <v>0</v>
      </c>
      <c r="EV116">
        <v>106.4000000953674</v>
      </c>
      <c r="EW116">
        <v>0</v>
      </c>
      <c r="EX116">
        <v>787.57057692307694</v>
      </c>
      <c r="EY116">
        <v>-0.93876921904048971</v>
      </c>
      <c r="EZ116">
        <v>-18.67008543235648</v>
      </c>
      <c r="FA116">
        <v>14599.48076923077</v>
      </c>
      <c r="FB116">
        <v>15</v>
      </c>
      <c r="FC116">
        <v>1674598834.0999999</v>
      </c>
      <c r="FD116" t="s">
        <v>929</v>
      </c>
      <c r="FE116">
        <v>1674598827.0999999</v>
      </c>
      <c r="FF116">
        <v>1674598834.0999999</v>
      </c>
      <c r="FG116">
        <v>113</v>
      </c>
      <c r="FH116">
        <v>-1.6E-2</v>
      </c>
      <c r="FI116">
        <v>-1E-3</v>
      </c>
      <c r="FJ116">
        <v>1.363</v>
      </c>
      <c r="FK116">
        <v>6.5000000000000002E-2</v>
      </c>
      <c r="FL116">
        <v>300</v>
      </c>
      <c r="FM116">
        <v>18</v>
      </c>
      <c r="FN116">
        <v>0.04</v>
      </c>
      <c r="FO116">
        <v>0.01</v>
      </c>
      <c r="FP116">
        <v>45.086100897552001</v>
      </c>
      <c r="FQ116">
        <v>4.0900255378870367E-3</v>
      </c>
      <c r="FR116">
        <v>8.8102390879024078E-2</v>
      </c>
      <c r="FS116">
        <v>1</v>
      </c>
      <c r="FT116">
        <v>0.47922792588505442</v>
      </c>
      <c r="FU116">
        <v>3.0029114955855921E-2</v>
      </c>
      <c r="FV116">
        <v>4.2636850483638048E-3</v>
      </c>
      <c r="FW116">
        <v>1</v>
      </c>
      <c r="FX116">
        <v>2</v>
      </c>
      <c r="FY116">
        <v>2</v>
      </c>
      <c r="FZ116" t="s">
        <v>420</v>
      </c>
      <c r="GA116">
        <v>2.9329200000000002</v>
      </c>
      <c r="GB116">
        <v>2.8334999999999999</v>
      </c>
      <c r="GC116">
        <v>6.0405E-2</v>
      </c>
      <c r="GD116">
        <v>7.0516800000000004E-2</v>
      </c>
      <c r="GE116">
        <v>0.122282</v>
      </c>
      <c r="GF116">
        <v>9.5810400000000004E-2</v>
      </c>
      <c r="GG116">
        <v>24334.7</v>
      </c>
      <c r="GH116">
        <v>30292.1</v>
      </c>
      <c r="GI116">
        <v>23303.3</v>
      </c>
      <c r="GJ116">
        <v>29860.3</v>
      </c>
      <c r="GK116">
        <v>27833.5</v>
      </c>
      <c r="GL116">
        <v>38398.5</v>
      </c>
      <c r="GM116">
        <v>32898.400000000001</v>
      </c>
      <c r="GN116">
        <v>44307.8</v>
      </c>
      <c r="GO116">
        <v>1.96485</v>
      </c>
      <c r="GP116">
        <v>1.83508</v>
      </c>
      <c r="GQ116">
        <v>4.51878E-2</v>
      </c>
      <c r="GR116">
        <v>0</v>
      </c>
      <c r="GS116">
        <v>26.801100000000002</v>
      </c>
      <c r="GT116">
        <v>999.9</v>
      </c>
      <c r="GU116">
        <v>47.8</v>
      </c>
      <c r="GV116">
        <v>35.200000000000003</v>
      </c>
      <c r="GW116">
        <v>27.427600000000002</v>
      </c>
      <c r="GX116">
        <v>61.427900000000001</v>
      </c>
      <c r="GY116">
        <v>36.4343</v>
      </c>
      <c r="GZ116">
        <v>1</v>
      </c>
      <c r="HA116">
        <v>0.36970999999999998</v>
      </c>
      <c r="HB116">
        <v>2.4258799999999998</v>
      </c>
      <c r="HC116">
        <v>20.255500000000001</v>
      </c>
      <c r="HD116">
        <v>5.2107000000000001</v>
      </c>
      <c r="HE116">
        <v>11.872199999999999</v>
      </c>
      <c r="HF116">
        <v>4.9855499999999999</v>
      </c>
      <c r="HG116">
        <v>3.2839999999999998</v>
      </c>
      <c r="HH116">
        <v>9999</v>
      </c>
      <c r="HI116">
        <v>9999</v>
      </c>
      <c r="HJ116">
        <v>9999</v>
      </c>
      <c r="HK116">
        <v>999.9</v>
      </c>
      <c r="HL116">
        <v>1.85459</v>
      </c>
      <c r="HM116">
        <v>1.86066</v>
      </c>
      <c r="HN116">
        <v>1.85806</v>
      </c>
      <c r="HO116">
        <v>1.85928</v>
      </c>
      <c r="HP116">
        <v>1.85866</v>
      </c>
      <c r="HQ116">
        <v>1.8591899999999999</v>
      </c>
      <c r="HR116">
        <v>1.85758</v>
      </c>
      <c r="HS116">
        <v>1.86087</v>
      </c>
      <c r="HT116">
        <v>5</v>
      </c>
      <c r="HU116">
        <v>0</v>
      </c>
      <c r="HV116">
        <v>0</v>
      </c>
      <c r="HW116">
        <v>0</v>
      </c>
      <c r="HX116" t="s">
        <v>421</v>
      </c>
      <c r="HY116" t="s">
        <v>422</v>
      </c>
      <c r="HZ116" t="s">
        <v>423</v>
      </c>
      <c r="IA116" t="s">
        <v>423</v>
      </c>
      <c r="IB116" t="s">
        <v>423</v>
      </c>
      <c r="IC116" t="s">
        <v>423</v>
      </c>
      <c r="ID116">
        <v>0</v>
      </c>
      <c r="IE116">
        <v>100</v>
      </c>
      <c r="IF116">
        <v>100</v>
      </c>
      <c r="IG116">
        <v>1.2709999999999999</v>
      </c>
      <c r="IH116">
        <v>0.1045</v>
      </c>
      <c r="II116">
        <v>0.87299001252730091</v>
      </c>
      <c r="IJ116">
        <v>1.6187016317407189E-3</v>
      </c>
      <c r="IK116">
        <v>1.4341569744255341E-7</v>
      </c>
      <c r="IL116">
        <v>-2.4096625942085749E-10</v>
      </c>
      <c r="IM116">
        <v>0.10446041889200371</v>
      </c>
      <c r="IN116">
        <v>0</v>
      </c>
      <c r="IO116">
        <v>0</v>
      </c>
      <c r="IP116">
        <v>0</v>
      </c>
      <c r="IQ116">
        <v>4</v>
      </c>
      <c r="IR116">
        <v>2205</v>
      </c>
      <c r="IS116">
        <v>1</v>
      </c>
      <c r="IT116">
        <v>21</v>
      </c>
      <c r="IU116">
        <v>0.7</v>
      </c>
      <c r="IV116">
        <v>0.6</v>
      </c>
      <c r="IW116">
        <v>0.78369100000000003</v>
      </c>
      <c r="IX116">
        <v>2.4584999999999999</v>
      </c>
      <c r="IY116">
        <v>1.49414</v>
      </c>
      <c r="IZ116">
        <v>2.3034699999999999</v>
      </c>
      <c r="JA116">
        <v>1.69434</v>
      </c>
      <c r="JB116">
        <v>2.34985</v>
      </c>
      <c r="JC116">
        <v>39.341799999999999</v>
      </c>
      <c r="JD116">
        <v>23.9999</v>
      </c>
      <c r="JE116">
        <v>18</v>
      </c>
      <c r="JF116">
        <v>510.91199999999998</v>
      </c>
      <c r="JG116">
        <v>449.17200000000003</v>
      </c>
      <c r="JH116">
        <v>24.573499999999999</v>
      </c>
      <c r="JI116">
        <v>31.956499999999998</v>
      </c>
      <c r="JJ116">
        <v>30.0001</v>
      </c>
      <c r="JK116">
        <v>31.8507</v>
      </c>
      <c r="JL116">
        <v>31.815200000000001</v>
      </c>
      <c r="JM116">
        <v>15.7601</v>
      </c>
      <c r="JN116">
        <v>38.783099999999997</v>
      </c>
      <c r="JO116">
        <v>0</v>
      </c>
      <c r="JP116">
        <v>24.575199999999999</v>
      </c>
      <c r="JQ116">
        <v>300</v>
      </c>
      <c r="JR116">
        <v>18.403700000000001</v>
      </c>
      <c r="JS116">
        <v>99.095600000000005</v>
      </c>
      <c r="JT116">
        <v>99.498500000000007</v>
      </c>
    </row>
    <row r="117" spans="1:280" x14ac:dyDescent="0.25">
      <c r="A117">
        <v>101</v>
      </c>
      <c r="B117">
        <v>1674599010.5999999</v>
      </c>
      <c r="C117">
        <v>24958</v>
      </c>
      <c r="D117" t="s">
        <v>930</v>
      </c>
      <c r="E117" t="s">
        <v>931</v>
      </c>
      <c r="F117" t="s">
        <v>412</v>
      </c>
      <c r="G117" t="s">
        <v>921</v>
      </c>
      <c r="H117" t="s">
        <v>636</v>
      </c>
      <c r="I117">
        <v>1674599010.5999999</v>
      </c>
      <c r="J117">
        <f t="shared" si="138"/>
        <v>6.2139026368124043E-3</v>
      </c>
      <c r="K117">
        <f t="shared" si="139"/>
        <v>6.2139026368124046</v>
      </c>
      <c r="L117">
        <f t="shared" si="140"/>
        <v>34.41487283055195</v>
      </c>
      <c r="M117">
        <f t="shared" si="141"/>
        <v>157.51900000000001</v>
      </c>
      <c r="N117">
        <f t="shared" si="142"/>
        <v>47.742072041754696</v>
      </c>
      <c r="O117">
        <f t="shared" si="143"/>
        <v>4.7564457688558477</v>
      </c>
      <c r="P117">
        <f t="shared" si="144"/>
        <v>15.693298363949001</v>
      </c>
      <c r="Q117">
        <f t="shared" si="145"/>
        <v>0.55691738677283464</v>
      </c>
      <c r="R117">
        <f t="shared" si="146"/>
        <v>2.9208167493134809</v>
      </c>
      <c r="S117">
        <f t="shared" si="147"/>
        <v>0.50395146592009588</v>
      </c>
      <c r="T117">
        <f t="shared" si="148"/>
        <v>0.31930761445867883</v>
      </c>
      <c r="U117">
        <f t="shared" si="149"/>
        <v>344.38460126362452</v>
      </c>
      <c r="V117">
        <f t="shared" si="150"/>
        <v>28.406845715143589</v>
      </c>
      <c r="W117">
        <f t="shared" si="151"/>
        <v>27.455100000000002</v>
      </c>
      <c r="X117">
        <f t="shared" si="152"/>
        <v>3.6759510263792849</v>
      </c>
      <c r="Y117">
        <f t="shared" si="153"/>
        <v>65.53053327631774</v>
      </c>
      <c r="Z117">
        <f t="shared" si="154"/>
        <v>2.4854887321167003</v>
      </c>
      <c r="AA117">
        <f t="shared" si="155"/>
        <v>3.7928712126243873</v>
      </c>
      <c r="AB117">
        <f t="shared" si="156"/>
        <v>1.1904622942625847</v>
      </c>
      <c r="AC117">
        <f t="shared" si="157"/>
        <v>-274.03310628342706</v>
      </c>
      <c r="AD117">
        <f t="shared" si="158"/>
        <v>84.402350907697439</v>
      </c>
      <c r="AE117">
        <f t="shared" si="159"/>
        <v>6.2814825079517727</v>
      </c>
      <c r="AF117">
        <f t="shared" si="160"/>
        <v>161.03532839584665</v>
      </c>
      <c r="AG117">
        <v>0</v>
      </c>
      <c r="AH117">
        <v>0</v>
      </c>
      <c r="AI117">
        <f t="shared" si="161"/>
        <v>1</v>
      </c>
      <c r="AJ117">
        <f t="shared" si="162"/>
        <v>0</v>
      </c>
      <c r="AK117">
        <f t="shared" si="163"/>
        <v>52441.668899505887</v>
      </c>
      <c r="AL117" t="s">
        <v>415</v>
      </c>
      <c r="AM117">
        <v>10214.9</v>
      </c>
      <c r="AN117">
        <v>729.4384</v>
      </c>
      <c r="AO117">
        <v>3170.19</v>
      </c>
      <c r="AP117">
        <f t="shared" si="164"/>
        <v>0.76990704027203416</v>
      </c>
      <c r="AQ117">
        <v>-0.45549566560547827</v>
      </c>
      <c r="AR117" t="s">
        <v>932</v>
      </c>
      <c r="AS117">
        <v>10097.4</v>
      </c>
      <c r="AT117">
        <v>796.68276000000003</v>
      </c>
      <c r="AU117">
        <v>1068.332828932668</v>
      </c>
      <c r="AV117">
        <f t="shared" si="165"/>
        <v>0.25427475555914869</v>
      </c>
      <c r="AW117">
        <v>0.5</v>
      </c>
      <c r="AX117">
        <f t="shared" si="166"/>
        <v>1513.2519006318121</v>
      </c>
      <c r="AY117">
        <f t="shared" si="167"/>
        <v>34.41487283055195</v>
      </c>
      <c r="AZ117">
        <f t="shared" si="168"/>
        <v>192.39087856628558</v>
      </c>
      <c r="BA117">
        <f t="shared" si="169"/>
        <v>2.3043333685289519E-2</v>
      </c>
      <c r="BB117">
        <f t="shared" si="170"/>
        <v>1.9674179376919647</v>
      </c>
      <c r="BC117">
        <f t="shared" si="171"/>
        <v>502.12976887176529</v>
      </c>
      <c r="BD117" t="s">
        <v>933</v>
      </c>
      <c r="BE117">
        <v>564.51</v>
      </c>
      <c r="BF117">
        <f t="shared" si="172"/>
        <v>564.51</v>
      </c>
      <c r="BG117">
        <f t="shared" si="173"/>
        <v>0.47159725442118905</v>
      </c>
      <c r="BH117">
        <f t="shared" si="174"/>
        <v>0.53917776911409443</v>
      </c>
      <c r="BI117">
        <f t="shared" si="175"/>
        <v>0.80664439649816244</v>
      </c>
      <c r="BJ117">
        <f t="shared" si="176"/>
        <v>0.80157726342158242</v>
      </c>
      <c r="BK117">
        <f t="shared" si="177"/>
        <v>0.8611516104577509</v>
      </c>
      <c r="BL117">
        <f t="shared" si="178"/>
        <v>0.38204823516276099</v>
      </c>
      <c r="BM117">
        <f t="shared" si="179"/>
        <v>0.61795176483723901</v>
      </c>
      <c r="BN117">
        <v>9258</v>
      </c>
      <c r="BO117">
        <v>290.00000000000011</v>
      </c>
      <c r="BP117">
        <v>993.53</v>
      </c>
      <c r="BQ117">
        <v>205</v>
      </c>
      <c r="BR117">
        <v>10097.4</v>
      </c>
      <c r="BS117">
        <v>992.85</v>
      </c>
      <c r="BT117">
        <v>0.68</v>
      </c>
      <c r="BU117">
        <v>300.00000000000011</v>
      </c>
      <c r="BV117">
        <v>24.2</v>
      </c>
      <c r="BW117">
        <v>1068.332828932668</v>
      </c>
      <c r="BX117">
        <v>2.1483130580615462</v>
      </c>
      <c r="BY117">
        <v>-76.217915073323553</v>
      </c>
      <c r="BZ117">
        <v>1.930086038274663</v>
      </c>
      <c r="CA117">
        <v>0.98236122371670465</v>
      </c>
      <c r="CB117">
        <v>-6.8969957730812123E-3</v>
      </c>
      <c r="CC117">
        <v>289.99999999999989</v>
      </c>
      <c r="CD117">
        <v>991.33</v>
      </c>
      <c r="CE117">
        <v>635</v>
      </c>
      <c r="CF117">
        <v>10072.4</v>
      </c>
      <c r="CG117">
        <v>992.66</v>
      </c>
      <c r="CH117">
        <v>-1.33</v>
      </c>
      <c r="CV117">
        <f t="shared" si="180"/>
        <v>1800.08</v>
      </c>
      <c r="CW117">
        <f t="shared" si="181"/>
        <v>1513.2519006318121</v>
      </c>
      <c r="CX117">
        <f t="shared" si="182"/>
        <v>0.84065813776710596</v>
      </c>
      <c r="CY117">
        <f t="shared" si="183"/>
        <v>0.1913162755342121</v>
      </c>
      <c r="CZ117">
        <v>6</v>
      </c>
      <c r="DA117">
        <v>0.5</v>
      </c>
      <c r="DB117" t="s">
        <v>418</v>
      </c>
      <c r="DC117">
        <v>2</v>
      </c>
      <c r="DD117">
        <v>1674599010.5999999</v>
      </c>
      <c r="DE117">
        <v>157.51900000000001</v>
      </c>
      <c r="DF117">
        <v>199.98699999999999</v>
      </c>
      <c r="DG117">
        <v>24.947700000000001</v>
      </c>
      <c r="DH117">
        <v>17.677800000000001</v>
      </c>
      <c r="DI117">
        <v>156.40799999999999</v>
      </c>
      <c r="DJ117">
        <v>24.8398</v>
      </c>
      <c r="DK117">
        <v>500.05200000000002</v>
      </c>
      <c r="DL117">
        <v>99.527900000000002</v>
      </c>
      <c r="DM117">
        <v>0.10007099999999999</v>
      </c>
      <c r="DN117">
        <v>27.991099999999999</v>
      </c>
      <c r="DO117">
        <v>27.455100000000002</v>
      </c>
      <c r="DP117">
        <v>999.9</v>
      </c>
      <c r="DQ117">
        <v>0</v>
      </c>
      <c r="DR117">
        <v>0</v>
      </c>
      <c r="DS117">
        <v>9997.5</v>
      </c>
      <c r="DT117">
        <v>0</v>
      </c>
      <c r="DU117">
        <v>183.429</v>
      </c>
      <c r="DV117">
        <v>-42.468200000000003</v>
      </c>
      <c r="DW117">
        <v>161.54900000000001</v>
      </c>
      <c r="DX117">
        <v>203.58600000000001</v>
      </c>
      <c r="DY117">
        <v>7.2698400000000003</v>
      </c>
      <c r="DZ117">
        <v>199.98699999999999</v>
      </c>
      <c r="EA117">
        <v>17.677800000000001</v>
      </c>
      <c r="EB117">
        <v>2.48299</v>
      </c>
      <c r="EC117">
        <v>1.7594399999999999</v>
      </c>
      <c r="ED117">
        <v>20.915400000000002</v>
      </c>
      <c r="EE117">
        <v>15.430999999999999</v>
      </c>
      <c r="EF117">
        <v>1800.08</v>
      </c>
      <c r="EG117">
        <v>0.97799899999999995</v>
      </c>
      <c r="EH117">
        <v>2.2001099999999999E-2</v>
      </c>
      <c r="EI117">
        <v>0</v>
      </c>
      <c r="EJ117">
        <v>796.17499999999995</v>
      </c>
      <c r="EK117">
        <v>4.9990399999999999</v>
      </c>
      <c r="EL117">
        <v>14749.1</v>
      </c>
      <c r="EM117">
        <v>14821.4</v>
      </c>
      <c r="EN117">
        <v>48.875</v>
      </c>
      <c r="EO117">
        <v>50.311999999999998</v>
      </c>
      <c r="EP117">
        <v>49.875</v>
      </c>
      <c r="EQ117">
        <v>48.75</v>
      </c>
      <c r="ER117">
        <v>49.75</v>
      </c>
      <c r="ES117">
        <v>1755.59</v>
      </c>
      <c r="ET117">
        <v>39.49</v>
      </c>
      <c r="EU117">
        <v>0</v>
      </c>
      <c r="EV117">
        <v>141.80000019073489</v>
      </c>
      <c r="EW117">
        <v>0</v>
      </c>
      <c r="EX117">
        <v>796.68276000000003</v>
      </c>
      <c r="EY117">
        <v>-2.731384598751446</v>
      </c>
      <c r="EZ117">
        <v>-60.661538330455798</v>
      </c>
      <c r="FA117">
        <v>14754.736000000001</v>
      </c>
      <c r="FB117">
        <v>15</v>
      </c>
      <c r="FC117">
        <v>1674598961.5999999</v>
      </c>
      <c r="FD117" t="s">
        <v>934</v>
      </c>
      <c r="FE117">
        <v>1674598948.0999999</v>
      </c>
      <c r="FF117">
        <v>1674598961.5999999</v>
      </c>
      <c r="FG117">
        <v>114</v>
      </c>
      <c r="FH117">
        <v>-1.7999999999999999E-2</v>
      </c>
      <c r="FI117">
        <v>3.0000000000000001E-3</v>
      </c>
      <c r="FJ117">
        <v>1.181</v>
      </c>
      <c r="FK117">
        <v>6.5000000000000002E-2</v>
      </c>
      <c r="FL117">
        <v>200</v>
      </c>
      <c r="FM117">
        <v>18</v>
      </c>
      <c r="FN117">
        <v>0.09</v>
      </c>
      <c r="FO117">
        <v>0.02</v>
      </c>
      <c r="FP117">
        <v>34.259879989443711</v>
      </c>
      <c r="FQ117">
        <v>0.66557037762107962</v>
      </c>
      <c r="FR117">
        <v>6.7669144789317542E-2</v>
      </c>
      <c r="FS117">
        <v>1</v>
      </c>
      <c r="FT117">
        <v>0.55601776158881899</v>
      </c>
      <c r="FU117">
        <v>1.9746255711275341E-2</v>
      </c>
      <c r="FV117">
        <v>2.775273532527735E-3</v>
      </c>
      <c r="FW117">
        <v>1</v>
      </c>
      <c r="FX117">
        <v>2</v>
      </c>
      <c r="FY117">
        <v>2</v>
      </c>
      <c r="FZ117" t="s">
        <v>420</v>
      </c>
      <c r="GA117">
        <v>2.9328400000000001</v>
      </c>
      <c r="GB117">
        <v>2.8334999999999999</v>
      </c>
      <c r="GC117">
        <v>4.1031999999999999E-2</v>
      </c>
      <c r="GD117">
        <v>4.9996400000000003E-2</v>
      </c>
      <c r="GE117">
        <v>0.122359</v>
      </c>
      <c r="GF117">
        <v>9.2835000000000001E-2</v>
      </c>
      <c r="GG117">
        <v>24835.9</v>
      </c>
      <c r="GH117">
        <v>30959.1</v>
      </c>
      <c r="GI117">
        <v>23303.3</v>
      </c>
      <c r="GJ117">
        <v>29859.3</v>
      </c>
      <c r="GK117">
        <v>27831.1</v>
      </c>
      <c r="GL117">
        <v>38524.199999999997</v>
      </c>
      <c r="GM117">
        <v>32898.699999999997</v>
      </c>
      <c r="GN117">
        <v>44306</v>
      </c>
      <c r="GO117">
        <v>1.9654199999999999</v>
      </c>
      <c r="GP117">
        <v>1.8331200000000001</v>
      </c>
      <c r="GQ117">
        <v>4.4479999999999999E-2</v>
      </c>
      <c r="GR117">
        <v>0</v>
      </c>
      <c r="GS117">
        <v>26.727799999999998</v>
      </c>
      <c r="GT117">
        <v>999.9</v>
      </c>
      <c r="GU117">
        <v>47.9</v>
      </c>
      <c r="GV117">
        <v>35.200000000000003</v>
      </c>
      <c r="GW117">
        <v>27.488</v>
      </c>
      <c r="GX117">
        <v>61.2879</v>
      </c>
      <c r="GY117">
        <v>36.442300000000003</v>
      </c>
      <c r="GZ117">
        <v>1</v>
      </c>
      <c r="HA117">
        <v>0.37119400000000002</v>
      </c>
      <c r="HB117">
        <v>2.27095</v>
      </c>
      <c r="HC117">
        <v>20.2575</v>
      </c>
      <c r="HD117">
        <v>5.2105499999999996</v>
      </c>
      <c r="HE117">
        <v>11.872199999999999</v>
      </c>
      <c r="HF117">
        <v>4.9852499999999997</v>
      </c>
      <c r="HG117">
        <v>3.2839999999999998</v>
      </c>
      <c r="HH117">
        <v>9999</v>
      </c>
      <c r="HI117">
        <v>9999</v>
      </c>
      <c r="HJ117">
        <v>9999</v>
      </c>
      <c r="HK117">
        <v>999.9</v>
      </c>
      <c r="HL117">
        <v>1.8546100000000001</v>
      </c>
      <c r="HM117">
        <v>1.86069</v>
      </c>
      <c r="HN117">
        <v>1.8580700000000001</v>
      </c>
      <c r="HO117">
        <v>1.8593</v>
      </c>
      <c r="HP117">
        <v>1.85867</v>
      </c>
      <c r="HQ117">
        <v>1.8592200000000001</v>
      </c>
      <c r="HR117">
        <v>1.8575999999999999</v>
      </c>
      <c r="HS117">
        <v>1.8609199999999999</v>
      </c>
      <c r="HT117">
        <v>5</v>
      </c>
      <c r="HU117">
        <v>0</v>
      </c>
      <c r="HV117">
        <v>0</v>
      </c>
      <c r="HW117">
        <v>0</v>
      </c>
      <c r="HX117" t="s">
        <v>421</v>
      </c>
      <c r="HY117" t="s">
        <v>422</v>
      </c>
      <c r="HZ117" t="s">
        <v>423</v>
      </c>
      <c r="IA117" t="s">
        <v>423</v>
      </c>
      <c r="IB117" t="s">
        <v>423</v>
      </c>
      <c r="IC117" t="s">
        <v>423</v>
      </c>
      <c r="ID117">
        <v>0</v>
      </c>
      <c r="IE117">
        <v>100</v>
      </c>
      <c r="IF117">
        <v>100</v>
      </c>
      <c r="IG117">
        <v>1.111</v>
      </c>
      <c r="IH117">
        <v>0.1079</v>
      </c>
      <c r="II117">
        <v>0.85513192756678968</v>
      </c>
      <c r="IJ117">
        <v>1.6187016317407189E-3</v>
      </c>
      <c r="IK117">
        <v>1.4341569744255341E-7</v>
      </c>
      <c r="IL117">
        <v>-2.4096625942085749E-10</v>
      </c>
      <c r="IM117">
        <v>0.1079002703750276</v>
      </c>
      <c r="IN117">
        <v>0</v>
      </c>
      <c r="IO117">
        <v>0</v>
      </c>
      <c r="IP117">
        <v>0</v>
      </c>
      <c r="IQ117">
        <v>4</v>
      </c>
      <c r="IR117">
        <v>2205</v>
      </c>
      <c r="IS117">
        <v>1</v>
      </c>
      <c r="IT117">
        <v>21</v>
      </c>
      <c r="IU117">
        <v>1</v>
      </c>
      <c r="IV117">
        <v>0.8</v>
      </c>
      <c r="IW117">
        <v>0.57128900000000005</v>
      </c>
      <c r="IX117">
        <v>2.4670399999999999</v>
      </c>
      <c r="IY117">
        <v>1.49414</v>
      </c>
      <c r="IZ117">
        <v>2.3034699999999999</v>
      </c>
      <c r="JA117">
        <v>1.69434</v>
      </c>
      <c r="JB117">
        <v>2.3901400000000002</v>
      </c>
      <c r="JC117">
        <v>39.366700000000002</v>
      </c>
      <c r="JD117">
        <v>23.9999</v>
      </c>
      <c r="JE117">
        <v>18</v>
      </c>
      <c r="JF117">
        <v>511.59300000000002</v>
      </c>
      <c r="JG117">
        <v>448.10899999999998</v>
      </c>
      <c r="JH117">
        <v>24.648099999999999</v>
      </c>
      <c r="JI117">
        <v>31.9846</v>
      </c>
      <c r="JJ117">
        <v>30</v>
      </c>
      <c r="JK117">
        <v>31.8872</v>
      </c>
      <c r="JL117">
        <v>31.851600000000001</v>
      </c>
      <c r="JM117">
        <v>11.5121</v>
      </c>
      <c r="JN117">
        <v>42.796300000000002</v>
      </c>
      <c r="JO117">
        <v>0</v>
      </c>
      <c r="JP117">
        <v>24.6523</v>
      </c>
      <c r="JQ117">
        <v>200</v>
      </c>
      <c r="JR117">
        <v>17.564</v>
      </c>
      <c r="JS117">
        <v>99.096299999999999</v>
      </c>
      <c r="JT117">
        <v>99.494699999999995</v>
      </c>
    </row>
    <row r="118" spans="1:280" x14ac:dyDescent="0.25">
      <c r="A118">
        <v>102</v>
      </c>
      <c r="B118">
        <v>1674599131.5999999</v>
      </c>
      <c r="C118">
        <v>25079</v>
      </c>
      <c r="D118" t="s">
        <v>935</v>
      </c>
      <c r="E118" t="s">
        <v>936</v>
      </c>
      <c r="F118" t="s">
        <v>412</v>
      </c>
      <c r="G118" t="s">
        <v>921</v>
      </c>
      <c r="H118" t="s">
        <v>636</v>
      </c>
      <c r="I118">
        <v>1674599131.5999999</v>
      </c>
      <c r="J118">
        <f t="shared" si="138"/>
        <v>6.5650891715303E-3</v>
      </c>
      <c r="K118">
        <f t="shared" si="139"/>
        <v>6.5650891715302997</v>
      </c>
      <c r="L118">
        <f t="shared" si="140"/>
        <v>21.865866882673153</v>
      </c>
      <c r="M118">
        <f t="shared" si="141"/>
        <v>93.004199999999997</v>
      </c>
      <c r="N118">
        <f t="shared" si="142"/>
        <v>27.248505467534315</v>
      </c>
      <c r="O118">
        <f t="shared" si="143"/>
        <v>2.7147270811826627</v>
      </c>
      <c r="P118">
        <f t="shared" si="144"/>
        <v>9.2658667355004596</v>
      </c>
      <c r="Q118">
        <f t="shared" si="145"/>
        <v>0.59368729417805033</v>
      </c>
      <c r="R118">
        <f t="shared" si="146"/>
        <v>2.9188574728888872</v>
      </c>
      <c r="S118">
        <f t="shared" si="147"/>
        <v>0.53386187226147153</v>
      </c>
      <c r="T118">
        <f t="shared" si="148"/>
        <v>0.33853496504304204</v>
      </c>
      <c r="U118">
        <f t="shared" si="149"/>
        <v>344.39848809838492</v>
      </c>
      <c r="V118">
        <f t="shared" si="150"/>
        <v>28.318506554479086</v>
      </c>
      <c r="W118">
        <f t="shared" si="151"/>
        <v>27.4605</v>
      </c>
      <c r="X118">
        <f t="shared" si="152"/>
        <v>3.677113084329759</v>
      </c>
      <c r="Y118">
        <f t="shared" si="153"/>
        <v>65.634818623436175</v>
      </c>
      <c r="Z118">
        <f t="shared" si="154"/>
        <v>2.48986506545145</v>
      </c>
      <c r="AA118">
        <f t="shared" si="155"/>
        <v>3.79351252532051</v>
      </c>
      <c r="AB118">
        <f t="shared" si="156"/>
        <v>1.187248018878309</v>
      </c>
      <c r="AC118">
        <f t="shared" si="157"/>
        <v>-289.52043246448625</v>
      </c>
      <c r="AD118">
        <f t="shared" si="158"/>
        <v>83.952330415818793</v>
      </c>
      <c r="AE118">
        <f t="shared" si="159"/>
        <v>6.2524433474792742</v>
      </c>
      <c r="AF118">
        <f t="shared" si="160"/>
        <v>145.08282939719675</v>
      </c>
      <c r="AG118">
        <v>0</v>
      </c>
      <c r="AH118">
        <v>0</v>
      </c>
      <c r="AI118">
        <f t="shared" si="161"/>
        <v>1</v>
      </c>
      <c r="AJ118">
        <f t="shared" si="162"/>
        <v>0</v>
      </c>
      <c r="AK118">
        <f t="shared" si="163"/>
        <v>52384.920100613803</v>
      </c>
      <c r="AL118" t="s">
        <v>415</v>
      </c>
      <c r="AM118">
        <v>10214.9</v>
      </c>
      <c r="AN118">
        <v>729.4384</v>
      </c>
      <c r="AO118">
        <v>3170.19</v>
      </c>
      <c r="AP118">
        <f t="shared" si="164"/>
        <v>0.76990704027203416</v>
      </c>
      <c r="AQ118">
        <v>-0.45549566560547827</v>
      </c>
      <c r="AR118" t="s">
        <v>937</v>
      </c>
      <c r="AS118">
        <v>10095.9</v>
      </c>
      <c r="AT118">
        <v>822.55503846153863</v>
      </c>
      <c r="AU118">
        <v>1000.61375096594</v>
      </c>
      <c r="AV118">
        <f t="shared" si="165"/>
        <v>0.17794949582944752</v>
      </c>
      <c r="AW118">
        <v>0.5</v>
      </c>
      <c r="AX118">
        <f t="shared" si="166"/>
        <v>1513.3109940491925</v>
      </c>
      <c r="AY118">
        <f t="shared" si="167"/>
        <v>21.865866882673153</v>
      </c>
      <c r="AZ118">
        <f t="shared" si="168"/>
        <v>134.64646421210693</v>
      </c>
      <c r="BA118">
        <f t="shared" si="169"/>
        <v>1.4750016775172547E-2</v>
      </c>
      <c r="BB118">
        <f t="shared" si="170"/>
        <v>2.1682454862724656</v>
      </c>
      <c r="BC118">
        <f t="shared" si="171"/>
        <v>486.64978511443292</v>
      </c>
      <c r="BD118" t="s">
        <v>938</v>
      </c>
      <c r="BE118">
        <v>566.88</v>
      </c>
      <c r="BF118">
        <f t="shared" si="172"/>
        <v>566.88</v>
      </c>
      <c r="BG118">
        <f t="shared" si="173"/>
        <v>0.43346770974038307</v>
      </c>
      <c r="BH118">
        <f t="shared" si="174"/>
        <v>0.41052537900926195</v>
      </c>
      <c r="BI118">
        <f t="shared" si="175"/>
        <v>0.83339143207457445</v>
      </c>
      <c r="BJ118">
        <f t="shared" si="176"/>
        <v>0.65661835365990096</v>
      </c>
      <c r="BK118">
        <f t="shared" si="177"/>
        <v>0.88889678451263143</v>
      </c>
      <c r="BL118">
        <f t="shared" si="178"/>
        <v>0.28292164775749767</v>
      </c>
      <c r="BM118">
        <f t="shared" si="179"/>
        <v>0.71707835224250238</v>
      </c>
      <c r="BN118">
        <v>9260</v>
      </c>
      <c r="BO118">
        <v>290.00000000000011</v>
      </c>
      <c r="BP118">
        <v>964.03</v>
      </c>
      <c r="BQ118">
        <v>215</v>
      </c>
      <c r="BR118">
        <v>10095.9</v>
      </c>
      <c r="BS118">
        <v>963.77</v>
      </c>
      <c r="BT118">
        <v>0.26</v>
      </c>
      <c r="BU118">
        <v>300.00000000000011</v>
      </c>
      <c r="BV118">
        <v>24.2</v>
      </c>
      <c r="BW118">
        <v>1000.61375096594</v>
      </c>
      <c r="BX118">
        <v>2.024407501594657</v>
      </c>
      <c r="BY118">
        <v>-37.198091315990048</v>
      </c>
      <c r="BZ118">
        <v>1.8187456062010201</v>
      </c>
      <c r="CA118">
        <v>0.93726322223848868</v>
      </c>
      <c r="CB118">
        <v>-6.8966580645161441E-3</v>
      </c>
      <c r="CC118">
        <v>289.99999999999989</v>
      </c>
      <c r="CD118">
        <v>965.29</v>
      </c>
      <c r="CE118">
        <v>695</v>
      </c>
      <c r="CF118">
        <v>10068.700000000001</v>
      </c>
      <c r="CG118">
        <v>963.67</v>
      </c>
      <c r="CH118">
        <v>1.62</v>
      </c>
      <c r="CV118">
        <f t="shared" si="180"/>
        <v>1800.15</v>
      </c>
      <c r="CW118">
        <f t="shared" si="181"/>
        <v>1513.3109940491925</v>
      </c>
      <c r="CX118">
        <f t="shared" si="182"/>
        <v>0.84065827517106484</v>
      </c>
      <c r="CY118">
        <f t="shared" si="183"/>
        <v>0.19131655034212977</v>
      </c>
      <c r="CZ118">
        <v>6</v>
      </c>
      <c r="DA118">
        <v>0.5</v>
      </c>
      <c r="DB118" t="s">
        <v>418</v>
      </c>
      <c r="DC118">
        <v>2</v>
      </c>
      <c r="DD118">
        <v>1674599131.5999999</v>
      </c>
      <c r="DE118">
        <v>93.004199999999997</v>
      </c>
      <c r="DF118">
        <v>119.97199999999999</v>
      </c>
      <c r="DG118">
        <v>24.991499999999998</v>
      </c>
      <c r="DH118">
        <v>17.311399999999999</v>
      </c>
      <c r="DI118">
        <v>92.090800000000002</v>
      </c>
      <c r="DJ118">
        <v>24.888100000000001</v>
      </c>
      <c r="DK118">
        <v>500.07299999999998</v>
      </c>
      <c r="DL118">
        <v>99.528599999999997</v>
      </c>
      <c r="DM118">
        <v>9.9876300000000001E-2</v>
      </c>
      <c r="DN118">
        <v>27.994</v>
      </c>
      <c r="DO118">
        <v>27.4605</v>
      </c>
      <c r="DP118">
        <v>999.9</v>
      </c>
      <c r="DQ118">
        <v>0</v>
      </c>
      <c r="DR118">
        <v>0</v>
      </c>
      <c r="DS118">
        <v>9986.25</v>
      </c>
      <c r="DT118">
        <v>0</v>
      </c>
      <c r="DU118">
        <v>183.04900000000001</v>
      </c>
      <c r="DV118">
        <v>-26.9678</v>
      </c>
      <c r="DW118">
        <v>95.388099999999994</v>
      </c>
      <c r="DX118">
        <v>122.08499999999999</v>
      </c>
      <c r="DY118">
        <v>7.68004</v>
      </c>
      <c r="DZ118">
        <v>119.97199999999999</v>
      </c>
      <c r="EA118">
        <v>17.311399999999999</v>
      </c>
      <c r="EB118">
        <v>2.4873599999999998</v>
      </c>
      <c r="EC118">
        <v>1.72298</v>
      </c>
      <c r="ED118">
        <v>20.944099999999999</v>
      </c>
      <c r="EE118">
        <v>15.105</v>
      </c>
      <c r="EF118">
        <v>1800.15</v>
      </c>
      <c r="EG118">
        <v>0.97799899999999995</v>
      </c>
      <c r="EH118">
        <v>2.2001099999999999E-2</v>
      </c>
      <c r="EI118">
        <v>0</v>
      </c>
      <c r="EJ118">
        <v>822.11400000000003</v>
      </c>
      <c r="EK118">
        <v>4.9990399999999999</v>
      </c>
      <c r="EL118">
        <v>15210</v>
      </c>
      <c r="EM118">
        <v>14821.9</v>
      </c>
      <c r="EN118">
        <v>48.936999999999998</v>
      </c>
      <c r="EO118">
        <v>50.311999999999998</v>
      </c>
      <c r="EP118">
        <v>49.875</v>
      </c>
      <c r="EQ118">
        <v>48.75</v>
      </c>
      <c r="ER118">
        <v>49.75</v>
      </c>
      <c r="ES118">
        <v>1755.66</v>
      </c>
      <c r="ET118">
        <v>39.5</v>
      </c>
      <c r="EU118">
        <v>0</v>
      </c>
      <c r="EV118">
        <v>118.7999999523163</v>
      </c>
      <c r="EW118">
        <v>0</v>
      </c>
      <c r="EX118">
        <v>822.55503846153863</v>
      </c>
      <c r="EY118">
        <v>-4.9573675256198033</v>
      </c>
      <c r="EZ118">
        <v>-69.641025718316328</v>
      </c>
      <c r="FA118">
        <v>15216.99230769231</v>
      </c>
      <c r="FB118">
        <v>15</v>
      </c>
      <c r="FC118">
        <v>1674599096.0999999</v>
      </c>
      <c r="FD118" t="s">
        <v>939</v>
      </c>
      <c r="FE118">
        <v>1674599082.0999999</v>
      </c>
      <c r="FF118">
        <v>1674599096.0999999</v>
      </c>
      <c r="FG118">
        <v>115</v>
      </c>
      <c r="FH118">
        <v>-9.1999999999999998E-2</v>
      </c>
      <c r="FI118">
        <v>-5.0000000000000001E-3</v>
      </c>
      <c r="FJ118">
        <v>0.95799999999999996</v>
      </c>
      <c r="FK118">
        <v>4.4999999999999998E-2</v>
      </c>
      <c r="FL118">
        <v>120</v>
      </c>
      <c r="FM118">
        <v>17</v>
      </c>
      <c r="FN118">
        <v>0.08</v>
      </c>
      <c r="FO118">
        <v>0.01</v>
      </c>
      <c r="FP118">
        <v>21.826441739918039</v>
      </c>
      <c r="FQ118">
        <v>-2.099645845515604E-2</v>
      </c>
      <c r="FR118">
        <v>4.4212422140542308E-2</v>
      </c>
      <c r="FS118">
        <v>1</v>
      </c>
      <c r="FT118">
        <v>0.59613979336499323</v>
      </c>
      <c r="FU118">
        <v>2.7459305148461361E-2</v>
      </c>
      <c r="FV118">
        <v>5.8743665667025744E-3</v>
      </c>
      <c r="FW118">
        <v>1</v>
      </c>
      <c r="FX118">
        <v>2</v>
      </c>
      <c r="FY118">
        <v>2</v>
      </c>
      <c r="FZ118" t="s">
        <v>420</v>
      </c>
      <c r="GA118">
        <v>2.9329000000000001</v>
      </c>
      <c r="GB118">
        <v>2.8332099999999998</v>
      </c>
      <c r="GC118">
        <v>2.5030299999999998E-2</v>
      </c>
      <c r="GD118">
        <v>3.14153E-2</v>
      </c>
      <c r="GE118">
        <v>0.12252399999999999</v>
      </c>
      <c r="GF118">
        <v>9.1458800000000007E-2</v>
      </c>
      <c r="GG118">
        <v>25251.8</v>
      </c>
      <c r="GH118">
        <v>31565</v>
      </c>
      <c r="GI118">
        <v>23305.1</v>
      </c>
      <c r="GJ118">
        <v>29860.2</v>
      </c>
      <c r="GK118">
        <v>27827.4</v>
      </c>
      <c r="GL118">
        <v>38584.6</v>
      </c>
      <c r="GM118">
        <v>32901.1</v>
      </c>
      <c r="GN118">
        <v>44308.1</v>
      </c>
      <c r="GO118">
        <v>1.9653499999999999</v>
      </c>
      <c r="GP118">
        <v>1.8320700000000001</v>
      </c>
      <c r="GQ118">
        <v>4.7199400000000002E-2</v>
      </c>
      <c r="GR118">
        <v>0</v>
      </c>
      <c r="GS118">
        <v>26.688800000000001</v>
      </c>
      <c r="GT118">
        <v>999.9</v>
      </c>
      <c r="GU118">
        <v>47.9</v>
      </c>
      <c r="GV118">
        <v>35.200000000000003</v>
      </c>
      <c r="GW118">
        <v>27.486799999999999</v>
      </c>
      <c r="GX118">
        <v>61.487900000000003</v>
      </c>
      <c r="GY118">
        <v>35.945500000000003</v>
      </c>
      <c r="GZ118">
        <v>1</v>
      </c>
      <c r="HA118">
        <v>0.37056899999999998</v>
      </c>
      <c r="HB118">
        <v>2.3250299999999999</v>
      </c>
      <c r="HC118">
        <v>20.256399999999999</v>
      </c>
      <c r="HD118">
        <v>5.2092000000000001</v>
      </c>
      <c r="HE118">
        <v>11.872199999999999</v>
      </c>
      <c r="HF118">
        <v>4.9845499999999996</v>
      </c>
      <c r="HG118">
        <v>3.2836699999999999</v>
      </c>
      <c r="HH118">
        <v>9999</v>
      </c>
      <c r="HI118">
        <v>9999</v>
      </c>
      <c r="HJ118">
        <v>9999</v>
      </c>
      <c r="HK118">
        <v>999.9</v>
      </c>
      <c r="HL118">
        <v>1.8545700000000001</v>
      </c>
      <c r="HM118">
        <v>1.86066</v>
      </c>
      <c r="HN118">
        <v>1.85806</v>
      </c>
      <c r="HO118">
        <v>1.85928</v>
      </c>
      <c r="HP118">
        <v>1.85867</v>
      </c>
      <c r="HQ118">
        <v>1.85921</v>
      </c>
      <c r="HR118">
        <v>1.85758</v>
      </c>
      <c r="HS118">
        <v>1.8608899999999999</v>
      </c>
      <c r="HT118">
        <v>5</v>
      </c>
      <c r="HU118">
        <v>0</v>
      </c>
      <c r="HV118">
        <v>0</v>
      </c>
      <c r="HW118">
        <v>0</v>
      </c>
      <c r="HX118" t="s">
        <v>421</v>
      </c>
      <c r="HY118" t="s">
        <v>422</v>
      </c>
      <c r="HZ118" t="s">
        <v>423</v>
      </c>
      <c r="IA118" t="s">
        <v>423</v>
      </c>
      <c r="IB118" t="s">
        <v>423</v>
      </c>
      <c r="IC118" t="s">
        <v>423</v>
      </c>
      <c r="ID118">
        <v>0</v>
      </c>
      <c r="IE118">
        <v>100</v>
      </c>
      <c r="IF118">
        <v>100</v>
      </c>
      <c r="IG118">
        <v>0.91300000000000003</v>
      </c>
      <c r="IH118">
        <v>0.10340000000000001</v>
      </c>
      <c r="II118">
        <v>0.76334008741595438</v>
      </c>
      <c r="IJ118">
        <v>1.6187016317407189E-3</v>
      </c>
      <c r="IK118">
        <v>1.4341569744255341E-7</v>
      </c>
      <c r="IL118">
        <v>-2.4096625942085749E-10</v>
      </c>
      <c r="IM118">
        <v>0.1033453110377086</v>
      </c>
      <c r="IN118">
        <v>0</v>
      </c>
      <c r="IO118">
        <v>0</v>
      </c>
      <c r="IP118">
        <v>0</v>
      </c>
      <c r="IQ118">
        <v>4</v>
      </c>
      <c r="IR118">
        <v>2205</v>
      </c>
      <c r="IS118">
        <v>1</v>
      </c>
      <c r="IT118">
        <v>21</v>
      </c>
      <c r="IU118">
        <v>0.8</v>
      </c>
      <c r="IV118">
        <v>0.6</v>
      </c>
      <c r="IW118">
        <v>0.396729</v>
      </c>
      <c r="IX118">
        <v>2.47803</v>
      </c>
      <c r="IY118">
        <v>1.49414</v>
      </c>
      <c r="IZ118">
        <v>2.3034699999999999</v>
      </c>
      <c r="JA118">
        <v>1.69434</v>
      </c>
      <c r="JB118">
        <v>2.3303199999999999</v>
      </c>
      <c r="JC118">
        <v>39.416600000000003</v>
      </c>
      <c r="JD118">
        <v>23.9999</v>
      </c>
      <c r="JE118">
        <v>18</v>
      </c>
      <c r="JF118">
        <v>511.59100000000001</v>
      </c>
      <c r="JG118">
        <v>447.44600000000003</v>
      </c>
      <c r="JH118">
        <v>24.638400000000001</v>
      </c>
      <c r="JI118">
        <v>31.976099999999999</v>
      </c>
      <c r="JJ118">
        <v>29.9999</v>
      </c>
      <c r="JK118">
        <v>31.892800000000001</v>
      </c>
      <c r="JL118">
        <v>31.860099999999999</v>
      </c>
      <c r="JM118">
        <v>8.0240399999999994</v>
      </c>
      <c r="JN118">
        <v>43.910800000000002</v>
      </c>
      <c r="JO118">
        <v>0</v>
      </c>
      <c r="JP118">
        <v>24.638999999999999</v>
      </c>
      <c r="JQ118">
        <v>120</v>
      </c>
      <c r="JR118">
        <v>17.186900000000001</v>
      </c>
      <c r="JS118">
        <v>99.103499999999997</v>
      </c>
      <c r="JT118">
        <v>99.498599999999996</v>
      </c>
    </row>
    <row r="119" spans="1:280" x14ac:dyDescent="0.25">
      <c r="A119">
        <v>103</v>
      </c>
      <c r="B119">
        <v>1674599265.5</v>
      </c>
      <c r="C119">
        <v>25212.900000095371</v>
      </c>
      <c r="D119" t="s">
        <v>940</v>
      </c>
      <c r="E119" t="s">
        <v>941</v>
      </c>
      <c r="F119" t="s">
        <v>412</v>
      </c>
      <c r="G119" t="s">
        <v>921</v>
      </c>
      <c r="H119" t="s">
        <v>636</v>
      </c>
      <c r="I119">
        <v>1674599265.5</v>
      </c>
      <c r="J119">
        <f t="shared" si="138"/>
        <v>6.9272300127407567E-3</v>
      </c>
      <c r="K119">
        <f t="shared" si="139"/>
        <v>6.9272300127407567</v>
      </c>
      <c r="L119">
        <f t="shared" si="140"/>
        <v>13.204293093034153</v>
      </c>
      <c r="M119">
        <f t="shared" si="141"/>
        <v>53.700499999999998</v>
      </c>
      <c r="N119">
        <f t="shared" si="142"/>
        <v>16.175671816918513</v>
      </c>
      <c r="O119">
        <f t="shared" si="143"/>
        <v>1.611551206708062</v>
      </c>
      <c r="P119">
        <f t="shared" si="144"/>
        <v>5.3500779785424992</v>
      </c>
      <c r="Q119">
        <f t="shared" si="145"/>
        <v>0.63188282653462613</v>
      </c>
      <c r="R119">
        <f t="shared" si="146"/>
        <v>2.920820268768074</v>
      </c>
      <c r="S119">
        <f t="shared" si="147"/>
        <v>0.56461804992819986</v>
      </c>
      <c r="T119">
        <f t="shared" si="148"/>
        <v>0.35833121432890075</v>
      </c>
      <c r="U119">
        <f t="shared" si="149"/>
        <v>344.37000126400068</v>
      </c>
      <c r="V119">
        <f t="shared" si="150"/>
        <v>28.219758264686757</v>
      </c>
      <c r="W119">
        <f t="shared" si="151"/>
        <v>27.424199999999999</v>
      </c>
      <c r="X119">
        <f t="shared" si="152"/>
        <v>3.6693076345751927</v>
      </c>
      <c r="Y119">
        <f t="shared" si="153"/>
        <v>65.514846572562107</v>
      </c>
      <c r="Z119">
        <f t="shared" si="154"/>
        <v>2.4847344027084999</v>
      </c>
      <c r="AA119">
        <f t="shared" si="155"/>
        <v>3.7926279808294892</v>
      </c>
      <c r="AB119">
        <f t="shared" si="156"/>
        <v>1.1845732318666928</v>
      </c>
      <c r="AC119">
        <f t="shared" si="157"/>
        <v>-305.49084356186739</v>
      </c>
      <c r="AD119">
        <f t="shared" si="158"/>
        <v>89.094977026214565</v>
      </c>
      <c r="AE119">
        <f t="shared" si="159"/>
        <v>6.6296564801226188</v>
      </c>
      <c r="AF119">
        <f t="shared" si="160"/>
        <v>134.60379120847045</v>
      </c>
      <c r="AG119">
        <v>0</v>
      </c>
      <c r="AH119">
        <v>0</v>
      </c>
      <c r="AI119">
        <f t="shared" si="161"/>
        <v>1</v>
      </c>
      <c r="AJ119">
        <f t="shared" si="162"/>
        <v>0</v>
      </c>
      <c r="AK119">
        <f t="shared" si="163"/>
        <v>52441.965934393978</v>
      </c>
      <c r="AL119" t="s">
        <v>415</v>
      </c>
      <c r="AM119">
        <v>10214.9</v>
      </c>
      <c r="AN119">
        <v>729.4384</v>
      </c>
      <c r="AO119">
        <v>3170.19</v>
      </c>
      <c r="AP119">
        <f t="shared" si="164"/>
        <v>0.76990704027203416</v>
      </c>
      <c r="AQ119">
        <v>-0.45549566560547827</v>
      </c>
      <c r="AR119" t="s">
        <v>942</v>
      </c>
      <c r="AS119">
        <v>10097.6</v>
      </c>
      <c r="AT119">
        <v>842.2106</v>
      </c>
      <c r="AU119">
        <v>965.86227704995736</v>
      </c>
      <c r="AV119">
        <f t="shared" si="165"/>
        <v>0.1280220586185723</v>
      </c>
      <c r="AW119">
        <v>0.5</v>
      </c>
      <c r="AX119">
        <f t="shared" si="166"/>
        <v>1513.1850006320001</v>
      </c>
      <c r="AY119">
        <f t="shared" si="167"/>
        <v>13.204293093034153</v>
      </c>
      <c r="AZ119">
        <f t="shared" si="168"/>
        <v>96.860529425827139</v>
      </c>
      <c r="BA119">
        <f t="shared" si="169"/>
        <v>9.0271769499000159E-3</v>
      </c>
      <c r="BB119">
        <f t="shared" si="170"/>
        <v>2.282238136147881</v>
      </c>
      <c r="BC119">
        <f t="shared" si="171"/>
        <v>478.28045444823573</v>
      </c>
      <c r="BD119" t="s">
        <v>943</v>
      </c>
      <c r="BE119">
        <v>576.51</v>
      </c>
      <c r="BF119">
        <f t="shared" si="172"/>
        <v>576.51</v>
      </c>
      <c r="BG119">
        <f t="shared" si="173"/>
        <v>0.40311365947447486</v>
      </c>
      <c r="BH119">
        <f t="shared" si="174"/>
        <v>0.31758303299736895</v>
      </c>
      <c r="BI119">
        <f t="shared" si="175"/>
        <v>0.84988422741049108</v>
      </c>
      <c r="BJ119">
        <f t="shared" si="176"/>
        <v>0.52300841434822265</v>
      </c>
      <c r="BK119">
        <f t="shared" si="177"/>
        <v>0.90313480607778462</v>
      </c>
      <c r="BL119">
        <f t="shared" si="178"/>
        <v>0.21739193778054228</v>
      </c>
      <c r="BM119">
        <f t="shared" si="179"/>
        <v>0.78260806221945778</v>
      </c>
      <c r="BN119">
        <v>9262</v>
      </c>
      <c r="BO119">
        <v>290.00000000000011</v>
      </c>
      <c r="BP119">
        <v>935.57</v>
      </c>
      <c r="BQ119">
        <v>205</v>
      </c>
      <c r="BR119">
        <v>10097.6</v>
      </c>
      <c r="BS119">
        <v>935.04</v>
      </c>
      <c r="BT119">
        <v>0.53</v>
      </c>
      <c r="BU119">
        <v>300.00000000000011</v>
      </c>
      <c r="BV119">
        <v>24.2</v>
      </c>
      <c r="BW119">
        <v>965.86227704995736</v>
      </c>
      <c r="BX119">
        <v>1.99974852007276</v>
      </c>
      <c r="BY119">
        <v>-31.128094161475371</v>
      </c>
      <c r="BZ119">
        <v>1.7966682390174069</v>
      </c>
      <c r="CA119">
        <v>0.91467872672407635</v>
      </c>
      <c r="CB119">
        <v>-6.8966845383759776E-3</v>
      </c>
      <c r="CC119">
        <v>289.99999999999989</v>
      </c>
      <c r="CD119">
        <v>932.6</v>
      </c>
      <c r="CE119">
        <v>625</v>
      </c>
      <c r="CF119">
        <v>10073.299999999999</v>
      </c>
      <c r="CG119">
        <v>934.96</v>
      </c>
      <c r="CH119">
        <v>-2.36</v>
      </c>
      <c r="CV119">
        <f t="shared" si="180"/>
        <v>1800</v>
      </c>
      <c r="CW119">
        <f t="shared" si="181"/>
        <v>1513.1850006320001</v>
      </c>
      <c r="CX119">
        <f t="shared" si="182"/>
        <v>0.84065833368444454</v>
      </c>
      <c r="CY119">
        <f t="shared" si="183"/>
        <v>0.19131666736888928</v>
      </c>
      <c r="CZ119">
        <v>6</v>
      </c>
      <c r="DA119">
        <v>0.5</v>
      </c>
      <c r="DB119" t="s">
        <v>418</v>
      </c>
      <c r="DC119">
        <v>2</v>
      </c>
      <c r="DD119">
        <v>1674599265.5</v>
      </c>
      <c r="DE119">
        <v>53.700499999999998</v>
      </c>
      <c r="DF119">
        <v>69.985500000000002</v>
      </c>
      <c r="DG119">
        <v>24.940100000000001</v>
      </c>
      <c r="DH119">
        <v>16.838000000000001</v>
      </c>
      <c r="DI119">
        <v>52.847200000000001</v>
      </c>
      <c r="DJ119">
        <v>24.839500000000001</v>
      </c>
      <c r="DK119">
        <v>500.20100000000002</v>
      </c>
      <c r="DL119">
        <v>99.528099999999995</v>
      </c>
      <c r="DM119">
        <v>9.9985000000000004E-2</v>
      </c>
      <c r="DN119">
        <v>27.99</v>
      </c>
      <c r="DO119">
        <v>27.424199999999999</v>
      </c>
      <c r="DP119">
        <v>999.9</v>
      </c>
      <c r="DQ119">
        <v>0</v>
      </c>
      <c r="DR119">
        <v>0</v>
      </c>
      <c r="DS119">
        <v>9997.5</v>
      </c>
      <c r="DT119">
        <v>0</v>
      </c>
      <c r="DU119">
        <v>182.56200000000001</v>
      </c>
      <c r="DV119">
        <v>-16.285</v>
      </c>
      <c r="DW119">
        <v>55.074100000000001</v>
      </c>
      <c r="DX119">
        <v>71.184100000000001</v>
      </c>
      <c r="DY119">
        <v>8.1021800000000006</v>
      </c>
      <c r="DZ119">
        <v>69.985500000000002</v>
      </c>
      <c r="EA119">
        <v>16.838000000000001</v>
      </c>
      <c r="EB119">
        <v>2.48224</v>
      </c>
      <c r="EC119">
        <v>1.6758500000000001</v>
      </c>
      <c r="ED119">
        <v>20.910499999999999</v>
      </c>
      <c r="EE119">
        <v>14.6745</v>
      </c>
      <c r="EF119">
        <v>1800</v>
      </c>
      <c r="EG119">
        <v>0.97799499999999995</v>
      </c>
      <c r="EH119">
        <v>2.2004800000000001E-2</v>
      </c>
      <c r="EI119">
        <v>0</v>
      </c>
      <c r="EJ119">
        <v>841.76800000000003</v>
      </c>
      <c r="EK119">
        <v>4.9990399999999999</v>
      </c>
      <c r="EL119">
        <v>15558.9</v>
      </c>
      <c r="EM119">
        <v>14820.7</v>
      </c>
      <c r="EN119">
        <v>48.875</v>
      </c>
      <c r="EO119">
        <v>50.25</v>
      </c>
      <c r="EP119">
        <v>49.811999999999998</v>
      </c>
      <c r="EQ119">
        <v>48.686999999999998</v>
      </c>
      <c r="ER119">
        <v>49.686999999999998</v>
      </c>
      <c r="ES119">
        <v>1755.5</v>
      </c>
      <c r="ET119">
        <v>39.5</v>
      </c>
      <c r="EU119">
        <v>0</v>
      </c>
      <c r="EV119">
        <v>132</v>
      </c>
      <c r="EW119">
        <v>0</v>
      </c>
      <c r="EX119">
        <v>842.2106</v>
      </c>
      <c r="EY119">
        <v>-2.6733846088055868</v>
      </c>
      <c r="EZ119">
        <v>-42.938461628147088</v>
      </c>
      <c r="FA119">
        <v>15563.688</v>
      </c>
      <c r="FB119">
        <v>15</v>
      </c>
      <c r="FC119">
        <v>1674599230.5</v>
      </c>
      <c r="FD119" t="s">
        <v>944</v>
      </c>
      <c r="FE119">
        <v>1674599220</v>
      </c>
      <c r="FF119">
        <v>1674599230.5</v>
      </c>
      <c r="FG119">
        <v>116</v>
      </c>
      <c r="FH119">
        <v>4.0000000000000001E-3</v>
      </c>
      <c r="FI119">
        <v>-3.0000000000000001E-3</v>
      </c>
      <c r="FJ119">
        <v>0.88</v>
      </c>
      <c r="FK119">
        <v>3.1E-2</v>
      </c>
      <c r="FL119">
        <v>70</v>
      </c>
      <c r="FM119">
        <v>17</v>
      </c>
      <c r="FN119">
        <v>0.17</v>
      </c>
      <c r="FO119">
        <v>0.01</v>
      </c>
      <c r="FP119">
        <v>13.25027131850697</v>
      </c>
      <c r="FQ119">
        <v>-0.31647303469781679</v>
      </c>
      <c r="FR119">
        <v>3.8827394043904402E-2</v>
      </c>
      <c r="FS119">
        <v>1</v>
      </c>
      <c r="FT119">
        <v>0.63240738166416066</v>
      </c>
      <c r="FU119">
        <v>2.7987358137803321E-2</v>
      </c>
      <c r="FV119">
        <v>5.4940565660626514E-3</v>
      </c>
      <c r="FW119">
        <v>1</v>
      </c>
      <c r="FX119">
        <v>2</v>
      </c>
      <c r="FY119">
        <v>2</v>
      </c>
      <c r="FZ119" t="s">
        <v>420</v>
      </c>
      <c r="GA119">
        <v>2.9332699999999998</v>
      </c>
      <c r="GB119">
        <v>2.8334199999999998</v>
      </c>
      <c r="GC119">
        <v>1.4616000000000001E-2</v>
      </c>
      <c r="GD119">
        <v>1.8768699999999999E-2</v>
      </c>
      <c r="GE119">
        <v>0.122362</v>
      </c>
      <c r="GF119">
        <v>8.9668200000000003E-2</v>
      </c>
      <c r="GG119">
        <v>25523.200000000001</v>
      </c>
      <c r="GH119">
        <v>31980.7</v>
      </c>
      <c r="GI119">
        <v>23307</v>
      </c>
      <c r="GJ119">
        <v>29863.9</v>
      </c>
      <c r="GK119">
        <v>27834.799999999999</v>
      </c>
      <c r="GL119">
        <v>38665.699999999997</v>
      </c>
      <c r="GM119">
        <v>32904</v>
      </c>
      <c r="GN119">
        <v>44313.2</v>
      </c>
      <c r="GO119">
        <v>1.96637</v>
      </c>
      <c r="GP119">
        <v>1.8314999999999999</v>
      </c>
      <c r="GQ119">
        <v>4.9624599999999998E-2</v>
      </c>
      <c r="GR119">
        <v>0</v>
      </c>
      <c r="GS119">
        <v>26.6127</v>
      </c>
      <c r="GT119">
        <v>999.9</v>
      </c>
      <c r="GU119">
        <v>47.8</v>
      </c>
      <c r="GV119">
        <v>35.200000000000003</v>
      </c>
      <c r="GW119">
        <v>27.430299999999999</v>
      </c>
      <c r="GX119">
        <v>61.4679</v>
      </c>
      <c r="GY119">
        <v>35.885399999999997</v>
      </c>
      <c r="GZ119">
        <v>1</v>
      </c>
      <c r="HA119">
        <v>0.36646600000000001</v>
      </c>
      <c r="HB119">
        <v>2.16655</v>
      </c>
      <c r="HC119">
        <v>20.258800000000001</v>
      </c>
      <c r="HD119">
        <v>5.2107000000000001</v>
      </c>
      <c r="HE119">
        <v>11.872199999999999</v>
      </c>
      <c r="HF119">
        <v>4.9852999999999996</v>
      </c>
      <c r="HG119">
        <v>3.2839999999999998</v>
      </c>
      <c r="HH119">
        <v>9999</v>
      </c>
      <c r="HI119">
        <v>9999</v>
      </c>
      <c r="HJ119">
        <v>9999</v>
      </c>
      <c r="HK119">
        <v>999.9</v>
      </c>
      <c r="HL119">
        <v>1.8546800000000001</v>
      </c>
      <c r="HM119">
        <v>1.8607800000000001</v>
      </c>
      <c r="HN119">
        <v>1.85816</v>
      </c>
      <c r="HO119">
        <v>1.85937</v>
      </c>
      <c r="HP119">
        <v>1.85869</v>
      </c>
      <c r="HQ119">
        <v>1.85928</v>
      </c>
      <c r="HR119">
        <v>1.8575999999999999</v>
      </c>
      <c r="HS119">
        <v>1.8609599999999999</v>
      </c>
      <c r="HT119">
        <v>5</v>
      </c>
      <c r="HU119">
        <v>0</v>
      </c>
      <c r="HV119">
        <v>0</v>
      </c>
      <c r="HW119">
        <v>0</v>
      </c>
      <c r="HX119" t="s">
        <v>421</v>
      </c>
      <c r="HY119" t="s">
        <v>422</v>
      </c>
      <c r="HZ119" t="s">
        <v>423</v>
      </c>
      <c r="IA119" t="s">
        <v>423</v>
      </c>
      <c r="IB119" t="s">
        <v>423</v>
      </c>
      <c r="IC119" t="s">
        <v>423</v>
      </c>
      <c r="ID119">
        <v>0</v>
      </c>
      <c r="IE119">
        <v>100</v>
      </c>
      <c r="IF119">
        <v>100</v>
      </c>
      <c r="IG119">
        <v>0.85299999999999998</v>
      </c>
      <c r="IH119">
        <v>0.10059999999999999</v>
      </c>
      <c r="II119">
        <v>0.76740043638952349</v>
      </c>
      <c r="IJ119">
        <v>1.6187016317407189E-3</v>
      </c>
      <c r="IK119">
        <v>1.4341569744255341E-7</v>
      </c>
      <c r="IL119">
        <v>-2.4096625942085749E-10</v>
      </c>
      <c r="IM119">
        <v>0.1006670524346359</v>
      </c>
      <c r="IN119">
        <v>0</v>
      </c>
      <c r="IO119">
        <v>0</v>
      </c>
      <c r="IP119">
        <v>0</v>
      </c>
      <c r="IQ119">
        <v>4</v>
      </c>
      <c r="IR119">
        <v>2205</v>
      </c>
      <c r="IS119">
        <v>1</v>
      </c>
      <c r="IT119">
        <v>21</v>
      </c>
      <c r="IU119">
        <v>0.8</v>
      </c>
      <c r="IV119">
        <v>0.6</v>
      </c>
      <c r="IW119">
        <v>0.28686499999999998</v>
      </c>
      <c r="IX119">
        <v>2.4939</v>
      </c>
      <c r="IY119">
        <v>1.49414</v>
      </c>
      <c r="IZ119">
        <v>2.3034699999999999</v>
      </c>
      <c r="JA119">
        <v>1.69434</v>
      </c>
      <c r="JB119">
        <v>2.3718300000000001</v>
      </c>
      <c r="JC119">
        <v>39.3917</v>
      </c>
      <c r="JD119">
        <v>23.9999</v>
      </c>
      <c r="JE119">
        <v>18</v>
      </c>
      <c r="JF119">
        <v>512.10299999999995</v>
      </c>
      <c r="JG119">
        <v>446.89800000000002</v>
      </c>
      <c r="JH119">
        <v>24.717600000000001</v>
      </c>
      <c r="JI119">
        <v>31.938199999999998</v>
      </c>
      <c r="JJ119">
        <v>29.9999</v>
      </c>
      <c r="JK119">
        <v>31.873799999999999</v>
      </c>
      <c r="JL119">
        <v>31.841899999999999</v>
      </c>
      <c r="JM119">
        <v>5.8258999999999999</v>
      </c>
      <c r="JN119">
        <v>44.916200000000003</v>
      </c>
      <c r="JO119">
        <v>0</v>
      </c>
      <c r="JP119">
        <v>24.722999999999999</v>
      </c>
      <c r="JQ119">
        <v>70</v>
      </c>
      <c r="JR119">
        <v>16.802499999999998</v>
      </c>
      <c r="JS119">
        <v>99.111900000000006</v>
      </c>
      <c r="JT119">
        <v>99.510400000000004</v>
      </c>
    </row>
    <row r="120" spans="1:280" x14ac:dyDescent="0.25">
      <c r="A120">
        <v>104</v>
      </c>
      <c r="B120">
        <v>1674599383</v>
      </c>
      <c r="C120">
        <v>25330.400000095371</v>
      </c>
      <c r="D120" t="s">
        <v>945</v>
      </c>
      <c r="E120" t="s">
        <v>946</v>
      </c>
      <c r="F120" t="s">
        <v>412</v>
      </c>
      <c r="G120" t="s">
        <v>921</v>
      </c>
      <c r="H120" t="s">
        <v>636</v>
      </c>
      <c r="I120">
        <v>1674599383</v>
      </c>
      <c r="J120">
        <f t="shared" si="138"/>
        <v>7.0977940303691674E-3</v>
      </c>
      <c r="K120">
        <f t="shared" si="139"/>
        <v>7.0977940303691671</v>
      </c>
      <c r="L120">
        <f t="shared" si="140"/>
        <v>5.6906092752601278</v>
      </c>
      <c r="M120">
        <f t="shared" si="141"/>
        <v>22.975200000000001</v>
      </c>
      <c r="N120">
        <f t="shared" si="142"/>
        <v>7.2031650240389089</v>
      </c>
      <c r="O120">
        <f t="shared" si="143"/>
        <v>0.71769475202376132</v>
      </c>
      <c r="P120">
        <f t="shared" si="144"/>
        <v>2.2891576705055998</v>
      </c>
      <c r="Q120">
        <f t="shared" si="145"/>
        <v>0.65003326740708511</v>
      </c>
      <c r="R120">
        <f t="shared" si="146"/>
        <v>2.9159159068836877</v>
      </c>
      <c r="S120">
        <f t="shared" si="147"/>
        <v>0.5789749257550687</v>
      </c>
      <c r="T120">
        <f t="shared" si="148"/>
        <v>0.36759423838798572</v>
      </c>
      <c r="U120">
        <f t="shared" si="149"/>
        <v>344.38900126393042</v>
      </c>
      <c r="V120">
        <f t="shared" si="150"/>
        <v>28.198206948860168</v>
      </c>
      <c r="W120">
        <f t="shared" si="151"/>
        <v>27.4377</v>
      </c>
      <c r="X120">
        <f t="shared" si="152"/>
        <v>3.6722087972774564</v>
      </c>
      <c r="Y120">
        <f t="shared" si="153"/>
        <v>65.528375258705907</v>
      </c>
      <c r="Z120">
        <f t="shared" si="154"/>
        <v>2.4885094353279995</v>
      </c>
      <c r="AA120">
        <f t="shared" si="155"/>
        <v>3.7976058852418797</v>
      </c>
      <c r="AB120">
        <f t="shared" si="156"/>
        <v>1.1836993619494569</v>
      </c>
      <c r="AC120">
        <f t="shared" si="157"/>
        <v>-313.01271673928028</v>
      </c>
      <c r="AD120">
        <f t="shared" si="158"/>
        <v>90.360202992175772</v>
      </c>
      <c r="AE120">
        <f t="shared" si="159"/>
        <v>6.7363220419467398</v>
      </c>
      <c r="AF120">
        <f t="shared" si="160"/>
        <v>128.47280955877264</v>
      </c>
      <c r="AG120">
        <v>0</v>
      </c>
      <c r="AH120">
        <v>0</v>
      </c>
      <c r="AI120">
        <f t="shared" si="161"/>
        <v>1</v>
      </c>
      <c r="AJ120">
        <f t="shared" si="162"/>
        <v>0</v>
      </c>
      <c r="AK120">
        <f t="shared" si="163"/>
        <v>52297.4408402349</v>
      </c>
      <c r="AL120" t="s">
        <v>415</v>
      </c>
      <c r="AM120">
        <v>10214.9</v>
      </c>
      <c r="AN120">
        <v>729.4384</v>
      </c>
      <c r="AO120">
        <v>3170.19</v>
      </c>
      <c r="AP120">
        <f t="shared" si="164"/>
        <v>0.76990704027203416</v>
      </c>
      <c r="AQ120">
        <v>-0.45549566560547827</v>
      </c>
      <c r="AR120" t="s">
        <v>947</v>
      </c>
      <c r="AS120">
        <v>10110.200000000001</v>
      </c>
      <c r="AT120">
        <v>860.34132</v>
      </c>
      <c r="AU120">
        <v>945.17020321582402</v>
      </c>
      <c r="AV120">
        <f t="shared" si="165"/>
        <v>8.9749849209385002E-2</v>
      </c>
      <c r="AW120">
        <v>0.5</v>
      </c>
      <c r="AX120">
        <f t="shared" si="166"/>
        <v>1513.2690006319651</v>
      </c>
      <c r="AY120">
        <f t="shared" si="167"/>
        <v>5.6906092752601278</v>
      </c>
      <c r="AZ120">
        <f t="shared" si="168"/>
        <v>67.907832309977806</v>
      </c>
      <c r="BA120">
        <f t="shared" si="169"/>
        <v>4.0614754801022784E-3</v>
      </c>
      <c r="BB120">
        <f t="shared" si="170"/>
        <v>2.3540943093781657</v>
      </c>
      <c r="BC120">
        <f t="shared" si="171"/>
        <v>473.15111671243187</v>
      </c>
      <c r="BD120" t="s">
        <v>948</v>
      </c>
      <c r="BE120">
        <v>597.92999999999995</v>
      </c>
      <c r="BF120">
        <f t="shared" si="172"/>
        <v>597.92999999999995</v>
      </c>
      <c r="BG120">
        <f t="shared" si="173"/>
        <v>0.36738378128551075</v>
      </c>
      <c r="BH120">
        <f t="shared" si="174"/>
        <v>0.24429453280529093</v>
      </c>
      <c r="BI120">
        <f t="shared" si="175"/>
        <v>0.86500579132131894</v>
      </c>
      <c r="BJ120">
        <f t="shared" si="176"/>
        <v>0.39321454672568085</v>
      </c>
      <c r="BK120">
        <f t="shared" si="177"/>
        <v>0.9116125527825838</v>
      </c>
      <c r="BL120">
        <f t="shared" si="178"/>
        <v>0.16978265091378802</v>
      </c>
      <c r="BM120">
        <f t="shared" si="179"/>
        <v>0.83021734908621192</v>
      </c>
      <c r="BN120">
        <v>9264</v>
      </c>
      <c r="BO120">
        <v>290.00000000000011</v>
      </c>
      <c r="BP120">
        <v>919.22</v>
      </c>
      <c r="BQ120">
        <v>125</v>
      </c>
      <c r="BR120">
        <v>10110.200000000001</v>
      </c>
      <c r="BS120">
        <v>917.17</v>
      </c>
      <c r="BT120">
        <v>2.0499999999999998</v>
      </c>
      <c r="BU120">
        <v>300.00000000000011</v>
      </c>
      <c r="BV120">
        <v>24.2</v>
      </c>
      <c r="BW120">
        <v>945.17020321582402</v>
      </c>
      <c r="BX120">
        <v>1.5573858505502021</v>
      </c>
      <c r="BY120">
        <v>-28.30884062362906</v>
      </c>
      <c r="BZ120">
        <v>1.3992814712974539</v>
      </c>
      <c r="CA120">
        <v>0.9359696607541621</v>
      </c>
      <c r="CB120">
        <v>-6.8970042269188092E-3</v>
      </c>
      <c r="CC120">
        <v>289.99999999999989</v>
      </c>
      <c r="CD120">
        <v>913.54</v>
      </c>
      <c r="CE120">
        <v>675</v>
      </c>
      <c r="CF120">
        <v>10070.6</v>
      </c>
      <c r="CG120">
        <v>917.06</v>
      </c>
      <c r="CH120">
        <v>-3.52</v>
      </c>
      <c r="CV120">
        <f t="shared" si="180"/>
        <v>1800.1</v>
      </c>
      <c r="CW120">
        <f t="shared" si="181"/>
        <v>1513.2690006319651</v>
      </c>
      <c r="CX120">
        <f t="shared" si="182"/>
        <v>0.84065829711236328</v>
      </c>
      <c r="CY120">
        <f t="shared" si="183"/>
        <v>0.19131659422472666</v>
      </c>
      <c r="CZ120">
        <v>6</v>
      </c>
      <c r="DA120">
        <v>0.5</v>
      </c>
      <c r="DB120" t="s">
        <v>418</v>
      </c>
      <c r="DC120">
        <v>2</v>
      </c>
      <c r="DD120">
        <v>1674599383</v>
      </c>
      <c r="DE120">
        <v>22.975200000000001</v>
      </c>
      <c r="DF120">
        <v>29.997399999999999</v>
      </c>
      <c r="DG120">
        <v>24.975999999999999</v>
      </c>
      <c r="DH120">
        <v>16.673999999999999</v>
      </c>
      <c r="DI120">
        <v>22.1524</v>
      </c>
      <c r="DJ120">
        <v>24.869900000000001</v>
      </c>
      <c r="DK120">
        <v>500.15800000000002</v>
      </c>
      <c r="DL120">
        <v>99.535899999999998</v>
      </c>
      <c r="DM120">
        <v>0.10012799999999999</v>
      </c>
      <c r="DN120">
        <v>28.012499999999999</v>
      </c>
      <c r="DO120">
        <v>27.4377</v>
      </c>
      <c r="DP120">
        <v>999.9</v>
      </c>
      <c r="DQ120">
        <v>0</v>
      </c>
      <c r="DR120">
        <v>0</v>
      </c>
      <c r="DS120">
        <v>9968.75</v>
      </c>
      <c r="DT120">
        <v>0</v>
      </c>
      <c r="DU120">
        <v>181.59899999999999</v>
      </c>
      <c r="DV120">
        <v>-7.0222199999999999</v>
      </c>
      <c r="DW120">
        <v>23.563700000000001</v>
      </c>
      <c r="DX120">
        <v>30.5061</v>
      </c>
      <c r="DY120">
        <v>8.3020099999999992</v>
      </c>
      <c r="DZ120">
        <v>29.997399999999999</v>
      </c>
      <c r="EA120">
        <v>16.673999999999999</v>
      </c>
      <c r="EB120">
        <v>2.4860099999999998</v>
      </c>
      <c r="EC120">
        <v>1.6596599999999999</v>
      </c>
      <c r="ED120">
        <v>20.935199999999998</v>
      </c>
      <c r="EE120">
        <v>14.5242</v>
      </c>
      <c r="EF120">
        <v>1800.1</v>
      </c>
      <c r="EG120">
        <v>0.97799499999999995</v>
      </c>
      <c r="EH120">
        <v>2.2004800000000001E-2</v>
      </c>
      <c r="EI120">
        <v>0</v>
      </c>
      <c r="EJ120">
        <v>860.06500000000005</v>
      </c>
      <c r="EK120">
        <v>4.9990399999999999</v>
      </c>
      <c r="EL120">
        <v>15880.7</v>
      </c>
      <c r="EM120">
        <v>14821.5</v>
      </c>
      <c r="EN120">
        <v>48.811999999999998</v>
      </c>
      <c r="EO120">
        <v>50.186999999999998</v>
      </c>
      <c r="EP120">
        <v>49.811999999999998</v>
      </c>
      <c r="EQ120">
        <v>48.625</v>
      </c>
      <c r="ER120">
        <v>49.625</v>
      </c>
      <c r="ES120">
        <v>1755.6</v>
      </c>
      <c r="ET120">
        <v>39.5</v>
      </c>
      <c r="EU120">
        <v>0</v>
      </c>
      <c r="EV120">
        <v>115.4000000953674</v>
      </c>
      <c r="EW120">
        <v>0</v>
      </c>
      <c r="EX120">
        <v>860.34132</v>
      </c>
      <c r="EY120">
        <v>-2.443461539085217</v>
      </c>
      <c r="EZ120">
        <v>-35.915384606476429</v>
      </c>
      <c r="FA120">
        <v>15883.772000000001</v>
      </c>
      <c r="FB120">
        <v>15</v>
      </c>
      <c r="FC120">
        <v>1674599348.5</v>
      </c>
      <c r="FD120" t="s">
        <v>949</v>
      </c>
      <c r="FE120">
        <v>1674599329.5</v>
      </c>
      <c r="FF120">
        <v>1674599348.5</v>
      </c>
      <c r="FG120">
        <v>117</v>
      </c>
      <c r="FH120">
        <v>0.02</v>
      </c>
      <c r="FI120">
        <v>5.0000000000000001E-3</v>
      </c>
      <c r="FJ120">
        <v>0.83399999999999996</v>
      </c>
      <c r="FK120">
        <v>3.4000000000000002E-2</v>
      </c>
      <c r="FL120">
        <v>30</v>
      </c>
      <c r="FM120">
        <v>17</v>
      </c>
      <c r="FN120">
        <v>0.2</v>
      </c>
      <c r="FO120">
        <v>0.01</v>
      </c>
      <c r="FP120">
        <v>5.7240613028367022</v>
      </c>
      <c r="FQ120">
        <v>-0.57816179952536328</v>
      </c>
      <c r="FR120">
        <v>6.5618336235460803E-2</v>
      </c>
      <c r="FS120">
        <v>1</v>
      </c>
      <c r="FT120">
        <v>0.65546605836955807</v>
      </c>
      <c r="FU120">
        <v>2.257769166470127E-2</v>
      </c>
      <c r="FV120">
        <v>5.7264365138230428E-3</v>
      </c>
      <c r="FW120">
        <v>1</v>
      </c>
      <c r="FX120">
        <v>2</v>
      </c>
      <c r="FY120">
        <v>2</v>
      </c>
      <c r="FZ120" t="s">
        <v>420</v>
      </c>
      <c r="GA120">
        <v>2.9332099999999999</v>
      </c>
      <c r="GB120">
        <v>2.83331</v>
      </c>
      <c r="GC120">
        <v>6.1897599999999999E-3</v>
      </c>
      <c r="GD120">
        <v>8.1579100000000009E-3</v>
      </c>
      <c r="GE120">
        <v>0.122484</v>
      </c>
      <c r="GF120">
        <v>8.9055300000000004E-2</v>
      </c>
      <c r="GG120">
        <v>25743.4</v>
      </c>
      <c r="GH120">
        <v>32328.799999999999</v>
      </c>
      <c r="GI120">
        <v>23308.799999999999</v>
      </c>
      <c r="GJ120">
        <v>29866.1</v>
      </c>
      <c r="GK120">
        <v>27832.799999999999</v>
      </c>
      <c r="GL120">
        <v>38694.199999999997</v>
      </c>
      <c r="GM120">
        <v>32906.699999999997</v>
      </c>
      <c r="GN120">
        <v>44315.9</v>
      </c>
      <c r="GO120">
        <v>1.96655</v>
      </c>
      <c r="GP120">
        <v>1.8322000000000001</v>
      </c>
      <c r="GQ120">
        <v>4.8726800000000001E-2</v>
      </c>
      <c r="GR120">
        <v>0</v>
      </c>
      <c r="GS120">
        <v>26.640899999999998</v>
      </c>
      <c r="GT120">
        <v>999.9</v>
      </c>
      <c r="GU120">
        <v>47.8</v>
      </c>
      <c r="GV120">
        <v>35.299999999999997</v>
      </c>
      <c r="GW120">
        <v>27.580400000000001</v>
      </c>
      <c r="GX120">
        <v>61.487900000000003</v>
      </c>
      <c r="GY120">
        <v>35.941499999999998</v>
      </c>
      <c r="GZ120">
        <v>1</v>
      </c>
      <c r="HA120">
        <v>0.363537</v>
      </c>
      <c r="HB120">
        <v>2.3787500000000001</v>
      </c>
      <c r="HC120">
        <v>20.2562</v>
      </c>
      <c r="HD120">
        <v>5.2071100000000001</v>
      </c>
      <c r="HE120">
        <v>11.872199999999999</v>
      </c>
      <c r="HF120">
        <v>4.9838500000000003</v>
      </c>
      <c r="HG120">
        <v>3.2839999999999998</v>
      </c>
      <c r="HH120">
        <v>9999</v>
      </c>
      <c r="HI120">
        <v>9999</v>
      </c>
      <c r="HJ120">
        <v>9999</v>
      </c>
      <c r="HK120">
        <v>999.9</v>
      </c>
      <c r="HL120">
        <v>1.8546899999999999</v>
      </c>
      <c r="HM120">
        <v>1.8607499999999999</v>
      </c>
      <c r="HN120">
        <v>1.8581399999999999</v>
      </c>
      <c r="HO120">
        <v>1.85937</v>
      </c>
      <c r="HP120">
        <v>1.85869</v>
      </c>
      <c r="HQ120">
        <v>1.85924</v>
      </c>
      <c r="HR120">
        <v>1.8575999999999999</v>
      </c>
      <c r="HS120">
        <v>1.8609599999999999</v>
      </c>
      <c r="HT120">
        <v>5</v>
      </c>
      <c r="HU120">
        <v>0</v>
      </c>
      <c r="HV120">
        <v>0</v>
      </c>
      <c r="HW120">
        <v>0</v>
      </c>
      <c r="HX120" t="s">
        <v>421</v>
      </c>
      <c r="HY120" t="s">
        <v>422</v>
      </c>
      <c r="HZ120" t="s">
        <v>423</v>
      </c>
      <c r="IA120" t="s">
        <v>423</v>
      </c>
      <c r="IB120" t="s">
        <v>423</v>
      </c>
      <c r="IC120" t="s">
        <v>423</v>
      </c>
      <c r="ID120">
        <v>0</v>
      </c>
      <c r="IE120">
        <v>100</v>
      </c>
      <c r="IF120">
        <v>100</v>
      </c>
      <c r="IG120">
        <v>0.82299999999999995</v>
      </c>
      <c r="IH120">
        <v>0.1061</v>
      </c>
      <c r="II120">
        <v>0.78691292038983107</v>
      </c>
      <c r="IJ120">
        <v>1.6187016317407189E-3</v>
      </c>
      <c r="IK120">
        <v>1.4341569744255341E-7</v>
      </c>
      <c r="IL120">
        <v>-2.4096625942085749E-10</v>
      </c>
      <c r="IM120">
        <v>0.10611635282714441</v>
      </c>
      <c r="IN120">
        <v>0</v>
      </c>
      <c r="IO120">
        <v>0</v>
      </c>
      <c r="IP120">
        <v>0</v>
      </c>
      <c r="IQ120">
        <v>4</v>
      </c>
      <c r="IR120">
        <v>2205</v>
      </c>
      <c r="IS120">
        <v>1</v>
      </c>
      <c r="IT120">
        <v>21</v>
      </c>
      <c r="IU120">
        <v>0.9</v>
      </c>
      <c r="IV120">
        <v>0.6</v>
      </c>
      <c r="IW120">
        <v>0.20019500000000001</v>
      </c>
      <c r="IX120">
        <v>2.5280800000000001</v>
      </c>
      <c r="IY120">
        <v>1.49414</v>
      </c>
      <c r="IZ120">
        <v>2.3034699999999999</v>
      </c>
      <c r="JA120">
        <v>1.69434</v>
      </c>
      <c r="JB120">
        <v>2.2936999999999999</v>
      </c>
      <c r="JC120">
        <v>39.416600000000003</v>
      </c>
      <c r="JD120">
        <v>23.991199999999999</v>
      </c>
      <c r="JE120">
        <v>18</v>
      </c>
      <c r="JF120">
        <v>511.95600000000002</v>
      </c>
      <c r="JG120">
        <v>447.14299999999997</v>
      </c>
      <c r="JH120">
        <v>24.624700000000001</v>
      </c>
      <c r="JI120">
        <v>31.894600000000001</v>
      </c>
      <c r="JJ120">
        <v>30</v>
      </c>
      <c r="JK120">
        <v>31.842600000000001</v>
      </c>
      <c r="JL120">
        <v>31.8124</v>
      </c>
      <c r="JM120">
        <v>4.0669000000000004</v>
      </c>
      <c r="JN120">
        <v>45.834099999999999</v>
      </c>
      <c r="JO120">
        <v>0</v>
      </c>
      <c r="JP120">
        <v>24.616700000000002</v>
      </c>
      <c r="JQ120">
        <v>30</v>
      </c>
      <c r="JR120">
        <v>16.574400000000001</v>
      </c>
      <c r="JS120">
        <v>99.12</v>
      </c>
      <c r="JT120">
        <v>99.516999999999996</v>
      </c>
    </row>
    <row r="121" spans="1:280" x14ac:dyDescent="0.25">
      <c r="A121">
        <v>105</v>
      </c>
      <c r="B121">
        <v>1674599493</v>
      </c>
      <c r="C121">
        <v>25440.400000095371</v>
      </c>
      <c r="D121" t="s">
        <v>950</v>
      </c>
      <c r="E121" t="s">
        <v>951</v>
      </c>
      <c r="F121" t="s">
        <v>412</v>
      </c>
      <c r="G121" t="s">
        <v>921</v>
      </c>
      <c r="H121" t="s">
        <v>636</v>
      </c>
      <c r="I121">
        <v>1674599493</v>
      </c>
      <c r="J121">
        <f t="shared" si="138"/>
        <v>7.2573411151418601E-3</v>
      </c>
      <c r="K121">
        <f t="shared" si="139"/>
        <v>7.2573411151418599</v>
      </c>
      <c r="L121">
        <f t="shared" si="140"/>
        <v>1.6692435446591258</v>
      </c>
      <c r="M121">
        <f t="shared" si="141"/>
        <v>7.9134399999999996</v>
      </c>
      <c r="N121">
        <f t="shared" si="142"/>
        <v>3.3501878393505744</v>
      </c>
      <c r="O121">
        <f t="shared" si="143"/>
        <v>0.33381138628831902</v>
      </c>
      <c r="P121">
        <f t="shared" si="144"/>
        <v>0.78849201996431983</v>
      </c>
      <c r="Q121">
        <f t="shared" si="145"/>
        <v>0.66401843527615012</v>
      </c>
      <c r="R121">
        <f t="shared" si="146"/>
        <v>2.9172935981984884</v>
      </c>
      <c r="S121">
        <f t="shared" si="147"/>
        <v>0.59008606696252541</v>
      </c>
      <c r="T121">
        <f t="shared" si="148"/>
        <v>0.37475806270759238</v>
      </c>
      <c r="U121">
        <f t="shared" si="149"/>
        <v>344.39660126390243</v>
      </c>
      <c r="V121">
        <f t="shared" si="150"/>
        <v>28.149845117285462</v>
      </c>
      <c r="W121">
        <f t="shared" si="151"/>
        <v>27.439299999999999</v>
      </c>
      <c r="X121">
        <f t="shared" si="152"/>
        <v>3.6725527714350799</v>
      </c>
      <c r="Y121">
        <f t="shared" si="153"/>
        <v>65.460783432798664</v>
      </c>
      <c r="Z121">
        <f t="shared" si="154"/>
        <v>2.4849718429787999</v>
      </c>
      <c r="AA121">
        <f t="shared" si="155"/>
        <v>3.7961229803029246</v>
      </c>
      <c r="AB121">
        <f t="shared" si="156"/>
        <v>1.1875809284562799</v>
      </c>
      <c r="AC121">
        <f t="shared" si="157"/>
        <v>-320.04874317775602</v>
      </c>
      <c r="AD121">
        <f t="shared" si="158"/>
        <v>89.097495542032789</v>
      </c>
      <c r="AE121">
        <f t="shared" si="159"/>
        <v>6.6388818043235762</v>
      </c>
      <c r="AF121">
        <f t="shared" si="160"/>
        <v>120.08423543250279</v>
      </c>
      <c r="AG121">
        <v>0</v>
      </c>
      <c r="AH121">
        <v>0</v>
      </c>
      <c r="AI121">
        <f t="shared" si="161"/>
        <v>1</v>
      </c>
      <c r="AJ121">
        <f t="shared" si="162"/>
        <v>0</v>
      </c>
      <c r="AK121">
        <f t="shared" si="163"/>
        <v>52338.209451570998</v>
      </c>
      <c r="AL121" t="s">
        <v>415</v>
      </c>
      <c r="AM121">
        <v>10214.9</v>
      </c>
      <c r="AN121">
        <v>729.4384</v>
      </c>
      <c r="AO121">
        <v>3170.19</v>
      </c>
      <c r="AP121">
        <f t="shared" si="164"/>
        <v>0.76990704027203416</v>
      </c>
      <c r="AQ121">
        <v>-0.45549566560547827</v>
      </c>
      <c r="AR121" t="s">
        <v>952</v>
      </c>
      <c r="AS121">
        <v>10115.5</v>
      </c>
      <c r="AT121">
        <v>869.45996153846147</v>
      </c>
      <c r="AU121">
        <v>934.46625661803137</v>
      </c>
      <c r="AV121">
        <f t="shared" si="165"/>
        <v>6.9565160453023855E-2</v>
      </c>
      <c r="AW121">
        <v>0.5</v>
      </c>
      <c r="AX121">
        <f t="shared" si="166"/>
        <v>1513.3026006319512</v>
      </c>
      <c r="AY121">
        <f t="shared" si="167"/>
        <v>1.6692435446591258</v>
      </c>
      <c r="AZ121">
        <f t="shared" si="168"/>
        <v>52.636569113469982</v>
      </c>
      <c r="BA121">
        <f t="shared" si="169"/>
        <v>1.4040412072095286E-3</v>
      </c>
      <c r="BB121">
        <f t="shared" si="170"/>
        <v>2.3925141518468269</v>
      </c>
      <c r="BC121">
        <f t="shared" si="171"/>
        <v>470.45345912710593</v>
      </c>
      <c r="BD121" t="s">
        <v>953</v>
      </c>
      <c r="BE121">
        <v>607.66999999999996</v>
      </c>
      <c r="BF121">
        <f t="shared" si="172"/>
        <v>607.66999999999996</v>
      </c>
      <c r="BG121">
        <f t="shared" si="173"/>
        <v>0.34971434688370062</v>
      </c>
      <c r="BH121">
        <f t="shared" si="174"/>
        <v>0.19891995016194775</v>
      </c>
      <c r="BI121">
        <f t="shared" si="175"/>
        <v>0.8724707488651674</v>
      </c>
      <c r="BJ121">
        <f t="shared" si="176"/>
        <v>0.3170607943323388</v>
      </c>
      <c r="BK121">
        <f t="shared" si="177"/>
        <v>0.91599806526070437</v>
      </c>
      <c r="BL121">
        <f t="shared" si="178"/>
        <v>0.13902616734763079</v>
      </c>
      <c r="BM121">
        <f t="shared" si="179"/>
        <v>0.86097383265236926</v>
      </c>
      <c r="BN121">
        <v>9266</v>
      </c>
      <c r="BO121">
        <v>290.00000000000011</v>
      </c>
      <c r="BP121">
        <v>915.16</v>
      </c>
      <c r="BQ121">
        <v>95</v>
      </c>
      <c r="BR121">
        <v>10115.5</v>
      </c>
      <c r="BS121">
        <v>911.81</v>
      </c>
      <c r="BT121">
        <v>3.35</v>
      </c>
      <c r="BU121">
        <v>300.00000000000011</v>
      </c>
      <c r="BV121">
        <v>24.2</v>
      </c>
      <c r="BW121">
        <v>934.46625661803137</v>
      </c>
      <c r="BX121">
        <v>1.9355410058153619</v>
      </c>
      <c r="BY121">
        <v>-22.92087988312371</v>
      </c>
      <c r="BZ121">
        <v>1.739086611525551</v>
      </c>
      <c r="CA121">
        <v>0.86118556606359808</v>
      </c>
      <c r="CB121">
        <v>-6.897149276974413E-3</v>
      </c>
      <c r="CC121">
        <v>289.99999999999989</v>
      </c>
      <c r="CD121">
        <v>908.93</v>
      </c>
      <c r="CE121">
        <v>645</v>
      </c>
      <c r="CF121">
        <v>10072.6</v>
      </c>
      <c r="CG121">
        <v>911.71</v>
      </c>
      <c r="CH121">
        <v>-2.78</v>
      </c>
      <c r="CV121">
        <f t="shared" si="180"/>
        <v>1800.14</v>
      </c>
      <c r="CW121">
        <f t="shared" si="181"/>
        <v>1513.3026006319512</v>
      </c>
      <c r="CX121">
        <f t="shared" si="182"/>
        <v>0.84065828248466845</v>
      </c>
      <c r="CY121">
        <f t="shared" si="183"/>
        <v>0.19131656496933705</v>
      </c>
      <c r="CZ121">
        <v>6</v>
      </c>
      <c r="DA121">
        <v>0.5</v>
      </c>
      <c r="DB121" t="s">
        <v>418</v>
      </c>
      <c r="DC121">
        <v>2</v>
      </c>
      <c r="DD121">
        <v>1674599493</v>
      </c>
      <c r="DE121">
        <v>7.9134399999999996</v>
      </c>
      <c r="DF121">
        <v>9.9852500000000006</v>
      </c>
      <c r="DG121">
        <v>24.939599999999999</v>
      </c>
      <c r="DH121">
        <v>16.448799999999999</v>
      </c>
      <c r="DI121">
        <v>7.1177799999999998</v>
      </c>
      <c r="DJ121">
        <v>24.8371</v>
      </c>
      <c r="DK121">
        <v>500.048</v>
      </c>
      <c r="DL121">
        <v>99.539400000000001</v>
      </c>
      <c r="DM121">
        <v>0.100203</v>
      </c>
      <c r="DN121">
        <v>28.005800000000001</v>
      </c>
      <c r="DO121">
        <v>27.439299999999999</v>
      </c>
      <c r="DP121">
        <v>999.9</v>
      </c>
      <c r="DQ121">
        <v>0</v>
      </c>
      <c r="DR121">
        <v>0</v>
      </c>
      <c r="DS121">
        <v>9976.25</v>
      </c>
      <c r="DT121">
        <v>0</v>
      </c>
      <c r="DU121">
        <v>179.93899999999999</v>
      </c>
      <c r="DV121">
        <v>-2.0718100000000002</v>
      </c>
      <c r="DW121">
        <v>8.11585</v>
      </c>
      <c r="DX121">
        <v>10.152200000000001</v>
      </c>
      <c r="DY121">
        <v>8.4908400000000004</v>
      </c>
      <c r="DZ121">
        <v>9.9852500000000006</v>
      </c>
      <c r="EA121">
        <v>16.448799999999999</v>
      </c>
      <c r="EB121">
        <v>2.4824799999999998</v>
      </c>
      <c r="EC121">
        <v>1.6373</v>
      </c>
      <c r="ED121">
        <v>20.912099999999999</v>
      </c>
      <c r="EE121">
        <v>14.314500000000001</v>
      </c>
      <c r="EF121">
        <v>1800.14</v>
      </c>
      <c r="EG121">
        <v>0.97799499999999995</v>
      </c>
      <c r="EH121">
        <v>2.2005E-2</v>
      </c>
      <c r="EI121">
        <v>0</v>
      </c>
      <c r="EJ121">
        <v>869.548</v>
      </c>
      <c r="EK121">
        <v>4.9990399999999999</v>
      </c>
      <c r="EL121">
        <v>16042.1</v>
      </c>
      <c r="EM121">
        <v>14821.8</v>
      </c>
      <c r="EN121">
        <v>48.875</v>
      </c>
      <c r="EO121">
        <v>50.186999999999998</v>
      </c>
      <c r="EP121">
        <v>49.811999999999998</v>
      </c>
      <c r="EQ121">
        <v>48.625</v>
      </c>
      <c r="ER121">
        <v>49.625</v>
      </c>
      <c r="ES121">
        <v>1755.64</v>
      </c>
      <c r="ET121">
        <v>39.5</v>
      </c>
      <c r="EU121">
        <v>0</v>
      </c>
      <c r="EV121">
        <v>108.2000000476837</v>
      </c>
      <c r="EW121">
        <v>0</v>
      </c>
      <c r="EX121">
        <v>869.45996153846147</v>
      </c>
      <c r="EY121">
        <v>-0.9651623928715688</v>
      </c>
      <c r="EZ121">
        <v>-2.482051280922394</v>
      </c>
      <c r="FA121">
        <v>16041.06923076923</v>
      </c>
      <c r="FB121">
        <v>15</v>
      </c>
      <c r="FC121">
        <v>1674599457.5</v>
      </c>
      <c r="FD121" t="s">
        <v>954</v>
      </c>
      <c r="FE121">
        <v>1674599443.5</v>
      </c>
      <c r="FF121">
        <v>1674599457.5</v>
      </c>
      <c r="FG121">
        <v>118</v>
      </c>
      <c r="FH121">
        <v>-3.0000000000000001E-3</v>
      </c>
      <c r="FI121">
        <v>-4.0000000000000001E-3</v>
      </c>
      <c r="FJ121">
        <v>0.79900000000000004</v>
      </c>
      <c r="FK121">
        <v>2.8000000000000001E-2</v>
      </c>
      <c r="FL121">
        <v>10</v>
      </c>
      <c r="FM121">
        <v>17</v>
      </c>
      <c r="FN121">
        <v>0.32</v>
      </c>
      <c r="FO121">
        <v>0.01</v>
      </c>
      <c r="FP121">
        <v>1.7786012214857969</v>
      </c>
      <c r="FQ121">
        <v>-0.64325343657245126</v>
      </c>
      <c r="FR121">
        <v>7.8048063829633932E-2</v>
      </c>
      <c r="FS121">
        <v>1</v>
      </c>
      <c r="FT121">
        <v>0.67332805266750484</v>
      </c>
      <c r="FU121">
        <v>-1.5643415520467999E-2</v>
      </c>
      <c r="FV121">
        <v>4.1152051722653099E-3</v>
      </c>
      <c r="FW121">
        <v>1</v>
      </c>
      <c r="FX121">
        <v>2</v>
      </c>
      <c r="FY121">
        <v>2</v>
      </c>
      <c r="FZ121" t="s">
        <v>420</v>
      </c>
      <c r="GA121">
        <v>2.9329399999999999</v>
      </c>
      <c r="GB121">
        <v>2.83345</v>
      </c>
      <c r="GC121">
        <v>1.9959999999999999E-3</v>
      </c>
      <c r="GD121">
        <v>2.7280799999999999E-3</v>
      </c>
      <c r="GE121">
        <v>0.122379</v>
      </c>
      <c r="GF121">
        <v>8.81966E-2</v>
      </c>
      <c r="GG121">
        <v>25853</v>
      </c>
      <c r="GH121">
        <v>32505.4</v>
      </c>
      <c r="GI121">
        <v>23309.9</v>
      </c>
      <c r="GJ121">
        <v>29866.1</v>
      </c>
      <c r="GK121">
        <v>27837.4</v>
      </c>
      <c r="GL121">
        <v>38730.5</v>
      </c>
      <c r="GM121">
        <v>32908.199999999997</v>
      </c>
      <c r="GN121">
        <v>44315.4</v>
      </c>
      <c r="GO121">
        <v>1.96685</v>
      </c>
      <c r="GP121">
        <v>1.8315999999999999</v>
      </c>
      <c r="GQ121">
        <v>4.35486E-2</v>
      </c>
      <c r="GR121">
        <v>0</v>
      </c>
      <c r="GS121">
        <v>26.7272</v>
      </c>
      <c r="GT121">
        <v>999.9</v>
      </c>
      <c r="GU121">
        <v>47.8</v>
      </c>
      <c r="GV121">
        <v>35.299999999999997</v>
      </c>
      <c r="GW121">
        <v>27.5762</v>
      </c>
      <c r="GX121">
        <v>61.407899999999998</v>
      </c>
      <c r="GY121">
        <v>36.630600000000001</v>
      </c>
      <c r="GZ121">
        <v>1</v>
      </c>
      <c r="HA121">
        <v>0.363763</v>
      </c>
      <c r="HB121">
        <v>2.4632299999999998</v>
      </c>
      <c r="HC121">
        <v>20.2546</v>
      </c>
      <c r="HD121">
        <v>5.2077099999999996</v>
      </c>
      <c r="HE121">
        <v>11.872199999999999</v>
      </c>
      <c r="HF121">
        <v>4.984</v>
      </c>
      <c r="HG121">
        <v>3.2833299999999999</v>
      </c>
      <c r="HH121">
        <v>9999</v>
      </c>
      <c r="HI121">
        <v>9999</v>
      </c>
      <c r="HJ121">
        <v>9999</v>
      </c>
      <c r="HK121">
        <v>999.9</v>
      </c>
      <c r="HL121">
        <v>1.8546100000000001</v>
      </c>
      <c r="HM121">
        <v>1.8607100000000001</v>
      </c>
      <c r="HN121">
        <v>1.85806</v>
      </c>
      <c r="HO121">
        <v>1.8592900000000001</v>
      </c>
      <c r="HP121">
        <v>1.85867</v>
      </c>
      <c r="HQ121">
        <v>1.85921</v>
      </c>
      <c r="HR121">
        <v>1.85758</v>
      </c>
      <c r="HS121">
        <v>1.8609100000000001</v>
      </c>
      <c r="HT121">
        <v>5</v>
      </c>
      <c r="HU121">
        <v>0</v>
      </c>
      <c r="HV121">
        <v>0</v>
      </c>
      <c r="HW121">
        <v>0</v>
      </c>
      <c r="HX121" t="s">
        <v>421</v>
      </c>
      <c r="HY121" t="s">
        <v>422</v>
      </c>
      <c r="HZ121" t="s">
        <v>423</v>
      </c>
      <c r="IA121" t="s">
        <v>423</v>
      </c>
      <c r="IB121" t="s">
        <v>423</v>
      </c>
      <c r="IC121" t="s">
        <v>423</v>
      </c>
      <c r="ID121">
        <v>0</v>
      </c>
      <c r="IE121">
        <v>100</v>
      </c>
      <c r="IF121">
        <v>100</v>
      </c>
      <c r="IG121">
        <v>0.79600000000000004</v>
      </c>
      <c r="IH121">
        <v>0.10249999999999999</v>
      </c>
      <c r="II121">
        <v>0.7841393188873198</v>
      </c>
      <c r="IJ121">
        <v>1.6187016317407189E-3</v>
      </c>
      <c r="IK121">
        <v>1.4341569744255341E-7</v>
      </c>
      <c r="IL121">
        <v>-2.4096625942085749E-10</v>
      </c>
      <c r="IM121">
        <v>0.1025182047532103</v>
      </c>
      <c r="IN121">
        <v>0</v>
      </c>
      <c r="IO121">
        <v>0</v>
      </c>
      <c r="IP121">
        <v>0</v>
      </c>
      <c r="IQ121">
        <v>4</v>
      </c>
      <c r="IR121">
        <v>2205</v>
      </c>
      <c r="IS121">
        <v>1</v>
      </c>
      <c r="IT121">
        <v>21</v>
      </c>
      <c r="IU121">
        <v>0.8</v>
      </c>
      <c r="IV121">
        <v>0.6</v>
      </c>
      <c r="IW121">
        <v>0.155029</v>
      </c>
      <c r="IX121">
        <v>2.5305200000000001</v>
      </c>
      <c r="IY121">
        <v>1.49414</v>
      </c>
      <c r="IZ121">
        <v>2.3034699999999999</v>
      </c>
      <c r="JA121">
        <v>1.69434</v>
      </c>
      <c r="JB121">
        <v>2.3999000000000001</v>
      </c>
      <c r="JC121">
        <v>39.416600000000003</v>
      </c>
      <c r="JD121">
        <v>23.9999</v>
      </c>
      <c r="JE121">
        <v>18</v>
      </c>
      <c r="JF121">
        <v>512.07600000000002</v>
      </c>
      <c r="JG121">
        <v>446.65600000000001</v>
      </c>
      <c r="JH121">
        <v>24.605399999999999</v>
      </c>
      <c r="JI121">
        <v>31.8918</v>
      </c>
      <c r="JJ121">
        <v>30.0002</v>
      </c>
      <c r="JK121">
        <v>31.833500000000001</v>
      </c>
      <c r="JL121">
        <v>31.803999999999998</v>
      </c>
      <c r="JM121">
        <v>3.17855</v>
      </c>
      <c r="JN121">
        <v>46.418399999999998</v>
      </c>
      <c r="JO121">
        <v>0</v>
      </c>
      <c r="JP121">
        <v>24.597000000000001</v>
      </c>
      <c r="JQ121">
        <v>10</v>
      </c>
      <c r="JR121">
        <v>16.353200000000001</v>
      </c>
      <c r="JS121">
        <v>99.124600000000001</v>
      </c>
      <c r="JT121">
        <v>99.516300000000001</v>
      </c>
    </row>
    <row r="122" spans="1:280" x14ac:dyDescent="0.25">
      <c r="A122">
        <v>106</v>
      </c>
      <c r="B122">
        <v>1674599682.5</v>
      </c>
      <c r="C122">
        <v>25629.900000095371</v>
      </c>
      <c r="D122" t="s">
        <v>955</v>
      </c>
      <c r="E122" t="s">
        <v>956</v>
      </c>
      <c r="F122" t="s">
        <v>412</v>
      </c>
      <c r="G122" t="s">
        <v>921</v>
      </c>
      <c r="H122" t="s">
        <v>636</v>
      </c>
      <c r="I122">
        <v>1674599682.5</v>
      </c>
      <c r="J122">
        <f t="shared" si="138"/>
        <v>6.9016132279234787E-3</v>
      </c>
      <c r="K122">
        <f t="shared" si="139"/>
        <v>6.9016132279234785</v>
      </c>
      <c r="L122">
        <f t="shared" si="140"/>
        <v>42.446091449414055</v>
      </c>
      <c r="M122">
        <f t="shared" si="141"/>
        <v>346.21100000000001</v>
      </c>
      <c r="N122">
        <f t="shared" si="142"/>
        <v>219.5749481444636</v>
      </c>
      <c r="O122">
        <f t="shared" si="143"/>
        <v>21.879648403058322</v>
      </c>
      <c r="P122">
        <f t="shared" si="144"/>
        <v>34.4983570178847</v>
      </c>
      <c r="Q122">
        <f t="shared" si="145"/>
        <v>0.61687673688261635</v>
      </c>
      <c r="R122">
        <f t="shared" si="146"/>
        <v>2.9218971905426505</v>
      </c>
      <c r="S122">
        <f t="shared" si="147"/>
        <v>0.5526163792591825</v>
      </c>
      <c r="T122">
        <f t="shared" si="148"/>
        <v>0.35059928583375632</v>
      </c>
      <c r="U122">
        <f t="shared" si="149"/>
        <v>344.33010126414814</v>
      </c>
      <c r="V122">
        <f t="shared" si="150"/>
        <v>28.234516107006229</v>
      </c>
      <c r="W122">
        <f t="shared" si="151"/>
        <v>27.431000000000001</v>
      </c>
      <c r="X122">
        <f t="shared" si="152"/>
        <v>3.6707687108528271</v>
      </c>
      <c r="Y122">
        <f t="shared" si="153"/>
        <v>64.952440013735753</v>
      </c>
      <c r="Z122">
        <f t="shared" si="154"/>
        <v>2.4646110689982597</v>
      </c>
      <c r="AA122">
        <f t="shared" si="155"/>
        <v>3.7944857321404073</v>
      </c>
      <c r="AB122">
        <f t="shared" si="156"/>
        <v>1.2061576418545674</v>
      </c>
      <c r="AC122">
        <f t="shared" si="157"/>
        <v>-304.36114335142543</v>
      </c>
      <c r="AD122">
        <f t="shared" si="158"/>
        <v>89.379867326350066</v>
      </c>
      <c r="AE122">
        <f t="shared" si="159"/>
        <v>6.6489083194890091</v>
      </c>
      <c r="AF122">
        <f t="shared" si="160"/>
        <v>135.99773355856178</v>
      </c>
      <c r="AG122">
        <v>0</v>
      </c>
      <c r="AH122">
        <v>0</v>
      </c>
      <c r="AI122">
        <f t="shared" si="161"/>
        <v>1</v>
      </c>
      <c r="AJ122">
        <f t="shared" si="162"/>
        <v>0</v>
      </c>
      <c r="AK122">
        <f t="shared" si="163"/>
        <v>52471.810443816605</v>
      </c>
      <c r="AL122" t="s">
        <v>415</v>
      </c>
      <c r="AM122">
        <v>10214.9</v>
      </c>
      <c r="AN122">
        <v>729.4384</v>
      </c>
      <c r="AO122">
        <v>3170.19</v>
      </c>
      <c r="AP122">
        <f t="shared" si="164"/>
        <v>0.76990704027203416</v>
      </c>
      <c r="AQ122">
        <v>-0.45549566560547827</v>
      </c>
      <c r="AR122" t="s">
        <v>957</v>
      </c>
      <c r="AS122">
        <v>10089.5</v>
      </c>
      <c r="AT122">
        <v>775.08864000000005</v>
      </c>
      <c r="AU122">
        <v>1053.9010239431</v>
      </c>
      <c r="AV122">
        <f t="shared" si="165"/>
        <v>0.26455272137410213</v>
      </c>
      <c r="AW122">
        <v>0.5</v>
      </c>
      <c r="AX122">
        <f t="shared" si="166"/>
        <v>1513.0086006320739</v>
      </c>
      <c r="AY122">
        <f t="shared" si="167"/>
        <v>42.446091449414055</v>
      </c>
      <c r="AZ122">
        <f t="shared" si="168"/>
        <v>200.13527137981862</v>
      </c>
      <c r="BA122">
        <f t="shared" si="169"/>
        <v>2.8355150854461091E-2</v>
      </c>
      <c r="BB122">
        <f t="shared" si="170"/>
        <v>2.008052870220153</v>
      </c>
      <c r="BC122">
        <f t="shared" si="171"/>
        <v>498.91862372660563</v>
      </c>
      <c r="BD122" t="s">
        <v>958</v>
      </c>
      <c r="BE122">
        <v>570.22</v>
      </c>
      <c r="BF122">
        <f t="shared" si="172"/>
        <v>570.22</v>
      </c>
      <c r="BG122">
        <f t="shared" si="173"/>
        <v>0.45894349939374746</v>
      </c>
      <c r="BH122">
        <f t="shared" si="174"/>
        <v>0.57643854139685935</v>
      </c>
      <c r="BI122">
        <f t="shared" si="175"/>
        <v>0.81396669040677383</v>
      </c>
      <c r="BJ122">
        <f t="shared" si="176"/>
        <v>0.85930508899537961</v>
      </c>
      <c r="BK122">
        <f t="shared" si="177"/>
        <v>0.86706446328126963</v>
      </c>
      <c r="BL122">
        <f t="shared" si="178"/>
        <v>0.42407638057412006</v>
      </c>
      <c r="BM122">
        <f t="shared" si="179"/>
        <v>0.57592361942587988</v>
      </c>
      <c r="BN122">
        <v>9268</v>
      </c>
      <c r="BO122">
        <v>290.00000000000011</v>
      </c>
      <c r="BP122">
        <v>989.81</v>
      </c>
      <c r="BQ122">
        <v>295</v>
      </c>
      <c r="BR122">
        <v>10089.5</v>
      </c>
      <c r="BS122">
        <v>991.2</v>
      </c>
      <c r="BT122">
        <v>-1.39</v>
      </c>
      <c r="BU122">
        <v>300.00000000000011</v>
      </c>
      <c r="BV122">
        <v>24.2</v>
      </c>
      <c r="BW122">
        <v>1053.9010239431</v>
      </c>
      <c r="BX122">
        <v>2.4336835849866949</v>
      </c>
      <c r="BY122">
        <v>-63.261955659647427</v>
      </c>
      <c r="BZ122">
        <v>2.1869058162070192</v>
      </c>
      <c r="CA122">
        <v>0.96762281668022498</v>
      </c>
      <c r="CB122">
        <v>-6.8982008898776483E-3</v>
      </c>
      <c r="CC122">
        <v>289.99999999999989</v>
      </c>
      <c r="CD122">
        <v>992.8</v>
      </c>
      <c r="CE122">
        <v>655</v>
      </c>
      <c r="CF122">
        <v>10073.200000000001</v>
      </c>
      <c r="CG122">
        <v>991.1</v>
      </c>
      <c r="CH122">
        <v>1.7</v>
      </c>
      <c r="CV122">
        <f t="shared" si="180"/>
        <v>1799.79</v>
      </c>
      <c r="CW122">
        <f t="shared" si="181"/>
        <v>1513.0086006320739</v>
      </c>
      <c r="CX122">
        <f t="shared" si="182"/>
        <v>0.84065841049904377</v>
      </c>
      <c r="CY122">
        <f t="shared" si="183"/>
        <v>0.19131682099808764</v>
      </c>
      <c r="CZ122">
        <v>6</v>
      </c>
      <c r="DA122">
        <v>0.5</v>
      </c>
      <c r="DB122" t="s">
        <v>418</v>
      </c>
      <c r="DC122">
        <v>2</v>
      </c>
      <c r="DD122">
        <v>1674599682.5</v>
      </c>
      <c r="DE122">
        <v>346.21100000000001</v>
      </c>
      <c r="DF122">
        <v>400.005</v>
      </c>
      <c r="DG122">
        <v>24.733799999999999</v>
      </c>
      <c r="DH122">
        <v>16.658000000000001</v>
      </c>
      <c r="DI122">
        <v>344.649</v>
      </c>
      <c r="DJ122">
        <v>24.6294</v>
      </c>
      <c r="DK122">
        <v>500.08</v>
      </c>
      <c r="DL122">
        <v>99.545500000000004</v>
      </c>
      <c r="DM122">
        <v>9.9967700000000007E-2</v>
      </c>
      <c r="DN122">
        <v>27.9984</v>
      </c>
      <c r="DO122">
        <v>27.431000000000001</v>
      </c>
      <c r="DP122">
        <v>999.9</v>
      </c>
      <c r="DQ122">
        <v>0</v>
      </c>
      <c r="DR122">
        <v>0</v>
      </c>
      <c r="DS122">
        <v>10001.9</v>
      </c>
      <c r="DT122">
        <v>0</v>
      </c>
      <c r="DU122">
        <v>176.97200000000001</v>
      </c>
      <c r="DV122">
        <v>-53.793599999999998</v>
      </c>
      <c r="DW122">
        <v>354.99099999999999</v>
      </c>
      <c r="DX122">
        <v>406.78100000000001</v>
      </c>
      <c r="DY122">
        <v>8.0757899999999996</v>
      </c>
      <c r="DZ122">
        <v>400.005</v>
      </c>
      <c r="EA122">
        <v>16.658000000000001</v>
      </c>
      <c r="EB122">
        <v>2.4621400000000002</v>
      </c>
      <c r="EC122">
        <v>1.6582300000000001</v>
      </c>
      <c r="ED122">
        <v>20.778400000000001</v>
      </c>
      <c r="EE122">
        <v>14.5108</v>
      </c>
      <c r="EF122">
        <v>1799.79</v>
      </c>
      <c r="EG122">
        <v>0.97799199999999997</v>
      </c>
      <c r="EH122">
        <v>2.20085E-2</v>
      </c>
      <c r="EI122">
        <v>0</v>
      </c>
      <c r="EJ122">
        <v>774.11699999999996</v>
      </c>
      <c r="EK122">
        <v>4.9990399999999999</v>
      </c>
      <c r="EL122">
        <v>14313</v>
      </c>
      <c r="EM122">
        <v>14819</v>
      </c>
      <c r="EN122">
        <v>48.875</v>
      </c>
      <c r="EO122">
        <v>50.311999999999998</v>
      </c>
      <c r="EP122">
        <v>49.875</v>
      </c>
      <c r="EQ122">
        <v>48.75</v>
      </c>
      <c r="ER122">
        <v>49.686999999999998</v>
      </c>
      <c r="ES122">
        <v>1755.29</v>
      </c>
      <c r="ET122">
        <v>39.5</v>
      </c>
      <c r="EU122">
        <v>0</v>
      </c>
      <c r="EV122">
        <v>187.4000000953674</v>
      </c>
      <c r="EW122">
        <v>0</v>
      </c>
      <c r="EX122">
        <v>775.08864000000005</v>
      </c>
      <c r="EY122">
        <v>-9.4074615169956584</v>
      </c>
      <c r="EZ122">
        <v>-171.63076902472719</v>
      </c>
      <c r="FA122">
        <v>14334.96</v>
      </c>
      <c r="FB122">
        <v>15</v>
      </c>
      <c r="FC122">
        <v>1674599576</v>
      </c>
      <c r="FD122" t="s">
        <v>959</v>
      </c>
      <c r="FE122">
        <v>1674599556.5</v>
      </c>
      <c r="FF122">
        <v>1674599576</v>
      </c>
      <c r="FG122">
        <v>119</v>
      </c>
      <c r="FH122">
        <v>0.21299999999999999</v>
      </c>
      <c r="FI122">
        <v>2E-3</v>
      </c>
      <c r="FJ122">
        <v>1.651</v>
      </c>
      <c r="FK122">
        <v>2.5999999999999999E-2</v>
      </c>
      <c r="FL122">
        <v>401</v>
      </c>
      <c r="FM122">
        <v>16</v>
      </c>
      <c r="FN122">
        <v>0.06</v>
      </c>
      <c r="FO122">
        <v>0.02</v>
      </c>
      <c r="FP122">
        <v>41.409856661538647</v>
      </c>
      <c r="FQ122">
        <v>5.9056216257539162</v>
      </c>
      <c r="FR122">
        <v>0.58282248610443965</v>
      </c>
      <c r="FS122">
        <v>0</v>
      </c>
      <c r="FT122">
        <v>0.61299423987550428</v>
      </c>
      <c r="FU122">
        <v>-1.2541413976599649E-3</v>
      </c>
      <c r="FV122">
        <v>2.7198391990460261E-3</v>
      </c>
      <c r="FW122">
        <v>1</v>
      </c>
      <c r="FX122">
        <v>1</v>
      </c>
      <c r="FY122">
        <v>2</v>
      </c>
      <c r="FZ122" t="s">
        <v>459</v>
      </c>
      <c r="GA122">
        <v>2.9329499999999999</v>
      </c>
      <c r="GB122">
        <v>2.83344</v>
      </c>
      <c r="GC122">
        <v>8.0454899999999996E-2</v>
      </c>
      <c r="GD122">
        <v>8.8520100000000004E-2</v>
      </c>
      <c r="GE122">
        <v>0.12166299999999999</v>
      </c>
      <c r="GF122">
        <v>8.8997900000000005E-2</v>
      </c>
      <c r="GG122">
        <v>23820</v>
      </c>
      <c r="GH122">
        <v>29708.6</v>
      </c>
      <c r="GI122">
        <v>23307.4</v>
      </c>
      <c r="GJ122">
        <v>29863.4</v>
      </c>
      <c r="GK122">
        <v>27859.4</v>
      </c>
      <c r="GL122">
        <v>38695</v>
      </c>
      <c r="GM122">
        <v>32905.199999999997</v>
      </c>
      <c r="GN122">
        <v>44311.8</v>
      </c>
      <c r="GO122">
        <v>1.96607</v>
      </c>
      <c r="GP122">
        <v>1.8323</v>
      </c>
      <c r="GQ122">
        <v>3.68729E-2</v>
      </c>
      <c r="GR122">
        <v>0</v>
      </c>
      <c r="GS122">
        <v>26.828199999999999</v>
      </c>
      <c r="GT122">
        <v>999.9</v>
      </c>
      <c r="GU122">
        <v>47.7</v>
      </c>
      <c r="GV122">
        <v>35.299999999999997</v>
      </c>
      <c r="GW122">
        <v>27.521100000000001</v>
      </c>
      <c r="GX122">
        <v>61.527900000000002</v>
      </c>
      <c r="GY122">
        <v>36.374200000000002</v>
      </c>
      <c r="GZ122">
        <v>1</v>
      </c>
      <c r="HA122">
        <v>0.36912899999999998</v>
      </c>
      <c r="HB122">
        <v>2.4727399999999999</v>
      </c>
      <c r="HC122">
        <v>20.255299999999998</v>
      </c>
      <c r="HD122">
        <v>5.2099500000000001</v>
      </c>
      <c r="HE122">
        <v>11.872199999999999</v>
      </c>
      <c r="HF122">
        <v>4.9848999999999997</v>
      </c>
      <c r="HG122">
        <v>3.2839999999999998</v>
      </c>
      <c r="HH122">
        <v>9999</v>
      </c>
      <c r="HI122">
        <v>9999</v>
      </c>
      <c r="HJ122">
        <v>9999</v>
      </c>
      <c r="HK122">
        <v>999.9</v>
      </c>
      <c r="HL122">
        <v>1.8546199999999999</v>
      </c>
      <c r="HM122">
        <v>1.8607199999999999</v>
      </c>
      <c r="HN122">
        <v>1.85808</v>
      </c>
      <c r="HO122">
        <v>1.8592900000000001</v>
      </c>
      <c r="HP122">
        <v>1.85867</v>
      </c>
      <c r="HQ122">
        <v>1.8592500000000001</v>
      </c>
      <c r="HR122">
        <v>1.8575900000000001</v>
      </c>
      <c r="HS122">
        <v>1.8609199999999999</v>
      </c>
      <c r="HT122">
        <v>5</v>
      </c>
      <c r="HU122">
        <v>0</v>
      </c>
      <c r="HV122">
        <v>0</v>
      </c>
      <c r="HW122">
        <v>0</v>
      </c>
      <c r="HX122" t="s">
        <v>421</v>
      </c>
      <c r="HY122" t="s">
        <v>422</v>
      </c>
      <c r="HZ122" t="s">
        <v>423</v>
      </c>
      <c r="IA122" t="s">
        <v>423</v>
      </c>
      <c r="IB122" t="s">
        <v>423</v>
      </c>
      <c r="IC122" t="s">
        <v>423</v>
      </c>
      <c r="ID122">
        <v>0</v>
      </c>
      <c r="IE122">
        <v>100</v>
      </c>
      <c r="IF122">
        <v>100</v>
      </c>
      <c r="IG122">
        <v>1.5620000000000001</v>
      </c>
      <c r="IH122">
        <v>0.10440000000000001</v>
      </c>
      <c r="II122">
        <v>0.99669258977303854</v>
      </c>
      <c r="IJ122">
        <v>1.6187016317407189E-3</v>
      </c>
      <c r="IK122">
        <v>1.4341569744255341E-7</v>
      </c>
      <c r="IL122">
        <v>-2.4096625942085749E-10</v>
      </c>
      <c r="IM122">
        <v>0.1044181684059957</v>
      </c>
      <c r="IN122">
        <v>0</v>
      </c>
      <c r="IO122">
        <v>0</v>
      </c>
      <c r="IP122">
        <v>0</v>
      </c>
      <c r="IQ122">
        <v>4</v>
      </c>
      <c r="IR122">
        <v>2205</v>
      </c>
      <c r="IS122">
        <v>1</v>
      </c>
      <c r="IT122">
        <v>21</v>
      </c>
      <c r="IU122">
        <v>2.1</v>
      </c>
      <c r="IV122">
        <v>1.8</v>
      </c>
      <c r="IW122">
        <v>0.98510699999999995</v>
      </c>
      <c r="IX122">
        <v>2.47803</v>
      </c>
      <c r="IY122">
        <v>1.49414</v>
      </c>
      <c r="IZ122">
        <v>2.3034699999999999</v>
      </c>
      <c r="JA122">
        <v>1.69434</v>
      </c>
      <c r="JB122">
        <v>2.36084</v>
      </c>
      <c r="JC122">
        <v>39.441600000000001</v>
      </c>
      <c r="JD122">
        <v>23.9999</v>
      </c>
      <c r="JE122">
        <v>18</v>
      </c>
      <c r="JF122">
        <v>511.83</v>
      </c>
      <c r="JG122">
        <v>447.39600000000002</v>
      </c>
      <c r="JH122">
        <v>24.596599999999999</v>
      </c>
      <c r="JI122">
        <v>31.950800000000001</v>
      </c>
      <c r="JJ122">
        <v>30.000299999999999</v>
      </c>
      <c r="JK122">
        <v>31.864799999999999</v>
      </c>
      <c r="JL122">
        <v>31.834800000000001</v>
      </c>
      <c r="JM122">
        <v>19.796399999999998</v>
      </c>
      <c r="JN122">
        <v>45.655299999999997</v>
      </c>
      <c r="JO122">
        <v>0</v>
      </c>
      <c r="JP122">
        <v>24.597200000000001</v>
      </c>
      <c r="JQ122">
        <v>400</v>
      </c>
      <c r="JR122">
        <v>16.659700000000001</v>
      </c>
      <c r="JS122">
        <v>99.114800000000002</v>
      </c>
      <c r="JT122">
        <v>99.507900000000006</v>
      </c>
    </row>
    <row r="123" spans="1:280" x14ac:dyDescent="0.25">
      <c r="A123">
        <v>107</v>
      </c>
      <c r="B123">
        <v>1674599789.5</v>
      </c>
      <c r="C123">
        <v>25736.900000095371</v>
      </c>
      <c r="D123" t="s">
        <v>960</v>
      </c>
      <c r="E123" t="s">
        <v>961</v>
      </c>
      <c r="F123" t="s">
        <v>412</v>
      </c>
      <c r="G123" t="s">
        <v>921</v>
      </c>
      <c r="H123" t="s">
        <v>636</v>
      </c>
      <c r="I123">
        <v>1674599789.5</v>
      </c>
      <c r="J123">
        <f t="shared" si="138"/>
        <v>6.5625798927171561E-3</v>
      </c>
      <c r="K123">
        <f t="shared" si="139"/>
        <v>6.5625798927171557</v>
      </c>
      <c r="L123">
        <f t="shared" si="140"/>
        <v>48.606240541918197</v>
      </c>
      <c r="M123">
        <f t="shared" si="141"/>
        <v>339.08699999999999</v>
      </c>
      <c r="N123">
        <f t="shared" si="142"/>
        <v>188.86081310757996</v>
      </c>
      <c r="O123">
        <f t="shared" si="143"/>
        <v>18.819921573748687</v>
      </c>
      <c r="P123">
        <f t="shared" si="144"/>
        <v>33.789914602573504</v>
      </c>
      <c r="Q123">
        <f t="shared" si="145"/>
        <v>0.58701448720321892</v>
      </c>
      <c r="R123">
        <f t="shared" si="146"/>
        <v>2.9216400601900894</v>
      </c>
      <c r="S123">
        <f t="shared" si="147"/>
        <v>0.52850530144880847</v>
      </c>
      <c r="T123">
        <f t="shared" si="148"/>
        <v>0.33508532323541274</v>
      </c>
      <c r="U123">
        <f t="shared" si="149"/>
        <v>344.37190126399366</v>
      </c>
      <c r="V123">
        <f t="shared" si="150"/>
        <v>28.329413243217374</v>
      </c>
      <c r="W123">
        <f t="shared" si="151"/>
        <v>27.4651</v>
      </c>
      <c r="X123">
        <f t="shared" si="152"/>
        <v>3.6781032384016252</v>
      </c>
      <c r="Y123">
        <f t="shared" si="153"/>
        <v>65.30648331112161</v>
      </c>
      <c r="Z123">
        <f t="shared" si="154"/>
        <v>2.4789554556613504</v>
      </c>
      <c r="AA123">
        <f t="shared" si="155"/>
        <v>3.7958795665838396</v>
      </c>
      <c r="AB123">
        <f t="shared" si="156"/>
        <v>1.1991477827402748</v>
      </c>
      <c r="AC123">
        <f t="shared" si="157"/>
        <v>-289.4097732688266</v>
      </c>
      <c r="AD123">
        <f t="shared" si="158"/>
        <v>84.993183235912809</v>
      </c>
      <c r="AE123">
        <f t="shared" si="159"/>
        <v>6.3244160650771457</v>
      </c>
      <c r="AF123">
        <f t="shared" si="160"/>
        <v>146.27972729615703</v>
      </c>
      <c r="AG123">
        <v>0</v>
      </c>
      <c r="AH123">
        <v>0</v>
      </c>
      <c r="AI123">
        <f t="shared" si="161"/>
        <v>1</v>
      </c>
      <c r="AJ123">
        <f t="shared" si="162"/>
        <v>0</v>
      </c>
      <c r="AK123">
        <f t="shared" si="163"/>
        <v>52463.418392740452</v>
      </c>
      <c r="AL123" t="s">
        <v>415</v>
      </c>
      <c r="AM123">
        <v>10214.9</v>
      </c>
      <c r="AN123">
        <v>729.4384</v>
      </c>
      <c r="AO123">
        <v>3170.19</v>
      </c>
      <c r="AP123">
        <f t="shared" si="164"/>
        <v>0.76990704027203416</v>
      </c>
      <c r="AQ123">
        <v>-0.45549566560547827</v>
      </c>
      <c r="AR123" t="s">
        <v>962</v>
      </c>
      <c r="AS123">
        <v>10089.4</v>
      </c>
      <c r="AT123">
        <v>764.70323076923091</v>
      </c>
      <c r="AU123">
        <v>1092.2241952746051</v>
      </c>
      <c r="AV123">
        <f t="shared" si="165"/>
        <v>0.29986605856412973</v>
      </c>
      <c r="AW123">
        <v>0.5</v>
      </c>
      <c r="AX123">
        <f t="shared" si="166"/>
        <v>1513.1934006319968</v>
      </c>
      <c r="AY123">
        <f t="shared" si="167"/>
        <v>48.606240541918197</v>
      </c>
      <c r="AZ123">
        <f t="shared" si="168"/>
        <v>226.87767044638449</v>
      </c>
      <c r="BA123">
        <f t="shared" si="169"/>
        <v>3.2422647486456561E-2</v>
      </c>
      <c r="BB123">
        <f t="shared" si="170"/>
        <v>1.9025084902124483</v>
      </c>
      <c r="BC123">
        <f t="shared" si="171"/>
        <v>507.345830155702</v>
      </c>
      <c r="BD123" t="s">
        <v>963</v>
      </c>
      <c r="BE123">
        <v>571.53</v>
      </c>
      <c r="BF123">
        <f t="shared" si="172"/>
        <v>571.53</v>
      </c>
      <c r="BG123">
        <f t="shared" si="173"/>
        <v>0.47672831047630571</v>
      </c>
      <c r="BH123">
        <f t="shared" si="174"/>
        <v>0.6290082883152659</v>
      </c>
      <c r="BI123">
        <f t="shared" si="175"/>
        <v>0.79962973406501636</v>
      </c>
      <c r="BJ123">
        <f t="shared" si="176"/>
        <v>0.90279434523466462</v>
      </c>
      <c r="BK123">
        <f t="shared" si="177"/>
        <v>0.85136308206267086</v>
      </c>
      <c r="BL123">
        <f t="shared" si="178"/>
        <v>0.47011323158553708</v>
      </c>
      <c r="BM123">
        <f t="shared" si="179"/>
        <v>0.52988676841446292</v>
      </c>
      <c r="BN123">
        <v>9270</v>
      </c>
      <c r="BO123">
        <v>290.00000000000011</v>
      </c>
      <c r="BP123">
        <v>1017.9</v>
      </c>
      <c r="BQ123">
        <v>295</v>
      </c>
      <c r="BR123">
        <v>10089.4</v>
      </c>
      <c r="BS123">
        <v>1019.57</v>
      </c>
      <c r="BT123">
        <v>-1.67</v>
      </c>
      <c r="BU123">
        <v>300.00000000000011</v>
      </c>
      <c r="BV123">
        <v>24.2</v>
      </c>
      <c r="BW123">
        <v>1092.2241952746051</v>
      </c>
      <c r="BX123">
        <v>2.5186571070866051</v>
      </c>
      <c r="BY123">
        <v>-73.298931379127865</v>
      </c>
      <c r="BZ123">
        <v>2.2632306804659521</v>
      </c>
      <c r="CA123">
        <v>0.97399965027391011</v>
      </c>
      <c r="CB123">
        <v>-6.8982180200222402E-3</v>
      </c>
      <c r="CC123">
        <v>289.99999999999989</v>
      </c>
      <c r="CD123">
        <v>1021.62</v>
      </c>
      <c r="CE123">
        <v>655</v>
      </c>
      <c r="CF123">
        <v>10073</v>
      </c>
      <c r="CG123">
        <v>1019.46</v>
      </c>
      <c r="CH123">
        <v>2.16</v>
      </c>
      <c r="CV123">
        <f t="shared" si="180"/>
        <v>1800.01</v>
      </c>
      <c r="CW123">
        <f t="shared" si="181"/>
        <v>1513.1934006319968</v>
      </c>
      <c r="CX123">
        <f t="shared" si="182"/>
        <v>0.84065833002705359</v>
      </c>
      <c r="CY123">
        <f t="shared" si="183"/>
        <v>0.1913166600541073</v>
      </c>
      <c r="CZ123">
        <v>6</v>
      </c>
      <c r="DA123">
        <v>0.5</v>
      </c>
      <c r="DB123" t="s">
        <v>418</v>
      </c>
      <c r="DC123">
        <v>2</v>
      </c>
      <c r="DD123">
        <v>1674599789.5</v>
      </c>
      <c r="DE123">
        <v>339.08699999999999</v>
      </c>
      <c r="DF123">
        <v>400.07299999999998</v>
      </c>
      <c r="DG123">
        <v>24.8767</v>
      </c>
      <c r="DH123">
        <v>17.199000000000002</v>
      </c>
      <c r="DI123">
        <v>337.67399999999998</v>
      </c>
      <c r="DJ123">
        <v>24.767700000000001</v>
      </c>
      <c r="DK123">
        <v>500.09699999999998</v>
      </c>
      <c r="DL123">
        <v>99.549800000000005</v>
      </c>
      <c r="DM123">
        <v>9.9890499999999993E-2</v>
      </c>
      <c r="DN123">
        <v>28.0047</v>
      </c>
      <c r="DO123">
        <v>27.4651</v>
      </c>
      <c r="DP123">
        <v>999.9</v>
      </c>
      <c r="DQ123">
        <v>0</v>
      </c>
      <c r="DR123">
        <v>0</v>
      </c>
      <c r="DS123">
        <v>10000</v>
      </c>
      <c r="DT123">
        <v>0</v>
      </c>
      <c r="DU123">
        <v>175.934</v>
      </c>
      <c r="DV123">
        <v>-60.986400000000003</v>
      </c>
      <c r="DW123">
        <v>347.73700000000002</v>
      </c>
      <c r="DX123">
        <v>407.07400000000001</v>
      </c>
      <c r="DY123">
        <v>7.6777300000000004</v>
      </c>
      <c r="DZ123">
        <v>400.07299999999998</v>
      </c>
      <c r="EA123">
        <v>17.199000000000002</v>
      </c>
      <c r="EB123">
        <v>2.4764699999999999</v>
      </c>
      <c r="EC123">
        <v>1.7121599999999999</v>
      </c>
      <c r="ED123">
        <v>20.872699999999998</v>
      </c>
      <c r="EE123">
        <v>15.007099999999999</v>
      </c>
      <c r="EF123">
        <v>1800.01</v>
      </c>
      <c r="EG123">
        <v>0.97799499999999995</v>
      </c>
      <c r="EH123">
        <v>2.2004800000000001E-2</v>
      </c>
      <c r="EI123">
        <v>0</v>
      </c>
      <c r="EJ123">
        <v>764.55700000000002</v>
      </c>
      <c r="EK123">
        <v>4.9990399999999999</v>
      </c>
      <c r="EL123">
        <v>14152</v>
      </c>
      <c r="EM123">
        <v>14820.7</v>
      </c>
      <c r="EN123">
        <v>48.936999999999998</v>
      </c>
      <c r="EO123">
        <v>50.375</v>
      </c>
      <c r="EP123">
        <v>49.875</v>
      </c>
      <c r="EQ123">
        <v>48.811999999999998</v>
      </c>
      <c r="ER123">
        <v>49.75</v>
      </c>
      <c r="ES123">
        <v>1755.51</v>
      </c>
      <c r="ET123">
        <v>39.5</v>
      </c>
      <c r="EU123">
        <v>0</v>
      </c>
      <c r="EV123">
        <v>105.2000000476837</v>
      </c>
      <c r="EW123">
        <v>0</v>
      </c>
      <c r="EX123">
        <v>764.70323076923091</v>
      </c>
      <c r="EY123">
        <v>0.88841026494016662</v>
      </c>
      <c r="EZ123">
        <v>15.217094005945601</v>
      </c>
      <c r="FA123">
        <v>14150.05</v>
      </c>
      <c r="FB123">
        <v>15</v>
      </c>
      <c r="FC123">
        <v>1674599757.5</v>
      </c>
      <c r="FD123" t="s">
        <v>964</v>
      </c>
      <c r="FE123">
        <v>1674599745</v>
      </c>
      <c r="FF123">
        <v>1674599757.5</v>
      </c>
      <c r="FG123">
        <v>120</v>
      </c>
      <c r="FH123">
        <v>-0.13800000000000001</v>
      </c>
      <c r="FI123">
        <v>5.0000000000000001E-3</v>
      </c>
      <c r="FJ123">
        <v>1.512</v>
      </c>
      <c r="FK123">
        <v>4.1000000000000002E-2</v>
      </c>
      <c r="FL123">
        <v>400</v>
      </c>
      <c r="FM123">
        <v>17</v>
      </c>
      <c r="FN123">
        <v>0.03</v>
      </c>
      <c r="FO123">
        <v>0.01</v>
      </c>
      <c r="FP123">
        <v>48.344229442129347</v>
      </c>
      <c r="FQ123">
        <v>0.69170136205903465</v>
      </c>
      <c r="FR123">
        <v>9.255238870257039E-2</v>
      </c>
      <c r="FS123">
        <v>1</v>
      </c>
      <c r="FT123">
        <v>0.58684003028995002</v>
      </c>
      <c r="FU123">
        <v>3.7132518170725132E-2</v>
      </c>
      <c r="FV123">
        <v>7.419494515058577E-3</v>
      </c>
      <c r="FW123">
        <v>1</v>
      </c>
      <c r="FX123">
        <v>2</v>
      </c>
      <c r="FY123">
        <v>2</v>
      </c>
      <c r="FZ123" t="s">
        <v>420</v>
      </c>
      <c r="GA123">
        <v>2.9329399999999999</v>
      </c>
      <c r="GB123">
        <v>2.8333499999999998</v>
      </c>
      <c r="GC123">
        <v>7.9159599999999997E-2</v>
      </c>
      <c r="GD123">
        <v>8.8533000000000001E-2</v>
      </c>
      <c r="GE123">
        <v>0.12213400000000001</v>
      </c>
      <c r="GF123">
        <v>9.10522E-2</v>
      </c>
      <c r="GG123">
        <v>23852.9</v>
      </c>
      <c r="GH123">
        <v>29706.6</v>
      </c>
      <c r="GI123">
        <v>23306.9</v>
      </c>
      <c r="GJ123">
        <v>29862</v>
      </c>
      <c r="GK123">
        <v>27843.8</v>
      </c>
      <c r="GL123">
        <v>38605.5</v>
      </c>
      <c r="GM123">
        <v>32904.400000000001</v>
      </c>
      <c r="GN123">
        <v>44310.3</v>
      </c>
      <c r="GO123">
        <v>1.9648300000000001</v>
      </c>
      <c r="GP123">
        <v>1.8321799999999999</v>
      </c>
      <c r="GQ123">
        <v>3.9767499999999997E-2</v>
      </c>
      <c r="GR123">
        <v>0</v>
      </c>
      <c r="GS123">
        <v>26.814900000000002</v>
      </c>
      <c r="GT123">
        <v>999.9</v>
      </c>
      <c r="GU123">
        <v>47.7</v>
      </c>
      <c r="GV123">
        <v>35.299999999999997</v>
      </c>
      <c r="GW123">
        <v>27.515699999999999</v>
      </c>
      <c r="GX123">
        <v>61.5379</v>
      </c>
      <c r="GY123">
        <v>36.129800000000003</v>
      </c>
      <c r="GZ123">
        <v>1</v>
      </c>
      <c r="HA123">
        <v>0.372332</v>
      </c>
      <c r="HB123">
        <v>2.5128699999999999</v>
      </c>
      <c r="HC123">
        <v>20.2546</v>
      </c>
      <c r="HD123">
        <v>5.2102500000000003</v>
      </c>
      <c r="HE123">
        <v>11.872199999999999</v>
      </c>
      <c r="HF123">
        <v>4.9852499999999997</v>
      </c>
      <c r="HG123">
        <v>3.2839999999999998</v>
      </c>
      <c r="HH123">
        <v>9999</v>
      </c>
      <c r="HI123">
        <v>9999</v>
      </c>
      <c r="HJ123">
        <v>9999</v>
      </c>
      <c r="HK123">
        <v>999.9</v>
      </c>
      <c r="HL123">
        <v>1.85467</v>
      </c>
      <c r="HM123">
        <v>1.86067</v>
      </c>
      <c r="HN123">
        <v>1.8580700000000001</v>
      </c>
      <c r="HO123">
        <v>1.8592900000000001</v>
      </c>
      <c r="HP123">
        <v>1.85867</v>
      </c>
      <c r="HQ123">
        <v>1.8592</v>
      </c>
      <c r="HR123">
        <v>1.8575900000000001</v>
      </c>
      <c r="HS123">
        <v>1.86093</v>
      </c>
      <c r="HT123">
        <v>5</v>
      </c>
      <c r="HU123">
        <v>0</v>
      </c>
      <c r="HV123">
        <v>0</v>
      </c>
      <c r="HW123">
        <v>0</v>
      </c>
      <c r="HX123" t="s">
        <v>421</v>
      </c>
      <c r="HY123" t="s">
        <v>422</v>
      </c>
      <c r="HZ123" t="s">
        <v>423</v>
      </c>
      <c r="IA123" t="s">
        <v>423</v>
      </c>
      <c r="IB123" t="s">
        <v>423</v>
      </c>
      <c r="IC123" t="s">
        <v>423</v>
      </c>
      <c r="ID123">
        <v>0</v>
      </c>
      <c r="IE123">
        <v>100</v>
      </c>
      <c r="IF123">
        <v>100</v>
      </c>
      <c r="IG123">
        <v>1.413</v>
      </c>
      <c r="IH123">
        <v>0.109</v>
      </c>
      <c r="II123">
        <v>0.85892659453354603</v>
      </c>
      <c r="IJ123">
        <v>1.6187016317407189E-3</v>
      </c>
      <c r="IK123">
        <v>1.4341569744255341E-7</v>
      </c>
      <c r="IL123">
        <v>-2.4096625942085749E-10</v>
      </c>
      <c r="IM123">
        <v>0.108987442740497</v>
      </c>
      <c r="IN123">
        <v>0</v>
      </c>
      <c r="IO123">
        <v>0</v>
      </c>
      <c r="IP123">
        <v>0</v>
      </c>
      <c r="IQ123">
        <v>4</v>
      </c>
      <c r="IR123">
        <v>2205</v>
      </c>
      <c r="IS123">
        <v>1</v>
      </c>
      <c r="IT123">
        <v>21</v>
      </c>
      <c r="IU123">
        <v>0.7</v>
      </c>
      <c r="IV123">
        <v>0.5</v>
      </c>
      <c r="IW123">
        <v>0.98632799999999998</v>
      </c>
      <c r="IX123">
        <v>2.47681</v>
      </c>
      <c r="IY123">
        <v>1.49414</v>
      </c>
      <c r="IZ123">
        <v>2.3034699999999999</v>
      </c>
      <c r="JA123">
        <v>1.69434</v>
      </c>
      <c r="JB123">
        <v>2.34985</v>
      </c>
      <c r="JC123">
        <v>39.4666</v>
      </c>
      <c r="JD123">
        <v>23.9999</v>
      </c>
      <c r="JE123">
        <v>18</v>
      </c>
      <c r="JF123">
        <v>511.29500000000002</v>
      </c>
      <c r="JG123">
        <v>447.55500000000001</v>
      </c>
      <c r="JH123">
        <v>24.560700000000001</v>
      </c>
      <c r="JI123">
        <v>31.9923</v>
      </c>
      <c r="JJ123">
        <v>30.000299999999999</v>
      </c>
      <c r="JK123">
        <v>31.898499999999999</v>
      </c>
      <c r="JL123">
        <v>31.864899999999999</v>
      </c>
      <c r="JM123">
        <v>19.8032</v>
      </c>
      <c r="JN123">
        <v>43.978200000000001</v>
      </c>
      <c r="JO123">
        <v>0</v>
      </c>
      <c r="JP123">
        <v>24.557400000000001</v>
      </c>
      <c r="JQ123">
        <v>400</v>
      </c>
      <c r="JR123">
        <v>17.168399999999998</v>
      </c>
      <c r="JS123">
        <v>99.112700000000004</v>
      </c>
      <c r="JT123">
        <v>99.504000000000005</v>
      </c>
    </row>
    <row r="124" spans="1:280" x14ac:dyDescent="0.25">
      <c r="A124">
        <v>108</v>
      </c>
      <c r="B124">
        <v>1674599893.5</v>
      </c>
      <c r="C124">
        <v>25840.900000095371</v>
      </c>
      <c r="D124" t="s">
        <v>965</v>
      </c>
      <c r="E124" t="s">
        <v>966</v>
      </c>
      <c r="F124" t="s">
        <v>412</v>
      </c>
      <c r="G124" t="s">
        <v>921</v>
      </c>
      <c r="H124" t="s">
        <v>636</v>
      </c>
      <c r="I124">
        <v>1674599893.5</v>
      </c>
      <c r="J124">
        <f t="shared" si="138"/>
        <v>6.3654649850987122E-3</v>
      </c>
      <c r="K124">
        <f t="shared" si="139"/>
        <v>6.3654649850987122</v>
      </c>
      <c r="L124">
        <f t="shared" si="140"/>
        <v>51.6449671125294</v>
      </c>
      <c r="M124">
        <f t="shared" si="141"/>
        <v>434.71100000000001</v>
      </c>
      <c r="N124">
        <f t="shared" si="142"/>
        <v>268.36468494454624</v>
      </c>
      <c r="O124">
        <f t="shared" si="143"/>
        <v>26.743272792565755</v>
      </c>
      <c r="P124">
        <f t="shared" si="144"/>
        <v>43.320136780781404</v>
      </c>
      <c r="Q124">
        <f t="shared" si="145"/>
        <v>0.56557910054698524</v>
      </c>
      <c r="R124">
        <f t="shared" si="146"/>
        <v>2.9271559275914267</v>
      </c>
      <c r="S124">
        <f t="shared" si="147"/>
        <v>0.51114501641669596</v>
      </c>
      <c r="T124">
        <f t="shared" si="148"/>
        <v>0.32391862075069877</v>
      </c>
      <c r="U124">
        <f t="shared" si="149"/>
        <v>344.35860126404282</v>
      </c>
      <c r="V124">
        <f t="shared" si="150"/>
        <v>28.375232903081955</v>
      </c>
      <c r="W124">
        <f t="shared" si="151"/>
        <v>27.489699999999999</v>
      </c>
      <c r="X124">
        <f t="shared" si="152"/>
        <v>3.6834023606323858</v>
      </c>
      <c r="Y124">
        <f t="shared" si="153"/>
        <v>65.372706044342451</v>
      </c>
      <c r="Z124">
        <f t="shared" si="154"/>
        <v>2.4807749264410806</v>
      </c>
      <c r="AA124">
        <f t="shared" si="155"/>
        <v>3.7948175569760951</v>
      </c>
      <c r="AB124">
        <f t="shared" si="156"/>
        <v>1.2026274341913052</v>
      </c>
      <c r="AC124">
        <f t="shared" si="157"/>
        <v>-280.71700584285321</v>
      </c>
      <c r="AD124">
        <f t="shared" si="158"/>
        <v>80.514065253911426</v>
      </c>
      <c r="AE124">
        <f t="shared" si="159"/>
        <v>5.9804215637404594</v>
      </c>
      <c r="AF124">
        <f t="shared" si="160"/>
        <v>150.13608223884148</v>
      </c>
      <c r="AG124">
        <v>0</v>
      </c>
      <c r="AH124">
        <v>0</v>
      </c>
      <c r="AI124">
        <f t="shared" si="161"/>
        <v>1</v>
      </c>
      <c r="AJ124">
        <f t="shared" si="162"/>
        <v>0</v>
      </c>
      <c r="AK124">
        <f t="shared" si="163"/>
        <v>52622.873132810491</v>
      </c>
      <c r="AL124" t="s">
        <v>415</v>
      </c>
      <c r="AM124">
        <v>10214.9</v>
      </c>
      <c r="AN124">
        <v>729.4384</v>
      </c>
      <c r="AO124">
        <v>3170.19</v>
      </c>
      <c r="AP124">
        <f t="shared" si="164"/>
        <v>0.76990704027203416</v>
      </c>
      <c r="AQ124">
        <v>-0.45549566560547827</v>
      </c>
      <c r="AR124" t="s">
        <v>967</v>
      </c>
      <c r="AS124">
        <v>10093.799999999999</v>
      </c>
      <c r="AT124">
        <v>767.53995999999995</v>
      </c>
      <c r="AU124">
        <v>1124.268591417986</v>
      </c>
      <c r="AV124">
        <f t="shared" si="165"/>
        <v>0.31729840550651811</v>
      </c>
      <c r="AW124">
        <v>0.5</v>
      </c>
      <c r="AX124">
        <f t="shared" si="166"/>
        <v>1513.1346006320214</v>
      </c>
      <c r="AY124">
        <f t="shared" si="167"/>
        <v>51.6449671125294</v>
      </c>
      <c r="AZ124">
        <f t="shared" si="168"/>
        <v>240.05759804864124</v>
      </c>
      <c r="BA124">
        <f t="shared" si="169"/>
        <v>3.4432140244742948E-2</v>
      </c>
      <c r="BB124">
        <f t="shared" si="170"/>
        <v>1.819779921096605</v>
      </c>
      <c r="BC124">
        <f t="shared" si="171"/>
        <v>514.15300164898031</v>
      </c>
      <c r="BD124" t="s">
        <v>968</v>
      </c>
      <c r="BE124">
        <v>574.37</v>
      </c>
      <c r="BF124">
        <f t="shared" si="172"/>
        <v>574.37</v>
      </c>
      <c r="BG124">
        <f t="shared" si="173"/>
        <v>0.48911674275666217</v>
      </c>
      <c r="BH124">
        <f t="shared" si="174"/>
        <v>0.6487171216389449</v>
      </c>
      <c r="BI124">
        <f t="shared" si="175"/>
        <v>0.78815996817268297</v>
      </c>
      <c r="BJ124">
        <f t="shared" si="176"/>
        <v>0.90349886906276677</v>
      </c>
      <c r="BK124">
        <f t="shared" si="177"/>
        <v>0.83823417695680869</v>
      </c>
      <c r="BL124">
        <f t="shared" si="178"/>
        <v>0.48545179739666039</v>
      </c>
      <c r="BM124">
        <f t="shared" si="179"/>
        <v>0.51454820260333967</v>
      </c>
      <c r="BN124">
        <v>9272</v>
      </c>
      <c r="BO124">
        <v>290.00000000000011</v>
      </c>
      <c r="BP124">
        <v>1041.1099999999999</v>
      </c>
      <c r="BQ124">
        <v>245</v>
      </c>
      <c r="BR124">
        <v>10093.799999999999</v>
      </c>
      <c r="BS124">
        <v>1041.9100000000001</v>
      </c>
      <c r="BT124">
        <v>-0.8</v>
      </c>
      <c r="BU124">
        <v>300.00000000000011</v>
      </c>
      <c r="BV124">
        <v>24.2</v>
      </c>
      <c r="BW124">
        <v>1124.268591417986</v>
      </c>
      <c r="BX124">
        <v>2.3043597876706472</v>
      </c>
      <c r="BY124">
        <v>-83.128095565325964</v>
      </c>
      <c r="BZ124">
        <v>2.0706044172148759</v>
      </c>
      <c r="CA124">
        <v>0.98292436967169772</v>
      </c>
      <c r="CB124">
        <v>-6.8980309232480538E-3</v>
      </c>
      <c r="CC124">
        <v>289.99999999999989</v>
      </c>
      <c r="CD124">
        <v>1043.6199999999999</v>
      </c>
      <c r="CE124">
        <v>655</v>
      </c>
      <c r="CF124">
        <v>10072.700000000001</v>
      </c>
      <c r="CG124">
        <v>1041.74</v>
      </c>
      <c r="CH124">
        <v>1.88</v>
      </c>
      <c r="CV124">
        <f t="shared" si="180"/>
        <v>1799.94</v>
      </c>
      <c r="CW124">
        <f t="shared" si="181"/>
        <v>1513.1346006320214</v>
      </c>
      <c r="CX124">
        <f t="shared" si="182"/>
        <v>0.84065835562964397</v>
      </c>
      <c r="CY124">
        <f t="shared" si="183"/>
        <v>0.19131671125928798</v>
      </c>
      <c r="CZ124">
        <v>6</v>
      </c>
      <c r="DA124">
        <v>0.5</v>
      </c>
      <c r="DB124" t="s">
        <v>418</v>
      </c>
      <c r="DC124">
        <v>2</v>
      </c>
      <c r="DD124">
        <v>1674599893.5</v>
      </c>
      <c r="DE124">
        <v>434.71100000000001</v>
      </c>
      <c r="DF124">
        <v>500.00200000000001</v>
      </c>
      <c r="DG124">
        <v>24.894200000000001</v>
      </c>
      <c r="DH124">
        <v>17.446200000000001</v>
      </c>
      <c r="DI124">
        <v>432.97</v>
      </c>
      <c r="DJ124">
        <v>24.792200000000001</v>
      </c>
      <c r="DK124">
        <v>500.02699999999999</v>
      </c>
      <c r="DL124">
        <v>99.552999999999997</v>
      </c>
      <c r="DM124">
        <v>9.9727399999999994E-2</v>
      </c>
      <c r="DN124">
        <v>27.9999</v>
      </c>
      <c r="DO124">
        <v>27.489699999999999</v>
      </c>
      <c r="DP124">
        <v>999.9</v>
      </c>
      <c r="DQ124">
        <v>0</v>
      </c>
      <c r="DR124">
        <v>0</v>
      </c>
      <c r="DS124">
        <v>10031.200000000001</v>
      </c>
      <c r="DT124">
        <v>0</v>
      </c>
      <c r="DU124">
        <v>175.19800000000001</v>
      </c>
      <c r="DV124">
        <v>-65.290700000000001</v>
      </c>
      <c r="DW124">
        <v>445.80900000000003</v>
      </c>
      <c r="DX124">
        <v>508.88</v>
      </c>
      <c r="DY124">
        <v>7.4479899999999999</v>
      </c>
      <c r="DZ124">
        <v>500.00200000000001</v>
      </c>
      <c r="EA124">
        <v>17.446200000000001</v>
      </c>
      <c r="EB124">
        <v>2.4782899999999999</v>
      </c>
      <c r="EC124">
        <v>1.73682</v>
      </c>
      <c r="ED124">
        <v>20.884599999999999</v>
      </c>
      <c r="EE124">
        <v>15.2295</v>
      </c>
      <c r="EF124">
        <v>1799.94</v>
      </c>
      <c r="EG124">
        <v>0.97799499999999995</v>
      </c>
      <c r="EH124">
        <v>2.2004800000000001E-2</v>
      </c>
      <c r="EI124">
        <v>0</v>
      </c>
      <c r="EJ124">
        <v>768.16200000000003</v>
      </c>
      <c r="EK124">
        <v>4.9990399999999999</v>
      </c>
      <c r="EL124">
        <v>14216.6</v>
      </c>
      <c r="EM124">
        <v>14820.2</v>
      </c>
      <c r="EN124">
        <v>48.936999999999998</v>
      </c>
      <c r="EO124">
        <v>50.375</v>
      </c>
      <c r="EP124">
        <v>49.936999999999998</v>
      </c>
      <c r="EQ124">
        <v>48.811999999999998</v>
      </c>
      <c r="ER124">
        <v>49.75</v>
      </c>
      <c r="ES124">
        <v>1755.44</v>
      </c>
      <c r="ET124">
        <v>39.5</v>
      </c>
      <c r="EU124">
        <v>0</v>
      </c>
      <c r="EV124">
        <v>102</v>
      </c>
      <c r="EW124">
        <v>0</v>
      </c>
      <c r="EX124">
        <v>767.53995999999995</v>
      </c>
      <c r="EY124">
        <v>4.4301538419590427</v>
      </c>
      <c r="EZ124">
        <v>69.330769243391131</v>
      </c>
      <c r="FA124">
        <v>14208.68</v>
      </c>
      <c r="FB124">
        <v>15</v>
      </c>
      <c r="FC124">
        <v>1674599861</v>
      </c>
      <c r="FD124" t="s">
        <v>969</v>
      </c>
      <c r="FE124">
        <v>1674599856</v>
      </c>
      <c r="FF124">
        <v>1674599861</v>
      </c>
      <c r="FG124">
        <v>121</v>
      </c>
      <c r="FH124">
        <v>0.17399999999999999</v>
      </c>
      <c r="FI124">
        <v>-7.0000000000000001E-3</v>
      </c>
      <c r="FJ124">
        <v>1.845</v>
      </c>
      <c r="FK124">
        <v>3.7999999999999999E-2</v>
      </c>
      <c r="FL124">
        <v>500</v>
      </c>
      <c r="FM124">
        <v>17</v>
      </c>
      <c r="FN124">
        <v>0.04</v>
      </c>
      <c r="FO124">
        <v>0.01</v>
      </c>
      <c r="FP124">
        <v>51.602806653480229</v>
      </c>
      <c r="FQ124">
        <v>-0.14931747629403669</v>
      </c>
      <c r="FR124">
        <v>9.5598239983486571E-2</v>
      </c>
      <c r="FS124">
        <v>1</v>
      </c>
      <c r="FT124">
        <v>0.56991305088616651</v>
      </c>
      <c r="FU124">
        <v>2.6549487749168949E-2</v>
      </c>
      <c r="FV124">
        <v>5.906349435849864E-3</v>
      </c>
      <c r="FW124">
        <v>1</v>
      </c>
      <c r="FX124">
        <v>2</v>
      </c>
      <c r="FY124">
        <v>2</v>
      </c>
      <c r="FZ124" t="s">
        <v>420</v>
      </c>
      <c r="GA124">
        <v>2.9327299999999998</v>
      </c>
      <c r="GB124">
        <v>2.8334600000000001</v>
      </c>
      <c r="GC124">
        <v>9.5932000000000003E-2</v>
      </c>
      <c r="GD124">
        <v>0.104634</v>
      </c>
      <c r="GE124">
        <v>0.122214</v>
      </c>
      <c r="GF124">
        <v>9.1981400000000005E-2</v>
      </c>
      <c r="GG124">
        <v>23417.4</v>
      </c>
      <c r="GH124">
        <v>29180.3</v>
      </c>
      <c r="GI124">
        <v>23305.7</v>
      </c>
      <c r="GJ124">
        <v>29860.3</v>
      </c>
      <c r="GK124">
        <v>27841.3</v>
      </c>
      <c r="GL124">
        <v>38563.9</v>
      </c>
      <c r="GM124">
        <v>32904</v>
      </c>
      <c r="GN124">
        <v>44308</v>
      </c>
      <c r="GO124">
        <v>1.9643699999999999</v>
      </c>
      <c r="GP124">
        <v>1.8328500000000001</v>
      </c>
      <c r="GQ124">
        <v>4.1332099999999997E-2</v>
      </c>
      <c r="GR124">
        <v>0</v>
      </c>
      <c r="GS124">
        <v>26.814</v>
      </c>
      <c r="GT124">
        <v>999.9</v>
      </c>
      <c r="GU124">
        <v>47.7</v>
      </c>
      <c r="GV124">
        <v>35.299999999999997</v>
      </c>
      <c r="GW124">
        <v>27.517800000000001</v>
      </c>
      <c r="GX124">
        <v>61.067900000000002</v>
      </c>
      <c r="GY124">
        <v>36.442300000000003</v>
      </c>
      <c r="GZ124">
        <v>1</v>
      </c>
      <c r="HA124">
        <v>0.37355699999999997</v>
      </c>
      <c r="HB124">
        <v>2.4429099999999999</v>
      </c>
      <c r="HC124">
        <v>20.2988</v>
      </c>
      <c r="HD124">
        <v>5.2098000000000004</v>
      </c>
      <c r="HE124">
        <v>11.872199999999999</v>
      </c>
      <c r="HF124">
        <v>4.9848499999999998</v>
      </c>
      <c r="HG124">
        <v>3.2839999999999998</v>
      </c>
      <c r="HH124">
        <v>9999</v>
      </c>
      <c r="HI124">
        <v>9999</v>
      </c>
      <c r="HJ124">
        <v>9999</v>
      </c>
      <c r="HK124">
        <v>999.9</v>
      </c>
      <c r="HL124">
        <v>1.8545499999999999</v>
      </c>
      <c r="HM124">
        <v>1.86066</v>
      </c>
      <c r="HN124">
        <v>1.85806</v>
      </c>
      <c r="HO124">
        <v>1.85928</v>
      </c>
      <c r="HP124">
        <v>1.8586100000000001</v>
      </c>
      <c r="HQ124">
        <v>1.8591299999999999</v>
      </c>
      <c r="HR124">
        <v>1.85747</v>
      </c>
      <c r="HS124">
        <v>1.8608100000000001</v>
      </c>
      <c r="HT124">
        <v>5</v>
      </c>
      <c r="HU124">
        <v>0</v>
      </c>
      <c r="HV124">
        <v>0</v>
      </c>
      <c r="HW124">
        <v>0</v>
      </c>
      <c r="HX124" t="s">
        <v>421</v>
      </c>
      <c r="HY124" t="s">
        <v>422</v>
      </c>
      <c r="HZ124" t="s">
        <v>423</v>
      </c>
      <c r="IA124" t="s">
        <v>423</v>
      </c>
      <c r="IB124" t="s">
        <v>423</v>
      </c>
      <c r="IC124" t="s">
        <v>423</v>
      </c>
      <c r="ID124">
        <v>0</v>
      </c>
      <c r="IE124">
        <v>100</v>
      </c>
      <c r="IF124">
        <v>100</v>
      </c>
      <c r="IG124">
        <v>1.7410000000000001</v>
      </c>
      <c r="IH124">
        <v>0.10199999999999999</v>
      </c>
      <c r="II124">
        <v>1.032993642755472</v>
      </c>
      <c r="IJ124">
        <v>1.6187016317407189E-3</v>
      </c>
      <c r="IK124">
        <v>1.4341569744255341E-7</v>
      </c>
      <c r="IL124">
        <v>-2.4096625942085749E-10</v>
      </c>
      <c r="IM124">
        <v>0.10206007128093041</v>
      </c>
      <c r="IN124">
        <v>0</v>
      </c>
      <c r="IO124">
        <v>0</v>
      </c>
      <c r="IP124">
        <v>0</v>
      </c>
      <c r="IQ124">
        <v>4</v>
      </c>
      <c r="IR124">
        <v>2205</v>
      </c>
      <c r="IS124">
        <v>1</v>
      </c>
      <c r="IT124">
        <v>21</v>
      </c>
      <c r="IU124">
        <v>0.6</v>
      </c>
      <c r="IV124">
        <v>0.5</v>
      </c>
      <c r="IW124">
        <v>1.18164</v>
      </c>
      <c r="IX124">
        <v>2.4597199999999999</v>
      </c>
      <c r="IY124">
        <v>1.49414</v>
      </c>
      <c r="IZ124">
        <v>2.3034699999999999</v>
      </c>
      <c r="JA124">
        <v>1.69434</v>
      </c>
      <c r="JB124">
        <v>2.4121100000000002</v>
      </c>
      <c r="JC124">
        <v>39.416600000000003</v>
      </c>
      <c r="JD124">
        <v>16.286000000000001</v>
      </c>
      <c r="JE124">
        <v>18</v>
      </c>
      <c r="JF124">
        <v>511.23599999999999</v>
      </c>
      <c r="JG124">
        <v>448.24</v>
      </c>
      <c r="JH124">
        <v>24.574999999999999</v>
      </c>
      <c r="JI124">
        <v>32.0212</v>
      </c>
      <c r="JJ124">
        <v>30.0001</v>
      </c>
      <c r="JK124">
        <v>31.926500000000001</v>
      </c>
      <c r="JL124">
        <v>31.890899999999998</v>
      </c>
      <c r="JM124">
        <v>23.7271</v>
      </c>
      <c r="JN124">
        <v>43.1145</v>
      </c>
      <c r="JO124">
        <v>0</v>
      </c>
      <c r="JP124">
        <v>24.579599999999999</v>
      </c>
      <c r="JQ124">
        <v>500</v>
      </c>
      <c r="JR124">
        <v>17.337499999999999</v>
      </c>
      <c r="JS124">
        <v>99.109700000000004</v>
      </c>
      <c r="JT124">
        <v>99.498699999999999</v>
      </c>
    </row>
    <row r="125" spans="1:280" x14ac:dyDescent="0.25">
      <c r="A125">
        <v>109</v>
      </c>
      <c r="B125">
        <v>1674600002.5</v>
      </c>
      <c r="C125">
        <v>25949.900000095371</v>
      </c>
      <c r="D125" t="s">
        <v>970</v>
      </c>
      <c r="E125" t="s">
        <v>971</v>
      </c>
      <c r="F125" t="s">
        <v>412</v>
      </c>
      <c r="G125" t="s">
        <v>921</v>
      </c>
      <c r="H125" t="s">
        <v>636</v>
      </c>
      <c r="I125">
        <v>1674600002.5</v>
      </c>
      <c r="J125">
        <f t="shared" si="138"/>
        <v>6.1439748601916835E-3</v>
      </c>
      <c r="K125">
        <f t="shared" si="139"/>
        <v>6.1439748601916833</v>
      </c>
      <c r="L125">
        <f t="shared" si="140"/>
        <v>52.62624110738102</v>
      </c>
      <c r="M125">
        <f t="shared" si="141"/>
        <v>532.91499999999996</v>
      </c>
      <c r="N125">
        <f t="shared" si="142"/>
        <v>353.75013601501513</v>
      </c>
      <c r="O125">
        <f t="shared" si="143"/>
        <v>35.255657244359639</v>
      </c>
      <c r="P125">
        <f t="shared" si="144"/>
        <v>53.111692880254985</v>
      </c>
      <c r="Q125">
        <f t="shared" si="145"/>
        <v>0.53732196700229806</v>
      </c>
      <c r="R125">
        <f t="shared" si="146"/>
        <v>2.9170381865825679</v>
      </c>
      <c r="S125">
        <f t="shared" si="147"/>
        <v>0.48778291781336858</v>
      </c>
      <c r="T125">
        <f t="shared" si="148"/>
        <v>0.30893370512960661</v>
      </c>
      <c r="U125">
        <f t="shared" si="149"/>
        <v>344.39658809831883</v>
      </c>
      <c r="V125">
        <f t="shared" si="150"/>
        <v>28.43386118532792</v>
      </c>
      <c r="W125">
        <f t="shared" si="151"/>
        <v>27.5397</v>
      </c>
      <c r="X125">
        <f t="shared" si="152"/>
        <v>3.6941934710338917</v>
      </c>
      <c r="Y125">
        <f t="shared" si="153"/>
        <v>65.2950597404744</v>
      </c>
      <c r="Z125">
        <f t="shared" si="154"/>
        <v>2.4777417227960994</v>
      </c>
      <c r="AA125">
        <f t="shared" si="155"/>
        <v>3.7946848240039568</v>
      </c>
      <c r="AB125">
        <f t="shared" si="156"/>
        <v>1.2164517482377923</v>
      </c>
      <c r="AC125">
        <f t="shared" si="157"/>
        <v>-270.94929133445322</v>
      </c>
      <c r="AD125">
        <f t="shared" si="158"/>
        <v>72.278241503832405</v>
      </c>
      <c r="AE125">
        <f t="shared" si="159"/>
        <v>5.3886292757021179</v>
      </c>
      <c r="AF125">
        <f t="shared" si="160"/>
        <v>151.11416754340013</v>
      </c>
      <c r="AG125">
        <v>0</v>
      </c>
      <c r="AH125">
        <v>0</v>
      </c>
      <c r="AI125">
        <f t="shared" si="161"/>
        <v>1</v>
      </c>
      <c r="AJ125">
        <f t="shared" si="162"/>
        <v>0</v>
      </c>
      <c r="AK125">
        <f t="shared" si="163"/>
        <v>52332.494357899901</v>
      </c>
      <c r="AL125" t="s">
        <v>415</v>
      </c>
      <c r="AM125">
        <v>10214.9</v>
      </c>
      <c r="AN125">
        <v>729.4384</v>
      </c>
      <c r="AO125">
        <v>3170.19</v>
      </c>
      <c r="AP125">
        <f t="shared" si="164"/>
        <v>0.76990704027203416</v>
      </c>
      <c r="AQ125">
        <v>-0.45549566560547827</v>
      </c>
      <c r="AR125" t="s">
        <v>972</v>
      </c>
      <c r="AS125">
        <v>10089.799999999999</v>
      </c>
      <c r="AT125">
        <v>771.85868000000005</v>
      </c>
      <c r="AU125">
        <v>1151.6323070784019</v>
      </c>
      <c r="AV125">
        <f t="shared" si="165"/>
        <v>0.32976986208545755</v>
      </c>
      <c r="AW125">
        <v>0.5</v>
      </c>
      <c r="AX125">
        <f t="shared" si="166"/>
        <v>1513.3025940491593</v>
      </c>
      <c r="AY125">
        <f t="shared" si="167"/>
        <v>52.62624110738102</v>
      </c>
      <c r="AZ125">
        <f t="shared" si="168"/>
        <v>249.5207938665782</v>
      </c>
      <c r="BA125">
        <f t="shared" si="169"/>
        <v>3.5076750004739733E-2</v>
      </c>
      <c r="BB125">
        <f t="shared" si="170"/>
        <v>1.7527796680543948</v>
      </c>
      <c r="BC125">
        <f t="shared" si="171"/>
        <v>519.80134285682789</v>
      </c>
      <c r="BD125" t="s">
        <v>973</v>
      </c>
      <c r="BE125">
        <v>577.15</v>
      </c>
      <c r="BF125">
        <f t="shared" si="172"/>
        <v>577.15</v>
      </c>
      <c r="BG125">
        <f t="shared" si="173"/>
        <v>0.49884177749043623</v>
      </c>
      <c r="BH125">
        <f t="shared" si="174"/>
        <v>0.66107105893266893</v>
      </c>
      <c r="BI125">
        <f t="shared" si="175"/>
        <v>0.77845220009008664</v>
      </c>
      <c r="BJ125">
        <f t="shared" si="176"/>
        <v>0.89952417766151571</v>
      </c>
      <c r="BK125">
        <f t="shared" si="177"/>
        <v>0.82702299280336355</v>
      </c>
      <c r="BL125">
        <f t="shared" si="178"/>
        <v>0.49430960815649544</v>
      </c>
      <c r="BM125">
        <f t="shared" si="179"/>
        <v>0.50569039184350451</v>
      </c>
      <c r="BN125">
        <v>9274</v>
      </c>
      <c r="BO125">
        <v>290.00000000000011</v>
      </c>
      <c r="BP125">
        <v>1054.57</v>
      </c>
      <c r="BQ125">
        <v>275</v>
      </c>
      <c r="BR125">
        <v>10089.799999999999</v>
      </c>
      <c r="BS125">
        <v>1055.29</v>
      </c>
      <c r="BT125">
        <v>-0.72</v>
      </c>
      <c r="BU125">
        <v>300.00000000000011</v>
      </c>
      <c r="BV125">
        <v>24.2</v>
      </c>
      <c r="BW125">
        <v>1151.6323070784019</v>
      </c>
      <c r="BX125">
        <v>2.6811394445219849</v>
      </c>
      <c r="BY125">
        <v>-97.206671019115959</v>
      </c>
      <c r="BZ125">
        <v>2.4090503194794239</v>
      </c>
      <c r="CA125">
        <v>0.98309354785906722</v>
      </c>
      <c r="CB125">
        <v>-6.8979461624026784E-3</v>
      </c>
      <c r="CC125">
        <v>289.99999999999989</v>
      </c>
      <c r="CD125">
        <v>1054.9100000000001</v>
      </c>
      <c r="CE125">
        <v>695</v>
      </c>
      <c r="CF125">
        <v>10070</v>
      </c>
      <c r="CG125">
        <v>1055.0999999999999</v>
      </c>
      <c r="CH125">
        <v>-0.19</v>
      </c>
      <c r="CV125">
        <f t="shared" si="180"/>
        <v>1800.14</v>
      </c>
      <c r="CW125">
        <f t="shared" si="181"/>
        <v>1513.3025940491593</v>
      </c>
      <c r="CX125">
        <f t="shared" si="182"/>
        <v>0.84065827882784627</v>
      </c>
      <c r="CY125">
        <f t="shared" si="183"/>
        <v>0.19131655765569278</v>
      </c>
      <c r="CZ125">
        <v>6</v>
      </c>
      <c r="DA125">
        <v>0.5</v>
      </c>
      <c r="DB125" t="s">
        <v>418</v>
      </c>
      <c r="DC125">
        <v>2</v>
      </c>
      <c r="DD125">
        <v>1674600002.5</v>
      </c>
      <c r="DE125">
        <v>532.91499999999996</v>
      </c>
      <c r="DF125">
        <v>599.99300000000005</v>
      </c>
      <c r="DG125">
        <v>24.8613</v>
      </c>
      <c r="DH125">
        <v>17.6721</v>
      </c>
      <c r="DI125">
        <v>530.98</v>
      </c>
      <c r="DJ125">
        <v>24.758199999999999</v>
      </c>
      <c r="DK125">
        <v>500.01900000000001</v>
      </c>
      <c r="DL125">
        <v>99.562299999999993</v>
      </c>
      <c r="DM125">
        <v>0.100297</v>
      </c>
      <c r="DN125">
        <v>27.999300000000002</v>
      </c>
      <c r="DO125">
        <v>27.5397</v>
      </c>
      <c r="DP125">
        <v>999.9</v>
      </c>
      <c r="DQ125">
        <v>0</v>
      </c>
      <c r="DR125">
        <v>0</v>
      </c>
      <c r="DS125">
        <v>9972.5</v>
      </c>
      <c r="DT125">
        <v>0</v>
      </c>
      <c r="DU125">
        <v>174.21799999999999</v>
      </c>
      <c r="DV125">
        <v>-67.078199999999995</v>
      </c>
      <c r="DW125">
        <v>546.50199999999995</v>
      </c>
      <c r="DX125">
        <v>610.78700000000003</v>
      </c>
      <c r="DY125">
        <v>7.1892199999999997</v>
      </c>
      <c r="DZ125">
        <v>599.99300000000005</v>
      </c>
      <c r="EA125">
        <v>17.6721</v>
      </c>
      <c r="EB125">
        <v>2.47525</v>
      </c>
      <c r="EC125">
        <v>1.7594700000000001</v>
      </c>
      <c r="ED125">
        <v>20.864699999999999</v>
      </c>
      <c r="EE125">
        <v>15.4313</v>
      </c>
      <c r="EF125">
        <v>1800.14</v>
      </c>
      <c r="EG125">
        <v>0.97799899999999995</v>
      </c>
      <c r="EH125">
        <v>2.2001099999999999E-2</v>
      </c>
      <c r="EI125">
        <v>0</v>
      </c>
      <c r="EJ125">
        <v>771.95100000000002</v>
      </c>
      <c r="EK125">
        <v>4.9990399999999999</v>
      </c>
      <c r="EL125">
        <v>14298.4</v>
      </c>
      <c r="EM125">
        <v>14821.8</v>
      </c>
      <c r="EN125">
        <v>48.936999999999998</v>
      </c>
      <c r="EO125">
        <v>50.375</v>
      </c>
      <c r="EP125">
        <v>49.936999999999998</v>
      </c>
      <c r="EQ125">
        <v>48.811999999999998</v>
      </c>
      <c r="ER125">
        <v>49.75</v>
      </c>
      <c r="ES125">
        <v>1755.65</v>
      </c>
      <c r="ET125">
        <v>39.5</v>
      </c>
      <c r="EU125">
        <v>0</v>
      </c>
      <c r="EV125">
        <v>107</v>
      </c>
      <c r="EW125">
        <v>0</v>
      </c>
      <c r="EX125">
        <v>771.85868000000005</v>
      </c>
      <c r="EY125">
        <v>3.565000020793859</v>
      </c>
      <c r="EZ125">
        <v>60.084615415423038</v>
      </c>
      <c r="FA125">
        <v>14290.244000000001</v>
      </c>
      <c r="FB125">
        <v>15</v>
      </c>
      <c r="FC125">
        <v>1674599969</v>
      </c>
      <c r="FD125" t="s">
        <v>974</v>
      </c>
      <c r="FE125">
        <v>1674599966</v>
      </c>
      <c r="FF125">
        <v>1674599969</v>
      </c>
      <c r="FG125">
        <v>122</v>
      </c>
      <c r="FH125">
        <v>3.7999999999999999E-2</v>
      </c>
      <c r="FI125">
        <v>1E-3</v>
      </c>
      <c r="FJ125">
        <v>2.0390000000000001</v>
      </c>
      <c r="FK125">
        <v>4.3999999999999997E-2</v>
      </c>
      <c r="FL125">
        <v>600</v>
      </c>
      <c r="FM125">
        <v>17</v>
      </c>
      <c r="FN125">
        <v>0.04</v>
      </c>
      <c r="FO125">
        <v>0.01</v>
      </c>
      <c r="FP125">
        <v>52.71379306975971</v>
      </c>
      <c r="FQ125">
        <v>-0.54511685213307215</v>
      </c>
      <c r="FR125">
        <v>7.0660414764892016E-2</v>
      </c>
      <c r="FS125">
        <v>1</v>
      </c>
      <c r="FT125">
        <v>0.54402471936547636</v>
      </c>
      <c r="FU125">
        <v>-1.0021917235585501E-2</v>
      </c>
      <c r="FV125">
        <v>3.2510578703282451E-3</v>
      </c>
      <c r="FW125">
        <v>1</v>
      </c>
      <c r="FX125">
        <v>2</v>
      </c>
      <c r="FY125">
        <v>2</v>
      </c>
      <c r="FZ125" t="s">
        <v>420</v>
      </c>
      <c r="GA125">
        <v>2.9327000000000001</v>
      </c>
      <c r="GB125">
        <v>2.83351</v>
      </c>
      <c r="GC125">
        <v>0.1115</v>
      </c>
      <c r="GD125">
        <v>0.11927699999999999</v>
      </c>
      <c r="GE125">
        <v>0.122104</v>
      </c>
      <c r="GF125">
        <v>9.2832600000000001E-2</v>
      </c>
      <c r="GG125">
        <v>23014.7</v>
      </c>
      <c r="GH125">
        <v>28701.8</v>
      </c>
      <c r="GI125">
        <v>23306.1</v>
      </c>
      <c r="GJ125">
        <v>29859.1</v>
      </c>
      <c r="GK125">
        <v>27845.200000000001</v>
      </c>
      <c r="GL125">
        <v>38526.400000000001</v>
      </c>
      <c r="GM125">
        <v>32904</v>
      </c>
      <c r="GN125">
        <v>44306.5</v>
      </c>
      <c r="GO125">
        <v>1.9640500000000001</v>
      </c>
      <c r="GP125">
        <v>1.83352</v>
      </c>
      <c r="GQ125">
        <v>4.6551200000000001E-2</v>
      </c>
      <c r="GR125">
        <v>0</v>
      </c>
      <c r="GS125">
        <v>26.778600000000001</v>
      </c>
      <c r="GT125">
        <v>999.9</v>
      </c>
      <c r="GU125">
        <v>47.7</v>
      </c>
      <c r="GV125">
        <v>35.299999999999997</v>
      </c>
      <c r="GW125">
        <v>27.514399999999998</v>
      </c>
      <c r="GX125">
        <v>61.567900000000002</v>
      </c>
      <c r="GY125">
        <v>36.542499999999997</v>
      </c>
      <c r="GZ125">
        <v>1</v>
      </c>
      <c r="HA125">
        <v>0.374581</v>
      </c>
      <c r="HB125">
        <v>2.3937599999999999</v>
      </c>
      <c r="HC125">
        <v>20.299700000000001</v>
      </c>
      <c r="HD125">
        <v>5.2102500000000003</v>
      </c>
      <c r="HE125">
        <v>11.872199999999999</v>
      </c>
      <c r="HF125">
        <v>4.98515</v>
      </c>
      <c r="HG125">
        <v>3.2839999999999998</v>
      </c>
      <c r="HH125">
        <v>9999</v>
      </c>
      <c r="HI125">
        <v>9999</v>
      </c>
      <c r="HJ125">
        <v>9999</v>
      </c>
      <c r="HK125">
        <v>999.9</v>
      </c>
      <c r="HL125">
        <v>1.8545499999999999</v>
      </c>
      <c r="HM125">
        <v>1.86066</v>
      </c>
      <c r="HN125">
        <v>1.8580399999999999</v>
      </c>
      <c r="HO125">
        <v>1.85927</v>
      </c>
      <c r="HP125">
        <v>1.8585700000000001</v>
      </c>
      <c r="HQ125">
        <v>1.8591299999999999</v>
      </c>
      <c r="HR125">
        <v>1.8574600000000001</v>
      </c>
      <c r="HS125">
        <v>1.8608199999999999</v>
      </c>
      <c r="HT125">
        <v>5</v>
      </c>
      <c r="HU125">
        <v>0</v>
      </c>
      <c r="HV125">
        <v>0</v>
      </c>
      <c r="HW125">
        <v>0</v>
      </c>
      <c r="HX125" t="s">
        <v>421</v>
      </c>
      <c r="HY125" t="s">
        <v>422</v>
      </c>
      <c r="HZ125" t="s">
        <v>423</v>
      </c>
      <c r="IA125" t="s">
        <v>423</v>
      </c>
      <c r="IB125" t="s">
        <v>423</v>
      </c>
      <c r="IC125" t="s">
        <v>423</v>
      </c>
      <c r="ID125">
        <v>0</v>
      </c>
      <c r="IE125">
        <v>100</v>
      </c>
      <c r="IF125">
        <v>100</v>
      </c>
      <c r="IG125">
        <v>1.9350000000000001</v>
      </c>
      <c r="IH125">
        <v>0.1031</v>
      </c>
      <c r="II125">
        <v>1.070977847367983</v>
      </c>
      <c r="IJ125">
        <v>1.6187016317407189E-3</v>
      </c>
      <c r="IK125">
        <v>1.4341569744255341E-7</v>
      </c>
      <c r="IL125">
        <v>-2.4096625942085749E-10</v>
      </c>
      <c r="IM125">
        <v>0.1030829063874618</v>
      </c>
      <c r="IN125">
        <v>0</v>
      </c>
      <c r="IO125">
        <v>0</v>
      </c>
      <c r="IP125">
        <v>0</v>
      </c>
      <c r="IQ125">
        <v>4</v>
      </c>
      <c r="IR125">
        <v>2205</v>
      </c>
      <c r="IS125">
        <v>1</v>
      </c>
      <c r="IT125">
        <v>21</v>
      </c>
      <c r="IU125">
        <v>0.6</v>
      </c>
      <c r="IV125">
        <v>0.6</v>
      </c>
      <c r="IW125">
        <v>1.3732899999999999</v>
      </c>
      <c r="IX125">
        <v>2.4609399999999999</v>
      </c>
      <c r="IY125">
        <v>1.49414</v>
      </c>
      <c r="IZ125">
        <v>2.3034699999999999</v>
      </c>
      <c r="JA125">
        <v>1.69434</v>
      </c>
      <c r="JB125">
        <v>2.4011200000000001</v>
      </c>
      <c r="JC125">
        <v>39.242199999999997</v>
      </c>
      <c r="JD125">
        <v>16.233499999999999</v>
      </c>
      <c r="JE125">
        <v>18</v>
      </c>
      <c r="JF125">
        <v>511.16399999999999</v>
      </c>
      <c r="JG125">
        <v>448.85</v>
      </c>
      <c r="JH125">
        <v>24.5959</v>
      </c>
      <c r="JI125">
        <v>32.032499999999999</v>
      </c>
      <c r="JJ125">
        <v>30.0001</v>
      </c>
      <c r="JK125">
        <v>31.9434</v>
      </c>
      <c r="JL125">
        <v>31.907800000000002</v>
      </c>
      <c r="JM125">
        <v>27.546399999999998</v>
      </c>
      <c r="JN125">
        <v>41.958799999999997</v>
      </c>
      <c r="JO125">
        <v>0</v>
      </c>
      <c r="JP125">
        <v>24.596699999999998</v>
      </c>
      <c r="JQ125">
        <v>600</v>
      </c>
      <c r="JR125">
        <v>17.609400000000001</v>
      </c>
      <c r="JS125">
        <v>99.110500000000002</v>
      </c>
      <c r="JT125">
        <v>99.495000000000005</v>
      </c>
    </row>
    <row r="126" spans="1:280" x14ac:dyDescent="0.25">
      <c r="A126">
        <v>110</v>
      </c>
      <c r="B126">
        <v>1674600123.5</v>
      </c>
      <c r="C126">
        <v>26070.900000095371</v>
      </c>
      <c r="D126" t="s">
        <v>975</v>
      </c>
      <c r="E126" t="s">
        <v>976</v>
      </c>
      <c r="F126" t="s">
        <v>412</v>
      </c>
      <c r="G126" t="s">
        <v>921</v>
      </c>
      <c r="H126" t="s">
        <v>636</v>
      </c>
      <c r="I126">
        <v>1674600123.5</v>
      </c>
      <c r="J126">
        <f t="shared" si="138"/>
        <v>5.7914266742316242E-3</v>
      </c>
      <c r="K126">
        <f t="shared" si="139"/>
        <v>5.7914266742316238</v>
      </c>
      <c r="L126">
        <f t="shared" si="140"/>
        <v>52.05364916025917</v>
      </c>
      <c r="M126">
        <f t="shared" si="141"/>
        <v>732.42</v>
      </c>
      <c r="N126">
        <f t="shared" si="142"/>
        <v>538.52161098816657</v>
      </c>
      <c r="O126">
        <f t="shared" si="143"/>
        <v>53.676642096451317</v>
      </c>
      <c r="P126">
        <f t="shared" si="144"/>
        <v>73.003284180450009</v>
      </c>
      <c r="Q126">
        <f t="shared" si="145"/>
        <v>0.49690363828093742</v>
      </c>
      <c r="R126">
        <f t="shared" si="146"/>
        <v>2.9200978144642606</v>
      </c>
      <c r="S126">
        <f t="shared" si="147"/>
        <v>0.45426106633533198</v>
      </c>
      <c r="T126">
        <f t="shared" si="148"/>
        <v>0.2874388591773791</v>
      </c>
      <c r="U126">
        <f t="shared" si="149"/>
        <v>344.3865012636175</v>
      </c>
      <c r="V126">
        <f t="shared" si="150"/>
        <v>28.528875080470502</v>
      </c>
      <c r="W126">
        <f t="shared" si="151"/>
        <v>27.582699999999999</v>
      </c>
      <c r="X126">
        <f t="shared" si="152"/>
        <v>3.7034958810126182</v>
      </c>
      <c r="Y126">
        <f t="shared" si="153"/>
        <v>65.132882885556029</v>
      </c>
      <c r="Z126">
        <f t="shared" si="154"/>
        <v>2.4721063787377502</v>
      </c>
      <c r="AA126">
        <f t="shared" si="155"/>
        <v>3.7954812825979922</v>
      </c>
      <c r="AB126">
        <f t="shared" si="156"/>
        <v>1.231389502274868</v>
      </c>
      <c r="AC126">
        <f t="shared" si="157"/>
        <v>-255.40191633361462</v>
      </c>
      <c r="AD126">
        <f t="shared" si="158"/>
        <v>66.151377279501716</v>
      </c>
      <c r="AE126">
        <f t="shared" si="159"/>
        <v>4.927824364374545</v>
      </c>
      <c r="AF126">
        <f t="shared" si="160"/>
        <v>160.06378657387916</v>
      </c>
      <c r="AG126">
        <v>0</v>
      </c>
      <c r="AH126">
        <v>0</v>
      </c>
      <c r="AI126">
        <f t="shared" si="161"/>
        <v>1</v>
      </c>
      <c r="AJ126">
        <f t="shared" si="162"/>
        <v>0</v>
      </c>
      <c r="AK126">
        <f t="shared" si="163"/>
        <v>52419.958670899061</v>
      </c>
      <c r="AL126" t="s">
        <v>415</v>
      </c>
      <c r="AM126">
        <v>10214.9</v>
      </c>
      <c r="AN126">
        <v>729.4384</v>
      </c>
      <c r="AO126">
        <v>3170.19</v>
      </c>
      <c r="AP126">
        <f t="shared" si="164"/>
        <v>0.76990704027203416</v>
      </c>
      <c r="AQ126">
        <v>-0.45549566560547827</v>
      </c>
      <c r="AR126" t="s">
        <v>977</v>
      </c>
      <c r="AS126">
        <v>10091.799999999999</v>
      </c>
      <c r="AT126">
        <v>776.02388461538453</v>
      </c>
      <c r="AU126">
        <v>1157.117166052944</v>
      </c>
      <c r="AV126">
        <f t="shared" si="165"/>
        <v>0.32934718507159588</v>
      </c>
      <c r="AW126">
        <v>0.5</v>
      </c>
      <c r="AX126">
        <f t="shared" si="166"/>
        <v>1513.2603006318088</v>
      </c>
      <c r="AY126">
        <f t="shared" si="167"/>
        <v>52.05364916025917</v>
      </c>
      <c r="AZ126">
        <f t="shared" si="168"/>
        <v>249.19401014684158</v>
      </c>
      <c r="BA126">
        <f t="shared" si="169"/>
        <v>3.4699347365381418E-2</v>
      </c>
      <c r="BB126">
        <f t="shared" si="170"/>
        <v>1.7397311983659118</v>
      </c>
      <c r="BC126">
        <f t="shared" si="171"/>
        <v>520.91584074716832</v>
      </c>
      <c r="BD126" t="s">
        <v>978</v>
      </c>
      <c r="BE126">
        <v>583.04</v>
      </c>
      <c r="BF126">
        <f t="shared" si="172"/>
        <v>583.04</v>
      </c>
      <c r="BG126">
        <f t="shared" si="173"/>
        <v>0.49612708452955145</v>
      </c>
      <c r="BH126">
        <f t="shared" si="174"/>
        <v>0.66383633416001997</v>
      </c>
      <c r="BI126">
        <f t="shared" si="175"/>
        <v>0.77810441371665962</v>
      </c>
      <c r="BJ126">
        <f t="shared" si="176"/>
        <v>0.89107365547903417</v>
      </c>
      <c r="BK126">
        <f t="shared" si="177"/>
        <v>0.8247757919925387</v>
      </c>
      <c r="BL126">
        <f t="shared" si="178"/>
        <v>0.4987515770348816</v>
      </c>
      <c r="BM126">
        <f t="shared" si="179"/>
        <v>0.5012484229651184</v>
      </c>
      <c r="BN126">
        <v>9276</v>
      </c>
      <c r="BO126">
        <v>290.00000000000011</v>
      </c>
      <c r="BP126">
        <v>1059.8699999999999</v>
      </c>
      <c r="BQ126">
        <v>255</v>
      </c>
      <c r="BR126">
        <v>10091.799999999999</v>
      </c>
      <c r="BS126">
        <v>1060.8699999999999</v>
      </c>
      <c r="BT126">
        <v>-1</v>
      </c>
      <c r="BU126">
        <v>300.00000000000011</v>
      </c>
      <c r="BV126">
        <v>24.2</v>
      </c>
      <c r="BW126">
        <v>1157.117166052944</v>
      </c>
      <c r="BX126">
        <v>2.5246520173187119</v>
      </c>
      <c r="BY126">
        <v>-97.130716096854329</v>
      </c>
      <c r="BZ126">
        <v>2.2683693230093378</v>
      </c>
      <c r="CA126">
        <v>0.98495852847672172</v>
      </c>
      <c r="CB126">
        <v>-6.8976235817575079E-3</v>
      </c>
      <c r="CC126">
        <v>289.99999999999989</v>
      </c>
      <c r="CD126">
        <v>1060.42</v>
      </c>
      <c r="CE126">
        <v>655</v>
      </c>
      <c r="CF126">
        <v>10071.9</v>
      </c>
      <c r="CG126">
        <v>1060.68</v>
      </c>
      <c r="CH126">
        <v>-0.26</v>
      </c>
      <c r="CV126">
        <f t="shared" si="180"/>
        <v>1800.09</v>
      </c>
      <c r="CW126">
        <f t="shared" si="181"/>
        <v>1513.2603006318088</v>
      </c>
      <c r="CX126">
        <f t="shared" si="182"/>
        <v>0.84065813411096602</v>
      </c>
      <c r="CY126">
        <f t="shared" si="183"/>
        <v>0.19131626822193196</v>
      </c>
      <c r="CZ126">
        <v>6</v>
      </c>
      <c r="DA126">
        <v>0.5</v>
      </c>
      <c r="DB126" t="s">
        <v>418</v>
      </c>
      <c r="DC126">
        <v>2</v>
      </c>
      <c r="DD126">
        <v>1674600123.5</v>
      </c>
      <c r="DE126">
        <v>732.42</v>
      </c>
      <c r="DF126">
        <v>799.98299999999995</v>
      </c>
      <c r="DG126">
        <v>24.8019</v>
      </c>
      <c r="DH126">
        <v>18.023700000000002</v>
      </c>
      <c r="DI126">
        <v>729.63699999999994</v>
      </c>
      <c r="DJ126">
        <v>24.695599999999999</v>
      </c>
      <c r="DK126">
        <v>499.93700000000001</v>
      </c>
      <c r="DL126">
        <v>99.574200000000005</v>
      </c>
      <c r="DM126">
        <v>9.9872500000000003E-2</v>
      </c>
      <c r="DN126">
        <v>28.0029</v>
      </c>
      <c r="DO126">
        <v>27.582699999999999</v>
      </c>
      <c r="DP126">
        <v>999.9</v>
      </c>
      <c r="DQ126">
        <v>0</v>
      </c>
      <c r="DR126">
        <v>0</v>
      </c>
      <c r="DS126">
        <v>9988.75</v>
      </c>
      <c r="DT126">
        <v>0</v>
      </c>
      <c r="DU126">
        <v>173.25800000000001</v>
      </c>
      <c r="DV126">
        <v>-67.563699999999997</v>
      </c>
      <c r="DW126">
        <v>751.04700000000003</v>
      </c>
      <c r="DX126">
        <v>814.66700000000003</v>
      </c>
      <c r="DY126">
        <v>6.7781900000000004</v>
      </c>
      <c r="DZ126">
        <v>799.98299999999995</v>
      </c>
      <c r="EA126">
        <v>18.023700000000002</v>
      </c>
      <c r="EB126">
        <v>2.46963</v>
      </c>
      <c r="EC126">
        <v>1.7947</v>
      </c>
      <c r="ED126">
        <v>20.8277</v>
      </c>
      <c r="EE126">
        <v>15.7407</v>
      </c>
      <c r="EF126">
        <v>1800.09</v>
      </c>
      <c r="EG126">
        <v>0.97799899999999995</v>
      </c>
      <c r="EH126">
        <v>2.2001099999999999E-2</v>
      </c>
      <c r="EI126">
        <v>0</v>
      </c>
      <c r="EJ126">
        <v>776.3</v>
      </c>
      <c r="EK126">
        <v>4.9990399999999999</v>
      </c>
      <c r="EL126">
        <v>14367.5</v>
      </c>
      <c r="EM126">
        <v>14821.4</v>
      </c>
      <c r="EN126">
        <v>48.936999999999998</v>
      </c>
      <c r="EO126">
        <v>50.311999999999998</v>
      </c>
      <c r="EP126">
        <v>49.936999999999998</v>
      </c>
      <c r="EQ126">
        <v>48.75</v>
      </c>
      <c r="ER126">
        <v>49.75</v>
      </c>
      <c r="ES126">
        <v>1755.6</v>
      </c>
      <c r="ET126">
        <v>39.49</v>
      </c>
      <c r="EU126">
        <v>0</v>
      </c>
      <c r="EV126">
        <v>119</v>
      </c>
      <c r="EW126">
        <v>0</v>
      </c>
      <c r="EX126">
        <v>776.02388461538453</v>
      </c>
      <c r="EY126">
        <v>3.2104957300182582</v>
      </c>
      <c r="EZ126">
        <v>49.14188023884487</v>
      </c>
      <c r="FA126">
        <v>14361.04615384615</v>
      </c>
      <c r="FB126">
        <v>15</v>
      </c>
      <c r="FC126">
        <v>1674600086.5</v>
      </c>
      <c r="FD126" t="s">
        <v>979</v>
      </c>
      <c r="FE126">
        <v>1674600071</v>
      </c>
      <c r="FF126">
        <v>1674600086.5</v>
      </c>
      <c r="FG126">
        <v>123</v>
      </c>
      <c r="FH126">
        <v>0.54800000000000004</v>
      </c>
      <c r="FI126">
        <v>3.0000000000000001E-3</v>
      </c>
      <c r="FJ126">
        <v>2.879</v>
      </c>
      <c r="FK126">
        <v>5.0999999999999997E-2</v>
      </c>
      <c r="FL126">
        <v>800</v>
      </c>
      <c r="FM126">
        <v>18</v>
      </c>
      <c r="FN126">
        <v>0.05</v>
      </c>
      <c r="FO126">
        <v>0.02</v>
      </c>
      <c r="FP126">
        <v>52.141164725509057</v>
      </c>
      <c r="FQ126">
        <v>-0.67373268061292713</v>
      </c>
      <c r="FR126">
        <v>0.1011338442909268</v>
      </c>
      <c r="FS126">
        <v>1</v>
      </c>
      <c r="FT126">
        <v>0.50302179661066815</v>
      </c>
      <c r="FU126">
        <v>-2.338688378195147E-2</v>
      </c>
      <c r="FV126">
        <v>2.5717348711373979E-3</v>
      </c>
      <c r="FW126">
        <v>1</v>
      </c>
      <c r="FX126">
        <v>2</v>
      </c>
      <c r="FY126">
        <v>2</v>
      </c>
      <c r="FZ126" t="s">
        <v>420</v>
      </c>
      <c r="GA126">
        <v>2.93248</v>
      </c>
      <c r="GB126">
        <v>2.8332299999999999</v>
      </c>
      <c r="GC126">
        <v>0.13919799999999999</v>
      </c>
      <c r="GD126">
        <v>0.14527200000000001</v>
      </c>
      <c r="GE126">
        <v>0.121902</v>
      </c>
      <c r="GF126">
        <v>9.4151700000000005E-2</v>
      </c>
      <c r="GG126">
        <v>22297.1</v>
      </c>
      <c r="GH126">
        <v>27854.1</v>
      </c>
      <c r="GI126">
        <v>23306</v>
      </c>
      <c r="GJ126">
        <v>29858.6</v>
      </c>
      <c r="GK126">
        <v>27852.1</v>
      </c>
      <c r="GL126">
        <v>38469.800000000003</v>
      </c>
      <c r="GM126">
        <v>32904</v>
      </c>
      <c r="GN126">
        <v>44305.7</v>
      </c>
      <c r="GO126">
        <v>1.96373</v>
      </c>
      <c r="GP126">
        <v>1.83517</v>
      </c>
      <c r="GQ126">
        <v>5.2567599999999999E-2</v>
      </c>
      <c r="GR126">
        <v>0</v>
      </c>
      <c r="GS126">
        <v>26.723299999999998</v>
      </c>
      <c r="GT126">
        <v>999.9</v>
      </c>
      <c r="GU126">
        <v>47.7</v>
      </c>
      <c r="GV126">
        <v>35.299999999999997</v>
      </c>
      <c r="GW126">
        <v>27.509</v>
      </c>
      <c r="GX126">
        <v>61.407899999999998</v>
      </c>
      <c r="GY126">
        <v>36.5946</v>
      </c>
      <c r="GZ126">
        <v>1</v>
      </c>
      <c r="HA126">
        <v>0.37427300000000002</v>
      </c>
      <c r="HB126">
        <v>2.3599899999999998</v>
      </c>
      <c r="HC126">
        <v>20.3001</v>
      </c>
      <c r="HD126">
        <v>5.2078600000000002</v>
      </c>
      <c r="HE126">
        <v>11.872199999999999</v>
      </c>
      <c r="HF126">
        <v>4.9840999999999998</v>
      </c>
      <c r="HG126">
        <v>3.2832499999999998</v>
      </c>
      <c r="HH126">
        <v>9999</v>
      </c>
      <c r="HI126">
        <v>9999</v>
      </c>
      <c r="HJ126">
        <v>9999</v>
      </c>
      <c r="HK126">
        <v>999.9</v>
      </c>
      <c r="HL126">
        <v>1.8545499999999999</v>
      </c>
      <c r="HM126">
        <v>1.86066</v>
      </c>
      <c r="HN126">
        <v>1.85802</v>
      </c>
      <c r="HO126">
        <v>1.85924</v>
      </c>
      <c r="HP126">
        <v>1.85856</v>
      </c>
      <c r="HQ126">
        <v>1.8591299999999999</v>
      </c>
      <c r="HR126">
        <v>1.8574600000000001</v>
      </c>
      <c r="HS126">
        <v>1.8608100000000001</v>
      </c>
      <c r="HT126">
        <v>5</v>
      </c>
      <c r="HU126">
        <v>0</v>
      </c>
      <c r="HV126">
        <v>0</v>
      </c>
      <c r="HW126">
        <v>0</v>
      </c>
      <c r="HX126" t="s">
        <v>421</v>
      </c>
      <c r="HY126" t="s">
        <v>422</v>
      </c>
      <c r="HZ126" t="s">
        <v>423</v>
      </c>
      <c r="IA126" t="s">
        <v>423</v>
      </c>
      <c r="IB126" t="s">
        <v>423</v>
      </c>
      <c r="IC126" t="s">
        <v>423</v>
      </c>
      <c r="ID126">
        <v>0</v>
      </c>
      <c r="IE126">
        <v>100</v>
      </c>
      <c r="IF126">
        <v>100</v>
      </c>
      <c r="IG126">
        <v>2.7829999999999999</v>
      </c>
      <c r="IH126">
        <v>0.10630000000000001</v>
      </c>
      <c r="II126">
        <v>1.6192383286125689</v>
      </c>
      <c r="IJ126">
        <v>1.6187016317407189E-3</v>
      </c>
      <c r="IK126">
        <v>1.4341569744255341E-7</v>
      </c>
      <c r="IL126">
        <v>-2.4096625942085749E-10</v>
      </c>
      <c r="IM126">
        <v>0.10634437776496181</v>
      </c>
      <c r="IN126">
        <v>0</v>
      </c>
      <c r="IO126">
        <v>0</v>
      </c>
      <c r="IP126">
        <v>0</v>
      </c>
      <c r="IQ126">
        <v>4</v>
      </c>
      <c r="IR126">
        <v>2205</v>
      </c>
      <c r="IS126">
        <v>1</v>
      </c>
      <c r="IT126">
        <v>21</v>
      </c>
      <c r="IU126">
        <v>0.9</v>
      </c>
      <c r="IV126">
        <v>0.6</v>
      </c>
      <c r="IW126">
        <v>1.74194</v>
      </c>
      <c r="IX126">
        <v>2.4438499999999999</v>
      </c>
      <c r="IY126">
        <v>1.49414</v>
      </c>
      <c r="IZ126">
        <v>2.3034699999999999</v>
      </c>
      <c r="JA126">
        <v>1.69434</v>
      </c>
      <c r="JB126">
        <v>2.4206500000000002</v>
      </c>
      <c r="JC126">
        <v>39.043599999999998</v>
      </c>
      <c r="JD126">
        <v>16.180900000000001</v>
      </c>
      <c r="JE126">
        <v>18</v>
      </c>
      <c r="JF126">
        <v>510.97500000000002</v>
      </c>
      <c r="JG126">
        <v>450.04700000000003</v>
      </c>
      <c r="JH126">
        <v>24.573499999999999</v>
      </c>
      <c r="JI126">
        <v>32.025599999999997</v>
      </c>
      <c r="JJ126">
        <v>30.0001</v>
      </c>
      <c r="JK126">
        <v>31.946200000000001</v>
      </c>
      <c r="JL126">
        <v>31.912800000000001</v>
      </c>
      <c r="JM126">
        <v>34.916899999999998</v>
      </c>
      <c r="JN126">
        <v>40.471499999999999</v>
      </c>
      <c r="JO126">
        <v>0</v>
      </c>
      <c r="JP126">
        <v>24.598600000000001</v>
      </c>
      <c r="JQ126">
        <v>800</v>
      </c>
      <c r="JR126">
        <v>18.016300000000001</v>
      </c>
      <c r="JS126">
        <v>99.110200000000006</v>
      </c>
      <c r="JT126">
        <v>99.493399999999994</v>
      </c>
    </row>
    <row r="127" spans="1:280" x14ac:dyDescent="0.25">
      <c r="A127">
        <v>111</v>
      </c>
      <c r="B127">
        <v>1674600247.5</v>
      </c>
      <c r="C127">
        <v>26194.900000095371</v>
      </c>
      <c r="D127" t="s">
        <v>980</v>
      </c>
      <c r="E127" t="s">
        <v>981</v>
      </c>
      <c r="F127" t="s">
        <v>412</v>
      </c>
      <c r="G127" t="s">
        <v>921</v>
      </c>
      <c r="H127" t="s">
        <v>636</v>
      </c>
      <c r="I127">
        <v>1674600247.5</v>
      </c>
      <c r="J127">
        <f t="shared" si="138"/>
        <v>5.5485142923631225E-3</v>
      </c>
      <c r="K127">
        <f t="shared" si="139"/>
        <v>5.5485142923631221</v>
      </c>
      <c r="L127">
        <f t="shared" si="140"/>
        <v>50.790179339429102</v>
      </c>
      <c r="M127">
        <f t="shared" si="141"/>
        <v>1131.53</v>
      </c>
      <c r="N127">
        <f t="shared" si="142"/>
        <v>925.36327700975733</v>
      </c>
      <c r="O127">
        <f t="shared" si="143"/>
        <v>92.235269642288088</v>
      </c>
      <c r="P127">
        <f t="shared" si="144"/>
        <v>112.78486757718801</v>
      </c>
      <c r="Q127">
        <f t="shared" si="145"/>
        <v>0.47189868224034953</v>
      </c>
      <c r="R127">
        <f t="shared" si="146"/>
        <v>2.9257893834178788</v>
      </c>
      <c r="S127">
        <f t="shared" si="147"/>
        <v>0.43332980156959533</v>
      </c>
      <c r="T127">
        <f t="shared" si="148"/>
        <v>0.27403321638274325</v>
      </c>
      <c r="U127">
        <f t="shared" si="149"/>
        <v>344.37510126365959</v>
      </c>
      <c r="V127">
        <f t="shared" si="150"/>
        <v>28.591260531042014</v>
      </c>
      <c r="W127">
        <f t="shared" si="151"/>
        <v>27.6158</v>
      </c>
      <c r="X127">
        <f t="shared" si="152"/>
        <v>3.7106704906384653</v>
      </c>
      <c r="Y127">
        <f t="shared" si="153"/>
        <v>65.18187800340084</v>
      </c>
      <c r="Z127">
        <f t="shared" si="154"/>
        <v>2.4739948235337201</v>
      </c>
      <c r="AA127">
        <f t="shared" si="155"/>
        <v>3.7955255345736441</v>
      </c>
      <c r="AB127">
        <f t="shared" si="156"/>
        <v>1.2366756671047452</v>
      </c>
      <c r="AC127">
        <f t="shared" si="157"/>
        <v>-244.68948029321371</v>
      </c>
      <c r="AD127">
        <f t="shared" si="158"/>
        <v>61.090826398596775</v>
      </c>
      <c r="AE127">
        <f t="shared" si="159"/>
        <v>4.5427491410515772</v>
      </c>
      <c r="AF127">
        <f t="shared" si="160"/>
        <v>165.31919651009423</v>
      </c>
      <c r="AG127">
        <v>0</v>
      </c>
      <c r="AH127">
        <v>0</v>
      </c>
      <c r="AI127">
        <f t="shared" si="161"/>
        <v>1</v>
      </c>
      <c r="AJ127">
        <f t="shared" si="162"/>
        <v>0</v>
      </c>
      <c r="AK127">
        <f t="shared" si="163"/>
        <v>52583.490529645729</v>
      </c>
      <c r="AL127" t="s">
        <v>415</v>
      </c>
      <c r="AM127">
        <v>10214.9</v>
      </c>
      <c r="AN127">
        <v>729.4384</v>
      </c>
      <c r="AO127">
        <v>3170.19</v>
      </c>
      <c r="AP127">
        <f t="shared" si="164"/>
        <v>0.76990704027203416</v>
      </c>
      <c r="AQ127">
        <v>-0.45549566560547827</v>
      </c>
      <c r="AR127" t="s">
        <v>982</v>
      </c>
      <c r="AS127">
        <v>10091.5</v>
      </c>
      <c r="AT127">
        <v>780.27407999999991</v>
      </c>
      <c r="AU127">
        <v>1158.8522673803679</v>
      </c>
      <c r="AV127">
        <f t="shared" si="165"/>
        <v>0.32668373531007466</v>
      </c>
      <c r="AW127">
        <v>0.5</v>
      </c>
      <c r="AX127">
        <f t="shared" si="166"/>
        <v>1513.2099006318299</v>
      </c>
      <c r="AY127">
        <f t="shared" si="167"/>
        <v>50.790179339429102</v>
      </c>
      <c r="AZ127">
        <f t="shared" si="168"/>
        <v>247.17053132329656</v>
      </c>
      <c r="BA127">
        <f t="shared" si="169"/>
        <v>3.3865543031166602E-2</v>
      </c>
      <c r="BB127">
        <f t="shared" si="170"/>
        <v>1.7356291127309451</v>
      </c>
      <c r="BC127">
        <f t="shared" si="171"/>
        <v>521.26719676050141</v>
      </c>
      <c r="BD127" t="s">
        <v>983</v>
      </c>
      <c r="BE127">
        <v>583.41</v>
      </c>
      <c r="BF127">
        <f t="shared" si="172"/>
        <v>583.41</v>
      </c>
      <c r="BG127">
        <f t="shared" si="173"/>
        <v>0.49656223107814967</v>
      </c>
      <c r="BH127">
        <f t="shared" si="174"/>
        <v>0.65789082387673725</v>
      </c>
      <c r="BI127">
        <f t="shared" si="175"/>
        <v>0.77754495265141677</v>
      </c>
      <c r="BJ127">
        <f t="shared" si="176"/>
        <v>0.8816161194091795</v>
      </c>
      <c r="BK127">
        <f t="shared" si="177"/>
        <v>0.82406490386798559</v>
      </c>
      <c r="BL127">
        <f t="shared" si="178"/>
        <v>0.49190418520364959</v>
      </c>
      <c r="BM127">
        <f t="shared" si="179"/>
        <v>0.50809581479635035</v>
      </c>
      <c r="BN127">
        <v>9278</v>
      </c>
      <c r="BO127">
        <v>290.00000000000011</v>
      </c>
      <c r="BP127">
        <v>1063.3</v>
      </c>
      <c r="BQ127">
        <v>255</v>
      </c>
      <c r="BR127">
        <v>10091.5</v>
      </c>
      <c r="BS127">
        <v>1062.73</v>
      </c>
      <c r="BT127">
        <v>0.56999999999999995</v>
      </c>
      <c r="BU127">
        <v>300.00000000000011</v>
      </c>
      <c r="BV127">
        <v>24.2</v>
      </c>
      <c r="BW127">
        <v>1158.8522673803679</v>
      </c>
      <c r="BX127">
        <v>2.0540008422046401</v>
      </c>
      <c r="BY127">
        <v>-97.005189679303854</v>
      </c>
      <c r="BZ127">
        <v>1.8454463003245689</v>
      </c>
      <c r="CA127">
        <v>0.98996789593200218</v>
      </c>
      <c r="CB127">
        <v>-6.8974616240266911E-3</v>
      </c>
      <c r="CC127">
        <v>289.99999999999989</v>
      </c>
      <c r="CD127">
        <v>1062.53</v>
      </c>
      <c r="CE127">
        <v>635</v>
      </c>
      <c r="CF127">
        <v>10072.9</v>
      </c>
      <c r="CG127">
        <v>1062.55</v>
      </c>
      <c r="CH127">
        <v>-0.02</v>
      </c>
      <c r="CV127">
        <f t="shared" si="180"/>
        <v>1800.03</v>
      </c>
      <c r="CW127">
        <f t="shared" si="181"/>
        <v>1513.2099006318299</v>
      </c>
      <c r="CX127">
        <f t="shared" si="182"/>
        <v>0.84065815604841576</v>
      </c>
      <c r="CY127">
        <f t="shared" si="183"/>
        <v>0.1913163120968315</v>
      </c>
      <c r="CZ127">
        <v>6</v>
      </c>
      <c r="DA127">
        <v>0.5</v>
      </c>
      <c r="DB127" t="s">
        <v>418</v>
      </c>
      <c r="DC127">
        <v>2</v>
      </c>
      <c r="DD127">
        <v>1674600247.5</v>
      </c>
      <c r="DE127">
        <v>1131.53</v>
      </c>
      <c r="DF127">
        <v>1200</v>
      </c>
      <c r="DG127">
        <v>24.820699999999999</v>
      </c>
      <c r="DH127">
        <v>18.328900000000001</v>
      </c>
      <c r="DI127">
        <v>1128.1099999999999</v>
      </c>
      <c r="DJ127">
        <v>24.710599999999999</v>
      </c>
      <c r="DK127">
        <v>500.089</v>
      </c>
      <c r="DL127">
        <v>99.574700000000007</v>
      </c>
      <c r="DM127">
        <v>9.9959599999999996E-2</v>
      </c>
      <c r="DN127">
        <v>28.0031</v>
      </c>
      <c r="DO127">
        <v>27.6158</v>
      </c>
      <c r="DP127">
        <v>999.9</v>
      </c>
      <c r="DQ127">
        <v>0</v>
      </c>
      <c r="DR127">
        <v>0</v>
      </c>
      <c r="DS127">
        <v>10021.200000000001</v>
      </c>
      <c r="DT127">
        <v>0</v>
      </c>
      <c r="DU127">
        <v>172.024</v>
      </c>
      <c r="DV127">
        <v>-68.471599999999995</v>
      </c>
      <c r="DW127">
        <v>1160.33</v>
      </c>
      <c r="DX127">
        <v>1222.4000000000001</v>
      </c>
      <c r="DY127">
        <v>6.4917800000000003</v>
      </c>
      <c r="DZ127">
        <v>1200</v>
      </c>
      <c r="EA127">
        <v>18.328900000000001</v>
      </c>
      <c r="EB127">
        <v>2.4715099999999999</v>
      </c>
      <c r="EC127">
        <v>1.8250999999999999</v>
      </c>
      <c r="ED127">
        <v>20.8401</v>
      </c>
      <c r="EE127">
        <v>16.003399999999999</v>
      </c>
      <c r="EF127">
        <v>1800.03</v>
      </c>
      <c r="EG127">
        <v>0.97799899999999995</v>
      </c>
      <c r="EH127">
        <v>2.2001099999999999E-2</v>
      </c>
      <c r="EI127">
        <v>0</v>
      </c>
      <c r="EJ127">
        <v>780.63699999999994</v>
      </c>
      <c r="EK127">
        <v>4.9990399999999999</v>
      </c>
      <c r="EL127">
        <v>14436.3</v>
      </c>
      <c r="EM127">
        <v>14821</v>
      </c>
      <c r="EN127">
        <v>48.936999999999998</v>
      </c>
      <c r="EO127">
        <v>50.311999999999998</v>
      </c>
      <c r="EP127">
        <v>49.875</v>
      </c>
      <c r="EQ127">
        <v>48.75</v>
      </c>
      <c r="ER127">
        <v>49.686999999999998</v>
      </c>
      <c r="ES127">
        <v>1755.54</v>
      </c>
      <c r="ET127">
        <v>39.49</v>
      </c>
      <c r="EU127">
        <v>0</v>
      </c>
      <c r="EV127">
        <v>122</v>
      </c>
      <c r="EW127">
        <v>0</v>
      </c>
      <c r="EX127">
        <v>780.27407999999991</v>
      </c>
      <c r="EY127">
        <v>1.969692316314777</v>
      </c>
      <c r="EZ127">
        <v>33.538461566703283</v>
      </c>
      <c r="FA127">
        <v>14432.244000000001</v>
      </c>
      <c r="FB127">
        <v>15</v>
      </c>
      <c r="FC127">
        <v>1674600206.5</v>
      </c>
      <c r="FD127" t="s">
        <v>984</v>
      </c>
      <c r="FE127">
        <v>1674600192</v>
      </c>
      <c r="FF127">
        <v>1674600206.5</v>
      </c>
      <c r="FG127">
        <v>124</v>
      </c>
      <c r="FH127">
        <v>0.14000000000000001</v>
      </c>
      <c r="FI127">
        <v>4.0000000000000001E-3</v>
      </c>
      <c r="FJ127">
        <v>3.488</v>
      </c>
      <c r="FK127">
        <v>6.4000000000000001E-2</v>
      </c>
      <c r="FL127">
        <v>1200</v>
      </c>
      <c r="FM127">
        <v>18</v>
      </c>
      <c r="FN127">
        <v>0.06</v>
      </c>
      <c r="FO127">
        <v>0.02</v>
      </c>
      <c r="FP127">
        <v>50.831311563463672</v>
      </c>
      <c r="FQ127">
        <v>-0.45344092169638328</v>
      </c>
      <c r="FR127">
        <v>9.1319931144110342E-2</v>
      </c>
      <c r="FS127">
        <v>1</v>
      </c>
      <c r="FT127">
        <v>0.47881295482468078</v>
      </c>
      <c r="FU127">
        <v>-4.1140152307175798E-2</v>
      </c>
      <c r="FV127">
        <v>4.01413947655355E-3</v>
      </c>
      <c r="FW127">
        <v>1</v>
      </c>
      <c r="FX127">
        <v>2</v>
      </c>
      <c r="FY127">
        <v>2</v>
      </c>
      <c r="FZ127" t="s">
        <v>420</v>
      </c>
      <c r="GA127">
        <v>2.9329100000000001</v>
      </c>
      <c r="GB127">
        <v>2.8336000000000001</v>
      </c>
      <c r="GC127">
        <v>0.184667</v>
      </c>
      <c r="GD127">
        <v>0.18848300000000001</v>
      </c>
      <c r="GE127">
        <v>0.121958</v>
      </c>
      <c r="GF127">
        <v>9.5282699999999998E-2</v>
      </c>
      <c r="GG127">
        <v>21119.9</v>
      </c>
      <c r="GH127">
        <v>26446.7</v>
      </c>
      <c r="GI127">
        <v>23307.4</v>
      </c>
      <c r="GJ127">
        <v>29860.5</v>
      </c>
      <c r="GK127">
        <v>27852.5</v>
      </c>
      <c r="GL127">
        <v>38424.699999999997</v>
      </c>
      <c r="GM127">
        <v>32905.699999999997</v>
      </c>
      <c r="GN127">
        <v>44308.5</v>
      </c>
      <c r="GO127">
        <v>1.9643699999999999</v>
      </c>
      <c r="GP127">
        <v>1.8376300000000001</v>
      </c>
      <c r="GQ127">
        <v>5.8524300000000001E-2</v>
      </c>
      <c r="GR127">
        <v>0</v>
      </c>
      <c r="GS127">
        <v>26.658899999999999</v>
      </c>
      <c r="GT127">
        <v>999.9</v>
      </c>
      <c r="GU127">
        <v>47.7</v>
      </c>
      <c r="GV127">
        <v>35.299999999999997</v>
      </c>
      <c r="GW127">
        <v>27.511099999999999</v>
      </c>
      <c r="GX127">
        <v>61.037999999999997</v>
      </c>
      <c r="GY127">
        <v>36.410299999999999</v>
      </c>
      <c r="GZ127">
        <v>1</v>
      </c>
      <c r="HA127">
        <v>0.37076999999999999</v>
      </c>
      <c r="HB127">
        <v>2.2789700000000002</v>
      </c>
      <c r="HC127">
        <v>20.301500000000001</v>
      </c>
      <c r="HD127">
        <v>5.2107000000000001</v>
      </c>
      <c r="HE127">
        <v>11.872199999999999</v>
      </c>
      <c r="HF127">
        <v>4.9849500000000004</v>
      </c>
      <c r="HG127">
        <v>3.2839999999999998</v>
      </c>
      <c r="HH127">
        <v>9999</v>
      </c>
      <c r="HI127">
        <v>9999</v>
      </c>
      <c r="HJ127">
        <v>9999</v>
      </c>
      <c r="HK127">
        <v>999.9</v>
      </c>
      <c r="HL127">
        <v>1.8545499999999999</v>
      </c>
      <c r="HM127">
        <v>1.8606400000000001</v>
      </c>
      <c r="HN127">
        <v>1.85798</v>
      </c>
      <c r="HO127">
        <v>1.8592500000000001</v>
      </c>
      <c r="HP127">
        <v>1.8585799999999999</v>
      </c>
      <c r="HQ127">
        <v>1.8591299999999999</v>
      </c>
      <c r="HR127">
        <v>1.8574600000000001</v>
      </c>
      <c r="HS127">
        <v>1.8608100000000001</v>
      </c>
      <c r="HT127">
        <v>5</v>
      </c>
      <c r="HU127">
        <v>0</v>
      </c>
      <c r="HV127">
        <v>0</v>
      </c>
      <c r="HW127">
        <v>0</v>
      </c>
      <c r="HX127" t="s">
        <v>421</v>
      </c>
      <c r="HY127" t="s">
        <v>422</v>
      </c>
      <c r="HZ127" t="s">
        <v>423</v>
      </c>
      <c r="IA127" t="s">
        <v>423</v>
      </c>
      <c r="IB127" t="s">
        <v>423</v>
      </c>
      <c r="IC127" t="s">
        <v>423</v>
      </c>
      <c r="ID127">
        <v>0</v>
      </c>
      <c r="IE127">
        <v>100</v>
      </c>
      <c r="IF127">
        <v>100</v>
      </c>
      <c r="IG127">
        <v>3.42</v>
      </c>
      <c r="IH127">
        <v>0.1101</v>
      </c>
      <c r="II127">
        <v>1.758472876135341</v>
      </c>
      <c r="IJ127">
        <v>1.6187016317407189E-3</v>
      </c>
      <c r="IK127">
        <v>1.4341569744255341E-7</v>
      </c>
      <c r="IL127">
        <v>-2.4096625942085749E-10</v>
      </c>
      <c r="IM127">
        <v>0.11013158947509839</v>
      </c>
      <c r="IN127">
        <v>0</v>
      </c>
      <c r="IO127">
        <v>0</v>
      </c>
      <c r="IP127">
        <v>0</v>
      </c>
      <c r="IQ127">
        <v>4</v>
      </c>
      <c r="IR127">
        <v>2205</v>
      </c>
      <c r="IS127">
        <v>1</v>
      </c>
      <c r="IT127">
        <v>21</v>
      </c>
      <c r="IU127">
        <v>0.9</v>
      </c>
      <c r="IV127">
        <v>0.7</v>
      </c>
      <c r="IW127">
        <v>2.4365199999999998</v>
      </c>
      <c r="IX127">
        <v>2.4438499999999999</v>
      </c>
      <c r="IY127">
        <v>1.49414</v>
      </c>
      <c r="IZ127">
        <v>2.3022499999999999</v>
      </c>
      <c r="JA127">
        <v>1.69434</v>
      </c>
      <c r="JB127">
        <v>2.3315399999999999</v>
      </c>
      <c r="JC127">
        <v>38.870399999999997</v>
      </c>
      <c r="JD127">
        <v>16.128399999999999</v>
      </c>
      <c r="JE127">
        <v>18</v>
      </c>
      <c r="JF127">
        <v>511.23599999999999</v>
      </c>
      <c r="JG127">
        <v>451.63</v>
      </c>
      <c r="JH127">
        <v>24.610800000000001</v>
      </c>
      <c r="JI127">
        <v>31.9925</v>
      </c>
      <c r="JJ127">
        <v>30</v>
      </c>
      <c r="JK127">
        <v>31.926500000000001</v>
      </c>
      <c r="JL127">
        <v>31.896599999999999</v>
      </c>
      <c r="JM127">
        <v>48.817599999999999</v>
      </c>
      <c r="JN127">
        <v>39.427</v>
      </c>
      <c r="JO127">
        <v>0</v>
      </c>
      <c r="JP127">
        <v>24.616299999999999</v>
      </c>
      <c r="JQ127">
        <v>1200</v>
      </c>
      <c r="JR127">
        <v>18.284099999999999</v>
      </c>
      <c r="JS127">
        <v>99.115700000000004</v>
      </c>
      <c r="JT127">
        <v>99.499600000000001</v>
      </c>
    </row>
    <row r="128" spans="1:280" x14ac:dyDescent="0.25">
      <c r="A128">
        <v>112</v>
      </c>
      <c r="B128">
        <v>1674600353.5</v>
      </c>
      <c r="C128">
        <v>26300.900000095371</v>
      </c>
      <c r="D128" t="s">
        <v>985</v>
      </c>
      <c r="E128" t="s">
        <v>986</v>
      </c>
      <c r="F128" t="s">
        <v>412</v>
      </c>
      <c r="G128" t="s">
        <v>921</v>
      </c>
      <c r="H128" t="s">
        <v>636</v>
      </c>
      <c r="I128">
        <v>1674600353.5</v>
      </c>
      <c r="J128">
        <f t="shared" si="138"/>
        <v>5.3294966997038127E-3</v>
      </c>
      <c r="K128">
        <f t="shared" si="139"/>
        <v>5.3294966997038129</v>
      </c>
      <c r="L128">
        <f t="shared" si="140"/>
        <v>49.83176167775683</v>
      </c>
      <c r="M128">
        <f t="shared" si="141"/>
        <v>1431.01</v>
      </c>
      <c r="N128">
        <f t="shared" si="142"/>
        <v>1213.1437250173828</v>
      </c>
      <c r="O128">
        <f t="shared" si="143"/>
        <v>120.92050962054296</v>
      </c>
      <c r="P128">
        <f t="shared" si="144"/>
        <v>142.63640400036999</v>
      </c>
      <c r="Q128">
        <f t="shared" si="145"/>
        <v>0.44800998773297879</v>
      </c>
      <c r="R128">
        <f t="shared" si="146"/>
        <v>2.9215403330557388</v>
      </c>
      <c r="S128">
        <f t="shared" si="147"/>
        <v>0.4130459374414997</v>
      </c>
      <c r="T128">
        <f t="shared" si="148"/>
        <v>0.26106732654142906</v>
      </c>
      <c r="U128">
        <f t="shared" si="149"/>
        <v>344.40360126355432</v>
      </c>
      <c r="V128">
        <f t="shared" si="150"/>
        <v>28.668781016568623</v>
      </c>
      <c r="W128">
        <f t="shared" si="151"/>
        <v>27.684200000000001</v>
      </c>
      <c r="X128">
        <f t="shared" si="152"/>
        <v>3.7255350104907872</v>
      </c>
      <c r="Y128">
        <f t="shared" si="153"/>
        <v>65.251757982967192</v>
      </c>
      <c r="Z128">
        <f t="shared" si="154"/>
        <v>2.4794638780097999</v>
      </c>
      <c r="AA128">
        <f t="shared" si="155"/>
        <v>3.7998422642605578</v>
      </c>
      <c r="AB128">
        <f t="shared" si="156"/>
        <v>1.2460711324809872</v>
      </c>
      <c r="AC128">
        <f t="shared" si="157"/>
        <v>-235.03080445693814</v>
      </c>
      <c r="AD128">
        <f t="shared" si="158"/>
        <v>53.300058296241218</v>
      </c>
      <c r="AE128">
        <f t="shared" si="159"/>
        <v>3.9709271039131684</v>
      </c>
      <c r="AF128">
        <f t="shared" si="160"/>
        <v>166.64378220677054</v>
      </c>
      <c r="AG128">
        <v>0</v>
      </c>
      <c r="AH128">
        <v>0</v>
      </c>
      <c r="AI128">
        <f t="shared" si="161"/>
        <v>1</v>
      </c>
      <c r="AJ128">
        <f t="shared" si="162"/>
        <v>0</v>
      </c>
      <c r="AK128">
        <f t="shared" si="163"/>
        <v>52457.980540401579</v>
      </c>
      <c r="AL128" t="s">
        <v>415</v>
      </c>
      <c r="AM128">
        <v>10214.9</v>
      </c>
      <c r="AN128">
        <v>729.4384</v>
      </c>
      <c r="AO128">
        <v>3170.19</v>
      </c>
      <c r="AP128">
        <f t="shared" si="164"/>
        <v>0.76990704027203416</v>
      </c>
      <c r="AQ128">
        <v>-0.45549566560547827</v>
      </c>
      <c r="AR128" t="s">
        <v>987</v>
      </c>
      <c r="AS128">
        <v>10107.799999999999</v>
      </c>
      <c r="AT128">
        <v>782.68708000000004</v>
      </c>
      <c r="AU128">
        <v>1159.8081858330891</v>
      </c>
      <c r="AV128">
        <f t="shared" si="165"/>
        <v>0.32515816877271242</v>
      </c>
      <c r="AW128">
        <v>0.5</v>
      </c>
      <c r="AX128">
        <f t="shared" si="166"/>
        <v>1513.3359006317773</v>
      </c>
      <c r="AY128">
        <f t="shared" si="167"/>
        <v>49.83176167775683</v>
      </c>
      <c r="AZ128">
        <f t="shared" si="168"/>
        <v>246.0367650937161</v>
      </c>
      <c r="BA128">
        <f t="shared" si="169"/>
        <v>3.3229408832744084E-2</v>
      </c>
      <c r="BB128">
        <f t="shared" si="170"/>
        <v>1.7333743964937234</v>
      </c>
      <c r="BC128">
        <f t="shared" si="171"/>
        <v>521.46052194415392</v>
      </c>
      <c r="BD128" t="s">
        <v>988</v>
      </c>
      <c r="BE128">
        <v>580.64</v>
      </c>
      <c r="BF128">
        <f t="shared" si="172"/>
        <v>580.64</v>
      </c>
      <c r="BG128">
        <f t="shared" si="173"/>
        <v>0.49936549242155348</v>
      </c>
      <c r="BH128">
        <f t="shared" si="174"/>
        <v>0.6511426474343186</v>
      </c>
      <c r="BI128">
        <f t="shared" si="175"/>
        <v>0.77634408069622551</v>
      </c>
      <c r="BJ128">
        <f t="shared" si="176"/>
        <v>0.87627226224321531</v>
      </c>
      <c r="BK128">
        <f t="shared" si="177"/>
        <v>0.82367325465111274</v>
      </c>
      <c r="BL128">
        <f t="shared" si="178"/>
        <v>0.48305315938812066</v>
      </c>
      <c r="BM128">
        <f t="shared" si="179"/>
        <v>0.51694684061187934</v>
      </c>
      <c r="BN128">
        <v>9280</v>
      </c>
      <c r="BO128">
        <v>290.00000000000011</v>
      </c>
      <c r="BP128">
        <v>1063.3499999999999</v>
      </c>
      <c r="BQ128">
        <v>135</v>
      </c>
      <c r="BR128">
        <v>10107.799999999999</v>
      </c>
      <c r="BS128">
        <v>1063.8499999999999</v>
      </c>
      <c r="BT128">
        <v>-0.5</v>
      </c>
      <c r="BU128">
        <v>300.00000000000011</v>
      </c>
      <c r="BV128">
        <v>24.2</v>
      </c>
      <c r="BW128">
        <v>1159.8081858330891</v>
      </c>
      <c r="BX128">
        <v>2.1923011943793349</v>
      </c>
      <c r="BY128">
        <v>-96.993206475294102</v>
      </c>
      <c r="BZ128">
        <v>1.9695597232002651</v>
      </c>
      <c r="CA128">
        <v>0.98858625216604923</v>
      </c>
      <c r="CB128">
        <v>-6.8971085650723091E-3</v>
      </c>
      <c r="CC128">
        <v>289.99999999999989</v>
      </c>
      <c r="CD128">
        <v>1063.42</v>
      </c>
      <c r="CE128">
        <v>695</v>
      </c>
      <c r="CF128">
        <v>10068.6</v>
      </c>
      <c r="CG128">
        <v>1063.48</v>
      </c>
      <c r="CH128">
        <v>-0.06</v>
      </c>
      <c r="CV128">
        <f t="shared" si="180"/>
        <v>1800.18</v>
      </c>
      <c r="CW128">
        <f t="shared" si="181"/>
        <v>1513.3359006317773</v>
      </c>
      <c r="CX128">
        <f t="shared" si="182"/>
        <v>0.84065810120753326</v>
      </c>
      <c r="CY128">
        <f t="shared" si="183"/>
        <v>0.19131620241506644</v>
      </c>
      <c r="CZ128">
        <v>6</v>
      </c>
      <c r="DA128">
        <v>0.5</v>
      </c>
      <c r="DB128" t="s">
        <v>418</v>
      </c>
      <c r="DC128">
        <v>2</v>
      </c>
      <c r="DD128">
        <v>1674600353.5</v>
      </c>
      <c r="DE128">
        <v>1431.01</v>
      </c>
      <c r="DF128">
        <v>1499.94</v>
      </c>
      <c r="DG128">
        <v>24.875399999999999</v>
      </c>
      <c r="DH128">
        <v>18.640899999999998</v>
      </c>
      <c r="DI128">
        <v>1427.53</v>
      </c>
      <c r="DJ128">
        <v>24.7668</v>
      </c>
      <c r="DK128">
        <v>500.14499999999998</v>
      </c>
      <c r="DL128">
        <v>99.575199999999995</v>
      </c>
      <c r="DM128">
        <v>0.100137</v>
      </c>
      <c r="DN128">
        <v>28.022600000000001</v>
      </c>
      <c r="DO128">
        <v>27.684200000000001</v>
      </c>
      <c r="DP128">
        <v>999.9</v>
      </c>
      <c r="DQ128">
        <v>0</v>
      </c>
      <c r="DR128">
        <v>0</v>
      </c>
      <c r="DS128">
        <v>9996.8799999999992</v>
      </c>
      <c r="DT128">
        <v>0</v>
      </c>
      <c r="DU128">
        <v>170.62200000000001</v>
      </c>
      <c r="DV128">
        <v>-68.924800000000005</v>
      </c>
      <c r="DW128">
        <v>1467.52</v>
      </c>
      <c r="DX128">
        <v>1528.43</v>
      </c>
      <c r="DY128">
        <v>6.23454</v>
      </c>
      <c r="DZ128">
        <v>1499.94</v>
      </c>
      <c r="EA128">
        <v>18.640899999999998</v>
      </c>
      <c r="EB128">
        <v>2.4769800000000002</v>
      </c>
      <c r="EC128">
        <v>1.8561700000000001</v>
      </c>
      <c r="ED128">
        <v>20.876000000000001</v>
      </c>
      <c r="EE128">
        <v>16.268000000000001</v>
      </c>
      <c r="EF128">
        <v>1800.18</v>
      </c>
      <c r="EG128">
        <v>0.97800299999999996</v>
      </c>
      <c r="EH128">
        <v>2.19974E-2</v>
      </c>
      <c r="EI128">
        <v>0</v>
      </c>
      <c r="EJ128">
        <v>783.45399999999995</v>
      </c>
      <c r="EK128">
        <v>4.9990399999999999</v>
      </c>
      <c r="EL128">
        <v>14485.6</v>
      </c>
      <c r="EM128">
        <v>14822.2</v>
      </c>
      <c r="EN128">
        <v>49</v>
      </c>
      <c r="EO128">
        <v>50.311999999999998</v>
      </c>
      <c r="EP128">
        <v>49.936999999999998</v>
      </c>
      <c r="EQ128">
        <v>48.811999999999998</v>
      </c>
      <c r="ER128">
        <v>49.811999999999998</v>
      </c>
      <c r="ES128">
        <v>1755.69</v>
      </c>
      <c r="ET128">
        <v>39.49</v>
      </c>
      <c r="EU128">
        <v>0</v>
      </c>
      <c r="EV128">
        <v>104</v>
      </c>
      <c r="EW128">
        <v>0</v>
      </c>
      <c r="EX128">
        <v>782.68708000000004</v>
      </c>
      <c r="EY128">
        <v>2.391076917015257</v>
      </c>
      <c r="EZ128">
        <v>50.007692213461198</v>
      </c>
      <c r="FA128">
        <v>14478.388000000001</v>
      </c>
      <c r="FB128">
        <v>15</v>
      </c>
      <c r="FC128">
        <v>1674600320</v>
      </c>
      <c r="FD128" t="s">
        <v>989</v>
      </c>
      <c r="FE128">
        <v>1674600318.5</v>
      </c>
      <c r="FF128">
        <v>1674600320</v>
      </c>
      <c r="FG128">
        <v>125</v>
      </c>
      <c r="FH128">
        <v>-0.17599999999999999</v>
      </c>
      <c r="FI128">
        <v>-1E-3</v>
      </c>
      <c r="FJ128">
        <v>3.5190000000000001</v>
      </c>
      <c r="FK128">
        <v>6.5000000000000002E-2</v>
      </c>
      <c r="FL128">
        <v>1500</v>
      </c>
      <c r="FM128">
        <v>18</v>
      </c>
      <c r="FN128">
        <v>0.04</v>
      </c>
      <c r="FO128">
        <v>0.02</v>
      </c>
      <c r="FP128">
        <v>49.956608666211437</v>
      </c>
      <c r="FQ128">
        <v>-0.65854103769666095</v>
      </c>
      <c r="FR128">
        <v>0.19575541336074759</v>
      </c>
      <c r="FS128">
        <v>1</v>
      </c>
      <c r="FT128">
        <v>0.45286336065487798</v>
      </c>
      <c r="FU128">
        <v>-3.118004920012405E-3</v>
      </c>
      <c r="FV128">
        <v>4.250640712881457E-3</v>
      </c>
      <c r="FW128">
        <v>1</v>
      </c>
      <c r="FX128">
        <v>2</v>
      </c>
      <c r="FY128">
        <v>2</v>
      </c>
      <c r="FZ128" t="s">
        <v>420</v>
      </c>
      <c r="GA128">
        <v>2.9330799999999999</v>
      </c>
      <c r="GB128">
        <v>2.8335699999999999</v>
      </c>
      <c r="GC128">
        <v>0.213175</v>
      </c>
      <c r="GD128">
        <v>0.21582200000000001</v>
      </c>
      <c r="GE128">
        <v>0.122158</v>
      </c>
      <c r="GF128">
        <v>9.6432500000000004E-2</v>
      </c>
      <c r="GG128">
        <v>20382</v>
      </c>
      <c r="GH128">
        <v>25555.200000000001</v>
      </c>
      <c r="GI128">
        <v>23309</v>
      </c>
      <c r="GJ128">
        <v>29861</v>
      </c>
      <c r="GK128">
        <v>27848.6</v>
      </c>
      <c r="GL128">
        <v>38376.699999999997</v>
      </c>
      <c r="GM128">
        <v>32907.9</v>
      </c>
      <c r="GN128">
        <v>44309.2</v>
      </c>
      <c r="GO128">
        <v>1.96435</v>
      </c>
      <c r="GP128">
        <v>1.83985</v>
      </c>
      <c r="GQ128">
        <v>5.78836E-2</v>
      </c>
      <c r="GR128">
        <v>0</v>
      </c>
      <c r="GS128">
        <v>26.7379</v>
      </c>
      <c r="GT128">
        <v>999.9</v>
      </c>
      <c r="GU128">
        <v>47.7</v>
      </c>
      <c r="GV128">
        <v>35.299999999999997</v>
      </c>
      <c r="GW128">
        <v>27.508400000000002</v>
      </c>
      <c r="GX128">
        <v>61.268000000000001</v>
      </c>
      <c r="GY128">
        <v>35.729199999999999</v>
      </c>
      <c r="GZ128">
        <v>1</v>
      </c>
      <c r="HA128">
        <v>0.36998500000000001</v>
      </c>
      <c r="HB128">
        <v>2.6247799999999999</v>
      </c>
      <c r="HC128">
        <v>20.296399999999998</v>
      </c>
      <c r="HD128">
        <v>5.2105499999999996</v>
      </c>
      <c r="HE128">
        <v>11.872199999999999</v>
      </c>
      <c r="HF128">
        <v>4.9839500000000001</v>
      </c>
      <c r="HG128">
        <v>3.2839999999999998</v>
      </c>
      <c r="HH128">
        <v>9999</v>
      </c>
      <c r="HI128">
        <v>9999</v>
      </c>
      <c r="HJ128">
        <v>9999</v>
      </c>
      <c r="HK128">
        <v>999.9</v>
      </c>
      <c r="HL128">
        <v>1.8545499999999999</v>
      </c>
      <c r="HM128">
        <v>1.86066</v>
      </c>
      <c r="HN128">
        <v>1.85806</v>
      </c>
      <c r="HO128">
        <v>1.85928</v>
      </c>
      <c r="HP128">
        <v>1.85866</v>
      </c>
      <c r="HQ128">
        <v>1.8591299999999999</v>
      </c>
      <c r="HR128">
        <v>1.85747</v>
      </c>
      <c r="HS128">
        <v>1.8608199999999999</v>
      </c>
      <c r="HT128">
        <v>5</v>
      </c>
      <c r="HU128">
        <v>0</v>
      </c>
      <c r="HV128">
        <v>0</v>
      </c>
      <c r="HW128">
        <v>0</v>
      </c>
      <c r="HX128" t="s">
        <v>421</v>
      </c>
      <c r="HY128" t="s">
        <v>422</v>
      </c>
      <c r="HZ128" t="s">
        <v>423</v>
      </c>
      <c r="IA128" t="s">
        <v>423</v>
      </c>
      <c r="IB128" t="s">
        <v>423</v>
      </c>
      <c r="IC128" t="s">
        <v>423</v>
      </c>
      <c r="ID128">
        <v>0</v>
      </c>
      <c r="IE128">
        <v>100</v>
      </c>
      <c r="IF128">
        <v>100</v>
      </c>
      <c r="IG128">
        <v>3.48</v>
      </c>
      <c r="IH128">
        <v>0.1086</v>
      </c>
      <c r="II128">
        <v>1.5825047479325569</v>
      </c>
      <c r="IJ128">
        <v>1.6187016317407189E-3</v>
      </c>
      <c r="IK128">
        <v>1.4341569744255341E-7</v>
      </c>
      <c r="IL128">
        <v>-2.4096625942085749E-10</v>
      </c>
      <c r="IM128">
        <v>0.1086230669599144</v>
      </c>
      <c r="IN128">
        <v>0</v>
      </c>
      <c r="IO128">
        <v>0</v>
      </c>
      <c r="IP128">
        <v>0</v>
      </c>
      <c r="IQ128">
        <v>4</v>
      </c>
      <c r="IR128">
        <v>2205</v>
      </c>
      <c r="IS128">
        <v>1</v>
      </c>
      <c r="IT128">
        <v>21</v>
      </c>
      <c r="IU128">
        <v>0.6</v>
      </c>
      <c r="IV128">
        <v>0.6</v>
      </c>
      <c r="IW128">
        <v>2.9284699999999999</v>
      </c>
      <c r="IX128">
        <v>2.4426299999999999</v>
      </c>
      <c r="IY128">
        <v>1.49414</v>
      </c>
      <c r="IZ128">
        <v>2.3022499999999999</v>
      </c>
      <c r="JA128">
        <v>1.69434</v>
      </c>
      <c r="JB128">
        <v>2.3913600000000002</v>
      </c>
      <c r="JC128">
        <v>38.771700000000003</v>
      </c>
      <c r="JD128">
        <v>16.110900000000001</v>
      </c>
      <c r="JE128">
        <v>18</v>
      </c>
      <c r="JF128">
        <v>511.101</v>
      </c>
      <c r="JG128">
        <v>453.101</v>
      </c>
      <c r="JH128">
        <v>24.447600000000001</v>
      </c>
      <c r="JI128">
        <v>31.975300000000001</v>
      </c>
      <c r="JJ128">
        <v>30.000299999999999</v>
      </c>
      <c r="JK128">
        <v>31.912500000000001</v>
      </c>
      <c r="JL128">
        <v>31.885300000000001</v>
      </c>
      <c r="JM128">
        <v>58.653599999999997</v>
      </c>
      <c r="JN128">
        <v>38.185899999999997</v>
      </c>
      <c r="JO128">
        <v>0</v>
      </c>
      <c r="JP128">
        <v>24.435099999999998</v>
      </c>
      <c r="JQ128">
        <v>1500</v>
      </c>
      <c r="JR128">
        <v>18.561900000000001</v>
      </c>
      <c r="JS128">
        <v>99.122500000000002</v>
      </c>
      <c r="JT128">
        <v>99.501300000000001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23</v>
      </c>
    </row>
    <row r="13" spans="1:2" x14ac:dyDescent="0.25">
      <c r="A13" t="s">
        <v>24</v>
      </c>
      <c r="B13" t="s">
        <v>23</v>
      </c>
    </row>
    <row r="14" spans="1:2" x14ac:dyDescent="0.25">
      <c r="A14" t="s">
        <v>25</v>
      </c>
      <c r="B14" t="s">
        <v>21</v>
      </c>
    </row>
    <row r="15" spans="1:2" x14ac:dyDescent="0.25">
      <c r="A15" t="s">
        <v>26</v>
      </c>
      <c r="B15" t="s">
        <v>11</v>
      </c>
    </row>
    <row r="16" spans="1:2" x14ac:dyDescent="0.25">
      <c r="A16" t="s">
        <v>27</v>
      </c>
      <c r="B16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IGB</cp:lastModifiedBy>
  <dcterms:created xsi:type="dcterms:W3CDTF">2023-01-24T22:46:52Z</dcterms:created>
  <dcterms:modified xsi:type="dcterms:W3CDTF">2023-01-24T23:49:20Z</dcterms:modified>
</cp:coreProperties>
</file>