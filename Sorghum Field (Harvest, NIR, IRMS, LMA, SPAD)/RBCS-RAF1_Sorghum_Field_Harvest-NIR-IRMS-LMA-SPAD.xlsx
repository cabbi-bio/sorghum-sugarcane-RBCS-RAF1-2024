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\Documents\Manuscripts\2024 PNAS RBCSRAF1 sorghum and sugarcane\Data for github repository\"/>
    </mc:Choice>
  </mc:AlternateContent>
  <bookViews>
    <workbookView xWindow="0" yWindow="0" windowWidth="28800" windowHeight="13470" activeTab="2"/>
  </bookViews>
  <sheets>
    <sheet name="Harvest" sheetId="1" r:id="rId1"/>
    <sheet name="NIR" sheetId="6" r:id="rId2"/>
    <sheet name="IRMS" sheetId="5" r:id="rId3"/>
    <sheet name="LMA" sheetId="3" r:id="rId4"/>
    <sheet name="SPAD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<sst xmlns="http://schemas.openxmlformats.org/spreadsheetml/2006/main" count="392" uniqueCount="67">
  <si>
    <t>Plot</t>
  </si>
  <si>
    <t>Harvest Index</t>
  </si>
  <si>
    <t>WT</t>
  </si>
  <si>
    <t>HN1a</t>
  </si>
  <si>
    <t>ZG5b</t>
  </si>
  <si>
    <t>ZG12a</t>
  </si>
  <si>
    <t>Total seed weight (g)</t>
  </si>
  <si>
    <t>100 seed weight (g)</t>
  </si>
  <si>
    <t># Panicles/plot</t>
  </si>
  <si>
    <t>Average seed weight per panicle</t>
  </si>
  <si>
    <t>Average seed # per panicle</t>
  </si>
  <si>
    <t># seeds per plot</t>
  </si>
  <si>
    <t>Zg12a</t>
  </si>
  <si>
    <t>Zg5b</t>
  </si>
  <si>
    <t>Replicate</t>
  </si>
  <si>
    <t>Weight (mg)</t>
  </si>
  <si>
    <t>% C</t>
  </si>
  <si>
    <t>d13C</t>
  </si>
  <si>
    <t>% N</t>
  </si>
  <si>
    <t>d15N</t>
  </si>
  <si>
    <t>1</t>
  </si>
  <si>
    <t>2</t>
  </si>
  <si>
    <t>event</t>
  </si>
  <si>
    <t>plot_replicate</t>
  </si>
  <si>
    <t>SPAD</t>
  </si>
  <si>
    <t>1 1</t>
  </si>
  <si>
    <t>1 2</t>
  </si>
  <si>
    <t>1 3</t>
  </si>
  <si>
    <t>2 1</t>
  </si>
  <si>
    <t>2 2</t>
  </si>
  <si>
    <t>2 3</t>
  </si>
  <si>
    <t>3 1</t>
  </si>
  <si>
    <t>3 2</t>
  </si>
  <si>
    <t>3 3</t>
  </si>
  <si>
    <t>4 1</t>
  </si>
  <si>
    <t>4 2</t>
  </si>
  <si>
    <t>5 1</t>
  </si>
  <si>
    <t>5 2</t>
  </si>
  <si>
    <t>6 1</t>
  </si>
  <si>
    <t>6 2</t>
  </si>
  <si>
    <t>hn1a</t>
  </si>
  <si>
    <t>zg12a</t>
  </si>
  <si>
    <t>zg5b</t>
  </si>
  <si>
    <t>plot</t>
  </si>
  <si>
    <t>replicate</t>
  </si>
  <si>
    <t>LMA (g/m2)</t>
  </si>
  <si>
    <t>p1</t>
  </si>
  <si>
    <t>wt</t>
  </si>
  <si>
    <t>p2</t>
  </si>
  <si>
    <t>p3</t>
  </si>
  <si>
    <t>p4</t>
  </si>
  <si>
    <t>p5</t>
  </si>
  <si>
    <t>p6</t>
  </si>
  <si>
    <t>Leaf + Stem dry weight(g)</t>
  </si>
  <si>
    <t>Panicle Dry Weight (g)</t>
  </si>
  <si>
    <t>Above ground dry weight (g)</t>
  </si>
  <si>
    <t>Average Panicle emergence (DOY)</t>
  </si>
  <si>
    <t>Average Panicle Emergence date August 2023</t>
  </si>
  <si>
    <t>Panicle Dry Weight, without seed(g)</t>
  </si>
  <si>
    <t>RBCS-RAF1</t>
  </si>
  <si>
    <t>Wildtype</t>
  </si>
  <si>
    <t>Predicted Protein Dry basis %</t>
  </si>
  <si>
    <t>Predicted Fat Dry basis %</t>
  </si>
  <si>
    <t>Predicted Ash Dry basis %</t>
  </si>
  <si>
    <t>Predicted Starch Dry basis %</t>
  </si>
  <si>
    <t>Event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</si>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</sst>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\-d"/>
  </numFmts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defaultRowHeight="15" x14ac:dyDescent="0.25"/>
  <cols>
    <col min="1" max="1" width="11" customWidth="1"/>
    <col min="3" max="3" width="16.28515625" customWidth="1"/>
    <col min="4" max="5" width="13.42578125" customWidth="1"/>
    <col min="9" max="9" width="10.140625" customWidth="1"/>
    <col min="15" max="15" width="12.140625" customWidth="1"/>
    <col min="16" max="16" width="12.7109375" customWidth="1"/>
  </cols>
  <sheetData>
    <row r="1" spans="1:16" ht="75" x14ac:dyDescent="0.25">
      <c r="A1" s="9" t="s">
        <v>65</v>
      </c>
      <c r="B1" s="9" t="s">
        <v>0</v>
      </c>
      <c r="C1" s="9" t="s">
        <v>53</v>
      </c>
      <c r="D1" s="9" t="s">
        <v>54</v>
      </c>
      <c r="E1" s="9" t="s">
        <v>58</v>
      </c>
      <c r="F1" s="9" t="s">
        <v>55</v>
      </c>
      <c r="G1" s="9" t="s">
        <v>1</v>
      </c>
      <c r="H1" s="9"/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56</v>
      </c>
      <c r="P1" s="9" t="s">
        <v>57</v>
      </c>
    </row>
    <row r="2" spans="1:16" x14ac:dyDescent="0.25">
      <c r="A2" s="1" t="s">
        <v>2</v>
      </c>
      <c r="B2" s="1">
        <v>1</v>
      </c>
      <c r="C2" s="1">
        <v>3965.2599999999998</v>
      </c>
      <c r="D2" s="1">
        <v>2820.5</v>
      </c>
      <c r="E2" s="1">
        <f>D2-I2</f>
        <v>548.40000000000009</v>
      </c>
      <c r="F2" s="1">
        <v>6785.76</v>
      </c>
      <c r="G2" s="1">
        <v>0.33483353375303576</v>
      </c>
      <c r="H2" s="1"/>
      <c r="I2" s="1">
        <v>2272.1</v>
      </c>
      <c r="J2" s="1">
        <v>4.0560999999999998</v>
      </c>
      <c r="K2" s="1">
        <v>60</v>
      </c>
      <c r="L2" s="1">
        <v>37.868333333333332</v>
      </c>
      <c r="M2" s="1">
        <v>933.61439149264902</v>
      </c>
      <c r="N2" s="1">
        <v>56016.863489558935</v>
      </c>
      <c r="O2" s="1">
        <v>228</v>
      </c>
      <c r="P2" s="1">
        <v>16</v>
      </c>
    </row>
    <row r="3" spans="1:16" x14ac:dyDescent="0.25">
      <c r="A3" s="1" t="s">
        <v>2</v>
      </c>
      <c r="B3" s="1">
        <v>2</v>
      </c>
      <c r="C3" s="1">
        <v>4959.54</v>
      </c>
      <c r="D3" s="1">
        <v>3787.1</v>
      </c>
      <c r="E3" s="1">
        <f t="shared" ref="E3:E25" si="0">D3-I3</f>
        <v>654.09999999999991</v>
      </c>
      <c r="F3" s="1">
        <v>8746.64</v>
      </c>
      <c r="G3" s="1">
        <v>0.3581946896179562</v>
      </c>
      <c r="H3" s="1"/>
      <c r="I3" s="1">
        <v>3133</v>
      </c>
      <c r="J3" s="1">
        <v>3.9409000000000001</v>
      </c>
      <c r="K3" s="1">
        <v>75</v>
      </c>
      <c r="L3" s="1">
        <v>41.773333333333333</v>
      </c>
      <c r="M3" s="1">
        <v>1059.9947558510323</v>
      </c>
      <c r="N3" s="1">
        <v>79499.606688827422</v>
      </c>
      <c r="O3" s="1">
        <v>225</v>
      </c>
      <c r="P3" s="1">
        <v>13</v>
      </c>
    </row>
    <row r="4" spans="1:16" x14ac:dyDescent="0.25">
      <c r="A4" s="1" t="s">
        <v>2</v>
      </c>
      <c r="B4" s="1">
        <v>3</v>
      </c>
      <c r="C4" s="1">
        <v>4653.26</v>
      </c>
      <c r="D4" s="1">
        <v>3724</v>
      </c>
      <c r="E4" s="1">
        <f t="shared" si="0"/>
        <v>731</v>
      </c>
      <c r="F4" s="1">
        <v>8377.26</v>
      </c>
      <c r="G4" s="1">
        <v>0.35727672293804896</v>
      </c>
      <c r="H4" s="1"/>
      <c r="I4" s="1">
        <v>2993</v>
      </c>
      <c r="J4" s="1">
        <v>4.1491749999999996</v>
      </c>
      <c r="K4" s="1">
        <v>71</v>
      </c>
      <c r="L4" s="1">
        <v>42.154929577464792</v>
      </c>
      <c r="M4" s="1">
        <v>1015.9834082068073</v>
      </c>
      <c r="N4" s="1">
        <v>72134.821982683308</v>
      </c>
      <c r="O4" s="1">
        <v>228</v>
      </c>
      <c r="P4" s="1">
        <v>16</v>
      </c>
    </row>
    <row r="5" spans="1:16" x14ac:dyDescent="0.25">
      <c r="A5" s="1" t="s">
        <v>2</v>
      </c>
      <c r="B5" s="1">
        <v>4</v>
      </c>
      <c r="C5" s="1">
        <v>4298.7700000000004</v>
      </c>
      <c r="D5" s="1">
        <v>3554</v>
      </c>
      <c r="E5" s="1">
        <f t="shared" si="0"/>
        <v>658.5</v>
      </c>
      <c r="F5" s="1">
        <v>7852.77</v>
      </c>
      <c r="G5" s="1">
        <v>0.36872339314662211</v>
      </c>
      <c r="H5" s="1"/>
      <c r="I5" s="1">
        <v>2895.5</v>
      </c>
      <c r="J5" s="1">
        <v>4.149</v>
      </c>
      <c r="K5" s="1">
        <v>65</v>
      </c>
      <c r="L5" s="1">
        <v>44.54615384615385</v>
      </c>
      <c r="M5" s="1">
        <v>1073.6600107532863</v>
      </c>
      <c r="N5" s="1">
        <v>69787.900698963611</v>
      </c>
      <c r="O5" s="1">
        <v>228</v>
      </c>
      <c r="P5" s="1">
        <v>16</v>
      </c>
    </row>
    <row r="6" spans="1:16" x14ac:dyDescent="0.25">
      <c r="A6" s="1" t="s">
        <v>2</v>
      </c>
      <c r="B6" s="1">
        <v>5</v>
      </c>
      <c r="C6" s="1">
        <v>4501.82</v>
      </c>
      <c r="D6" s="1">
        <v>3422.9</v>
      </c>
      <c r="E6" s="1">
        <f t="shared" si="0"/>
        <v>597.09999999999991</v>
      </c>
      <c r="F6" s="1">
        <v>7924.7199999999993</v>
      </c>
      <c r="G6" s="1">
        <v>0.35658042176884486</v>
      </c>
      <c r="H6" s="1"/>
      <c r="I6" s="1">
        <v>2825.8</v>
      </c>
      <c r="J6" s="1">
        <v>3.8339500000000002</v>
      </c>
      <c r="K6" s="1">
        <v>73</v>
      </c>
      <c r="L6" s="1">
        <v>38.709589041095896</v>
      </c>
      <c r="M6" s="1">
        <v>1009.652943859359</v>
      </c>
      <c r="N6" s="1">
        <v>73704.664901733195</v>
      </c>
      <c r="O6" s="1">
        <v>227</v>
      </c>
      <c r="P6" s="1">
        <v>15</v>
      </c>
    </row>
    <row r="7" spans="1:16" x14ac:dyDescent="0.25">
      <c r="A7" s="1" t="s">
        <v>2</v>
      </c>
      <c r="B7" s="1">
        <v>6</v>
      </c>
      <c r="C7" s="1">
        <v>5085.6000000000004</v>
      </c>
      <c r="D7" s="1">
        <v>3851.8</v>
      </c>
      <c r="E7" s="1">
        <f t="shared" si="0"/>
        <v>735.5</v>
      </c>
      <c r="F7" s="1">
        <v>8937.4000000000015</v>
      </c>
      <c r="G7" s="1">
        <v>0.34868082440083242</v>
      </c>
      <c r="H7" s="1"/>
      <c r="I7" s="1">
        <v>3116.3</v>
      </c>
      <c r="J7" s="1">
        <v>4.0082500000000003</v>
      </c>
      <c r="K7" s="1">
        <v>73</v>
      </c>
      <c r="L7" s="1">
        <v>42.689041095890417</v>
      </c>
      <c r="M7" s="1">
        <v>1065.0294042509927</v>
      </c>
      <c r="N7" s="1">
        <v>77747.146510322462</v>
      </c>
      <c r="O7" s="1">
        <v>227</v>
      </c>
      <c r="P7" s="1">
        <v>15</v>
      </c>
    </row>
    <row r="8" spans="1:16" x14ac:dyDescent="0.25">
      <c r="A8" s="1" t="s">
        <v>3</v>
      </c>
      <c r="B8" s="1">
        <v>1</v>
      </c>
      <c r="C8" s="1">
        <v>4541.96</v>
      </c>
      <c r="D8" s="1">
        <v>2468.4</v>
      </c>
      <c r="E8" s="1">
        <f t="shared" si="0"/>
        <v>570</v>
      </c>
      <c r="F8" s="1">
        <v>7010.3600000000006</v>
      </c>
      <c r="G8" s="1">
        <v>0.27079921715860528</v>
      </c>
      <c r="H8" s="1"/>
      <c r="I8" s="1">
        <v>1898.4</v>
      </c>
      <c r="J8" s="1">
        <v>3.6863999999999999</v>
      </c>
      <c r="K8" s="1">
        <v>60</v>
      </c>
      <c r="L8" s="1">
        <v>31.64</v>
      </c>
      <c r="M8" s="1">
        <v>858.28993055555554</v>
      </c>
      <c r="N8" s="1">
        <v>51497.395833333336</v>
      </c>
      <c r="O8" s="1">
        <v>232</v>
      </c>
      <c r="P8" s="1">
        <v>20</v>
      </c>
    </row>
    <row r="9" spans="1:16" x14ac:dyDescent="0.25">
      <c r="A9" s="1" t="s">
        <v>3</v>
      </c>
      <c r="B9" s="1">
        <v>2</v>
      </c>
      <c r="C9" s="1">
        <v>5566.37</v>
      </c>
      <c r="D9" s="1">
        <v>3447.1</v>
      </c>
      <c r="E9" s="1">
        <f t="shared" si="0"/>
        <v>755.69999999999982</v>
      </c>
      <c r="F9" s="1">
        <v>9013.4699999999993</v>
      </c>
      <c r="G9" s="1">
        <v>0.2985975434544077</v>
      </c>
      <c r="H9" s="1"/>
      <c r="I9" s="1">
        <v>2691.4</v>
      </c>
      <c r="J9" s="1">
        <v>3.8284000000000002</v>
      </c>
      <c r="K9" s="1">
        <v>81</v>
      </c>
      <c r="L9" s="1">
        <v>33.227160493827164</v>
      </c>
      <c r="M9" s="1">
        <v>867.91245673981723</v>
      </c>
      <c r="N9" s="1">
        <v>70300.908995925187</v>
      </c>
      <c r="O9" s="1">
        <v>232</v>
      </c>
      <c r="P9" s="1">
        <v>20</v>
      </c>
    </row>
    <row r="10" spans="1:16" x14ac:dyDescent="0.25">
      <c r="A10" s="1" t="s">
        <v>3</v>
      </c>
      <c r="B10" s="1">
        <v>3</v>
      </c>
      <c r="C10" s="1">
        <v>4779.5300000000007</v>
      </c>
      <c r="D10" s="1">
        <v>2874.8</v>
      </c>
      <c r="E10" s="1">
        <f t="shared" si="0"/>
        <v>593.40000000000009</v>
      </c>
      <c r="F10" s="1">
        <v>7654.3300000000008</v>
      </c>
      <c r="G10" s="1">
        <v>0.29805352003375862</v>
      </c>
      <c r="H10" s="1"/>
      <c r="I10" s="1">
        <v>2281.4</v>
      </c>
      <c r="J10" s="1">
        <v>3.8904000000000001</v>
      </c>
      <c r="K10" s="1">
        <v>72</v>
      </c>
      <c r="L10" s="1">
        <v>31.686111111111114</v>
      </c>
      <c r="M10" s="1">
        <v>814.46923481161605</v>
      </c>
      <c r="N10" s="1">
        <v>58641.784906436362</v>
      </c>
      <c r="O10" s="1">
        <v>232</v>
      </c>
      <c r="P10" s="1">
        <v>20</v>
      </c>
    </row>
    <row r="11" spans="1:16" x14ac:dyDescent="0.25">
      <c r="A11" s="1" t="s">
        <v>3</v>
      </c>
      <c r="B11" s="1">
        <v>4</v>
      </c>
      <c r="C11" s="1">
        <v>4455.7700000000004</v>
      </c>
      <c r="D11" s="1">
        <v>2207.5</v>
      </c>
      <c r="E11" s="1">
        <f t="shared" si="0"/>
        <v>519.09999999999991</v>
      </c>
      <c r="F11" s="1">
        <v>6663.27</v>
      </c>
      <c r="G11" s="1">
        <v>0.25338910174734025</v>
      </c>
      <c r="H11" s="1"/>
      <c r="I11" s="1">
        <v>1688.4</v>
      </c>
      <c r="J11" s="1">
        <v>3.77155</v>
      </c>
      <c r="K11" s="1">
        <v>59</v>
      </c>
      <c r="L11" s="1">
        <v>28.616949152542375</v>
      </c>
      <c r="M11" s="1">
        <v>758.758312962638</v>
      </c>
      <c r="N11" s="1">
        <v>44766.740464795643</v>
      </c>
      <c r="O11" s="1">
        <v>234</v>
      </c>
      <c r="P11" s="1">
        <v>22</v>
      </c>
    </row>
    <row r="12" spans="1:16" x14ac:dyDescent="0.25">
      <c r="A12" s="1" t="s">
        <v>3</v>
      </c>
      <c r="B12" s="1">
        <v>5</v>
      </c>
      <c r="C12" s="1">
        <v>6023.5599999999995</v>
      </c>
      <c r="D12" s="1">
        <v>3276.7</v>
      </c>
      <c r="E12" s="1">
        <f t="shared" si="0"/>
        <v>704.79999999999973</v>
      </c>
      <c r="F12" s="1">
        <v>9300.2599999999984</v>
      </c>
      <c r="G12" s="1">
        <v>0.27654065585263216</v>
      </c>
      <c r="H12" s="1"/>
      <c r="I12" s="1">
        <v>2571.9</v>
      </c>
      <c r="J12" s="1">
        <v>3.76945</v>
      </c>
      <c r="K12" s="1">
        <v>69</v>
      </c>
      <c r="L12" s="1">
        <v>37.27391304347826</v>
      </c>
      <c r="M12" s="1">
        <v>988.84221951420659</v>
      </c>
      <c r="N12" s="1">
        <v>68230.11314648026</v>
      </c>
      <c r="O12" s="1">
        <v>232</v>
      </c>
      <c r="P12" s="1">
        <v>20</v>
      </c>
    </row>
    <row r="13" spans="1:16" x14ac:dyDescent="0.25">
      <c r="A13" s="1" t="s">
        <v>3</v>
      </c>
      <c r="B13" s="1">
        <v>6</v>
      </c>
      <c r="C13" s="1">
        <v>6143.45</v>
      </c>
      <c r="D13" s="1">
        <v>3651.7</v>
      </c>
      <c r="E13" s="1">
        <f t="shared" si="0"/>
        <v>801.29999999999973</v>
      </c>
      <c r="F13" s="1">
        <v>9795.15</v>
      </c>
      <c r="G13" s="1">
        <v>0.29100115873672178</v>
      </c>
      <c r="H13" s="1"/>
      <c r="I13" s="1">
        <v>2850.4</v>
      </c>
      <c r="J13" s="1">
        <v>3.7480000000000002</v>
      </c>
      <c r="K13" s="1">
        <v>83</v>
      </c>
      <c r="L13" s="1">
        <v>34.342168674698797</v>
      </c>
      <c r="M13" s="1">
        <v>916.27984724383134</v>
      </c>
      <c r="N13" s="1">
        <v>76051.227321237995</v>
      </c>
      <c r="O13" s="1">
        <v>233</v>
      </c>
      <c r="P13" s="1">
        <v>21</v>
      </c>
    </row>
    <row r="14" spans="1:16" x14ac:dyDescent="0.25">
      <c r="A14" s="1" t="s">
        <v>5</v>
      </c>
      <c r="B14" s="1">
        <v>1</v>
      </c>
      <c r="C14" s="1">
        <v>4328.9699999999993</v>
      </c>
      <c r="D14" s="1">
        <v>2874.4</v>
      </c>
      <c r="E14" s="1">
        <f t="shared" si="0"/>
        <v>547.59999999999991</v>
      </c>
      <c r="F14" s="1">
        <v>7203.369999999999</v>
      </c>
      <c r="G14" s="1">
        <v>0.32301547747790277</v>
      </c>
      <c r="H14" s="1"/>
      <c r="I14" s="1">
        <v>2326.8000000000002</v>
      </c>
      <c r="J14" s="1">
        <v>3.8803000000000001</v>
      </c>
      <c r="K14" s="1">
        <v>52</v>
      </c>
      <c r="L14" s="1">
        <v>44.746153846153852</v>
      </c>
      <c r="M14" s="1">
        <v>1153.1622257597055</v>
      </c>
      <c r="N14" s="1">
        <v>59964.435739504675</v>
      </c>
      <c r="O14" s="1">
        <v>229</v>
      </c>
      <c r="P14" s="1">
        <v>17</v>
      </c>
    </row>
    <row r="15" spans="1:16" x14ac:dyDescent="0.25">
      <c r="A15" s="1" t="s">
        <v>5</v>
      </c>
      <c r="B15" s="1">
        <v>2</v>
      </c>
      <c r="C15" s="1">
        <v>5408.02</v>
      </c>
      <c r="D15" s="1">
        <v>3342.8</v>
      </c>
      <c r="E15" s="1">
        <f t="shared" si="0"/>
        <v>636.40000000000009</v>
      </c>
      <c r="F15" s="1">
        <v>8750.82</v>
      </c>
      <c r="G15" s="1">
        <v>0.30927387376268739</v>
      </c>
      <c r="H15" s="1"/>
      <c r="I15" s="1">
        <v>2706.4</v>
      </c>
      <c r="J15" s="1">
        <v>3.89825</v>
      </c>
      <c r="K15" s="1">
        <v>45</v>
      </c>
      <c r="L15" s="1">
        <v>60.142222222222223</v>
      </c>
      <c r="M15" s="1">
        <v>1542.8005444038279</v>
      </c>
      <c r="N15" s="1">
        <v>69426.024498172264</v>
      </c>
      <c r="O15" s="1">
        <v>230</v>
      </c>
      <c r="P15" s="1">
        <v>18</v>
      </c>
    </row>
    <row r="16" spans="1:16" x14ac:dyDescent="0.25">
      <c r="A16" s="1" t="s">
        <v>5</v>
      </c>
      <c r="B16" s="1">
        <v>3</v>
      </c>
      <c r="C16" s="1">
        <v>5248.66</v>
      </c>
      <c r="D16" s="1">
        <v>2835.1</v>
      </c>
      <c r="E16" s="1">
        <f t="shared" si="0"/>
        <v>604</v>
      </c>
      <c r="F16" s="1">
        <v>8083.76</v>
      </c>
      <c r="G16" s="1">
        <v>0.27599780300256316</v>
      </c>
      <c r="H16" s="1"/>
      <c r="I16" s="1">
        <v>2231.1</v>
      </c>
      <c r="J16" s="1">
        <v>3.6913499999999999</v>
      </c>
      <c r="K16" s="1">
        <v>53</v>
      </c>
      <c r="L16" s="1">
        <v>42.096226415094335</v>
      </c>
      <c r="M16" s="1">
        <v>1140.4019238244637</v>
      </c>
      <c r="N16" s="1">
        <v>60441.301962696569</v>
      </c>
      <c r="O16" s="1">
        <v>231</v>
      </c>
      <c r="P16" s="1">
        <v>19</v>
      </c>
    </row>
    <row r="17" spans="1:16" x14ac:dyDescent="0.25">
      <c r="A17" s="1" t="s">
        <v>5</v>
      </c>
      <c r="B17" s="1">
        <v>4</v>
      </c>
      <c r="C17" s="1">
        <v>4976.03</v>
      </c>
      <c r="D17" s="1">
        <v>3412.6</v>
      </c>
      <c r="E17" s="1">
        <f t="shared" si="0"/>
        <v>619.69999999999982</v>
      </c>
      <c r="F17" s="1">
        <v>8388.6299999999992</v>
      </c>
      <c r="G17" s="1">
        <v>0.332938751619752</v>
      </c>
      <c r="H17" s="1"/>
      <c r="I17" s="1">
        <v>2792.9</v>
      </c>
      <c r="J17" s="1">
        <v>3.7799</v>
      </c>
      <c r="K17" s="1">
        <v>60</v>
      </c>
      <c r="L17" s="1">
        <v>46.548333333333332</v>
      </c>
      <c r="M17" s="1">
        <v>1231.4699683413141</v>
      </c>
      <c r="N17" s="1">
        <v>73888.198100478854</v>
      </c>
      <c r="O17" s="1">
        <v>229</v>
      </c>
      <c r="P17" s="1">
        <v>17</v>
      </c>
    </row>
    <row r="18" spans="1:16" x14ac:dyDescent="0.25">
      <c r="A18" s="1" t="s">
        <v>5</v>
      </c>
      <c r="B18" s="1">
        <v>5</v>
      </c>
      <c r="C18" s="1">
        <v>4760.6900000000005</v>
      </c>
      <c r="D18" s="1">
        <v>3404.2</v>
      </c>
      <c r="E18" s="1">
        <f t="shared" si="0"/>
        <v>661.69999999999982</v>
      </c>
      <c r="F18" s="1">
        <v>8164.89</v>
      </c>
      <c r="G18" s="1">
        <v>0.33588939961224218</v>
      </c>
      <c r="H18" s="1"/>
      <c r="I18" s="1">
        <v>2742.5</v>
      </c>
      <c r="J18" s="1">
        <v>3.8920000000000003</v>
      </c>
      <c r="K18" s="1">
        <v>66</v>
      </c>
      <c r="L18" s="1">
        <v>41.553030303030305</v>
      </c>
      <c r="M18" s="1">
        <v>1067.6523716092061</v>
      </c>
      <c r="N18" s="1">
        <v>70465.056526207598</v>
      </c>
      <c r="O18" s="1">
        <v>229</v>
      </c>
      <c r="P18" s="1">
        <v>17</v>
      </c>
    </row>
    <row r="19" spans="1:16" x14ac:dyDescent="0.25">
      <c r="A19" s="1" t="s">
        <v>5</v>
      </c>
      <c r="B19" s="1">
        <v>6</v>
      </c>
      <c r="C19" s="1">
        <v>5888.9400000000005</v>
      </c>
      <c r="D19" s="1">
        <v>3568</v>
      </c>
      <c r="E19" s="1">
        <f t="shared" si="0"/>
        <v>715.19999999999982</v>
      </c>
      <c r="F19" s="1">
        <v>9456.94</v>
      </c>
      <c r="G19" s="1">
        <v>0.3016620598206185</v>
      </c>
      <c r="H19" s="1"/>
      <c r="I19" s="1">
        <v>2852.8</v>
      </c>
      <c r="J19" s="1">
        <v>3.8196500000000002</v>
      </c>
      <c r="K19" s="1">
        <v>64</v>
      </c>
      <c r="L19" s="1">
        <v>44.575000000000003</v>
      </c>
      <c r="M19" s="1">
        <v>1166.9917400808974</v>
      </c>
      <c r="N19" s="1">
        <v>74687.471365177436</v>
      </c>
      <c r="O19" s="1">
        <v>231</v>
      </c>
      <c r="P19" s="1">
        <v>19</v>
      </c>
    </row>
    <row r="20" spans="1:16" x14ac:dyDescent="0.25">
      <c r="A20" s="1" t="s">
        <v>4</v>
      </c>
      <c r="B20" s="1">
        <v>1</v>
      </c>
      <c r="C20" s="1">
        <v>4093.17</v>
      </c>
      <c r="D20" s="1">
        <v>2545.6</v>
      </c>
      <c r="E20" s="1">
        <f t="shared" si="0"/>
        <v>488.90000000000009</v>
      </c>
      <c r="F20" s="1">
        <v>6638.77</v>
      </c>
      <c r="G20" s="1">
        <v>0.30980136380684969</v>
      </c>
      <c r="H20" s="1"/>
      <c r="I20" s="1">
        <v>2056.6999999999998</v>
      </c>
      <c r="J20" s="1">
        <v>4.1092499999999994</v>
      </c>
      <c r="K20" s="1">
        <v>46</v>
      </c>
      <c r="L20" s="1">
        <v>44.710869565217386</v>
      </c>
      <c r="M20" s="1">
        <v>1088.0542572298448</v>
      </c>
      <c r="N20" s="1">
        <v>50050.495832572858</v>
      </c>
      <c r="O20" s="1">
        <v>233</v>
      </c>
      <c r="P20" s="1">
        <v>21</v>
      </c>
    </row>
    <row r="21" spans="1:16" x14ac:dyDescent="0.25">
      <c r="A21" s="1" t="s">
        <v>4</v>
      </c>
      <c r="B21" s="1">
        <v>2</v>
      </c>
      <c r="C21" s="1">
        <v>5800.9</v>
      </c>
      <c r="D21" s="1">
        <v>3501.5</v>
      </c>
      <c r="E21" s="1">
        <f t="shared" si="0"/>
        <v>662.90000000000009</v>
      </c>
      <c r="F21" s="1">
        <v>9302.4</v>
      </c>
      <c r="G21" s="1">
        <v>0.30514705882352944</v>
      </c>
      <c r="H21" s="1"/>
      <c r="I21" s="1">
        <v>2838.6</v>
      </c>
      <c r="J21" s="1">
        <v>4.09185</v>
      </c>
      <c r="K21" s="1">
        <v>64</v>
      </c>
      <c r="L21" s="1">
        <v>44.353124999999999</v>
      </c>
      <c r="M21" s="1">
        <v>1083.9381942153304</v>
      </c>
      <c r="N21" s="1">
        <v>69372.044429781148</v>
      </c>
      <c r="O21" s="1">
        <v>230</v>
      </c>
      <c r="P21" s="1">
        <v>18</v>
      </c>
    </row>
    <row r="22" spans="1:16" x14ac:dyDescent="0.25">
      <c r="A22" s="1" t="s">
        <v>4</v>
      </c>
      <c r="B22" s="1">
        <v>3</v>
      </c>
      <c r="C22" s="1">
        <v>6793.95</v>
      </c>
      <c r="D22" s="1">
        <v>4109.8999999999996</v>
      </c>
      <c r="E22" s="1">
        <f t="shared" si="0"/>
        <v>807.09999999999945</v>
      </c>
      <c r="F22" s="1">
        <v>10903.849999999999</v>
      </c>
      <c r="G22" s="1">
        <v>0.30290218592515494</v>
      </c>
      <c r="H22" s="1"/>
      <c r="I22" s="1">
        <v>3302.8</v>
      </c>
      <c r="J22" s="1">
        <v>3.98245</v>
      </c>
      <c r="K22" s="1">
        <v>75</v>
      </c>
      <c r="L22" s="1">
        <v>44.037333333333336</v>
      </c>
      <c r="M22" s="1">
        <v>1105.7849648666861</v>
      </c>
      <c r="N22" s="1">
        <v>82933.872365001444</v>
      </c>
      <c r="O22" s="1">
        <v>231</v>
      </c>
      <c r="P22" s="1">
        <v>19</v>
      </c>
    </row>
    <row r="23" spans="1:16" x14ac:dyDescent="0.25">
      <c r="A23" s="1" t="s">
        <v>4</v>
      </c>
      <c r="B23" s="1">
        <v>4</v>
      </c>
      <c r="C23" s="1">
        <v>4522.25</v>
      </c>
      <c r="D23" s="1">
        <v>2510.5</v>
      </c>
      <c r="E23" s="1">
        <f t="shared" si="0"/>
        <v>521</v>
      </c>
      <c r="F23" s="1">
        <v>7032.75</v>
      </c>
      <c r="G23" s="1">
        <v>0.28289076108208028</v>
      </c>
      <c r="H23" s="1"/>
      <c r="I23" s="1">
        <v>1989.5</v>
      </c>
      <c r="J23" s="1">
        <v>4.0585000000000004</v>
      </c>
      <c r="K23" s="1">
        <v>53</v>
      </c>
      <c r="L23" s="1">
        <v>37.537735849056602</v>
      </c>
      <c r="M23" s="1">
        <v>924.91649252326238</v>
      </c>
      <c r="N23" s="1">
        <v>49020.574103732899</v>
      </c>
      <c r="O23" s="1">
        <v>231</v>
      </c>
      <c r="P23" s="1">
        <v>19</v>
      </c>
    </row>
    <row r="24" spans="1:16" x14ac:dyDescent="0.25">
      <c r="A24" s="1" t="s">
        <v>4</v>
      </c>
      <c r="B24" s="1">
        <v>5</v>
      </c>
      <c r="C24" s="1">
        <v>5823.72</v>
      </c>
      <c r="D24" s="1">
        <v>3212.7</v>
      </c>
      <c r="E24" s="1">
        <f t="shared" si="0"/>
        <v>675.39999999999964</v>
      </c>
      <c r="F24" s="1">
        <v>9036.42</v>
      </c>
      <c r="G24" s="1">
        <v>0.28078597497681607</v>
      </c>
      <c r="H24" s="1"/>
      <c r="I24" s="1">
        <v>2537.3000000000002</v>
      </c>
      <c r="J24" s="1">
        <v>4.0524000000000004</v>
      </c>
      <c r="K24" s="1">
        <v>60</v>
      </c>
      <c r="L24" s="1">
        <v>42.288333333333334</v>
      </c>
      <c r="M24" s="1">
        <v>1043.5379857203961</v>
      </c>
      <c r="N24" s="1">
        <v>62612.279143223772</v>
      </c>
      <c r="O24" s="1">
        <v>233</v>
      </c>
      <c r="P24" s="1">
        <v>21</v>
      </c>
    </row>
    <row r="25" spans="1:16" x14ac:dyDescent="0.25">
      <c r="A25" s="1" t="s">
        <v>4</v>
      </c>
      <c r="B25" s="1">
        <v>6</v>
      </c>
      <c r="C25" s="1">
        <v>6021.49</v>
      </c>
      <c r="D25" s="1">
        <v>3557.5</v>
      </c>
      <c r="E25" s="1">
        <f t="shared" si="0"/>
        <v>731.59999999999991</v>
      </c>
      <c r="F25" s="1">
        <v>9578.99</v>
      </c>
      <c r="G25" s="1">
        <v>0.29501022550394146</v>
      </c>
      <c r="H25" s="1"/>
      <c r="I25" s="1">
        <v>2825.9</v>
      </c>
      <c r="J25" s="1">
        <v>4.0431999999999997</v>
      </c>
      <c r="K25" s="1">
        <v>67</v>
      </c>
      <c r="L25" s="1">
        <v>42.177611940298512</v>
      </c>
      <c r="M25" s="1">
        <v>1043.1740191011702</v>
      </c>
      <c r="N25" s="1">
        <v>69892.659279778396</v>
      </c>
      <c r="O25" s="1">
        <v>233</v>
      </c>
      <c r="P25" s="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F27" sqref="F27"/>
    </sheetView>
  </sheetViews>
  <sheetFormatPr defaultRowHeight="15" x14ac:dyDescent="0.25"/>
  <cols>
    <col min="1" max="1" width="11.140625" customWidth="1"/>
    <col min="2" max="2" width="11" customWidth="1"/>
    <col min="3" max="3" width="13" customWidth="1"/>
    <col min="4" max="4" width="12.140625" customWidth="1"/>
    <col min="5" max="5" width="12.7109375" customWidth="1"/>
    <col min="6" max="6" width="13.85546875" customWidth="1"/>
  </cols>
  <sheetData>
    <row r="1" spans="1:8" ht="45" x14ac:dyDescent="0.25">
      <c r="A1" s="10" t="s">
        <v>65</v>
      </c>
      <c r="B1" s="10" t="s">
        <v>0</v>
      </c>
      <c r="C1" s="10" t="s">
        <v>61</v>
      </c>
      <c r="D1" s="10" t="s">
        <v>62</v>
      </c>
      <c r="E1" s="10" t="s">
        <v>63</v>
      </c>
      <c r="F1" s="10" t="s">
        <v>64</v>
      </c>
      <c r="G1" s="10"/>
      <c r="H1" s="1"/>
    </row>
    <row r="2" spans="1:8" x14ac:dyDescent="0.25">
      <c r="A2" s="1" t="s">
        <v>59</v>
      </c>
      <c r="B2" s="1">
        <v>6</v>
      </c>
      <c r="C2" s="1">
        <v>12</v>
      </c>
      <c r="D2" s="1">
        <v>4.8</v>
      </c>
      <c r="E2" s="1">
        <v>1.52</v>
      </c>
      <c r="F2" s="1">
        <v>72.010000000000005</v>
      </c>
      <c r="G2" s="1"/>
      <c r="H2" s="1"/>
    </row>
    <row r="3" spans="1:8" x14ac:dyDescent="0.25">
      <c r="A3" s="1" t="s">
        <v>60</v>
      </c>
      <c r="B3" s="1">
        <v>1</v>
      </c>
      <c r="C3" s="1">
        <v>11.3</v>
      </c>
      <c r="D3" s="1">
        <v>4.84</v>
      </c>
      <c r="E3" s="1">
        <v>1.52</v>
      </c>
      <c r="F3" s="1">
        <v>72.959999999999994</v>
      </c>
      <c r="G3" s="1"/>
      <c r="H3" s="1"/>
    </row>
    <row r="4" spans="1:8" x14ac:dyDescent="0.25">
      <c r="A4" s="1" t="s">
        <v>60</v>
      </c>
      <c r="B4" s="1">
        <v>2</v>
      </c>
      <c r="C4" s="1">
        <v>10.71</v>
      </c>
      <c r="D4" s="1">
        <v>4.84</v>
      </c>
      <c r="E4" s="1">
        <v>1.49</v>
      </c>
      <c r="F4" s="1">
        <v>73.319999999999993</v>
      </c>
      <c r="G4" s="1"/>
      <c r="H4" s="1"/>
    </row>
    <row r="5" spans="1:8" x14ac:dyDescent="0.25">
      <c r="A5" s="1" t="s">
        <v>59</v>
      </c>
      <c r="B5" s="1">
        <v>3</v>
      </c>
      <c r="C5" s="1">
        <v>12.02</v>
      </c>
      <c r="D5" s="1">
        <v>4.8499999999999996</v>
      </c>
      <c r="E5" s="1">
        <v>1.53</v>
      </c>
      <c r="F5" s="1">
        <v>72.28</v>
      </c>
      <c r="G5" s="1"/>
      <c r="H5" s="1"/>
    </row>
    <row r="6" spans="1:8" x14ac:dyDescent="0.25">
      <c r="A6" s="1" t="s">
        <v>59</v>
      </c>
      <c r="B6" s="1">
        <v>4</v>
      </c>
      <c r="C6" s="1">
        <v>12.52</v>
      </c>
      <c r="D6" s="1">
        <v>4.8099999999999996</v>
      </c>
      <c r="E6" s="1">
        <v>1.55</v>
      </c>
      <c r="F6" s="1">
        <v>71.88</v>
      </c>
      <c r="G6" s="1"/>
      <c r="H6" s="1"/>
    </row>
    <row r="7" spans="1:8" x14ac:dyDescent="0.25">
      <c r="A7" s="1" t="s">
        <v>59</v>
      </c>
      <c r="B7" s="1">
        <v>5</v>
      </c>
      <c r="C7" s="1">
        <v>11.09</v>
      </c>
      <c r="D7" s="1">
        <v>4.84</v>
      </c>
      <c r="E7" s="1">
        <v>1.49</v>
      </c>
      <c r="F7" s="1">
        <v>73.069999999999993</v>
      </c>
      <c r="G7" s="1"/>
      <c r="H7" s="1"/>
    </row>
    <row r="8" spans="1:8" x14ac:dyDescent="0.25">
      <c r="A8" s="1" t="s">
        <v>59</v>
      </c>
      <c r="B8" s="1">
        <v>3</v>
      </c>
      <c r="C8" s="1">
        <v>11.91</v>
      </c>
      <c r="D8" s="1">
        <v>4.8600000000000003</v>
      </c>
      <c r="E8" s="1">
        <v>1.53</v>
      </c>
      <c r="F8" s="1">
        <v>72.36</v>
      </c>
      <c r="G8" s="1"/>
      <c r="H8" s="1"/>
    </row>
    <row r="9" spans="1:8" x14ac:dyDescent="0.25">
      <c r="A9" s="1" t="s">
        <v>59</v>
      </c>
      <c r="B9" s="1">
        <v>1</v>
      </c>
      <c r="C9" s="1">
        <v>11.3</v>
      </c>
      <c r="D9" s="1">
        <v>4.84</v>
      </c>
      <c r="E9" s="1">
        <v>1.5</v>
      </c>
      <c r="F9" s="1">
        <v>72.81</v>
      </c>
      <c r="G9" s="1"/>
      <c r="H9" s="1"/>
    </row>
    <row r="10" spans="1:8" x14ac:dyDescent="0.25">
      <c r="A10" s="1" t="s">
        <v>59</v>
      </c>
      <c r="B10" s="1">
        <v>2</v>
      </c>
      <c r="C10" s="1">
        <v>12.4</v>
      </c>
      <c r="D10" s="1">
        <v>4.87</v>
      </c>
      <c r="E10" s="1">
        <v>1.53</v>
      </c>
      <c r="F10" s="1">
        <v>72.27</v>
      </c>
      <c r="G10" s="1"/>
      <c r="H10" s="1"/>
    </row>
    <row r="11" spans="1:8" x14ac:dyDescent="0.25">
      <c r="A11" s="1" t="s">
        <v>59</v>
      </c>
      <c r="B11" s="1">
        <v>2</v>
      </c>
      <c r="C11" s="1">
        <v>11.42</v>
      </c>
      <c r="D11" s="1">
        <v>4.88</v>
      </c>
      <c r="E11" s="1">
        <v>1.49</v>
      </c>
      <c r="F11" s="1">
        <v>72.94</v>
      </c>
      <c r="G11" s="1"/>
      <c r="H11" s="1"/>
    </row>
    <row r="12" spans="1:8" x14ac:dyDescent="0.25">
      <c r="A12" s="1" t="s">
        <v>59</v>
      </c>
      <c r="B12" s="1">
        <v>1</v>
      </c>
      <c r="C12" s="1">
        <v>11.76</v>
      </c>
      <c r="D12" s="1">
        <v>4.87</v>
      </c>
      <c r="E12" s="1">
        <v>1.51</v>
      </c>
      <c r="F12" s="1">
        <v>72.81</v>
      </c>
      <c r="G12" s="1"/>
      <c r="H12" s="1"/>
    </row>
    <row r="13" spans="1:8" x14ac:dyDescent="0.25">
      <c r="A13" s="1" t="s">
        <v>59</v>
      </c>
      <c r="B13" s="1">
        <v>6</v>
      </c>
      <c r="C13" s="1">
        <v>11.77</v>
      </c>
      <c r="D13" s="1">
        <v>4.84</v>
      </c>
      <c r="E13" s="1">
        <v>1.49</v>
      </c>
      <c r="F13" s="1">
        <v>72.349999999999994</v>
      </c>
      <c r="G13" s="1"/>
      <c r="H13" s="1"/>
    </row>
    <row r="14" spans="1:8" x14ac:dyDescent="0.25">
      <c r="A14" s="1" t="s">
        <v>60</v>
      </c>
      <c r="B14" s="1">
        <v>3</v>
      </c>
      <c r="C14" s="1">
        <v>11.62</v>
      </c>
      <c r="D14" s="1">
        <v>4.87</v>
      </c>
      <c r="E14" s="1">
        <v>1.52</v>
      </c>
      <c r="F14" s="1">
        <v>72.89</v>
      </c>
      <c r="G14" s="1"/>
      <c r="H14" s="1"/>
    </row>
    <row r="15" spans="1:8" x14ac:dyDescent="0.25">
      <c r="A15" s="1" t="s">
        <v>60</v>
      </c>
      <c r="B15" s="1">
        <v>4</v>
      </c>
      <c r="C15" s="1">
        <v>10.83</v>
      </c>
      <c r="D15" s="1">
        <v>4.8600000000000003</v>
      </c>
      <c r="E15" s="1">
        <v>1.47</v>
      </c>
      <c r="F15" s="1">
        <v>73.36</v>
      </c>
      <c r="G15" s="1"/>
      <c r="H15" s="1"/>
    </row>
    <row r="16" spans="1:8" x14ac:dyDescent="0.25">
      <c r="A16" s="1" t="s">
        <v>59</v>
      </c>
      <c r="B16" s="1">
        <v>5</v>
      </c>
      <c r="C16" s="1">
        <v>11.21</v>
      </c>
      <c r="D16" s="1">
        <v>4.87</v>
      </c>
      <c r="E16" s="1">
        <v>1.46</v>
      </c>
      <c r="F16" s="1">
        <v>72.790000000000006</v>
      </c>
      <c r="G16" s="1"/>
      <c r="H16" s="1"/>
    </row>
    <row r="17" spans="1:8" x14ac:dyDescent="0.25">
      <c r="A17" s="1" t="s">
        <v>60</v>
      </c>
      <c r="B17" s="1">
        <v>5</v>
      </c>
      <c r="C17" s="1">
        <v>10.130000000000001</v>
      </c>
      <c r="D17" s="1">
        <v>4.87</v>
      </c>
      <c r="E17" s="1">
        <v>1.45</v>
      </c>
      <c r="F17" s="1">
        <v>73.900000000000006</v>
      </c>
      <c r="G17" s="1"/>
      <c r="H17" s="1"/>
    </row>
    <row r="18" spans="1:8" x14ac:dyDescent="0.25">
      <c r="A18" s="1" t="s">
        <v>60</v>
      </c>
      <c r="B18" s="1">
        <v>6</v>
      </c>
      <c r="C18" s="1">
        <v>11.36</v>
      </c>
      <c r="D18" s="1">
        <v>4.8600000000000003</v>
      </c>
      <c r="E18" s="1">
        <v>1.5</v>
      </c>
      <c r="F18" s="1">
        <v>72.97</v>
      </c>
      <c r="G18" s="1"/>
      <c r="H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12" workbookViewId="0">
      <selection activeCell="P21" sqref="P21"/>
    </sheetView>
  </sheetViews>
  <sheetFormatPr defaultRowHeight="15" x14ac:dyDescent="0.25"/>
  <cols>
    <col min="1" max="1" width="11.7109375" customWidth="1"/>
    <col min="4" max="4" width="14.42578125" customWidth="1"/>
  </cols>
  <sheetData>
    <row r="1" spans="1:8" ht="15.75" x14ac:dyDescent="0.25">
      <c r="A1" t="s">
        <v>65</v>
      </c>
      <c r="B1" s="2" t="s">
        <v>14</v>
      </c>
      <c r="C1" s="3" t="s">
        <v>0</v>
      </c>
      <c r="D1" s="3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ht="15.75" x14ac:dyDescent="0.25">
      <c r="A2" t="s">
        <v>2</v>
      </c>
      <c r="B2" s="2">
        <v>2</v>
      </c>
      <c r="C2" s="3">
        <v>6</v>
      </c>
      <c r="D2" s="3">
        <v>2.4740000000000002</v>
      </c>
      <c r="E2">
        <v>42.915383424155209</v>
      </c>
      <c r="F2">
        <v>-12.162525903509501</v>
      </c>
      <c r="G2">
        <v>3.1865020686176226</v>
      </c>
      <c r="H2">
        <v>5.2647010929463995</v>
      </c>
    </row>
    <row r="3" spans="1:8" ht="15.75" x14ac:dyDescent="0.25">
      <c r="A3" t="s">
        <v>2</v>
      </c>
      <c r="B3" s="2" t="s">
        <v>20</v>
      </c>
      <c r="C3" s="3">
        <v>1</v>
      </c>
      <c r="D3" s="3">
        <v>2.1539999999999999</v>
      </c>
      <c r="E3">
        <v>42.525569353412266</v>
      </c>
      <c r="F3">
        <v>-12.183005480119499</v>
      </c>
      <c r="G3">
        <v>2.9837971829155063</v>
      </c>
      <c r="H3">
        <v>4.7692207815840009</v>
      </c>
    </row>
    <row r="4" spans="1:8" ht="15.75" x14ac:dyDescent="0.25">
      <c r="A4" t="s">
        <v>2</v>
      </c>
      <c r="B4" s="2" t="s">
        <v>21</v>
      </c>
      <c r="C4" s="3">
        <v>3</v>
      </c>
      <c r="D4" s="3">
        <v>2.0270000000000001</v>
      </c>
      <c r="E4">
        <v>44.016908153882582</v>
      </c>
      <c r="F4">
        <v>-12.202461077898999</v>
      </c>
      <c r="G4">
        <v>3.2922955322348288</v>
      </c>
      <c r="H4">
        <v>5.3277443134776004</v>
      </c>
    </row>
    <row r="5" spans="1:8" ht="15.75" x14ac:dyDescent="0.25">
      <c r="A5" t="s">
        <v>3</v>
      </c>
      <c r="B5" s="2" t="s">
        <v>20</v>
      </c>
      <c r="C5" s="3">
        <v>2</v>
      </c>
      <c r="D5" s="3">
        <v>2.2789999999999999</v>
      </c>
      <c r="E5">
        <v>43.718128438157088</v>
      </c>
      <c r="F5">
        <v>-12.4410481454055</v>
      </c>
      <c r="G5">
        <v>3.3869926301009219</v>
      </c>
      <c r="H5">
        <v>4.1200726201768001</v>
      </c>
    </row>
    <row r="6" spans="1:8" ht="15.75" x14ac:dyDescent="0.25">
      <c r="A6" t="s">
        <v>2</v>
      </c>
      <c r="B6" s="2" t="s">
        <v>21</v>
      </c>
      <c r="C6" s="3">
        <v>1</v>
      </c>
      <c r="D6" s="3">
        <v>2.468</v>
      </c>
      <c r="E6">
        <v>44.695980644971641</v>
      </c>
      <c r="F6">
        <v>-12.180957522458499</v>
      </c>
      <c r="G6">
        <v>3.2931370985413286</v>
      </c>
      <c r="H6">
        <v>5.460726106785601</v>
      </c>
    </row>
    <row r="7" spans="1:8" ht="15.75" x14ac:dyDescent="0.25">
      <c r="A7" t="s">
        <v>13</v>
      </c>
      <c r="B7" s="2" t="s">
        <v>21</v>
      </c>
      <c r="C7" s="3">
        <v>1</v>
      </c>
      <c r="D7" s="3">
        <v>2.1429999999999998</v>
      </c>
      <c r="E7">
        <v>42.960617892869806</v>
      </c>
      <c r="F7">
        <v>-12.267995723051</v>
      </c>
      <c r="G7">
        <v>3.1425965430891276</v>
      </c>
      <c r="H7">
        <v>4.4461242763616005</v>
      </c>
    </row>
    <row r="8" spans="1:8" ht="15.75" x14ac:dyDescent="0.25">
      <c r="A8" t="s">
        <v>12</v>
      </c>
      <c r="B8" s="2" t="s">
        <v>21</v>
      </c>
      <c r="C8" s="3">
        <v>1</v>
      </c>
      <c r="D8" s="3">
        <v>2.4119999999999999</v>
      </c>
      <c r="E8">
        <v>44.228398134000827</v>
      </c>
      <c r="F8">
        <v>-12.380633394405999</v>
      </c>
      <c r="G8">
        <v>3.4649886311111113</v>
      </c>
      <c r="H8">
        <v>4.4451392260408005</v>
      </c>
    </row>
    <row r="9" spans="1:8" ht="15.75" x14ac:dyDescent="0.25">
      <c r="A9" t="s">
        <v>13</v>
      </c>
      <c r="B9" s="2" t="s">
        <v>20</v>
      </c>
      <c r="C9" s="3">
        <v>1</v>
      </c>
      <c r="D9" s="3">
        <v>2.1219999999999999</v>
      </c>
      <c r="E9">
        <v>43.871145537115929</v>
      </c>
      <c r="F9">
        <v>-12.241372273457999</v>
      </c>
      <c r="G9">
        <v>3.3622577443920831</v>
      </c>
      <c r="H9">
        <v>4.5377339561960008</v>
      </c>
    </row>
    <row r="10" spans="1:8" ht="15.75" x14ac:dyDescent="0.25">
      <c r="A10" t="s">
        <v>12</v>
      </c>
      <c r="B10" s="2" t="s">
        <v>20</v>
      </c>
      <c r="C10" s="3">
        <v>1</v>
      </c>
      <c r="D10" s="3">
        <v>2.3370000000000002</v>
      </c>
      <c r="E10">
        <v>43.460450469370976</v>
      </c>
      <c r="F10">
        <v>-12.076511681747499</v>
      </c>
      <c r="G10">
        <v>3.4779821466837828</v>
      </c>
      <c r="H10">
        <v>4.1417437272344007</v>
      </c>
    </row>
    <row r="11" spans="1:8" ht="15.75" x14ac:dyDescent="0.25">
      <c r="A11" t="s">
        <v>2</v>
      </c>
      <c r="B11" s="2" t="s">
        <v>20</v>
      </c>
      <c r="C11" s="3">
        <v>6</v>
      </c>
      <c r="D11" s="3">
        <v>2.3660000000000001</v>
      </c>
      <c r="E11" t="s">
        <v>66</v>
      </c>
      <c r="F11">
        <v>-12.183005480119499</v>
      </c>
      <c r="G11">
        <v>3.5652141883347421</v>
      </c>
      <c r="H11">
        <v>5.1701362621496001</v>
      </c>
    </row>
    <row r="12" spans="1:8" ht="15.75" x14ac:dyDescent="0.25">
      <c r="A12" t="s">
        <v>3</v>
      </c>
      <c r="B12" s="2" t="s">
        <v>20</v>
      </c>
      <c r="C12" s="3">
        <v>1</v>
      </c>
      <c r="D12" s="3">
        <v>2.3690000000000002</v>
      </c>
      <c r="E12">
        <v>43.746481799008016</v>
      </c>
      <c r="F12">
        <v>-12.36834564844</v>
      </c>
      <c r="G12">
        <v>3.0293341567243561</v>
      </c>
      <c r="H12">
        <v>4.8677258136640003</v>
      </c>
    </row>
    <row r="13" spans="1:8" ht="15.75" x14ac:dyDescent="0.25">
      <c r="A13" t="s">
        <v>3</v>
      </c>
      <c r="B13" s="2" t="s">
        <v>21</v>
      </c>
      <c r="C13" s="3">
        <v>1</v>
      </c>
      <c r="D13" s="3">
        <v>2.286</v>
      </c>
      <c r="E13">
        <v>43.972717854488188</v>
      </c>
      <c r="F13">
        <v>-11.9638740103925</v>
      </c>
      <c r="G13">
        <v>3.300355945336833</v>
      </c>
      <c r="H13">
        <v>4.5791060696696002</v>
      </c>
    </row>
    <row r="14" spans="1:8" ht="15.75" x14ac:dyDescent="0.25">
      <c r="A14" t="s">
        <v>3</v>
      </c>
      <c r="B14" s="2" t="s">
        <v>21</v>
      </c>
      <c r="C14" s="3">
        <v>3</v>
      </c>
      <c r="D14" s="3">
        <v>2.1800000000000002</v>
      </c>
      <c r="E14">
        <v>44.356004826949537</v>
      </c>
      <c r="F14">
        <v>-12.284379384338999</v>
      </c>
      <c r="G14">
        <v>3.552710884844037</v>
      </c>
      <c r="H14">
        <v>4.2668451179759996</v>
      </c>
    </row>
    <row r="15" spans="1:8" ht="15.75" x14ac:dyDescent="0.25">
      <c r="A15" t="s">
        <v>2</v>
      </c>
      <c r="B15" s="2" t="s">
        <v>20</v>
      </c>
      <c r="C15" s="3">
        <v>2</v>
      </c>
      <c r="D15" s="3">
        <v>2.23</v>
      </c>
      <c r="E15">
        <v>40.890886527677139</v>
      </c>
      <c r="F15">
        <v>-12.252636040593499</v>
      </c>
      <c r="G15">
        <v>2.9054883179192825</v>
      </c>
      <c r="H15">
        <v>3.3615838731608001</v>
      </c>
    </row>
    <row r="16" spans="1:8" ht="15.75" x14ac:dyDescent="0.25">
      <c r="A16" t="s">
        <v>3</v>
      </c>
      <c r="B16" s="2" t="s">
        <v>20</v>
      </c>
      <c r="C16" s="3">
        <v>3</v>
      </c>
      <c r="D16" s="3">
        <v>2.2349999999999999</v>
      </c>
      <c r="E16">
        <v>39.768925129275168</v>
      </c>
      <c r="F16">
        <v>-12.118494813798</v>
      </c>
      <c r="G16">
        <v>2.7355827575838929</v>
      </c>
      <c r="H16">
        <v>4.8224134989072001</v>
      </c>
    </row>
    <row r="17" spans="1:8" ht="15.75" x14ac:dyDescent="0.25">
      <c r="A17" t="s">
        <v>12</v>
      </c>
      <c r="B17" s="2" t="s">
        <v>21</v>
      </c>
      <c r="C17" s="3">
        <v>3</v>
      </c>
      <c r="D17" s="3">
        <v>2.2469999999999999</v>
      </c>
      <c r="E17">
        <v>42.416065105505126</v>
      </c>
      <c r="F17">
        <v>-12.234204421644499</v>
      </c>
      <c r="G17">
        <v>3.2605745325144637</v>
      </c>
      <c r="H17">
        <v>3.3911353827847996</v>
      </c>
    </row>
    <row r="18" spans="1:8" ht="15.75" x14ac:dyDescent="0.25">
      <c r="A18" t="s">
        <v>13</v>
      </c>
      <c r="B18" s="2" t="s">
        <v>21</v>
      </c>
      <c r="C18" s="3">
        <v>6</v>
      </c>
      <c r="D18" s="3">
        <v>2.4780000000000002</v>
      </c>
      <c r="E18">
        <v>41.863467326525424</v>
      </c>
      <c r="F18">
        <v>-12.186077416610999</v>
      </c>
      <c r="G18">
        <v>3.1828143692009681</v>
      </c>
      <c r="H18">
        <v>5.8123890713112001</v>
      </c>
    </row>
    <row r="19" spans="1:8" ht="15.75" x14ac:dyDescent="0.25">
      <c r="A19" t="s">
        <v>12</v>
      </c>
      <c r="B19" s="2" t="s">
        <v>21</v>
      </c>
      <c r="C19" s="3">
        <v>6</v>
      </c>
      <c r="D19" s="3">
        <v>2.2370000000000001</v>
      </c>
      <c r="E19">
        <v>43.998674677045145</v>
      </c>
      <c r="F19">
        <v>-12.007905100104001</v>
      </c>
      <c r="G19">
        <v>3.3837297187304425</v>
      </c>
      <c r="H19">
        <v>4.1121922176104002</v>
      </c>
    </row>
    <row r="20" spans="1:8" ht="15.75" x14ac:dyDescent="0.25">
      <c r="A20" t="s">
        <v>3</v>
      </c>
      <c r="B20" s="2" t="s">
        <v>21</v>
      </c>
      <c r="C20" s="3">
        <v>6</v>
      </c>
      <c r="D20" s="3">
        <v>2.048</v>
      </c>
      <c r="E20">
        <v>41.999994411464847</v>
      </c>
      <c r="F20">
        <v>-12.0908473853745</v>
      </c>
      <c r="G20">
        <v>2.9992878054687502</v>
      </c>
      <c r="H20">
        <v>4.4155877164168009</v>
      </c>
    </row>
    <row r="21" spans="1:8" ht="15.75" x14ac:dyDescent="0.25">
      <c r="A21" t="s">
        <v>3</v>
      </c>
      <c r="B21" s="2" t="s">
        <v>20</v>
      </c>
      <c r="C21" s="3">
        <v>6</v>
      </c>
      <c r="D21" s="3">
        <v>2.3570000000000002</v>
      </c>
      <c r="E21">
        <v>41.726496340390327</v>
      </c>
      <c r="F21">
        <v>-12.206556993221</v>
      </c>
      <c r="G21">
        <v>3.1254405129232077</v>
      </c>
      <c r="H21">
        <v>5.0617807268616009</v>
      </c>
    </row>
    <row r="22" spans="1:8" ht="15.75" x14ac:dyDescent="0.25">
      <c r="A22" t="s">
        <v>2</v>
      </c>
      <c r="B22" s="2" t="s">
        <v>20</v>
      </c>
      <c r="C22" s="3">
        <v>5</v>
      </c>
      <c r="D22" s="3">
        <v>2.2410000000000001</v>
      </c>
      <c r="E22">
        <v>43.919089985970558</v>
      </c>
      <c r="F22">
        <v>-12.1256626656115</v>
      </c>
      <c r="G22">
        <v>3.2327429613922356</v>
      </c>
      <c r="H22">
        <v>5.3927576346504011</v>
      </c>
    </row>
    <row r="23" spans="1:8" ht="15.75" x14ac:dyDescent="0.25">
      <c r="A23" t="s">
        <v>12</v>
      </c>
      <c r="B23" s="2" t="s">
        <v>21</v>
      </c>
      <c r="C23" s="3">
        <v>5</v>
      </c>
      <c r="D23" s="3">
        <v>2.4900000000000002</v>
      </c>
      <c r="E23">
        <v>39.503540485465862</v>
      </c>
      <c r="F23">
        <v>-12.2239646333395</v>
      </c>
      <c r="G23">
        <v>3.0256652237751003</v>
      </c>
      <c r="H23">
        <v>4.6441193908424001</v>
      </c>
    </row>
    <row r="24" spans="1:8" ht="15.75" x14ac:dyDescent="0.25">
      <c r="A24" t="s">
        <v>12</v>
      </c>
      <c r="B24" s="2" t="s">
        <v>20</v>
      </c>
      <c r="C24" s="3">
        <v>4</v>
      </c>
      <c r="D24" s="3">
        <v>2.246</v>
      </c>
      <c r="E24">
        <v>40.600637377876225</v>
      </c>
      <c r="F24">
        <v>-12.10211115251</v>
      </c>
      <c r="G24">
        <v>3.1587527244879787</v>
      </c>
      <c r="H24">
        <v>5.1524053563752004</v>
      </c>
    </row>
    <row r="25" spans="1:8" ht="15.75" x14ac:dyDescent="0.25">
      <c r="A25" t="s">
        <v>3</v>
      </c>
      <c r="B25" s="2" t="s">
        <v>20</v>
      </c>
      <c r="C25" s="3">
        <v>4</v>
      </c>
      <c r="D25" s="3">
        <v>2.069</v>
      </c>
      <c r="E25">
        <v>41.471603594354768</v>
      </c>
      <c r="F25">
        <v>-12.3529859659825</v>
      </c>
      <c r="G25">
        <v>3.4774679620299667</v>
      </c>
      <c r="H25">
        <v>4.9179633800248004</v>
      </c>
    </row>
    <row r="26" spans="1:8" ht="15.75" x14ac:dyDescent="0.25">
      <c r="A26" t="s">
        <v>3</v>
      </c>
      <c r="B26" s="2" t="s">
        <v>21</v>
      </c>
      <c r="C26" s="3">
        <v>4</v>
      </c>
      <c r="D26" s="3">
        <v>2.036</v>
      </c>
      <c r="E26">
        <v>45.2076326411444</v>
      </c>
      <c r="F26">
        <v>-12.411352759321</v>
      </c>
      <c r="G26">
        <v>3.6826264813359524</v>
      </c>
      <c r="H26" t="s">
        <v>66</v>
      </c>
    </row>
    <row r="27" spans="1:8" ht="15.75" x14ac:dyDescent="0.25">
      <c r="A27" t="s">
        <v>2</v>
      </c>
      <c r="B27" s="2" t="s">
        <v>20</v>
      </c>
      <c r="C27" s="3">
        <v>3</v>
      </c>
      <c r="D27" s="3">
        <v>2.4300000000000002</v>
      </c>
      <c r="E27">
        <v>43.385012162711931</v>
      </c>
      <c r="F27">
        <v>-12.220892696848001</v>
      </c>
      <c r="G27">
        <v>3.6411013777777779</v>
      </c>
      <c r="H27">
        <v>4.4953767924016006</v>
      </c>
    </row>
    <row r="28" spans="1:8" ht="15.75" x14ac:dyDescent="0.25">
      <c r="A28" t="s">
        <v>12</v>
      </c>
      <c r="B28" s="2" t="s">
        <v>21</v>
      </c>
      <c r="C28" s="3">
        <v>4</v>
      </c>
      <c r="D28" s="3">
        <v>2.0659999999999998</v>
      </c>
      <c r="E28">
        <v>37.595966863117134</v>
      </c>
      <c r="F28">
        <v>-12.2420498182872</v>
      </c>
      <c r="G28">
        <v>2.8801207300290415</v>
      </c>
      <c r="H28">
        <v>4.4080297873327998</v>
      </c>
    </row>
    <row r="29" spans="1:8" ht="15.75" x14ac:dyDescent="0.25">
      <c r="A29" t="s">
        <v>13</v>
      </c>
      <c r="B29" s="2" t="s">
        <v>20</v>
      </c>
      <c r="C29" s="3">
        <v>4</v>
      </c>
      <c r="D29" s="3">
        <v>2.35</v>
      </c>
      <c r="E29">
        <v>40.665431507063829</v>
      </c>
      <c r="F29">
        <v>-12.269486044132799</v>
      </c>
      <c r="G29">
        <v>3.1547211693276593</v>
      </c>
      <c r="H29">
        <v>4.4398702364943992</v>
      </c>
    </row>
    <row r="30" spans="1:8" ht="15.75" x14ac:dyDescent="0.25">
      <c r="A30" t="s">
        <v>13</v>
      </c>
      <c r="B30" s="2" t="s">
        <v>21</v>
      </c>
      <c r="C30" s="3">
        <v>4</v>
      </c>
      <c r="D30" s="3">
        <v>2.2669999999999999</v>
      </c>
      <c r="E30">
        <v>39.964926404940456</v>
      </c>
      <c r="F30">
        <v>-12.3233423393112</v>
      </c>
      <c r="G30">
        <v>2.8951462003705339</v>
      </c>
      <c r="H30">
        <v>4.4577804891477992</v>
      </c>
    </row>
    <row r="31" spans="1:8" ht="15.75" x14ac:dyDescent="0.25">
      <c r="A31" t="s">
        <v>13</v>
      </c>
      <c r="B31" s="2" t="s">
        <v>20</v>
      </c>
      <c r="C31" s="3">
        <v>5</v>
      </c>
      <c r="D31" s="3">
        <v>2.4140000000000001</v>
      </c>
      <c r="E31">
        <v>43.573609352112676</v>
      </c>
      <c r="F31">
        <v>-12.2705022006456</v>
      </c>
      <c r="G31">
        <v>3.1614102613753108</v>
      </c>
      <c r="H31">
        <v>5.3115025322931997</v>
      </c>
    </row>
    <row r="32" spans="1:8" ht="15.75" x14ac:dyDescent="0.25">
      <c r="A32" t="s">
        <v>12</v>
      </c>
      <c r="B32" s="2" t="s">
        <v>20</v>
      </c>
      <c r="C32" s="3">
        <v>5</v>
      </c>
      <c r="D32" s="3">
        <v>2.4060000000000001</v>
      </c>
      <c r="E32">
        <v>42.806285910889436</v>
      </c>
      <c r="F32">
        <v>-12.1963227752112</v>
      </c>
      <c r="G32">
        <v>3.0181224997838729</v>
      </c>
      <c r="H32">
        <v>4.669718478879699</v>
      </c>
    </row>
    <row r="33" spans="1:8" ht="15.75" x14ac:dyDescent="0.25">
      <c r="A33" t="s">
        <v>13</v>
      </c>
      <c r="B33" s="2" t="s">
        <v>21</v>
      </c>
      <c r="C33" s="3">
        <v>5</v>
      </c>
      <c r="D33" s="3">
        <v>2.407</v>
      </c>
      <c r="E33">
        <v>41.510465830660578</v>
      </c>
      <c r="F33">
        <v>-12.3213100262856</v>
      </c>
      <c r="G33">
        <v>3.0083634510344823</v>
      </c>
      <c r="H33">
        <v>5.0199634196572998</v>
      </c>
    </row>
    <row r="34" spans="1:8" ht="15.75" x14ac:dyDescent="0.25">
      <c r="A34" t="s">
        <v>12</v>
      </c>
      <c r="B34" s="2" t="s">
        <v>20</v>
      </c>
      <c r="C34" s="3">
        <v>6</v>
      </c>
      <c r="D34" s="3">
        <v>2.1280000000000001</v>
      </c>
      <c r="E34">
        <v>42.480618785714292</v>
      </c>
      <c r="F34">
        <v>-12.256276009466399</v>
      </c>
      <c r="G34">
        <v>3.4870202269548871</v>
      </c>
      <c r="H34">
        <v>3.9065427130375991</v>
      </c>
    </row>
    <row r="35" spans="1:8" ht="15.75" x14ac:dyDescent="0.25">
      <c r="A35" t="s">
        <v>2</v>
      </c>
      <c r="B35" s="2" t="s">
        <v>21</v>
      </c>
      <c r="C35" s="3">
        <v>5</v>
      </c>
      <c r="D35" s="3">
        <v>2.0870000000000002</v>
      </c>
      <c r="E35">
        <v>43.0224005868711</v>
      </c>
      <c r="F35" t="s">
        <v>66</v>
      </c>
      <c r="G35">
        <v>2.9979367079635839</v>
      </c>
      <c r="H35">
        <v>5.6299070239091993</v>
      </c>
    </row>
    <row r="36" spans="1:8" ht="15.75" x14ac:dyDescent="0.25">
      <c r="A36" t="s">
        <v>2</v>
      </c>
      <c r="B36" s="2" t="s">
        <v>20</v>
      </c>
      <c r="C36" s="3">
        <v>4</v>
      </c>
      <c r="D36" s="3">
        <v>2.4729999999999999</v>
      </c>
      <c r="E36">
        <v>42.266787810432668</v>
      </c>
      <c r="F36">
        <v>-12.1129979411616</v>
      </c>
      <c r="G36">
        <v>3.0716439953093411</v>
      </c>
      <c r="H36">
        <v>4.2149970642905998</v>
      </c>
    </row>
    <row r="37" spans="1:8" ht="15.75" x14ac:dyDescent="0.25">
      <c r="A37" t="s">
        <v>13</v>
      </c>
      <c r="B37" s="2" t="s">
        <v>20</v>
      </c>
      <c r="C37" s="3">
        <v>6</v>
      </c>
      <c r="D37" s="3">
        <v>2.4329999999999998</v>
      </c>
      <c r="E37">
        <v>44.746593379695852</v>
      </c>
      <c r="F37">
        <v>-12.254243696440799</v>
      </c>
      <c r="G37">
        <v>3.1308025572708593</v>
      </c>
      <c r="H37">
        <v>6.2736811053952994</v>
      </c>
    </row>
    <row r="38" spans="1:8" ht="15.75" x14ac:dyDescent="0.25">
      <c r="A38" t="s">
        <v>2</v>
      </c>
      <c r="B38" s="2" t="s">
        <v>21</v>
      </c>
      <c r="C38" s="3">
        <v>4</v>
      </c>
      <c r="D38" s="3">
        <v>2.4510000000000001</v>
      </c>
      <c r="E38">
        <v>43.043610566136273</v>
      </c>
      <c r="F38">
        <v>-12.052028550393599</v>
      </c>
      <c r="G38">
        <v>2.7954179780008159</v>
      </c>
      <c r="H38">
        <v>3.7682357619919</v>
      </c>
    </row>
    <row r="39" spans="1:8" ht="15.75" x14ac:dyDescent="0.25">
      <c r="A39" t="s">
        <v>3</v>
      </c>
      <c r="B39" s="2" t="s">
        <v>20</v>
      </c>
      <c r="C39" s="3">
        <v>5</v>
      </c>
      <c r="D39" s="3">
        <v>2.3460000000000001</v>
      </c>
      <c r="E39">
        <v>44.164436915942026</v>
      </c>
      <c r="F39">
        <v>-12.137385697468799</v>
      </c>
      <c r="G39">
        <v>3.1017555924637681</v>
      </c>
      <c r="H39">
        <v>5.0040431950765001</v>
      </c>
    </row>
    <row r="40" spans="1:8" ht="15.75" x14ac:dyDescent="0.25">
      <c r="A40" t="s">
        <v>12</v>
      </c>
      <c r="B40" s="2" t="s">
        <v>20</v>
      </c>
      <c r="C40" s="3">
        <v>2</v>
      </c>
      <c r="D40" s="3">
        <v>2.3820000000000001</v>
      </c>
      <c r="E40">
        <v>42.641165522082282</v>
      </c>
      <c r="F40">
        <v>-12.182096584031999</v>
      </c>
      <c r="G40">
        <v>3.171751789252728</v>
      </c>
      <c r="H40">
        <v>4.1353959413865997</v>
      </c>
    </row>
    <row r="41" spans="1:8" ht="15.75" x14ac:dyDescent="0.25">
      <c r="A41" t="s">
        <v>13</v>
      </c>
      <c r="B41" s="2" t="s">
        <v>20</v>
      </c>
      <c r="C41" s="3">
        <v>3</v>
      </c>
      <c r="D41" s="3">
        <v>2.4849999999999999</v>
      </c>
      <c r="E41">
        <v>44.354287276941648</v>
      </c>
      <c r="F41">
        <v>-12.4046348603352</v>
      </c>
      <c r="G41">
        <v>3.2832656018350099</v>
      </c>
      <c r="H41">
        <v>4.9532974792251991</v>
      </c>
    </row>
    <row r="42" spans="1:8" ht="15.75" x14ac:dyDescent="0.25">
      <c r="A42" t="s">
        <v>13</v>
      </c>
      <c r="B42" s="4" t="s">
        <v>21</v>
      </c>
      <c r="C42" s="3">
        <v>3</v>
      </c>
      <c r="D42" s="3">
        <v>2.161</v>
      </c>
      <c r="E42">
        <v>42.727287586487741</v>
      </c>
      <c r="F42">
        <v>-12.175999644955199</v>
      </c>
      <c r="G42">
        <v>3.5014062670615451</v>
      </c>
      <c r="H42">
        <v>4.3234535942472991</v>
      </c>
    </row>
    <row r="43" spans="1:8" ht="15.75" x14ac:dyDescent="0.25">
      <c r="A43" t="s">
        <v>12</v>
      </c>
      <c r="B43" s="4" t="s">
        <v>20</v>
      </c>
      <c r="C43" s="3">
        <v>3</v>
      </c>
      <c r="D43" s="3">
        <v>2.4129999999999998</v>
      </c>
      <c r="E43">
        <v>45.048040641856616</v>
      </c>
      <c r="F43">
        <v>-12.213597435928801</v>
      </c>
      <c r="G43">
        <v>3.1976429576129299</v>
      </c>
      <c r="H43">
        <v>4.1861416572378998</v>
      </c>
    </row>
    <row r="44" spans="1:8" ht="15.75" x14ac:dyDescent="0.25">
      <c r="A44" t="s">
        <v>3</v>
      </c>
      <c r="B44" s="4" t="s">
        <v>21</v>
      </c>
      <c r="C44" s="3">
        <v>5</v>
      </c>
      <c r="D44" s="3">
        <v>2.3090000000000002</v>
      </c>
      <c r="E44">
        <v>40.352133470073618</v>
      </c>
      <c r="F44">
        <v>-12.121127193264</v>
      </c>
      <c r="G44">
        <v>2.7941330120744907</v>
      </c>
      <c r="H44">
        <v>4.6070325945927992</v>
      </c>
    </row>
    <row r="45" spans="1:8" ht="15.75" x14ac:dyDescent="0.25">
      <c r="A45" t="s">
        <v>3</v>
      </c>
      <c r="B45" s="4" t="s">
        <v>21</v>
      </c>
      <c r="C45" s="3">
        <v>2</v>
      </c>
      <c r="D45" s="3">
        <v>2.3580000000000001</v>
      </c>
      <c r="E45">
        <v>44.486778672434269</v>
      </c>
      <c r="F45">
        <v>-12.310132304644799</v>
      </c>
      <c r="G45">
        <v>3.3228045895504663</v>
      </c>
      <c r="H45">
        <v>4.862751201921899</v>
      </c>
    </row>
    <row r="46" spans="1:8" ht="15.75" x14ac:dyDescent="0.25">
      <c r="A46" t="s">
        <v>13</v>
      </c>
      <c r="B46" s="4" t="s">
        <v>20</v>
      </c>
      <c r="C46" s="3">
        <v>2</v>
      </c>
      <c r="D46" s="3">
        <v>2.42</v>
      </c>
      <c r="E46">
        <v>41.496864932892557</v>
      </c>
      <c r="F46">
        <v>-12.137385697468799</v>
      </c>
      <c r="G46">
        <v>2.8834101528925618</v>
      </c>
      <c r="H46">
        <v>4.8766813984300992</v>
      </c>
    </row>
    <row r="47" spans="1:8" ht="15.75" x14ac:dyDescent="0.25">
      <c r="A47" t="s">
        <v>13</v>
      </c>
      <c r="B47" s="4" t="s">
        <v>21</v>
      </c>
      <c r="C47" s="3">
        <v>2</v>
      </c>
      <c r="D47" s="3">
        <v>2.4319999999999999</v>
      </c>
      <c r="E47">
        <v>44.229199720065793</v>
      </c>
      <c r="F47">
        <v>-12.239001348748801</v>
      </c>
      <c r="G47">
        <v>3.4795657622697367</v>
      </c>
      <c r="H47">
        <v>4.542356682233299</v>
      </c>
    </row>
    <row r="48" spans="1:8" ht="15.75" x14ac:dyDescent="0.25">
      <c r="A48" t="s">
        <v>2</v>
      </c>
      <c r="B48" s="4" t="s">
        <v>21</v>
      </c>
      <c r="C48" s="3">
        <v>2</v>
      </c>
      <c r="D48" s="3">
        <v>2.3050000000000002</v>
      </c>
      <c r="E48">
        <v>44.208469814490229</v>
      </c>
      <c r="F48" t="s">
        <v>66</v>
      </c>
      <c r="G48">
        <v>2.7493589114793924</v>
      </c>
      <c r="H48">
        <v>4.3264386363561993</v>
      </c>
    </row>
    <row r="49" spans="1:8" ht="15.75" x14ac:dyDescent="0.25">
      <c r="A49" t="s">
        <v>12</v>
      </c>
      <c r="B49" s="4" t="s">
        <v>21</v>
      </c>
      <c r="C49" s="3">
        <v>1</v>
      </c>
      <c r="D49" s="3">
        <v>2.2999999999999998</v>
      </c>
      <c r="E49">
        <v>41.198922756869571</v>
      </c>
      <c r="F49">
        <v>-12.056093176444801</v>
      </c>
      <c r="G49">
        <v>3.0005225818782608</v>
      </c>
      <c r="H49">
        <v>3.6418689793817998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G18" sqref="G18"/>
    </sheetView>
  </sheetViews>
  <sheetFormatPr defaultColWidth="12.7109375" defaultRowHeight="15" x14ac:dyDescent="0.25"/>
  <sheetData>
    <row r="1" spans="1:6" ht="15.75" customHeight="1" x14ac:dyDescent="0.25">
      <c r="A1" s="5" t="s">
        <v>22</v>
      </c>
      <c r="B1" s="5" t="s">
        <v>43</v>
      </c>
      <c r="C1" s="5" t="s">
        <v>44</v>
      </c>
      <c r="D1" s="5" t="s">
        <v>45</v>
      </c>
      <c r="E1" s="5"/>
    </row>
    <row r="2" spans="1:6" ht="15.75" customHeight="1" x14ac:dyDescent="0.25">
      <c r="A2" s="6" t="s">
        <v>3</v>
      </c>
      <c r="B2" s="6" t="s">
        <v>46</v>
      </c>
      <c r="C2" s="6">
        <v>1</v>
      </c>
      <c r="D2" s="5">
        <v>54.859735973597353</v>
      </c>
      <c r="E2" s="5"/>
    </row>
    <row r="3" spans="1:6" ht="15.75" customHeight="1" x14ac:dyDescent="0.25">
      <c r="A3" s="6" t="s">
        <v>3</v>
      </c>
      <c r="B3" s="6" t="s">
        <v>46</v>
      </c>
      <c r="C3" s="6">
        <v>2</v>
      </c>
      <c r="D3" s="5">
        <v>51.818481848184817</v>
      </c>
      <c r="E3" s="5"/>
    </row>
    <row r="4" spans="1:6" ht="15.75" customHeight="1" x14ac:dyDescent="0.25">
      <c r="A4" s="6" t="s">
        <v>12</v>
      </c>
      <c r="B4" s="6" t="s">
        <v>46</v>
      </c>
      <c r="C4" s="6">
        <v>1</v>
      </c>
      <c r="D4" s="5">
        <v>48.24752475247525</v>
      </c>
      <c r="E4" s="5"/>
    </row>
    <row r="5" spans="1:6" ht="15.75" customHeight="1" x14ac:dyDescent="0.25">
      <c r="A5" s="6" t="s">
        <v>12</v>
      </c>
      <c r="B5" s="6" t="s">
        <v>46</v>
      </c>
      <c r="C5" s="6">
        <v>2</v>
      </c>
      <c r="D5" s="5">
        <v>55.884488448844884</v>
      </c>
      <c r="E5" s="5"/>
    </row>
    <row r="6" spans="1:6" ht="15.75" customHeight="1" x14ac:dyDescent="0.25">
      <c r="A6" s="6" t="s">
        <v>13</v>
      </c>
      <c r="B6" s="6" t="s">
        <v>46</v>
      </c>
      <c r="C6" s="6">
        <v>1</v>
      </c>
      <c r="D6" s="5">
        <v>56.495049504950487</v>
      </c>
      <c r="E6" s="5"/>
    </row>
    <row r="7" spans="1:6" ht="15.75" customHeight="1" x14ac:dyDescent="0.25">
      <c r="A7" s="6" t="s">
        <v>13</v>
      </c>
      <c r="B7" s="6" t="s">
        <v>46</v>
      </c>
      <c r="C7" s="6">
        <v>2</v>
      </c>
      <c r="D7" s="5">
        <v>51.788778877887793</v>
      </c>
      <c r="E7" s="5"/>
      <c r="F7" s="7"/>
    </row>
    <row r="8" spans="1:6" ht="15.75" customHeight="1" x14ac:dyDescent="0.25">
      <c r="A8" s="6" t="s">
        <v>47</v>
      </c>
      <c r="B8" s="6" t="s">
        <v>46</v>
      </c>
      <c r="C8" s="6">
        <v>1</v>
      </c>
      <c r="D8" s="5">
        <v>62.929042904290419</v>
      </c>
      <c r="E8" s="5"/>
      <c r="F8" s="7"/>
    </row>
    <row r="9" spans="1:6" ht="15.75" customHeight="1" x14ac:dyDescent="0.25">
      <c r="A9" s="6" t="s">
        <v>47</v>
      </c>
      <c r="B9" s="6" t="s">
        <v>46</v>
      </c>
      <c r="C9" s="6">
        <v>2</v>
      </c>
      <c r="D9" s="5">
        <v>52.569306930693067</v>
      </c>
      <c r="E9" s="5"/>
    </row>
    <row r="10" spans="1:6" ht="15.75" customHeight="1" x14ac:dyDescent="0.25">
      <c r="A10" s="8"/>
      <c r="B10" s="8"/>
      <c r="C10" s="8"/>
      <c r="D10" s="5"/>
      <c r="E10" s="5"/>
    </row>
    <row r="11" spans="1:6" ht="15.75" customHeight="1" x14ac:dyDescent="0.25">
      <c r="A11" s="6" t="s">
        <v>3</v>
      </c>
      <c r="B11" s="6" t="s">
        <v>48</v>
      </c>
      <c r="C11" s="6">
        <v>1</v>
      </c>
      <c r="D11" s="5">
        <v>51.452145214521451</v>
      </c>
      <c r="E11" s="5"/>
    </row>
    <row r="12" spans="1:6" ht="15.75" customHeight="1" x14ac:dyDescent="0.25">
      <c r="A12" s="6" t="s">
        <v>3</v>
      </c>
      <c r="B12" s="6" t="s">
        <v>48</v>
      </c>
      <c r="C12" s="6">
        <v>2</v>
      </c>
      <c r="D12" s="5">
        <v>49.544554455445549</v>
      </c>
      <c r="E12" s="5"/>
    </row>
    <row r="13" spans="1:6" ht="15.75" customHeight="1" x14ac:dyDescent="0.25">
      <c r="A13" s="6" t="s">
        <v>12</v>
      </c>
      <c r="B13" s="6" t="s">
        <v>48</v>
      </c>
      <c r="C13" s="6">
        <v>1</v>
      </c>
      <c r="D13" s="5">
        <v>56.056105610561055</v>
      </c>
      <c r="E13" s="5"/>
    </row>
    <row r="14" spans="1:6" ht="15.75" customHeight="1" x14ac:dyDescent="0.25">
      <c r="A14" s="6" t="s">
        <v>12</v>
      </c>
      <c r="B14" s="6" t="s">
        <v>48</v>
      </c>
      <c r="C14" s="6">
        <v>2</v>
      </c>
      <c r="D14" s="5">
        <v>56.376237623762378</v>
      </c>
      <c r="E14" s="5"/>
    </row>
    <row r="15" spans="1:6" ht="15.75" customHeight="1" x14ac:dyDescent="0.25">
      <c r="A15" s="6" t="s">
        <v>13</v>
      </c>
      <c r="B15" s="6" t="s">
        <v>48</v>
      </c>
      <c r="C15" s="6">
        <v>1</v>
      </c>
      <c r="D15" s="5">
        <v>54.498349834983507</v>
      </c>
      <c r="E15" s="5"/>
    </row>
    <row r="16" spans="1:6" ht="15.75" customHeight="1" x14ac:dyDescent="0.25">
      <c r="A16" s="6" t="s">
        <v>13</v>
      </c>
      <c r="B16" s="6" t="s">
        <v>48</v>
      </c>
      <c r="C16" s="6">
        <v>2</v>
      </c>
      <c r="D16" s="5">
        <v>47.767326732673268</v>
      </c>
      <c r="E16" s="5"/>
    </row>
    <row r="17" spans="1:5" ht="15.75" customHeight="1" x14ac:dyDescent="0.25">
      <c r="A17" s="6" t="s">
        <v>47</v>
      </c>
      <c r="B17" s="6" t="s">
        <v>48</v>
      </c>
      <c r="C17" s="6">
        <v>1</v>
      </c>
      <c r="D17" s="5">
        <v>54.981848184818489</v>
      </c>
      <c r="E17" s="5"/>
    </row>
    <row r="18" spans="1:5" ht="15.75" customHeight="1" x14ac:dyDescent="0.25">
      <c r="A18" s="6" t="s">
        <v>47</v>
      </c>
      <c r="B18" s="6" t="s">
        <v>48</v>
      </c>
      <c r="C18" s="6">
        <v>2</v>
      </c>
      <c r="D18" s="5">
        <v>48.825082508250823</v>
      </c>
      <c r="E18" s="5"/>
    </row>
    <row r="19" spans="1:5" ht="15.75" customHeight="1" x14ac:dyDescent="0.25">
      <c r="A19" s="6"/>
      <c r="B19" s="6"/>
      <c r="C19" s="6"/>
      <c r="D19" s="5"/>
      <c r="E19" s="5"/>
    </row>
    <row r="20" spans="1:5" ht="15.75" customHeight="1" x14ac:dyDescent="0.25">
      <c r="A20" s="6" t="s">
        <v>3</v>
      </c>
      <c r="B20" s="6" t="s">
        <v>49</v>
      </c>
      <c r="C20" s="6">
        <v>1</v>
      </c>
      <c r="D20" s="5">
        <v>56.589108910891085</v>
      </c>
      <c r="E20" s="5"/>
    </row>
    <row r="21" spans="1:5" ht="15.75" customHeight="1" x14ac:dyDescent="0.25">
      <c r="A21" s="6" t="s">
        <v>3</v>
      </c>
      <c r="B21" s="6" t="s">
        <v>49</v>
      </c>
      <c r="C21" s="6">
        <v>2</v>
      </c>
      <c r="D21" s="5">
        <v>49.174917491749177</v>
      </c>
      <c r="E21" s="5"/>
    </row>
    <row r="22" spans="1:5" ht="15.75" customHeight="1" x14ac:dyDescent="0.25">
      <c r="A22" s="6" t="s">
        <v>12</v>
      </c>
      <c r="B22" s="6" t="s">
        <v>49</v>
      </c>
      <c r="C22" s="6">
        <v>1</v>
      </c>
      <c r="D22" s="5">
        <v>55.516501650165019</v>
      </c>
      <c r="E22" s="5"/>
    </row>
    <row r="23" spans="1:5" ht="15.75" customHeight="1" x14ac:dyDescent="0.25">
      <c r="A23" s="6" t="s">
        <v>12</v>
      </c>
      <c r="B23" s="6" t="s">
        <v>49</v>
      </c>
      <c r="C23" s="6">
        <v>2</v>
      </c>
      <c r="D23" s="5">
        <v>52.234323432343238</v>
      </c>
      <c r="E23" s="5"/>
    </row>
    <row r="24" spans="1:5" ht="15.75" customHeight="1" x14ac:dyDescent="0.25">
      <c r="A24" s="6" t="s">
        <v>13</v>
      </c>
      <c r="B24" s="6" t="s">
        <v>49</v>
      </c>
      <c r="C24" s="6">
        <v>1</v>
      </c>
      <c r="D24" s="5">
        <v>51.450495049504951</v>
      </c>
      <c r="E24" s="5"/>
    </row>
    <row r="25" spans="1:5" ht="15.75" customHeight="1" x14ac:dyDescent="0.25">
      <c r="A25" s="6" t="s">
        <v>13</v>
      </c>
      <c r="B25" s="6" t="s">
        <v>49</v>
      </c>
      <c r="C25" s="6">
        <v>2</v>
      </c>
      <c r="D25" s="5">
        <v>49.955445544554458</v>
      </c>
      <c r="E25" s="5"/>
    </row>
    <row r="26" spans="1:5" ht="15.75" customHeight="1" x14ac:dyDescent="0.25">
      <c r="A26" s="6" t="s">
        <v>47</v>
      </c>
      <c r="B26" s="6" t="s">
        <v>49</v>
      </c>
      <c r="C26" s="6">
        <v>1</v>
      </c>
      <c r="D26" s="5">
        <v>54.35973597359736</v>
      </c>
      <c r="E26" s="5"/>
    </row>
    <row r="27" spans="1:5" ht="15.75" customHeight="1" x14ac:dyDescent="0.25">
      <c r="A27" s="6" t="s">
        <v>47</v>
      </c>
      <c r="B27" s="6" t="s">
        <v>49</v>
      </c>
      <c r="C27" s="6">
        <v>2</v>
      </c>
      <c r="D27" s="5">
        <v>47.980198019801982</v>
      </c>
      <c r="E27" s="5"/>
    </row>
    <row r="28" spans="1:5" ht="15.75" customHeight="1" x14ac:dyDescent="0.25">
      <c r="A28" s="6"/>
      <c r="B28" s="6"/>
      <c r="C28" s="6"/>
      <c r="D28" s="5"/>
      <c r="E28" s="5"/>
    </row>
    <row r="29" spans="1:5" ht="15.75" customHeight="1" x14ac:dyDescent="0.25">
      <c r="A29" s="6" t="s">
        <v>3</v>
      </c>
      <c r="B29" s="6" t="s">
        <v>50</v>
      </c>
      <c r="C29" s="6">
        <v>1</v>
      </c>
      <c r="D29" s="5">
        <v>59.699669966996694</v>
      </c>
      <c r="E29" s="5"/>
    </row>
    <row r="30" spans="1:5" ht="15.75" customHeight="1" x14ac:dyDescent="0.25">
      <c r="A30" s="6" t="s">
        <v>3</v>
      </c>
      <c r="B30" s="6" t="s">
        <v>50</v>
      </c>
      <c r="C30" s="6">
        <v>2</v>
      </c>
      <c r="D30" s="5">
        <v>51.844884488448848</v>
      </c>
      <c r="E30" s="5"/>
    </row>
    <row r="31" spans="1:5" ht="15.75" customHeight="1" x14ac:dyDescent="0.25">
      <c r="A31" s="6" t="s">
        <v>12</v>
      </c>
      <c r="B31" s="6" t="s">
        <v>50</v>
      </c>
      <c r="C31" s="6">
        <v>1</v>
      </c>
      <c r="D31" s="5">
        <v>59.869636963696372</v>
      </c>
      <c r="E31" s="5"/>
    </row>
    <row r="32" spans="1:5" ht="15.75" customHeight="1" x14ac:dyDescent="0.25">
      <c r="A32" s="6" t="s">
        <v>12</v>
      </c>
      <c r="B32" s="6" t="s">
        <v>50</v>
      </c>
      <c r="C32" s="6">
        <v>2</v>
      </c>
      <c r="D32" s="5">
        <v>63.052805280528055</v>
      </c>
      <c r="E32" s="5"/>
    </row>
    <row r="33" spans="1:5" ht="15.75" customHeight="1" x14ac:dyDescent="0.25">
      <c r="A33" s="6" t="s">
        <v>13</v>
      </c>
      <c r="B33" s="6" t="s">
        <v>50</v>
      </c>
      <c r="C33" s="6">
        <v>1</v>
      </c>
      <c r="D33" s="5">
        <v>54.059405940594054</v>
      </c>
      <c r="E33" s="5"/>
    </row>
    <row r="34" spans="1:5" ht="15.75" customHeight="1" x14ac:dyDescent="0.25">
      <c r="A34" s="6" t="s">
        <v>13</v>
      </c>
      <c r="B34" s="6" t="s">
        <v>50</v>
      </c>
      <c r="C34" s="6">
        <v>2</v>
      </c>
      <c r="D34" s="5">
        <v>63.315181518151817</v>
      </c>
      <c r="E34" s="5"/>
    </row>
    <row r="35" spans="1:5" ht="15.75" customHeight="1" x14ac:dyDescent="0.25">
      <c r="A35" s="6" t="s">
        <v>47</v>
      </c>
      <c r="B35" s="6" t="s">
        <v>50</v>
      </c>
      <c r="C35" s="6">
        <v>1</v>
      </c>
      <c r="D35" s="5">
        <v>59.874587458745872</v>
      </c>
      <c r="E35" s="5"/>
    </row>
    <row r="36" spans="1:5" ht="15.75" customHeight="1" x14ac:dyDescent="0.25">
      <c r="A36" s="6" t="s">
        <v>47</v>
      </c>
      <c r="B36" s="6" t="s">
        <v>50</v>
      </c>
      <c r="C36" s="6">
        <v>2</v>
      </c>
      <c r="D36" s="5">
        <v>46.942244224422446</v>
      </c>
      <c r="E36" s="5"/>
    </row>
    <row r="37" spans="1:5" ht="15.75" customHeight="1" x14ac:dyDescent="0.25">
      <c r="A37" s="6"/>
      <c r="B37" s="6"/>
      <c r="C37" s="6"/>
      <c r="D37" s="5"/>
      <c r="E37" s="5"/>
    </row>
    <row r="38" spans="1:5" ht="15.75" customHeight="1" x14ac:dyDescent="0.25">
      <c r="A38" s="6" t="s">
        <v>3</v>
      </c>
      <c r="B38" s="6" t="s">
        <v>51</v>
      </c>
      <c r="C38" s="6">
        <v>1</v>
      </c>
      <c r="D38" s="5">
        <v>49.198019801980202</v>
      </c>
      <c r="E38" s="5"/>
    </row>
    <row r="39" spans="1:5" ht="15.75" customHeight="1" x14ac:dyDescent="0.25">
      <c r="A39" s="6" t="s">
        <v>3</v>
      </c>
      <c r="B39" s="6" t="s">
        <v>51</v>
      </c>
      <c r="C39" s="6">
        <v>2</v>
      </c>
      <c r="D39" s="5">
        <v>66.889438943894376</v>
      </c>
      <c r="E39" s="5"/>
    </row>
    <row r="40" spans="1:5" ht="15.75" customHeight="1" x14ac:dyDescent="0.25">
      <c r="A40" s="6" t="s">
        <v>12</v>
      </c>
      <c r="B40" s="6" t="s">
        <v>51</v>
      </c>
      <c r="C40" s="6">
        <v>1</v>
      </c>
      <c r="D40" s="5">
        <v>57.674917491749184</v>
      </c>
      <c r="E40" s="5"/>
    </row>
    <row r="41" spans="1:5" ht="15.75" customHeight="1" x14ac:dyDescent="0.25">
      <c r="A41" s="6" t="s">
        <v>12</v>
      </c>
      <c r="B41" s="6" t="s">
        <v>51</v>
      </c>
      <c r="C41" s="6">
        <v>2</v>
      </c>
      <c r="D41" s="5">
        <v>65.828382838283829</v>
      </c>
      <c r="E41" s="5"/>
    </row>
    <row r="42" spans="1:5" ht="15.75" customHeight="1" x14ac:dyDescent="0.25">
      <c r="A42" s="6" t="s">
        <v>13</v>
      </c>
      <c r="B42" s="6" t="s">
        <v>51</v>
      </c>
      <c r="C42" s="6">
        <v>1</v>
      </c>
      <c r="D42" s="5">
        <v>60.696369636963688</v>
      </c>
      <c r="E42" s="5"/>
    </row>
    <row r="43" spans="1:5" ht="15.75" customHeight="1" x14ac:dyDescent="0.25">
      <c r="A43" s="6" t="s">
        <v>13</v>
      </c>
      <c r="B43" s="6" t="s">
        <v>51</v>
      </c>
      <c r="C43" s="6">
        <v>2</v>
      </c>
      <c r="D43" s="5">
        <v>63.112211221122116</v>
      </c>
      <c r="E43" s="5"/>
    </row>
    <row r="44" spans="1:5" ht="15.75" customHeight="1" x14ac:dyDescent="0.25">
      <c r="A44" s="6" t="s">
        <v>47</v>
      </c>
      <c r="B44" s="6" t="s">
        <v>51</v>
      </c>
      <c r="C44" s="6">
        <v>1</v>
      </c>
      <c r="D44" s="5">
        <v>59.470297029702976</v>
      </c>
      <c r="E44" s="5"/>
    </row>
    <row r="45" spans="1:5" ht="15.75" customHeight="1" x14ac:dyDescent="0.25">
      <c r="A45" s="6" t="s">
        <v>47</v>
      </c>
      <c r="B45" s="6" t="s">
        <v>51</v>
      </c>
      <c r="C45" s="6">
        <v>2</v>
      </c>
      <c r="D45" s="5">
        <v>54.698019801980195</v>
      </c>
      <c r="E45" s="5"/>
    </row>
    <row r="46" spans="1:5" ht="15.75" customHeight="1" x14ac:dyDescent="0.25">
      <c r="A46" s="6"/>
      <c r="B46" s="6"/>
      <c r="C46" s="6"/>
      <c r="D46" s="5"/>
      <c r="E46" s="5"/>
    </row>
    <row r="47" spans="1:5" ht="15.75" customHeight="1" x14ac:dyDescent="0.25">
      <c r="A47" s="6" t="s">
        <v>3</v>
      </c>
      <c r="B47" s="6" t="s">
        <v>52</v>
      </c>
      <c r="C47" s="6">
        <v>1</v>
      </c>
      <c r="D47" s="5">
        <v>60.188118811881189</v>
      </c>
      <c r="E47" s="5"/>
    </row>
    <row r="48" spans="1:5" x14ac:dyDescent="0.25">
      <c r="A48" s="6" t="s">
        <v>3</v>
      </c>
      <c r="B48" s="6" t="s">
        <v>52</v>
      </c>
      <c r="C48" s="6">
        <v>2</v>
      </c>
      <c r="D48" s="5">
        <v>54.800330033003306</v>
      </c>
      <c r="E48" s="5"/>
    </row>
    <row r="49" spans="1:5" x14ac:dyDescent="0.25">
      <c r="A49" s="6" t="s">
        <v>12</v>
      </c>
      <c r="B49" s="6" t="s">
        <v>52</v>
      </c>
      <c r="C49" s="6">
        <v>1</v>
      </c>
      <c r="D49" s="5">
        <v>51.150165016501653</v>
      </c>
      <c r="E49" s="5"/>
    </row>
    <row r="50" spans="1:5" x14ac:dyDescent="0.25">
      <c r="A50" s="6" t="s">
        <v>12</v>
      </c>
      <c r="B50" s="6" t="s">
        <v>52</v>
      </c>
      <c r="C50" s="6">
        <v>2</v>
      </c>
      <c r="D50" s="5">
        <v>52.813531353135325</v>
      </c>
      <c r="E50" s="5"/>
    </row>
    <row r="51" spans="1:5" x14ac:dyDescent="0.25">
      <c r="A51" s="6" t="s">
        <v>13</v>
      </c>
      <c r="B51" s="6" t="s">
        <v>52</v>
      </c>
      <c r="C51" s="6">
        <v>1</v>
      </c>
      <c r="D51" s="5">
        <v>51.929042904290434</v>
      </c>
      <c r="E51" s="5"/>
    </row>
    <row r="52" spans="1:5" x14ac:dyDescent="0.25">
      <c r="A52" s="6" t="s">
        <v>13</v>
      </c>
      <c r="B52" s="6" t="s">
        <v>52</v>
      </c>
      <c r="C52" s="6">
        <v>2</v>
      </c>
      <c r="D52" s="5">
        <v>52.666666666666671</v>
      </c>
      <c r="E52" s="5"/>
    </row>
    <row r="53" spans="1:5" x14ac:dyDescent="0.25">
      <c r="A53" s="6" t="s">
        <v>47</v>
      </c>
      <c r="B53" s="6" t="s">
        <v>52</v>
      </c>
      <c r="C53" s="6">
        <v>1</v>
      </c>
      <c r="D53" s="5">
        <v>48.473597359735969</v>
      </c>
      <c r="E53" s="5"/>
    </row>
    <row r="54" spans="1:5" x14ac:dyDescent="0.25">
      <c r="A54" s="6" t="s">
        <v>47</v>
      </c>
      <c r="B54" s="6" t="s">
        <v>52</v>
      </c>
      <c r="C54" s="6">
        <v>2</v>
      </c>
      <c r="D54" s="5">
        <v>55.590759075907599</v>
      </c>
      <c r="E54" s="5"/>
    </row>
    <row r="55" spans="1:5" x14ac:dyDescent="0.25">
      <c r="A55" s="6"/>
      <c r="B55" s="6"/>
      <c r="C55" s="6"/>
      <c r="D55" s="5"/>
      <c r="E55" s="5"/>
    </row>
    <row r="56" spans="1:5" x14ac:dyDescent="0.25">
      <c r="A56" s="6"/>
      <c r="B56" s="6"/>
      <c r="C56" s="6"/>
      <c r="D56" s="5"/>
      <c r="E56" s="5"/>
    </row>
    <row r="57" spans="1:5" x14ac:dyDescent="0.25">
      <c r="A57" s="6"/>
      <c r="B57" s="6"/>
      <c r="C57" s="6"/>
      <c r="D57" s="5"/>
      <c r="E57" s="5"/>
    </row>
    <row r="58" spans="1:5" x14ac:dyDescent="0.25">
      <c r="A58" s="6"/>
      <c r="B58" s="6"/>
      <c r="C58" s="6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  <row r="74" spans="1:5" x14ac:dyDescent="0.25">
      <c r="A74" s="5"/>
      <c r="B74" s="5"/>
      <c r="C74" s="5"/>
      <c r="D74" s="5"/>
      <c r="E74" s="5"/>
    </row>
    <row r="75" spans="1:5" x14ac:dyDescent="0.25">
      <c r="A75" s="5"/>
      <c r="B75" s="5"/>
      <c r="C75" s="5"/>
      <c r="D75" s="5"/>
      <c r="E75" s="5"/>
    </row>
    <row r="76" spans="1:5" x14ac:dyDescent="0.25">
      <c r="A76" s="5"/>
      <c r="B76" s="5"/>
      <c r="C76" s="5"/>
      <c r="D76" s="5"/>
      <c r="E76" s="5"/>
    </row>
    <row r="77" spans="1:5" x14ac:dyDescent="0.25">
      <c r="A77" s="5"/>
      <c r="B77" s="5"/>
      <c r="C77" s="5"/>
      <c r="D77" s="5"/>
      <c r="E77" s="5"/>
    </row>
    <row r="78" spans="1:5" x14ac:dyDescent="0.25">
      <c r="A78" s="5"/>
      <c r="B78" s="5"/>
      <c r="C78" s="5"/>
      <c r="D78" s="5"/>
      <c r="E78" s="5"/>
    </row>
    <row r="79" spans="1:5" x14ac:dyDescent="0.25">
      <c r="A79" s="5"/>
      <c r="B79" s="5"/>
      <c r="C79" s="5"/>
      <c r="D79" s="5"/>
      <c r="E79" s="5"/>
    </row>
    <row r="80" spans="1:5" x14ac:dyDescent="0.25">
      <c r="A80" s="5"/>
      <c r="B80" s="5"/>
      <c r="C80" s="5"/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5"/>
      <c r="B83" s="5"/>
      <c r="C83" s="5"/>
      <c r="D83" s="5"/>
      <c r="E8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activeCell="M18" sqref="M18"/>
    </sheetView>
  </sheetViews>
  <sheetFormatPr defaultRowHeight="15" x14ac:dyDescent="0.25"/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2</v>
      </c>
      <c r="B2" t="s">
        <v>25</v>
      </c>
      <c r="C2">
        <v>57</v>
      </c>
    </row>
    <row r="3" spans="1:3" x14ac:dyDescent="0.25">
      <c r="A3" t="s">
        <v>2</v>
      </c>
      <c r="B3" t="s">
        <v>26</v>
      </c>
      <c r="C3">
        <v>48.1</v>
      </c>
    </row>
    <row r="4" spans="1:3" x14ac:dyDescent="0.25">
      <c r="A4" t="s">
        <v>2</v>
      </c>
      <c r="B4" t="s">
        <v>27</v>
      </c>
      <c r="C4">
        <v>50.9</v>
      </c>
    </row>
    <row r="5" spans="1:3" x14ac:dyDescent="0.25">
      <c r="A5" t="s">
        <v>2</v>
      </c>
      <c r="B5" t="s">
        <v>28</v>
      </c>
      <c r="C5">
        <v>62.4</v>
      </c>
    </row>
    <row r="6" spans="1:3" x14ac:dyDescent="0.25">
      <c r="A6" t="s">
        <v>2</v>
      </c>
      <c r="B6" t="s">
        <v>29</v>
      </c>
      <c r="C6">
        <v>48.9</v>
      </c>
    </row>
    <row r="7" spans="1:3" x14ac:dyDescent="0.25">
      <c r="A7" t="s">
        <v>2</v>
      </c>
      <c r="B7" t="s">
        <v>30</v>
      </c>
      <c r="C7">
        <v>59</v>
      </c>
    </row>
    <row r="8" spans="1:3" x14ac:dyDescent="0.25">
      <c r="A8" t="s">
        <v>2</v>
      </c>
      <c r="B8" t="s">
        <v>31</v>
      </c>
      <c r="C8">
        <v>60.2</v>
      </c>
    </row>
    <row r="9" spans="1:3" x14ac:dyDescent="0.25">
      <c r="A9" t="s">
        <v>2</v>
      </c>
      <c r="B9" t="s">
        <v>32</v>
      </c>
      <c r="C9">
        <v>50</v>
      </c>
    </row>
    <row r="10" spans="1:3" x14ac:dyDescent="0.25">
      <c r="A10" t="s">
        <v>2</v>
      </c>
      <c r="B10" t="s">
        <v>33</v>
      </c>
      <c r="C10">
        <v>60.6</v>
      </c>
    </row>
    <row r="11" spans="1:3" x14ac:dyDescent="0.25">
      <c r="A11" t="s">
        <v>2</v>
      </c>
      <c r="B11" t="s">
        <v>34</v>
      </c>
      <c r="C11">
        <v>53.2</v>
      </c>
    </row>
    <row r="12" spans="1:3" x14ac:dyDescent="0.25">
      <c r="A12" t="s">
        <v>2</v>
      </c>
      <c r="B12" t="s">
        <v>35</v>
      </c>
      <c r="C12">
        <v>60</v>
      </c>
    </row>
    <row r="13" spans="1:3" x14ac:dyDescent="0.25">
      <c r="A13" t="s">
        <v>2</v>
      </c>
      <c r="B13" t="s">
        <v>36</v>
      </c>
      <c r="C13">
        <v>53.7</v>
      </c>
    </row>
    <row r="14" spans="1:3" x14ac:dyDescent="0.25">
      <c r="A14" t="s">
        <v>2</v>
      </c>
      <c r="B14" t="s">
        <v>37</v>
      </c>
      <c r="C14">
        <v>54.5</v>
      </c>
    </row>
    <row r="15" spans="1:3" x14ac:dyDescent="0.25">
      <c r="A15" t="s">
        <v>2</v>
      </c>
      <c r="B15" t="s">
        <v>38</v>
      </c>
      <c r="C15">
        <v>55.6</v>
      </c>
    </row>
    <row r="16" spans="1:3" x14ac:dyDescent="0.25">
      <c r="A16" t="s">
        <v>2</v>
      </c>
      <c r="B16" t="s">
        <v>39</v>
      </c>
      <c r="C16">
        <v>53.6</v>
      </c>
    </row>
    <row r="17" spans="1:3" x14ac:dyDescent="0.25">
      <c r="A17" t="s">
        <v>40</v>
      </c>
      <c r="B17" t="s">
        <v>25</v>
      </c>
      <c r="C17">
        <v>53</v>
      </c>
    </row>
    <row r="18" spans="1:3" x14ac:dyDescent="0.25">
      <c r="A18" t="s">
        <v>40</v>
      </c>
      <c r="B18" t="s">
        <v>26</v>
      </c>
      <c r="C18">
        <v>60.1</v>
      </c>
    </row>
    <row r="19" spans="1:3" x14ac:dyDescent="0.25">
      <c r="A19" t="s">
        <v>40</v>
      </c>
      <c r="B19" t="s">
        <v>27</v>
      </c>
      <c r="C19">
        <v>51.8</v>
      </c>
    </row>
    <row r="20" spans="1:3" x14ac:dyDescent="0.25">
      <c r="A20" t="s">
        <v>40</v>
      </c>
      <c r="B20" t="s">
        <v>28</v>
      </c>
      <c r="C20">
        <v>52.6</v>
      </c>
    </row>
    <row r="21" spans="1:3" x14ac:dyDescent="0.25">
      <c r="A21" t="s">
        <v>40</v>
      </c>
      <c r="B21" t="s">
        <v>29</v>
      </c>
      <c r="C21">
        <v>54.5</v>
      </c>
    </row>
    <row r="22" spans="1:3" x14ac:dyDescent="0.25">
      <c r="A22" t="s">
        <v>40</v>
      </c>
      <c r="B22" t="s">
        <v>30</v>
      </c>
      <c r="C22">
        <v>57.7</v>
      </c>
    </row>
    <row r="23" spans="1:3" x14ac:dyDescent="0.25">
      <c r="A23" t="s">
        <v>40</v>
      </c>
      <c r="B23" t="s">
        <v>31</v>
      </c>
      <c r="C23">
        <v>58.7</v>
      </c>
    </row>
    <row r="24" spans="1:3" x14ac:dyDescent="0.25">
      <c r="A24" t="s">
        <v>40</v>
      </c>
      <c r="B24" t="s">
        <v>32</v>
      </c>
      <c r="C24">
        <v>55.4</v>
      </c>
    </row>
    <row r="25" spans="1:3" x14ac:dyDescent="0.25">
      <c r="A25" t="s">
        <v>40</v>
      </c>
      <c r="B25" t="s">
        <v>33</v>
      </c>
      <c r="C25">
        <v>58.2</v>
      </c>
    </row>
    <row r="26" spans="1:3" x14ac:dyDescent="0.25">
      <c r="A26" t="s">
        <v>40</v>
      </c>
      <c r="B26" t="s">
        <v>34</v>
      </c>
      <c r="C26">
        <v>53.2</v>
      </c>
    </row>
    <row r="27" spans="1:3" x14ac:dyDescent="0.25">
      <c r="A27" t="s">
        <v>40</v>
      </c>
      <c r="B27" t="s">
        <v>35</v>
      </c>
      <c r="C27">
        <v>57.9</v>
      </c>
    </row>
    <row r="28" spans="1:3" x14ac:dyDescent="0.25">
      <c r="A28" t="s">
        <v>40</v>
      </c>
      <c r="B28" t="s">
        <v>36</v>
      </c>
      <c r="C28">
        <v>63.6</v>
      </c>
    </row>
    <row r="29" spans="1:3" x14ac:dyDescent="0.25">
      <c r="A29" t="s">
        <v>40</v>
      </c>
      <c r="B29" t="s">
        <v>37</v>
      </c>
      <c r="C29">
        <v>53.8</v>
      </c>
    </row>
    <row r="30" spans="1:3" x14ac:dyDescent="0.25">
      <c r="A30" t="s">
        <v>40</v>
      </c>
      <c r="B30" t="s">
        <v>38</v>
      </c>
      <c r="C30">
        <v>55.2</v>
      </c>
    </row>
    <row r="31" spans="1:3" x14ac:dyDescent="0.25">
      <c r="A31" t="s">
        <v>40</v>
      </c>
      <c r="B31" t="s">
        <v>39</v>
      </c>
      <c r="C31">
        <v>57.4</v>
      </c>
    </row>
    <row r="32" spans="1:3" x14ac:dyDescent="0.25">
      <c r="A32" t="s">
        <v>41</v>
      </c>
      <c r="B32" t="s">
        <v>25</v>
      </c>
      <c r="C32">
        <v>57.1</v>
      </c>
    </row>
    <row r="33" spans="1:3" x14ac:dyDescent="0.25">
      <c r="A33" t="s">
        <v>41</v>
      </c>
      <c r="B33" t="s">
        <v>26</v>
      </c>
      <c r="C33">
        <v>50.6</v>
      </c>
    </row>
    <row r="34" spans="1:3" x14ac:dyDescent="0.25">
      <c r="A34" t="s">
        <v>41</v>
      </c>
      <c r="B34" t="s">
        <v>27</v>
      </c>
      <c r="C34">
        <v>47.5</v>
      </c>
    </row>
    <row r="35" spans="1:3" x14ac:dyDescent="0.25">
      <c r="A35" t="s">
        <v>41</v>
      </c>
      <c r="B35" t="s">
        <v>28</v>
      </c>
      <c r="C35">
        <v>50.3</v>
      </c>
    </row>
    <row r="36" spans="1:3" x14ac:dyDescent="0.25">
      <c r="A36" t="s">
        <v>41</v>
      </c>
      <c r="B36" t="s">
        <v>29</v>
      </c>
      <c r="C36">
        <v>56</v>
      </c>
    </row>
    <row r="37" spans="1:3" x14ac:dyDescent="0.25">
      <c r="A37" t="s">
        <v>41</v>
      </c>
      <c r="B37" t="s">
        <v>30</v>
      </c>
      <c r="C37">
        <v>52.5</v>
      </c>
    </row>
    <row r="38" spans="1:3" x14ac:dyDescent="0.25">
      <c r="A38" t="s">
        <v>41</v>
      </c>
      <c r="B38" t="s">
        <v>31</v>
      </c>
      <c r="C38">
        <v>53.2</v>
      </c>
    </row>
    <row r="39" spans="1:3" x14ac:dyDescent="0.25">
      <c r="A39" t="s">
        <v>41</v>
      </c>
      <c r="B39" t="s">
        <v>32</v>
      </c>
      <c r="C39">
        <v>54.9</v>
      </c>
    </row>
    <row r="40" spans="1:3" x14ac:dyDescent="0.25">
      <c r="A40" t="s">
        <v>41</v>
      </c>
      <c r="B40" t="s">
        <v>33</v>
      </c>
      <c r="C40">
        <v>55.7</v>
      </c>
    </row>
    <row r="41" spans="1:3" x14ac:dyDescent="0.25">
      <c r="A41" t="s">
        <v>41</v>
      </c>
      <c r="B41" t="s">
        <v>34</v>
      </c>
      <c r="C41">
        <v>59.9</v>
      </c>
    </row>
    <row r="42" spans="1:3" x14ac:dyDescent="0.25">
      <c r="A42" t="s">
        <v>41</v>
      </c>
      <c r="B42" t="s">
        <v>35</v>
      </c>
      <c r="C42">
        <v>53.5</v>
      </c>
    </row>
    <row r="43" spans="1:3" x14ac:dyDescent="0.25">
      <c r="A43" t="s">
        <v>41</v>
      </c>
      <c r="B43" t="s">
        <v>36</v>
      </c>
      <c r="C43">
        <v>55.9</v>
      </c>
    </row>
    <row r="44" spans="1:3" x14ac:dyDescent="0.25">
      <c r="A44" t="s">
        <v>41</v>
      </c>
      <c r="B44" t="s">
        <v>37</v>
      </c>
      <c r="C44">
        <v>55.6</v>
      </c>
    </row>
    <row r="45" spans="1:3" x14ac:dyDescent="0.25">
      <c r="A45" t="s">
        <v>41</v>
      </c>
      <c r="B45" t="s">
        <v>38</v>
      </c>
      <c r="C45">
        <v>59.1</v>
      </c>
    </row>
    <row r="46" spans="1:3" x14ac:dyDescent="0.25">
      <c r="A46" t="s">
        <v>41</v>
      </c>
      <c r="B46" t="s">
        <v>39</v>
      </c>
      <c r="C46">
        <v>60.2</v>
      </c>
    </row>
    <row r="47" spans="1:3" x14ac:dyDescent="0.25">
      <c r="A47" t="s">
        <v>42</v>
      </c>
      <c r="B47" t="s">
        <v>25</v>
      </c>
      <c r="C47">
        <v>57.4</v>
      </c>
    </row>
    <row r="48" spans="1:3" x14ac:dyDescent="0.25">
      <c r="A48" t="s">
        <v>42</v>
      </c>
      <c r="B48" t="s">
        <v>26</v>
      </c>
      <c r="C48">
        <v>54</v>
      </c>
    </row>
    <row r="49" spans="1:3" x14ac:dyDescent="0.25">
      <c r="A49" t="s">
        <v>42</v>
      </c>
      <c r="B49" t="s">
        <v>27</v>
      </c>
      <c r="C49">
        <v>59.2</v>
      </c>
    </row>
    <row r="50" spans="1:3" x14ac:dyDescent="0.25">
      <c r="A50" t="s">
        <v>42</v>
      </c>
      <c r="B50" t="s">
        <v>28</v>
      </c>
      <c r="C50">
        <v>54.4</v>
      </c>
    </row>
    <row r="51" spans="1:3" x14ac:dyDescent="0.25">
      <c r="A51" t="s">
        <v>42</v>
      </c>
      <c r="B51" t="s">
        <v>29</v>
      </c>
      <c r="C51">
        <v>50</v>
      </c>
    </row>
    <row r="52" spans="1:3" x14ac:dyDescent="0.25">
      <c r="A52" t="s">
        <v>42</v>
      </c>
      <c r="B52" t="s">
        <v>30</v>
      </c>
      <c r="C52">
        <v>52.7</v>
      </c>
    </row>
    <row r="53" spans="1:3" x14ac:dyDescent="0.25">
      <c r="A53" t="s">
        <v>42</v>
      </c>
      <c r="B53" t="s">
        <v>31</v>
      </c>
      <c r="C53">
        <v>51.4</v>
      </c>
    </row>
    <row r="54" spans="1:3" x14ac:dyDescent="0.25">
      <c r="A54" t="s">
        <v>42</v>
      </c>
      <c r="B54" t="s">
        <v>32</v>
      </c>
      <c r="C54">
        <v>57.7</v>
      </c>
    </row>
    <row r="55" spans="1:3" x14ac:dyDescent="0.25">
      <c r="A55" t="s">
        <v>42</v>
      </c>
      <c r="B55" t="s">
        <v>33</v>
      </c>
      <c r="C55">
        <v>59.1</v>
      </c>
    </row>
    <row r="56" spans="1:3" x14ac:dyDescent="0.25">
      <c r="A56" t="s">
        <v>42</v>
      </c>
      <c r="B56" t="s">
        <v>34</v>
      </c>
      <c r="C56">
        <v>58.9</v>
      </c>
    </row>
    <row r="57" spans="1:3" x14ac:dyDescent="0.25">
      <c r="A57" t="s">
        <v>42</v>
      </c>
      <c r="B57" t="s">
        <v>35</v>
      </c>
      <c r="C57">
        <v>58.8</v>
      </c>
    </row>
    <row r="58" spans="1:3" x14ac:dyDescent="0.25">
      <c r="A58" t="s">
        <v>42</v>
      </c>
      <c r="B58" t="s">
        <v>36</v>
      </c>
      <c r="C58">
        <v>51.8</v>
      </c>
    </row>
    <row r="59" spans="1:3" x14ac:dyDescent="0.25">
      <c r="A59" t="s">
        <v>42</v>
      </c>
      <c r="B59" t="s">
        <v>37</v>
      </c>
      <c r="C59">
        <v>55.8</v>
      </c>
    </row>
    <row r="60" spans="1:3" x14ac:dyDescent="0.25">
      <c r="A60" t="s">
        <v>42</v>
      </c>
      <c r="B60" t="s">
        <v>38</v>
      </c>
      <c r="C60">
        <v>55.2</v>
      </c>
    </row>
    <row r="61" spans="1:3" x14ac:dyDescent="0.25">
      <c r="A61" t="s">
        <v>42</v>
      </c>
      <c r="B61" t="s">
        <v>39</v>
      </c>
      <c r="C61">
        <v>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Harvest</vt:lpstr>
      <vt:lpstr>NIR</vt:lpstr>
      <vt:lpstr>IRMS</vt:lpstr>
      <vt:lpstr>LMA</vt:lpstr>
      <vt:lpstr>SPAD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2025-01-24T02:29:36Z</dcterms:created>
  <dcterms:modified xsi:type="dcterms:W3CDTF">2025-01-26T22:29:12Z</dcterms:modified>
</cp:coreProperties>
</file>